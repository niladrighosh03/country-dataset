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ju" sheetId="1" r:id="rId4"/>
    <sheet state="visible" name="dragon boat racing" sheetId="2" r:id="rId5"/>
    <sheet state="visible" name="jianzi" sheetId="3" r:id="rId6"/>
    <sheet state="visible" name="kung fu" sheetId="4" r:id="rId7"/>
    <sheet state="visible" name="go" sheetId="5" r:id="rId8"/>
    <sheet state="visible" name="tai chi" sheetId="6" r:id="rId9"/>
  </sheets>
  <definedNames/>
  <calcPr/>
</workbook>
</file>

<file path=xl/sharedStrings.xml><?xml version="1.0" encoding="utf-8"?>
<sst xmlns="http://schemas.openxmlformats.org/spreadsheetml/2006/main" count="3020" uniqueCount="2615">
  <si>
    <t>Question No.</t>
  </si>
  <si>
    <t>Question</t>
  </si>
  <si>
    <t>Options</t>
  </si>
  <si>
    <t>Answer</t>
  </si>
  <si>
    <t>Description</t>
  </si>
  <si>
    <t>问题</t>
  </si>
  <si>
    <t>选项</t>
  </si>
  <si>
    <t>答案</t>
  </si>
  <si>
    <t>In a Cuju match, Player A is aiming for the goal while Player B attempts to block the ball with their feet. Which of the following is the correct way to score a point in Cuju?</t>
  </si>
  <si>
    <t>A) Player A scores by hitting the ball with their head, B) Player A scores by hitting the ball with their feet into the goal, C) Player B scores by stopping the ball with their hands, D) Player B scores by hitting the ball with their head</t>
  </si>
  <si>
    <t>B) Player A scores by hitting the ball with their feet into the goal</t>
  </si>
  <si>
    <t>In Cuju, the ball must be kicked into the goal using the feet. Scoring with other body parts like the head is not allowed.</t>
  </si>
  <si>
    <t>In a Cuju match, Player A tries to kick the ball into the goal but it is blocked by Player B, who uses a spinning technique. What is the name of this technique?</t>
  </si>
  <si>
    <t>A) Zuqiu, B) Jianshu, C) Fanjian, D) Huanyuan</t>
  </si>
  <si>
    <t>C) Fanjian</t>
  </si>
  <si>
    <t>Fanjian is a spinning technique used in Cuju to block or redirect the ball. It is one of the more advanced techniques in the game.</t>
  </si>
  <si>
    <t>During a Cuju game, Player A has the ball and is attempting to perform a 'scissor kick' to score a goal. What is the primary challenge associated with this technique?</t>
  </si>
  <si>
    <t>A) The ball is too heavy, B) The timing and precision required, C) The ball is too small, D) The goalposts are too high</t>
  </si>
  <si>
    <t>B) The timing and precision required</t>
  </si>
  <si>
    <t>The 'scissor kick' requires precise timing and positioning, making it one of the more difficult techniques in Cuju.</t>
  </si>
  <si>
    <t>A Cuju player is attempting to pass the ball to their teammate, but the ball goes out of bounds. What happens next in the game?</t>
  </si>
  <si>
    <t>A) The opposing team gets a free kick, B) The game continues without interruption, C) The opposing team gets possession of the ball, D) The player is penalized</t>
  </si>
  <si>
    <t>C) The opposing team gets possession of the ball</t>
  </si>
  <si>
    <t>When the ball goes out of bounds, possession is given to the opposing team, and they restart play from that point.</t>
  </si>
  <si>
    <t>Cuju is often compared to which modern-day sport due to its similarities in gameplay and use of the feet?</t>
  </si>
  <si>
    <t>A) Baseball, B) Basketball, C) Soccer, D) Rugby</t>
  </si>
  <si>
    <t>C) Soccer</t>
  </si>
  <si>
    <t>Cuju shares many similarities with modern soccer, particularly in its use of feet to move a ball and score goals.</t>
  </si>
  <si>
    <t>In a Cuju match, Player A attempts to strike the ball using a powerful kick, but the ball is intercepted by Player B. Which action would Player B most likely perform to control the ball?</t>
  </si>
  <si>
    <t>A) Head the ball, B) Kick the ball, C) Catch the ball, D) Trap the ball with the feet</t>
  </si>
  <si>
    <t>D) Trap the ball with the feet</t>
  </si>
  <si>
    <t>In Cuju, players typically trap the ball with their feet to control it after an interception, rather than using hands or heads.</t>
  </si>
  <si>
    <t>During a Cuju match, a player uses their body to shield the ball from an opponent. Which rule applies to this action?</t>
  </si>
  <si>
    <t>A) The player is offside, B) The player is awarded a free kick, C) The player is allowed to shield the ball, D) The player receives a yellow card</t>
  </si>
  <si>
    <t>C) The player is allowed to shield the ball</t>
  </si>
  <si>
    <t>Shielding the ball is a legal move in Cuju, where a player uses their body to protect the ball from an opponent without obstruction.</t>
  </si>
  <si>
    <t>In a Cuju match, Player A kicks the ball into the air, and Player B uses a bicycle kick to strike it towards the goal. What is this technique called?</t>
  </si>
  <si>
    <t>A) Scissor kick, B) Overhead kick, C) Bicycle kick, D) Volley</t>
  </si>
  <si>
    <t>C) Bicycle kick</t>
  </si>
  <si>
    <t>A bicycle kick is a spectacular technique where a player kicks the ball while performing a backward somersault motion. It is a common technique in Cuju.</t>
  </si>
  <si>
    <t>In Cuju, the field is generally divided into two halves. What is the purpose of this division?</t>
  </si>
  <si>
    <t>A) To distinguish between teams, B) To organize the flow of play, C) To limit scoring zones, D) To allow for substitutions</t>
  </si>
  <si>
    <t>B) To organize the flow of play</t>
  </si>
  <si>
    <t>Dividing the field into two halves helps organize the game, allowing teams to have clear areas for attacking and defending.</t>
  </si>
  <si>
    <t>During a Cuju match, Player A kicks the ball toward the opponent's goal. The ball hits the crossbar and bounces back into play. What is the correct ruling?</t>
  </si>
  <si>
    <t>A) The ball is considered out of bounds, B) The match continues without interruption, C) The ball is considered a goal, D) The ball is returned to the center circle</t>
  </si>
  <si>
    <t>B) The match continues without interruption</t>
  </si>
  <si>
    <t>If the ball hits the crossbar and remains in play, the game continues as usual without any interruption.</t>
  </si>
  <si>
    <t>In a Cuju game, Player A performs a high kick to clear the ball away from the goal. Which of the following actions would be considered a foul?</t>
  </si>
  <si>
    <t>A) Kicking the ball too high, B) Using excessive force when kicking, C) Kicking the ball with the side of the foot, D) Kicking the ball in a straight line</t>
  </si>
  <si>
    <t>B) Using excessive force when kicking</t>
  </si>
  <si>
    <t>Using excessive force in Cuju is considered a foul, as players are expected to maintain control of their movements.</t>
  </si>
  <si>
    <t>Player A kicks the ball towards the goal, but Player B intercepts the ball with a header and redirects it back to their own team's half. What does this action demonstrate?</t>
  </si>
  <si>
    <t>A) Offensive play, B) Defensive strategy, C) A foul, D) Goalkeeping</t>
  </si>
  <si>
    <t>B) Defensive strategy</t>
  </si>
  <si>
    <t>Intercepting the ball and redirecting it is a defensive strategy in Cuju, helping to prevent the opponent from scoring.</t>
  </si>
  <si>
    <t>During a Cuju match, Player A is injured while attempting a tackle. What is the typical course of action for the match to continue?</t>
  </si>
  <si>
    <t>A) The match is paused for a medical check, B) The game resumes immediately, C) The injured player is replaced by a substitute, D) The opposing team gets possession of the ball</t>
  </si>
  <si>
    <t>A) The match is paused for a medical check</t>
  </si>
  <si>
    <t>In most cases, when a player is injured, the match is paused for medical attention before resuming play.</t>
  </si>
  <si>
    <t>In a Cuju match, the ball is passed to Player A, who attempts a bicycle kick. What is the primary risk of performing this move?</t>
  </si>
  <si>
    <t>A) Injury to the player performing the kick, B) The ball being kicked out of bounds, C) The ball hitting the goalkeeper, D) Losing possession of the ball</t>
  </si>
  <si>
    <t>A) Injury to the player performing the kick</t>
  </si>
  <si>
    <t>Bicycle kicks are spectacular but risky, as they require an acrobatic movement that can lead to injury if not executed properly.</t>
  </si>
  <si>
    <t>During a Cuju match, Player A scores a goal by kicking the ball from outside the penalty area. What is this action called?</t>
  </si>
  <si>
    <t>A) Long-range goal, B) Direct kick, C) Header, D) Free kick</t>
  </si>
  <si>
    <t>A) Long-range goal</t>
  </si>
  <si>
    <t>A goal scored from outside the penalty area using a long kick is known as a long-range goal in Cuju.</t>
  </si>
  <si>
    <t>In a Cuju match, Player A is attempting to pass the ball to Player B, but the pass is intercepted by Player C from the opposing team. What is the correct reaction from Player B?</t>
  </si>
  <si>
    <t>A) Continue to chase the ball, B) Block Player C from making a play, C) Wait for the referee to make a decision, D) Complain about the interception</t>
  </si>
  <si>
    <t>A) Continue to chase the ball</t>
  </si>
  <si>
    <t>In Cuju, when a pass is intercepted, players are expected to immediately recover and continue pursuing the ball to regain possession.</t>
  </si>
  <si>
    <t>In a Cuju match, Player A kicks the ball toward the goal but it is blocked by the goalkeeper. What happens next?</t>
  </si>
  <si>
    <t>A) The ball is returned to the center circle, B) The match continues with the ball still in play, C) The ball is considered out of bounds, D) The goalkeeper is penalized</t>
  </si>
  <si>
    <t>B) The match continues with the ball still in play</t>
  </si>
  <si>
    <t>If the goalkeeper blocks the ball, the game continues, and the ball is still in play unless it goes out of bounds.</t>
  </si>
  <si>
    <t>In a Cuju match, Player A attempts a free kick from outside the penalty area. What is the most important factor for successfully scoring from this position?</t>
  </si>
  <si>
    <t>A) The player's kicking technique, B) The goalkeeper's positioning, C) The angle of the shot, D) The weather conditions</t>
  </si>
  <si>
    <t>A) The player's kicking technique</t>
  </si>
  <si>
    <t>Successful free kicks in Cuju depend primarily on the player's kicking technique to accurately place the ball into the goal.</t>
  </si>
  <si>
    <t>In a Cuju match, Player A is performing a trick move to evade Player B's tackle. What skill is being displayed?</t>
  </si>
  <si>
    <t>A) Dribbling, B) Tackling, C) Goalkeeping, D) Passing</t>
  </si>
  <si>
    <t>A) Dribbling</t>
  </si>
  <si>
    <t>Dribbling is the skill used to maneuver the ball while evading opponents, and it is crucial for offensive play in Cuju.</t>
  </si>
  <si>
    <t>During a Cuju match, Player A is about to take a penalty kick. The opposing team forms a defensive wall to block the shot. What is the primary purpose of this wall?</t>
  </si>
  <si>
    <t>A) To distract the goalkeeper, B) To reduce the angle of the shot, C) To confuse the referee, D) To gain possession of the ball</t>
  </si>
  <si>
    <t>B) To reduce the angle of the shot</t>
  </si>
  <si>
    <t>The defensive wall is used to block or reduce the angle of the penalty kick, making it more difficult for the shooter to score.</t>
  </si>
  <si>
    <t>During a Cuju match, Player A performs a successful clearance by kicking the ball high into the air. Which technique did Player A most likely use?</t>
  </si>
  <si>
    <t>A) Volley, B) Header, C) Goal kick, D) Clear kick</t>
  </si>
  <si>
    <t>D) Clear kick</t>
  </si>
  <si>
    <t>A clear kick is used to send the ball away from the goal area, typically by kicking the ball high into the air.</t>
  </si>
  <si>
    <t>In a Cuju match, Player A kicks the ball into the goal, but the referee calls it offside. What does this mean?</t>
  </si>
  <si>
    <t>A) Player A was too far ahead when the ball was kicked, B) Player A kicked the ball too hard, C) The ball went out of bounds before being kicked, D) Player A touched the ball with their hands</t>
  </si>
  <si>
    <t>A) Player A was too far ahead when the ball was kicked</t>
  </si>
  <si>
    <t>An offside violation occurs when a player is ahead of the ball and the last defender at the time the ball is passed to them.</t>
  </si>
  <si>
    <t>In a Cuju match, Player A performs a successful tackle and gains possession of the ball. What should Player A do next?</t>
  </si>
  <si>
    <t>A) Pass the ball to a teammate, B) Attempt to score immediately, C) Clear the ball out of the defensive zone, D) Stop the play and wait for instructions</t>
  </si>
  <si>
    <t>A) Pass the ball to a teammate</t>
  </si>
  <si>
    <t>After gaining possession, it is often strategic to pass the ball to a teammate to maintain offensive momentum.</t>
  </si>
  <si>
    <t>During a Cuju match, Player A uses a low, fast kick to pass the ball to a teammate. What is this pass known as?</t>
  </si>
  <si>
    <t>A) Through ball, B) Chip pass, C) Ground pass, D) Cross pass</t>
  </si>
  <si>
    <t>C) Ground pass</t>
  </si>
  <si>
    <t>A ground pass involves sending the ball along the ground to a teammate, making it easier to control and intercept.</t>
  </si>
  <si>
    <t>In a Cuju match, Player A is positioned in front of the opponent's goal and receives a pass. The goalkeeper rushes to intercept the ball. What is Player A's best option?</t>
  </si>
  <si>
    <t>A) Attempt a chip shot over the goalkeeper, B) Pass the ball back to a teammate, C) Shoot the ball without hesitation, D) Dribble around the goalkeeper</t>
  </si>
  <si>
    <t>A) Attempt a chip shot over the goalkeeper</t>
  </si>
  <si>
    <t>A chip shot is often the best way to score when the goalkeeper rushes out to intercept the ball, as it allows the ball to pass over them.</t>
  </si>
  <si>
    <t>During a Cuju match, Player A is dribbling the ball and is closely pursued by Player B. What should Player A focus on to maintain possession?</t>
  </si>
  <si>
    <t>A) Speed and agility, B) Dribbling with both feet, C) Shielding the ball with the body, D) Passing quickly to a teammate</t>
  </si>
  <si>
    <t>C) Shielding the ball with the body</t>
  </si>
  <si>
    <t>Shielding the ball is an effective way to maintain possession when being closely pursued by an opponent.</t>
  </si>
  <si>
    <t>During a Cuju match, Player A kicks the ball towards the opponent's goal, but the goalkeeper makes a diving save. What should Player A do next?</t>
  </si>
  <si>
    <t>A) Reposition to receive a rebound, B) Argue with the referee, C) Wait for the next play to start, D) Signal for a substitution</t>
  </si>
  <si>
    <t>A) Reposition to receive a rebound</t>
  </si>
  <si>
    <t>After a goalkeeper makes a save, the ball may rebound back into play, so it's important to reposition quickly for a chance to score.</t>
  </si>
  <si>
    <t>In a Cuju game, Player A successfully intercepts the ball from Player B and is now moving towards the goal. What is Player A's next best move?</t>
  </si>
  <si>
    <t>A) Pass to a teammate, B) Take a shot at the goal, C) Kick the ball out of bounds to slow down play, D) Wait for instructions from the coach</t>
  </si>
  <si>
    <t>A) Pass to a teammate</t>
  </si>
  <si>
    <t>The best strategy after an interception is often to pass the ball to a teammate in a better position, rather than going for a solo attempt.</t>
  </si>
  <si>
    <t>During a Cuju match, Player A kicks the ball towards the goal, but the ball hits the goalpost and remains in play. What happens next?</t>
  </si>
  <si>
    <t>A) The game stops and a goal kick is awarded, B) The ball is considered out of bounds, C) Play continues as the ball is still in play, D) The ball is kicked back to the center circle</t>
  </si>
  <si>
    <t>C) Play continues as the ball is still in play</t>
  </si>
  <si>
    <t>If the ball hits the goalpost and stays in play, the game continues, and the players must follow the ball's new path.</t>
  </si>
  <si>
    <t>Player A is positioned near the edge of the penalty area. They take a quick shot at the goal, and the goalkeeper deflects it out of bounds. What is the result?</t>
  </si>
  <si>
    <t>A) A corner kick is awarded, B) The game restarts from the center, C) A goal kick is awarded to the defending team, D) A throw-in is awarded</t>
  </si>
  <si>
    <t>A) A corner kick is awarded</t>
  </si>
  <si>
    <t>When the goalkeeper deflects the ball out of bounds over the goal line, a corner kick is awarded to the attacking team.</t>
  </si>
  <si>
    <t>During a Cuju match, Player A commits a foul by kicking an opponent from behind. What is the correct ruling?</t>
  </si>
  <si>
    <t>A) The game continues, B) The opponent gets a free kick, C) Player A is penalized with a yellow card, D) Player A is substituted</t>
  </si>
  <si>
    <t>B) The opponent gets a free kick</t>
  </si>
  <si>
    <t>In Cuju, when a player commits a foul by kicking an opponent, the opposing team is awarded a free kick.</t>
  </si>
  <si>
    <t>In a Cuju game, Player A tries to perform a header but miscalculates the timing and the ball hits their shoulder instead. What is the result of this action?</t>
  </si>
  <si>
    <t>A) The play is considered a handball, B) The play continues as usual, C) The referee awards a goal kick, D) Player A is penalized for a foul</t>
  </si>
  <si>
    <t>B) The play continues as usual</t>
  </si>
  <si>
    <t>A header is intended to be performed with the head, but if the ball hits the shoulder, the game continues as usual.</t>
  </si>
  <si>
    <t>Player A is playing defense and intercepts a pass from Player B to a teammate. What should Player A focus on after intercepting the ball?</t>
  </si>
  <si>
    <t>A) Dribbling the ball away from the goal, B) Immediately passing the ball to the goalkeeper, C) Kicking the ball out of bounds for safety, D) Looking for a teammate to pass to</t>
  </si>
  <si>
    <t>D) Looking for a teammate to pass to</t>
  </si>
  <si>
    <t>After intercepting the ball, the best strategy is to quickly assess the field and pass to a teammate to initiate an offensive play.</t>
  </si>
  <si>
    <t>During a Cuju match, Player A kicks the ball out of bounds on the sideline. What happens next?</t>
  </si>
  <si>
    <t>A) The game restarts with a throw-in by the opposing team, B) Player A's team gets possession, C) A goal kick is awarded, D) The game is paused</t>
  </si>
  <si>
    <t>A) The game restarts with a throw-in by the opposing team</t>
  </si>
  <si>
    <t>When the ball goes out of bounds on the sideline, the opposing team gets possession with a throw-in to restart the game.</t>
  </si>
  <si>
    <t>In a Cuju match, Player A attempts a penalty kick after being fouled in the penalty area. What is the primary goal of a penalty kick?</t>
  </si>
  <si>
    <t>A) To pass the ball to a teammate, B) To score directly into the goal, C) To send the ball out of bounds, D) To create a rebound for another shot</t>
  </si>
  <si>
    <t>B) To score directly into the goal</t>
  </si>
  <si>
    <t>A penalty kick is taken with the goal of scoring directly into the net from the penalty spot, without interference from the goalkeeper.</t>
  </si>
  <si>
    <t>Player A takes a long-range shot on goal, but the goalkeeper makes a successful save. What should Player A do after the save?</t>
  </si>
  <si>
    <t>A) Celebrate the shot, B) Keep moving to retrieve the ball in case of a rebound, C) Stop playing and wait for the next goal kick, D) Leave the field to recover</t>
  </si>
  <si>
    <t>B) Keep moving to retrieve the ball in case of a rebound</t>
  </si>
  <si>
    <t>After a save, the ball may rebound, and Player A should be prepared to follow up on the play by retrieving the ball if it comes back into play.</t>
  </si>
  <si>
    <t>During a Cuju match, Player A kicks the ball in the direction of the goal but it is blocked by Player B, who is standing too close to the goal. What is the next step?</t>
  </si>
  <si>
    <t>A) The ball is sent back to the center circle, B) A free kick is awarded, C) The game continues as Player B is not allowed to block the shot, D) A corner kick is awarded to Player A's team</t>
  </si>
  <si>
    <t>D) A corner kick is awarded to Player A's team</t>
  </si>
  <si>
    <t>When an opponent blocks the ball near the goal line, a corner kick is awarded to the attacking team.</t>
  </si>
  <si>
    <t>Player A is awarded a free kick from outside the penalty area. What should Player A aim to do with the free kick?</t>
  </si>
  <si>
    <t>A) Pass the ball to a teammate, B) Take a direct shot at the goal, C) Kick the ball high into the air for a header, D) Kick the ball into the opponent's half</t>
  </si>
  <si>
    <t>B) Take a direct shot at the goal</t>
  </si>
  <si>
    <t>A free kick from outside the penalty area is an opportunity to take a direct shot at the goal, especially if the player has good accuracy.</t>
  </si>
  <si>
    <t>In a Cuju match, Player A kicks the ball high into the air. The ball drops down and lands inside the penalty box. What action should the goalkeeper take?</t>
  </si>
  <si>
    <t>A) Attempt a catch, B) Let the ball bounce out of bounds, C) Pass the ball to a teammate, D) Take a shot on goal</t>
  </si>
  <si>
    <t>A) Attempt a catch</t>
  </si>
  <si>
    <t>The goalkeeper's primary responsibility is to catch or deflect high balls into the penalty box to prevent a goal.</t>
  </si>
  <si>
    <t>In Cuju, if a player is found guilty of a serious foul, which of the following sanctions can be applied?</t>
  </si>
  <si>
    <t>A) A yellow card, B) A red card, C) A goal kick for the opposing team, D) A free kick for the offending team</t>
  </si>
  <si>
    <t>B) A red card</t>
  </si>
  <si>
    <t>A red card is shown for serious fouls and results in the player being sent off the field.</t>
  </si>
  <si>
    <t>In a Cuju match, Player A is positioned near the center circle and receives a pass from a teammate. What is Player A's most likely next move?</t>
  </si>
  <si>
    <t>A) Perform a long pass to a teammate, B) Take a shot at the goal, C) Dribble the ball forward to advance play, D) Kick the ball out of bounds</t>
  </si>
  <si>
    <t>C) Dribble the ball forward to advance play</t>
  </si>
  <si>
    <t>The center circle is often where the play begins, and dribbling forward is a common strategy to move the ball into attacking areas.</t>
  </si>
  <si>
    <t>During a Cuju match, Player A passes the ball to Player B, who is running towards the goal. What should Player B do next?</t>
  </si>
  <si>
    <t>A) Wait for the ball to reach them, B) Take a shot immediately, C) Attempt to pass the ball back to Player A, D) Use their speed to move past defenders</t>
  </si>
  <si>
    <t>D) Use their speed to move past defenders</t>
  </si>
  <si>
    <t>Player B should use their speed to create a clear path to the goal and potentially take a shot or cross the ball to a teammate.</t>
  </si>
  <si>
    <t>During a Cuju match, Player A receives a yellow card for unsporting behavior. What is the consequence of receiving a yellow card?</t>
  </si>
  <si>
    <t>A) The player must leave the field for a few minutes, B) The player is warned, and play continues, C) The player is sent off, D) The player is fined</t>
  </si>
  <si>
    <t>B) The player is warned, and play continues</t>
  </si>
  <si>
    <t>A yellow card serves as a warning to the player for unsporting behavior, and they can continue playing unless they receive a second yellow card.</t>
  </si>
  <si>
    <t>During a Cuju match, your teammate is about to kick the ball into the goal. What should you do?</t>
  </si>
  <si>
    <t>A) Block B) Pass C) Move aside D) Intercept</t>
  </si>
  <si>
    <t>B) Pass</t>
  </si>
  <si>
    <t>If the opposing team is dominating possession, what is the best strategy?</t>
  </si>
  <si>
    <t>A) Press high B) Retreat and defend C) Ignore D) Attack recklessly</t>
  </si>
  <si>
    <t>B) Retreat and defend</t>
  </si>
  <si>
    <t>A player is dribbling towards you with the ball. What’s the safest action?</t>
  </si>
  <si>
    <t>A) Tackle aggressively B) Step aside C) Intercept carefully D) Ignore</t>
  </si>
  <si>
    <t>C) Intercept carefully</t>
  </si>
  <si>
    <t>The ball is rolling near the sideline and an opponent approaches. What should you do?</t>
  </si>
  <si>
    <t>A) Let it go B) Kick out of bounds C) Gain control D) Trip opponent</t>
  </si>
  <si>
    <t>C) Gain control</t>
  </si>
  <si>
    <t>Your teammate is open near the goal. How should you respond?</t>
  </si>
  <si>
    <t>A) Pass the ball B) Shoot yourself C) Run away D) Stop the play</t>
  </si>
  <si>
    <t>A) Pass the ball</t>
  </si>
  <si>
    <t>You’re defending a corner kick. What’s the priority?</t>
  </si>
  <si>
    <t>A) Clear the ball B) Run away C) Ignore opponents D) Attempt fancy trick</t>
  </si>
  <si>
    <t>A) Clear the ball</t>
  </si>
  <si>
    <t>The ball comes to you unexpectedly. How should you control it?</t>
  </si>
  <si>
    <t>A) Trap and secure B) Kick randomly C) Ignore D) Pass backward immediately</t>
  </si>
  <si>
    <t>A) Trap and secure</t>
  </si>
  <si>
    <t>Opponent is close behind while you dribble. What’s the best action?</t>
  </si>
  <si>
    <t>A) Maintain control B) Kick out recklessly C) Stop moving D) Turn back</t>
  </si>
  <si>
    <t>A) Maintain control</t>
  </si>
  <si>
    <t>A teammate is attempting a long shot. How should you support?</t>
  </si>
  <si>
    <t>A) Move forward for rebound B) Run away C) Ignore D) Tackle opponent</t>
  </si>
  <si>
    <t>A) Move forward for rebound</t>
  </si>
  <si>
    <t>You notice an opponent open on your left flank. What should you do?</t>
  </si>
  <si>
    <t>A) Pass or mark B) Ignore C) Run D) Hold the ball</t>
  </si>
  <si>
    <t>A) Pass or mark</t>
  </si>
  <si>
    <t>Ball is coming towards your feet near the penalty area. What’s the proper approach?</t>
  </si>
  <si>
    <t>A) Trap and control B) Kick randomly C) Turn away D) Run into opponent</t>
  </si>
  <si>
    <t>A) Trap and control</t>
  </si>
  <si>
    <t>An opponent fakes a shot. How should you react?</t>
  </si>
  <si>
    <t>A) Stay alert and not commit B) Jump immediately C) Step aside D) Kick ball away</t>
  </si>
  <si>
    <t>A) Stay alert and not commit</t>
  </si>
  <si>
    <t>You have a free kick near the opponent’s goal. What’s your first choice?</t>
  </si>
  <si>
    <t>A) Take a shot B) Pass C) Walk away D) Kick anywhere</t>
  </si>
  <si>
    <t>A) Take a shot</t>
  </si>
  <si>
    <t>The referee signals a foul in your favor. What’s the correct behavior?</t>
  </si>
  <si>
    <t>A) Take quick set-piece B) Argue C) Delay play D) Ignore</t>
  </si>
  <si>
    <t>A) Take quick set-piece</t>
  </si>
  <si>
    <t>Your teammate is offside. What’s the best course of action?</t>
  </si>
  <si>
    <t>A) Hold ball B) Pass anyway C) Stop and reposition D) Ignore</t>
  </si>
  <si>
    <t>C) Stop and reposition</t>
  </si>
  <si>
    <t>Ball is bouncing unpredictably. How should you manage it?</t>
  </si>
  <si>
    <t>A) Adjust body and trap B) Kick wildly C) Ignore D) Run away</t>
  </si>
  <si>
    <t>A) Adjust body and trap</t>
  </si>
  <si>
    <t>Opponent is approaching from behind. How should you react?</t>
  </si>
  <si>
    <t>A) Shield the ball B) Kick backward C) Ignore D) Run away</t>
  </si>
  <si>
    <t>A) Shield the ball</t>
  </si>
  <si>
    <t>You’re near the goal and ball is coming fast. What’s your action?</t>
  </si>
  <si>
    <t>A) Shoot or control B) Stop and freeze C) Kick away D) Pass backward</t>
  </si>
  <si>
    <t>A) Shoot or control</t>
  </si>
  <si>
    <t>Your team is trailing by one goal. What strategy is appropriate?</t>
  </si>
  <si>
    <t>A) Push forward with support B) Retreat C) Ignore D) Play defensively</t>
  </si>
  <si>
    <t>A) Push forward with support</t>
  </si>
  <si>
    <t>Opponent is approaching quickly. How do you maintain control?</t>
  </si>
  <si>
    <t>A) Keep close ball control B) Kick randomly C) Stop D) Run away</t>
  </si>
  <si>
    <t>A) Keep close ball control</t>
  </si>
  <si>
    <t>Your teammate is near the goalpost. What should you do?</t>
  </si>
  <si>
    <t>A) Pass for scoring opportunity B) Hold the ball C) Run away D) Step aside</t>
  </si>
  <si>
    <t>A) Pass for scoring opportunity</t>
  </si>
  <si>
    <t>Ball is rolling slowly near midfield. How should you act?</t>
  </si>
  <si>
    <t>A) Move to intercept B) Ignore C) Kick out D) Wait for opponent</t>
  </si>
  <si>
    <t>A) Move to intercept</t>
  </si>
  <si>
    <t>Opponent fakes a pass. How should you respond?</t>
  </si>
  <si>
    <t>A) Observe carefully and intercept B) Jump forward C) Ignore D) Run away</t>
  </si>
  <si>
    <t>A) Observe carefully and intercept</t>
  </si>
  <si>
    <t>You are defending a penalty. What is the priority?</t>
  </si>
  <si>
    <t>A) Position body to block shot B) Run away C) Kick ball high D) Step aside</t>
  </si>
  <si>
    <t>A) Position body to block shot</t>
  </si>
  <si>
    <t>Ball is in mid-air near your goal. How should you play?</t>
  </si>
  <si>
    <t>A) Control or head away B) Ignore C) Jump backward D) Let it drop</t>
  </si>
  <si>
    <t>A) Control or head away</t>
  </si>
  <si>
    <t>Your teammate is surrounded by defenders. What should you do?</t>
  </si>
  <si>
    <t>A) Move to offer passing option B) Ignore C) Run away D) Hold ball</t>
  </si>
  <si>
    <t>A) Move to offer passing option</t>
  </si>
  <si>
    <t>You notice the opponent tiring. What’s the tactical move?</t>
  </si>
  <si>
    <t>A) Apply high pressure B) Retreat C) Slow play D) Ignore</t>
  </si>
  <si>
    <t>A) Apply high pressure</t>
  </si>
  <si>
    <t>You are about to take a corner kick. What’s essential?</t>
  </si>
  <si>
    <t>A) Aim for teammates B) Kick anywhere C) Delay D) Ignore</t>
  </si>
  <si>
    <t>A) Aim for teammates</t>
  </si>
  <si>
    <t>The ball is near your team’s goal line. What is your first concern?</t>
  </si>
  <si>
    <t>A) Clear safely B) Jump away C) Ignore D) Fancy trick</t>
  </si>
  <si>
    <t>A) Clear safely</t>
  </si>
  <si>
    <t>Opponent is dribbling through your half. What should you do?</t>
  </si>
  <si>
    <t>A) Track and intercept B) Ignore C) Step aside D) Kick randomly</t>
  </si>
  <si>
    <t>A) Track and intercept</t>
  </si>
  <si>
    <t>You’re in possession but under pressure. What’s the best move?</t>
  </si>
  <si>
    <t>A) Pass or shield B) Kick blindly C) Run away D) Ignore</t>
  </si>
  <si>
    <t>A) Pass or shield</t>
  </si>
  <si>
    <t>Ball is bouncing toward opponent’s goal. How should you act?</t>
  </si>
  <si>
    <t>A) Advance and control B) Hold back C) Kick anywhere D) Ignore</t>
  </si>
  <si>
    <t>A) Advance and control</t>
  </si>
  <si>
    <t>Your teammate is open near the sideline. How should you respond?</t>
  </si>
  <si>
    <t>A) Pass quickly B) Hold ball C) Run away D) Ignore</t>
  </si>
  <si>
    <t>A) Pass quickly</t>
  </si>
  <si>
    <t>Opponent approaches from the side. What is defensive priority?</t>
  </si>
  <si>
    <t>A) Block path B) Ignore C) Run away D) Kick randomly</t>
  </si>
  <si>
    <t>A) Block path</t>
  </si>
  <si>
    <t>You are about to shoot from a distance. What should you consider?</t>
  </si>
  <si>
    <t>A) Accuracy and force B) Kick randomly C) Ignore D) Run away</t>
  </si>
  <si>
    <t>A) Accuracy and force</t>
  </si>
  <si>
    <t>Opponent is faking a pass. How should you respond?</t>
  </si>
  <si>
    <t>A) Wait and intercept B) Run forward C) Ignore D) Step aside</t>
  </si>
  <si>
    <t>A) Wait and intercept</t>
  </si>
  <si>
    <t>Ball is in air near midfield. What’s the proper technique?</t>
  </si>
  <si>
    <t>A) Trap or head B) Ignore C) Kick anywhere D) Run away</t>
  </si>
  <si>
    <t>A) Trap or head</t>
  </si>
  <si>
    <t>You notice teammate is unmarked near goal. What should you do?</t>
  </si>
  <si>
    <t>A) Pass immediately B) Hold ball C) Ignore D) Run away</t>
  </si>
  <si>
    <t>A) Pass immediately</t>
  </si>
  <si>
    <t>Opponent is charging toward your goal. How should you act?</t>
  </si>
  <si>
    <t>A) Position to defend B) Ignore C) Kick randomly D) Run away</t>
  </si>
  <si>
    <t>A) Position to defend</t>
  </si>
  <si>
    <t>Ball is rolling out of bounds. What is correct?</t>
  </si>
  <si>
    <t>A) Intercept and return in play B) Ignore C) Run away D) Step aside</t>
  </si>
  <si>
    <t>A) Intercept and return in play</t>
  </si>
  <si>
    <t>You see an opening in opponent’s defense. What should you do?</t>
  </si>
  <si>
    <t>A) Pass or dribble to exploit B) Stop C) Ignore D) Kick randomly</t>
  </si>
  <si>
    <t>A) Pass or dribble to exploit</t>
  </si>
  <si>
    <t>Teammate is taking a free kick. What is your position?</t>
  </si>
  <si>
    <t>A) Move to support or receive B) Run away C) Step aside D) Ignore</t>
  </si>
  <si>
    <t>A) Move to support or receive</t>
  </si>
  <si>
    <t>Opponent is fatigued. What tactic is optimal?</t>
  </si>
  <si>
    <t>A) Press more aggressively B) Retreat C) Ignore D) Random kicks</t>
  </si>
  <si>
    <t>A) Press more aggressively</t>
  </si>
  <si>
    <t>Ball comes to your feet near the edge of penalty. How do you play?</t>
  </si>
  <si>
    <t>A) Trap and control B) Kick randomly C) Step aside D) Ignore</t>
  </si>
  <si>
    <t>Opponent is near and fast. How do you maintain possession?</t>
  </si>
  <si>
    <t>A) Shield the ball B) Kick randomly C) Step aside D) Ignore</t>
  </si>
  <si>
    <t>Your teammate is in scoring position. How should you act?</t>
  </si>
  <si>
    <t>A) Pass immediately B) Hold ball C) Run away D) Step aside</t>
  </si>
  <si>
    <t>Ball is rolling slowly near the corner. What is best?</t>
  </si>
  <si>
    <t>A) Move to intercept B) Ignore C) Kick randomly D) Step aside</t>
  </si>
  <si>
    <t>Opponent fakes a dribble. What’s the reaction?</t>
  </si>
  <si>
    <t>A) Wait and intercept B) Jump forward C) Ignore D) Run away</t>
  </si>
  <si>
    <t>You’re defending against a fast attacker. What’s the priority?</t>
  </si>
  <si>
    <t>A) Positioning and timing B) Kick randomly C) Step aside D) Ignore</t>
  </si>
  <si>
    <t>A) Positioning and timing</t>
  </si>
  <si>
    <t>Teammate is about to shoot. How should you assist?</t>
  </si>
  <si>
    <t>A) Move for rebound or pass B) Ignore C) Run away D) Step aside</t>
  </si>
  <si>
    <t>A) Move for rebound or pass</t>
  </si>
  <si>
    <t>Ball is coming toward you from a corner. What’s the action?</t>
  </si>
  <si>
    <t>A) Trap or clear B) Ignore C) Kick randomly D) Step aside</t>
  </si>
  <si>
    <t>A) Trap or clear</t>
  </si>
  <si>
    <t>Opponent is trying to intercept your pass. What’s best?</t>
  </si>
  <si>
    <t>A) Adjust and shield B) Kick randomly C) Step aside D) Ignore</t>
  </si>
  <si>
    <t>A) Adjust and shield</t>
  </si>
  <si>
    <t>You are in midfield and see an opening. What’s optimal?</t>
  </si>
  <si>
    <t>A) Advance with control B) Hold ball C) Ignore D) Kick randomly</t>
  </si>
  <si>
    <t>A) Advance with control</t>
  </si>
  <si>
    <t>Your teammate is unmarked near goal. How should you proceed?</t>
  </si>
  <si>
    <t>A) Pass immediately B) Hold ball C) Ignore D) Step aside</t>
  </si>
  <si>
    <t>Opponent is approaching from behind. What’s defensive choice?</t>
  </si>
  <si>
    <t>A) Shield and control B) Kick randomly C) Ignore D) Step aside</t>
  </si>
  <si>
    <t>A) Shield and control</t>
  </si>
  <si>
    <t>Ball is bouncing unpredictably. What is best?</t>
  </si>
  <si>
    <t>A) Adjust body and trap B) Kick randomly C) Step aside D) Ignore</t>
  </si>
  <si>
    <t>Opponent fakes a shot near goal. How to react?</t>
  </si>
  <si>
    <t>A) Stay alert and block B) Run forward C) Ignore D) Step aside</t>
  </si>
  <si>
    <t>A) Stay alert and block</t>
  </si>
  <si>
    <t>You’re taking a set-piece. What’s important?</t>
  </si>
  <si>
    <t>A) Accuracy and target B) Kick anywhere C) Ignore D) Random</t>
  </si>
  <si>
    <t>A) Accuracy and target</t>
  </si>
  <si>
    <t>Ball is near sideline with opponent approaching. What should you do?</t>
  </si>
  <si>
    <t>A) Control and pass B) Ignore C) Step aside D) Kick randomly</t>
  </si>
  <si>
    <t>A) Control and pass</t>
  </si>
  <si>
    <t>Teammate is advancing quickly. How do you support?</t>
  </si>
  <si>
    <t>A) Move to offer passing option B) Ignore C) Run away D) Step aside</t>
  </si>
  <si>
    <t>Opponent is tiring. What’s best strategy?</t>
  </si>
  <si>
    <t>A) Apply pressure B) Retreat C) Slow play D) Ignore</t>
  </si>
  <si>
    <t>A) Apply pressure</t>
  </si>
  <si>
    <t>You’re about to intercept. How should you move?</t>
  </si>
  <si>
    <t>A) Position body correctly B) Jump randomly C) Step aside D) Ignore</t>
  </si>
  <si>
    <t>A) Position body correctly</t>
  </si>
  <si>
    <t>You see your teammate is under pressure from two opponents. What should you do?</t>
  </si>
  <si>
    <t>A) Shield the ball B) Kick randomly C) Run away D) Step aside</t>
  </si>
  <si>
    <t>The ball is rolling toward the opponent’s goal. What’s the best option?</t>
  </si>
  <si>
    <t>A) Dribble forward B) Pass backward C) Ignore D) Kick anywhere</t>
  </si>
  <si>
    <t>A) Dribble forward</t>
  </si>
  <si>
    <t>Your teammate is signaling for a pass while you’re under pressure. What should you do?</t>
  </si>
  <si>
    <t>A) Pass quickly B) Hold the ball C) Run away D) Step aside</t>
  </si>
  <si>
    <t>You notice an open space on the wing. What’s the optimal move?</t>
  </si>
  <si>
    <t>A) Dribble into space B) Hold position C) Ignore D) Kick randomly</t>
  </si>
  <si>
    <t>A) Dribble into space</t>
  </si>
  <si>
    <t>Opponent is approaching from the side. How do you react?</t>
  </si>
  <si>
    <t>A) Block path B) Ignore C) Kick randomly D) Step aside</t>
  </si>
  <si>
    <t>You have a clear shot on goal. What’s the best choice?</t>
  </si>
  <si>
    <t>A) Shoot with accuracy B) Pass backward C) Step aside D) Kick anywhere</t>
  </si>
  <si>
    <t>A) Shoot with accuracy</t>
  </si>
  <si>
    <t>Ball is rolling toward a corner flag. What should you do?</t>
  </si>
  <si>
    <t>A) Control and pass B) Ignore C) Kick randomly D) Step aside</t>
  </si>
  <si>
    <t>Opponent fakes a dribble. How should you respond?</t>
  </si>
  <si>
    <t>A) Observe and intercept B) Jump forward C) Ignore D) Run away</t>
  </si>
  <si>
    <t>A) Observe and intercept</t>
  </si>
  <si>
    <t>Teammate is unmarked in front of the goal. What’s the best action?</t>
  </si>
  <si>
    <t>A) Pass immediately B) Hold ball C) Run away D) Ignore</t>
  </si>
  <si>
    <t>You’re defending a fast counterattack. What should you prioritize?</t>
  </si>
  <si>
    <t>A) Position and timing B) Kick randomly C) Step aside D) Ignore</t>
  </si>
  <si>
    <t>A) Position and timing</t>
  </si>
  <si>
    <t>Ball is bouncing near midfield. What’s proper handling?</t>
  </si>
  <si>
    <t>A) Trap and control B) Ignore C) Kick randomly D) Step aside</t>
  </si>
  <si>
    <t>Opponent is close and attempting a tackle. How should you respond?</t>
  </si>
  <si>
    <t>A) Shield and control B) Kick randomly C) Step aside D) Ignore</t>
  </si>
  <si>
    <t>Teammate is taking a free kick. Where should you position yourself?</t>
  </si>
  <si>
    <t>A) Ready for rebound or pass B) Run away C) Step aside D) Ignore</t>
  </si>
  <si>
    <t>A) Ready for rebound or pass</t>
  </si>
  <si>
    <t>Ball is in the air near your goal. How should you act?</t>
  </si>
  <si>
    <t>You notice your opponent is fatigued. How should your team adjust?</t>
  </si>
  <si>
    <t>A) Increase pressing B) Retreat C) Slow play D) Ignore</t>
  </si>
  <si>
    <t>A) Increase pressing</t>
  </si>
  <si>
    <t>Ball is approaching your teammate in the box. What’s correct?</t>
  </si>
  <si>
    <t>A) Support for pass or shot B) Run away C) Ignore D) Step aside</t>
  </si>
  <si>
    <t>A) Support for pass or shot</t>
  </si>
  <si>
    <t>Opponent is charging quickly. How should you defend?</t>
  </si>
  <si>
    <t>A) Position to block B) Kick randomly C) Step aside D) Ignore</t>
  </si>
  <si>
    <t>A) Position to block</t>
  </si>
  <si>
    <t>Teammate is dribbling toward goal with an opponent approaching. What’s the best support?</t>
  </si>
  <si>
    <t>A) Move to create passing option B) Ignore C) Run away D) Step aside</t>
  </si>
  <si>
    <t>A) Move to create passing option</t>
  </si>
  <si>
    <t>Ball is near sideline and you have control. What’s correct?</t>
  </si>
  <si>
    <t>A) Keep control and pass B) Ignore C) Kick randomly D) Step aside</t>
  </si>
  <si>
    <t>A) Keep control and pass</t>
  </si>
  <si>
    <t>Opponent fakes a shot near penalty area. What’s your reaction?</t>
  </si>
  <si>
    <t>A) Stay alert and block B) Jump forward C) Ignore D) Step aside</t>
  </si>
  <si>
    <t>You’re taking a corner kick. What’s your priority?</t>
  </si>
  <si>
    <t>A) Deliver accurately to teammates B) Kick anywhere C) Delay D) Ignore</t>
  </si>
  <si>
    <t>A) Deliver accurately to teammates</t>
  </si>
  <si>
    <t>Ball is rolling slowly toward midfield. How should you act?</t>
  </si>
  <si>
    <t>Opponent is approaching from behind. How do you maintain control?</t>
  </si>
  <si>
    <t>A) Shield and move forward B) Kick randomly C) Step aside D) Ignore</t>
  </si>
  <si>
    <t>A) Shield and move forward</t>
  </si>
  <si>
    <t>Teammate is in scoring position. What’s the proper response?</t>
  </si>
  <si>
    <t>Ball is bouncing unpredictably near goal. How should you handle it?</t>
  </si>
  <si>
    <t>Opponent is tiring. What tactic should you apply?</t>
  </si>
  <si>
    <t>A) Press more aggressively B) Retreat C) Slow play D) Ignore</t>
  </si>
  <si>
    <t>You’re defending a penalty situation. What’s first priority?</t>
  </si>
  <si>
    <t>A) Position body to block B) Kick randomly C) Step aside D) Ignore</t>
  </si>
  <si>
    <t>A) Position body to block</t>
  </si>
  <si>
    <t>Ball is rolling toward the corner flag. What should you do?</t>
  </si>
  <si>
    <t>A) Intercept and return to play B) Ignore C) Kick randomly D) Step aside</t>
  </si>
  <si>
    <t>A) Intercept and return to play</t>
  </si>
  <si>
    <t>Opponent is dribbling through your defense. How should you respond?</t>
  </si>
  <si>
    <t>Teammate signals for a pass while under pressure. What’s correct?</t>
  </si>
  <si>
    <t>A) Pass quickly B) Hold ball C) Run away D) Step aside</t>
  </si>
  <si>
    <t>Ball is approaching from midfield. What’s proper technique?</t>
  </si>
  <si>
    <t>Opponent fakes a dribble in front of goal. How should you act?</t>
  </si>
  <si>
    <t>A) Observe and intercept B) Jump forward C) Ignore D) Step aside</t>
  </si>
  <si>
    <t>You notice open space near the opponent’s goal. What’s optimal?</t>
  </si>
  <si>
    <t>A) Dribble or pass B) Hold ball C) Ignore D) Kick randomly</t>
  </si>
  <si>
    <t>A) Dribble or pass</t>
  </si>
  <si>
    <t>You’re defending a fast counter. How should you position?</t>
  </si>
  <si>
    <t>A) Track opponent and block B) Kick randomly C) Step aside D) Ignore</t>
  </si>
  <si>
    <t>A) Track opponent and block</t>
  </si>
  <si>
    <t>Teammate is unmarked near goal. What should you do?</t>
  </si>
  <si>
    <t>Ball is rolling toward penalty area. What’s the priority?</t>
  </si>
  <si>
    <t>Opponent is approaching quickly. How to maintain possession?</t>
  </si>
  <si>
    <t>Teammate is about to shoot. How should you support?</t>
  </si>
  <si>
    <t>A) Trap or control B) Ignore C) Kick randomly D) Step aside</t>
  </si>
  <si>
    <t>A) Trap or control</t>
  </si>
  <si>
    <t>Opponent fakes a shot near your goal. How do you react?</t>
  </si>
  <si>
    <t>You’re about to take a free kick. What’s essential?</t>
  </si>
  <si>
    <t>Ball is near sideline and opponent is close. How should you play?</t>
  </si>
  <si>
    <t>Teammate is advancing quickly. How do you assist?</t>
  </si>
  <si>
    <t>During the finals of the International Dragon Boat Championship, Team A and Team B are racing in a 500-meter race. The race is divided into 4 quarters, and each quarter is 125 meters long. Team A reaches the 125-meter mark in 30 seconds, Team B in 32 seconds. In the second quarter, Team A completes the 125 meters in 32 seconds, while Team B finishes in 33 seconds. In the third quarter, Team A completes the 125 meters in 33 seconds, while Team B finishes in 35 seconds. In the fourth quarter, Team A completes the 125 meters in 31 seconds, while Team B finishes in 34 seconds. Who won the race?</t>
  </si>
  <si>
    <t>A) Team A, B) Team B, C) The race is still ongoing, D) It's a tie</t>
  </si>
  <si>
    <t>A) Team A</t>
  </si>
  <si>
    <t>Team A finishes with a faster overall time of 128 seconds, while Team B takes 134 seconds. Team A won the race.</t>
  </si>
  <si>
    <t>In a Dragon Boat competition, each team is required to race in a 10-minute timed event. The race times are recorded based on the position the boat reaches every 2 minutes. Team A reaches 200 meters at the 2-minute mark, 400 meters at 4 minutes, 600 meters at 6 minutes, and 800 meters at 8 minutes. Team B reaches 180 meters at the 2-minute mark, 370 meters at 4 minutes, 580 meters at 6 minutes, and 800 meters at 8 minutes. Which team is likely to win?</t>
  </si>
  <si>
    <t>A) Team A, B) Team B, C) Both teams will finish at the same time, D) It is too early to determine</t>
  </si>
  <si>
    <t>Team A is consistently ahead of Team B in all checkpoints, which indicates they are racing at a faster pace.</t>
  </si>
  <si>
    <t>During the Dragon Boat Racing World Cup, Team A and Team B both qualify for the finals in a 1000-meter race. Team A maintains an average speed of 5 meters per second, while Team B maintains an average speed of 4.8 meters per second. How much time will it take each team to finish the race?</t>
  </si>
  <si>
    <t>A) Team A: 200 seconds, Team B: 208.33 seconds, B) Team A: 208.33 seconds, Team B: 200 seconds, C) Team A: 150 seconds, Team B: 160 seconds, D) Team A: 250 seconds, Team B: 240 seconds</t>
  </si>
  <si>
    <t>A) Team A: 200 seconds, Team B: 208.33 seconds</t>
  </si>
  <si>
    <t>Time is calculated by dividing the distance by speed. For Team A: 1000m / 5m/s = 200 seconds. For Team B: 1000m / 4.8m/s = 208.33 seconds.</t>
  </si>
  <si>
    <t>In a Dragon Boat race, Team A and Team B are competing in a 2000-meter race. Both teams start at the same time. Team A maintains a constant speed of 8 meters per second throughout the race, while Team B starts off strong with a speed of 8.5 meters per second for the first 1000 meters, then slows down to 7 meters per second for the last 1000 meters. How long will it take for each team to finish the race?</t>
  </si>
  <si>
    <t>A) Team A: 250 seconds, Team B: 235.29 seconds, B) Team A: 250 seconds, Team B: 271.43 seconds, C) Team A: 200 seconds, Team B: 225 seconds, D) Team A: 275 seconds, Team B: 300 seconds</t>
  </si>
  <si>
    <t>B) Team A: 250 seconds, Team B: 271.43 seconds</t>
  </si>
  <si>
    <t>For Team A: 2000m / 8m/s = 250 seconds. For Team B: (1000m / 8.5m/s) + (1000m / 7m/s) = 117.65 + 142.86 = 271.43 seconds.</t>
  </si>
  <si>
    <t>In a Dragon Boat competition, Team A finishes the race in 10 minutes and 30 seconds, while Team B finishes in 10 minutes and 45 seconds. What is the time difference between the two teams?</t>
  </si>
  <si>
    <t>A) 15 seconds, B) 10 seconds, C) 30 seconds, D) 5 seconds</t>
  </si>
  <si>
    <t>A) 15 seconds</t>
  </si>
  <si>
    <t>The time difference is simply 10 minutes 45 seconds minus 10 minutes 30 seconds, which equals 15 seconds.</t>
  </si>
  <si>
    <t>In a Dragon Boat competition, Team A and Team B are racing in a 500-meter race. Team A finishes the first 250 meters in 2 minutes and the second 250 meters in 2.5 minutes. Team B completes the first 250 meters in 2.2 minutes and the second 250 meters in 2.8 minutes. Who is likely to win?</t>
  </si>
  <si>
    <t>A) Team A, B) Team B, C) It's a tie, D) It is too early to determine</t>
  </si>
  <si>
    <t>Team A finishes the race in a total of 4.5 minutes, while Team B finishes in 5 minutes. Therefore, Team A is likely to win.</t>
  </si>
  <si>
    <t>During a Dragon Boat competition, Team A races in a 2000-meter race. They complete the first 1000 meters in 5 minutes and the second 1000 meters in 4 minutes. What is Team A's average speed for the entire race?</t>
  </si>
  <si>
    <t>A) 6 meters per second, B) 5.5 meters per second, C) 5 meters per second, D) 4.5 meters per second</t>
  </si>
  <si>
    <t>B) 5.5 meters per second</t>
  </si>
  <si>
    <t>The total distance is 2000 meters, and the total time is 9 minutes (540 seconds). The average speed is 2000m / 540s = 5.5 meters per second.</t>
  </si>
  <si>
    <t>In a Dragon Boat race, Team A and Team B are racing in a 1000-meter race. The boats start at the same time, and Team A finishes the first 500 meters in 3 minutes. Team B completes the first 500 meters in 3 minutes and 10 seconds. If both teams maintain a constant speed for the second 500 meters, who will finish the race first?</t>
  </si>
  <si>
    <t>A) Team A, B) Team B, C) It's a tie, D) It's too early to determine</t>
  </si>
  <si>
    <t>Team A is ahead by 10 seconds after the first 500 meters, and both teams will maintain a constant speed, so Team A is likely to finish first.</t>
  </si>
  <si>
    <t>In a Dragon Boat competition, Team A and Team B are racing in a 1500-meter race. Team A maintains a consistent speed of 7 meters per second, while Team B increases their speed from 6 meters per second to 7 meters per second halfway through the race. How much time will it take each team to finish the race?</t>
  </si>
  <si>
    <t>A) Team A: 214.29 seconds, Team B: 210 seconds, B) Team A: 214.29 seconds, Team B: 221.43 seconds, C) Team A: 215 seconds, Team B: 220 seconds, D) Team A: 210 seconds, Team B: 215 seconds</t>
  </si>
  <si>
    <t>B) Team A: 214.29 seconds, Team B: 221.43 seconds</t>
  </si>
  <si>
    <t>Team A's time is calculated by 1500m / 7m/s = 214.29 seconds. Team B's time is split into two segments: (750m / 6m/s) + (750m / 7m/s) = 125 + 107.14 = 221.43 seconds.</t>
  </si>
  <si>
    <t>In a Dragon Boat race, Team A and Team B are competing in a 1000-meter race. Team A finishes the first 500 meters in 2 minutes and the second 500 meters in 2.2 minutes. Team B completes the first 500 meters in 2.3 minutes and the second 500 meters in 2.1 minutes. Which team finishes first?</t>
  </si>
  <si>
    <t>Team A finishes in 4.2 minutes while Team B finishes in 4.4 minutes, so Team A wins.</t>
  </si>
  <si>
    <t>In a Dragon Boat race, Team A completes the 1000-meter course in 5 minutes. Team B completes the same race in 5 minutes and 15 seconds. What is the time difference between the two teams?</t>
  </si>
  <si>
    <t>A) 15 seconds, B) 30 seconds, C) 10 seconds, D) 5 seconds</t>
  </si>
  <si>
    <t>Team A finished 15 seconds faster than Team B.</t>
  </si>
  <si>
    <t>During a Dragon Boat race, Team A finishes the first 250 meters in 1 minute, the second 250 meters in 1.2 minutes, the third 250 meters in 1.1 minutes, and the last 250 meters in 1.3 minutes. What was Team A's average speed over the entire race?</t>
  </si>
  <si>
    <t>A) 7.14 meters per second, B) 8 meters per second, C) 6.67 meters per second, D) 7.5 meters per second</t>
  </si>
  <si>
    <t>A) 7.14 meters per second</t>
  </si>
  <si>
    <t>The total time taken by Team A is 4.6 minutes (276 seconds). The average speed is 1000m / 276s = 7.14 meters per second.</t>
  </si>
  <si>
    <t>In a Dragon Boat race, Team A completes the race in 12 minutes, while Team B finishes in 11 minutes and 50 seconds. Which statement is correct?</t>
  </si>
  <si>
    <t>A) Team A finished 10 seconds slower than Team B, B) Team B won by 10 seconds, C) Team A won by 10 seconds, D) It is a tie</t>
  </si>
  <si>
    <t>B) Team B won by 10 seconds</t>
  </si>
  <si>
    <t>Team B finished 10 seconds faster than Team A.</t>
  </si>
  <si>
    <t>In the World Dragon Boat Championships, the total race distance is 2000 meters. Team A maintains a constant speed of 10 meters per second throughout, while Team B maintains a speed of 9.5 meters per second for the first 1000 meters and increases speed to 10.5 meters per second for the last 1000 meters. Which team finishes first?</t>
  </si>
  <si>
    <t>Team A finishes the race in 200 seconds. Team B finishes in 210.53 seconds, so Team A wins.</t>
  </si>
  <si>
    <t>In a 1500-meter Dragon Boat race, Team A finishes the first 750 meters in 4.5 minutes, and Team B finishes the first 750 meters in 4.7 minutes. Assuming both teams maintain the same speed, who is more likely to win the race?</t>
  </si>
  <si>
    <t>Team A is ahead by 12 seconds and is likely to maintain that advantage.</t>
  </si>
  <si>
    <t>In a Dragon Boat race, Team A maintains a speed of 6 meters per second for the entire 1500-meter race, while Team B maintains a speed of 6.5 meters per second for the first 500 meters and 5.5 meters per second for the last 1000 meters. Who finishes first?</t>
  </si>
  <si>
    <t>Team A finishes the race in 250 seconds, while Team B takes 259.09 seconds, so Team A wins.</t>
  </si>
  <si>
    <t>During a Dragon Boat race, Team A and Team B both begin at the same time. Team A completes the first 500 meters in 2 minutes and 30 seconds, while Team B completes the same distance in 2 minutes and 45 seconds. Which team is currently leading?</t>
  </si>
  <si>
    <t>Team A is ahead by 15 seconds after the first 500 meters.</t>
  </si>
  <si>
    <t>In a Dragon Boat race, Team A finishes the 2000-meter course in 8 minutes, while Team B finishes in 8 minutes and 30 seconds. What is the average speed of each team?</t>
  </si>
  <si>
    <t>A) Team A: 4.17 meters per second, Team B: 3.92 meters per second, B) Team A: 4 meters per second, Team B: 3.5 meters per second, C) Team A: 4.5 meters per second, Team B: 3.8 meters per second, D) Team A: 4 meters per second, Team B: 4 meters per second</t>
  </si>
  <si>
    <t>A) Team A: 4.17 meters per second, Team B: 3.92 meters per second</t>
  </si>
  <si>
    <t>Team A's average speed is 2000 meters / 480 seconds = 4.17 m/s. Team B's average speed is 2000 meters / 510 seconds = 3.92 m/s.</t>
  </si>
  <si>
    <t>In a Dragon Boat race, Team A finishes the first 1000 meters in 5 minutes, while Team B finishes the same distance in 5 minutes and 10 seconds. If both teams continue at the same pace, who is likely to win the race?</t>
  </si>
  <si>
    <t>Team A is already ahead by 10 seconds and is likely to maintain that advantage.</t>
  </si>
  <si>
    <t>During a Dragon Boat race, Team A and Team B are competing in a 3000-meter race. Team A completes the first 1000 meters in 5 minutes, the second 1000 meters in 5.5 minutes, and the final 1000 meters in 6 minutes. What is Team A's average speed for the entire race?</t>
  </si>
  <si>
    <t>A) 5.28 meters per second, B) 5.5 meters per second, C) 5 meters per second, D) 6 meters per second</t>
  </si>
  <si>
    <t>A) 5.28 meters per second</t>
  </si>
  <si>
    <t>The total time taken by Team A is 16.5 minutes (990 seconds), and the average speed is 3000m / 990s = 5.28 meters per second.</t>
  </si>
  <si>
    <t>In a Dragon Boat race, Team A races against Team B in a 1500-meter race. Team A maintains a constant speed of 7 meters per second, while Team B starts at 6 meters per second for the first 500 meters and increases speed to 8 meters per second for the last 1000 meters. Which team is more likely to win?</t>
  </si>
  <si>
    <t>Team A finishes in 214.29 seconds, while Team B finishes in 218.75 seconds, so Team A wins.</t>
  </si>
  <si>
    <t>In a Dragon Boat race, Team A finishes the race in 13 minutes, and Team B finishes in 13 minutes and 20 seconds. Which team has a faster average speed?</t>
  </si>
  <si>
    <t>A) Team A, B) Team B, C) Both teams have the same average speed, D) It is impossible to determine</t>
  </si>
  <si>
    <t>Team A is faster by 20 seconds and thus has a higher average speed.</t>
  </si>
  <si>
    <t>During a Dragon Boat race, Team A completes the 1000-meter race in 4 minutes and 30 seconds. Team B completes the same race in 4 minutes and 45 seconds. What is the time difference between the two teams?</t>
  </si>
  <si>
    <t>In a Dragon Boat race, Team A races 1000 meters in 4 minutes, while Team B races the same distance in 4 minutes and 20 seconds. Which team wins the race?</t>
  </si>
  <si>
    <t>Team A finished the race 20 seconds faster than Team B.</t>
  </si>
  <si>
    <t>In a Dragon Boat competition, Team A finishes a 1500-meter race in 7 minutes and 30 seconds. Team B finishes the same race in 8 minutes. What is the time difference between the two teams?</t>
  </si>
  <si>
    <t>A) 30 seconds, B) 1 minute, C) 45 seconds, D) 20 seconds</t>
  </si>
  <si>
    <t>B) 1 minute</t>
  </si>
  <si>
    <t>Team A finishes 1 minute faster than Team B.</t>
  </si>
  <si>
    <t>In a Dragon Boat race, Team A finishes the 2000-meter race in 9 minutes and 30 seconds, while Team B finishes in 10 minutes. Which team has a faster average speed?</t>
  </si>
  <si>
    <t>Team A finished the race faster, meaning they had a higher average speed.</t>
  </si>
  <si>
    <t>In a Dragon Boat competition, both Team A and Team B are racing in a 500-meter race. Team A completes the race in 2 minutes, while Team B completes it in 2 minutes and 10 seconds. What is the time difference between the two teams?</t>
  </si>
  <si>
    <t>A) 10 seconds, B) 20 seconds, C) 5 seconds, D) 15 seconds</t>
  </si>
  <si>
    <t>A) 10 seconds</t>
  </si>
  <si>
    <t>Team A finished the race 10 seconds faster than Team B.</t>
  </si>
  <si>
    <t>Team A completes a Dragon Boat race of 2000 meters in 8 minutes and 10 seconds. Team B finishes the same race in 8 minutes and 30 seconds. What is the average speed of each team?</t>
  </si>
  <si>
    <t>A) Team A: 4.07 meters per second, Team B: 3.92 meters per second, B) Team A: 4.2 meters per second, Team B: 3.9 meters per second, C) Team A: 4.5 meters per second, Team B: 4 meters per second, D) Team A: 4.15 meters per second, Team B: 3.85 meters per second</t>
  </si>
  <si>
    <t>A) Team A: 4.07 meters per second, Team B: 3.92 meters per second</t>
  </si>
  <si>
    <t>Team A's average speed is 2000 meters / 490 seconds = 4.07 meters per second. Team B's average speed is 2000 meters / 510 seconds = 3.92 meters per second.</t>
  </si>
  <si>
    <t>In a Dragon Boat race, Team A and Team B both start at the same time. Team A races at a constant speed of 6 meters per second, while Team B starts at 5 meters per second for the first 500 meters and increases to 7 meters per second for the remaining 1500 meters. Which team is likely to win the race?</t>
  </si>
  <si>
    <t>Team A's constant speed results in a total time of 250 seconds, while Team B takes 260 seconds, so Team A wins.</t>
  </si>
  <si>
    <t>In a Dragon Boat competition, Team A completes the first 1000 meters in 4 minutes. Team B completes the same distance in 4 minutes and 10 seconds. If both teams continue at the same pace, which team is more likely to win?</t>
  </si>
  <si>
    <t>Team A is ahead by 10 seconds and is likely to maintain that advantage.</t>
  </si>
  <si>
    <t>During a Dragon Boat race, Team A races the first 500 meters in 2 minutes, then increases speed to 8 meters per second for the next 1000 meters. Team B maintains a constant speed of 7 meters per second throughout the race. Which team will finish first?</t>
  </si>
  <si>
    <t>Team A's faster second segment results in a total time of 172.14 seconds, while Team B takes 214.29 seconds. Team A wins.</t>
  </si>
  <si>
    <t>In a 3000-meter Dragon Boat race, Team A completes the first 1500 meters in 7 minutes and 30 seconds, while Team B finishes the same distance in 7 minutes. Which team is more likely to win the race?</t>
  </si>
  <si>
    <t>B) Team B</t>
  </si>
  <si>
    <t>Team B is ahead by 30 seconds after the first half of the race, making them more likely to win.</t>
  </si>
  <si>
    <t>In a Dragon Boat race, Team A finishes the 2000-meter race in 9 minutes and 40 seconds, while Team B finishes the race in 10 minutes. Which team had the higher average speed?</t>
  </si>
  <si>
    <t>Team A finished faster, meaning they had a higher average speed.</t>
  </si>
  <si>
    <t>During a Dragon Boat competition, Team A races the first 500 meters in 2 minutes and 30 seconds, and Team B finishes the same distance in 2 minutes and 40 seconds. Assuming both teams maintain the same pace, which team is currently leading?</t>
  </si>
  <si>
    <t>Team A is ahead by 10 seconds after the first 500 meters.</t>
  </si>
  <si>
    <t>In a Dragon Boat race, Team A completes the 1000-meter race in 5 minutes. Team B finishes the same race in 5 minutes and 20 seconds. How much faster is Team A?</t>
  </si>
  <si>
    <t>A) 20 seconds, B) 30 seconds, C) 10 seconds, D) 40 seconds</t>
  </si>
  <si>
    <t>A) 20 seconds</t>
  </si>
  <si>
    <t>Team A finished 20 seconds faster than Team B.</t>
  </si>
  <si>
    <t>During a Dragon Boat race, Team A completes the first 500 meters in 2 minutes. Team B completes the first 500 meters in 2 minutes and 30 seconds. After this segment, both teams race at the same pace. Which team will finish first?</t>
  </si>
  <si>
    <t>Team A is ahead by 30 seconds and will likely finish first.</t>
  </si>
  <si>
    <t>In a Dragon Boat race, Team A finishes the race in 10 minutes and 30 seconds, while Team B finishes in 10 minutes and 10 seconds. What is the time difference between the two teams?</t>
  </si>
  <si>
    <t>A) 20 seconds, B) 10 seconds, C) 15 seconds, D) 30 seconds</t>
  </si>
  <si>
    <t>Team A finished 20 seconds slower than Team B.</t>
  </si>
  <si>
    <t>In a Dragon Boat race, Team A finishes the 1500-meter race in 6 minutes and 20 seconds. Team B finishes the same race in 6 minutes. Which team has a faster average speed?</t>
  </si>
  <si>
    <t>Team B finished the race faster, meaning they had a higher average speed.</t>
  </si>
  <si>
    <t>In a Dragon Boat race, Team A completes the 1000-meter race in 4 minutes and 50 seconds. Team B completes the race in 5 minutes and 10 seconds. How much faster is Team A?</t>
  </si>
  <si>
    <t>A) 20 seconds, B) 30 seconds, C) 40 seconds, D) 10 seconds</t>
  </si>
  <si>
    <t>In a 2500-meter Dragon Boat race, Team A completes the first 1500 meters in 7 minutes. Team B finishes the same 1500 meters in 7 minutes and 10 seconds. Who is currently leading?</t>
  </si>
  <si>
    <t>Team A is ahead by 10 seconds after the first 1500 meters.</t>
  </si>
  <si>
    <t>During a Dragon Boat race, Team A maintains a steady speed of 6.5 meters per second throughout a 1000-meter race, while Team B maintains a steady speed of 6 meters per second. Which team finishes first?</t>
  </si>
  <si>
    <t>Team A completes the 1000-meter race in 153.85 seconds, while Team B takes 166.67 seconds. Team A wins.</t>
  </si>
  <si>
    <t>In a 1500-meter Dragon Boat race, Team A finishes the first 1000 meters in 5 minutes, while Team B finishes the same distance in 5 minutes and 20 seconds. What is the time difference between the two teams?</t>
  </si>
  <si>
    <t>A) 20 seconds, B) 10 seconds, C) 30 seconds, D) 40 seconds</t>
  </si>
  <si>
    <t>During a Dragon Boat race, Team A and Team B are competing in a 2000-meter race. Team A completes the first 1000 meters in 5 minutes, while Team B finishes the first 1000 meters in 5 minutes and 30 seconds. Which team is currently leading?</t>
  </si>
  <si>
    <t>Team A is ahead by 30 seconds after the first 1000 meters.</t>
  </si>
  <si>
    <t>Team A and Team B are competing in a 2500-meter Dragon Boat race. Team A finishes the first 1000 meters in 4 minutes and 40 seconds, while Team B finishes the same distance in 5 minutes. Which team is more likely to win?</t>
  </si>
  <si>
    <t>Team A is ahead by 20 seconds and is likely to maintain that advantage.</t>
  </si>
  <si>
    <t>In a Dragon Boat race, Team A races the first 1000 meters in 4 minutes. Team B finishes the same distance in 4 minutes and 10 seconds. If both teams maintain the same pace, which team will finish the race first?</t>
  </si>
  <si>
    <t>Team A is 10 seconds ahead and is likely to finish the race first.</t>
  </si>
  <si>
    <t>In a Dragon Boat competition, Team A completes the 1500-meter race in 7 minutes, while Team B finishes it in 7 minutes and 30 seconds. Which team has a higher average speed?</t>
  </si>
  <si>
    <t>In a Dragon Boat race, Team A and Team B both race 1500 meters. Team A finishes the first 500 meters in 2 minutes and 30 seconds, while Team B completes the same distance in 2 minutes and 45 seconds. Which team is ahead at this point?</t>
  </si>
  <si>
    <t>Team A is 15 seconds ahead after the first 500 meters.</t>
  </si>
  <si>
    <t>During a 2000-meter Dragon Boat race, Team A completes the first 1000 meters in 5 minutes. Team B finishes the first 1000 meters in 5 minutes and 10 seconds. Which team has a faster average speed?</t>
  </si>
  <si>
    <t>Team A finishes the first 1000 meters 10 seconds faster, meaning they have a faster average speed.</t>
  </si>
  <si>
    <t>Team A races the first 1000 meters in 4 minutes, while Team B completes the same distance in 4 minutes and 30 seconds. If both teams continue at the same pace for the remaining 1000 meters, which team will win?</t>
  </si>
  <si>
    <t>Team A has a 30-second advantage and is likely to finish ahead.</t>
  </si>
  <si>
    <t>In a Dragon Boat race, Team A completes 1000 meters in 4 minutes and 20 seconds, while Team B finishes the same distance in 4 minutes. Which team has a higher average speed?</t>
  </si>
  <si>
    <t>Team B completes the distance in less time, thus having a higher average speed.</t>
  </si>
  <si>
    <t>During a Dragon Boat competition, Team A and Team B race the first 1500 meters. Team A completes the first 1000 meters in 4 minutes and 30 seconds, while Team B finishes the same distance in 5 minutes. After 1500 meters, both teams continue at the same pace. Which team will finish first?</t>
  </si>
  <si>
    <t>Team A is already ahead by 30 seconds after the first 1000 meters and maintains the advantage.</t>
  </si>
  <si>
    <t>In a Dragon Boat race, Team A races 1000 meters in 4 minutes, then speeds up to 8 meters per second for the next 1000 meters. Team B races the full 2000 meters at a constant speed of 7 meters per second. Which team finishes first?</t>
  </si>
  <si>
    <t>Team A completes the race in 245 seconds, while Team B takes 285.71 seconds, making Team A the winner.</t>
  </si>
  <si>
    <t>Team A and Team B both race a 2000-meter Dragon Boat race. Team A completes the first 1000 meters in 5 minutes, and Team B completes it in 5 minutes and 10 seconds. Which team is more likely to win the race?</t>
  </si>
  <si>
    <t>Team A is ahead by 10 seconds after the first 1000 meters and is likely to maintain that advantage.</t>
  </si>
  <si>
    <t>In a Dragon Boat race, Team A completes the 1500-meter race in 6 minutes, while Team B completes it in 6 minutes and 30 seconds. Which team has a higher average speed?</t>
  </si>
  <si>
    <t>Team A finishes the race in less time, which means they have a higher average speed.</t>
  </si>
  <si>
    <t>Team A finishes a Dragon Boat race in 9 minutes and 30 seconds, while Team B finishes in 10 minutes. What is the time difference between the two teams?</t>
  </si>
  <si>
    <t>A) 30 seconds</t>
  </si>
  <si>
    <t>Team A finished 30 seconds faster than Team B.</t>
  </si>
  <si>
    <t>During a Dragon Boat race, Team A and Team B race 2000 meters. Team A completes the first 1000 meters in 4 minutes and 30 seconds. Team B completes the first 1000 meters in 5 minutes. Which team is ahead?</t>
  </si>
  <si>
    <t>In a Dragon Boat race, Team A completes the 1000-meter race in 4 minutes and 10 seconds, while Team B completes it in 4 minutes and 20 seconds. How much faster is Team A?</t>
  </si>
  <si>
    <t>A) 10 seconds, B) 20 seconds, C) 5 seconds, D) 30 seconds</t>
  </si>
  <si>
    <t>During a Dragon Boat race, Team A completes the first 500 meters in 2 minutes and 20 seconds, while Team B finishes the same distance in 2 minutes and 10 seconds. Which team is ahead?</t>
  </si>
  <si>
    <t>Team B is ahead by 10 seconds after the first 500 meters.</t>
  </si>
  <si>
    <t>In a Dragon Boat race, Team A completes the 2000-meter race in 8 minutes, while Team B finishes in 8 minutes and 30 seconds. Which team is more likely to win if both teams maintain their current speeds?</t>
  </si>
  <si>
    <t>Team A finished faster and is likely to maintain that advantage.</t>
  </si>
  <si>
    <t>During a Dragon Boat race, Team A and Team B are racing 1500 meters. Team A finishes the first 1000 meters in 5 minutes, while Team B finishes it in 5 minutes and 20 seconds. If both teams continue at the same pace, which team is more likely to win?</t>
  </si>
  <si>
    <t>Team A is 20 seconds ahead and will likely maintain the advantage.</t>
  </si>
  <si>
    <t>Your team is behind by a few seconds. What should be the priority?</t>
  </si>
  <si>
    <t>A) Increase stroke rate B) Slow down C) Maintain current pace D) Stop paddling</t>
  </si>
  <si>
    <t>A) Increase stroke rate</t>
  </si>
  <si>
    <t>A teammate is struggling to keep rhythm. What’s the best response?</t>
  </si>
  <si>
    <t>A) Encourage and match rhythm B) Ignore C) Paddle faster alone D) Switch seats</t>
  </si>
  <si>
    <t>A) Encourage and match rhythm</t>
  </si>
  <si>
    <t>You notice the boat drifting off course. How should you react?</t>
  </si>
  <si>
    <t>A) Adjust paddling angle B) Continue as usual C) Stop paddling D) Paddle randomly</t>
  </si>
  <si>
    <t>A) Adjust paddling angle</t>
  </si>
  <si>
    <t>The drummer signals a faster pace. What is your immediate action?</t>
  </si>
  <si>
    <t>A) Follow the drum’s tempo B) Maintain pace C) Ignore drum D) Reduce strokes</t>
  </si>
  <si>
    <t>A) Follow the drum’s tempo</t>
  </si>
  <si>
    <t>Your opponent is gaining on your team. How do you respond?</t>
  </si>
  <si>
    <t>A) Increase coordination and stroke power B) Slow down C) Maintain pace D) Paddle randomly</t>
  </si>
  <si>
    <t>A) Increase coordination and stroke power</t>
  </si>
  <si>
    <t>You feel fatigue setting in halfway through the race. What’s the best approach?</t>
  </si>
  <si>
    <t>A) Focus on technique and rhythm B) Stop paddling C) Paddle randomly D) Reduce stroke rate</t>
  </si>
  <si>
    <t>A) Focus on technique and rhythm</t>
  </si>
  <si>
    <t>A teammate is paddling too fast and breaking rhythm. What should you do?</t>
  </si>
  <si>
    <t>A) Synchronize with team B) Ignore C) Paddle faster D) Switch positions</t>
  </si>
  <si>
    <t>A) Synchronize with team</t>
  </si>
  <si>
    <t>The water is choppy. How should your team adapt?</t>
  </si>
  <si>
    <t>A) Maintain stable and powerful strokes B) Paddle lightly C) Ignore waves D) Stop paddling</t>
  </si>
  <si>
    <t>A) Maintain stable and powerful strokes</t>
  </si>
  <si>
    <t>You’re leading the race but see an opening in the opponent’s path. What’s the tactical move?</t>
  </si>
  <si>
    <t>A) Increase stroke rate to maintain lead B) Slow down C) Paddle randomly D) Ignore</t>
  </si>
  <si>
    <t>A) Increase stroke rate to maintain lead</t>
  </si>
  <si>
    <t>A teammate is about to lose balance. What should the team do?</t>
  </si>
  <si>
    <t>A) Maintain steady strokes and stabilize B) Stop paddling C) Increase speed D) Ignore</t>
  </si>
  <si>
    <t>A) Maintain steady strokes and stabilize</t>
  </si>
  <si>
    <t>The race is near the final 200 meters. What’s your focus?</t>
  </si>
  <si>
    <t>A) Sprint with coordinated strokes B) Slow down C) Paddle lightly D) Maintain same pace</t>
  </si>
  <si>
    <t>A) Sprint with coordinated strokes</t>
  </si>
  <si>
    <t>Opponents are gaining speed in the last stretch. How do you respond?</t>
  </si>
  <si>
    <t>A) Match their pace and coordinate B) Stop paddling C) Paddle randomly D) Ignore</t>
  </si>
  <si>
    <t>A) Match their pace and coordinate</t>
  </si>
  <si>
    <t>You notice your paddles hitting water at inconsistent angles. What’s the corrective action?</t>
  </si>
  <si>
    <t>A) Adjust paddle angle to match rhythm B) Continue as is C) Increase speed D) Stop paddling</t>
  </si>
  <si>
    <t>A) Adjust paddle angle to match rhythm</t>
  </si>
  <si>
    <t>The team starts losing coordination mid-race. What’s the best response?</t>
  </si>
  <si>
    <t>A) Focus on synchronizing strokes B) Paddle individually C) Ignore D) Slow down</t>
  </si>
  <si>
    <t>A) Focus on synchronizing strokes</t>
  </si>
  <si>
    <t>Your coxswain calls for a tactical maneuver. How should the team respond?</t>
  </si>
  <si>
    <t>A) Follow instructions precisely B) Ignore call C) Paddle randomly D) Maintain pace</t>
  </si>
  <si>
    <t>A) Follow instructions precisely</t>
  </si>
  <si>
    <t>Water current is stronger than expected. What’s the strategy?</t>
  </si>
  <si>
    <t>A) Apply stronger and synchronized strokes B) Paddle lightly C) Ignore D) Reduce effort</t>
  </si>
  <si>
    <t>A) Apply stronger and synchronized strokes</t>
  </si>
  <si>
    <t>A teammate misses a stroke. How should the team react?</t>
  </si>
  <si>
    <t>A) Compensate by maintaining rhythm B) Stop paddling C) Paddle faster D) Ignore</t>
  </si>
  <si>
    <t>A) Compensate by maintaining rhythm</t>
  </si>
  <si>
    <t>Your team is neck and neck with opponents. What’s the focus?</t>
  </si>
  <si>
    <t>A) Stay synchronized and powerful B) Slow down C) Paddle individually D) Ignore</t>
  </si>
  <si>
    <t>A) Stay synchronized and powerful</t>
  </si>
  <si>
    <t>The drummer signals a sudden sprint. What’s the correct action?</t>
  </si>
  <si>
    <t>A) Sprint with full coordination B) Ignore C) Paddle slowly D) Stop</t>
  </si>
  <si>
    <t>A) Sprint with full coordination</t>
  </si>
  <si>
    <t>You notice water splashing unevenly from your side. How do you respond?</t>
  </si>
  <si>
    <t>A) Adjust stroke technique B) Ignore C) Paddle randomly D) Reduce speed</t>
  </si>
  <si>
    <t>A) Adjust stroke technique</t>
  </si>
  <si>
    <t>The boat begins to veer left. What’s the immediate correction?</t>
  </si>
  <si>
    <t>A) Apply more power on right-side paddles B) Ignore C) Paddle randomly D) Stop</t>
  </si>
  <si>
    <t>A) Apply more power on right-side paddles</t>
  </si>
  <si>
    <t>Your teammate is visibly exhausted. What’s the optimal response?</t>
  </si>
  <si>
    <t>A) Encourage and maintain rhythm B) Paddle faster C) Ignore D) Stop</t>
  </si>
  <si>
    <t>A) Encourage and maintain rhythm</t>
  </si>
  <si>
    <t>A competitor cuts inside aggressively. How should your team react?</t>
  </si>
  <si>
    <t>A) Maintain line and increase strokes B) Stop C) Paddle randomly D) Ignore</t>
  </si>
  <si>
    <t>A) Maintain line and increase strokes</t>
  </si>
  <si>
    <t>You notice misalignment in paddle timing. What’s the solution?</t>
  </si>
  <si>
    <t>A) Regain synchronization B) Ignore C) Paddle faster D) Stop</t>
  </si>
  <si>
    <t>A) Regain synchronization</t>
  </si>
  <si>
    <t>Water conditions worsen with wind. How should the team adapt?</t>
  </si>
  <si>
    <t>A) Increase coordination and stabilize B) Paddle lightly C) Ignore D) Stop</t>
  </si>
  <si>
    <t>A) Increase coordination and stabilize</t>
  </si>
  <si>
    <t>Team morale drops mid-race. How can you boost performance?</t>
  </si>
  <si>
    <t>A) Encourage and focus on rhythm B) Paddle randomly C) Ignore D) Slow down</t>
  </si>
  <si>
    <t>A) Encourage and focus on rhythm</t>
  </si>
  <si>
    <t>You’re approaching the finish line closely behind opponents. What’s the strategy?</t>
  </si>
  <si>
    <t>A) Sprint in full coordination B) Maintain same pace C) Paddle lightly D) Stop</t>
  </si>
  <si>
    <t>A) Sprint in full coordination</t>
  </si>
  <si>
    <t>Opponents are blocking your path. How should your team act?</t>
  </si>
  <si>
    <t>A) Adjust course and maintain strokes B) Paddle randomly C) Slow down D) Stop</t>
  </si>
  <si>
    <t>A) Adjust course and maintain strokes</t>
  </si>
  <si>
    <t>Drummer calls for increased cadence. What’s your response?</t>
  </si>
  <si>
    <t>A) Match increased pace B) Ignore C) Reduce strokes D) Stop</t>
  </si>
  <si>
    <t>A) Match increased pace</t>
  </si>
  <si>
    <t>Halfway through, some paddlers lose rhythm. What’s best?</t>
  </si>
  <si>
    <t>A) Synchronize with main rhythm B) Paddle faster individually C) Ignore D) Stop</t>
  </si>
  <si>
    <t>A) Synchronize with main rhythm</t>
  </si>
  <si>
    <t>The boat tilts slightly due to imbalance. What should be done?</t>
  </si>
  <si>
    <t>A) Stabilize with even strokes B) Paddle randomly C) Ignore D) Stop</t>
  </si>
  <si>
    <t>A) Stabilize with even strokes</t>
  </si>
  <si>
    <t>You notice stronger waves on left side. How do you adjust?</t>
  </si>
  <si>
    <t>A) Apply more power on left-side paddles B) Ignore C) Paddle randomly D) Stop</t>
  </si>
  <si>
    <t>A) Apply more power on left-side paddles</t>
  </si>
  <si>
    <t>Opponents sprint ahead. How should your team respond?</t>
  </si>
  <si>
    <t>A) Increase stroke rate and coordination B) Slow down C) Paddle randomly D) Ignore</t>
  </si>
  <si>
    <t>A) Increase stroke rate and coordination</t>
  </si>
  <si>
    <t>Mid-race, your team loses sight of the course. What’s correct?</t>
  </si>
  <si>
    <t>A) Follow coxswain directions precisely B) Paddle randomly C) Stop D) Ignore</t>
  </si>
  <si>
    <t>A) Follow coxswain directions precisely</t>
  </si>
  <si>
    <t>The drummer signals a sudden slowdown. How should the team react?</t>
  </si>
  <si>
    <t>A) Reduce strokes while staying synchronized B) Ignore C) Paddle faster D) Stop</t>
  </si>
  <si>
    <t>A) Reduce strokes while staying synchronized</t>
  </si>
  <si>
    <t>A teammate is about to overexert. What’s the proper response?</t>
  </si>
  <si>
    <t>A) Encourage pacing and rhythm B) Paddle faster C) Ignore D) Stop</t>
  </si>
  <si>
    <t>A) Encourage pacing and rhythm</t>
  </si>
  <si>
    <t>Water splashes unevenly, causing resistance. How do you adapt?</t>
  </si>
  <si>
    <t>A) Adjust stroke technique and timing B) Paddle randomly C) Ignore D) Stop</t>
  </si>
  <si>
    <t>A) Adjust stroke technique and timing</t>
  </si>
  <si>
    <t>Opponents are in a narrow lead. What’s the strategy?</t>
  </si>
  <si>
    <t>A) Increase coordinated sprint B) Paddle randomly C) Slow down D) Ignore</t>
  </si>
  <si>
    <t>A) Increase coordinated sprint</t>
  </si>
  <si>
    <t>Your team is lagging at the start. How to improve position?</t>
  </si>
  <si>
    <t>A) Increase stroke intensity with synchronization B) Paddle randomly C) Stop D) Ignore</t>
  </si>
  <si>
    <t>A) Increase stroke intensity with synchronization</t>
  </si>
  <si>
    <t>Halfway through, wind resistance increases. How do you adapt?</t>
  </si>
  <si>
    <t>A) Apply stronger synchronized strokes B) Paddle lightly C) Stop D) Ignore</t>
  </si>
  <si>
    <t>A) Apply stronger synchronized strokes</t>
  </si>
  <si>
    <t>Teammate loses balance. What’s the team’s action?</t>
  </si>
  <si>
    <t>A) Maintain steady strokes B) Paddle faster C) Ignore D) Stop</t>
  </si>
  <si>
    <t>A) Maintain steady strokes</t>
  </si>
  <si>
    <t>Opponent blocks inner lane. How should you react?</t>
  </si>
  <si>
    <t>A) Adjust line and paddle efficiently B) Paddle randomly C) Slow down D) Ignore</t>
  </si>
  <si>
    <t>A) Adjust line and paddle efficiently</t>
  </si>
  <si>
    <t>Your team is neck and neck near finish. What’s the strategy?</t>
  </si>
  <si>
    <t>A) Sprint in perfect synchronization B) Paddle randomly C) Stop D) Ignore</t>
  </si>
  <si>
    <t>A) Sprint in perfect synchronization</t>
  </si>
  <si>
    <t>The boat is swaying due to waves. How do you maintain speed?</t>
  </si>
  <si>
    <t>A) Balance strokes and increase power B) Paddle lightly C) Stop D) Ignore</t>
  </si>
  <si>
    <t>A) Balance strokes and increase power</t>
  </si>
  <si>
    <t>A teammate is paddling too aggressively. What should you do?</t>
  </si>
  <si>
    <t>A) Regain synchronized rhythm B) Paddle faster C) Ignore D) Stop</t>
  </si>
  <si>
    <t>A) Regain synchronized rhythm</t>
  </si>
  <si>
    <t>Mid-race, visibility decreases due to spray. How should the team respond?</t>
  </si>
  <si>
    <t>A) Follow coxswain commands B) Paddle randomly C) Stop D) Ignore</t>
  </si>
  <si>
    <t>A) Follow coxswain commands</t>
  </si>
  <si>
    <t>Opponents start a sudden sprint. How do you respond?</t>
  </si>
  <si>
    <t>A) Increase coordination and power B) Paddle randomly C) Stop D) Ignore</t>
  </si>
  <si>
    <t>A) Increase coordination and power</t>
  </si>
  <si>
    <t>Team loses cadence slightly. What’s the corrective action?</t>
  </si>
  <si>
    <t>A) Regain rhythm in unison B) Paddle faster individually C) Ignore D) Stop</t>
  </si>
  <si>
    <t>A) Regain rhythm in unison</t>
  </si>
  <si>
    <t>You see an opening in outer lane. What’s the tactical move?</t>
  </si>
  <si>
    <t>A) Steer and paddle in synchronization B) Paddle randomly C) Stop D) Ignore</t>
  </si>
  <si>
    <t>A) Steer and paddle in synchronization</t>
  </si>
  <si>
    <t>Water resistance increases. How should the team maintain speed?</t>
  </si>
  <si>
    <t>A) Apply more synchronized power B) Paddle lightly C) Stop D) Ignore</t>
  </si>
  <si>
    <t>A) Apply more synchronized power</t>
  </si>
  <si>
    <t>Coxswain signals final sprint. How should the team react?</t>
  </si>
  <si>
    <t>A) Sprint with perfect rhythm B) Paddle randomly C) Slow down D) Ignore</t>
  </si>
  <si>
    <t>A) Sprint with perfect rhythm</t>
  </si>
  <si>
    <t>Opponents block lane, you notice inner opening. What’s the action?</t>
  </si>
  <si>
    <t>A) Switch lane with synchronization B) Paddle randomly C) Stop D) Ignore</t>
  </si>
  <si>
    <t>A) Switch lane with synchronization</t>
  </si>
  <si>
    <t>Mid-race, morale drops. How to boost performance?</t>
  </si>
  <si>
    <t>A) Encourage team and maintain rhythm B) Paddle faster individually C) Ignore D) Stop</t>
  </si>
  <si>
    <t>A) Encourage team and maintain rhythm</t>
  </si>
  <si>
    <t>Last 100 meters, opponents are close. What’s your strategy?</t>
  </si>
  <si>
    <t>A) Max coordinated sprint B) Paddle randomly C) Stop D) Ignore</t>
  </si>
  <si>
    <t>A) Max coordinated sprint</t>
  </si>
  <si>
    <t>Halfway through the race, one side of the boat is hitting more waves. What’s your response?</t>
  </si>
  <si>
    <t>A) Increase stroke power on that side B) Paddle randomly C) Stop D) Ignore</t>
  </si>
  <si>
    <t>A) Increase stroke power on that side</t>
  </si>
  <si>
    <t>You notice your team losing stroke synchronization. What should you do?</t>
  </si>
  <si>
    <t>A) Focus on matching the drum tempo B) Paddle faster individually C) Ignore D) Stop</t>
  </si>
  <si>
    <t>A) Focus on matching the drum tempo</t>
  </si>
  <si>
    <t>Opponents are sprinting ahead unexpectedly. How should your team react?</t>
  </si>
  <si>
    <t>A) Increase stroke rate while staying synchronized B) Paddle randomly C) Slow down D) Ignore</t>
  </si>
  <si>
    <t>A) Increase stroke rate while staying synchronized</t>
  </si>
  <si>
    <t>The water is choppy and uneven. How do you maintain speed?</t>
  </si>
  <si>
    <t>A) Adjust stroke technique and timing B) Paddle randomly C) Stop D) Ignore</t>
  </si>
  <si>
    <t>You are behind at the start. What’s your best approach?</t>
  </si>
  <si>
    <t>A) Build speed gradually with synchronized strokes B) Paddle randomly C) Stop D) Ignore</t>
  </si>
  <si>
    <t>A) Build speed gradually with synchronized strokes</t>
  </si>
  <si>
    <t>The drummer signals a sudden sprint mid-race. How should the team respond?</t>
  </si>
  <si>
    <t>A) Sprint in unison B) Ignore C) Paddle lightly D) Stop</t>
  </si>
  <si>
    <t>A) Sprint in unison</t>
  </si>
  <si>
    <t>A teammate loses balance. How should the team adjust?</t>
  </si>
  <si>
    <t>Opponent blocks your inner lane. What’s the correct tactic?</t>
  </si>
  <si>
    <t>A) Shift lanes with coordinated paddling B) Paddle randomly C) Stop D) Ignore</t>
  </si>
  <si>
    <t>A) Shift lanes with coordinated paddling</t>
  </si>
  <si>
    <t>Visibility decreases due to spray. What’s the team’s action?</t>
  </si>
  <si>
    <t>A) Follow coxswain instructions B) Paddle randomly C) Stop D) Ignore</t>
  </si>
  <si>
    <t>A) Follow coxswain instructions</t>
  </si>
  <si>
    <t>Water current is stronger than expected. How should your team respond?</t>
  </si>
  <si>
    <t>A) Apply stronger, synchronized strokes B) Paddle lightly C) Ignore D) Stop</t>
  </si>
  <si>
    <t>A) Apply stronger, synchronized strokes</t>
  </si>
  <si>
    <t>Mid-race, one side of the team is fatigued. How to maintain rhythm?</t>
  </si>
  <si>
    <t>A) Adjust power distribution B) Paddle randomly C) Stop D) Ignore</t>
  </si>
  <si>
    <t>A) Adjust power distribution</t>
  </si>
  <si>
    <t>The boat starts veering left. How do you correct it?</t>
  </si>
  <si>
    <t>A) Increase right-side paddle power B) Paddle randomly C) Stop D) Ignore</t>
  </si>
  <si>
    <t>A) Increase right-side paddle power</t>
  </si>
  <si>
    <t>Team morale drops mid-race. What’s the best solution?</t>
  </si>
  <si>
    <t>A) Encourage teammates and focus on rhythm B) Paddle faster individually C) Ignore D) Stop</t>
  </si>
  <si>
    <t>A) Encourage teammates and focus on rhythm</t>
  </si>
  <si>
    <t>Your team is close to the finish line but trailing slightly. What’s the tactic?</t>
  </si>
  <si>
    <t>A) Sprint with full coordination B) Paddle randomly C) Stop D) Ignore</t>
  </si>
  <si>
    <t>A teammate is paddling out of rhythm. How do you respond?</t>
  </si>
  <si>
    <t>A) Synchronize with the majority B) Paddle faster individually C) Ignore D) Stop</t>
  </si>
  <si>
    <t>A) Synchronize with the majority</t>
  </si>
  <si>
    <t>Opponents are blocking your path. What’s your team’s reaction?</t>
  </si>
  <si>
    <t>A) Adjust course and maintain strokes B) Paddle randomly C) Slow down D) Ignore</t>
  </si>
  <si>
    <t>Mid-race, the boat starts tilting slightly. What should be done?</t>
  </si>
  <si>
    <t>A) Stabilize with even strokes B) Paddle faster C) Ignore D) Stop</t>
  </si>
  <si>
    <t>Water resistance increases. How do you maintain optimal speed?</t>
  </si>
  <si>
    <t>A) Increase stroke power with synchronization B) Paddle lightly C) Ignore D) Stop</t>
  </si>
  <si>
    <t>A) Increase stroke power with synchronization</t>
  </si>
  <si>
    <t>A teammate signals for a shift in pacing. What’s the correct response?</t>
  </si>
  <si>
    <t>A) Follow pacing instructions B) Paddle randomly C) Stop D) Ignore</t>
  </si>
  <si>
    <t>A) Follow pacing instructions</t>
  </si>
  <si>
    <t>Last 200 meters, competitors are close behind. What’s the strategy?</t>
  </si>
  <si>
    <t>A) Increase stroke rate in full coordination B) Paddle randomly C) Slow down D) Ignore</t>
  </si>
  <si>
    <t>A) Increase stroke rate in full coordination</t>
  </si>
  <si>
    <t>Mid-race, wind picks up. How should your team adjust?</t>
  </si>
  <si>
    <t>A) Use stronger, coordinated strokes B) Paddle lightly C) Ignore D) Stop</t>
  </si>
  <si>
    <t>A) Use stronger, coordinated strokes</t>
  </si>
  <si>
    <t>Opponent blocks inner lane near finish. How to respond?</t>
  </si>
  <si>
    <t>A) Shift lane with synchronized paddling B) Paddle randomly C) Stop D) Ignore</t>
  </si>
  <si>
    <t>A) Shift lane with synchronized paddling</t>
  </si>
  <si>
    <t>One side of the boat is dragging more water. What’s the solution?</t>
  </si>
  <si>
    <t>A) Adjust stroke power and timing B) Paddle randomly C) Stop D) Ignore</t>
  </si>
  <si>
    <t>A) Adjust stroke power and timing</t>
  </si>
  <si>
    <t>You notice misalignment in paddle strokes. What should the team do?</t>
  </si>
  <si>
    <t>A) Regain synchronization B) Paddle faster individually C) Ignore D) Stop</t>
  </si>
  <si>
    <t>The coxswain signals a sudden sprint near finish. How to respond?</t>
  </si>
  <si>
    <t>A) Sprint with perfect coordination B) Paddle randomly C) Slow down D) Ignore</t>
  </si>
  <si>
    <t>A) Sprint with perfect coordination</t>
  </si>
  <si>
    <t>Team starts losing cadence mid-race. What’s the corrective measure?</t>
  </si>
  <si>
    <t>A) Re-align strokes to main rhythm B) Paddle faster individually C) Ignore D) Stop</t>
  </si>
  <si>
    <t>A) Re-align strokes to main rhythm</t>
  </si>
  <si>
    <t>Water splashes unevenly causing resistance. How should you adapt?</t>
  </si>
  <si>
    <t>A) Adjust technique and paddle timing B) Paddle randomly C) Ignore D) Stop</t>
  </si>
  <si>
    <t>A) Adjust technique and paddle timing</t>
  </si>
  <si>
    <t>Mid-race, a teammate is struggling to maintain pace. What’s the response?</t>
  </si>
  <si>
    <t>A) Encourage and adjust rhythm B) Paddle faster individually C) Ignore D) Stop</t>
  </si>
  <si>
    <t>A) Encourage and adjust rhythm</t>
  </si>
  <si>
    <t>Opponents start a sudden sprint. What’s the correct strategy?</t>
  </si>
  <si>
    <t>A) Match pace in full synchronization B) Paddle randomly C) Stop D) Ignore</t>
  </si>
  <si>
    <t>A) Match pace in full synchronization</t>
  </si>
  <si>
    <t>The team is neck-and-neck with opponents. How to gain advantage?</t>
  </si>
  <si>
    <t>A) Coordinate sprint B) Paddle randomly C) Slow down D) Ignore</t>
  </si>
  <si>
    <t>A) Coordinate sprint</t>
  </si>
  <si>
    <t>Boat begins to tilt due to waves. How should you maintain stability?</t>
  </si>
  <si>
    <t>A) Balance strokes and adjust power B) Paddle lightly C) Ignore D) Stop</t>
  </si>
  <si>
    <t>A) Balance strokes and adjust power</t>
  </si>
  <si>
    <t>Last stretch, opponents are extremely close. What’s the team tactic?</t>
  </si>
  <si>
    <t>A) Maximum sprint with perfect rhythm B) Paddle randomly C) Slow down D) Ignore</t>
  </si>
  <si>
    <t>A) Maximum sprint with perfect rhythm</t>
  </si>
  <si>
    <t>In a professional Jianzi competition, Player A and Player B are competing in a best-of-five match. If Player A wins three rounds while Player B wins two, what is the final score of the match?</t>
  </si>
  <si>
    <t>A) Player A wins 3-2, B) Player B wins 3-2, C) The match is still ongoing, D) The match is a draw</t>
  </si>
  <si>
    <t>A) Player A wins 3-2</t>
  </si>
  <si>
    <t>In a best-of-five competition, the first player to win three rounds wins the match. Since Player A won three rounds and Player B won two, Player A wins 3-2.</t>
  </si>
  <si>
    <t>During a Jianzi match, Player X keeps the shuttlecock in the air for 15 seconds while performing a series of flips and kicks. According to the official rules, what should Player X be judged for?</t>
  </si>
  <si>
    <t>A) A fault for touching the ground, B) A successful round, C) An illegal action, D) A time violation</t>
  </si>
  <si>
    <t>B) A successful round</t>
  </si>
  <si>
    <t>In Jianzi, keeping the shuttlecock in the air for an extended period, as long as it's performed with proper technique and without any faults, counts as a successful round.</t>
  </si>
  <si>
    <t>Player A performs a series of fancy tricks during a Jianzi match but fails to keep the shuttlecock in the air for more than 3 seconds. What happens next?</t>
  </si>
  <si>
    <t>A) Player A wins the round, B) Player A loses the round, C) The round is repeated, D) Player B wins the round</t>
  </si>
  <si>
    <t>B) Player A loses the round</t>
  </si>
  <si>
    <t>In Jianzi, maintaining the shuttlecock in the air for a reasonable amount of time is crucial. Failing to do so results in losing the round.</t>
  </si>
  <si>
    <t>In a Jianzi competition, Player A and Player B have been equally skilled throughout the match. What happens if they tie in the final round?</t>
  </si>
  <si>
    <t>A) The match is a draw, B) The match goes into a sudden-death round, C) Player A wins by default, D) Player B wins by default</t>
  </si>
  <si>
    <t>B) The match goes into a sudden-death round</t>
  </si>
  <si>
    <t>In many competitive Jianzi matches, a tie in the final round results in a sudden-death round to determine the winner.</t>
  </si>
  <si>
    <t>Player X is disqualified for using an illegal object during a Jianzi match. What object did Player X most likely use?</t>
  </si>
  <si>
    <t>A) A soft plastic ball, B) A weighted shuttlecock, C) A wooden stick, D) A stone ball</t>
  </si>
  <si>
    <t>B) A weighted shuttlecock</t>
  </si>
  <si>
    <t>In Jianzi, players must use a standard shuttlecock. A weighted shuttlecock is illegal as it changes the flight dynamics and fairness of the game.</t>
  </si>
  <si>
    <t>If Player Y performs an amazing trick by juggling the shuttlecock and completing multiple spins without touching the ground, what should be the judges' primary consideration?</t>
  </si>
  <si>
    <t>A) The style and complexity of the trick, B) Whether the shuttlecock remains in the air, C) The speed of execution, D) The appearance of the player's uniform</t>
  </si>
  <si>
    <t>B) Whether the shuttlecock remains in the air</t>
  </si>
  <si>
    <t>In Jianzi, the primary consideration is whether the shuttlecock remains in the air. Style and complexity are secondary to the basic skill of controlling the shuttlecock.</t>
  </si>
  <si>
    <t>In a competitive Jianzi match, Player A and Player B are competing in front of an audience. The crowd gets distracted and cheers loudly as Player A performs a series of kicks. What is the role of the judge in this scenario?</t>
  </si>
  <si>
    <t>A) To pause the match until the crowd settles, B) To penalize Player A for the distraction, C) To ignore the crowd and continue the match, D) To call for a rematch</t>
  </si>
  <si>
    <t>C) To ignore the crowd and continue the match</t>
  </si>
  <si>
    <t>In competitive Jianzi, external distractions like cheering should not interfere with the performance. The judge will allow the match to proceed as long as the rules are followed.</t>
  </si>
  <si>
    <t>During a Jianzi tournament, Player A and Player B are competing. If Player A kicks the shuttlecock with a spinning move and it lands perfectly in the opponent's half, what is the result?</t>
  </si>
  <si>
    <t>A) Player B wins the round, B) Player A wins the round, C) The round is repeated, D) Player A gets a warning</t>
  </si>
  <si>
    <t>B) Player A wins the round</t>
  </si>
  <si>
    <t>In Jianzi, if a player lands the shuttlecock in the opponent's half and it's done with proper technique, the player wins the round.</t>
  </si>
  <si>
    <t>In a Jianzi match, Player C is executing a series of smooth and controlled kicks but accidentally lets the shuttlecock touch the ground. What is the result?</t>
  </si>
  <si>
    <t>A) Player C loses the round, B) Player C wins the round, C) The round is restarted, D) Player C is disqualified</t>
  </si>
  <si>
    <t>A) Player C loses the round</t>
  </si>
  <si>
    <t>If the shuttlecock touches the ground, the player automatically loses the round according to Jianzi rules.</t>
  </si>
  <si>
    <t>Player D is performing a trick in which they manage to kick the shuttlecock over their head without using their hands. According to the rules of Jianzi, what is this action considered?</t>
  </si>
  <si>
    <t>A) A valid action, B) A fault, C) An illegal trick, D) A disqualification</t>
  </si>
  <si>
    <t>A) A valid action</t>
  </si>
  <si>
    <t>Kicking the shuttlecock over the head is a common and valid technique in Jianzi as long as the player does not use their hands or let the shuttlecock touch the ground.</t>
  </si>
  <si>
    <t>During a friendly Jianzi match, Player A and Player B are competing. If Player B manages to keep the shuttlecock in the air for 30 seconds continuously without touching the ground, how will the round be judged?</t>
  </si>
  <si>
    <t>A) Player A wins, B) Player B wins, C) The round is tied, D) The round is considered invalid</t>
  </si>
  <si>
    <t>B) Player B wins</t>
  </si>
  <si>
    <t>In Jianzi, keeping the shuttlecock in the air for an extended period, especially 30 seconds, is considered an impressive display, and Player B would win the round.</t>
  </si>
  <si>
    <t>Player Z is practicing a Jianzi technique and performs a series of quick kicks. However, the shuttlecock goes off-target and lands outside the defined area. What should happen next?</t>
  </si>
  <si>
    <t>A) The round is lost by Player Z, B) The round is restarted, C) Player Z gets a penalty, D) The match continues without penalty</t>
  </si>
  <si>
    <t>A) The round is lost by Player Z</t>
  </si>
  <si>
    <t>In Jianzi, if the shuttlecock goes outside the defined play area, the player loses the round regardless of the quality of their technique.</t>
  </si>
  <si>
    <t>In an advanced Jianzi competition, Player A manages to kick the shuttlecock 20 times without touching the ground. How should this performance be scored?</t>
  </si>
  <si>
    <t>A) A perfect round, B) A successful round, C) A failed round, D) An invalid round</t>
  </si>
  <si>
    <t>Kicking the shuttlecock 20 times without it touching the ground is a great performance, but it is scored as a successful round as long as the rules are followed.</t>
  </si>
  <si>
    <t>During a Jianzi competition, the shuttlecock is kicked by Player X and spins rapidly in the air. The shuttlecock touches the ground slightly but Player X continues kicking it to keep it in motion. What happens next?</t>
  </si>
  <si>
    <t>A) Player X is disqualified, B) The round is replayed, C) Player X loses the round, D) Player X wins the round</t>
  </si>
  <si>
    <t>C) Player X loses the round</t>
  </si>
  <si>
    <t>In Jianzi, if the shuttlecock touches the ground, the player loses the round, even if they continue to kick it afterward.</t>
  </si>
  <si>
    <t>In a Jianzi contest, Player A and Player B are competing in front of a judge. Player A manages to perform a difficult spin while keeping the shuttlecock in the air. What is the judge primarily looking for in the performance?</t>
  </si>
  <si>
    <t>A) The difficulty of the move, B) The speed of execution, C) The shuttlecock's flight duration, D) The number of kicks</t>
  </si>
  <si>
    <t>C) The shuttlecock's flight duration</t>
  </si>
  <si>
    <t>The primary factor for judging Jianzi performances is whether the shuttlecock remains in the air for a significant period while being controlled properly.</t>
  </si>
  <si>
    <t>During a Jianzi competition, Player X lands a kick but accidentally steps out of bounds. What happens next?</t>
  </si>
  <si>
    <t>A) Player X wins the round, B) Player X loses the round, C) The round is repeated, D) Player X is penalized but wins the round</t>
  </si>
  <si>
    <t>B) Player X loses the round</t>
  </si>
  <si>
    <t>In Jianzi, stepping out of bounds while performing a kick results in the player losing the round.</t>
  </si>
  <si>
    <t>Player A and Player B are competing in a Jianzi match. Player A performs a series of kicks without touching the ground, but Player B accidentally steps on the shuttlecock. What is the result?</t>
  </si>
  <si>
    <t>A) Player A wins the round, B) Player B wins the round, C) The round is invalid, D) The round is repeated</t>
  </si>
  <si>
    <t>A) Player A wins the round</t>
  </si>
  <si>
    <t>If Player B steps on the shuttlecock, it results in losing the round. Player A wins the round as long as they perform correctly.</t>
  </si>
  <si>
    <t>During a Jianzi competition, Player C kicks the shuttlecock with such force that it flies outside the defined play area. What happens next?</t>
  </si>
  <si>
    <t>A) Player C wins the round, B) Player C loses the round, C) The round is repeated, D) Player C is penalized</t>
  </si>
  <si>
    <t>B) Player C loses the round</t>
  </si>
  <si>
    <t>In Jianzi, if the shuttlecock flies outside the play area, the player loses the round.</t>
  </si>
  <si>
    <t>Player X has managed to keep the shuttlecock in the air for 10 consecutive kicks. However, Player X misses a kick and the shuttlecock touches the ground. What happens next?</t>
  </si>
  <si>
    <t>A) Player X wins the round, B) Player X loses the round, C) The round is restarted, D) Player Y wins the round</t>
  </si>
  <si>
    <t>In Jianzi, if the shuttlecock touches the ground at any time, the round is lost.</t>
  </si>
  <si>
    <t>In a Jianzi competition, Player A kicks the shuttlecock 30 times without it touching the ground. What is the primary criterion for judging this performance?</t>
  </si>
  <si>
    <t>A) The style of the kick, B) The number of kicks, C) The shuttlecock's flight duration, D) The difficulty of the tricks</t>
  </si>
  <si>
    <t>The primary judgment in Jianzi is based on the shuttlecock remaining in the air, not just the number of kicks.</t>
  </si>
  <si>
    <t>In a Jianzi competition, Player Y performs a successful series of kicks but accidentally touches the shuttlecock with their hand. What happens next?</t>
  </si>
  <si>
    <t>A) Player Y wins the round, B) Player Y loses the round, C) The round is invalid, D) The round is restarted</t>
  </si>
  <si>
    <t>B) Player Y loses the round</t>
  </si>
  <si>
    <t>In Jianzi, touching the shuttlecock with the hands results in losing the round.</t>
  </si>
  <si>
    <t>During a Jianzi match, Player A kicks the shuttlecock with a spinning move and it lands perfectly in Player B's designated area. What is the result?</t>
  </si>
  <si>
    <t>A) Player A wins the round, B) Player B wins the round, C) The round is a tie, D) The round is invalid</t>
  </si>
  <si>
    <t>If the shuttlecock lands in the opponent's area without any faults, the player who executed the kick wins the round.</t>
  </si>
  <si>
    <t>Player Z attempts a high-speed series of kicks during a Jianzi match. However, the shuttlecock is kicked out of bounds in the final move. What should happen next?</t>
  </si>
  <si>
    <t>A) The match continues with Player Z winning, B) The round is lost by Player Z, C) The round is restarted, D) Player Z is penalized</t>
  </si>
  <si>
    <t>B) The round is lost by Player Z</t>
  </si>
  <si>
    <t>If the shuttlecock goes out of bounds, the player automatically loses the round, regardless of the skill or style of their kicks.</t>
  </si>
  <si>
    <t>During a friendly Jianzi match, Player X uses a trick kick to keep the shuttlecock in the air for 25 seconds. What is the judge primarily looking for in this performance?</t>
  </si>
  <si>
    <t>A) The length of time the shuttlecock remains in the air, B) The speed of execution, C) The complexity of the tricks, D) The precision of the kick</t>
  </si>
  <si>
    <t>A) The length of time the shuttlecock remains in the air</t>
  </si>
  <si>
    <t>In Jianzi, keeping the shuttlecock in the air for a long duration is highly valued in the competition.</t>
  </si>
  <si>
    <t>Player A kicks the shuttlecock with a flick of the foot, but it briefly touches the ground before returning into the air. What should be the judge's decision?</t>
  </si>
  <si>
    <t>A) The round is a tie, B) Player A loses the round, C) Player A wins the round, D) The round is invalid</t>
  </si>
  <si>
    <t>In Jianzi, if the shuttlecock touches the ground at any point, the player loses the round.</t>
  </si>
  <si>
    <t>During a competitive Jianzi match, Player B kicks the shuttlecock and it lands on the line dividing the two players' areas. What should the judge do?</t>
  </si>
  <si>
    <t>A) Player A wins the round, B) Player B wins the round, C) The round is a tie, D) The round is repeated</t>
  </si>
  <si>
    <t>C) The round is a tie</t>
  </si>
  <si>
    <t>In Jianzi, if the shuttlecock lands exactly on the line, the round is typically considered a tie.</t>
  </si>
  <si>
    <t>Player Y kicks the shuttlecock and performs a perfect series of three flips. However, the shuttlecock eventually touches the ground. What happens next?</t>
  </si>
  <si>
    <t>A) Player Y wins the round, B) Player Y loses the round, C) The round is repeated, D) The round is tied</t>
  </si>
  <si>
    <t>Even if Player Y performs an impressive trick, if the shuttlecock touches the ground, the round is lost.</t>
  </si>
  <si>
    <t>Player C is competing in a Jianzi competition where they must keep the shuttlecock in the air for as long as possible. After 60 seconds, the shuttlecock touches the ground. How should this performance be judged?</t>
  </si>
  <si>
    <t>A) A perfect performance, B) A successful round, C) An invalid performance, D) Player C loses the round</t>
  </si>
  <si>
    <t>Keeping the shuttlecock in the air for 60 seconds is an impressive performance, and it would be judged as a successful round.</t>
  </si>
  <si>
    <t>In a friendly Jianzi match, Player D executes a high-kick that sends the shuttlecock soaring, but the shuttlecock lands outside the play area. What happens?</t>
  </si>
  <si>
    <t>A) The round is lost by Player D, B) Player D wins the round, C) The round is repeated, D) Player D gets a penalty</t>
  </si>
  <si>
    <t>A) The round is lost by Player D</t>
  </si>
  <si>
    <t>In Jianzi, if the shuttlecock goes outside the play area, the player loses the round, no matter how spectacular the kick was.</t>
  </si>
  <si>
    <t>During a Jianzi competition, Player A kicks the shuttlecock with a powerful spin, but it briefly touches the ground before returning into the air. What happens next?</t>
  </si>
  <si>
    <t>A) The round is repeated, B) Player A loses the round, C) Player A wins the round, D) The round is invalid</t>
  </si>
  <si>
    <t>Any time the shuttlecock touches the ground in Jianzi, the player loses the round, regardless of the tricks performed.</t>
  </si>
  <si>
    <t>In a Jianzi match, Player A manages to perform a kick that sends the shuttlecock into the air for 45 seconds. What is the outcome of the round?</t>
  </si>
  <si>
    <t>In Jianzi, performing impressive feats like keeping the shuttlecock in the air for a long duration is highly valued. Player A wins the round.</t>
  </si>
  <si>
    <t>Player Z is performing a trick kick but accidentally loses balance and touches the ground with their hand while attempting to keep the shuttlecock in the air. What is the result?</t>
  </si>
  <si>
    <t>A) Player Z wins the round, B) Player Z loses the round, C) The round is repeated, D) The round is invalid</t>
  </si>
  <si>
    <t>B) Player Z loses the round</t>
  </si>
  <si>
    <t>In Jianzi, if the player touches the ground with any part of their body except their feet, they lose the round.</t>
  </si>
  <si>
    <t>During a Jianzi competition, Player A keeps the shuttlecock in the air for 50 continuous kicks. Player B is only able to keep the shuttlecock in the air for 40 kicks. Based on the performance, who has won the round?</t>
  </si>
  <si>
    <t>A) Player A wins the round, B) Player B wins the round, C) The round is a tie, D) The round is not finished</t>
  </si>
  <si>
    <t>In Jianzi, the player who keeps the shuttlecock in the air for more kicks wins the round. Player A managed 50 kicks, which is more than Player B's 40.</t>
  </si>
  <si>
    <t>During a friendly Jianzi match, Player X kicks the shuttlecock with their left foot and it hits the ground after 15 kicks. Player Y then kicks it with their right foot and keeps it in the air for 18 kicks. Which of the following statements is true?</t>
  </si>
  <si>
    <t>A) Player X won the match, B) Player Y won the match, C) The match was a tie, D) Player X has more control than Player Y</t>
  </si>
  <si>
    <t>B) Player Y won the match</t>
  </si>
  <si>
    <t>The player who manages more kicks wins the match. Player Y kept the shuttlecock in the air for 18 kicks, more than Player X's 15.</t>
  </si>
  <si>
    <t>In a Jianzi tournament, Player A hits the shuttlecock with a perfect roundhouse kick and Player B attempts to do the same but misses. What is the result of this exchange?</t>
  </si>
  <si>
    <t>A) Player A scores a point, B) Player B scores a point, C) The round is a draw, D) The game is paused for a re-try</t>
  </si>
  <si>
    <t>A) Player A scores a point</t>
  </si>
  <si>
    <t>In Jianzi, a successful kick that keeps the shuttlecock in the air scores a point. Player A executed a perfect roundhouse kick, while Player B missed.</t>
  </si>
  <si>
    <t>During a Jianzi exhibition, a player successfully kicks the shuttlecock 30 times, then the shuttlecock is caught by a passing breeze and falls to the ground. What happens next?</t>
  </si>
  <si>
    <t>A) The player is disqualified, B) The game is paused until the shuttlecock is reset, C) The round ends with 30 successful kicks, D) The player continues after retrieving the shuttlecock</t>
  </si>
  <si>
    <t>C) The round ends with 30 successful kicks</t>
  </si>
  <si>
    <t>In Jianzi, if the shuttlecock falls due to external factors like wind, the round ends with the number of successful kicks the player has made.</t>
  </si>
  <si>
    <t>In a professional Jianzi competition, a player performs a kick that sends the shuttlecock into the air, but it falls behind them. The player quickly turns around and kicks it back into play. What does this show about the player's skill?</t>
  </si>
  <si>
    <t>A) The player has good reflexes, B) The player made an error, C) The player lacks coordination, D) The player is disqualified for the mistake</t>
  </si>
  <si>
    <t>A) The player has good reflexes</t>
  </si>
  <si>
    <t>Jianzi requires a high level of coordination and reflexes. The player's ability to quickly recover and send the shuttlecock back into play demonstrates strong skill.</t>
  </si>
  <si>
    <t>During a Jianzi match, Player A and Player B are playing in a circle. Player A manages to kick the shuttlecock over Player B's head without them being able to react. What could be the strategy used by Player A?</t>
  </si>
  <si>
    <t>A) Player A used a surprise overhead kick, B) Player A played too aggressively, C) Player A is out of bounds, D) Player A made an error</t>
  </si>
  <si>
    <t>A) Player A used a surprise overhead kick</t>
  </si>
  <si>
    <t>In Jianzi, surprising opponents with unexpected kicks, like an overhead kick, is an effective strategy to gain the advantage.</t>
  </si>
  <si>
    <t>A Jianzi competition involves both players kicking the shuttlecock back and forth for a long time. If Player X makes a mistake and drops the shuttlecock, but Player Y drops it just moments later, who wins the round?</t>
  </si>
  <si>
    <t>A) Player X wins, B) Player Y wins, C) The round is a draw, D) The match continues with no winner</t>
  </si>
  <si>
    <t>C) The round is a draw</t>
  </si>
  <si>
    <t>If both players make a mistake in the same round, the round is considered a draw. The game would continue with the next round.</t>
  </si>
  <si>
    <t>In a Jianzi competition, a player kicks the shuttlecock and sends it flying towards the opponent's side, but the shuttlecock touches the ground just before it reaches the opponent. What is the result?</t>
  </si>
  <si>
    <t>A) The player loses a point, B) The player scores a point, C) The game is paused, D) The round is invalidated</t>
  </si>
  <si>
    <t>A) The player loses a point</t>
  </si>
  <si>
    <t>In Jianzi, the shuttlecock must stay in the air for the player to score a point. If it touches the ground before reaching the opponent, the player loses the point.</t>
  </si>
  <si>
    <t>During a friendly match of Jianzi, Player A kicks the shuttlecock with their left foot, sending it too far from the circle. The other player has no time to reach it. What happens next?</t>
  </si>
  <si>
    <t>A) Player A wins the round, B) Player A loses the round, C) The match is stopped, D) Player B wins the round</t>
  </si>
  <si>
    <t>In Jianzi, the shuttlecock must remain within the play area. If it goes too far out of bounds, the player who kicked it loses the round.</t>
  </si>
  <si>
    <t>During a Jianzi game, Player X and Player Y decide to play with a timed challenge to see who can keep the shuttlecock in the air the longest. Player X lasts for 1 minute, and Player Y lasts for 2 minutes. Who wins the challenge?</t>
  </si>
  <si>
    <t>A) Player X wins, B) Player Y wins, C) The match is a tie, D) The challenge is invalid</t>
  </si>
  <si>
    <t>B) Player Y wins</t>
  </si>
  <si>
    <t>In timed challenges, the player who manages to keep the shuttlecock in the air for the longest duration wins. Player Y lasted 2 minutes, which is longer than Player X's 1 minute.</t>
  </si>
  <si>
    <t>In a Jianzi competition, Player A performs a flawless kick and manages to send the shuttlecock flying in a perfect arc towards Player B. Player B successfully returns the shuttlecock with a kick of their own. What does this demonstrate about their skill level?</t>
  </si>
  <si>
    <t>A) Both players have advanced skills, B) Player A made an error, C) Player B lacks control, D) The game is paused</t>
  </si>
  <si>
    <t>A) Both players have advanced skills</t>
  </si>
  <si>
    <t>Both players demonstrating the ability to perform precise and successful kicks shows that they both have a high skill level in Jianzi.</t>
  </si>
  <si>
    <t>During a match, Player A and Player B are having a back-and-forth rally. Player A decides to add some flair to their kick and performs a spin before sending the shuttlecock to Player B. How does this affect the match?</t>
  </si>
  <si>
    <t>A) Player A gains an advantage by making a stylish play, B) The match is paused for a re-try, C) Player B wins automatically, D) The round is invalidated</t>
  </si>
  <si>
    <t>A) Player A gains an advantage by making a stylish play</t>
  </si>
  <si>
    <t>In Jianzi, performing stylish and difficult kicks can give the player an advantage by demonstrating skill and making it harder for the opponent to return the shuttlecock.</t>
  </si>
  <si>
    <t>In a Jianzi game, Player X and Player Y are playing in the sand. Player X kicks the shuttlecock, and it sinks into the sand, making it hard for Player Y to retrieve it. What should happen next?</t>
  </si>
  <si>
    <t>A) The game is paused until the shuttlecock is retrieved, B) Player Y wins, C) The round ends with Player X winning, D) Player X loses a point</t>
  </si>
  <si>
    <t>A) The game is paused until the shuttlecock is retrieved</t>
  </si>
  <si>
    <t>If the shuttlecock becomes lost or hard to retrieve, the game is paused, and the players can resume once it is back in play.</t>
  </si>
  <si>
    <t>In a Jianzi competition, Player A executes a perfect kick, sending the shuttlecock high into the air. Player B manages to return the shuttlecock with a swift kick but it lands out of bounds. What happens next?</t>
  </si>
  <si>
    <t>A) Player A wins the round, B) Player B wins the round, C) The round is a draw, D) The game is paused for a re-try</t>
  </si>
  <si>
    <t>In Jianzi, if the shuttlecock lands out of bounds after a return, the player who sent it out loses the round. Player A wins because Player B's return was out of bounds.</t>
  </si>
  <si>
    <t>During a Jianzi match, Player X and Player Y are playing with a crowd watching. Player X keeps the shuttlecock in the air for 45 kicks, while Player Y manages 50 kicks. Which statement is correct?</t>
  </si>
  <si>
    <t>A) Player X wins the round, B) Player Y wins the round, C) The round ends in a tie, D) The match is paused</t>
  </si>
  <si>
    <t>B) Player Y wins the round</t>
  </si>
  <si>
    <t>The player who keeps the shuttlecock in the air for the longest wins the round. Player Y managed 50 kicks, more than Player X's 45.</t>
  </si>
  <si>
    <t>Player A kicks the shuttlecock and accidentally hits Player B in the face. What should happen next?</t>
  </si>
  <si>
    <t>A) Player A wins the round, B) The round is paused and Player B receives medical attention, C) Player A loses the round, D) The match continues without interruption</t>
  </si>
  <si>
    <t>B) The round is paused and Player B receives medical attention</t>
  </si>
  <si>
    <t>If a player is injured, the match is paused for medical attention. The round is not counted, and the game continues after the situation is resolved.</t>
  </si>
  <si>
    <t>Player A and Player B are playing in a Jianzi competition. Player A sends the shuttlecock with a high kick, but it grazes the top of Player B's head and falls to the ground. What should happen?</t>
  </si>
  <si>
    <t>A) Player A loses the round, B) Player B wins, C) The round continues, D) Player A wins the round</t>
  </si>
  <si>
    <t>A) Player A loses the round</t>
  </si>
  <si>
    <t>In Jianzi, if the shuttlecock falls to the ground or makes contact with a player's body and that player doesn't return it successfully, the player who kicked it loses the round.</t>
  </si>
  <si>
    <t>Player A and Player B are playing a friendly match. Player A kicks the shuttlecock 25 times consecutively. Player B performs a perfect double kick and maintains control for 30 kicks. What is the result of the round?</t>
  </si>
  <si>
    <t>A) Player A wins, B) Player B wins, C) The round is a tie, D) The match is interrupted</t>
  </si>
  <si>
    <t>Player B wins the round as they managed to keep the shuttlecock in the air for a longer duration (30 kicks compared to Player A's 25).</t>
  </si>
  <si>
    <t>During a Jianzi competition, Player A kicks the shuttlecock with their right foot and manages 40 kicks. Player B then kicks the shuttlecock with their left foot, managing only 35 kicks. What is the result of this exchange?</t>
  </si>
  <si>
    <t>A) Player A wins the round, B) Player B wins the round, C) The round is a tie, D) The game is interrupted</t>
  </si>
  <si>
    <t>In Jianzi, the player who keeps the shuttlecock in the air for more kicks wins the round. Player A performed better with 40 kicks compared to Player B's 35.</t>
  </si>
  <si>
    <t>Player A sends the shuttlecock high into the air with a powerful kick, but the shuttlecock flies out of bounds. What happens next?</t>
  </si>
  <si>
    <t>A) Player A wins the round, B) Player A loses the round, C) Player B wins, D) The match is paused</t>
  </si>
  <si>
    <t>In Jianzi, if the shuttlecock flies out of bounds after a kick, the player who kicked it loses the round.</t>
  </si>
  <si>
    <t>In a competitive Jianzi match, Player X and Player Y are evenly matched. If both players reach 50 successful kicks, what happens next?</t>
  </si>
  <si>
    <t>A) The round continues until one player makes a mistake, B) The round ends with a tie, C) The match is decided by points, D) A sudden-death round is played</t>
  </si>
  <si>
    <t>B) The round ends with a tie</t>
  </si>
  <si>
    <t>If both players have the same number of successful kicks, the round is considered a tie. The game continues into the next round.</t>
  </si>
  <si>
    <t>During a Jianzi tournament, Player A kicks the shuttlecock and it begins to spin. Player B misjudges the spin and fails to return it. What happens?</t>
  </si>
  <si>
    <t>A) Player A wins the round, B) Player B wins the round, C) The round is a tie, D) The round is restarted</t>
  </si>
  <si>
    <t>In Jianzi, if the opponent fails to return the shuttlecock, the player who kicked it wins the round.</t>
  </si>
  <si>
    <t>In a Jianzi competition, Player A performs an impressive spinning kick, and Player B attempts to return the shuttlecock, but misses. What happens next?</t>
  </si>
  <si>
    <t>A) Player A wins the round, B) Player B wins the round, C) The round is a tie, D) Player A is disqualified</t>
  </si>
  <si>
    <t>If Player B misses the return after a successful kick from Player A, Player A wins the round.</t>
  </si>
  <si>
    <t>In a Jianzi competition, Player X kicks the shuttlecock, but it lands outside of the designated playing area. What should happen next?</t>
  </si>
  <si>
    <t>A) The round is immediately over, B) Player X loses the round, C) The round continues, D) Player X wins the round</t>
  </si>
  <si>
    <t>In Jianzi, if the shuttlecock lands outside of the designated playing area, the player who kicked it loses the round.</t>
  </si>
  <si>
    <t>During a Jianzi match, Player A and Player B are trying to maintain control of the shuttlecock. If Player A performs a perfect overhead kick, but Player B catches the shuttlecock, what happens?</t>
  </si>
  <si>
    <t>A) Player A wins the round, B) Player B wins the round, C) The round is a tie, D) The match continues</t>
  </si>
  <si>
    <t>B) Player B wins the round</t>
  </si>
  <si>
    <t>Catching the shuttlecock is not allowed in Jianzi. Player B should return the shuttlecock, but if they catch it, they lose the round. So Player A wins in this case.</t>
  </si>
  <si>
    <t>Player A and Player B are engaged in a long rally during a Jianzi game. Player A kicks the shuttlecock 60 times, and Player B kicks it 65 times. Who wins the round?</t>
  </si>
  <si>
    <t>A) Player A wins, B) Player B wins, C) The round is a tie, D) The match is paused</t>
  </si>
  <si>
    <t>Player B wins the round because they kept the shuttlecock in the air for more kicks than Player A.</t>
  </si>
  <si>
    <t>Player A kicks the shuttlecock and it begins to spin in a circle, staying in the air for 30 kicks. Player B manages to return it but only performs 25 kicks. What is the result of the round?</t>
  </si>
  <si>
    <t>A) Player A wins the round, B) Player B wins the round, C) The round ends in a tie, D) The match is paused</t>
  </si>
  <si>
    <t>In Jianzi, the player who manages to keep the shuttlecock in the air for the most kicks wins the round. Player A kept it in the air for 30 kicks.</t>
  </si>
  <si>
    <t>During a Jianzi match, Player X and Player Y are tied with 50 successful kicks each. If both players miss on their next kick, what happens?</t>
  </si>
  <si>
    <t>A) The round is a tie, B) Player X wins, C) Player Y wins, D) The match continues</t>
  </si>
  <si>
    <t>A) The round is a tie</t>
  </si>
  <si>
    <t>If both players miss the next kick, the round is considered a tie, and the game continues to the next round.</t>
  </si>
  <si>
    <t>What happens if a player accidentally touches the shuttlecock with their hand?</t>
  </si>
  <si>
    <t>A) No penalty, B) Loss of point, C) Replay the rally, D) Warning</t>
  </si>
  <si>
    <t>B) Loss of point</t>
  </si>
  <si>
    <t>Using hands results in an immediate loss of the point.</t>
  </si>
  <si>
    <t>How is the winner determined if the match is tied at the end of the time limit?</t>
  </si>
  <si>
    <t>A) Coin toss, B) Extra set, C) Sudden death rally, D) Draw</t>
  </si>
  <si>
    <t>C) Sudden death rally</t>
  </si>
  <si>
    <t>A sudden death rally is played to break the tie and determine the winner.</t>
  </si>
  <si>
    <t>What happens if the shuttlecock lands on the net during a rally?</t>
  </si>
  <si>
    <t>A) Point awarded, B) Rally continues, C) Replay the rally, D) Point lost</t>
  </si>
  <si>
    <t>C) Replay the rally</t>
  </si>
  <si>
    <t>A rally is replayed if the shuttlecock lands on the net.</t>
  </si>
  <si>
    <t>Your teammate misses a kick. How should you adjust your position?</t>
  </si>
  <si>
    <t>A) Move closer B) Ignore C) Move away D) Stop</t>
  </si>
  <si>
    <t>A) Move closer</t>
  </si>
  <si>
    <t>The shuttle is going high near the opponent. What’s the best action?</t>
  </si>
  <si>
    <t>A) Kick it strategically B) Ignore C) Let it fall D) Pass randomly</t>
  </si>
  <si>
    <t>A) Kick it strategically</t>
  </si>
  <si>
    <t>Opponent blocks the shuttle mid-air. How do you respond?</t>
  </si>
  <si>
    <t>A) Change angle and kick B) Ignore C) Stop D) Pass randomly</t>
  </si>
  <si>
    <t>A) Change angle and kick</t>
  </si>
  <si>
    <t>You notice your team losing pace. What should you do?</t>
  </si>
  <si>
    <t>A) Encourage faster rhythm B) Ignore C) Slow down D) Stop</t>
  </si>
  <si>
    <t>A) Encourage faster rhythm</t>
  </si>
  <si>
    <t>The shuttle is near the sideline. How should you act?</t>
  </si>
  <si>
    <t>A) Redirect it inward B) Ignore C) Let it fall D) Stop</t>
  </si>
  <si>
    <t>A) Redirect it inward</t>
  </si>
  <si>
    <t>Opponent targets your weaker foot. How do you respond?</t>
  </si>
  <si>
    <t>A) Adjust stance B) Ignore C) Use same foot D) Stop</t>
  </si>
  <si>
    <t>A) Adjust stance</t>
  </si>
  <si>
    <t>You see an opportunity for a quick combo. What’s your move?</t>
  </si>
  <si>
    <t>A) Execute combo B) Ignore C) Stop D) Pass randomly</t>
  </si>
  <si>
    <t>A) Execute combo</t>
  </si>
  <si>
    <t>Mid-game, opponent is crowding you. How do you act?</t>
  </si>
  <si>
    <t>A) Move to open space B) Ignore C) Stop D) Let it fall</t>
  </si>
  <si>
    <t>A) Move to open space</t>
  </si>
  <si>
    <t>Shuttle is coming fast toward your chest. What’s the correct action?</t>
  </si>
  <si>
    <t>A) Kick upward or sideways B) Ignore C) Let it hit D) Stop</t>
  </si>
  <si>
    <t>A) Kick upward or sideways</t>
  </si>
  <si>
    <t>Teammate is out of position. What should you do?</t>
  </si>
  <si>
    <t>A) Cover their area B) Ignore C) Let shuttle drop D) Stop</t>
  </si>
  <si>
    <t>A) Cover their area</t>
  </si>
  <si>
    <t>Opponent uses deceptive kick. How do you respond?</t>
  </si>
  <si>
    <t>A) Watch closely and react B) Ignore C) Kick randomly D) Stop</t>
  </si>
  <si>
    <t>A) Watch closely and react</t>
  </si>
  <si>
    <t>You notice a chance for an aerial trick. What’s the move?</t>
  </si>
  <si>
    <t>A) Perform trick kick B) Ignore C) Pass randomly D) Stop</t>
  </si>
  <si>
    <t>A) Perform trick kick</t>
  </si>
  <si>
    <t>Mid-game, your footwork is off. How should you recover?</t>
  </si>
  <si>
    <t>A) Reset stance and focus B) Ignore C) Slow down D) Stop</t>
  </si>
  <si>
    <t>A) Reset stance and focus</t>
  </si>
  <si>
    <t>Opponent pressures your back line. How do you respond?</t>
  </si>
  <si>
    <t>A) Move forward strategically B) Ignore C) Stop D) Let it fall</t>
  </si>
  <si>
    <t>A) Move forward strategically</t>
  </si>
  <si>
    <t>Shuttle is near the net. What’s your action?</t>
  </si>
  <si>
    <t>A) Kick over B) Ignore C) Let it drop D) Stop</t>
  </si>
  <si>
    <t>A) Kick over</t>
  </si>
  <si>
    <t>Teammate missed a shuttle, risking point loss. What’s your move?</t>
  </si>
  <si>
    <t>A) Cover and save B) Ignore C) Let it drop D) Stop</t>
  </si>
  <si>
    <t>A) Cover and save</t>
  </si>
  <si>
    <t>Opponent feints low, then high. How do you react?</t>
  </si>
  <si>
    <t>A) Adjust height and timing B) Ignore C) Kick randomly D) Stop</t>
  </si>
  <si>
    <t>A) Adjust height and timing</t>
  </si>
  <si>
    <t>Mid-game, your team is ahead. How should you maintain lead?</t>
  </si>
  <si>
    <t>A) Play safe and controlled B) Ignore C) Go aggressive D) Stop</t>
  </si>
  <si>
    <t>A) Play safe and controlled</t>
  </si>
  <si>
    <t>Opponent moves unpredictably. What’s the strategy?</t>
  </si>
  <si>
    <t>A) Anticipate patterns B) Ignore C) Kick randomly D) Stop</t>
  </si>
  <si>
    <t>A) Anticipate patterns</t>
  </si>
  <si>
    <t>Shuttle is bouncing close to your foot. How do you act?</t>
  </si>
  <si>
    <t>A) Quick tap kick B) Ignore C) Stop D) Let it fall</t>
  </si>
  <si>
    <t>A) Quick tap kick</t>
  </si>
  <si>
    <t>Teammate is fatigued. What’s the best approach?</t>
  </si>
  <si>
    <t>A) Adjust positions B) Ignore C) Slow down D) Stop</t>
  </si>
  <si>
    <t>A) Adjust positions</t>
  </si>
  <si>
    <t>Opponent targets your open space. How do you respond?</t>
  </si>
  <si>
    <t>A) Cover space B) Ignore C) Stop D) Let shuttle drop</t>
  </si>
  <si>
    <t>A) Cover space</t>
  </si>
  <si>
    <t>Mid-game, shuttle speed increases. How do you adapt?</t>
  </si>
  <si>
    <t>A) Anticipate faster and kick B) Ignore C) Slow down D) Stop</t>
  </si>
  <si>
    <t>A) Anticipate faster and kick</t>
  </si>
  <si>
    <t>You notice an opportunity for a cross-field kick. What’s your action?</t>
  </si>
  <si>
    <t>A) Execute cross kick B) Ignore C) Stop D) Let it drop</t>
  </si>
  <si>
    <t>A) Execute cross kick</t>
  </si>
  <si>
    <t>Opponent blocks mid-air, threatening point. How do you react?</t>
  </si>
  <si>
    <t>A) Change trajectory B) Ignore C) Stop D) Kick randomly</t>
  </si>
  <si>
    <t>A) Change trajectory</t>
  </si>
  <si>
    <t>Shuttle is low and near your foot. What’s your best play?</t>
  </si>
  <si>
    <t>A) Quick low kick B) Ignore C) Let it drop D) Stop</t>
  </si>
  <si>
    <t>A) Quick low kick</t>
  </si>
  <si>
    <t>Mid-game, your teammate is out of position. What should you do?</t>
  </si>
  <si>
    <t>A) Cover their zone B) Ignore C) Slow down D) Stop</t>
  </si>
  <si>
    <t>A) Cover their zone</t>
  </si>
  <si>
    <t>Opponent feints left then right. How should you respond?</t>
  </si>
  <si>
    <t>A) Adjust laterally B) Ignore C) Kick randomly D) Stop</t>
  </si>
  <si>
    <t>A) Adjust laterally</t>
  </si>
  <si>
    <t>Shuttle is high near your back line. How do you act?</t>
  </si>
  <si>
    <t>A) Jump kick strategically B) Ignore C) Stop D) Let it fall</t>
  </si>
  <si>
    <t>A) Jump kick strategically</t>
  </si>
  <si>
    <t>Teammate drops focus. What’s the best action?</t>
  </si>
  <si>
    <t>A) Communicate and cover B) Ignore C) Stop D) Let it fall</t>
  </si>
  <si>
    <t>A) Communicate and cover</t>
  </si>
  <si>
    <t>Opponent targets center zone. How do you defend?</t>
  </si>
  <si>
    <t>A) Move strategically to block B) Ignore C) Stop D) Let shuttle drop</t>
  </si>
  <si>
    <t>A) Move strategically to block</t>
  </si>
  <si>
    <t>Shuttle is approaching fast and low. What’s the move?</t>
  </si>
  <si>
    <t>A) Tap kick B) Ignore C) Stop D) Let it fall</t>
  </si>
  <si>
    <t>A) Tap kick</t>
  </si>
  <si>
    <t>Mid-game, your rhythm is off. How do you recover?</t>
  </si>
  <si>
    <t>A) Regain timing and focus B) Ignore C) Stop D) Slow down</t>
  </si>
  <si>
    <t>A) Regain timing and focus</t>
  </si>
  <si>
    <t>Opponent pressures from left. How should you respond?</t>
  </si>
  <si>
    <t>A) Shift right strategically B) Ignore C) Stop D) Let shuttle drop</t>
  </si>
  <si>
    <t>A) Shift right strategically</t>
  </si>
  <si>
    <t>Shuttle is bouncing unpredictably. What’s your action?</t>
  </si>
  <si>
    <t>A) Adjust stance and timing B) Ignore C) Stop D) Kick randomly</t>
  </si>
  <si>
    <t>A) Adjust stance and timing</t>
  </si>
  <si>
    <t>Teammate’s kick goes off-target. How do you react?</t>
  </si>
  <si>
    <t>A) Cover and redirect B) Ignore C) Stop D) Let it fall</t>
  </si>
  <si>
    <t>A) Cover and redirect</t>
  </si>
  <si>
    <t>Mid-game, opponent plays fast successive kicks. How do you respond?</t>
  </si>
  <si>
    <t>A) Anticipate and counter B) Ignore C) Stop D) Let it drop</t>
  </si>
  <si>
    <t>A) Anticipate and counter</t>
  </si>
  <si>
    <t>Shuttle is near sideline and opponent waits. How do you act?</t>
  </si>
  <si>
    <t>A) Redirect inward B) Ignore C) Stop D) Let it drop</t>
  </si>
  <si>
    <t>A) Redirect inward</t>
  </si>
  <si>
    <t>You have chance for a tactical combo. What’s your move?</t>
  </si>
  <si>
    <t>A) Execute combo B) Ignore C) Stop D) Let it fall</t>
  </si>
  <si>
    <t>Opponent tries to block repeatedly. How do you respond?</t>
  </si>
  <si>
    <t>A) Change angle and timing B) Ignore C) Stop D) Kick randomly</t>
  </si>
  <si>
    <t>A) Change angle and timing</t>
  </si>
  <si>
    <t>Mid-game, your team is losing control. How do you regain it?</t>
  </si>
  <si>
    <t>A) Adjust positions and rhythm B) Ignore C) Stop D) Slow down</t>
  </si>
  <si>
    <t>A) Adjust positions and rhythm</t>
  </si>
  <si>
    <t>Shuttle is bouncing high. How do you handle it?</t>
  </si>
  <si>
    <t>A) Jump kick B) Ignore C) Stop D) Let it fall</t>
  </si>
  <si>
    <t>A) Jump kick</t>
  </si>
  <si>
    <t>Teammate is moving incorrectly. How should you act?</t>
  </si>
  <si>
    <t>A) Cover area B) Ignore C) Stop D) Let shuttle drop</t>
  </si>
  <si>
    <t>A) Cover area</t>
  </si>
  <si>
    <t>Opponent feints repeatedly. How do you respond?</t>
  </si>
  <si>
    <t>A) Anticipate pattern B) Ignore C) Stop D) Kick randomly</t>
  </si>
  <si>
    <t>A) Anticipate pattern</t>
  </si>
  <si>
    <t>Mid-game, fatigue sets in. How should you maintain focus?</t>
  </si>
  <si>
    <t>A) Adjust pace and positioning B) Ignore C) Stop D) Let shuttle drop</t>
  </si>
  <si>
    <t>A) Adjust pace and positioning</t>
  </si>
  <si>
    <t>Shuttle is approaching near your weaker foot. What’s optimal?</t>
  </si>
  <si>
    <t>A) Kick strategically with stronger foot B) Ignore C) Stop D) Let it drop</t>
  </si>
  <si>
    <t>A) Kick strategically with stronger foot</t>
  </si>
  <si>
    <t>Opponent tries long aerial kick. How do you act?</t>
  </si>
  <si>
    <t>A) Adjust position and intercept B) Ignore C) Stop D) Let shuttle drop</t>
  </si>
  <si>
    <t>A) Adjust position and intercept</t>
  </si>
  <si>
    <t>Mid-game, your team coordination falters. What’s the solution?</t>
  </si>
  <si>
    <t>A) Regain rhythm and communicate B) Ignore C) Stop D) Slow down</t>
  </si>
  <si>
    <t>A) Regain rhythm and communicate</t>
  </si>
  <si>
    <t>Shuttle is near boundary. How should you act?</t>
  </si>
  <si>
    <t>A) Redirect inward B) Ignore C) Stop D) Let it fall</t>
  </si>
  <si>
    <t>Teammate loses focus during a combo. How do you respond?</t>
  </si>
  <si>
    <t>A) Cover their position B) Ignore C) Stop D) Let shuttle drop</t>
  </si>
  <si>
    <t>A) Cover their position</t>
  </si>
  <si>
    <t>Opponent is unpredictable in footwork. How do you counter?</t>
  </si>
  <si>
    <t>A) Anticipate and adjust B) Ignore C) Stop D) Kick randomly</t>
  </si>
  <si>
    <t>A) Anticipate and adjust</t>
  </si>
  <si>
    <t>Mid-game, shuttle speed varies. How should you respond?</t>
  </si>
  <si>
    <t>A) Adapt timing and stance B) Ignore C) Stop D) Let it drop</t>
  </si>
  <si>
    <t>A) Adapt timing and stance</t>
  </si>
  <si>
    <t>You have opportunity for a tactical cross kick. What’s your move?</t>
  </si>
  <si>
    <t>A) Execute cross kick B) Ignore C) Stop D) Let shuttle drop</t>
  </si>
  <si>
    <t>Opponent targets open space. How do you defend?</t>
  </si>
  <si>
    <t>A) Move to block B) Ignore C) Stop D) Let shuttle drop</t>
  </si>
  <si>
    <t>A) Move to block</t>
  </si>
  <si>
    <t>Mid-game, your team’s rhythm slows. How do you regain control?</t>
  </si>
  <si>
    <t>A) Communicate and adjust B) Ignore C) Stop D) Slow down</t>
  </si>
  <si>
    <t>A) Communicate and adjust</t>
  </si>
  <si>
    <t>Shuttle bounces erratically near feet. How do you act?</t>
  </si>
  <si>
    <t>A) Quick adjustment kick B) Ignore C) Stop D) Let it fall</t>
  </si>
  <si>
    <t>A) Quick adjustment kick</t>
  </si>
  <si>
    <t>Teammate misplaces footwork. How do you respond?</t>
  </si>
  <si>
    <t>A) Cover their area B) Ignore C) Stop D) Let shuttle drop</t>
  </si>
  <si>
    <t>Mid-game, opponent feints high then low. How should you react?</t>
  </si>
  <si>
    <t>A) Adjust vertical positioning B) Ignore C) Stop D) Kick randomly</t>
  </si>
  <si>
    <t>A) Adjust vertical positioning</t>
  </si>
  <si>
    <t>Shuttle is fast approaching. What’s your immediate action?</t>
  </si>
  <si>
    <t>A) Quick interception kick B) Ignore C) Stop D) Let it fall</t>
  </si>
  <si>
    <t>A) Quick interception kick</t>
  </si>
  <si>
    <t>Your team loses pace suddenly. How do you respond?</t>
  </si>
  <si>
    <t>A) Regain rhythm and communicate B) Ignore C) Slow down D) Stop</t>
  </si>
  <si>
    <t>Opponent kicks the shuttle toward your weaker side. How do you respond?</t>
  </si>
  <si>
    <t>A) Adjust stance to stronger side B) Ignore C) Stop D) Let it drop</t>
  </si>
  <si>
    <t>A) Adjust stance to stronger side</t>
  </si>
  <si>
    <t>Mid-game, shuttle height changes unexpectedly. How should you act?</t>
  </si>
  <si>
    <t>A) Adapt timing and kick B) Ignore C) Stop D) Let it fall</t>
  </si>
  <si>
    <t>A) Adapt timing and kick</t>
  </si>
  <si>
    <t>Your teammate misses a combo. How should you adjust?</t>
  </si>
  <si>
    <t>Opponent moves unpredictably. What’s the best strategy?</t>
  </si>
  <si>
    <t>A) Anticipate pattern and react B) Ignore C) Stop D) Kick randomly</t>
  </si>
  <si>
    <t>A) Anticipate pattern and react</t>
  </si>
  <si>
    <t>Shuttle is bouncing close to the sideline. How do you act?</t>
  </si>
  <si>
    <t>A) Redirect inward B) Ignore C) Let it drop D) Stop</t>
  </si>
  <si>
    <t>Mid-game, your team loses rhythm. How do you regain control?</t>
  </si>
  <si>
    <t>A) Communicate and adjust positions B) Ignore C) Slow down D) Stop</t>
  </si>
  <si>
    <t>A) Communicate and adjust positions</t>
  </si>
  <si>
    <t>Shuttle is approaching rapidly. What’s your immediate action?</t>
  </si>
  <si>
    <t>A) Intercept quickly B) Ignore C) Stop D) Let it fall</t>
  </si>
  <si>
    <t>A) Intercept quickly</t>
  </si>
  <si>
    <t>Opponent feints low then high. How should you respond?</t>
  </si>
  <si>
    <t>Teammate is out of position. How do you help?</t>
  </si>
  <si>
    <t>Mid-game, shuttle speed varies. How do you adapt?</t>
  </si>
  <si>
    <t>A) Anticipate and adjust kick timing B) Ignore C) Stop D) Let it drop</t>
  </si>
  <si>
    <t>A) Anticipate and adjust kick timing</t>
  </si>
  <si>
    <t>Shuttle is near boundary. What’s the best action?</t>
  </si>
  <si>
    <t>Opponent pressures one side. How do you respond?</t>
  </si>
  <si>
    <t>A) Shift stance strategically B) Ignore C) Stop D) Let shuttle drop</t>
  </si>
  <si>
    <t>A) Shift stance strategically</t>
  </si>
  <si>
    <t>Mid-game, teammate loses focus. How should you act?</t>
  </si>
  <si>
    <t>A) Communicate and cover B) Ignore C) Stop D) Let it drop</t>
  </si>
  <si>
    <t>Shuttle is approaching high near your back foot. What’s your move?</t>
  </si>
  <si>
    <t>Opponent targets open space. How should you defend?</t>
  </si>
  <si>
    <t>A) Move strategically to cover B) Ignore C) Stop D) Let shuttle drop</t>
  </si>
  <si>
    <t>A) Move strategically to cover</t>
  </si>
  <si>
    <t>Mid-game, your team loses pace. What’s the optimal approach?</t>
  </si>
  <si>
    <t>Shuttle bounces unpredictably. How do you react?</t>
  </si>
  <si>
    <t>Teammate performs wrong footwork. How do you respond?</t>
  </si>
  <si>
    <t>A) Cover their zone B) Ignore C) Stop D) Let shuttle drop</t>
  </si>
  <si>
    <t>Opponent feints repeatedly. What’s the best action?</t>
  </si>
  <si>
    <t>Shuttle approaches fast near sideline. How do you act?</t>
  </si>
  <si>
    <t>Opponent tries long aerial kick. What’s the optimal response?</t>
  </si>
  <si>
    <t>A) Adjust position and intercept B) Ignore C) Stop D) Let it drop</t>
  </si>
  <si>
    <t>In a Kung Fu competition, a contestant must perform a series of high, medium, and low kicks. What is the primary purpose of incorporating these different kick levels?</t>
  </si>
  <si>
    <t>A) To confuse the opponent, B) To demonstrate versatility, C) To tire out the opponent, D) To show disrespect to the opponent</t>
  </si>
  <si>
    <t>B) To demonstrate versatility</t>
  </si>
  <si>
    <t>In Kung Fu, different kick levels showcase the practitioner's skill and adaptability, highlighting their ability to fight in various situations.</t>
  </si>
  <si>
    <t>During a Kung Fu fight, a fighter executes a low stance and focuses on maintaining balance. What is the advantage of this stance?</t>
  </si>
  <si>
    <t>A) Greater speed in attack, B) Increased strength in punches, C) Enhanced stability and defense, D) Ability to jump higher</t>
  </si>
  <si>
    <t>C) Enhanced stability and defense</t>
  </si>
  <si>
    <t>Low stances in Kung Fu, like the horse stance, provide greater balance, making it harder for opponents to knock the practitioner off their feet.</t>
  </si>
  <si>
    <t>In a Kung Fu match, a fighter uses a series of rapid strikes followed by a sudden pause. What is the likely tactical reason for this pause?</t>
  </si>
  <si>
    <t>A) To rest, B) To confuse the opponent and create an opening, C) To show off their power, D) To signal submission</t>
  </si>
  <si>
    <t>B) To confuse the opponent and create an opening</t>
  </si>
  <si>
    <t>The pause allows the opponent to misjudge the next move, creating an opportunity to strike when they are least prepared.</t>
  </si>
  <si>
    <t>In a Kung Fu demonstration, a practitioner performs a routine of coordinated hand and foot movements with precision. What is this type of routine called?</t>
  </si>
  <si>
    <t>A) Kata, B) Form, C) Fight, D) Technique</t>
  </si>
  <si>
    <t>B) Form</t>
  </si>
  <si>
    <t>A 'Form' (or 'Taolu' in Chinese) is a choreographed sequence of movements that demonstrates technique, balance, and coordination in Kung Fu.</t>
  </si>
  <si>
    <t>Which Kung Fu style is known for its fluid, circular movements and strong focus on internal energy (Qi)?</t>
  </si>
  <si>
    <t>A) Wing Chun, B) Tai Chi, C) Shaolin, D) Praying Mantis</t>
  </si>
  <si>
    <t>B) Tai Chi</t>
  </si>
  <si>
    <t>Tai Chi is an internal Kung Fu style that emphasizes smooth, flowing movements designed to cultivate and balance internal energy (Qi).</t>
  </si>
  <si>
    <t>A Kung Fu fighter faces an opponent with a significantly higher reach. Which technique should the fighter prioritize to neutralize the opponent's advantage?</t>
  </si>
  <si>
    <t>A) Elbow strikes, B) Low sweeps, C) Long-range kicks, D) Close-range strikes</t>
  </si>
  <si>
    <t>D) Close-range strikes</t>
  </si>
  <si>
    <t>Close-range strikes, like punches or elbows, are effective against taller opponents, reducing their reach advantage.</t>
  </si>
  <si>
    <t>A Kung Fu practitioner is fighting while being attacked from multiple directions. Which strategy is most important in this scenario?</t>
  </si>
  <si>
    <t>A) Speed and agility, B) Using one hand to attack while the other defends, C) Continuous movement and evasion, D) Powerful counterattacks</t>
  </si>
  <si>
    <t>C) Continuous movement and evasion</t>
  </si>
  <si>
    <t>In a multiple opponent scenario, constant movement, evasion, and staying mobile are key to avoiding being overwhelmed.</t>
  </si>
  <si>
    <t>A Kung Fu fighter uses their forearm to block an incoming kick. What is this technique called?</t>
  </si>
  <si>
    <t>A) Judo throw, B) Block, C) Sweep, D) Parry</t>
  </si>
  <si>
    <t>B) Block</t>
  </si>
  <si>
    <t>A block involves using parts of the body, such as the forearm, to absorb or deflect an opponent's attack, typically to protect vital areas.</t>
  </si>
  <si>
    <t>In Kung Fu, which of the following best describes a practitioner's mental state during a fight?</t>
  </si>
  <si>
    <t>A) Anger, B) Focused and calm, C) Fearful, D) Overwhelmed</t>
  </si>
  <si>
    <t>B) Focused and calm</t>
  </si>
  <si>
    <t>Maintaining mental clarity, focus, and calmness is crucial in Kung Fu, as it allows the practitioner to make quick, decisive moves under pressure.</t>
  </si>
  <si>
    <t>In a Kung Fu competition, a fighter performs a flying kick. What is the main goal of this technique?</t>
  </si>
  <si>
    <t>A) To show off, B) To land a surprise attack, C) To gain points for agility, D) To demonstrate power</t>
  </si>
  <si>
    <t>B) To land a surprise attack</t>
  </si>
  <si>
    <t>Flying kicks are used to surprise the opponent with unexpected speed and power, making them difficult to counter.</t>
  </si>
  <si>
    <t>Which Kung Fu style focuses primarily on close combat and quick, direct strikes to vulnerable areas of the body?</t>
  </si>
  <si>
    <t>A) Wing Chun, B) Tai Chi, C) Kung Fu, D) Northern Shaolin</t>
  </si>
  <si>
    <t>A) Wing Chun</t>
  </si>
  <si>
    <t>Wing Chun emphasizes close-quarters combat, using fast, direct strikes to weak points such as the eyes, throat, and solar plexus.</t>
  </si>
  <si>
    <t>A Kung Fu practitioner faces an opponent using a spear. Which weapon is typically used to counter a spear in traditional Kung Fu?</t>
  </si>
  <si>
    <t>A) Broadsword, B) Staff, C) Nunchaku, D) Axe</t>
  </si>
  <si>
    <t>B) Staff</t>
  </si>
  <si>
    <t>The staff is commonly used in Kung Fu to counter longer weapons like the spear, allowing the practitioner to block, parry, or disarm the opponent.</t>
  </si>
  <si>
    <t>Which of the following Kung Fu techniques is used to break an opponent's guard or defense?</t>
  </si>
  <si>
    <t>A) Sweeping kick, B) Feint, C) Jab, D) Parries</t>
  </si>
  <si>
    <t>B) Feint</t>
  </si>
  <si>
    <t>A feint is a deceptive move that misleads the opponent into reacting in a certain way, opening them up for a real attack.</t>
  </si>
  <si>
    <t>In a Kung Fu match, a fighter is knocked to the ground and quickly gets up, staying low to the ground. What is the purpose of this movement?</t>
  </si>
  <si>
    <t>A) To escape, B) To defend against further strikes, C) To tire the opponent, D) To show submission</t>
  </si>
  <si>
    <t>B) To defend against further strikes</t>
  </si>
  <si>
    <t>Getting up quickly and staying low allows the fighter to regain a defensive position and minimize vulnerability to additional attacks.</t>
  </si>
  <si>
    <t>A Kung Fu practitioner is taught to avoid using excessive force when training. What is the primary reason for this?</t>
  </si>
  <si>
    <t>A) To increase flexibility, B) To avoid injury and preserve energy, C) To conserve strength for later use, D) To focus on technique</t>
  </si>
  <si>
    <t>B) To avoid injury and preserve energy</t>
  </si>
  <si>
    <t>Training with controlled force prevents injury, promotes efficiency, and ensures the practitioner can sustain their energy throughout a match or fight.</t>
  </si>
  <si>
    <t>A Kung Fu practitioner is executing a series of rapid punches and kicks in quick succession. What is the main advantage of this technique?</t>
  </si>
  <si>
    <t>A) To overwhelm the opponent with speed, B) To conserve energy, C) To show off strength, D) To confuse the opponent with unpredictability</t>
  </si>
  <si>
    <t>A) To overwhelm the opponent with speed</t>
  </si>
  <si>
    <t>The goal of rapid punches and kicks is to disrupt the opponent's timing and create openings, making it difficult for them to defend.</t>
  </si>
  <si>
    <t>A Kung Fu practitioner performs a series of movements with a sword, demonstrating precision and control. What is the primary focus of this form?</t>
  </si>
  <si>
    <t>A) Power, B) Grace, C) Speed, D) Strength</t>
  </si>
  <si>
    <t>B) Grace</t>
  </si>
  <si>
    <t>Sword forms in Kung Fu often emphasize grace and fluidity, with the aim to show precision in movement and control of the weapon.</t>
  </si>
  <si>
    <t>In a Kung Fu match, a fighter dodges an incoming punch by stepping to the side and countering with a backfist. What is the key benefit of this maneuver?</t>
  </si>
  <si>
    <t>A) Increased attack speed, B) Improved defense through evasion, C) To tire the opponent, D) To confuse the opponent</t>
  </si>
  <si>
    <t>B) Improved defense through evasion</t>
  </si>
  <si>
    <t>By dodging and countering, the fighter avoids taking damage while setting up a direct strike, showing skill in both defense and offense.</t>
  </si>
  <si>
    <t>A Kung Fu fighter uses a circular motion with their arm to redirect an opponent's attack. What is this technique called?</t>
  </si>
  <si>
    <t>A) Parry, B) Block, C) Sweep, D) Flowing technique</t>
  </si>
  <si>
    <t>A) Parry</t>
  </si>
  <si>
    <t>A parry involves redirecting an opponent's strike using a circular motion, which deflects the attack and sets up an opening for a counterattack.</t>
  </si>
  <si>
    <t>In a Kung Fu demonstration, a practitioner performs a jumping spinning kick to land a blow on their opponent. What is the main purpose of this dramatic move?</t>
  </si>
  <si>
    <t>A) To show agility, B) To surprise the opponent, C) To increase the force of the attack, D) To evade</t>
  </si>
  <si>
    <t>B) To surprise the opponent</t>
  </si>
  <si>
    <t>A jumping spinning kick is often used to surprise the opponent with an unexpected attack, utilizing both speed and an element of surprise.</t>
  </si>
  <si>
    <t>During a Kung Fu sparring session, a fighter uses a stance that places their weight evenly distributed between both legs. What is the benefit of this stance?</t>
  </si>
  <si>
    <t>A) Increased mobility, B) Greater strength in punches, C) Balanced defense and offense, D) Ability to jump higher</t>
  </si>
  <si>
    <t>C) Balanced defense and offense</t>
  </si>
  <si>
    <t>A balanced stance allows the practitioner to quickly transition between attack and defense, providing stability and readiness for action.</t>
  </si>
  <si>
    <t>In Kung Fu, the 'Five Animal Styles' include the Tiger, Crane, Leopard, Snake, and Dragon. What is the primary difference between the Tiger and the Crane styles?</t>
  </si>
  <si>
    <t>A) Tiger focuses on speed, Crane emphasizes strength, B) Tiger focuses on strength, Crane emphasizes grace, C) Tiger uses high kicks, Crane uses low kicks, D) Tiger uses internal energy, Crane uses external power</t>
  </si>
  <si>
    <t>B) Tiger focuses on strength, Crane emphasizes grace</t>
  </si>
  <si>
    <t>The Tiger style is aggressive and focuses on powerful, direct strikes, while the Crane style emphasizes elegance, agility, and precision in movement.</t>
  </si>
  <si>
    <t>A Kung Fu practitioner utilizes 'Wing Chun' to defend against a series of rapid strikes. Which feature of this style is most useful in this scenario?</t>
  </si>
  <si>
    <t>A) Strong kicks, B) Close-range, quick strikes, C) Power-based moves, D) High-flying techniques</t>
  </si>
  <si>
    <t>B) Close-range, quick strikes</t>
  </si>
  <si>
    <t>Wing Chun is designed for close combat and emphasizes rapid, direct strikes to an opponent's weak points, making it ideal for defending against fast attacks.</t>
  </si>
  <si>
    <t>During Kung Fu training, a practitioner performs a series of low kicks followed by a quick transition to a high kick. What is the purpose of this training method?</t>
  </si>
  <si>
    <t>A) To build stamina, B) To improve footwork and flexibility, C) To confuse opponents, D) To improve balance</t>
  </si>
  <si>
    <t>B) To improve footwork and flexibility</t>
  </si>
  <si>
    <t>Switching between low and high kicks trains the practitioner to be agile and flexible, making it harder for an opponent to predict their next move.</t>
  </si>
  <si>
    <t>A Kung Fu fighter uses their palm to block a punch and then follows up with a swift strike. What is this technique commonly known as?</t>
  </si>
  <si>
    <t>A) Palm strike, B) Block and counter, C) Parry, D) Throw</t>
  </si>
  <si>
    <t>B) Block and counter</t>
  </si>
  <si>
    <t>Blocking and countering is a fundamental technique where the fighter deflects an attack and immediately responds with an offensive strike.</t>
  </si>
  <si>
    <t>In a Kung Fu match, a practitioner uses a double leg sweep to bring their opponent to the ground. What is the purpose of this technique?</t>
  </si>
  <si>
    <t>A) To defend against an attack, B) To off-balance the opponent and set up a follow-up strike, C) To intimidate the opponent, D) To show strength</t>
  </si>
  <si>
    <t>B) To off-balance the opponent and set up a follow-up strike</t>
  </si>
  <si>
    <t>A double leg sweep is used to unbalance the opponent, bringing them to the ground, where the fighter can quickly follow up with additional strikes or control techniques.</t>
  </si>
  <si>
    <t>A Kung Fu practitioner uses a low stance while performing a series of punches. What is the main purpose of using a low stance during combat?</t>
  </si>
  <si>
    <t>A) To increase power, B) To make the practitioner more mobile, C) To improve defense and stability, D) To show off</t>
  </si>
  <si>
    <t>C) To improve defense and stability</t>
  </si>
  <si>
    <t>Low stances improve the practitioner's balance, making it harder for the opponent to knock them off their feet while providing a solid foundation for powerful strikes.</t>
  </si>
  <si>
    <t>A Kung Fu fighter uses a technique known as 'Iron Palm'. What is the goal of this technique?</t>
  </si>
  <si>
    <t>A) To increase speed, B) To improve precision, C) To strengthen the palm and strike with powerful force, D) To enhance flexibility</t>
  </si>
  <si>
    <t>C) To strengthen the palm and strike with powerful force</t>
  </si>
  <si>
    <t>The 'Iron Palm' technique is designed to condition the palm and increase its striking power, allowing the practitioner to deliver more forceful blows.</t>
  </si>
  <si>
    <t>During a Kung Fu competition, a fighter executes a fast spinning back kick. What is the primary objective of this move?</t>
  </si>
  <si>
    <t>A) To confuse the opponent, B) To evade an attack, C) To increase the speed of the strike, D) To land a powerful blow from a distance</t>
  </si>
  <si>
    <t>D) To land a powerful blow from a distance</t>
  </si>
  <si>
    <t>The spinning back kick is a high-impact move that uses the body's rotational power to deliver a strong strike from a longer distance.</t>
  </si>
  <si>
    <t>In Kung Fu, a practitioner uses 'Push Hands' to practice balance and sensitivity. What is the main objective of this training exercise?</t>
  </si>
  <si>
    <t>A) To improve speed, B) To practice quick reflexes, C) To develop sensitivity to an opponent's force and intentions, D) To strengthen muscles</t>
  </si>
  <si>
    <t>C) To develop sensitivity to an opponent's force and intentions</t>
  </si>
  <si>
    <t>Push Hands' is a training exercise in Tai Chi that enhances the practitioner's ability to feel and respond to the opponent's movements and force.</t>
  </si>
  <si>
    <t>A Kung Fu practitioner uses a feint to deceive their opponent. What is the purpose of a feint in a match?</t>
  </si>
  <si>
    <t>A) To break the opponent's focus, B) To confuse and mislead the opponent into reacting incorrectly, C) To gain energy, D) To force the opponent to make a mistake</t>
  </si>
  <si>
    <t>B) To confuse and mislead the opponent into reacting incorrectly</t>
  </si>
  <si>
    <t>A feint is a deceptive move designed to mislead the opponent, creating an opening for a real attack by drawing their attention away from the true target.</t>
  </si>
  <si>
    <t>In Kung Fu training, a practitioner performs a form while balancing on one leg. What is the purpose of this exercise?</t>
  </si>
  <si>
    <t>A) To build core strength, B) To increase balance and control, C) To practice defense, D) To increase flexibility</t>
  </si>
  <si>
    <t>B) To increase balance and control</t>
  </si>
  <si>
    <t>Balancing on one leg improves stability and control, which is essential for executing precise movements and avoiding being off-balance in combat.</t>
  </si>
  <si>
    <t>A Kung Fu practitioner is using the 'Horse Stance' during training. What is the primary benefit of this stance?</t>
  </si>
  <si>
    <t>A) Increases flexibility, B) Improves mobility, C) Enhances stability and strength in the lower body, D) Improves speed</t>
  </si>
  <si>
    <t>C) Enhances stability and strength in the lower body</t>
  </si>
  <si>
    <t>The Horse Stance is used to strengthen the legs and improve balance, providing a solid foundation for both offensive and defensive techniques.</t>
  </si>
  <si>
    <t>During a Kung Fu match, a fighter performs a series of quick jabs and hooks before quickly retreating. What is the primary purpose of this tactic?</t>
  </si>
  <si>
    <t>A) To overwhelm the opponent with power, B) To test the opponent's defense, C) To create distance and analyze the opponent's response, D) To tire the opponent out</t>
  </si>
  <si>
    <t>C) To create distance and analyze the opponent's response</t>
  </si>
  <si>
    <t>By quickly attacking and retreating, the practitioner forces the opponent to react, allowing them to assess the opponent's defensive abilities.</t>
  </si>
  <si>
    <t>A Kung Fu fighter blocks an incoming kick by raising their knee and intercepting the attack. What is this defensive technique called?</t>
  </si>
  <si>
    <t>A) Parry, B) Check, C) Catch, D) Guard</t>
  </si>
  <si>
    <t>B) Check</t>
  </si>
  <si>
    <t>A 'Check' involves lifting the knee to block an incoming attack, providing both defense and a potential opportunity for a counter-strike.</t>
  </si>
  <si>
    <t>A Kung Fu fighter uses the 'Fist of the North Star' as a finishing move. What makes this move effective?</t>
  </si>
  <si>
    <t>A) It is performed with a rapid series of punches, B) It targets vulnerable points with precision, C) It overwhelms the opponent with power, D) It uses a deceptive feint</t>
  </si>
  <si>
    <t>B) It targets vulnerable points with precision</t>
  </si>
  <si>
    <t>This move focuses on striking weak points on the opponent's body, delivering maximum impact with precision and accuracy.</t>
  </si>
  <si>
    <t>A Kung Fu practitioner uses the 'Dragon Style' to face an opponent. What is a unique feature of this style?</t>
  </si>
  <si>
    <t>A) Focus on high kicks, B) Use of low stances and defensive techniques, C) Emphasis on fluid and circular movements, D) Use of heavy strikes</t>
  </si>
  <si>
    <t>C) Emphasis on fluid and circular movements</t>
  </si>
  <si>
    <t>Dragon Style emphasizes fluidity and circular movements, utilizing the body's natural flow to evade and strike with precision.</t>
  </si>
  <si>
    <t>During a Kung Fu sparring match, a fighter uses their forearm to deflect an opponent's strike and then counters with a punch. What is this technique called?</t>
  </si>
  <si>
    <t>A) Parry and counter, B) Block and strike, C) Deflect and attack, D) Catch and strike</t>
  </si>
  <si>
    <t>A) Parry and counter</t>
  </si>
  <si>
    <t>The 'parry and counter' technique involves deflecting an opponent's attack and immediately responding with a counterattack.</t>
  </si>
  <si>
    <t>A Kung Fu fighter demonstrates a series of rapid elbow strikes. What is the key benefit of using elbows in close combat?</t>
  </si>
  <si>
    <t>A) Increased range, B) Increased power in tight spaces, C) Faster movement, D) Ability to deflect attacks</t>
  </si>
  <si>
    <t>B) Increased power in tight spaces</t>
  </si>
  <si>
    <t>Elbow strikes are powerful close-range attacks that generate significant force, making them effective in tight or clinched situations.</t>
  </si>
  <si>
    <t>A Kung Fu practitioner is training in the 'Five Animal Forms'. What does this training help develop?</t>
  </si>
  <si>
    <t>A) Flexibility, B) Mental discipline and focus, C) Strength and agility, D) Speed and reaction time</t>
  </si>
  <si>
    <t>C) Strength and agility</t>
  </si>
  <si>
    <t>The 'Five Animal Forms' incorporate movements inspired by different animals, helping to develop strength, agility, and versatility in combat.</t>
  </si>
  <si>
    <t>In Kung Fu, a practitioner executes a spinning backfist during a match. What is the main purpose of this technique?</t>
  </si>
  <si>
    <t>A) To surprise the opponent, B) To confuse the opponent, C) To deliver a knockout blow, D) To evade</t>
  </si>
  <si>
    <t>A) To surprise the opponent</t>
  </si>
  <si>
    <t>A spinning backfist is often used to surprise the opponent with an unexpected angle, making it harder for them to defend or anticipate the attack.</t>
  </si>
  <si>
    <t>A Kung Fu fighter practices a series of slow, deliberate movements in their form. What is the purpose of performing techniques slowly in training?</t>
  </si>
  <si>
    <t>A) To build muscle memory, B) To increase speed, C) To tire out the practitioner, D) To demonstrate power</t>
  </si>
  <si>
    <t>A) To build muscle memory</t>
  </si>
  <si>
    <t>Slow practice helps to perfect the technique and ingrains proper movement patterns, making it easier to execute them quickly in combat.</t>
  </si>
  <si>
    <t>During a Kung Fu match, a fighter performs a defensive roll to evade an attack. What is the purpose of a roll in this context?</t>
  </si>
  <si>
    <t>A) To avoid being hit while maintaining mobility, B) To tire the opponent, C) To reposition quickly, D) To increase power</t>
  </si>
  <si>
    <t>A) To avoid being hit while maintaining mobility</t>
  </si>
  <si>
    <t>A roll allows the fighter to evade an attack while staying on the move, ready to counter or reposition for a follow-up technique.</t>
  </si>
  <si>
    <t>In a Kung Fu fight, a practitioner uses the 'Double Palm Strike' to push their opponent back. What is the main advantage of using this technique?</t>
  </si>
  <si>
    <t>A) It can break through an opponent's defense, B) It generates maximum power, C) It creates distance between the fighter and their opponent, D) It confuses the opponent</t>
  </si>
  <si>
    <t>C) It creates distance between the fighter and their opponent</t>
  </si>
  <si>
    <t>The double palm strike is often used to push the opponent back, creating space and allowing the fighter to control the distance in the fight.</t>
  </si>
  <si>
    <t>A Kung Fu fighter is practicing 'Tai Chi'. What is the primary focus of Tai Chi training?</t>
  </si>
  <si>
    <t>A) Quick strikes, B) Grace and fluid movement, C) Strength building, D) Speed and agility</t>
  </si>
  <si>
    <t>B) Grace and fluid movement</t>
  </si>
  <si>
    <t>Tai Chi is known for its slow, graceful movements and emphasis on fluidity, focusing on balance, relaxation, and the cultivation of internal energy.</t>
  </si>
  <si>
    <t>During a sparring session, a Kung Fu practitioner uses a backflip to avoid an incoming strike. What is the purpose of using a backflip in combat?</t>
  </si>
  <si>
    <t>A) To surprise the opponent, B) To gain a positional advantage, C) To tire the opponent, D) To evade an attack and regain distance</t>
  </si>
  <si>
    <t>D) To evade an attack and regain distance</t>
  </si>
  <si>
    <t>A backflip is an advanced technique used to avoid an attack while creating distance between the practitioner and the opponent, providing an opportunity for counterattacks.</t>
  </si>
  <si>
    <t>A Kung Fu fighter uses 'internal power' to perform a technique. What is meant by 'internal power' in Kung Fu?</t>
  </si>
  <si>
    <t>A) Speed and force in a punch, B) Mental focus and control of Qi (energy), C) Strength through muscle power, D) The ability to strike with maximum force</t>
  </si>
  <si>
    <t>B) Mental focus and control of Qi (energy)</t>
  </si>
  <si>
    <t>Internal power' refers to the ability to control and direct the body's internal energy (Qi) to improve strength, focus, and effectiveness in combat.</t>
  </si>
  <si>
    <t>In a Kung Fu match, a fighter uses a quick combination of kicks and punches. What is the primary benefit of using combinations in Kung Fu?</t>
  </si>
  <si>
    <t>A) To overwhelm the opponent with strength, B) To break the opponent's defense and create openings, C) To confuse the opponent, D) To tire the opponent out</t>
  </si>
  <si>
    <t>B) To break the opponent's defense and create openings</t>
  </si>
  <si>
    <t>Combining different techniques forces the opponent to defend against multiple attacks, increasing the chance of finding an opening for a decisive strike.</t>
  </si>
  <si>
    <t>A Kung Fu practitioner performs a high, sweeping kick during a sparring match. What is the main purpose of a sweeping kick in combat?</t>
  </si>
  <si>
    <t>A) To knock the opponent off balance, B) To deliver a powerful strike to the head, C) To increase mobility, D) To confuse the opponent</t>
  </si>
  <si>
    <t>A) To knock the opponent off balance</t>
  </si>
  <si>
    <t>A sweeping kick is designed to target the lower body or legs, off-balancing the opponent and making it easier to follow up with a ground strike or other techniques.</t>
  </si>
  <si>
    <t>In Kung Fu, a practitioner uses the 'Snake Style' to defeat an opponent. What is the primary characteristic of this style?</t>
  </si>
  <si>
    <t>A) Quick and elusive strikes, B) Powerful and slow movements, C) Defensive and circular attacks, D) Balanced and grounded strikes</t>
  </si>
  <si>
    <t>A) Quick and elusive strikes</t>
  </si>
  <si>
    <t>Snake Style focuses on quick, snaking movements and deceptive strikes, using the practitioner's agility to evade and strike with precision.</t>
  </si>
  <si>
    <t>During Kung Fu training, a student practices deep breathing exercises. Why is deep breathing important in Kung Fu?</t>
  </si>
  <si>
    <t>A) To increase endurance, B) To improve focus and energy flow, C) To tire the opponent, D) To increase speed</t>
  </si>
  <si>
    <t>B) To improve focus and energy flow</t>
  </si>
  <si>
    <t>Deep breathing helps the practitioner focus their mind, control their energy (Qi), and enhance their physical endurance and performance during combat.</t>
  </si>
  <si>
    <t>What is the key principle of Kung Fu that focuses on using minimal effort to achieve maximum effect?</t>
  </si>
  <si>
    <t>A) Chi, B) Zhan Zhuang, C) Wu Wei, D) Jing</t>
  </si>
  <si>
    <t>C) Wu Wei</t>
  </si>
  <si>
    <t>Wu Wei is the principle of effortless action, using natural flow and minimal effort.</t>
  </si>
  <si>
    <t>What type of Kung Fu is characterized by using speed and precision to disable an opponent?</t>
  </si>
  <si>
    <t>A) Wing Chun, B) Shaolin, C) Tai Chi, D) Wushu</t>
  </si>
  <si>
    <t>Wing Chun emphasizes fast, precise strikes and close-range combat to disable opponents quickly.</t>
  </si>
  <si>
    <t>Which Kung Fu style is known for its focus on flexibility, fluid movements, and soft techniques?</t>
  </si>
  <si>
    <t>A) Bagua Zhang, B) Tai Chi, C) Shaolin, D) Wushu</t>
  </si>
  <si>
    <t>Tai Chi is a soft style that emphasizes slow, fluid movements to promote health and balance.</t>
  </si>
  <si>
    <t>Which Kung Fu style is known for its focus on counterattacking and redirecting the opponent's energy?</t>
  </si>
  <si>
    <t>A) Wing Chun, B) Tai Chi, C) Hung Gar, D) Praying Mantis</t>
  </si>
  <si>
    <t>Tai Chi emphasizes the redirection of an opponent's energy and counterattacking through fluid movements.</t>
  </si>
  <si>
    <t>Which Kung Fu style is renowned for its emphasis on powerful, quick strikes and low stances?</t>
  </si>
  <si>
    <t>A) Hung Gar, B) Wing Chun, C) Taiji, D) Baguazhang</t>
  </si>
  <si>
    <t>A) Hung Gar</t>
  </si>
  <si>
    <t>Hung Gar is known for its strong, low stances and rapid, powerful strikes.</t>
  </si>
  <si>
    <t>During sparring, opponent attacks your left side. How do you respond?</t>
  </si>
  <si>
    <t>A) Block and counter B) Ignore C) Dodge backwards D) Step forward</t>
  </si>
  <si>
    <t>A) Block and counter</t>
  </si>
  <si>
    <t>You see an opening in opponent’s defense. What’s your best move?</t>
  </si>
  <si>
    <t>A) Strike immediately B) Wait C) Retreat D) Fake attack</t>
  </si>
  <si>
    <t>A) Strike immediately</t>
  </si>
  <si>
    <t>Opponent feints high then attacks low. How should you act?</t>
  </si>
  <si>
    <t>A) Adjust guard and stance B) Ignore C) Step forward D) Jump</t>
  </si>
  <si>
    <t>A) Adjust guard and stance</t>
  </si>
  <si>
    <t>Mid-practice, you feel off balance. How should you recover?</t>
  </si>
  <si>
    <t>A) Regain center and stance B) Ignore C) Stop D) Retreat</t>
  </si>
  <si>
    <t>A) Regain center and stance</t>
  </si>
  <si>
    <t>You notice opponent overcommitting to a kick. What’s the strategy?</t>
  </si>
  <si>
    <t>A) Evade and counter B) Ignore C) Step forward D) Jump</t>
  </si>
  <si>
    <t>A) Evade and counter</t>
  </si>
  <si>
    <t>During forms, your movement is slow. What’s the optimal approach?</t>
  </si>
  <si>
    <t>A) Focus on rhythm B) Ignore C) Skip steps D) Speed randomly</t>
  </si>
  <si>
    <t>A) Focus on rhythm</t>
  </si>
  <si>
    <t>Opponent tries grappling. How do you defend?</t>
  </si>
  <si>
    <t>A) Break hold and create distance B) Ignore C) Step forward D) Yield</t>
  </si>
  <si>
    <t>A) Break hold and create distance</t>
  </si>
  <si>
    <t>You are cornered in sparring. How do you respond?</t>
  </si>
  <si>
    <t>A) Pivot and counter B) Ignore C) Step back D) Strike randomly</t>
  </si>
  <si>
    <t>A) Pivot and counter</t>
  </si>
  <si>
    <t>Mid-fight, your opponent attacks rapidly. How should you react?</t>
  </si>
  <si>
    <t>A) Defend and time counter B) Ignore C) Retreat D) Attack randomly</t>
  </si>
  <si>
    <t>A) Defend and time counter</t>
  </si>
  <si>
    <t>Opponent targets your weak side. What’s the best move?</t>
  </si>
  <si>
    <t>A) Adjust stance and guard B) Ignore C) Step forward D) Kick randomly</t>
  </si>
  <si>
    <t>A) Adjust stance and guard</t>
  </si>
  <si>
    <t>During training, your kick misses. How should you adapt?</t>
  </si>
  <si>
    <t>A) Reset and adjust angle B) Ignore C) Stop D) Jump</t>
  </si>
  <si>
    <t>A) Reset and adjust angle</t>
  </si>
  <si>
    <t>You see an opportunity for a feint. What’s the correct action?</t>
  </si>
  <si>
    <t>A) Execute feint B) Ignore C) Step back D) Attack randomly</t>
  </si>
  <si>
    <t>A) Execute feint</t>
  </si>
  <si>
    <t>Mid-practice, your energy drops. How do you maintain performance?</t>
  </si>
  <si>
    <t>A) Regulate breathing and focus B) Ignore C) Stop D) Move randomly</t>
  </si>
  <si>
    <t>A) Regulate breathing and focus</t>
  </si>
  <si>
    <t>Opponent strikes from unexpected angle. How should you respond?</t>
  </si>
  <si>
    <t>A) Adjust guard and counter B) Ignore C) Step forward D) Retreat</t>
  </si>
  <si>
    <t>A) Adjust guard and counter</t>
  </si>
  <si>
    <t>You notice an opening after opponent’s combo. What’s the move?</t>
  </si>
  <si>
    <t>A) Strike B) Ignore C) Step back D) Fake attack</t>
  </si>
  <si>
    <t>A) Strike</t>
  </si>
  <si>
    <t>Opponent attempts a sweep. How do you defend?</t>
  </si>
  <si>
    <t>A) Jump or block B) Ignore C) Step forward D) Let it pass</t>
  </si>
  <si>
    <t>A) Jump or block</t>
  </si>
  <si>
    <t>Mid-sparring, your stance is unstable. How should you act?</t>
  </si>
  <si>
    <t>A) Regain balance B) Ignore C) Step forward D) Retreat</t>
  </si>
  <si>
    <t>A) Regain balance</t>
  </si>
  <si>
    <t>Opponent uses a low kick feint. How should you respond?</t>
  </si>
  <si>
    <t>A) Raise guard B) Ignore C) Step forward D) Counter randomly</t>
  </si>
  <si>
    <t>A) Raise guard</t>
  </si>
  <si>
    <t>You are attacking, but opponent blocks effectively. What’s your response?</t>
  </si>
  <si>
    <t>A) Adjust technique B) Ignore C) Step back D) Attack randomly</t>
  </si>
  <si>
    <t>A) Adjust technique</t>
  </si>
  <si>
    <t>Mid-practice, opponent grabs your wrist. How do you react?</t>
  </si>
  <si>
    <t>A) Break hold B) Ignore C) Step forward D) Yield</t>
  </si>
  <si>
    <t>A) Break hold</t>
  </si>
  <si>
    <t>You see a chance to perform a combination strike. What’s your action?</t>
  </si>
  <si>
    <t>A) Execute combination B) Ignore C) Step back D) Pause</t>
  </si>
  <si>
    <t>A) Execute combination</t>
  </si>
  <si>
    <t>Opponent feints to confuse you. How should you respond?</t>
  </si>
  <si>
    <t>A) Stay focused and observe B) Ignore C) Step forward D) Attack randomly</t>
  </si>
  <si>
    <t>A) Stay focused and observe</t>
  </si>
  <si>
    <t>Mid-fight, opponent overextends. What’s the optimal move?</t>
  </si>
  <si>
    <t>A) Counterattack B) Ignore C) Retreat D) Fake strike</t>
  </si>
  <si>
    <t>A) Counterattack</t>
  </si>
  <si>
    <t>Opponent attacks from above. How do you defend?</t>
  </si>
  <si>
    <t>A) Block or redirect B) Ignore C) Step forward D) Jump</t>
  </si>
  <si>
    <t>A) Block or redirect</t>
  </si>
  <si>
    <t>You notice an opening in opponent’s stance after a kick. Action?</t>
  </si>
  <si>
    <t>A) Strike immediately B) Ignore C) Step back D) Fake kick</t>
  </si>
  <si>
    <t>Mid-practice, you notice fatigue. How should you maintain form?</t>
  </si>
  <si>
    <t>A) Regulate breathing and pace B) Ignore C) Stop D) Move randomly</t>
  </si>
  <si>
    <t>A) Regulate breathing and pace</t>
  </si>
  <si>
    <t>Opponent is aggressive. How do you manage distance?</t>
  </si>
  <si>
    <t>A) Step back and counter B) Ignore C) Step forward D) Fake attack</t>
  </si>
  <si>
    <t>A) Step back and counter</t>
  </si>
  <si>
    <t>You can perform a sweep to disrupt opponent. What’s your move?</t>
  </si>
  <si>
    <t>A) Execute sweep B) Ignore C) Step back D) Pause</t>
  </si>
  <si>
    <t>A) Execute sweep</t>
  </si>
  <si>
    <t>Mid-fight, opponent blocks your strike. How do you adapt?</t>
  </si>
  <si>
    <t>A) Adjust angle B) Ignore C) Step forward D) Jump</t>
  </si>
  <si>
    <t>A) Adjust angle</t>
  </si>
  <si>
    <t>You notice your footwork is off. How should you correct it?</t>
  </si>
  <si>
    <t>A) Reset stance and steps B) Ignore C) Step back D) Stop</t>
  </si>
  <si>
    <t>A) Reset stance and steps</t>
  </si>
  <si>
    <t>Opponent feints low, then strikes high. How to respond?</t>
  </si>
  <si>
    <t>A) Adjust guard B) Ignore C) Step forward D) Jump</t>
  </si>
  <si>
    <t>A) Adjust guard</t>
  </si>
  <si>
    <t>Mid-practice, you spot a weak area in opponent. Action?</t>
  </si>
  <si>
    <t>A) Target weak area B) Ignore C) Step back D) Fake attack</t>
  </si>
  <si>
    <t>A) Target weak area</t>
  </si>
  <si>
    <t>Opponent is feinting rapidly. How do you maintain control?</t>
  </si>
  <si>
    <t>A) Focus on timing B) Ignore C) Step forward D) Counter randomly</t>
  </si>
  <si>
    <t>A) Focus on timing</t>
  </si>
  <si>
    <t>You are cornered. What’s your defensive strategy?</t>
  </si>
  <si>
    <t>A) Pivot and counter B) Ignore C) Step back D) Yield</t>
  </si>
  <si>
    <t>Opponent attacks from left. How do you respond?</t>
  </si>
  <si>
    <t>A) Block and counter B) Ignore C) Step forward D) Jump</t>
  </si>
  <si>
    <t>Mid-sparring, your opponent overextends. How do you act?</t>
  </si>
  <si>
    <t>A) Counterattack B) Ignore C) Step back D) Fake strike</t>
  </si>
  <si>
    <t>Opponent attempts grab and throw. What’s your action?</t>
  </si>
  <si>
    <t>Mid-practice, your kick misses target. How to adapt?</t>
  </si>
  <si>
    <t>A) Adjust angle and strike B) Ignore C) Step back D) Pause</t>
  </si>
  <si>
    <t>A) Adjust angle and strike</t>
  </si>
  <si>
    <t>You see a chance for combination attack. Action?</t>
  </si>
  <si>
    <t>A) Execute combination B) Ignore C) Step back D) Fake strike</t>
  </si>
  <si>
    <t>Opponent attacks unpredictably. How do you defend?</t>
  </si>
  <si>
    <t>A) Stay alert and adjust B) Ignore C) Step forward D) Counter randomly</t>
  </si>
  <si>
    <t>A) Stay alert and adjust</t>
  </si>
  <si>
    <t>Mid-fight, your guard is weak. What’s the solution?</t>
  </si>
  <si>
    <t>A) Reinforce guard B) Ignore C) Step back D) Jump</t>
  </si>
  <si>
    <t>A) Reinforce guard</t>
  </si>
  <si>
    <t>Opponent feints high then low. How do you react?</t>
  </si>
  <si>
    <t>A) Adjust guard and timing B) Ignore C) Step forward D) Fake attack</t>
  </si>
  <si>
    <t>A) Adjust guard and timing</t>
  </si>
  <si>
    <t>You notice opening after opponent’s block. Move?</t>
  </si>
  <si>
    <t>A) Strike B) Ignore C) Step back D) Pause</t>
  </si>
  <si>
    <t>Mid-practice, opponent pressures aggressively. How to respond?</t>
  </si>
  <si>
    <t>A) Maintain distance and counter B) Ignore C) Step forward D) Fake strike</t>
  </si>
  <si>
    <t>A) Maintain distance and counter</t>
  </si>
  <si>
    <t>Opponent targets weak side. Best move?</t>
  </si>
  <si>
    <t>A) Adjust stance B) Ignore C) Step forward D) Yield</t>
  </si>
  <si>
    <t>Mid-fight, opponent blocks your kick. How to act?</t>
  </si>
  <si>
    <t>A) Adjust angle and strike B) Ignore C) Step back D) Fake kick</t>
  </si>
  <si>
    <t>You can perform a feint to open opponent. Action?</t>
  </si>
  <si>
    <t>A) Execute feint B) Ignore C) Step back D) Pause</t>
  </si>
  <si>
    <t>Mid-practice, opponent grabs your leg. How to react?</t>
  </si>
  <si>
    <t>A) Break hold B) Ignore C) Step back D) Yield</t>
  </si>
  <si>
    <t>Opponent overextends. How do you capitalize?</t>
  </si>
  <si>
    <t>Mid-sparring, your stance wobbles. How to recover?</t>
  </si>
  <si>
    <t>A) Regain balance B) Ignore C) Step forward D) Pause</t>
  </si>
  <si>
    <t>Opponent feints repeatedly. What’s your approach?</t>
  </si>
  <si>
    <t>A) Focus and anticipate B) Ignore C) Step forward D) Counter randomly</t>
  </si>
  <si>
    <t>A) Focus and anticipate</t>
  </si>
  <si>
    <t>Shuttle is high (if applied to weapon training). How to act?</t>
  </si>
  <si>
    <t>A) Jump strike B) Ignore C) Step back D) Yield</t>
  </si>
  <si>
    <t>A) Jump strike</t>
  </si>
  <si>
    <t>Opponent uses sudden kick. Response?</t>
  </si>
  <si>
    <t>Mid-fight, opponent pressures your center. Action?</t>
  </si>
  <si>
    <t>A) Adjust guard B) Ignore C) Step forward D) Fake strike</t>
  </si>
  <si>
    <t>You notice opponent’s stance weak. Move?</t>
  </si>
  <si>
    <t>A) Target weak area B) Ignore C) Step back D) Pause</t>
  </si>
  <si>
    <t>Mid-practice, fatigue affects focus. Solution?</t>
  </si>
  <si>
    <t>A) Regulate breathing and maintain technique B) Ignore C) Stop D) Pause</t>
  </si>
  <si>
    <t>A) Regulate breathing and maintain technique</t>
  </si>
  <si>
    <t>Opponent attacks with combination. How to respond?</t>
  </si>
  <si>
    <t>A) Defend and counter B) Ignore C) Step forward D) Jump</t>
  </si>
  <si>
    <t>A) Defend and counter</t>
  </si>
  <si>
    <t>Mid-fight, your footwork fails. How to recover?</t>
  </si>
  <si>
    <t>A) Reset stance and steps B) Ignore C) Step back D) Pause</t>
  </si>
  <si>
    <t>Opponent attacks your weak guard. How do you respond?</t>
  </si>
  <si>
    <t>A) Reinforce guard B) Ignore C) Step forward D) Counter randomly</t>
  </si>
  <si>
    <t>Mid-practice, teammate is out of sync. Action?</t>
  </si>
  <si>
    <t>A) Adjust positions and communicate B) Ignore C) Step back D) Pause</t>
  </si>
  <si>
    <t>A) Adjust positions and communicate</t>
  </si>
  <si>
    <t>Opponent feints left then right. Response?</t>
  </si>
  <si>
    <t>A) Adjust laterally B) Ignore C) Step forward D) Fake strike</t>
  </si>
  <si>
    <t>Mid-fight, your attack is blocked. Move?</t>
  </si>
  <si>
    <t>A) Adjust angle B) Ignore C) Step back D) Fake strike</t>
  </si>
  <si>
    <t>Opponent suddenly steps back to lure you in. How do you respond?</t>
  </si>
  <si>
    <t>A) Maintain distance and observe B) Ignore C) Step forward D) Jump</t>
  </si>
  <si>
    <t>A) Maintain distance and observe</t>
  </si>
  <si>
    <t>You notice opponent leaning too far forward. What’s the optimal move?</t>
  </si>
  <si>
    <t>Mid-sparring, your opponent changes rhythm unexpectedly. How do you react?</t>
  </si>
  <si>
    <t>A) Adapt timing and guard B) Ignore C) Step forward D) Jump</t>
  </si>
  <si>
    <t>A) Adapt timing and guard</t>
  </si>
  <si>
    <t>Opponent feints a low kick then strikes high. Response?</t>
  </si>
  <si>
    <t>A) Adjust guard and stance B) Ignore C) Step back D) Jump</t>
  </si>
  <si>
    <t>You are cornered against the wall. How do you respond?</t>
  </si>
  <si>
    <t>A) Pivot and strike B) Ignore C) Step back D) Yield</t>
  </si>
  <si>
    <t>A) Pivot and strike</t>
  </si>
  <si>
    <t>Mid-practice, opponent uses a deceptive grab. How to act?</t>
  </si>
  <si>
    <t>A) Break hold and counter B) Ignore C) Step back D) Yield</t>
  </si>
  <si>
    <t>A) Break hold and counter</t>
  </si>
  <si>
    <t>Opponent attacks rapidly in succession. How should you respond?</t>
  </si>
  <si>
    <t>A) Focus on defense and timing B) Ignore C) Step forward D) Jump</t>
  </si>
  <si>
    <t>A) Focus on defense and timing</t>
  </si>
  <si>
    <t>You see an opening for a high kick. What’s your action?</t>
  </si>
  <si>
    <t>A) Execute high kick B) Ignore C) Step back D) Fake strike</t>
  </si>
  <si>
    <t>A) Execute high kick</t>
  </si>
  <si>
    <t>Opponent overextends in a punch. How do you capitalize?</t>
  </si>
  <si>
    <t>Mid-sparring, your opponent targets your lower guard. Response?</t>
  </si>
  <si>
    <t>A) Reinforce guard B) Ignore C) Step forward D) Jump</t>
  </si>
  <si>
    <t>You notice opponent moving predictably. How do you exploit it?</t>
  </si>
  <si>
    <t>A) Anticipate and counter B) Ignore C) Step forward D) Fake strike</t>
  </si>
  <si>
    <t>Opponent feints and moves left. How do you respond?</t>
  </si>
  <si>
    <t>A) Adjust laterally B) Ignore C) Step forward D) Fake attack</t>
  </si>
  <si>
    <t>Mid-fight, your stamina drops. What’s the best approach?</t>
  </si>
  <si>
    <t>A) Regulate breathing and maintain pace B) Ignore C) Step back D) Pause</t>
  </si>
  <si>
    <t>A) Regulate breathing and maintain pace</t>
  </si>
  <si>
    <t>Opponent uses a sudden elbow strike. How do you react?</t>
  </si>
  <si>
    <t>A) Block and counter B) Ignore C) Step back D) Yield</t>
  </si>
  <si>
    <t>You are about to perform a combination strike, but opponent anticipates. Action?</t>
  </si>
  <si>
    <t>A) Modify combination B) Ignore C) Step back D) Pause</t>
  </si>
  <si>
    <t>A) Modify combination</t>
  </si>
  <si>
    <t>Mid-practice, your balance is off. How do you recover?</t>
  </si>
  <si>
    <t>A) Regain stance B) Ignore C) Step back D) Pause</t>
  </si>
  <si>
    <t>A) Regain stance</t>
  </si>
  <si>
    <t>Opponent attacks aggressively from the right. Response?</t>
  </si>
  <si>
    <t>You see an opportunity to sweep opponent’s leg. How do you act?</t>
  </si>
  <si>
    <t>A) Execute sweep B) Ignore C) Step back D) Fake strike</t>
  </si>
  <si>
    <t>Mid-sparring, your opponent uses deceptive footwork. Response?</t>
  </si>
  <si>
    <t>Opponent feints high and low alternately. How do you maintain defense?</t>
  </si>
  <si>
    <t>You notice a gap in opponent’s stance after a strike. What’s your move?</t>
  </si>
  <si>
    <t>Mid-fight, your opponent overcommits to a punch. How do you respond?</t>
  </si>
  <si>
    <t>A) Evade and counter B) Ignore C) Step back D) Fake strike</t>
  </si>
  <si>
    <t>Opponent grabs your wrist. Best response?</t>
  </si>
  <si>
    <t>You are pressed to the ropes. How should you defend?</t>
  </si>
  <si>
    <t>Mid-practice, opponent attacks from unexpected angle. Response?</t>
  </si>
  <si>
    <t>Opponent targets weak foot. How do you act?</t>
  </si>
  <si>
    <t>Mid-sparring, your combo fails. What’s your next move?</t>
  </si>
  <si>
    <t>A) Reset and adjust B) Ignore C) Step back D) Pause</t>
  </si>
  <si>
    <t>A) Reset and adjust</t>
  </si>
  <si>
    <t>During a professional Go tournament, Player A and Player B are playing a 9x9 board game. Player A has placed a stone in the center, while Player B surrounds it with stones on all sides. Which of the following best describes this situation?</t>
  </si>
  <si>
    <t>A) Player A has captured Player B's stones, B) Player B has captured Player A's stone, C) Player A has formed a territory, D) Player B is surrounded but has no captured stones</t>
  </si>
  <si>
    <t>B) Player B has captured Player A's stone</t>
  </si>
  <si>
    <t>In Go, a stone is captured if it is surrounded on all sides by the opponent's stones. In this case, Player B has surrounded Player A's stone.</t>
  </si>
  <si>
    <t>In a Go game, Player A plays a move that results in a group of Player B's stones being surrounded but not captured. What is the situation called?</t>
  </si>
  <si>
    <t>A) Atari, B) Ko, C) Eye, D) Seki</t>
  </si>
  <si>
    <t>D) Seki</t>
  </si>
  <si>
    <t>Seki refers to a situation where both players have groups that are alive but cannot capture each other, creating a stalemate.</t>
  </si>
  <si>
    <t>During a Go game, Player A places a stone in a location that forces Player B to either capture the stone or lose a larger group of stones. This tactic is known as?</t>
  </si>
  <si>
    <t>A) Seki, B) Ko, C) Tesuji, D) Moyo</t>
  </si>
  <si>
    <t>C) Tesuji</t>
  </si>
  <si>
    <t>Tesuji refers to a clever move or tactic that forces the opponent into a difficult position, often involving a series of sequences.</t>
  </si>
  <si>
    <t>In a game of Go, Player A has surrounded an area with stones but has not fully enclosed it. Player B is attempting to invade this area. What is the key to determining whether Player B will succeed?</t>
  </si>
  <si>
    <t>A) The number of eyes Player A has in the area, B) The number of stones Player A has, C) The total number of moves, D) The speed of play</t>
  </si>
  <si>
    <t>A) The number of eyes Player A has in the area</t>
  </si>
  <si>
    <t>In Go, a group of stones must have at least two eyes to be considered alive. The number of eyes is crucial in determining whether an area is secure.</t>
  </si>
  <si>
    <t>Player A and Player B are playing on a 13x13 Go board. Player A has surrounded an area on one side of the board, while Player B has a group of stones nearby. What will likely happen if Player A places a stone adjacent to Player B's group?</t>
  </si>
  <si>
    <t>A) Player B's group will become alive, B) Player B's group will be captured, C) Player A will lose points, D) Player A will create a new eye</t>
  </si>
  <si>
    <t>B) Player B's group will be captured</t>
  </si>
  <si>
    <t>If Player A surrounds Player B's group without creating eyes, Player B's group will be captured.</t>
  </si>
  <si>
    <t>In a Go match, Player A places a stone in a position that results in a Ko situation. What is a Ko in Go?</t>
  </si>
  <si>
    <t>A) A stalemate, B) A situation where a stone can be captured and immediately recaptured, C) A group of stones with no eyes, D) A strategically important move</t>
  </si>
  <si>
    <t>B) A situation where a stone can be captured and immediately recaptured</t>
  </si>
  <si>
    <t>A Ko situation involves a capture that could lead to an infinite loop of recapturing the same stone. Special rules prevent such an infinite loop.</t>
  </si>
  <si>
    <t>During a Go game, Player A has a group of stones with one eye. Player B places a stone next to this group, but Player A can still create a second eye. What is the status of Player A's group?</t>
  </si>
  <si>
    <t>A) The group is dead, B) The group is alive, C) The group is in Atari, D) The group will be captured</t>
  </si>
  <si>
    <t>B) The group is alive</t>
  </si>
  <si>
    <t>A group with two eyes is considered alive in Go, meaning it cannot be captured.</t>
  </si>
  <si>
    <t>In a Go game, Player A is about to play a move that would capture a large group of Player B's stones. What is the term for the area that Player A is about to take?</t>
  </si>
  <si>
    <t>A) Seki, B) Moyo, C) Territory, D) Ko</t>
  </si>
  <si>
    <t>C) Territory</t>
  </si>
  <si>
    <t>Territory refers to the empty spaces on the board surrounded by a player's stones, which are counted for points at the end of the game.</t>
  </si>
  <si>
    <t>During a Go match, Player A plays a move that threatens to capture Player B's group by surrounding it. Player B responds by playing a stone in an attempt to create an eye. What must Player B do next to ensure their group survives?</t>
  </si>
  <si>
    <t>A) Capture Player A's stone, B) Form two eyes, C) Connect their stones, D) Place a stone in a Ko</t>
  </si>
  <si>
    <t>B) Form two eyes</t>
  </si>
  <si>
    <t>In Go, a group is alive if it has two eyes, which are empty spaces surrounded by the group's stones, ensuring the group cannot be captured.</t>
  </si>
  <si>
    <t>In a Go game, Player A plays a move that creates a situation where Player B can either capture Player A's stones or create a new group. This move is known as what?</t>
  </si>
  <si>
    <t>A) Tesuji, B) Moyo, C) Atari, D) Ko</t>
  </si>
  <si>
    <t>A) Tesuji</t>
  </si>
  <si>
    <t>Tesuji refers to a move that forces an opponent into a difficult choice, often between defending and attacking.</t>
  </si>
  <si>
    <t>Player A has placed a stone in a position where it can potentially be captured by Player B, but Player A has a plan to escape. What is Player A's strategy called?</t>
  </si>
  <si>
    <t>A) Life and death, B) Seki, C) Ko, D) Tesuji</t>
  </si>
  <si>
    <t>D) Tesuji</t>
  </si>
  <si>
    <t>Tesuji is a term for a clever move or tactic that forces the opponent into a difficult position, often involving escape from a potentially fatal situation.</t>
  </si>
  <si>
    <t>Player A has surrounded a group of Player B's stones and is about to capture them. What must Player B do to prevent the capture?</t>
  </si>
  <si>
    <t>A) Create an eye, B) Connect the stones, C) Remove Player A's stones, D) Form a Ko</t>
  </si>
  <si>
    <t>A) Create an eye, B) Connect the stones</t>
  </si>
  <si>
    <t>To prevent capture, Player B must either create an eye to ensure the group is alive or connect the stones to escape.</t>
  </si>
  <si>
    <t>Player A plays a move that threatens Player B's group, but Player B responds by creating a new group of stones adjacent to Player A's. What is this strategy called?</t>
  </si>
  <si>
    <t>A) Sabaki, B) Moyo, C) Tesuji, D) Atari</t>
  </si>
  <si>
    <t>A) Sabaki</t>
  </si>
  <si>
    <t>Sabaki refers to a flexible strategy where a player escapes from a difficult situation by creating a new group, often using minimal stones.</t>
  </si>
  <si>
    <t>In a Go game, Player A has surrounded a corner of the board. Player B is attempting to invade this area with a single stone. What is the most likely outcome if Player A has already formed two eyes in this corner?</t>
  </si>
  <si>
    <t>A) Player B will succeed in capturing the corner, B) Player B will be surrounded and captured, C) Player A will lose a stone, D) The game will end</t>
  </si>
  <si>
    <t>B) Player B will be surrounded and captured</t>
  </si>
  <si>
    <t>If Player A has formed two eyes in the corner, Player B will not be able to invade successfully and will likely be captured.</t>
  </si>
  <si>
    <t>Player A has a group of stones with one eye. Player B plays a move next to this group, potentially threatening to capture it. What can Player A do to ensure the group survives?</t>
  </si>
  <si>
    <t>A) Connect the stones, B) Create a second eye, C) Form a Ko, D) Escape with the stones</t>
  </si>
  <si>
    <t>B) Create a second eye</t>
  </si>
  <si>
    <t>A group needs two eyes to be considered alive in Go. Player A must create a second eye to ensure the group survives.</t>
  </si>
  <si>
    <t>Player A has surrounded an area of the board but has not yet enclosed it completely. Player B plays a move that cuts off Player A's access to the area. What is this move called?</t>
  </si>
  <si>
    <t>A) Tesuji, B) Ko, C) Snapback, D) Double Atari</t>
  </si>
  <si>
    <t>C) Snapback</t>
  </si>
  <si>
    <t>A Snapback occurs when a move results in an immediate capture of the opponent's stone due to the opponent's own mistake in positioning.</t>
  </si>
  <si>
    <t>During a Go game, Player A is attempting to invade Player B's large territory. What is the main factor that will determine whether Player A can successfully invade?</t>
  </si>
  <si>
    <t>A) The number of stones Player B has, B) The number of eyes Player A can create, C) The number of moves left in the game, D) The number of stones Player A has</t>
  </si>
  <si>
    <t>B) The number of eyes Player A can create</t>
  </si>
  <si>
    <t>A successful invasion depends on whether Player A can create eyes in Player B's territory. If Player A can create two eyes, the invasion will succeed.</t>
  </si>
  <si>
    <t>Player A has surrounded Player B's group of stones on three sides. Player B has one stone left that connects to a larger group. What is Player A's next move likely to be?</t>
  </si>
  <si>
    <t>A) Capture the group, B) Form a Ko, C) Ignore the group, D) Connect their own stones</t>
  </si>
  <si>
    <t>A) Capture the group</t>
  </si>
  <si>
    <t>Player A can capture Player B's group by cutting off the last connection between Player B's stones and the larger group.</t>
  </si>
  <si>
    <t>In a Go game, Player A plays a move that causes a Ko. What does Player B do in response to prevent an infinite loop of captures?</t>
  </si>
  <si>
    <t>A) Recapture the stone immediately, B) Wait until Player A plays elsewhere, C) Form a new group, D) Capture Player A's group</t>
  </si>
  <si>
    <t>B) Wait until Player A plays elsewhere</t>
  </si>
  <si>
    <t>In Go, the Ko rule prevents immediate recapture of the same stone. Player B must wait until Player A plays elsewhere before recapturing.</t>
  </si>
  <si>
    <t>Player A has a group of stones surrounded by Player B on three sides. What move does Player A need to make to ensure the survival of their group?</t>
  </si>
  <si>
    <t>A) Create a new eye, B) Connect to a larger group, C) Surround Player B's stones, D) Escape the group</t>
  </si>
  <si>
    <t>A) Create a new eye, B) Connect to a larger group</t>
  </si>
  <si>
    <t>To ensure survival, Player A must create a new eye or connect to another group of their stones to ensure the group cannot be captured.</t>
  </si>
  <si>
    <t>During a Go game, Player A places a stone in a position that threatens Player B's group. Player B responds by connecting their stones, but Player A places a stone adjacent to Player B's connected stones. What has Player A created?</t>
  </si>
  <si>
    <t>A) A Ko, B) A new eye, C) A ladder, D) A Tesuji</t>
  </si>
  <si>
    <t>C) A ladder</t>
  </si>
  <si>
    <t>A ladder occurs when one player's stones create a sequence of captures, forcing the opponent's stones to move in a predictable pattern.</t>
  </si>
  <si>
    <t>In Go, Player A plays a move that results in their group being surrounded but not captured. What is the situation called?</t>
  </si>
  <si>
    <t>A) Seki, B) Moyo, C) Ko, D) Atari</t>
  </si>
  <si>
    <t>A) Seki</t>
  </si>
  <si>
    <t>Seki is a situation where both players' groups are alive but cannot capture each other, creating a stalemate.</t>
  </si>
  <si>
    <t>Player A plays a move that forms a group with one eye. Player B places a stone near the group, threatening to capture it. What should Player A do to ensure the group's survival?</t>
  </si>
  <si>
    <t>A) Place a stone to form a second eye, B) Capture Player B's stone, C) Connect to another group, D) Escape the group</t>
  </si>
  <si>
    <t>A) Place a stone to form a second eye</t>
  </si>
  <si>
    <t>A group with two eyes is alive and cannot be captured. Player A must create a second eye to save the group.</t>
  </si>
  <si>
    <t>Player A has surrounded a large territory, and Player B has a group in the center of it. What must Player B do to prevent being surrounded and captured?</t>
  </si>
  <si>
    <t>A) Connect to Player A's group, B) Create an eye in the center, C) Form a Ko, D) Surround Player A's stones</t>
  </si>
  <si>
    <t>B) Create an eye in the center</t>
  </si>
  <si>
    <t>To avoid capture, Player B must create an eye in the center of Player A's territory to ensure the group remains alive.</t>
  </si>
  <si>
    <t>Player A and Player B are playing a 19x19 board game. Player A has surrounded an area, and Player B is attempting to invade. What is Player B's best strategy for a successful invasion?</t>
  </si>
  <si>
    <t>A) Form two eyes, B) Capture Player A's stones, C) Connect to a larger group, D) Surround the area</t>
  </si>
  <si>
    <t>A) Form two eyes</t>
  </si>
  <si>
    <t>For a successful invasion, Player B must form two eyes within the surrounded area to ensure the group survives and is not captured.</t>
  </si>
  <si>
    <t>Player A plays a move that threatens to capture a large group of Player B's stones. What move should Player B make to avoid the capture?</t>
  </si>
  <si>
    <t>A) Form an eye, B) Escape with a stone, C) Connect the group, D) Capture Player A's stones</t>
  </si>
  <si>
    <t>A) Form an eye, C) Connect the group</t>
  </si>
  <si>
    <t>To avoid capture, Player B must either form an eye or connect the group to prevent Player A from surrounding it.</t>
  </si>
  <si>
    <t>Player A surrounds an area of the board, leaving Player B with no way to escape. What term is used to describe Player A's successful strategy?</t>
  </si>
  <si>
    <t>A) Sabaki, B) Life and death, C) Tesuji, D) Moyo</t>
  </si>
  <si>
    <t>B) Life and death</t>
  </si>
  <si>
    <t>The term 'Life and death' refers to the situation where one player successfully captures or saves a group based on the group's ability to form eyes.</t>
  </si>
  <si>
    <t>Player A is about to play a move that will create a Ko. What must Player B do to prevent an infinite Ko situation?</t>
  </si>
  <si>
    <t>A) Capture the stone immediately, B) Wait until Player A plays elsewhere, C) Recapture the stone, D) Connect their stones</t>
  </si>
  <si>
    <t>In a Ko situation, Player B must wait for Player A to make another move before recapturing to avoid an infinite loop of recaptures.</t>
  </si>
  <si>
    <t>Player A places a stone in a position that forces Player B to either capture the stone or lose a large group. What is this tactic called?</t>
  </si>
  <si>
    <t>A) Tesuji, B) Ko, C) Ladder, D) Snapback</t>
  </si>
  <si>
    <t>Tesuji is a clever tactic in Go where a player forces the opponent into a difficult position, often involving a sequence of moves.</t>
  </si>
  <si>
    <t>Player A has placed a stone in a corner and surrounded it on three sides. Player B is attempting to invade the corner. What is the best defense for Player A?</t>
  </si>
  <si>
    <t>A) Create a second eye, B) Capture Player B's stones, C) Form a Ko, D) Escape the corner</t>
  </si>
  <si>
    <t>A) Create a second eye</t>
  </si>
  <si>
    <t>To defend the corner, Player A needs to create a second eye to ensure the group survives and is not captured.</t>
  </si>
  <si>
    <t>Player A plays a move that connects two of their groups on the board. What is this connection called?</t>
  </si>
  <si>
    <t>A) Atari, B) Seki, C) Connection, D) Ko</t>
  </si>
  <si>
    <t>C) Connection</t>
  </si>
  <si>
    <t>Connecting groups in Go is a strategic move to make sure they are stronger and less likely to be captured.</t>
  </si>
  <si>
    <t>Player A surrounds Player B's group, but Player B has already created two eyes in the group. What happens next?</t>
  </si>
  <si>
    <t>A) Player B's group is captured, B) Player A captures Player B's stones, C) Player B's group is alive, D) Player A wins the game</t>
  </si>
  <si>
    <t>C) Player B's group is alive</t>
  </si>
  <si>
    <t>A group with two eyes is considered alive in Go and cannot be captured.</t>
  </si>
  <si>
    <t>Player A is attempting to invade Player B's territory, but Player B has a strong group with multiple eyes. What must Player A do to capture Player B's group?</t>
  </si>
  <si>
    <t>A) Surround Player B's stones and block the eyes, B) Create a Ko, C) Form a ladder, D) Connect Player A's groups</t>
  </si>
  <si>
    <t>A) Surround Player B's stones and block the eyes</t>
  </si>
  <si>
    <t>To capture Player B's group, Player A must ensure that Player B cannot create new eyes and must fully surround their group.</t>
  </si>
  <si>
    <t>Player A places a stone in a position that forces Player B to capture it or lose a large group. What is the term for this move?</t>
  </si>
  <si>
    <t>A) Tesuji, B) Ko, C) Life and death, D) Moyo</t>
  </si>
  <si>
    <t>Tesuji refers to a clever and effective move that puts pressure on the opponent, often forcing them to respond.</t>
  </si>
  <si>
    <t>Player A and Player B are playing on a 13x13 board. Player A surrounds a corner, but Player B attempts to invade it. What is Player A's best defense?</t>
  </si>
  <si>
    <t>To ensure survival, Player A needs two eyes in the corner to make the group alive and prevent capture.</t>
  </si>
  <si>
    <t>Player A is playing a game of Go and surrounds Player B's group of stones. What move must Player B make to survive the capture?</t>
  </si>
  <si>
    <t>A) Create an eye, B) Connect to another group, C) Form a Ko, D) Capture Player A's stones</t>
  </si>
  <si>
    <t>A) Create an eye, B) Connect to another group</t>
  </si>
  <si>
    <t>Player B must either create an eye or connect their group to another group to avoid capture.</t>
  </si>
  <si>
    <t>Player A places a stone that captures one of Player B's stones. What is the captured stone called?</t>
  </si>
  <si>
    <t>A) A captured stone, B) A dead stone, C) A prisoner, D) A ko stone</t>
  </si>
  <si>
    <t>C) A prisoner</t>
  </si>
  <si>
    <t>In Go, a stone that is captured and removed from the board is referred to as a prisoner.</t>
  </si>
  <si>
    <t>Player A plays a move that leads to a Ko. What happens if Player B recaptures immediately after Player A's capture?</t>
  </si>
  <si>
    <t>A) Player A wins the game, B) The game enters an infinite loop, C) Player B loses a turn, D) Player B recaptures without restriction</t>
  </si>
  <si>
    <t>B) The game enters an infinite loop</t>
  </si>
  <si>
    <t>In Go, the Ko rule prevents a player from immediately recapturing a stone, which would create an infinite loop.</t>
  </si>
  <si>
    <t>During a Go game, Player A surrounds a corner and has formed two eyes, but Player B has stones nearby. What should Player B do to prevent Player A from expanding their territory?</t>
  </si>
  <si>
    <t>A) Create a second eye, B) Form a Ko, C) Surround Player A's group, D) Attack Player A's group</t>
  </si>
  <si>
    <t>C) Surround Player A's group</t>
  </si>
  <si>
    <t>To prevent Player A from expanding their territory, Player B should try to surround Player A's group and cut off their escape routes.</t>
  </si>
  <si>
    <t>In a Go game, Player A has a group of stones surrounded by Player B. What is the group called if it has no eyes and is about to be captured?</t>
  </si>
  <si>
    <t>A) Dead group, B) Alive group, C) Ko group, D) Seki group</t>
  </si>
  <si>
    <t>A) Dead group</t>
  </si>
  <si>
    <t>A group without eyes and surrounded by the opponent is considered a dead group and will be captured.</t>
  </si>
  <si>
    <t>Player A places a stone that threatens to capture Player B's group. Player B responds by creating a second eye in the group. What is the status of Player B's group?</t>
  </si>
  <si>
    <t>A) The group is dead, B) The group is alive, C) The group will be captured, D) The group is in Seki</t>
  </si>
  <si>
    <t>A group with two eyes is considered alive in Go, making it immune to capture.</t>
  </si>
  <si>
    <t>Player A plays a move that threatens Player B's group of stones, but Player B places a stone that connects their group. What term is used for this move?</t>
  </si>
  <si>
    <t>A) Tesuji, B) Sabaki, C) Atari, D) Connection</t>
  </si>
  <si>
    <t>D) Connection</t>
  </si>
  <si>
    <t>Connection is a move where a player links their groups of stones to strengthen their position and prevent capture.</t>
  </si>
  <si>
    <t>Player A and Player B are playing a 9x9 Go board. Player A surrounds Player B's group, but Player B has one stone that connects to a larger group. What is Player A's next move?</t>
  </si>
  <si>
    <t>A) Capture Player B's group, B) Surround Player B's stone, C) Attack Player B's larger group, D) Connect Player A's groups</t>
  </si>
  <si>
    <t>B) Surround Player B's stone</t>
  </si>
  <si>
    <t>Player A must surround Player B's connecting stone to cut off its link to the larger group and capture the group.</t>
  </si>
  <si>
    <t>In a Go game, Player A plays a move that threatens to capture Player B's group. Player B responds by capturing Player A's stones. What has Player B accomplished?</t>
  </si>
  <si>
    <t>A) Saved their group, B) Created a Ko, C) Lost a stone, D) Won the game</t>
  </si>
  <si>
    <t>A) Saved their group</t>
  </si>
  <si>
    <t>By capturing Player A's stones, Player B has ensured that their group remains alive and secure.</t>
  </si>
  <si>
    <t>Player A surrounds Player B's group but has not yet captured it. What is the most likely outcome if Player B creates two eyes?</t>
  </si>
  <si>
    <t>A) Player B's group will be captured, B) Player B's group will be alive, C) Player A wins, D) The game ends in a draw</t>
  </si>
  <si>
    <t>B) Player B's group will be alive</t>
  </si>
  <si>
    <t>If Player B creates two eyes in the surrounded group, it will be alive and cannot be captured.</t>
  </si>
  <si>
    <t>Player A surrounds an area of the board, but Player B manages to invade. What is the best way for Player A to prevent Player B from capturing their stones?</t>
  </si>
  <si>
    <t>A) Connect Player A's groups, B) Form a Ko, C) Surround Player B's group, D) Create two eyes</t>
  </si>
  <si>
    <t>C) Surround Player B's group, D) Create two eyes</t>
  </si>
  <si>
    <t>To prevent capture, Player A should surround Player B's invading stones or create two eyes for their own group to stay alive.</t>
  </si>
  <si>
    <t>Player A plays a move that leads to a Ko situation. What can Player B do to avoid recapturing the same stone and causing an infinite loop?</t>
  </si>
  <si>
    <t>A) Capture Player A's stone, B) Wait until Player A plays elsewhere, C) Surround Player A's group, D) Play a different move</t>
  </si>
  <si>
    <t>B) Wait until Player A plays elsewhere, D) Play a different move</t>
  </si>
  <si>
    <t>The Ko rule prevents immediate recapture, so Player B must play elsewhere before recapturing the stone.</t>
  </si>
  <si>
    <t>Player A has a group of stones surrounded by Player B on three sides. What must Player A do to survive?</t>
  </si>
  <si>
    <t>A) Create a second eye, B) Connect to a larger group, C) Form a Ko, D) Surround Player B's stones</t>
  </si>
  <si>
    <t>A) Create a second eye, B) Connect to a larger group</t>
  </si>
  <si>
    <t>Player A must either create a second eye or connect to another group to ensure their group's survival.</t>
  </si>
  <si>
    <t>Player A surrounds an area with their stones but fails to create two eyes. What happens if Player B invades?</t>
  </si>
  <si>
    <t>A) Player B's stones will be captured, B) Player A's group will be captured, C) The group will survive, D) The game ends</t>
  </si>
  <si>
    <t>B) Player A's group will be captured</t>
  </si>
  <si>
    <t>A group without two eyes is considered dead and will be captured if the opponent invades.</t>
  </si>
  <si>
    <t>Player A places a stone that captures Player B's stone. What happens next?</t>
  </si>
  <si>
    <t>A) Player A gains a point, B) Player B must recapture immediately, C) Player A removes Player B's stone from the board, D) The game ends</t>
  </si>
  <si>
    <t>C) Player A removes Player B's stone from the board</t>
  </si>
  <si>
    <t>Captured stones are removed from the board, and Player A gains a prisoner for their score.</t>
  </si>
  <si>
    <t>Player A is attacking Player B's group, but Player B manages to create an eye. What must Player A do to prevent the group from surviving?</t>
  </si>
  <si>
    <t>A) Create a second eye, B) Surround the group, C) Capture Player B's stones, D) Create a Ko</t>
  </si>
  <si>
    <t>B) Surround the group, C) Capture Player B's stones</t>
  </si>
  <si>
    <t>Player A must either surround the group completely or block the creation of a second eye to capture the group.</t>
  </si>
  <si>
    <t>Player A surrounds Player B's group, but Player B manages to create two eyes in the group. What is the status of Player B's group?</t>
  </si>
  <si>
    <t>A) The group is alive, B) The group is dead, C) Player A can still capture the group, D) Player A wins the game</t>
  </si>
  <si>
    <t>A) The group is alive</t>
  </si>
  <si>
    <t>A group with two eyes is considered alive and cannot be captured.</t>
  </si>
  <si>
    <t>Player A and Player B are playing on a 9x9 board. Player A places a stone in the center of the board. What is the strategic advantage of this move?</t>
  </si>
  <si>
    <t>A) It helps control the center of the board, B) It is an aggressive move, C) It limits Player B's movements, D) It is a defensive move</t>
  </si>
  <si>
    <t>A) It helps control the center of the board</t>
  </si>
  <si>
    <t>In Go, controlling the center gives a player greater flexibility and influence over the board.</t>
  </si>
  <si>
    <t>Player A surrounds a group of Player B's stones but does not capture them. What must Player A do next to capture Player B's group?</t>
  </si>
  <si>
    <t>A) Create two eyes for their own group, B) Surround the group completely, C) Escape to another part of the board, D) Attack Player B's larger group</t>
  </si>
  <si>
    <t>B) Surround the group completely</t>
  </si>
  <si>
    <t>To capture Player B's group, Player A must surround the group entirely, cutting off any potential escape routes.</t>
  </si>
  <si>
    <t>Player A places a stone that captures Player B's group. What happens to Player B's stones?</t>
  </si>
  <si>
    <t>A) Player B removes the stones from the board, B) Player A removes Player B's stones, C) Player A gains a prisoner, D) Player A wins the game</t>
  </si>
  <si>
    <t>B) Player A removes Player B's stones, C) Player A gains a prisoner</t>
  </si>
  <si>
    <t>Captured stones are removed from the board, and Player A gains them as prisoners.</t>
  </si>
  <si>
    <t>Player A and Player B are playing on a 19x19 board. Player A forms a large moyo (territory) in the center. What is the best strategy for Player B?</t>
  </si>
  <si>
    <t>A) Attack Player A's moyo, B) Expand their own moyo, C) Invade the moyo to reduce Player A's territory, D) Build a second moyo</t>
  </si>
  <si>
    <t>C) Invade the moyo to reduce Player A's territory</t>
  </si>
  <si>
    <t>To reduce Player A's influence, Player B should invade the moyo and reduce its potential points.</t>
  </si>
  <si>
    <t>Player A has a group of stones surrounded by Player B but has created one eye. What must Player A do to survive?</t>
  </si>
  <si>
    <t>A) Create a second eye, B) Attack Player B's group, C) Escape from the surrounded area, D) Connect to another group</t>
  </si>
  <si>
    <t>A group with two eyes is alive and cannot be captured. Player A must create the second eye for survival.</t>
  </si>
  <si>
    <t>Player A plays a move that forces Player B to either capture Player A's stone or lose a large group. What is this tactic called?</t>
  </si>
  <si>
    <t>A) Tesuji, B) Ko, C) Life and death, D) Snapback</t>
  </si>
  <si>
    <t>Tesuji refers to a clever and effective move that puts pressure on the opponent, often forcing them into a difficult position.</t>
  </si>
  <si>
    <t>Player A has a group of stones surrounded by Player B's stones. Player A has one eye but is in danger of losing the group. What is Player A's best move?</t>
  </si>
  <si>
    <t>A) Create a second eye, B) Connect to another group, C) Surround Player B's group, D) Escape the surrounded area</t>
  </si>
  <si>
    <t>A) Create a second eye, B) Connect to another group</t>
  </si>
  <si>
    <t>To survive, Player A must either create a second eye or connect to another group to strengthen their position.</t>
  </si>
  <si>
    <t>Player A places a stone that cuts off Player B's connection between two groups. What is Player A attempting to do?</t>
  </si>
  <si>
    <t>A) Capture one of Player B's groups, B) Increase their own territory, C) Force Player B to play defensively, D) Create a Ko</t>
  </si>
  <si>
    <t>A) Capture one of Player B's groups, C) Force Player B to play defensively</t>
  </si>
  <si>
    <t>By cutting off Player B's connection, Player A is attempting to capture one of Player B's groups and force them to defend.</t>
  </si>
  <si>
    <t>In Go, what happens if a group has no liberties left?</t>
  </si>
  <si>
    <t>A) The group is captured, B) The group becomes a dead stone, C) The group is revived, D) The group is sent to the opponent's side</t>
  </si>
  <si>
    <t>A) The group is captured</t>
  </si>
  <si>
    <t>A group with no liberties is captured and removed from the board.</t>
  </si>
  <si>
    <t>In Go, what is the term for a situation where neither player can make a profitable move?</t>
  </si>
  <si>
    <t>A) Ko, B) Seki, C) Fuseki, D) Gote</t>
  </si>
  <si>
    <t>B) Seki</t>
  </si>
  <si>
    <t>Seki is a stalemate where stones live without territory.</t>
  </si>
  <si>
    <t>What happens when a stone or group has no remaining liberties?</t>
  </si>
  <si>
    <t>A) It is removed, B) It gains a point, C) It becomes neutral, D) It gains a liberty</t>
  </si>
  <si>
    <t>A) It is removed</t>
  </si>
  <si>
    <t>What happens when a group of stones forms two separate 'eyes'?</t>
  </si>
  <si>
    <t>A) The group is alive, B) The group is dead, C) The group is captured, D) The group is removed</t>
  </si>
  <si>
    <t>A group with two eyes cannot be captured and is considered alive.</t>
  </si>
  <si>
    <t>In Go, what is the term for a move that forces the opponent to respond, often leading to the capture of stones?</t>
  </si>
  <si>
    <t>A) Atari, B) Ko, C) Seki, D) Sente</t>
  </si>
  <si>
    <t>A) Atari</t>
  </si>
  <si>
    <t>Atari refers to a move that places the opponent's group of stones in immediate danger of being captured.</t>
  </si>
  <si>
    <t>You notice your opponent is attempting to surround a large group of your stones. What should you do?</t>
  </si>
  <si>
    <t>A) Reinforce the group B) Ignore C) Sacrifice randomly D) Move elsewhere</t>
  </si>
  <si>
    <t>A) Reinforce the group</t>
  </si>
  <si>
    <t>Your opponent plays a move threatening multiple territories. How do you respond?</t>
  </si>
  <si>
    <t>A) Protect vulnerable points B) Ignore C) Play randomly D) Sacrifice stones</t>
  </si>
  <si>
    <t>A) Protect vulnerable points</t>
  </si>
  <si>
    <t>You have the opportunity to capture one stone. What’s your best action?</t>
  </si>
  <si>
    <t>A) Capture immediately B) Wait C) Ignore D) Sacrifice another stone</t>
  </si>
  <si>
    <t>A) Capture immediately</t>
  </si>
  <si>
    <t>Your opponent is focusing on one corner. What strategy should you use?</t>
  </si>
  <si>
    <t>A) Expand in another corner B) Ignore C) Play randomly D) Sacrifice stones</t>
  </si>
  <si>
    <t>A) Expand in another corner</t>
  </si>
  <si>
    <t>Mid-game, your stones are disconnected. How do you proceed?</t>
  </si>
  <si>
    <t>A) Connect stones B) Ignore C) Sacrifice D) Play randomly</t>
  </si>
  <si>
    <t>A) Connect stones</t>
  </si>
  <si>
    <t>You notice a “ladder” threat. What is your response?</t>
  </si>
  <si>
    <t>A) Block the ladder B) Ignore C) Sacrifice stones D) Play randomly</t>
  </si>
  <si>
    <t>A) Block the ladder</t>
  </si>
  <si>
    <t>Opponent is attempting to create a moyo (framework). How do you counter?</t>
  </si>
  <si>
    <t>A) Infiltrate the moyo B) Ignore C) Sacrifice D) Play randomly</t>
  </si>
  <si>
    <t>A) Infiltrate the moyo</t>
  </si>
  <si>
    <t>Your group is at risk of being surrounded. What’s your best move?</t>
  </si>
  <si>
    <t>A) Create two eyes B) Ignore C) Sacrifice D) Play elsewhere</t>
  </si>
  <si>
    <t>A) Create two eyes</t>
  </si>
  <si>
    <t>You have a chance to threaten multiple opponent stones. How do you proceed?</t>
  </si>
  <si>
    <t>A) Apply simultaneous threat B) Ignore C) Sacrifice D) Play randomly</t>
  </si>
  <si>
    <t>A) Apply simultaneous threat</t>
  </si>
  <si>
    <t>Opponent sacrifices stones for territory. What should your strategy be?</t>
  </si>
  <si>
    <t>A) Respond strategically to gain influence B) Ignore C) Play randomly D) Sacrifice more</t>
  </si>
  <si>
    <t>A) Respond strategically to gain influence</t>
  </si>
  <si>
    <t>You see a potential ko fight forming. How should you react?</t>
  </si>
  <si>
    <t>A) Prepare ko threats B) Ignore C) Sacrifice D) Play randomly</t>
  </si>
  <si>
    <t>A) Prepare ko threats</t>
  </si>
  <si>
    <t>Opponent strengthens a weak group. What’s your best action?</t>
  </si>
  <si>
    <t>A) Press elsewhere B) Ignore C) Sacrifice D) Play randomly</t>
  </si>
  <si>
    <t>A) Press elsewhere</t>
  </si>
  <si>
    <t>Mid-game, your territory is expanding slowly. What’s optimal?</t>
  </si>
  <si>
    <t>A) Secure borders and invade lightly B) Ignore C) Sacrifice D) Play randomly</t>
  </si>
  <si>
    <t>A) Secure borders and invade lightly</t>
  </si>
  <si>
    <t>Your opponent creates two weak groups close together. What’s your tactic?</t>
  </si>
  <si>
    <t>A) Attack both B) Ignore C) Sacrifice D) Play elsewhere</t>
  </si>
  <si>
    <t>A) Attack both</t>
  </si>
  <si>
    <t>You have an opportunity to cut opponent’s stones. How should you act?</t>
  </si>
  <si>
    <t>A) Cut immediately B) Ignore C) Sacrifice D) Play elsewhere</t>
  </si>
  <si>
    <t>A) Cut immediately</t>
  </si>
  <si>
    <t>You are under threat of losing a key corner. What’s your response?</t>
  </si>
  <si>
    <t>A) Reinforce corner B) Ignore C) Sacrifice D) Play randomly</t>
  </si>
  <si>
    <t>A) Reinforce corner</t>
  </si>
  <si>
    <t>Your opponent is building influence across the board. What’s optimal?</t>
  </si>
  <si>
    <t>A) Reduce influence by invasion B) Ignore C) Sacrifice D) Play randomly</t>
  </si>
  <si>
    <t>A) Reduce influence by invasion</t>
  </si>
  <si>
    <t>You notice a large empty area in the center. How do you proceed?</t>
  </si>
  <si>
    <t>A) Expand influence B) Ignore C) Sacrifice D) Play randomly</t>
  </si>
  <si>
    <t>A) Expand influence</t>
  </si>
  <si>
    <t>Opponent is attempting a ladder against your stones. How to respond?</t>
  </si>
  <si>
    <t>A) Break ladder B) Ignore C) Sacrifice D) Play elsewhere</t>
  </si>
  <si>
    <t>A) Break ladder</t>
  </si>
  <si>
    <t>Your weak group is near the edge. How do you ensure survival?</t>
  </si>
  <si>
    <t>A) Connect to strong group B) Ignore C) Sacrifice D) Play randomly</t>
  </si>
  <si>
    <t>A) Connect to strong group</t>
  </si>
  <si>
    <t>You can threaten two groups at once. What’s your move?</t>
  </si>
  <si>
    <t>A) Simultaneously attack both B) Ignore C) Sacrifice D) Play randomly</t>
  </si>
  <si>
    <t>A) Simultaneously attack both</t>
  </si>
  <si>
    <t>Opponent plays a move that splits your stones. How to react?</t>
  </si>
  <si>
    <t>A) Reconnect stones B) Ignore C) Sacrifice D) Play elsewhere</t>
  </si>
  <si>
    <t>A) Reconnect stones</t>
  </si>
  <si>
    <t>Mid-game, your moyo is incomplete. What should you do?</t>
  </si>
  <si>
    <t>A) Solidify borders B) Ignore C) Sacrifice D) Play randomly</t>
  </si>
  <si>
    <t>A) Solidify borders</t>
  </si>
  <si>
    <t>Your opponent attempts a ko fight in the center. How do you handle it?</t>
  </si>
  <si>
    <t>A) Prepare multiple ko threats B) Ignore C) Sacrifice D) Play elsewhere</t>
  </si>
  <si>
    <t>A) Prepare multiple ko threats</t>
  </si>
  <si>
    <t>You notice a potential eye space for your weak group. What’s best?</t>
  </si>
  <si>
    <t>A) Secure eye space B) Ignore C) Sacrifice D) Play randomly</t>
  </si>
  <si>
    <t>A) Secure eye space</t>
  </si>
  <si>
    <t>Opponent strengthens one side heavily. How should you proceed?</t>
  </si>
  <si>
    <t>A) Pressure weaker areas B) Ignore C) Sacrifice D) Play randomly</t>
  </si>
  <si>
    <t>A) Pressure weaker areas</t>
  </si>
  <si>
    <t>Your group is surrounded by opponent stones. How do you survive?</t>
  </si>
  <si>
    <t>A) Connect to safe group B) Ignore C) Sacrifice D) Play elsewhere</t>
  </si>
  <si>
    <t>A) Connect to safe group</t>
  </si>
  <si>
    <t>You have an opportunity to create a living shape. What’s your move?</t>
  </si>
  <si>
    <t>A) Form two eyes B) Ignore C) Sacrifice D) Play randomly</t>
  </si>
  <si>
    <t>Opponent leaves a cutting point open. How should you respond?</t>
  </si>
  <si>
    <t>Your opponent builds influence across one side. How do you respond?</t>
  </si>
  <si>
    <t>A) Invasion and reduction B) Ignore C) Sacrifice D) Play randomly</t>
  </si>
  <si>
    <t>A) Invasion and reduction</t>
  </si>
  <si>
    <t>Mid-game, your weak group is near the center. What’s best?</t>
  </si>
  <si>
    <t>A) Connect or escape B) Ignore C) Sacrifice D) Play randomly</t>
  </si>
  <si>
    <t>A) Connect or escape</t>
  </si>
  <si>
    <t>Opponent plays a hane threatening your group. How should you respond?</t>
  </si>
  <si>
    <t>A) Extend or block B) Ignore C) Sacrifice D) Play randomly</t>
  </si>
  <si>
    <t>A) Extend or block</t>
  </si>
  <si>
    <t>You notice a large potential territory. How should you secure it?</t>
  </si>
  <si>
    <t>A) Build strong walls B) Ignore C) Sacrifice D) Play randomly</t>
  </si>
  <si>
    <t>A) Build strong walls</t>
  </si>
  <si>
    <t>Opponent threatens a ladder with one stone. What’s your move?</t>
  </si>
  <si>
    <t>A) Defend or block ladder B) Ignore C) Sacrifice D) Play randomly</t>
  </si>
  <si>
    <t>A) Defend or block ladder</t>
  </si>
  <si>
    <t>Your weak group is near a corner. What’s the optimal action?</t>
  </si>
  <si>
    <t>A) Connect to corner stones B) Ignore C) Sacrifice D) Play elsewhere</t>
  </si>
  <si>
    <t>A) Connect to corner stones</t>
  </si>
  <si>
    <t>You can threaten two opponent weak groups. What’s the best strategy?</t>
  </si>
  <si>
    <t>A) Attack simultaneously B) Ignore C) Sacrifice D) Play elsewhere</t>
  </si>
  <si>
    <t>A) Attack simultaneously</t>
  </si>
  <si>
    <t>Opponent cuts a vital connection. How do you respond?</t>
  </si>
  <si>
    <t>A) Reconnect immediately B) Ignore C) Sacrifice D) Play elsewhere</t>
  </si>
  <si>
    <t>A) Reconnect immediately</t>
  </si>
  <si>
    <t>Mid-game, your influence is blocked. What’s the best plan?</t>
  </si>
  <si>
    <t>A) Play to reduce opponent’s influence B) Ignore C) Sacrifice D) Play randomly</t>
  </si>
  <si>
    <t>A) Play to reduce opponent’s influence</t>
  </si>
  <si>
    <t>Your opponent sacrifices a few stones. How do you react?</t>
  </si>
  <si>
    <t>A) Evaluate benefit B) Ignore C) Sacrifice D) Play randomly</t>
  </si>
  <si>
    <t>A) Evaluate benefit</t>
  </si>
  <si>
    <t>You have an opportunity to play a forcing move. What’s the action?</t>
  </si>
  <si>
    <t>A) Play forcing move B) Ignore C) Sacrifice D) Play elsewhere</t>
  </si>
  <si>
    <t>A) Play forcing move</t>
  </si>
  <si>
    <t>Opponent threatens two groups. How do you respond?</t>
  </si>
  <si>
    <t>A) Address both threats B) Ignore C) Sacrifice D) Play randomly</t>
  </si>
  <si>
    <t>A) Address both threats</t>
  </si>
  <si>
    <t>Your weak group is near the edge. What’s optimal?</t>
  </si>
  <si>
    <t>A) Connect to stronger group B) Ignore C) Sacrifice D) Play elsewhere</t>
  </si>
  <si>
    <t>A) Connect to stronger group</t>
  </si>
  <si>
    <t>Mid-game, the center is empty. How should you proceed?</t>
  </si>
  <si>
    <t>Opponent plays aggressively in one area. How do you respond?</t>
  </si>
  <si>
    <t>A) Counterattack elsewhere B) Ignore C) Sacrifice D) Play randomly</t>
  </si>
  <si>
    <t>A) Counterattack elsewhere</t>
  </si>
  <si>
    <t>You have a chance to threaten multiple cuts. What’s your action?</t>
  </si>
  <si>
    <t>A) Execute threat B) Ignore C) Sacrifice D) Play elsewhere</t>
  </si>
  <si>
    <t>A) Execute threat</t>
  </si>
  <si>
    <t>Opponent leaves an open eye space. How should you respond?</t>
  </si>
  <si>
    <t>A) Fill to prevent life B) Ignore C) Sacrifice D) Play randomly</t>
  </si>
  <si>
    <t>A) Fill to prevent life</t>
  </si>
  <si>
    <t>You notice your group is vulnerable to attack. What’s your move?</t>
  </si>
  <si>
    <t>A) Reinforce connection B) Ignore C) Sacrifice D) Play randomly</t>
  </si>
  <si>
    <t>A) Reinforce connection</t>
  </si>
  <si>
    <t>Opponent threatens multiple areas simultaneously. How do you act?</t>
  </si>
  <si>
    <t>A) Prioritize critical areas B) Ignore C) Sacrifice D) Play randomly</t>
  </si>
  <si>
    <t>A) Prioritize critical areas</t>
  </si>
  <si>
    <t>Mid-game, your stones are disconnected. What’s the optimal move?</t>
  </si>
  <si>
    <t>You can capture a weak group. What’s best?</t>
  </si>
  <si>
    <t>A) Capture immediately B) Ignore C) Sacrifice D) Play elsewhere</t>
  </si>
  <si>
    <t>Opponent strengthens one corner. How do you respond?</t>
  </si>
  <si>
    <t>A) Press weaker areas B) Ignore C) Sacrifice D) Play randomly</t>
  </si>
  <si>
    <t>A) Press weaker areas</t>
  </si>
  <si>
    <t>A ladder threat is emerging. How should you react?</t>
  </si>
  <si>
    <t>A) Block or escape B) Ignore C) Sacrifice D) Play elsewhere</t>
  </si>
  <si>
    <t>A) Block or escape</t>
  </si>
  <si>
    <t>You can create two eyes for survival. What’s the action?</t>
  </si>
  <si>
    <t>A) Play to form eyes B) Ignore C) Sacrifice D) Play elsewhere</t>
  </si>
  <si>
    <t>A) Play to form eyes</t>
  </si>
  <si>
    <t>Opponent leaves a cutting point. What’s the best move?</t>
  </si>
  <si>
    <t>You notice large potential territory in center. How do you act?</t>
  </si>
  <si>
    <t>You notice an opponent attempting a big moyo in the center. How do you counter?</t>
  </si>
  <si>
    <t>A) Infiltrate and reduce B) Ignore C) Sacrifice D) Play randomly</t>
  </si>
  <si>
    <t>A) Infiltrate and reduce</t>
  </si>
  <si>
    <t>Mid-game, your weak group is threatened. What’s your best response?</t>
  </si>
  <si>
    <t>A) Connect or create eyes B) Ignore C) Sacrifice D) Play elsewhere</t>
  </si>
  <si>
    <t>A) Connect or create eyes</t>
  </si>
  <si>
    <t>Your opponent sacrifices stones for influence. How should you react?</t>
  </si>
  <si>
    <t>A) Evaluate benefit and respond B) Ignore C) Sacrifice D) Play randomly</t>
  </si>
  <si>
    <t>A) Evaluate benefit and respond</t>
  </si>
  <si>
    <t>You can create a double threat. What’s your action?</t>
  </si>
  <si>
    <t>A) Execute both threats B) Ignore C) Sacrifice D) Play elsewhere</t>
  </si>
  <si>
    <t>A) Execute both threats</t>
  </si>
  <si>
    <t>Opponent strengthens one side heavily. How do you respond?</t>
  </si>
  <si>
    <t>A) Attack weaker side B) Ignore C) Sacrifice D) Play randomly</t>
  </si>
  <si>
    <t>A) Attack weaker side</t>
  </si>
  <si>
    <t>You see a ladder opportunity. How do you act?</t>
  </si>
  <si>
    <t>A) Execute ladder B) Ignore C) Sacrifice D) Play elsewhere</t>
  </si>
  <si>
    <t>A) Execute ladder</t>
  </si>
  <si>
    <t>Mid-game, you have a chance to cut two groups. What’s your move?</t>
  </si>
  <si>
    <t>A) Cut immediately B) Ignore C) Sacrifice D) Play randomly</t>
  </si>
  <si>
    <t>Your stones are disconnected across the board. What’s the optimal play?</t>
  </si>
  <si>
    <t>A) Connect stones B) Ignore C) Sacrifice D) Play elsewhere</t>
  </si>
  <si>
    <t>Opponent leaves an empty triangle. How should you respond?</t>
  </si>
  <si>
    <t>A) Play to exploit shape B) Ignore C) Sacrifice D) Play randomly</t>
  </si>
  <si>
    <t>A) Play to exploit shape</t>
  </si>
  <si>
    <t>You can threaten an opponent’s eye space. What’s the action?</t>
  </si>
  <si>
    <t>A) Attack immediately B) Ignore C) Sacrifice D) Play elsewhere</t>
  </si>
  <si>
    <t>A) Attack immediately</t>
  </si>
  <si>
    <t>Opponent is expanding too quickly in one corner. How do you respond?</t>
  </si>
  <si>
    <t>A) Invasion B) Ignore C) Sacrifice D) Play randomly</t>
  </si>
  <si>
    <t>A) Invasion</t>
  </si>
  <si>
    <t>Your weak group is surrounded but can escape. What should you do?</t>
  </si>
  <si>
    <t>A) Escape or connect B) Ignore C) Sacrifice D) Play elsewhere</t>
  </si>
  <si>
    <t>A) Escape or connect</t>
  </si>
  <si>
    <t>Mid-game, a ko fight emerges near your stones. What’s the correct approach?</t>
  </si>
  <si>
    <t>A) Prepare multiple ko threats B) Ignore C) Sacrifice D) Play randomly</t>
  </si>
  <si>
    <t>You have a chance to make a living shape. What’s your move?</t>
  </si>
  <si>
    <t>A) Form two eyes B) Ignore C) Sacrifice D) Play elsewhere</t>
  </si>
  <si>
    <t>Opponent threatens multiple weak groups. How do you respond?</t>
  </si>
  <si>
    <t>A) Prioritize critical attacks B) Ignore C) Sacrifice D) Play randomly</t>
  </si>
  <si>
    <t>A) Prioritize critical attacks</t>
  </si>
  <si>
    <t>Your stones are scattered. What’s the best strategy?</t>
  </si>
  <si>
    <t>A) Connect them efficiently B) Ignore C) Sacrifice D) Play randomly</t>
  </si>
  <si>
    <t>A) Connect them efficiently</t>
  </si>
  <si>
    <t>Opponent builds influence on one side. How should you react?</t>
  </si>
  <si>
    <t>You notice a potential eye space for survival. How do you act?</t>
  </si>
  <si>
    <t>Mid-game, your opponent threatens your corner. How should you respond?</t>
  </si>
  <si>
    <t>You can cut two opponent groups. What’s your action?</t>
  </si>
  <si>
    <t>Your group is near the edge and weak. How should you act?</t>
  </si>
  <si>
    <t>A) Connect to strong stones B) Ignore C) Sacrifice D) Play elsewhere</t>
  </si>
  <si>
    <t>A) Connect to strong stones</t>
  </si>
  <si>
    <t>Opponent threatens a ladder in mid-board. What’s your response?</t>
  </si>
  <si>
    <t>A) Break the ladder B) Ignore C) Sacrifice D) Play randomly</t>
  </si>
  <si>
    <t>A) Break the ladder</t>
  </si>
  <si>
    <t>You notice a potential moyo. What’s your strategy?</t>
  </si>
  <si>
    <t>A) Expand and secure borders B) Ignore C) Sacrifice D) Play randomly</t>
  </si>
  <si>
    <t>A) Expand and secure borders</t>
  </si>
  <si>
    <t>Opponent leaves a vital cutting point. How do you act?</t>
  </si>
  <si>
    <t>Mid-game, your weak group is surrounded by enemy stones. How do you survive?</t>
  </si>
  <si>
    <t>You can threaten opponent’s multiple groups. What’s your tactic?</t>
  </si>
  <si>
    <t>A) Simultaneous attack B) Ignore C) Sacrifice D) Play elsewhere</t>
  </si>
  <si>
    <t>A) Simultaneous attack</t>
  </si>
  <si>
    <t>Your opponent strengthens a key group. How do you respond?</t>
  </si>
  <si>
    <t>In Tai Chi, which of the following principles refers to the slow, deliberate movements that help improve balance and flexibility?</t>
  </si>
  <si>
    <t>A) Yin-Yang, B) Qigong, C) Wu Wei, D) Tai Chi Chuan</t>
  </si>
  <si>
    <t>B) Qigong</t>
  </si>
  <si>
    <t>Qigong is the practice of aligning breath, movement, and awareness for exercise, healing, and meditation, which aligns with Tai Chi's slow movements that improve balance and flexibility.</t>
  </si>
  <si>
    <t>During a Tai Chi session, a practitioner moves slowly and intentionally to maintain equilibrium. This practice aligns most closely with which principle?</t>
  </si>
  <si>
    <t>A) Flow, B) Stillness, C) Expansion, D) Centering</t>
  </si>
  <si>
    <t>D) Centering</t>
  </si>
  <si>
    <t>Centering refers to grounding oneself and finding balance through controlled, deliberate movement, which is a core aspect of Tai Chi practice.</t>
  </si>
  <si>
    <t>In Tai Chi, which of the following best explains the concept of 'Peng', which practitioners aim to embody during their movements?</t>
  </si>
  <si>
    <t>A) Softness, B) Firmness, C) Expansion, D) Forward motion</t>
  </si>
  <si>
    <t>C) Expansion</t>
  </si>
  <si>
    <t>Peng' is a Tai Chi concept where energy is expanded outward, representing a feeling of buoyancy and strength during movement.</t>
  </si>
  <si>
    <t>Which Tai Chi form is known for being particularly beneficial for improving joint mobility and muscle strength?</t>
  </si>
  <si>
    <t>A) Yang Style, B) Chen Style, C) Wu Style, D) Sun Style</t>
  </si>
  <si>
    <t>A) Yang Style</t>
  </si>
  <si>
    <t>The Yang style of Tai Chi is known for its flowing, graceful movements that help increase joint mobility, muscle strength, and overall flexibility.</t>
  </si>
  <si>
    <t>What is the primary focus of Tai Chi as practiced for health benefits, rather than as a martial art?</t>
  </si>
  <si>
    <t>A) Developing speed, B) Enhancing flexibility and strength, C) Increasing aggression, D) Improving speed and power</t>
  </si>
  <si>
    <t>B) Enhancing flexibility and strength</t>
  </si>
  <si>
    <t>Tai Chi for health emphasizes slow, controlled movements that improve flexibility, strength, and overall well-being, rather than focusing on combat skills.</t>
  </si>
  <si>
    <t>Which element of Tai Chi emphasizes relaxation and the release of tension in the body?</t>
  </si>
  <si>
    <t>A) Internal force, B) Breath control, C) Softness, D) Balance</t>
  </si>
  <si>
    <t>C) Softness</t>
  </si>
  <si>
    <t>Softness is a core principle of Tai Chi, emphasizing relaxation and the release of unnecessary tension to enhance fluid and efficient movement.</t>
  </si>
  <si>
    <t>During a Tai Chi sequence, which movement is commonly associated with the concept of 'Turning the Waist'?</t>
  </si>
  <si>
    <t>A) Pushing hands, B) Grasp the Bird's Tail, C) Single Whip, D) Brush Knee</t>
  </si>
  <si>
    <t>B) Grasp the Bird's Tail</t>
  </si>
  <si>
    <t>Grasp the Bird's Tail is a fundamental Tai Chi movement that incorporates turning the waist, which helps to generate power and maintain balance.</t>
  </si>
  <si>
    <t>In the context of Tai Chi, which of the following is most important when performing the movements?</t>
  </si>
  <si>
    <t>A) Speed, B) Breath, C) Strength, D) Aggression</t>
  </si>
  <si>
    <t>B) Breath</t>
  </si>
  <si>
    <t>Breath control is a central aspect of Tai Chi practice. It helps synchronize movements with internal energy flow and promotes relaxation.</t>
  </si>
  <si>
    <t>Which Tai Chi style is most famous for its explosive movements and high-intensity techniques?</t>
  </si>
  <si>
    <t>A) Chen Style, B) Wu Style, C) Yang Style, D) Sun Style</t>
  </si>
  <si>
    <t>A) Chen Style</t>
  </si>
  <si>
    <t>Chen Style Tai Chi is known for its dynamic movements that include both slow and fast motions, with more explosive and intense techniques.</t>
  </si>
  <si>
    <t>What does the Tai Chi practitioner aim to achieve through regular practice?</t>
  </si>
  <si>
    <t>A) Mental clarity, B) Aggressive power, C) Physical endurance, D) Improved cognitive function</t>
  </si>
  <si>
    <t>A) Mental clarity</t>
  </si>
  <si>
    <t>Tai Chi helps practitioners achieve mental clarity and calmness by integrating mind, body, and spirit through meditation in motion.</t>
  </si>
  <si>
    <t>During a Tai Chi session, a practitioner aims to harmonize the flow of energy through the body. Which of the following is the best term for this concept?</t>
  </si>
  <si>
    <t>A) Qi Flow, B) Yang Energy, C) Yin Balance, D) Energy Circulation</t>
  </si>
  <si>
    <t>A) Qi Flow</t>
  </si>
  <si>
    <t>Qi Flow refers to the natural flow of energy within the body, which Tai Chi practitioners seek to harmonize through their movements.</t>
  </si>
  <si>
    <t>Which Tai Chi posture involves moving the arms in a circular motion while shifting weight between legs?</t>
  </si>
  <si>
    <t>A) Parting the Wild Horse's Mane, B) Repulse Monkey, C) White Crane Spreads Wings, D) Wave Hands Like Clouds</t>
  </si>
  <si>
    <t>D) Wave Hands Like Clouds</t>
  </si>
  <si>
    <t>Wave Hands Like Clouds is a Tai Chi movement where the arms move in a circular, sweeping motion while the practitioner shifts weight from one leg to another.</t>
  </si>
  <si>
    <t>In Tai Chi practice, which body part is considered the center of energy and plays a critical role in maintaining balance and power?</t>
  </si>
  <si>
    <t>A) Head, B) Hands, C) Feet, D) Dantian</t>
  </si>
  <si>
    <t>D) Dantian</t>
  </si>
  <si>
    <t>The Dantian, located just below the navel, is considered the center of energy in Tai Chi, and practitioners focus on it to maintain balance and control.</t>
  </si>
  <si>
    <t>In a Tai Chi form, if a practitioner's weight is predominantly on the front leg while the back leg remains light, which position is being assumed?</t>
  </si>
  <si>
    <t>A) Empty stance, B) Bow stance, C) Reverse bow stance, D) Horse stance</t>
  </si>
  <si>
    <t>B) Bow stance</t>
  </si>
  <si>
    <t>The Bow stance involves placing the weight on the front leg while keeping the back leg light, creating a stable and balanced position.</t>
  </si>
  <si>
    <t>Which Tai Chi posture requires the practitioner to shift their weight to one leg while the other leg is lifted and extended forward?</t>
  </si>
  <si>
    <t>A) Grasp the Bird's Tail, B) Repulse Monkey, C) Step Back and Repulse Monkey, D) Single Whip</t>
  </si>
  <si>
    <t>C) Step Back and Repulse Monkey</t>
  </si>
  <si>
    <t>This posture involves shifting weight onto one leg while the other leg steps back and extends forward, helping to maintain balance and control.</t>
  </si>
  <si>
    <t>In Tai Chi, the concept of 'softness' (Ruan) is most important when responding to which of the following?</t>
  </si>
  <si>
    <t>A) Speed, B) External force, C) Internal energy, D) Agility</t>
  </si>
  <si>
    <t>B) External force</t>
  </si>
  <si>
    <t>Softness in Tai Chi refers to yielding and adapting to external force rather than meeting it with resistance. It allows practitioners to redirect or neutralize the opponent's force.</t>
  </si>
  <si>
    <t>In Tai Chi, the principle of 'Stillness in Motion' suggests that practitioners should:</t>
  </si>
  <si>
    <t>A) Perform rapid movements, B) Maintain complete stillness during practice, C) Control and center their movements through calm awareness, D) Focus solely on external technique</t>
  </si>
  <si>
    <t>C) Control and center their movements through calm awareness</t>
  </si>
  <si>
    <t>Stillness in motion refers to maintaining a sense of calm and centeredness even during the movement, helping to direct energy more effectively.</t>
  </si>
  <si>
    <t>Which Tai Chi movement is primarily focused on improving the coordination of hands and feet?</t>
  </si>
  <si>
    <t>A) Parting the Wild Horse's Mane, B) Brush Knee and Twist Step, C) White Crane Spreads Wings, D) Grasp the Bird's Tail</t>
  </si>
  <si>
    <t>B) Brush Knee and Twist Step</t>
  </si>
  <si>
    <t>This movement emphasizes coordinating the hands and feet in a smooth, flowing motion while shifting weight and maintaining balance.</t>
  </si>
  <si>
    <t>What is the main benefit of performing Tai Chi slowly and deliberately?</t>
  </si>
  <si>
    <t>A) To increase cardiovascular strength, B) To improve mental focus and concentration, C) To enhance muscle growth, D) To perform high-intensity exercises</t>
  </si>
  <si>
    <t>B) To improve mental focus and concentration</t>
  </si>
  <si>
    <t>Performing Tai Chi slowly helps practitioners to concentrate better, improving focus, mindfulness, and the connection between mind and body.</t>
  </si>
  <si>
    <t>What is the purpose of Tai Chi's emphasis on 'softness' rather than 'hardness' during martial techniques?</t>
  </si>
  <si>
    <t>A) To increase speed, B) To enhance the ability to yield and redirect force, C) To perform more aggressive attacks, D) To confuse the opponent</t>
  </si>
  <si>
    <t>B) To enhance the ability to yield and redirect force</t>
  </si>
  <si>
    <t>The softness allows Tai Chi practitioners to redirect and neutralize force, making use of the opponent's energy rather than meeting it with brute strength.</t>
  </si>
  <si>
    <t>In Tai Chi, which of the following movements is particularly beneficial for strengthening the legs and improving balance?</t>
  </si>
  <si>
    <t>A) White Crane Spreads Wings, B) Golden Rooster Stands on One Leg, C) Repulse Monkey, D) Grasp the Bird's Tail</t>
  </si>
  <si>
    <t>B) Golden Rooster Stands on One Leg</t>
  </si>
  <si>
    <t>This posture involves standing on one leg, helping to strengthen the legs and improve balance and focus.</t>
  </si>
  <si>
    <t>Which Tai Chi stance is best described by having both legs bent and feet spread shoulder-width apart, creating a stable base?</t>
  </si>
  <si>
    <t>A) Horse stance, B) Bow stance, C) Empty stance, D) Parallel stance</t>
  </si>
  <si>
    <t>A) Horse stance</t>
  </si>
  <si>
    <t>The Horse stance is a foundational position in Tai Chi that provides stability and strength, often used for building leg power and endurance.</t>
  </si>
  <si>
    <t>During a Tai Chi class, the instructor encourages practitioners to 'sink the qi' into the feet. What does this instruction refer to?</t>
  </si>
  <si>
    <t>A) Relaxing the legs, B) Focusing on the breath, C) Grounding oneself through the feet, D) Generating power from the legs</t>
  </si>
  <si>
    <t>C) Grounding oneself through the feet</t>
  </si>
  <si>
    <t>Sinking the qi into the feet refers to grounding and connecting with the earth, helping to maintain balance and stability during movements.</t>
  </si>
  <si>
    <t>When transitioning between Tai Chi postures, what is the primary focus for the practitioner?</t>
  </si>
  <si>
    <t>A) Speed of movement, B) Smoothness and fluidity, C) Maximizing force, D) Increasing muscle strength</t>
  </si>
  <si>
    <t>B) Smoothness and fluidity</t>
  </si>
  <si>
    <t>The transition between postures in Tai Chi should be smooth and fluid, maintaining the continuity of energy flow and movement.</t>
  </si>
  <si>
    <t>In Tai Chi, which of the following movements helps develop 'Peng,' the expansive energy of the arms?</t>
  </si>
  <si>
    <t>A) Grasp the Bird's Tail, B) White Crane Spreads Wings, C) Wave Hands Like Clouds, D) Single Whip</t>
  </si>
  <si>
    <t>D) Single Whip</t>
  </si>
  <si>
    <t>The Single Whip movement helps develop 'Peng' by using the expansive energy of the arms to create strong, controlled motion.</t>
  </si>
  <si>
    <t>In Tai Chi, which concept refers to the balance between the forces of expansion and contraction?</t>
  </si>
  <si>
    <t>A) Yin and Yang, B) Qi circulation, C) Wu Wei, D) Sticking and adhering</t>
  </si>
  <si>
    <t>A) Yin and Yang</t>
  </si>
  <si>
    <t>Yin and Yang represent the balancing forces of expansion and contraction, which is central to the philosophy and movement of Tai Chi.</t>
  </si>
  <si>
    <t>In a Tai Chi session, the practitioner performs a slow and deliberate movement transitioning from one stance to another. What is the main benefit of performing Tai Chi in this way?</t>
  </si>
  <si>
    <t>A) To increase flexibility B) To build muscle mass C) To enhance balance and focus D) To increase heart rate</t>
  </si>
  <si>
    <t>C) To enhance balance and focus</t>
  </si>
  <si>
    <t>Slow and deliberate movements in Tai Chi enhance the practitioner's balance, focus, and mental clarity, while also promoting stability.</t>
  </si>
  <si>
    <t>A Tai Chi practitioner is focusing on the concept of 'Sung' during their practice. What does 'Sung' primarily refer to?</t>
  </si>
  <si>
    <t>A) Relaxation of the body B) Contraction of muscles C) Strengthening the legs D) Fast, explosive movements</t>
  </si>
  <si>
    <t>A) Relaxation of the body</t>
  </si>
  <si>
    <t>Sung' refers to the concept of relaxing the body and mind while maintaining a strong and flexible posture, an essential principle in Tai Chi.</t>
  </si>
  <si>
    <t>During a Tai Chi class, the instructor emphasizes the importance of maintaining a relaxed mind and body while moving. What is the primary reason for this?</t>
  </si>
  <si>
    <t>A) To allow for quick reflexes B) To generate internal energy C) To develop mental discipline D) To create a sense of tension in the body</t>
  </si>
  <si>
    <t>B) To generate internal energy</t>
  </si>
  <si>
    <t>A relaxed mind and body enable the flow of internal energy (Qi), which is vital for the effective practice of Tai Chi.</t>
  </si>
  <si>
    <t>In Tai Chi, which of the following postures involves a wide stance with both knees bent and the body low to the ground?</t>
  </si>
  <si>
    <t>A) Horse stance B) Bow stance C) Empty stance D) High stance</t>
  </si>
  <si>
    <t>The Horse stance is a deep, wide stance that strengthens the legs and enhances stability.</t>
  </si>
  <si>
    <t>During a Tai Chi session, a practitioner is moving from one posture to another, ensuring smooth and seamless transitions. What does this emphasize?</t>
  </si>
  <si>
    <t>A) Speed B) Fluidity and continuity C) Quickness D) Forceful movements</t>
  </si>
  <si>
    <t>B) Fluidity and continuity</t>
  </si>
  <si>
    <t>Smooth transitions between postures emphasize fluidity, helping maintain the continuous flow of energy throughout the practice.</t>
  </si>
  <si>
    <t>A practitioner of Tai Chi is using the concept of 'Yin and Yang' to balance their movements. What does this concept teach?</t>
  </si>
  <si>
    <t>A) Using only strong force B) Balancing soft and hard elements C) Focusing solely on breath control D) Moving without thinking</t>
  </si>
  <si>
    <t>B) Balancing soft and hard elements</t>
  </si>
  <si>
    <t>The concept of Yin and Yang teaches balance by integrating soft (Yin) and hard (Yang) elements in movement and energy, creating harmony.</t>
  </si>
  <si>
    <t>What is the primary benefit of Tai Chi's focus on slow, controlled movements?</t>
  </si>
  <si>
    <t>A) To increase cardiovascular endurance B) To develop explosive strength C) To cultivate mindfulness and relaxation D) To build muscle mass quickly</t>
  </si>
  <si>
    <t>C) To cultivate mindfulness and relaxation</t>
  </si>
  <si>
    <t>Tai Chi's slow, controlled movements promote relaxation and mindfulness, helping practitioners connect body and mind.</t>
  </si>
  <si>
    <t>In a Tai Chi class, a practitioner is performing the movement known as 'Grasp the Bird's Tail'. What is the primary goal of this movement?</t>
  </si>
  <si>
    <t>A) To strengthen the arms B) To develop flexibility in the spine C) To integrate various Tai Chi principles D) To perform a martial strike</t>
  </si>
  <si>
    <t>C) To integrate various Tai Chi principles</t>
  </si>
  <si>
    <t>Grasp the Bird's Tail' integrates principles such as rooting, balance, and circular motion, making it a foundational movement in Tai Chi.</t>
  </si>
  <si>
    <t>A Tai Chi practitioner is focusing on maintaining a steady and controlled breath during practice. What is the primary reason for this?</t>
  </si>
  <si>
    <t>A) To increase strength B) To enhance focus and relaxation C) To engage in aerobic activity D) To increase muscular tension</t>
  </si>
  <si>
    <t>B) To enhance focus and relaxation</t>
  </si>
  <si>
    <t>Controlled breathing in Tai Chi helps to maintain calmness, enhance focus, and facilitate the flow of energy throughout the body.</t>
  </si>
  <si>
    <t>During Tai Chi practice, a practitioner must be aware of their 'root' in the ground. What does this concept refer to?</t>
  </si>
  <si>
    <t>A) Maintaining balance by staying rooted in the earth B) Increasing the speed of movement C) Focusing on the upper body D) Creating tension in the legs</t>
  </si>
  <si>
    <t>A) Maintaining balance by staying rooted in the earth</t>
  </si>
  <si>
    <t>The 'root' refers to maintaining a stable, grounded posture that supports balance and provides strength in movement.</t>
  </si>
  <si>
    <t>In Tai Chi, a practitioner is focusing on creating circles with their arms while transitioning between stances. What is the main benefit of this circular movement?</t>
  </si>
  <si>
    <t>A) To build explosive power B) To promote smooth, continuous energy flow C) To increase muscle tension D) To perform aggressive attacks</t>
  </si>
  <si>
    <t>B) To promote smooth, continuous energy flow</t>
  </si>
  <si>
    <t>Circular movements in Tai Chi facilitate the continuous flow of energy (Qi), which enhances the overall harmony and balance of the practice.</t>
  </si>
  <si>
    <t>A Tai Chi practitioner is working on the 'Golden Rooster Stands on One Leg' posture. What is the primary focus of this movement?</t>
  </si>
  <si>
    <t>A) Building leg strength and balance B) Increasing speed of movement C) Practicing martial techniques D) Enhancing arm flexibility</t>
  </si>
  <si>
    <t>A) Building leg strength and balance</t>
  </si>
  <si>
    <t>The 'Golden Rooster Stands on One Leg' posture is a balancing move that strengthens the legs and enhances focus and stability.</t>
  </si>
  <si>
    <t>A Tai Chi practitioner begins each session with deep, relaxed breathing and then moves into fluid postures. What is the goal of this warm-up?</t>
  </si>
  <si>
    <t>A) To build cardiovascular endurance B) To prepare the body and mind for fluid movements C) To perform high-intensity exercises D) To strengthen the muscles</t>
  </si>
  <si>
    <t>B) To prepare the body and mind for fluid movements</t>
  </si>
  <si>
    <t>The warm-up phase prepares the body for the slow, controlled movements of Tai Chi while calming the mind and preparing for focus.</t>
  </si>
  <si>
    <t>Which of the following Tai Chi stances is most commonly used for performing powerful strikes or defensive movements?</t>
  </si>
  <si>
    <t>A) Bow stance B) Empty stance C) Horse stance D) Cross stance</t>
  </si>
  <si>
    <t>A) Bow stance</t>
  </si>
  <si>
    <t>The Bow stance is often used in Tai Chi to execute powerful strikes and defensive techniques due to its strong and stable positioning.</t>
  </si>
  <si>
    <t>When practicing Tai Chi, why is it important to maintain a relaxed and natural posture?</t>
  </si>
  <si>
    <t>A) To increase speed and aggression B) To avoid muscle strain and maintain balance C) To focus on external techniques D) To generate high-intensity movements</t>
  </si>
  <si>
    <t>B) To avoid muscle strain and maintain balance</t>
  </si>
  <si>
    <t>Maintaining a relaxed posture allows for proper alignment, reduces muscle strain, and improves balance, making Tai Chi more effective.</t>
  </si>
  <si>
    <t>In Tai Chi, what is the primary focus when performing the 'Parting the Wild Horse's Mane' movement?</t>
  </si>
  <si>
    <t>A) Strengthening the arms B) Coordinating the breath and body C) Generating explosive power D) Increasing flexibility in the legs</t>
  </si>
  <si>
    <t>B) Coordinating the breath and body</t>
  </si>
  <si>
    <t>Parting the Wild Horse's Mane' is a fluid movement that emphasizes coordination between the breath and body to create harmony.</t>
  </si>
  <si>
    <t>Mid-practice, your balance wavers during a slow movement. What do you do?</t>
  </si>
  <si>
    <t>A) Adjust stance and focus B) Ignore C) Step back D) Pause</t>
  </si>
  <si>
    <t>A) Adjust stance and focus</t>
  </si>
  <si>
    <t>You notice a partner moving too quickly in paired practice. How should you respond?</t>
  </si>
  <si>
    <t>A) Match pace while maintaining form B) Ignore C) Stop D) Push forward</t>
  </si>
  <si>
    <t>A) Match pace while maintaining form</t>
  </si>
  <si>
    <t>During a push-hand exercise, your partner applies sudden force. Response?</t>
  </si>
  <si>
    <t>A) Yield and redirect B) Ignore C) Step forward D) Resist aggressively</t>
  </si>
  <si>
    <t>A) Yield and redirect</t>
  </si>
  <si>
    <t>You feel tension in your shoulders mid-routine. How do you correct it?</t>
  </si>
  <si>
    <t>A) Relax muscles and continue B) Ignore C) Stop D) Push harder</t>
  </si>
  <si>
    <t>A) Relax muscles and continue</t>
  </si>
  <si>
    <t>Partner shifts stance unexpectedly. How do you adapt?</t>
  </si>
  <si>
    <t>A) Adjust your weight and center B) Ignore C) Step back D) Jump</t>
  </si>
  <si>
    <t>A) Adjust your weight and center</t>
  </si>
  <si>
    <t>Mid-form, you lose rhythm. How should you regain flow?</t>
  </si>
  <si>
    <t>A) Focus on breathing and count movements B) Ignore C) Stop D) Rush movements</t>
  </si>
  <si>
    <t>A) Focus on breathing and count movements</t>
  </si>
  <si>
    <t>Partner applies pressure to your arms in push-hand. How do you respond?</t>
  </si>
  <si>
    <t>A) Redirect energy B) Ignore C) Step forward D) Resist</t>
  </si>
  <si>
    <t>A) Redirect energy</t>
  </si>
  <si>
    <t>During Tai Chi sword practice, your blade trajectory is off. What’s your action?</t>
  </si>
  <si>
    <t>A) Correct angle and continue B) Ignore C) Step back D) Pause</t>
  </si>
  <si>
    <t>A) Correct angle and continue</t>
  </si>
  <si>
    <t>Partner feints during sparring practice. How do you react?</t>
  </si>
  <si>
    <t>A) Stay relaxed and anticipate B) Ignore C) Step forward D) Strike randomly</t>
  </si>
  <si>
    <t>A) Stay relaxed and anticipate</t>
  </si>
  <si>
    <t>Mid-practice, your stance is unstable. What’s the optimal approach?</t>
  </si>
  <si>
    <t>A) Reset feet and center B) Ignore C) Step back D) Pause</t>
  </si>
  <si>
    <t>A) Reset feet and center</t>
  </si>
  <si>
    <t>Partner applies a circular force in push-hand. How do you counter?</t>
  </si>
  <si>
    <t>A) Redirect along the circle B) Ignore C) Step forward D) Resist directly</t>
  </si>
  <si>
    <t>A) Redirect along the circle</t>
  </si>
  <si>
    <t>Mid-form, you feel off-balance while turning. How should you adjust?</t>
  </si>
  <si>
    <t>A) Lower center of gravity B) Ignore C) Step forward D) Stop</t>
  </si>
  <si>
    <t>A) Lower center of gravity</t>
  </si>
  <si>
    <t>Partner moves too aggressively in paired practice. What’s your response?</t>
  </si>
  <si>
    <t>A) Yield and guide B) Ignore C) Step forward D) Counter directly</t>
  </si>
  <si>
    <t>A) Yield and guide</t>
  </si>
  <si>
    <t>During solo practice, your movements are rushed. How do you regain control?</t>
  </si>
  <si>
    <t>A) Slow down and focus on alignment B) Ignore C) Stop D) Push harder</t>
  </si>
  <si>
    <t>A) Slow down and focus on alignment</t>
  </si>
  <si>
    <t>Partner grabs your wrist in push-hand exercise. How do you respond?</t>
  </si>
  <si>
    <t>A) Redirect energy and release B) Ignore C) Step back D) Resist forcefully</t>
  </si>
  <si>
    <t>A) Redirect energy and release</t>
  </si>
  <si>
    <t>Mid-practice, opponent shifts weight unexpectedly. How do you react?</t>
  </si>
  <si>
    <t>A) Adjust balance B) Ignore C) Step forward D) Stop</t>
  </si>
  <si>
    <t>A) Adjust balance</t>
  </si>
  <si>
    <t>You feel tension in your legs during stances. What’s the optimal action?</t>
  </si>
  <si>
    <t>A) Relax muscles and correct posture B) Ignore C) Step forward D) Push harder</t>
  </si>
  <si>
    <t>A) Relax muscles and correct posture</t>
  </si>
  <si>
    <t>Partner applies circular push in a different direction. Response?</t>
  </si>
  <si>
    <t>A) Follow circle and redirect B) Ignore C) Step forward D) Resist</t>
  </si>
  <si>
    <t>A) Follow circle and redirect</t>
  </si>
  <si>
    <t>Mid-practice, you lose focus. How should you recover?</t>
  </si>
  <si>
    <t>A) Regain mental concentration B) Ignore C) Step back D) Pause</t>
  </si>
  <si>
    <t>A) Regain mental concentration</t>
  </si>
  <si>
    <t>Partner feints low during push-hand. How do you respond?</t>
  </si>
  <si>
    <t>A) Adjust stance and guide B) Ignore C) Step forward D) Strike</t>
  </si>
  <si>
    <t>A) Adjust stance and guide</t>
  </si>
  <si>
    <t>During a flow sequence, you stumble slightly. What’s the best move?</t>
  </si>
  <si>
    <t>A) Regain balance and continue B) Ignore C) Stop D) Pause</t>
  </si>
  <si>
    <t>A) Regain balance and continue</t>
  </si>
  <si>
    <t>Partner increases speed suddenly. How should you act?</t>
  </si>
  <si>
    <t>A) Match speed while maintaining control B) Ignore C) Step forward D) Push harder</t>
  </si>
  <si>
    <t>A) Match speed while maintaining control</t>
  </si>
  <si>
    <t>Mid-form, your arm alignment is off. How do you correct?</t>
  </si>
  <si>
    <t>A) Adjust shoulders and elbows B) Ignore C) Step back D) Pause</t>
  </si>
  <si>
    <t>A) Adjust shoulders and elbows</t>
  </si>
  <si>
    <t>Partner applies downward force. How do you respond?</t>
  </si>
  <si>
    <t>A) Redirect along the path B) Ignore C) Resist directly D) Step forward</t>
  </si>
  <si>
    <t>A) Redirect along the path</t>
  </si>
  <si>
    <t>During Tai Chi sword, opponent shifts position. What’s the optimal move?</t>
  </si>
  <si>
    <t>A) Adjust footwork and blade B) Ignore C) Step back D) Pause</t>
  </si>
  <si>
    <t>A) Adjust footwork and blade</t>
  </si>
  <si>
    <t>Mid-practice, you feel tightness in back. How to adjust?</t>
  </si>
  <si>
    <t>A) Relax muscles and adjust posture B) Ignore C) Stop D) Push forward</t>
  </si>
  <si>
    <t>A) Relax muscles and adjust posture</t>
  </si>
  <si>
    <t>Partner feints high during push-hand. Response?</t>
  </si>
  <si>
    <t>A) Adjust guard and center B) Ignore C) Step forward D) Strike randomly</t>
  </si>
  <si>
    <t>A) Adjust guard and center</t>
  </si>
  <si>
    <t>During solo practice, balance wavers mid-turn. What’s your move?</t>
  </si>
  <si>
    <t>A) Lower center and continue B) Ignore C) Step back D) Pause</t>
  </si>
  <si>
    <t>A) Lower center and continue</t>
  </si>
  <si>
    <t>Mid-practice, partner presses aggressively. How to maintain control?</t>
  </si>
  <si>
    <t>A) Yield and redirect B) Ignore C) Step forward D) Resist forcefully</t>
  </si>
  <si>
    <t>You notice an opening in partner’s defense. What’s the strategy?</t>
  </si>
  <si>
    <t>A) Gently guide into position B) Ignore C) Step forward D) Strike</t>
  </si>
  <si>
    <t>A) Gently guide into position</t>
  </si>
  <si>
    <t>Partner moves unpredictably. How do you maintain flow?</t>
  </si>
  <si>
    <t>A) Stay relaxed and adapt B) Ignore C) Step forward D) Push harder</t>
  </si>
  <si>
    <t>A) Stay relaxed and adapt</t>
  </si>
  <si>
    <t>Mid-form, opponent shifts weight unexpectedly. How to react?</t>
  </si>
  <si>
    <t>A) Adjust stance B) Ignore C) Step back D) Pause</t>
  </si>
  <si>
    <t>During paired practice, you feel off-center. What’s your response?</t>
  </si>
  <si>
    <t>A) Re-center body and adjust B) Ignore C) Step forward D) Stop</t>
  </si>
  <si>
    <t>A) Re-center body and adjust</t>
  </si>
  <si>
    <t>Partner grabs arm suddenly. How should you respond?</t>
  </si>
  <si>
    <t>A) Redirect force B) Ignore C) Step back D) Resist</t>
  </si>
  <si>
    <t>A) Redirect force</t>
  </si>
  <si>
    <t>Mid-practice, arm movements are too stiff. How to correct?</t>
  </si>
  <si>
    <t>A) Relax muscles B) Ignore C) Step forward D) Push harder</t>
  </si>
  <si>
    <t>A) Relax muscles</t>
  </si>
  <si>
    <t>Partner applies lateral force unexpectedly. Response?</t>
  </si>
  <si>
    <t>A) Follow and redirect B) Ignore C) Step forward D) Resist</t>
  </si>
  <si>
    <t>A) Follow and redirect</t>
  </si>
  <si>
    <t>During form, your foot slips slightly. How do you maintain balance?</t>
  </si>
  <si>
    <t>A) Adjust center and continue B) Ignore C) Step back D) Pause</t>
  </si>
  <si>
    <t>A) Adjust center and continue</t>
  </si>
  <si>
    <t>Partner presses hands during push-hand. How to react?</t>
  </si>
  <si>
    <t>A) Yield and guide B) Ignore C) Step forward D) Resist</t>
  </si>
  <si>
    <t>Mid-practice, your rhythm is broken. How to regain flow?</t>
  </si>
  <si>
    <t>A) Focus on breathing B) Ignore C) Step back D) Pause</t>
  </si>
  <si>
    <t>A) Focus on breathing</t>
  </si>
  <si>
    <t>Partner shifts stance to unbalance you. How to respond?</t>
  </si>
  <si>
    <t>A) Adjust feet and center B) Ignore C) Step forward D) Jump</t>
  </si>
  <si>
    <t>A) Adjust feet and center</t>
  </si>
  <si>
    <t>During Tai Chi sword, opponent feints low. How do you respond?</t>
  </si>
  <si>
    <t>A) Adjust blade angle B) Ignore C) Step forward D) Pause</t>
  </si>
  <si>
    <t>A) Adjust blade angle</t>
  </si>
  <si>
    <t>Mid-practice, legs feel fatigued. What’s the best approach?</t>
  </si>
  <si>
    <t>A) Relax and adjust stance B) Ignore C) Step back D) Push harder</t>
  </si>
  <si>
    <t>A) Relax and adjust stance</t>
  </si>
  <si>
    <t>Partner applies upward force. How should you react?</t>
  </si>
  <si>
    <t>A) Yield and redirect B) Ignore C) Step forward D) Resist</t>
  </si>
  <si>
    <t>During form, opponent presses downward. How do you respond?</t>
  </si>
  <si>
    <t>A) Redirect force along path B) Ignore C) Step back D) Resist</t>
  </si>
  <si>
    <t>A) Redirect force along path</t>
  </si>
  <si>
    <t>Mid-practice, your hand position is off. How do you correct?</t>
  </si>
  <si>
    <t>A) Adjust arms and shoulders B) Ignore C) Step back D) Pause</t>
  </si>
  <si>
    <t>A) Adjust arms and shoulders</t>
  </si>
  <si>
    <t>Partner feints left then right. How do you maintain control?</t>
  </si>
  <si>
    <t>A) Adjust laterally B) Ignore C) Step forward D) Strike</t>
  </si>
  <si>
    <t>During push-hand, opponent shifts unpredictably. How should you act?</t>
  </si>
  <si>
    <t>Mid-form, your balance wavers during a pivot. Response?</t>
  </si>
  <si>
    <t>Partner applies sudden forward pressure. How do you respond?</t>
  </si>
  <si>
    <t>During solo practice, your arm movements are uneven. How to fix?</t>
  </si>
  <si>
    <t>A) Re-align and continue B) Ignore C) Step back D) Pause</t>
  </si>
  <si>
    <t>A) Re-align and continue</t>
  </si>
  <si>
    <t>Mid-practice, opponent moves too quickly. How should you respond?</t>
  </si>
  <si>
    <t>A) Match pace while maintaining form B) Ignore C) Step forward D) Pause</t>
  </si>
  <si>
    <t>Partner shifts weight suddenly. How do you react?</t>
  </si>
  <si>
    <t>A) Adjust stance and balance B) Ignore C) Step forward D) Jump</t>
  </si>
  <si>
    <t>A) Adjust stance and balance</t>
  </si>
  <si>
    <t>During push-hand, you feel off-center. How should you act?</t>
  </si>
  <si>
    <t>A) Re-center and guide B) Ignore C) Step forward D) Resist</t>
  </si>
  <si>
    <t>A) Re-center and guide</t>
  </si>
  <si>
    <t>Mid-form, legs feel stiff. What’s the best action?</t>
  </si>
  <si>
    <t>A) Relax and adjust B) Ignore C) Step back D) Push harder</t>
  </si>
  <si>
    <t>A) Relax and adjust</t>
  </si>
  <si>
    <t>Partner feints upward, then downward. How do you respond?</t>
  </si>
  <si>
    <t>A) Adjust guard and follow B) Ignore C) Step forward D) Strike</t>
  </si>
  <si>
    <t>A) Adjust guard and follow</t>
  </si>
  <si>
    <t>During Tai Chi sword, opponent overextends. Response?</t>
  </si>
  <si>
    <t>A) Redirect force B) Ignore C) Step forward D) Pause</t>
  </si>
  <si>
    <t>Mid-practice, your movement is too fast. How to correct?</t>
  </si>
  <si>
    <t>A) Slow down and maintain form B) Ignore C) Step back D) Push harder</t>
  </si>
  <si>
    <t>A) Slow down and maintain form</t>
  </si>
  <si>
    <t>Partner moves unpredictably. How to maintain flow?</t>
  </si>
  <si>
    <t>During form, you stumble slightly. How do you respond?</t>
  </si>
  <si>
    <t>A) Regain balance B) Ignore C) Step back D) Pause</t>
  </si>
  <si>
    <t>Partner applies circular pressure. How do you act?</t>
  </si>
  <si>
    <t>A) Redirect along circle B) Ignore C) Step forward D) Resist</t>
  </si>
  <si>
    <t>A) Redirect along circle</t>
  </si>
  <si>
    <t>Mid-practice, you lose focus. What’s the optimal approach?</t>
  </si>
  <si>
    <t>A) Re-center mind and continue B) Ignore C) Step back D) Pause</t>
  </si>
  <si>
    <t>A) Re-center mind and continue</t>
  </si>
  <si>
    <t>Partner feints and moves unexpectedly. How should you react?</t>
  </si>
  <si>
    <t>A) Stay alert and adapt B) Ignore C) Step forward D) Strike</t>
  </si>
  <si>
    <t>A) Stay alert and adapt</t>
  </si>
  <si>
    <t>Mid-practice, your wrist alignment is off. How do you correct?</t>
  </si>
  <si>
    <t>A) Adjust and continue B) Ignore C) Step back D) Pause</t>
  </si>
  <si>
    <t>A) Adjust and continue</t>
  </si>
  <si>
    <t>During Tai Chi sword, opponent applies sudden pressure. How do you act?</t>
  </si>
  <si>
    <t>Partner suddenly increases forward pressure. How do you respond?</t>
  </si>
  <si>
    <t>Mid-practice, your pivot is off balance. How should you act?</t>
  </si>
  <si>
    <t>Opponent applies downward force unexpectedly. Response?</t>
  </si>
  <si>
    <t>A) Redirect force B) Ignore C) Step forward D) Resist</t>
  </si>
  <si>
    <t>Your arm alignment is uneven during form. How do you correct?</t>
  </si>
  <si>
    <t>A) Adjust shoulders and arms B) Ignore C) Step back D) Pause</t>
  </si>
  <si>
    <t>A) Adjust shoulders and arms</t>
  </si>
  <si>
    <t>Mid-practice, your weight distribution is off. What’s the solution?</t>
  </si>
  <si>
    <t>A) Re-center and adjust stance B) Ignore C) Step forward D) Push harder</t>
  </si>
  <si>
    <t>A) Re-center and adjust stance</t>
  </si>
  <si>
    <t>Partner feints left then right. How do you respond?</t>
  </si>
  <si>
    <t>During push-hand, opponent overextends. How should you react?</t>
  </si>
  <si>
    <t>A) Redirect energy along path B) Ignore C) Step forward D) Resist</t>
  </si>
  <si>
    <t>A) Redirect energy along path</t>
  </si>
  <si>
    <t>Your leg stance is too stiff. How to correct?</t>
  </si>
  <si>
    <t>A) Relax and continue B) Ignore C) Step back D) Push harder</t>
  </si>
  <si>
    <t>A) Relax and continue</t>
  </si>
  <si>
    <t>Mid-practice, opponent moves unpredictably. How do you maintain flow?</t>
  </si>
  <si>
    <t>During sword form, your trajectory is off. Response?</t>
  </si>
  <si>
    <t>Partner applies lateral pressure. How should you respond?</t>
  </si>
  <si>
    <t>A) Redirect along path B) Ignore C) Step forward D) Resist</t>
  </si>
  <si>
    <t>A) Redirect along path</t>
  </si>
  <si>
    <t>Mid-practice, your hands are too tense. How do you act?</t>
  </si>
  <si>
    <t>Opponent feints high then low. How do you respond?</t>
  </si>
  <si>
    <t>A) Adjust guard and stance B) Ignore C) Step forward D) Strike</t>
  </si>
  <si>
    <t>During paired practice, your balance wavers. How to correct?</t>
  </si>
  <si>
    <t>A) Re-center and continue B) Ignore C) Step back D) Pause</t>
  </si>
  <si>
    <t>A) Re-center and continue</t>
  </si>
  <si>
    <t>Partner shifts unexpectedly. How do you maintain control?</t>
  </si>
  <si>
    <t>A) Adjust weight and follow B) Ignore C) Step forward D) Resist</t>
  </si>
  <si>
    <t>A) Adjust weight and follow</t>
  </si>
  <si>
    <t>Mid-form, your rhythm is broken. How should you regain it?</t>
  </si>
  <si>
    <t>A) Focus on breathing and alignment B) Ignore C) Step back D) Pause</t>
  </si>
  <si>
    <t>A) Focus on breathing and alignment</t>
  </si>
  <si>
    <t>Partner presses hands aggressively. Response?</t>
  </si>
  <si>
    <t>During sword form, opponent feints left. How do you respond?</t>
  </si>
  <si>
    <t>Mid-practice, arm movements are uneven. How to correct?</t>
  </si>
  <si>
    <t>Partner overextends forward. How do you react?</t>
  </si>
  <si>
    <t>During push-hand, your partner changes rhythm. Response?</t>
  </si>
  <si>
    <t>A) Adapt timing and follow B) Ignore C) Step forward D) Strike</t>
  </si>
  <si>
    <t>A) Adapt timing and follow</t>
  </si>
  <si>
    <t>Mid-form, foot slips slightly. How do you maintain balance?</t>
  </si>
  <si>
    <t>Partner applies unexpected circular pressure. How do you respond?</t>
  </si>
  <si>
    <t>During solo practice, your focus drifts. What’s your action?</t>
  </si>
  <si>
    <t>Mid-practice, opponent shifts downward. How do you respond?</t>
  </si>
  <si>
    <t>Arm position is off during sword form. How do you adjust?</t>
  </si>
  <si>
    <t>A) Realign arms and shoulders B) Ignore C) Step back D) Pause</t>
  </si>
  <si>
    <t>A) Realign arms and shoulders</t>
  </si>
  <si>
    <t>Partner feints high. How do you maintain balance?</t>
  </si>
  <si>
    <t>Mid-practice, legs feel fatigued. Response?</t>
  </si>
  <si>
    <t>During push-hand, partner presses unpredictably. Response?</t>
  </si>
  <si>
    <t>Mid-form, trajectory of sword is off. How do you correct?</t>
  </si>
  <si>
    <t>A) Adjust angle and continue B) Ignore C) Step back D) Pause</t>
  </si>
  <si>
    <t>A) Adjust angle and continue</t>
  </si>
  <si>
    <t>Partner shifts weight sideways. How should you react?</t>
  </si>
  <si>
    <t>A) Adjust stance and follow B) Ignore C) Step forward D) Resist</t>
  </si>
  <si>
    <t>A) Adjust stance and follow</t>
  </si>
  <si>
    <t>Mid-practice, hand tension is high. How to correct?</t>
  </si>
  <si>
    <t>A) Relax hands and continue B) Ignore C) Step back D) Push harder</t>
  </si>
  <si>
    <t>A) Relax hands and continue</t>
  </si>
  <si>
    <t>Partner applies forward pressure suddenly. How do you act?</t>
  </si>
  <si>
    <t>During paired practice, opponent moves unexpectedly. Response?</t>
  </si>
  <si>
    <t>A) Adapt and follow B) Ignore C) Step forward D) Strike</t>
  </si>
  <si>
    <t>A) Adapt and follow</t>
  </si>
  <si>
    <t>Mid-form, pivot is off balance. How do you correct?</t>
  </si>
  <si>
    <t>During solo form, rhythm breaks. How should you recover?</t>
  </si>
  <si>
    <t>Mid-practice, partner feints unexpectedly. Response?</t>
  </si>
  <si>
    <t>A) Stay relaxed and adapt B) Ignore C) Step forward D) Strike</t>
  </si>
  <si>
    <t>Arm alignment is off during form. How do you fix?</t>
  </si>
  <si>
    <t>Partner shifts to unbalance you. How do you respond?</t>
  </si>
  <si>
    <t>A) Adjust stance and balance B) Ignore C) Step forward D) Resist</t>
  </si>
  <si>
    <t>Mid-practice, legs are tense. What’s the best approach?</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</si>
</sst>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rgb="FF000000"/>
      <name val="Arial"/>
    </font>
    <font>
      <color rgb="FF000000"/>
      <name val="宋体"/>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1"/>
    </xf>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2" numFmtId="0" xfId="0" applyAlignment="1" applyFont="1">
      <alignment horizontal="right" readingOrder="0" shrinkToFit="0" vertical="bottom" wrapText="1"/>
    </xf>
    <xf borderId="0" fillId="0" fontId="2" numFmtId="0" xfId="0" applyAlignment="1" applyFont="1">
      <alignment readingOrder="0" shrinkToFit="0" vertical="bottom" wrapText="1"/>
    </xf>
    <xf borderId="0" fillId="0" fontId="3" numFmtId="0" xfId="0" applyAlignment="1" applyFont="1">
      <alignment readingOrder="0" shrinkToFit="0" vertical="bottom" wrapText="1"/>
    </xf>
    <xf borderId="0" fillId="2" fontId="2" numFmtId="0" xfId="0" applyAlignment="1" applyFill="1" applyFont="1">
      <alignment horizontal="left" readingOrder="0" shrinkToFit="0" vertical="top" wrapText="1"/>
    </xf>
    <xf borderId="0" fillId="2" fontId="2" numFmtId="0" xfId="0" applyAlignment="1" applyFont="1">
      <alignment shrinkToFit="0" vertical="bottom" wrapText="1"/>
    </xf>
    <xf borderId="0" fillId="2" fontId="2" numFmtId="0" xfId="0" applyAlignment="1" applyFont="1">
      <alignment readingOrder="0" shrinkToFit="0" vertical="bottom" wrapText="1"/>
    </xf>
    <xf borderId="0" fillId="2" fontId="2" numFmtId="0" xfId="0" applyAlignment="1" applyFont="1">
      <alignment readingOrder="0" shrinkToFit="0" vertical="bottom" wrapText="1"/>
    </xf>
    <xf borderId="0" fillId="0" fontId="1" numFmtId="0" xfId="0" applyAlignment="1" applyFont="1">
      <alignment horizontal="right" shrinkToFit="0" vertical="top" wrapText="1"/>
    </xf>
    <xf borderId="0" fillId="0" fontId="4" numFmtId="0" xfId="0" applyAlignment="1" applyFont="1">
      <alignment readingOrder="0" shrinkToFit="0" vertical="center" wrapText="0"/>
    </xf>
    <xf borderId="0" fillId="0" fontId="2" numFmtId="0" xfId="0" applyAlignment="1" applyFont="1">
      <alignment shrinkToFit="0" vertical="bottom" wrapText="1"/>
    </xf>
    <xf borderId="0" fillId="3" fontId="1" numFmtId="0" xfId="0" applyAlignment="1" applyFill="1" applyFont="1">
      <alignment horizontal="right" shrinkToFit="0" vertical="top" wrapText="1"/>
    </xf>
    <xf borderId="0" fillId="3" fontId="1" numFmtId="0" xfId="0" applyAlignment="1" applyFont="1">
      <alignment horizontal="right" shrinkToFit="0" vertical="top" wrapText="1"/>
    </xf>
    <xf borderId="0" fillId="0" fontId="2" numFmtId="0" xfId="0" applyAlignment="1" applyFont="1">
      <alignment shrinkToFit="0" vertical="bottom" wrapText="1"/>
    </xf>
    <xf borderId="0" fillId="0" fontId="1" numFmtId="0" xfId="0" applyAlignment="1" applyFont="1">
      <alignment horizontal="right" shrinkToFit="0" vertical="bottom" wrapText="0"/>
    </xf>
    <xf borderId="0" fillId="0" fontId="1" numFmtId="0" xfId="0" applyAlignment="1" applyFont="1">
      <alignment horizontal="right" shrinkToFit="0" vertical="top" wrapText="1"/>
    </xf>
    <xf borderId="0" fillId="0" fontId="4" numFmtId="0" xfId="0" applyAlignment="1" applyFont="1">
      <alignment shrinkToFit="0" wrapText="1"/>
    </xf>
    <xf borderId="0" fillId="0" fontId="1" numFmtId="0" xfId="0" applyAlignment="1" applyFont="1">
      <alignment horizontal="lef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horizontal="right" readingOrder="0" shrinkToFit="0" vertical="top" wrapText="1"/>
    </xf>
    <xf borderId="0" fillId="0" fontId="2" numFmtId="0" xfId="0" applyAlignment="1" applyFont="1">
      <alignment readingOrder="0" shrinkToFit="0" vertical="top" wrapText="1"/>
    </xf>
    <xf borderId="0" fillId="0" fontId="2" numFmtId="0" xfId="0" applyAlignment="1" applyFont="1">
      <alignment horizontal="right" readingOrder="0" shrinkToFit="0" vertical="top" wrapText="1"/>
    </xf>
    <xf borderId="0" fillId="2" fontId="2" numFmtId="0" xfId="0" applyAlignment="1" applyFont="1">
      <alignment horizontal="right" readingOrder="0" shrinkToFit="0" vertical="top" wrapText="1"/>
    </xf>
    <xf borderId="0" fillId="0" fontId="2" numFmtId="0" xfId="0" applyAlignment="1" applyFont="1">
      <alignment shrinkToFit="0" vertical="top" wrapText="1"/>
    </xf>
    <xf borderId="0" fillId="0" fontId="1" numFmtId="0" xfId="0" applyAlignment="1" applyFont="1">
      <alignment horizontal="right" shrinkToFit="0" vertical="top" wrapText="1"/>
    </xf>
    <xf borderId="0" fillId="0" fontId="2" numFmtId="0" xfId="0" applyAlignment="1" applyFont="1">
      <alignment readingOrder="0" shrinkToFit="0" wrapText="1"/>
    </xf>
    <xf borderId="0" fillId="0" fontId="2" numFmtId="0" xfId="0" applyAlignment="1" applyFont="1">
      <alignment readingOrder="0" shrinkToFit="0" vertical="bottom" wrapText="1"/>
    </xf>
    <xf borderId="0" fillId="0" fontId="2" numFmtId="0" xfId="0" applyAlignment="1" applyFont="1">
      <alignment horizontal="right" readingOrder="0" shrinkToFit="0" wrapText="1"/>
    </xf>
    <xf borderId="0" fillId="2" fontId="2" numFmtId="0" xfId="0" applyAlignment="1" applyFont="1">
      <alignment horizontal="right" readingOrder="0" shrinkToFit="0" wrapText="1"/>
    </xf>
    <xf borderId="0" fillId="3" fontId="2" numFmtId="0" xfId="0" applyAlignment="1" applyFont="1">
      <alignment readingOrder="0" shrinkToFit="0" vertical="bottom" wrapText="1"/>
    </xf>
    <xf borderId="0" fillId="3" fontId="2" numFmtId="0" xfId="0" applyAlignment="1" applyFont="1">
      <alignment readingOrder="0" shrinkToFit="0" vertical="top" wrapText="1"/>
    </xf>
    <xf borderId="0" fillId="0" fontId="2" numFmtId="0" xfId="0" applyAlignment="1" applyFont="1">
      <alignment shrinkToFit="0" wrapText="1"/>
    </xf>
    <xf borderId="0" fillId="3" fontId="1" numFmtId="0" xfId="0" applyAlignment="1" applyFont="1">
      <alignment shrinkToFit="0" vertical="top" wrapText="1"/>
    </xf>
    <xf borderId="0" fillId="0" fontId="1" numFmtId="0" xfId="0" applyAlignment="1" applyFont="1">
      <alignment shrinkToFit="0" vertical="bottom" wrapText="0"/>
    </xf>
    <xf borderId="0" fillId="0" fontId="1" numFmtId="0" xfId="0" applyAlignment="1" applyFont="1">
      <alignment shrinkToFit="0" vertical="top" wrapText="1"/>
    </xf>
    <xf borderId="0" fillId="2" fontId="2" numFmtId="0" xfId="0" applyAlignment="1" applyFont="1">
      <alignment readingOrder="0" shrinkToFit="0" vertical="top" wrapText="1"/>
    </xf>
    <xf borderId="0" fillId="2" fontId="2" numFmtId="0" xfId="0" applyAlignment="1" applyFont="1">
      <alignment readingOrder="0" shrinkToFit="0" vertical="top" wrapText="1"/>
    </xf>
    <xf borderId="0" fillId="2" fontId="2" numFmtId="0" xfId="0" applyAlignment="1" applyFont="1">
      <alignment shrinkToFit="0" vertical="top" wrapText="1"/>
    </xf>
    <xf borderId="0" fillId="3" fontId="2" numFmtId="0" xfId="0" applyAlignment="1" applyFont="1">
      <alignment horizontal="righ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2" fontId="2" numFmtId="0" xfId="0" applyAlignment="1" applyFont="1">
      <alignment readingOrder="0" shrinkToFit="0" vertical="top" wrapText="1"/>
    </xf>
    <xf borderId="0" fillId="2" fontId="3" numFmtId="0" xfId="0" applyAlignment="1" applyFont="1">
      <alignment readingOrder="0" shrinkToFit="0" vertical="top" wrapText="1"/>
    </xf>
    <xf borderId="0" fillId="0" fontId="2" numFmtId="0" xfId="0" applyAlignment="1" applyFont="1">
      <alignment horizontal="left" readingOrder="0" shrinkToFit="0" vertical="top" wrapText="1"/>
    </xf>
    <xf borderId="0" fillId="0" fontId="1" numFmtId="0" xfId="0" applyAlignment="1" applyFont="1">
      <alignment shrinkToFit="0" vertical="top" wrapText="1"/>
    </xf>
    <xf borderId="0" fillId="0" fontId="1" numFmtId="0" xfId="0" applyAlignment="1" applyFont="1">
      <alignment vertical="top"/>
    </xf>
    <xf borderId="0" fillId="0" fontId="1" numFmtId="0" xfId="0" applyAlignment="1" applyFont="1">
      <alignment shrinkToFit="0" vertical="top" wrapText="1"/>
    </xf>
    <xf borderId="0" fillId="0" fontId="1" numFmtId="0" xfId="0" applyAlignment="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cuju-style">
      <tableStyleElement dxfId="1" type="headerRow"/>
      <tableStyleElement dxfId="2" type="firstRowStripe"/>
      <tableStyleElement dxfId="3" type="secondRowStripe"/>
      <tableStyleElement dxfId="4" size="0" type="wholeTable"/>
    </tableStyle>
    <tableStyle count="4" pivot="0" name="cuju-style 2">
      <tableStyleElement dxfId="1" type="headerRow"/>
      <tableStyleElement dxfId="2" type="firstRowStripe"/>
      <tableStyleElement dxfId="3" type="secondRowStripe"/>
      <tableStyleElement dxfId="4" size="0" type="wholeTable"/>
    </tableStyle>
    <tableStyle count="4" pivot="0" name="dragon boat racing-style">
      <tableStyleElement dxfId="1" type="headerRow"/>
      <tableStyleElement dxfId="2" type="firstRowStripe"/>
      <tableStyleElement dxfId="3" type="secondRowStripe"/>
      <tableStyleElement dxfId="4" size="0" type="wholeTable"/>
    </tableStyle>
    <tableStyle count="4" pivot="0" name="dragon boat racing-style 2">
      <tableStyleElement dxfId="1" type="headerRow"/>
      <tableStyleElement dxfId="2" type="firstRowStripe"/>
      <tableStyleElement dxfId="3" type="secondRowStripe"/>
      <tableStyleElement dxfId="4" size="0" type="wholeTable"/>
    </tableStyle>
    <tableStyle count="4" pivot="0" name="jianzi-style">
      <tableStyleElement dxfId="1" type="headerRow"/>
      <tableStyleElement dxfId="2" type="firstRowStripe"/>
      <tableStyleElement dxfId="3" type="secondRowStripe"/>
      <tableStyleElement dxfId="4" size="0" type="wholeTable"/>
    </tableStyle>
    <tableStyle count="4" pivot="0" name="jianzi-style 2">
      <tableStyleElement dxfId="1" type="headerRow"/>
      <tableStyleElement dxfId="2" type="firstRowStripe"/>
      <tableStyleElement dxfId="3" type="secondRowStripe"/>
      <tableStyleElement dxfId="4" size="0" type="wholeTable"/>
    </tableStyle>
    <tableStyle count="4" pivot="0" name="kung fu-style">
      <tableStyleElement dxfId="1" type="headerRow"/>
      <tableStyleElement dxfId="2" type="firstRowStripe"/>
      <tableStyleElement dxfId="3" type="secondRowStripe"/>
      <tableStyleElement dxfId="4" size="0" type="wholeTable"/>
    </tableStyle>
    <tableStyle count="4" pivot="0" name="kung fu-style 2">
      <tableStyleElement dxfId="1" type="headerRow"/>
      <tableStyleElement dxfId="2" type="firstRowStripe"/>
      <tableStyleElement dxfId="3" type="secondRowStripe"/>
      <tableStyleElement dxfId="4" size="0" type="wholeTable"/>
    </tableStyle>
    <tableStyle count="4" pivot="0" name="go-style">
      <tableStyleElement dxfId="1" type="headerRow"/>
      <tableStyleElement dxfId="2" type="firstRowStripe"/>
      <tableStyleElement dxfId="3" type="secondRowStripe"/>
      <tableStyleElement dxfId="4" size="0" type="wholeTable"/>
    </tableStyle>
    <tableStyle count="4" pivot="0" name="go-style 2">
      <tableStyleElement dxfId="1" type="headerRow"/>
      <tableStyleElement dxfId="2" type="firstRowStripe"/>
      <tableStyleElement dxfId="3" type="secondRowStripe"/>
      <tableStyleElement dxfId="4" size="0" type="wholeTable"/>
    </tableStyle>
    <tableStyle count="4" pivot="0" name="tai chi-style">
      <tableStyleElement dxfId="1" type="headerRow"/>
      <tableStyleElement dxfId="2" type="firstRowStripe"/>
      <tableStyleElement dxfId="3" type="secondRowStripe"/>
      <tableStyleElement dxfId="4" size="0" type="wholeTable"/>
    </tableStyle>
    <tableStyle count="4" pivot="0" name="tai chi-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0" displayName="Table2" name="Table2" id="1">
  <tableColumns count="5">
    <tableColumn name="Question No." id="1"/>
    <tableColumn name="Question" id="2"/>
    <tableColumn name="Options" id="3"/>
    <tableColumn name="Answer" id="4"/>
    <tableColumn name="Description" id="5"/>
  </tableColumns>
  <tableStyleInfo name="cuju-style" showColumnStripes="0" showFirstColumn="1" showLastColumn="1" showRowStripes="1"/>
</table>
</file>

<file path=xl/tables/table2.xml><?xml version="1.0" encoding="utf-8"?>
<table xmlns="http://schemas.openxmlformats.org/spreadsheetml/2006/main" ref="H1:K150" displayName="Table1" name="Table1" id="2">
  <tableColumns count="4">
    <tableColumn name="问题" id="1"/>
    <tableColumn name="选项" id="2"/>
    <tableColumn name="答案" id="3"/>
    <tableColumn name="Description" id="4"/>
  </tableColumns>
  <tableStyleInfo name="cuju-style 2" showColumnStripes="0" showFirstColumn="1" showLastColumn="1" showRowStripes="1"/>
</table>
</file>

<file path=xl/tables/table3.xml><?xml version="1.0" encoding="utf-8"?>
<table xmlns="http://schemas.openxmlformats.org/spreadsheetml/2006/main" ref="A1:E147" displayName="Table4" name="Table4" id="3">
  <tableColumns count="5">
    <tableColumn name="Question No." id="1"/>
    <tableColumn name="Question" id="2"/>
    <tableColumn name="Options" id="3"/>
    <tableColumn name="Answer" id="4"/>
    <tableColumn name="Description" id="5"/>
  </tableColumns>
  <tableStyleInfo name="dragon boat racing-style" showColumnStripes="0" showFirstColumn="1" showLastColumn="1" showRowStripes="1"/>
</table>
</file>

<file path=xl/tables/table4.xml><?xml version="1.0" encoding="utf-8"?>
<table xmlns="http://schemas.openxmlformats.org/spreadsheetml/2006/main" ref="I1:L147" displayName="Table3" name="Table3" id="4">
  <tableColumns count="4">
    <tableColumn name="问题" id="1"/>
    <tableColumn name="选项" id="2"/>
    <tableColumn name="答案" id="3"/>
    <tableColumn name="Description" id="4"/>
  </tableColumns>
  <tableStyleInfo name="dragon boat racing-style 2" showColumnStripes="0" showFirstColumn="1" showLastColumn="1" showRowStripes="1"/>
</table>
</file>

<file path=xl/tables/table5.xml><?xml version="1.0" encoding="utf-8"?>
<table xmlns="http://schemas.openxmlformats.org/spreadsheetml/2006/main" ref="A1:E146" displayName="Jianzi_Rules" name="Jianzi_Rules" id="5">
  <tableColumns count="5">
    <tableColumn name="Question No." id="1"/>
    <tableColumn name="Question" id="2"/>
    <tableColumn name="Options" id="3"/>
    <tableColumn name="Answer" id="4"/>
    <tableColumn name="Description" id="5"/>
  </tableColumns>
  <tableStyleInfo name="jianzi-style" showColumnStripes="0" showFirstColumn="1" showLastColumn="1" showRowStripes="1"/>
</table>
</file>

<file path=xl/tables/table6.xml><?xml version="1.0" encoding="utf-8"?>
<table xmlns="http://schemas.openxmlformats.org/spreadsheetml/2006/main" ref="I1:L146" displayName="Jianzi_Questions" name="Jianzi_Questions" id="6">
  <tableColumns count="4">
    <tableColumn name="问题" id="1"/>
    <tableColumn name="选项" id="2"/>
    <tableColumn name="答案" id="3"/>
    <tableColumn name="Description" id="4"/>
  </tableColumns>
  <tableStyleInfo name="jianzi-style 2" showColumnStripes="0" showFirstColumn="1" showLastColumn="1" showRowStripes="1"/>
</table>
</file>

<file path=xl/tables/table7.xml><?xml version="1.0" encoding="utf-8"?>
<table xmlns="http://schemas.openxmlformats.org/spreadsheetml/2006/main" ref="A1:E146" displayName="Table8" name="Table8" id="7">
  <tableColumns count="5">
    <tableColumn name="Question No." id="1"/>
    <tableColumn name="Question" id="2"/>
    <tableColumn name="Options" id="3"/>
    <tableColumn name="Answer" id="4"/>
    <tableColumn name="Description" id="5"/>
  </tableColumns>
  <tableStyleInfo name="kung fu-style" showColumnStripes="0" showFirstColumn="1" showLastColumn="1" showRowStripes="1"/>
</table>
</file>

<file path=xl/tables/table8.xml><?xml version="1.0" encoding="utf-8"?>
<table xmlns="http://schemas.openxmlformats.org/spreadsheetml/2006/main" ref="H1:K146" displayName="Table7" name="Table7" id="8">
  <tableColumns count="4">
    <tableColumn name="问题" id="1"/>
    <tableColumn name="选项" id="2"/>
    <tableColumn name="答案" id="3"/>
    <tableColumn name="Description" id="4"/>
  </tableColumns>
  <tableStyleInfo name="kung fu-style 2" showColumnStripes="0" showFirstColumn="1" showLastColumn="1" showRowStripes="1"/>
</table>
</file>

<file path=xl/tables/table9.xml><?xml version="1.0" encoding="utf-8"?>
<table xmlns="http://schemas.openxmlformats.org/spreadsheetml/2006/main" ref="A1:E148" displayName="Table6" name="Table6" id="9">
  <tableColumns count="5">
    <tableColumn name="Question No." id="1"/>
    <tableColumn name="Question" id="2"/>
    <tableColumn name="Options" id="3"/>
    <tableColumn name="Answer" id="4"/>
    <tableColumn name="Description" id="5"/>
  </tableColumns>
  <tableStyleInfo name="go-style" showColumnStripes="0" showFirstColumn="1" showLastColumn="1" showRowStripes="1"/>
</table>
</file>

<file path=xl/tables/table10.xml><?xml version="1.0" encoding="utf-8"?>
<table xmlns="http://schemas.openxmlformats.org/spreadsheetml/2006/main" ref="I1:L148" displayName="Table5" name="Table5" id="10">
  <tableColumns count="4">
    <tableColumn name="问题" id="1"/>
    <tableColumn name="选项" id="2"/>
    <tableColumn name="答案" id="3"/>
    <tableColumn name="Description" id="4"/>
  </tableColumns>
  <tableStyleInfo name="go-style 2" showColumnStripes="0" showFirstColumn="1" showLastColumn="1" showRowStripes="1"/>
</table>
</file>

<file path=xl/tables/table11.xml><?xml version="1.0" encoding="utf-8"?>
<table xmlns="http://schemas.openxmlformats.org/spreadsheetml/2006/main" ref="A1:E148" displayName="Tai_Chi_Flow" name="Tai_Chi_Flow" id="11">
  <tableColumns count="5">
    <tableColumn name="Question No." id="1"/>
    <tableColumn name="Question" id="2"/>
    <tableColumn name="Options" id="3"/>
    <tableColumn name="Answer" id="4"/>
    <tableColumn name="Description" id="5"/>
  </tableColumns>
  <tableStyleInfo name="tai chi-style" showColumnStripes="0" showFirstColumn="1" showLastColumn="1" showRowStripes="1"/>
</table>
</file>

<file path=xl/tables/table12.xml><?xml version="1.0" encoding="utf-8"?>
<table xmlns="http://schemas.openxmlformats.org/spreadsheetml/2006/main" ref="H1:K148" displayName="Table9" name="Table9" id="12">
  <tableColumns count="4">
    <tableColumn name="问题" id="1"/>
    <tableColumn name="选项" id="2"/>
    <tableColumn name="答案" id="3"/>
    <tableColumn name="Description" id="4"/>
  </tableColumns>
  <tableStyleInfo name="tai chi-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2.75"/>
    <col customWidth="1" min="5" max="5" width="12.75"/>
    <col customWidth="1" min="9" max="10" width="12.75"/>
  </cols>
  <sheetData>
    <row r="1">
      <c r="A1" s="1" t="s">
        <v>0</v>
      </c>
      <c r="B1" s="1" t="s">
        <v>1</v>
      </c>
      <c r="C1" s="1" t="s">
        <v>2</v>
      </c>
      <c r="D1" s="1" t="s">
        <v>3</v>
      </c>
      <c r="E1" s="1" t="s">
        <v>4</v>
      </c>
      <c r="F1" s="2"/>
      <c r="G1" s="2"/>
      <c r="H1" s="1" t="s">
        <v>5</v>
      </c>
      <c r="I1" s="1" t="s">
        <v>6</v>
      </c>
      <c r="J1" s="1" t="s">
        <v>7</v>
      </c>
      <c r="K1" s="1" t="s">
        <v>4</v>
      </c>
      <c r="L1" s="3"/>
      <c r="M1" s="3"/>
      <c r="N1" s="3"/>
      <c r="O1" s="3"/>
      <c r="P1" s="3"/>
      <c r="Q1" s="2"/>
      <c r="R1" s="2"/>
      <c r="S1" s="2"/>
      <c r="T1" s="2"/>
      <c r="U1" s="2"/>
      <c r="V1" s="2"/>
      <c r="W1" s="2"/>
      <c r="X1" s="2"/>
      <c r="Y1" s="2"/>
      <c r="Z1" s="2"/>
      <c r="AA1" s="2"/>
      <c r="AB1" s="2"/>
    </row>
    <row r="2">
      <c r="A2" s="4">
        <v>1.0</v>
      </c>
      <c r="B2" s="5" t="s">
        <v>8</v>
      </c>
      <c r="C2" s="5" t="s">
        <v>9</v>
      </c>
      <c r="D2" s="5" t="s">
        <v>10</v>
      </c>
      <c r="E2" s="5" t="s">
        <v>11</v>
      </c>
      <c r="F2" s="2"/>
      <c r="G2" s="2"/>
      <c r="H2" s="4" t="str">
        <f>IFERROR(__xludf.DUMMYFUNCTION("GOOGLETRANSLATE(B2, ""en"", ""zh"")"),"在蹴鞠比赛中，A球员瞄准球门，而B球员试图用脚阻挡球。下列哪种方式是蹴鞠比赛中得分的正确方法？")</f>
        <v>在蹴鞠比赛中，A球员瞄准球门，而B球员试图用脚阻挡球。下列哪种方式是蹴鞠比赛中得分的正确方法？</v>
      </c>
      <c r="I2" s="4" t="str">
        <f>IFERROR(__xludf.DUMMYFUNCTION("GOOGLETRANSLATE(C2, ""en"", ""zh"")"),"A) 球员A用头球得分；B) 球员A用脚将球踢入球门得分；C) 球员B用手停球得分；D) 球员B用头球得分")</f>
        <v>A) 球员A用头球得分；B) 球员A用脚将球踢入球门得分；C) 球员B用手停球得分；D) 球员B用头球得分</v>
      </c>
      <c r="J2" s="4" t="str">
        <f>IFERROR(__xludf.DUMMYFUNCTION("GOOGLETRANSLATE(D2, ""en"", ""zh"")"),"B) A 球员用脚将球踢入球门得分")</f>
        <v>B) A 球员用脚将球踢入球门得分</v>
      </c>
      <c r="K2" s="4" t="str">
        <f>IFERROR(__xludf.DUMMYFUNCTION("GOOGLETRANSLATE(E2, ""en"", ""zh"")"),"在蹴鞠运动中，必须用脚将球踢入球门。用头部等其他身体部位射门得分是不允许的。")</f>
        <v>在蹴鞠运动中，必须用脚将球踢入球门。用头部等其他身体部位射门得分是不允许的。</v>
      </c>
      <c r="L2" s="3"/>
      <c r="M2" s="3"/>
      <c r="N2" s="3"/>
      <c r="O2" s="3"/>
      <c r="P2" s="6"/>
      <c r="Q2" s="2"/>
      <c r="R2" s="2"/>
      <c r="S2" s="2"/>
      <c r="T2" s="2"/>
      <c r="U2" s="2"/>
      <c r="V2" s="2"/>
      <c r="W2" s="2"/>
      <c r="X2" s="2"/>
      <c r="Y2" s="2"/>
      <c r="Z2" s="2"/>
      <c r="AA2" s="2"/>
      <c r="AB2" s="2"/>
    </row>
    <row r="3">
      <c r="A3" s="4">
        <v>2.0</v>
      </c>
      <c r="B3" s="5" t="s">
        <v>12</v>
      </c>
      <c r="C3" s="5" t="s">
        <v>13</v>
      </c>
      <c r="D3" s="5" t="s">
        <v>14</v>
      </c>
      <c r="E3" s="5" t="s">
        <v>15</v>
      </c>
      <c r="F3" s="2"/>
      <c r="G3" s="2"/>
      <c r="H3" s="4" t="str">
        <f>IFERROR(__xludf.DUMMYFUNCTION("GOOGLETRANSLATE(B3, ""en"", ""zh"")"),"在蹴鞠比赛中，A球员试图将球踢入球门，但被B球员用旋转技术挡出。这种技术叫什么名字？")</f>
        <v>在蹴鞠比赛中，A球员试图将球踢入球门，但被B球员用旋转技术挡出。这种技术叫什么名字？</v>
      </c>
      <c r="I3" s="4" t="str">
        <f>IFERROR(__xludf.DUMMYFUNCTION("GOOGLETRANSLATE(C3, ""en"", ""zh"")"),"A) 祖秋，B) 剑术，C) 翻剑，D) 浣媛")</f>
        <v>A) 祖秋，B) 剑术，C) 翻剑，D) 浣媛</v>
      </c>
      <c r="J3" s="4" t="str">
        <f>IFERROR(__xludf.DUMMYFUNCTION("GOOGLETRANSLATE(D3, ""en"", ""zh"")"),"C) 翻建")</f>
        <v>C) 翻建</v>
      </c>
      <c r="K3" s="4" t="str">
        <f>IFERROR(__xludf.DUMMYFUNCTION("GOOGLETRANSLATE(E3, ""en"", ""zh"")"),"翻剑是蹴鞠中用来阻挡或改变球路的旋转技术，是蹴鞠中较为高级的技术之一。")</f>
        <v>翻剑是蹴鞠中用来阻挡或改变球路的旋转技术，是蹴鞠中较为高级的技术之一。</v>
      </c>
      <c r="L3" s="7"/>
      <c r="M3" s="3"/>
      <c r="N3" s="3"/>
      <c r="O3" s="3"/>
      <c r="P3" s="3"/>
      <c r="Q3" s="8"/>
      <c r="R3" s="8"/>
      <c r="S3" s="8"/>
      <c r="T3" s="8"/>
      <c r="U3" s="8"/>
      <c r="V3" s="8"/>
      <c r="W3" s="8"/>
      <c r="X3" s="8"/>
      <c r="Y3" s="8"/>
      <c r="Z3" s="8"/>
      <c r="AA3" s="8"/>
      <c r="AB3" s="8"/>
    </row>
    <row r="4">
      <c r="A4" s="4">
        <v>3.0</v>
      </c>
      <c r="B4" s="5" t="s">
        <v>16</v>
      </c>
      <c r="C4" s="5" t="s">
        <v>17</v>
      </c>
      <c r="D4" s="5" t="s">
        <v>18</v>
      </c>
      <c r="E4" s="5" t="s">
        <v>19</v>
      </c>
      <c r="F4" s="2"/>
      <c r="G4" s="2"/>
      <c r="H4" s="4" t="str">
        <f>IFERROR(__xludf.DUMMYFUNCTION("GOOGLETRANSLATE(B4, ""en"", ""zh"")"),"在蹴鞠比赛中，A球员持球，试图用“倒钩射门”得分。这项技术的主要难点是什么？")</f>
        <v>在蹴鞠比赛中，A球员持球，试图用“倒钩射门”得分。这项技术的主要难点是什么？</v>
      </c>
      <c r="I4" s="4" t="str">
        <f>IFERROR(__xludf.DUMMYFUNCTION("GOOGLETRANSLATE(C4, ""en"", ""zh"")"),"A) 球太重，B) 需要精准的时机把握，C) 球太小，D) 球门柱太高")</f>
        <v>A) 球太重，B) 需要精准的时机把握，C) 球太小，D) 球门柱太高</v>
      </c>
      <c r="J4" s="4" t="str">
        <f>IFERROR(__xludf.DUMMYFUNCTION("GOOGLETRANSLATE(D4, ""en"", ""zh"")"),"B) 所需的时间和精度")</f>
        <v>B) 所需的时间和精度</v>
      </c>
      <c r="K4" s="4" t="str">
        <f>IFERROR(__xludf.DUMMYFUNCTION("GOOGLETRANSLATE(E4, ""en"", ""zh"")"),"“剪刀腿”需要精准的时机和位置，是蹴鞠中最难掌握的技巧之一。")</f>
        <v>“剪刀腿”需要精准的时机和位置，是蹴鞠中最难掌握的技巧之一。</v>
      </c>
      <c r="L4" s="2"/>
      <c r="M4" s="3"/>
      <c r="N4" s="3"/>
      <c r="O4" s="3"/>
      <c r="P4" s="2"/>
      <c r="Q4" s="2"/>
      <c r="R4" s="2"/>
      <c r="S4" s="2"/>
      <c r="T4" s="2"/>
      <c r="U4" s="2"/>
      <c r="V4" s="2"/>
      <c r="W4" s="2"/>
      <c r="X4" s="2"/>
      <c r="Y4" s="2"/>
      <c r="Z4" s="2"/>
      <c r="AA4" s="2"/>
      <c r="AB4" s="2"/>
    </row>
    <row r="5">
      <c r="A5" s="4">
        <v>4.0</v>
      </c>
      <c r="B5" s="5" t="s">
        <v>20</v>
      </c>
      <c r="C5" s="5" t="s">
        <v>21</v>
      </c>
      <c r="D5" s="5" t="s">
        <v>22</v>
      </c>
      <c r="E5" s="5" t="s">
        <v>23</v>
      </c>
      <c r="F5" s="2"/>
      <c r="G5" s="2"/>
      <c r="H5" s="4" t="str">
        <f>IFERROR(__xludf.DUMMYFUNCTION("GOOGLETRANSLATE(B5, ""en"", ""zh"")"),"一名貉队球员试图将球传给队友，但球出了界。接下来比赛会发生什么？")</f>
        <v>一名貉队球员试图将球传给队友，但球出了界。接下来比赛会发生什么？</v>
      </c>
      <c r="I5" s="4" t="str">
        <f>IFERROR(__xludf.DUMMYFUNCTION("GOOGLETRANSLATE(C5, ""en"", ""zh"")"),"A) 对方球队获得任意球，B) 比赛继续进行，未中断，C) 对方球队获得球权，D) 该球员被判罚。")</f>
        <v>A) 对方球队获得任意球，B) 比赛继续进行，未中断，C) 对方球队获得球权，D) 该球员被判罚。</v>
      </c>
      <c r="J5" s="4" t="str">
        <f>IFERROR(__xludf.DUMMYFUNCTION("GOOGLETRANSLATE(D5, ""en"", ""zh"")"),"C) 对方球队获得球权")</f>
        <v>C) 对方球队获得球权</v>
      </c>
      <c r="K5" s="4" t="str">
        <f>IFERROR(__xludf.DUMMYFUNCTION("GOOGLETRANSLATE(E5, ""en"", ""zh"")"),"当球出界时，球权归对方球队所有，比赛从该点重新开始。")</f>
        <v>当球出界时，球权归对方球队所有，比赛从该点重新开始。</v>
      </c>
      <c r="L5" s="2"/>
      <c r="M5" s="3"/>
      <c r="N5" s="3"/>
      <c r="O5" s="3"/>
      <c r="P5" s="2"/>
      <c r="Q5" s="8"/>
      <c r="R5" s="8"/>
      <c r="S5" s="8"/>
      <c r="T5" s="8"/>
      <c r="U5" s="8"/>
      <c r="V5" s="8"/>
      <c r="W5" s="8"/>
      <c r="X5" s="8"/>
      <c r="Y5" s="8"/>
      <c r="Z5" s="8"/>
      <c r="AA5" s="8"/>
      <c r="AB5" s="8"/>
    </row>
    <row r="6">
      <c r="A6" s="4">
        <v>5.0</v>
      </c>
      <c r="B6" s="9" t="s">
        <v>24</v>
      </c>
      <c r="C6" s="9" t="s">
        <v>25</v>
      </c>
      <c r="D6" s="9" t="s">
        <v>26</v>
      </c>
      <c r="E6" s="9" t="s">
        <v>27</v>
      </c>
      <c r="F6" s="8"/>
      <c r="G6" s="8"/>
      <c r="H6" s="4" t="str">
        <f>IFERROR(__xludf.DUMMYFUNCTION("GOOGLETRANSLATE(B6, ""en"", ""zh"")"),"由于踢球方式和脚部动作的相似性，蹴鞠经常被拿来与哪项现代运动进行比较？")</f>
        <v>由于踢球方式和脚部动作的相似性，蹴鞠经常被拿来与哪项现代运动进行比较？</v>
      </c>
      <c r="I6" s="4" t="str">
        <f>IFERROR(__xludf.DUMMYFUNCTION("GOOGLETRANSLATE(C6, ""en"", ""zh"")"),"A) 棒球，B) 篮球，C) 足球，D) 橄榄球")</f>
        <v>A) 棒球，B) 篮球，C) 足球，D) 橄榄球</v>
      </c>
      <c r="J6" s="4" t="str">
        <f>IFERROR(__xludf.DUMMYFUNCTION("GOOGLETRANSLATE(D6, ""en"", ""zh"")"),"C) 足球")</f>
        <v>C) 足球</v>
      </c>
      <c r="K6" s="4" t="str">
        <f>IFERROR(__xludf.DUMMYFUNCTION("GOOGLETRANSLATE(E6, ""en"", ""zh"")"),"蹴鞠与现代足球有很多相似之处，尤其是在用脚控球和进球方面。")</f>
        <v>蹴鞠与现代足球有很多相似之处，尤其是在用脚控球和进球方面。</v>
      </c>
      <c r="L6" s="8"/>
      <c r="M6" s="10"/>
      <c r="N6" s="8"/>
      <c r="O6" s="10"/>
      <c r="P6" s="8"/>
      <c r="Q6" s="2"/>
      <c r="R6" s="2"/>
      <c r="S6" s="2"/>
      <c r="T6" s="2"/>
      <c r="U6" s="2"/>
      <c r="V6" s="2"/>
      <c r="W6" s="2"/>
      <c r="X6" s="2"/>
      <c r="Y6" s="2"/>
      <c r="Z6" s="2"/>
      <c r="AA6" s="2"/>
      <c r="AB6" s="2"/>
    </row>
    <row r="7">
      <c r="A7" s="4">
        <v>6.0</v>
      </c>
      <c r="B7" s="5" t="s">
        <v>28</v>
      </c>
      <c r="C7" s="5" t="s">
        <v>29</v>
      </c>
      <c r="D7" s="5" t="s">
        <v>30</v>
      </c>
      <c r="E7" s="5" t="s">
        <v>31</v>
      </c>
      <c r="F7" s="2"/>
      <c r="G7" s="2"/>
      <c r="H7" s="4" t="str">
        <f>IFERROR(__xludf.DUMMYFUNCTION("GOOGLETRANSLATE(B7, ""en"", ""zh"")"),"在蹴鞠比赛中，A球员试图用大力踢球，但球被B球员拦截。B球员最有可能采取什么动作来控制球？")</f>
        <v>在蹴鞠比赛中，A球员试图用大力踢球，但球被B球员拦截。B球员最有可能采取什么动作来控制球？</v>
      </c>
      <c r="I7" s="4" t="str">
        <f>IFERROR(__xludf.DUMMYFUNCTION("GOOGLETRANSLATE(C7, ""en"", ""zh"")"),"A) 头球，B) 踢球，C) 接球，D) 用脚停球")</f>
        <v>A) 头球，B) 踢球，C) 接球，D) 用脚停球</v>
      </c>
      <c r="J7" s="4" t="str">
        <f>IFERROR(__xludf.DUMMYFUNCTION("GOOGLETRANSLATE(D7, ""en"", ""zh"")"),"D）用脚停球")</f>
        <v>D）用脚停球</v>
      </c>
      <c r="K7" s="4" t="str">
        <f>IFERROR(__xludf.DUMMYFUNCTION("GOOGLETRANSLATE(E7, ""en"", ""zh"")"),"在蹴鞠运动中，球员在拦截后通常用脚停球来控制球，而不是用手或头。")</f>
        <v>在蹴鞠运动中，球员在拦截后通常用脚停球来控制球，而不是用手或头。</v>
      </c>
      <c r="L7" s="3"/>
      <c r="M7" s="3"/>
      <c r="N7" s="3"/>
      <c r="O7" s="3"/>
      <c r="P7" s="6"/>
      <c r="Q7" s="2"/>
      <c r="R7" s="2"/>
      <c r="S7" s="2"/>
      <c r="T7" s="2"/>
      <c r="U7" s="2"/>
      <c r="V7" s="2"/>
      <c r="W7" s="2"/>
      <c r="X7" s="2"/>
      <c r="Y7" s="2"/>
      <c r="Z7" s="2"/>
      <c r="AA7" s="2"/>
      <c r="AB7" s="2"/>
    </row>
    <row r="8">
      <c r="A8" s="4">
        <v>7.0</v>
      </c>
      <c r="B8" s="5" t="s">
        <v>32</v>
      </c>
      <c r="C8" s="5" t="s">
        <v>33</v>
      </c>
      <c r="D8" s="5" t="s">
        <v>34</v>
      </c>
      <c r="E8" s="5" t="s">
        <v>35</v>
      </c>
      <c r="F8" s="2"/>
      <c r="G8" s="2"/>
      <c r="H8" s="4" t="str">
        <f>IFERROR(__xludf.DUMMYFUNCTION("GOOGLETRANSLATE(B8, ""en"", ""zh"")"),"在蹴鞠比赛中，一名球员用身体挡住对方球员的球。这一动作适用哪条规则？")</f>
        <v>在蹴鞠比赛中，一名球员用身体挡住对方球员的球。这一动作适用哪条规则？</v>
      </c>
      <c r="I8" s="4" t="str">
        <f>IFERROR(__xludf.DUMMYFUNCTION("GOOGLETRANSLATE(C8, ""en"", ""zh"")"),"A) 球员越位，B) 球员获得任意球，C) 球员可以护球，D) 球员获得黄牌")</f>
        <v>A) 球员越位，B) 球员获得任意球，C) 球员可以护球，D) 球员获得黄牌</v>
      </c>
      <c r="J8" s="4" t="str">
        <f>IFERROR(__xludf.DUMMYFUNCTION("GOOGLETRANSLATE(D8, ""en"", ""zh"")"),"C) 球员可以护球。")</f>
        <v>C) 球员可以护球。</v>
      </c>
      <c r="K8" s="4" t="str">
        <f>IFERROR(__xludf.DUMMYFUNCTION("GOOGLETRANSLATE(E8, ""en"", ""zh"")"),"在蹴鞠中，护球是一种合法动作，球员可以用身体保护球不被对手抢走，但不能造成阻碍。")</f>
        <v>在蹴鞠中，护球是一种合法动作，球员可以用身体保护球不被对手抢走，但不能造成阻碍。</v>
      </c>
      <c r="L8" s="3"/>
      <c r="M8" s="3"/>
      <c r="N8" s="2"/>
      <c r="O8" s="3"/>
      <c r="P8" s="2"/>
      <c r="Q8" s="2"/>
      <c r="R8" s="2"/>
      <c r="S8" s="2"/>
      <c r="T8" s="2"/>
      <c r="U8" s="2"/>
      <c r="V8" s="2"/>
      <c r="W8" s="2"/>
      <c r="X8" s="2"/>
      <c r="Y8" s="2"/>
      <c r="Z8" s="2"/>
      <c r="AA8" s="2"/>
      <c r="AB8" s="2"/>
    </row>
    <row r="9">
      <c r="A9" s="4">
        <v>8.0</v>
      </c>
      <c r="B9" s="5" t="s">
        <v>36</v>
      </c>
      <c r="C9" s="5" t="s">
        <v>37</v>
      </c>
      <c r="D9" s="5" t="s">
        <v>38</v>
      </c>
      <c r="E9" s="5" t="s">
        <v>39</v>
      </c>
      <c r="F9" s="2"/>
      <c r="G9" s="2"/>
      <c r="H9" s="4" t="str">
        <f>IFERROR(__xludf.DUMMYFUNCTION("GOOGLETRANSLATE(B9, ""en"", ""zh"")"),"在蹴鞠比赛中，A球员将球踢向空中，B球员用倒钩射门将球打入球门。这种技术叫什么？")</f>
        <v>在蹴鞠比赛中，A球员将球踢向空中，B球员用倒钩射门将球打入球门。这种技术叫什么？</v>
      </c>
      <c r="I9" s="4" t="str">
        <f>IFERROR(__xludf.DUMMYFUNCTION("GOOGLETRANSLATE(C9, ""en"", ""zh"")"),"A) 剪刀脚，B) 倒钩脚，C) 自行车脚，D) 凌空抽射")</f>
        <v>A) 剪刀脚，B) 倒钩脚，C) 自行车脚，D) 凌空抽射</v>
      </c>
      <c r="J9" s="4" t="str">
        <f>IFERROR(__xludf.DUMMYFUNCTION("GOOGLETRANSLATE(D9, ""en"", ""zh"")"),"C) 倒钩踢")</f>
        <v>C) 倒钩踢</v>
      </c>
      <c r="K9" s="4" t="str">
        <f>IFERROR(__xludf.DUMMYFUNCTION("GOOGLETRANSLATE(E9, ""en"", ""zh"")"),"倒钩射门是一种精彩的技巧，球员在向后空翻的同时踢球。这是蹴鞠中常见的技术。")</f>
        <v>倒钩射门是一种精彩的技巧，球员在向后空翻的同时踢球。这是蹴鞠中常见的技术。</v>
      </c>
      <c r="L9" s="3"/>
      <c r="M9" s="3"/>
      <c r="N9" s="3"/>
      <c r="O9" s="3"/>
      <c r="P9" s="6"/>
      <c r="Q9" s="2"/>
      <c r="R9" s="2"/>
      <c r="S9" s="2"/>
      <c r="T9" s="2"/>
      <c r="U9" s="2"/>
      <c r="V9" s="2"/>
      <c r="W9" s="2"/>
      <c r="X9" s="2"/>
      <c r="Y9" s="2"/>
      <c r="Z9" s="2"/>
      <c r="AA9" s="2"/>
      <c r="AB9" s="2"/>
    </row>
    <row r="10">
      <c r="A10" s="4">
        <v>9.0</v>
      </c>
      <c r="B10" s="5" t="s">
        <v>40</v>
      </c>
      <c r="C10" s="5" t="s">
        <v>41</v>
      </c>
      <c r="D10" s="5" t="s">
        <v>42</v>
      </c>
      <c r="E10" s="5" t="s">
        <v>43</v>
      </c>
      <c r="F10" s="2"/>
      <c r="G10" s="2"/>
      <c r="H10" s="4" t="str">
        <f>IFERROR(__xludf.DUMMYFUNCTION("GOOGLETRANSLATE(B10, ""en"", ""zh"")"),"在蹴鞠中，场地通常被分成两半。这种划分的目的是什么？")</f>
        <v>在蹴鞠中，场地通常被分成两半。这种划分的目的是什么？</v>
      </c>
      <c r="I10" s="4" t="str">
        <f>IFERROR(__xludf.DUMMYFUNCTION("GOOGLETRANSLATE(C10, ""en"", ""zh"")"),"A) 区分球队，B) 组织比赛流程，C) 限制得分区域，D) 允许换人")</f>
        <v>A) 区分球队，B) 组织比赛流程，C) 限制得分区域，D) 允许换人</v>
      </c>
      <c r="J10" s="4" t="str">
        <f>IFERROR(__xludf.DUMMYFUNCTION("GOOGLETRANSLATE(D10, ""en"", ""zh"")"),"B）组织比赛流程")</f>
        <v>B）组织比赛流程</v>
      </c>
      <c r="K10" s="4" t="str">
        <f>IFERROR(__xludf.DUMMYFUNCTION("GOOGLETRANSLATE(E10, ""en"", ""zh"")"),"将场地分成两半有助于组织比赛，使球队拥有明确的进攻和防守区域。")</f>
        <v>将场地分成两半有助于组织比赛，使球队拥有明确的进攻和防守区域。</v>
      </c>
      <c r="L10" s="2"/>
      <c r="M10" s="3"/>
      <c r="N10" s="2"/>
      <c r="O10" s="3"/>
      <c r="P10" s="2"/>
      <c r="Q10" s="8"/>
      <c r="R10" s="8"/>
      <c r="S10" s="8"/>
      <c r="T10" s="8"/>
      <c r="U10" s="8"/>
      <c r="V10" s="8"/>
      <c r="W10" s="8"/>
      <c r="X10" s="8"/>
      <c r="Y10" s="8"/>
      <c r="Z10" s="8"/>
      <c r="AA10" s="8"/>
      <c r="AB10" s="8"/>
    </row>
    <row r="11">
      <c r="A11" s="4">
        <v>10.0</v>
      </c>
      <c r="B11" s="5" t="s">
        <v>44</v>
      </c>
      <c r="C11" s="5" t="s">
        <v>45</v>
      </c>
      <c r="D11" s="5" t="s">
        <v>46</v>
      </c>
      <c r="E11" s="5" t="s">
        <v>47</v>
      </c>
      <c r="F11" s="2"/>
      <c r="G11" s="2"/>
      <c r="H11" s="4" t="str">
        <f>IFERROR(__xludf.DUMMYFUNCTION("GOOGLETRANSLATE(B11, ""en"", ""zh"")"),"在蹴鞠比赛中，A球员将球踢向对方球门。球击中横梁后反弹回场内。正确的判罚是什么？")</f>
        <v>在蹴鞠比赛中，A球员将球踢向对方球门。球击中横梁后反弹回场内。正确的判罚是什么？</v>
      </c>
      <c r="I11" s="4" t="str">
        <f>IFERROR(__xludf.DUMMYFUNCTION("GOOGLETRANSLATE(C11, ""en"", ""zh"")"),"A) 球出界；B) 比赛继续进行，不中断；C) 进球有效；D) 球被送回中圈。")</f>
        <v>A) 球出界；B) 比赛继续进行，不中断；C) 进球有效；D) 球被送回中圈。</v>
      </c>
      <c r="J11" s="4" t="str">
        <f>IFERROR(__xludf.DUMMYFUNCTION("GOOGLETRANSLATE(D11, ""en"", ""zh"")"),"B) 比赛继续进行，未受干扰。")</f>
        <v>B) 比赛继续进行，未受干扰。</v>
      </c>
      <c r="K11" s="4" t="str">
        <f>IFERROR(__xludf.DUMMYFUNCTION("GOOGLETRANSLATE(E11, ""en"", ""zh"")"),"如果球击中横梁后仍留在场内，比赛照常继续进行，不会中断。")</f>
        <v>如果球击中横梁后仍留在场内，比赛照常继续进行，不会中断。</v>
      </c>
      <c r="L11" s="2"/>
      <c r="M11" s="3"/>
      <c r="N11" s="3"/>
      <c r="O11" s="3"/>
      <c r="P11" s="2"/>
      <c r="Q11" s="2"/>
      <c r="R11" s="2"/>
      <c r="S11" s="2"/>
      <c r="T11" s="2"/>
      <c r="U11" s="2"/>
      <c r="V11" s="2"/>
      <c r="W11" s="2"/>
      <c r="X11" s="2"/>
      <c r="Y11" s="2"/>
      <c r="Z11" s="2"/>
      <c r="AA11" s="2"/>
      <c r="AB11" s="2"/>
    </row>
    <row r="12">
      <c r="A12" s="4">
        <v>11.0</v>
      </c>
      <c r="B12" s="5" t="s">
        <v>48</v>
      </c>
      <c r="C12" s="5" t="s">
        <v>49</v>
      </c>
      <c r="D12" s="5" t="s">
        <v>50</v>
      </c>
      <c r="E12" s="5" t="s">
        <v>51</v>
      </c>
      <c r="F12" s="2"/>
      <c r="G12" s="2"/>
      <c r="H12" s="4" t="str">
        <f>IFERROR(__xludf.DUMMYFUNCTION("GOOGLETRANSLATE(B12, ""en"", ""zh"")"),"在蹴鞠比赛中，球员A高高踢球将球从球门外解围。下列哪个动作会被判犯规？")</f>
        <v>在蹴鞠比赛中，球员A高高踢球将球从球门外解围。下列哪个动作会被判犯规？</v>
      </c>
      <c r="I12" s="4" t="str">
        <f>IFERROR(__xludf.DUMMYFUNCTION("GOOGLETRANSLATE(C12, ""en"", ""zh"")"),"A) 踢球过高，B) 踢球时用力过猛，C) 用脚侧面踢球，D) 直线踢球")</f>
        <v>A) 踢球过高，B) 踢球时用力过猛，C) 用脚侧面踢球，D) 直线踢球</v>
      </c>
      <c r="J12" s="4" t="str">
        <f>IFERROR(__xludf.DUMMYFUNCTION("GOOGLETRANSLATE(D12, ""en"", ""zh"")"),"B) 踢人时用力过猛")</f>
        <v>B) 踢人时用力过猛</v>
      </c>
      <c r="K12" s="4" t="str">
        <f>IFERROR(__xludf.DUMMYFUNCTION("GOOGLETRANSLATE(E12, ""en"", ""zh"")"),"在蹴鞠运动中，使用过大的力量会被视为犯规，因为球员需要保持对自身动作的控制。")</f>
        <v>在蹴鞠运动中，使用过大的力量会被视为犯规，因为球员需要保持对自身动作的控制。</v>
      </c>
      <c r="L12" s="3"/>
      <c r="M12" s="3"/>
      <c r="N12" s="3"/>
      <c r="O12" s="3"/>
      <c r="P12" s="6"/>
      <c r="Q12" s="2"/>
      <c r="R12" s="2"/>
      <c r="S12" s="2"/>
      <c r="T12" s="2"/>
      <c r="U12" s="2"/>
      <c r="V12" s="2"/>
      <c r="W12" s="2"/>
      <c r="X12" s="2"/>
      <c r="Y12" s="2"/>
      <c r="Z12" s="2"/>
      <c r="AA12" s="2"/>
      <c r="AB12" s="2"/>
    </row>
    <row r="13">
      <c r="A13" s="4">
        <v>12.0</v>
      </c>
      <c r="B13" s="5" t="s">
        <v>52</v>
      </c>
      <c r="C13" s="5" t="s">
        <v>53</v>
      </c>
      <c r="D13" s="5" t="s">
        <v>54</v>
      </c>
      <c r="E13" s="5" t="s">
        <v>55</v>
      </c>
      <c r="F13" s="2"/>
      <c r="G13" s="2"/>
      <c r="H13" s="4" t="str">
        <f>IFERROR(__xludf.DUMMYFUNCTION("GOOGLETRANSLATE(B13, ""en"", ""zh"")"),"球员A将球踢向球门，但球员B用头球拦截了球，并将其顶回己方半场。这一动作体现了什么？")</f>
        <v>球员A将球踢向球门，但球员B用头球拦截了球，并将其顶回己方半场。这一动作体现了什么？</v>
      </c>
      <c r="I13" s="4" t="str">
        <f>IFERROR(__xludf.DUMMYFUNCTION("GOOGLETRANSLATE(C13, ""en"", ""zh"")"),"A) 进攻战术，B) 防守策略，C) 犯规，D) 守门员")</f>
        <v>A) 进攻战术，B) 防守策略，C) 犯规，D) 守门员</v>
      </c>
      <c r="J13" s="4" t="str">
        <f>IFERROR(__xludf.DUMMYFUNCTION("GOOGLETRANSLATE(D13, ""en"", ""zh"")"),"B）防御策略")</f>
        <v>B）防御策略</v>
      </c>
      <c r="K13" s="4" t="str">
        <f>IFERROR(__xludf.DUMMYFUNCTION("GOOGLETRANSLATE(E13, ""en"", ""zh"")"),"在蹴鞠队中，拦截并改变球的运行轨迹是一种防守策略，有助于阻止对手得分。")</f>
        <v>在蹴鞠队中，拦截并改变球的运行轨迹是一种防守策略，有助于阻止对手得分。</v>
      </c>
      <c r="L13" s="2"/>
      <c r="M13" s="3"/>
      <c r="N13" s="2"/>
      <c r="O13" s="3"/>
      <c r="P13" s="2"/>
      <c r="Q13" s="2"/>
      <c r="R13" s="2"/>
      <c r="S13" s="2"/>
      <c r="T13" s="2"/>
      <c r="U13" s="2"/>
      <c r="V13" s="2"/>
      <c r="W13" s="2"/>
      <c r="X13" s="2"/>
      <c r="Y13" s="2"/>
      <c r="Z13" s="2"/>
      <c r="AA13" s="2"/>
      <c r="AB13" s="2"/>
    </row>
    <row r="14">
      <c r="A14" s="4">
        <v>13.0</v>
      </c>
      <c r="B14" s="9" t="s">
        <v>56</v>
      </c>
      <c r="C14" s="9" t="s">
        <v>57</v>
      </c>
      <c r="D14" s="9" t="s">
        <v>58</v>
      </c>
      <c r="E14" s="9" t="s">
        <v>59</v>
      </c>
      <c r="F14" s="8"/>
      <c r="G14" s="8"/>
      <c r="H14" s="4" t="str">
        <f>IFERROR(__xludf.DUMMYFUNCTION("GOOGLETRANSLATE(B14, ""en"", ""zh"")"),"在貉队的一场比赛中，球员A在一次铲球中受伤。为了使比赛继续进行，通常的做法是什么？")</f>
        <v>在貉队的一场比赛中，球员A在一次铲球中受伤。为了使比赛继续进行，通常的做法是什么？</v>
      </c>
      <c r="I14" s="4" t="str">
        <f>IFERROR(__xludf.DUMMYFUNCTION("GOOGLETRANSLATE(C14, ""en"", ""zh"")"),"A) 比赛暂停进行医疗检查，B) 比赛立即恢复，C) 受伤球员被替补球员替换，D) 对方球队获得球权")</f>
        <v>A) 比赛暂停进行医疗检查，B) 比赛立即恢复，C) 受伤球员被替补球员替换，D) 对方球队获得球权</v>
      </c>
      <c r="J14" s="4" t="str">
        <f>IFERROR(__xludf.DUMMYFUNCTION("GOOGLETRANSLATE(D14, ""en"", ""zh"")"),"A) 比赛暂停进行医疗检查")</f>
        <v>A) 比赛暂停进行医疗检查</v>
      </c>
      <c r="K14" s="4" t="str">
        <f>IFERROR(__xludf.DUMMYFUNCTION("GOOGLETRANSLATE(E14, ""en"", ""zh"")"),"大多数情况下，当一名球员受伤时，比赛会暂停进行医疗救治，然后再恢复比赛。")</f>
        <v>大多数情况下，当一名球员受伤时，比赛会暂停进行医疗救治，然后再恢复比赛。</v>
      </c>
      <c r="L14" s="8"/>
      <c r="M14" s="10"/>
      <c r="N14" s="10"/>
      <c r="O14" s="10"/>
      <c r="P14" s="8"/>
      <c r="Q14" s="2"/>
      <c r="R14" s="2"/>
      <c r="S14" s="2"/>
      <c r="T14" s="2"/>
      <c r="U14" s="2"/>
      <c r="V14" s="2"/>
      <c r="W14" s="2"/>
      <c r="X14" s="2"/>
      <c r="Y14" s="2"/>
      <c r="Z14" s="2"/>
      <c r="AA14" s="2"/>
      <c r="AB14" s="2"/>
    </row>
    <row r="15">
      <c r="A15" s="4">
        <v>14.0</v>
      </c>
      <c r="B15" s="5" t="s">
        <v>60</v>
      </c>
      <c r="C15" s="5" t="s">
        <v>61</v>
      </c>
      <c r="D15" s="5" t="s">
        <v>62</v>
      </c>
      <c r="E15" s="5" t="s">
        <v>63</v>
      </c>
      <c r="F15" s="2"/>
      <c r="G15" s="2"/>
      <c r="H15" s="4" t="str">
        <f>IFERROR(__xludf.DUMMYFUNCTION("GOOGLETRANSLATE(B15, ""en"", ""zh"")"),"在蹴鞠比赛中，球传给了A球员，他尝试了一记倒钩射门。进行这一动作的主要风险是什么？")</f>
        <v>在蹴鞠比赛中，球传给了A球员，他尝试了一记倒钩射门。进行这一动作的主要风险是什么？</v>
      </c>
      <c r="I15" s="4" t="str">
        <f>IFERROR(__xludf.DUMMYFUNCTION("GOOGLETRANSLATE(C15, ""en"", ""zh"")"),"A) 踢球球员受伤；B) 球被踢出界外；C) 球击中守门员；D) 失去球权")</f>
        <v>A) 踢球球员受伤；B) 球被踢出界外；C) 球击中守门员；D) 失去球权</v>
      </c>
      <c r="J15" s="4" t="str">
        <f>IFERROR(__xludf.DUMMYFUNCTION("GOOGLETRANSLATE(D15, ""en"", ""zh"")"),"A) 踢球球员受伤")</f>
        <v>A) 踢球球员受伤</v>
      </c>
      <c r="K15" s="4" t="str">
        <f>IFERROR(__xludf.DUMMYFUNCTION("GOOGLETRANSLATE(E15, ""en"", ""zh"")"),"倒钩踢非常精彩，但也很危险，因为它需要杂技般的动作，如果动作不正确可能会导致受伤。")</f>
        <v>倒钩踢非常精彩，但也很危险，因为它需要杂技般的动作，如果动作不正确可能会导致受伤。</v>
      </c>
      <c r="L15" s="2"/>
      <c r="M15" s="3"/>
      <c r="N15" s="2"/>
      <c r="O15" s="3"/>
      <c r="P15" s="6"/>
      <c r="Q15" s="2"/>
      <c r="R15" s="2"/>
      <c r="S15" s="2"/>
      <c r="T15" s="2"/>
      <c r="U15" s="2"/>
      <c r="V15" s="2"/>
      <c r="W15" s="2"/>
      <c r="X15" s="2"/>
      <c r="Y15" s="2"/>
      <c r="Z15" s="2"/>
      <c r="AA15" s="2"/>
      <c r="AB15" s="2"/>
    </row>
    <row r="16">
      <c r="A16" s="4">
        <v>15.0</v>
      </c>
      <c r="B16" s="5" t="s">
        <v>64</v>
      </c>
      <c r="C16" s="5" t="s">
        <v>65</v>
      </c>
      <c r="D16" s="5" t="s">
        <v>66</v>
      </c>
      <c r="E16" s="5" t="s">
        <v>67</v>
      </c>
      <c r="F16" s="2"/>
      <c r="G16" s="2"/>
      <c r="H16" s="4" t="str">
        <f>IFERROR(__xludf.DUMMYFUNCTION("GOOGLETRANSLATE(B16, ""en"", ""zh"")"),"在蹴鞠比赛中，球员A在禁区外开球破门得分。这种动作叫什么？")</f>
        <v>在蹴鞠比赛中，球员A在禁区外开球破门得分。这种动作叫什么？</v>
      </c>
      <c r="I16" s="4" t="str">
        <f>IFERROR(__xludf.DUMMYFUNCTION("GOOGLETRANSLATE(C16, ""en"", ""zh"")"),"A) 远射，B) 直接任意球，C) 头球，D) 任意球")</f>
        <v>A) 远射，B) 直接任意球，C) 头球，D) 任意球</v>
      </c>
      <c r="J16" s="4" t="str">
        <f>IFERROR(__xludf.DUMMYFUNCTION("GOOGLETRANSLATE(D16, ""en"", ""zh"")"),"A) 远射")</f>
        <v>A) 远射</v>
      </c>
      <c r="K16" s="4" t="str">
        <f>IFERROR(__xludf.DUMMYFUNCTION("GOOGLETRANSLATE(E16, ""en"", ""zh"")"),"在貉中，用长传球在禁区外射门得分被称为远射。")</f>
        <v>在貉中，用长传球在禁区外射门得分被称为远射。</v>
      </c>
      <c r="L16" s="2"/>
      <c r="M16" s="3"/>
      <c r="N16" s="3"/>
      <c r="O16" s="3"/>
      <c r="P16" s="2"/>
      <c r="Q16" s="2"/>
      <c r="R16" s="2"/>
      <c r="S16" s="2"/>
      <c r="T16" s="2"/>
      <c r="U16" s="2"/>
      <c r="V16" s="2"/>
      <c r="W16" s="2"/>
      <c r="X16" s="2"/>
      <c r="Y16" s="2"/>
      <c r="Z16" s="2"/>
      <c r="AA16" s="2"/>
      <c r="AB16" s="2"/>
    </row>
    <row r="17">
      <c r="A17" s="4">
        <v>16.0</v>
      </c>
      <c r="B17" s="5" t="s">
        <v>68</v>
      </c>
      <c r="C17" s="5" t="s">
        <v>69</v>
      </c>
      <c r="D17" s="5" t="s">
        <v>70</v>
      </c>
      <c r="E17" s="5" t="s">
        <v>71</v>
      </c>
      <c r="F17" s="2"/>
      <c r="G17" s="2"/>
      <c r="H17" s="4" t="str">
        <f>IFERROR(__xludf.DUMMYFUNCTION("GOOGLETRANSLATE(B17, ""en"", ""zh"")"),"在蹴鞠比赛中，A球员试图将球传给B球员，但传球被对方球员C拦截。B球员的正确反应是什么？")</f>
        <v>在蹴鞠比赛中，A球员试图将球传给B球员，但传球被对方球员C拦截。B球员的正确反应是什么？</v>
      </c>
      <c r="I17" s="4" t="str">
        <f>IFERROR(__xludf.DUMMYFUNCTION("GOOGLETRANSLATE(C17, ""en"", ""zh"")"),"A) 继续追球，B) 阻止球员C进行进攻，C) 等待裁判做出判罚，D) 抱怨被拦截")</f>
        <v>A) 继续追球，B) 阻止球员C进行进攻，C) 等待裁判做出判罚，D) 抱怨被拦截</v>
      </c>
      <c r="J17" s="4" t="str">
        <f>IFERROR(__xludf.DUMMYFUNCTION("GOOGLETRANSLATE(D17, ""en"", ""zh"")"),"A）继续追球")</f>
        <v>A）继续追球</v>
      </c>
      <c r="K17" s="4" t="str">
        <f>IFERROR(__xludf.DUMMYFUNCTION("GOOGLETRANSLATE(E17, ""en"", ""zh"")"),"在蹴鞠中，当传球被拦截时，球员需要立即回防并继续追球以重新获得球权。")</f>
        <v>在蹴鞠中，当传球被拦截时，球员需要立即回防并继续追球以重新获得球权。</v>
      </c>
      <c r="L17" s="3"/>
      <c r="M17" s="3"/>
      <c r="N17" s="2"/>
      <c r="O17" s="3"/>
      <c r="P17" s="2"/>
      <c r="Q17" s="2"/>
      <c r="R17" s="2"/>
      <c r="S17" s="2"/>
      <c r="T17" s="2"/>
      <c r="U17" s="2"/>
      <c r="V17" s="2"/>
      <c r="W17" s="2"/>
      <c r="X17" s="2"/>
      <c r="Y17" s="2"/>
      <c r="Z17" s="2"/>
      <c r="AA17" s="2"/>
      <c r="AB17" s="2"/>
    </row>
    <row r="18">
      <c r="A18" s="4">
        <v>17.0</v>
      </c>
      <c r="B18" s="5" t="s">
        <v>72</v>
      </c>
      <c r="C18" s="5" t="s">
        <v>73</v>
      </c>
      <c r="D18" s="5" t="s">
        <v>74</v>
      </c>
      <c r="E18" s="5" t="s">
        <v>75</v>
      </c>
      <c r="F18" s="2"/>
      <c r="G18" s="2"/>
      <c r="H18" s="4" t="str">
        <f>IFERROR(__xludf.DUMMYFUNCTION("GOOGLETRANSLATE(B18, ""en"", ""zh"")"),"在蹴鞠队的一场比赛中，A球员将球踢向球门，但被守门员扑出。接下来会发生什么？")</f>
        <v>在蹴鞠队的一场比赛中，A球员将球踢向球门，但被守门员扑出。接下来会发生什么？</v>
      </c>
      <c r="I18" s="4" t="str">
        <f>IFERROR(__xludf.DUMMYFUNCTION("GOOGLETRANSLATE(C18, ""en"", ""zh"")"),"A) 球被送回中圈；B) 比赛继续进行，球仍在比赛中；C) 球被判出界；D) 守门员被判罚。")</f>
        <v>A) 球被送回中圈；B) 比赛继续进行，球仍在比赛中；C) 球被判出界；D) 守门员被判罚。</v>
      </c>
      <c r="J18" s="4" t="str">
        <f>IFERROR(__xludf.DUMMYFUNCTION("GOOGLETRANSLATE(D18, ""en"", ""zh"")"),"B) 比赛继续进行，球仍在场上。")</f>
        <v>B) 比赛继续进行，球仍在场上。</v>
      </c>
      <c r="K18" s="4" t="str">
        <f>IFERROR(__xludf.DUMMYFUNCTION("GOOGLETRANSLATE(E18, ""en"", ""zh"")"),"如果守门员挡住了球，比赛继续进行，除非球出界，否则比赛仍在进行中。")</f>
        <v>如果守门员挡住了球，比赛继续进行，除非球出界，否则比赛仍在进行中。</v>
      </c>
      <c r="L18" s="2"/>
      <c r="M18" s="3"/>
      <c r="N18" s="2"/>
      <c r="O18" s="3"/>
      <c r="P18" s="2"/>
      <c r="Q18" s="8"/>
      <c r="R18" s="8"/>
      <c r="S18" s="8"/>
      <c r="T18" s="8"/>
      <c r="U18" s="8"/>
      <c r="V18" s="8"/>
      <c r="W18" s="8"/>
      <c r="X18" s="8"/>
      <c r="Y18" s="8"/>
      <c r="Z18" s="8"/>
      <c r="AA18" s="8"/>
      <c r="AB18" s="8"/>
    </row>
    <row r="19">
      <c r="A19" s="4">
        <v>18.0</v>
      </c>
      <c r="B19" s="5" t="s">
        <v>76</v>
      </c>
      <c r="C19" s="5" t="s">
        <v>77</v>
      </c>
      <c r="D19" s="5" t="s">
        <v>78</v>
      </c>
      <c r="E19" s="5" t="s">
        <v>79</v>
      </c>
      <c r="F19" s="2"/>
      <c r="G19" s="2"/>
      <c r="H19" s="4" t="str">
        <f>IFERROR(__xludf.DUMMYFUNCTION("GOOGLETRANSLATE(B19, ""en"", ""zh"")"),"在貉队的一场比赛中，球员A尝试在禁区外罚任意球。在这个位置成功进球的最重要因素是什么？")</f>
        <v>在貉队的一场比赛中，球员A尝试在禁区外罚任意球。在这个位置成功进球的最重要因素是什么？</v>
      </c>
      <c r="I19" s="4" t="str">
        <f>IFERROR(__xludf.DUMMYFUNCTION("GOOGLETRANSLATE(C19, ""en"", ""zh"")"),"A) 球员的踢球技术，B) 守门员的站位，C) 射门角度，D) 天气状况")</f>
        <v>A) 球员的踢球技术，B) 守门员的站位，C) 射门角度，D) 天气状况</v>
      </c>
      <c r="J19" s="4" t="str">
        <f>IFERROR(__xludf.DUMMYFUNCTION("GOOGLETRANSLATE(D19, ""en"", ""zh"")"),"A) 球员的踢球技术")</f>
        <v>A) 球员的踢球技术</v>
      </c>
      <c r="K19" s="4" t="str">
        <f>IFERROR(__xludf.DUMMYFUNCTION("GOOGLETRANSLATE(E19, ""en"", ""zh"")"),"在貉中，任意球能否成功主要取决于球员的踢球技术，能否准确地将球踢入球门。")</f>
        <v>在貉中，任意球能否成功主要取决于球员的踢球技术，能否准确地将球踢入球门。</v>
      </c>
      <c r="L19" s="2"/>
      <c r="M19" s="3"/>
      <c r="N19" s="2"/>
      <c r="O19" s="3"/>
      <c r="P19" s="2"/>
      <c r="Q19" s="2"/>
      <c r="R19" s="2"/>
      <c r="S19" s="2"/>
      <c r="T19" s="2"/>
      <c r="U19" s="2"/>
      <c r="V19" s="2"/>
      <c r="W19" s="2"/>
      <c r="X19" s="2"/>
      <c r="Y19" s="2"/>
      <c r="Z19" s="2"/>
      <c r="AA19" s="2"/>
      <c r="AB19" s="2"/>
    </row>
    <row r="20">
      <c r="A20" s="4">
        <v>19.0</v>
      </c>
      <c r="B20" s="5" t="s">
        <v>80</v>
      </c>
      <c r="C20" s="5" t="s">
        <v>81</v>
      </c>
      <c r="D20" s="5" t="s">
        <v>82</v>
      </c>
      <c r="E20" s="5" t="s">
        <v>83</v>
      </c>
      <c r="F20" s="2"/>
      <c r="G20" s="2"/>
      <c r="H20" s="4" t="str">
        <f>IFERROR(__xludf.DUMMYFUNCTION("GOOGLETRANSLATE(B20, ""en"", ""zh"")"),"在蹴鞠比赛中，A选手正在使用花式动作躲避B选手的铲球。他展示的是什么技巧？")</f>
        <v>在蹴鞠比赛中，A选手正在使用花式动作躲避B选手的铲球。他展示的是什么技巧？</v>
      </c>
      <c r="I20" s="4" t="str">
        <f>IFERROR(__xludf.DUMMYFUNCTION("GOOGLETRANSLATE(C20, ""en"", ""zh"")"),"A) 运球，B) 铲球，C) 守门，D) 传球")</f>
        <v>A) 运球，B) 铲球，C) 守门，D) 传球</v>
      </c>
      <c r="J20" s="4" t="str">
        <f>IFERROR(__xludf.DUMMYFUNCTION("GOOGLETRANSLATE(D20, ""en"", ""zh"")"),"A）运球")</f>
        <v>A）运球</v>
      </c>
      <c r="K20" s="4" t="str">
        <f>IFERROR(__xludf.DUMMYFUNCTION("GOOGLETRANSLATE(E20, ""en"", ""zh"")"),"运球是控制球并躲避对手的技巧，对于蹴鞠的进攻至关重要。")</f>
        <v>运球是控制球并躲避对手的技巧，对于蹴鞠的进攻至关重要。</v>
      </c>
      <c r="L20" s="3"/>
      <c r="M20" s="3"/>
      <c r="N20" s="3"/>
      <c r="O20" s="3"/>
      <c r="P20" s="2"/>
      <c r="Q20" s="2"/>
      <c r="R20" s="2"/>
      <c r="S20" s="2"/>
      <c r="T20" s="2"/>
      <c r="U20" s="2"/>
      <c r="V20" s="2"/>
      <c r="W20" s="2"/>
      <c r="X20" s="2"/>
      <c r="Y20" s="2"/>
      <c r="Z20" s="2"/>
      <c r="AA20" s="2"/>
      <c r="AB20" s="2"/>
    </row>
    <row r="21">
      <c r="A21" s="4">
        <v>20.0</v>
      </c>
      <c r="B21" s="5" t="s">
        <v>84</v>
      </c>
      <c r="C21" s="5" t="s">
        <v>85</v>
      </c>
      <c r="D21" s="5" t="s">
        <v>86</v>
      </c>
      <c r="E21" s="5" t="s">
        <v>87</v>
      </c>
      <c r="F21" s="2"/>
      <c r="G21" s="2"/>
      <c r="H21" s="4" t="str">
        <f>IFERROR(__xludf.DUMMYFUNCTION("GOOGLETRANSLATE(B21, ""en"", ""zh"")"),"在蹴鞠比赛中，A球员即将罚点球。对方球队组成人墙阻挡射门。这个人墙的主要目的是什么？")</f>
        <v>在蹴鞠比赛中，A球员即将罚点球。对方球队组成人墙阻挡射门。这个人墙的主要目的是什么？</v>
      </c>
      <c r="I21" s="4" t="str">
        <f>IFERROR(__xludf.DUMMYFUNCTION("GOOGLETRANSLATE(C21, ""en"", ""zh"")"),"A) 分散守门员注意力，B) 减小射门角度，C) 迷惑裁判，D) 获得球权")</f>
        <v>A) 分散守门员注意力，B) 减小射门角度，C) 迷惑裁判，D) 获得球权</v>
      </c>
      <c r="J21" s="4" t="str">
        <f>IFERROR(__xludf.DUMMYFUNCTION("GOOGLETRANSLATE(D21, ""en"", ""zh"")"),"B）减小拍摄角度")</f>
        <v>B）减小拍摄角度</v>
      </c>
      <c r="K21" s="4" t="str">
        <f>IFERROR(__xludf.DUMMYFUNCTION("GOOGLETRANSLATE(E21, ""en"", ""zh"")"),"防守墙用于阻挡或减小点球的角度，使射门者更难得分。")</f>
        <v>防守墙用于阻挡或减小点球的角度，使射门者更难得分。</v>
      </c>
      <c r="L21" s="2"/>
      <c r="M21" s="3"/>
      <c r="N21" s="3"/>
      <c r="O21" s="3"/>
      <c r="P21" s="2"/>
      <c r="Q21" s="2"/>
      <c r="R21" s="2"/>
      <c r="S21" s="2"/>
      <c r="T21" s="2"/>
      <c r="U21" s="2"/>
      <c r="V21" s="2"/>
      <c r="W21" s="2"/>
      <c r="X21" s="2"/>
      <c r="Y21" s="2"/>
      <c r="Z21" s="2"/>
      <c r="AA21" s="2"/>
      <c r="AB21" s="2"/>
    </row>
    <row r="22">
      <c r="A22" s="4">
        <v>21.0</v>
      </c>
      <c r="B22" s="5" t="s">
        <v>88</v>
      </c>
      <c r="C22" s="5" t="s">
        <v>89</v>
      </c>
      <c r="D22" s="5" t="s">
        <v>90</v>
      </c>
      <c r="E22" s="5" t="s">
        <v>91</v>
      </c>
      <c r="F22" s="2"/>
      <c r="G22" s="2"/>
      <c r="H22" s="4" t="str">
        <f>IFERROR(__xludf.DUMMYFUNCTION("GOOGLETRANSLATE(B22, ""en"", ""zh"")"),"在蹴鞠比赛中，A球员成功地将球高高踢向空中解围。A球员最有可能使用了哪种技术？")</f>
        <v>在蹴鞠比赛中，A球员成功地将球高高踢向空中解围。A球员最有可能使用了哪种技术？</v>
      </c>
      <c r="I22" s="4" t="str">
        <f>IFERROR(__xludf.DUMMYFUNCTION("GOOGLETRANSLATE(C22, ""en"", ""zh"")"),"A) 凌空抽射，B) 头球，C) 球门球，D) 解围球")</f>
        <v>A) 凌空抽射，B) 头球，C) 球门球，D) 解围球</v>
      </c>
      <c r="J22" s="4" t="str">
        <f>IFERROR(__xludf.DUMMYFUNCTION("GOOGLETRANSLATE(D22, ""en"", ""zh"")"),"D) 清球")</f>
        <v>D) 清球</v>
      </c>
      <c r="K22" s="4" t="str">
        <f>IFERROR(__xludf.DUMMYFUNCTION("GOOGLETRANSLATE(E22, ""en"", ""zh"")"),"远射是指将球踢离球门区域，通常是将球高高踢向空中。")</f>
        <v>远射是指将球踢离球门区域，通常是将球高高踢向空中。</v>
      </c>
      <c r="L22" s="3"/>
      <c r="M22" s="3"/>
      <c r="N22" s="3"/>
      <c r="O22" s="3"/>
      <c r="P22" s="6"/>
      <c r="Q22" s="2"/>
      <c r="R22" s="2"/>
      <c r="S22" s="2"/>
      <c r="T22" s="2"/>
      <c r="U22" s="2"/>
      <c r="V22" s="2"/>
      <c r="W22" s="2"/>
      <c r="X22" s="2"/>
      <c r="Y22" s="2"/>
      <c r="Z22" s="2"/>
      <c r="AA22" s="2"/>
      <c r="AB22" s="2"/>
    </row>
    <row r="23">
      <c r="A23" s="4">
        <v>22.0</v>
      </c>
      <c r="B23" s="5" t="s">
        <v>92</v>
      </c>
      <c r="C23" s="5" t="s">
        <v>93</v>
      </c>
      <c r="D23" s="5" t="s">
        <v>94</v>
      </c>
      <c r="E23" s="5" t="s">
        <v>95</v>
      </c>
      <c r="F23" s="2"/>
      <c r="G23" s="2"/>
      <c r="H23" s="4" t="str">
        <f>IFERROR(__xludf.DUMMYFUNCTION("GOOGLETRANSLATE(B23, ""en"", ""zh"")"),"在蹴鞠队的一场比赛中，A球员将球踢入球门，但裁判判罚越位。这意味着什么？")</f>
        <v>在蹴鞠队的一场比赛中，A球员将球踢入球门，但裁判判罚越位。这意味着什么？</v>
      </c>
      <c r="I23" s="4" t="str">
        <f>IFERROR(__xludf.DUMMYFUNCTION("GOOGLETRANSLATE(C23, ""en"", ""zh"")"),"A) 球员A在球被踢出时站位过靠前；B) 球员A踢球用力过猛；C) 球在被踢出前就已出界；D) 球员A用手触球")</f>
        <v>A) 球员A在球被踢出时站位过靠前；B) 球员A踢球用力过猛；C) 球在被踢出前就已出界；D) 球员A用手触球</v>
      </c>
      <c r="J23" s="4" t="str">
        <f>IFERROR(__xludf.DUMMYFUNCTION("GOOGLETRANSLATE(D23, ""en"", ""zh"")"),"A）球被踢出时，球员A离得太远了。")</f>
        <v>A）球被踢出时，球员A离得太远了。</v>
      </c>
      <c r="K23" s="4" t="str">
        <f>IFERROR(__xludf.DUMMYFUNCTION("GOOGLETRANSLATE(E23, ""en"", ""zh"")"),"当球传到球员脚下时，该球员位于球的前方，并且位于最后一名防守球员的前方，此时就会发生越位违例。")</f>
        <v>当球传到球员脚下时，该球员位于球的前方，并且位于最后一名防守球员的前方，此时就会发生越位违例。</v>
      </c>
      <c r="L23" s="2"/>
      <c r="M23" s="3"/>
      <c r="N23" s="3"/>
      <c r="O23" s="3"/>
      <c r="P23" s="2"/>
      <c r="Q23" s="2"/>
      <c r="R23" s="2"/>
      <c r="S23" s="2"/>
      <c r="T23" s="2"/>
      <c r="U23" s="2"/>
      <c r="V23" s="2"/>
      <c r="W23" s="2"/>
      <c r="X23" s="2"/>
      <c r="Y23" s="2"/>
      <c r="Z23" s="2"/>
      <c r="AA23" s="2"/>
      <c r="AB23" s="2"/>
    </row>
    <row r="24">
      <c r="A24" s="4">
        <v>23.0</v>
      </c>
      <c r="B24" s="5" t="s">
        <v>96</v>
      </c>
      <c r="C24" s="5" t="s">
        <v>97</v>
      </c>
      <c r="D24" s="5" t="s">
        <v>98</v>
      </c>
      <c r="E24" s="5" t="s">
        <v>99</v>
      </c>
      <c r="F24" s="2"/>
      <c r="G24" s="2"/>
      <c r="H24" s="4" t="str">
        <f>IFERROR(__xludf.DUMMYFUNCTION("GOOGLETRANSLATE(B24, ""en"", ""zh"")"),"在蹴鞠比赛中，球员A成功铲球并获得球权。球员A接下来应该做什么？")</f>
        <v>在蹴鞠比赛中，球员A成功铲球并获得球权。球员A接下来应该做什么？</v>
      </c>
      <c r="I24" s="4" t="str">
        <f>IFERROR(__xludf.DUMMYFUNCTION("GOOGLETRANSLATE(C24, ""en"", ""zh"")"),"A) 将球传给队友，B) 立即尝试得分，C) 将球清出防守区，D) 停止比赛并等待指示")</f>
        <v>A) 将球传给队友，B) 立即尝试得分，C) 将球清出防守区，D) 停止比赛并等待指示</v>
      </c>
      <c r="J24" s="4" t="str">
        <f>IFERROR(__xludf.DUMMYFUNCTION("GOOGLETRANSLATE(D24, ""en"", ""zh"")"),"A) 将球传给队友")</f>
        <v>A) 将球传给队友</v>
      </c>
      <c r="K24" s="4" t="str">
        <f>IFERROR(__xludf.DUMMYFUNCTION("GOOGLETRANSLATE(E24, ""en"", ""zh"")"),"获得球权后，将球传给队友以保持进攻势头通常是一种策略。")</f>
        <v>获得球权后，将球传给队友以保持进攻势头通常是一种策略。</v>
      </c>
      <c r="L24" s="2"/>
      <c r="M24" s="3"/>
      <c r="N24" s="2"/>
      <c r="O24" s="3"/>
      <c r="P24" s="6"/>
      <c r="Q24" s="2"/>
      <c r="R24" s="2"/>
      <c r="S24" s="2"/>
      <c r="T24" s="2"/>
      <c r="U24" s="2"/>
      <c r="V24" s="2"/>
      <c r="W24" s="2"/>
      <c r="X24" s="2"/>
      <c r="Y24" s="2"/>
      <c r="Z24" s="2"/>
      <c r="AA24" s="2"/>
      <c r="AB24" s="2"/>
    </row>
    <row r="25">
      <c r="A25" s="4">
        <v>24.0</v>
      </c>
      <c r="B25" s="5" t="s">
        <v>100</v>
      </c>
      <c r="C25" s="5" t="s">
        <v>101</v>
      </c>
      <c r="D25" s="5" t="s">
        <v>102</v>
      </c>
      <c r="E25" s="5" t="s">
        <v>103</v>
      </c>
      <c r="F25" s="2"/>
      <c r="G25" s="2"/>
      <c r="H25" s="4" t="str">
        <f>IFERROR(__xludf.DUMMYFUNCTION("GOOGLETRANSLATE(B25, ""en"", ""zh"")"),"在蹴鞠队的一场比赛中，球员A用低平快速的传球将球传给了队友。这种传球方式叫做什么？")</f>
        <v>在蹴鞠队的一场比赛中，球员A用低平快速的传球将球传给了队友。这种传球方式叫做什么？</v>
      </c>
      <c r="I25" s="4" t="str">
        <f>IFERROR(__xludf.DUMMYFUNCTION("GOOGLETRANSLATE(C25, ""en"", ""zh"")"),"A) 直塞球，B) 挑传，C) 地面传球，D) 横传")</f>
        <v>A) 直塞球，B) 挑传，C) 地面传球，D) 横传</v>
      </c>
      <c r="J25" s="4" t="str">
        <f>IFERROR(__xludf.DUMMYFUNCTION("GOOGLETRANSLATE(D25, ""en"", ""zh"")"),"C) 地面通行证")</f>
        <v>C) 地面通行证</v>
      </c>
      <c r="K25" s="4" t="str">
        <f>IFERROR(__xludf.DUMMYFUNCTION("GOOGLETRANSLATE(E25, ""en"", ""zh"")"),"地面传球是指将球沿着地面传给队友，这样更容易控制和拦截。")</f>
        <v>地面传球是指将球沿着地面传给队友，这样更容易控制和拦截。</v>
      </c>
      <c r="L25" s="3"/>
      <c r="M25" s="3"/>
      <c r="N25" s="3"/>
      <c r="O25" s="3"/>
      <c r="P25" s="6"/>
      <c r="Q25" s="2"/>
      <c r="R25" s="2"/>
      <c r="S25" s="2"/>
      <c r="T25" s="2"/>
      <c r="U25" s="2"/>
      <c r="V25" s="2"/>
      <c r="W25" s="2"/>
      <c r="X25" s="2"/>
      <c r="Y25" s="2"/>
      <c r="Z25" s="2"/>
      <c r="AA25" s="2"/>
      <c r="AB25" s="2"/>
    </row>
    <row r="26">
      <c r="A26" s="4">
        <v>25.0</v>
      </c>
      <c r="B26" s="5" t="s">
        <v>104</v>
      </c>
      <c r="C26" s="5" t="s">
        <v>105</v>
      </c>
      <c r="D26" s="5" t="s">
        <v>106</v>
      </c>
      <c r="E26" s="5" t="s">
        <v>107</v>
      </c>
      <c r="F26" s="2"/>
      <c r="G26" s="2"/>
      <c r="H26" s="4" t="str">
        <f>IFERROR(__xludf.DUMMYFUNCTION("GOOGLETRANSLATE(B26, ""en"", ""zh"")"),"在蹴鞠比赛中，球员A位于对方球门前接到传球。守门员冲上前去拦截。球员A的最佳选择是什么？")</f>
        <v>在蹴鞠比赛中，球员A位于对方球门前接到传球。守门员冲上前去拦截。球员A的最佳选择是什么？</v>
      </c>
      <c r="I26" s="4" t="str">
        <f>IFERROR(__xludf.DUMMYFUNCTION("GOOGLETRANSLATE(C26, ""en"", ""zh"")"),"A) 尝试挑射越过守门员，B) 将球回传给队友，C) 毫不犹豫地射门，D) 带球绕过守门员")</f>
        <v>A) 尝试挑射越过守门员，B) 将球回传给队友，C) 毫不犹豫地射门，D) 带球绕过守门员</v>
      </c>
      <c r="J26" s="4" t="str">
        <f>IFERROR(__xludf.DUMMYFUNCTION("GOOGLETRANSLATE(D26, ""en"", ""zh"")"),"A) 尝试挑射越过守门员")</f>
        <v>A) 尝试挑射越过守门员</v>
      </c>
      <c r="K26" s="4" t="str">
        <f>IFERROR(__xludf.DUMMYFUNCTION("GOOGLETRANSLATE(E26, ""en"", ""zh"")"),"当守门员冲出拦截球时，挑射往往是得分的最佳方式，因为它可以让球从守门员头顶飞过。")</f>
        <v>当守门员冲出拦截球时，挑射往往是得分的最佳方式，因为它可以让球从守门员头顶飞过。</v>
      </c>
      <c r="L26" s="3"/>
      <c r="M26" s="3"/>
      <c r="N26" s="3"/>
      <c r="O26" s="3"/>
      <c r="P26" s="6"/>
      <c r="Q26" s="2"/>
      <c r="R26" s="2"/>
      <c r="S26" s="2"/>
      <c r="T26" s="2"/>
      <c r="U26" s="2"/>
      <c r="V26" s="2"/>
      <c r="W26" s="2"/>
      <c r="X26" s="2"/>
      <c r="Y26" s="2"/>
      <c r="Z26" s="2"/>
      <c r="AA26" s="2"/>
      <c r="AB26" s="2"/>
    </row>
    <row r="27">
      <c r="A27" s="4">
        <v>27.0</v>
      </c>
      <c r="B27" s="5" t="s">
        <v>108</v>
      </c>
      <c r="C27" s="5" t="s">
        <v>109</v>
      </c>
      <c r="D27" s="5" t="s">
        <v>110</v>
      </c>
      <c r="E27" s="5" t="s">
        <v>111</v>
      </c>
      <c r="F27" s="2"/>
      <c r="G27" s="2"/>
      <c r="H27" s="4" t="str">
        <f>IFERROR(__xludf.DUMMYFUNCTION("GOOGLETRANSLATE(B27, ""en"", ""zh"")"),"在蹴鞠比赛中，球员A带球带球，球员B紧追不舍。球员A应该注意什么才能保持控球权？")</f>
        <v>在蹴鞠比赛中，球员A带球带球，球员B紧追不舍。球员A应该注意什么才能保持控球权？</v>
      </c>
      <c r="I27" s="4" t="str">
        <f>IFERROR(__xludf.DUMMYFUNCTION("GOOGLETRANSLATE(C27, ""en"", ""zh"")"),"A) 速度和敏捷性，B) 左右脚运球，C) 用身体护球，D) 快速传球给队友")</f>
        <v>A) 速度和敏捷性，B) 左右脚运球，C) 用身体护球，D) 快速传球给队友</v>
      </c>
      <c r="J27" s="4" t="str">
        <f>IFERROR(__xludf.DUMMYFUNCTION("GOOGLETRANSLATE(D27, ""en"", ""zh"")"),"C）用身体护球")</f>
        <v>C）用身体护球</v>
      </c>
      <c r="K27" s="4" t="str">
        <f>IFERROR(__xludf.DUMMYFUNCTION("GOOGLETRANSLATE(E27, ""en"", ""zh"")"),"当被对手紧追时，护球是保持控球权的有效方法。")</f>
        <v>当被对手紧追时，护球是保持控球权的有效方法。</v>
      </c>
      <c r="L27" s="2"/>
      <c r="M27" s="3"/>
      <c r="N27" s="3"/>
      <c r="O27" s="3"/>
      <c r="P27" s="2"/>
      <c r="Q27" s="2"/>
      <c r="R27" s="2"/>
      <c r="S27" s="2"/>
      <c r="T27" s="2"/>
      <c r="U27" s="2"/>
      <c r="V27" s="2"/>
      <c r="W27" s="2"/>
      <c r="X27" s="2"/>
      <c r="Y27" s="2"/>
      <c r="Z27" s="2"/>
      <c r="AA27" s="2"/>
      <c r="AB27" s="2"/>
    </row>
    <row r="28">
      <c r="A28" s="4">
        <v>28.0</v>
      </c>
      <c r="B28" s="5" t="s">
        <v>112</v>
      </c>
      <c r="C28" s="5" t="s">
        <v>113</v>
      </c>
      <c r="D28" s="5" t="s">
        <v>114</v>
      </c>
      <c r="E28" s="5" t="s">
        <v>115</v>
      </c>
      <c r="F28" s="2"/>
      <c r="G28" s="2"/>
      <c r="H28" s="4" t="str">
        <f>IFERROR(__xludf.DUMMYFUNCTION("GOOGLETRANSLATE(B28, ""en"", ""zh"")"),"在蹴鞠队的一场比赛中，球员A将球踢向对方球门，但守门员飞身扑救将球挡出。球员A接下来应该怎么做？")</f>
        <v>在蹴鞠队的一场比赛中，球员A将球踢向对方球门，但守门员飞身扑救将球挡出。球员A接下来应该怎么做？</v>
      </c>
      <c r="I28" s="4" t="str">
        <f>IFERROR(__xludf.DUMMYFUNCTION("GOOGLETRANSLATE(C28, ""en"", ""zh"")"),"A) 调整位置准备抢篮板，B) 与裁判争论，C) 等待下一回合开始，D) 示意换人")</f>
        <v>A) 调整位置准备抢篮板，B) 与裁判争论，C) 等待下一回合开始，D) 示意换人</v>
      </c>
      <c r="J28" s="4" t="str">
        <f>IFERROR(__xludf.DUMMYFUNCTION("GOOGLETRANSLATE(D28, ""en"", ""zh"")"),"A) 调整位置接篮板")</f>
        <v>A) 调整位置接篮板</v>
      </c>
      <c r="K28" s="4" t="str">
        <f>IFERROR(__xludf.DUMMYFUNCTION("GOOGLETRANSLATE(E28, ""en"", ""zh"")"),"守门员扑救成功后，球可能会反弹回场内，因此迅速调整位置争取得分机会非常重要。")</f>
        <v>守门员扑救成功后，球可能会反弹回场内，因此迅速调整位置争取得分机会非常重要。</v>
      </c>
      <c r="L28" s="3"/>
      <c r="M28" s="3"/>
      <c r="N28" s="3"/>
      <c r="O28" s="3"/>
      <c r="P28" s="2"/>
      <c r="Q28" s="2"/>
      <c r="R28" s="2"/>
      <c r="S28" s="2"/>
      <c r="T28" s="2"/>
      <c r="U28" s="2"/>
      <c r="V28" s="2"/>
      <c r="W28" s="2"/>
      <c r="X28" s="2"/>
      <c r="Y28" s="2"/>
      <c r="Z28" s="2"/>
      <c r="AA28" s="2"/>
      <c r="AB28" s="2"/>
    </row>
    <row r="29">
      <c r="A29" s="4">
        <v>29.0</v>
      </c>
      <c r="B29" s="5" t="s">
        <v>116</v>
      </c>
      <c r="C29" s="5" t="s">
        <v>117</v>
      </c>
      <c r="D29" s="5" t="s">
        <v>118</v>
      </c>
      <c r="E29" s="5" t="s">
        <v>119</v>
      </c>
      <c r="F29" s="2"/>
      <c r="G29" s="2"/>
      <c r="H29" s="4" t="str">
        <f>IFERROR(__xludf.DUMMYFUNCTION("GOOGLETRANSLATE(B29, ""en"", ""zh"")"),"在蹴鞠比赛中，球员A成功从球员B手中截获球，现在正向球门方向移动。球员A的下一步最佳动作是什么？")</f>
        <v>在蹴鞠比赛中，球员A成功从球员B手中截获球，现在正向球门方向移动。球员A的下一步最佳动作是什么？</v>
      </c>
      <c r="I29" s="4" t="str">
        <f>IFERROR(__xludf.DUMMYFUNCTION("GOOGLETRANSLATE(C29, ""en"", ""zh"")"),"A) 传球给队友，B) 射门，C) 将球踢出界外以减慢比赛速度，D) 等待教练指示")</f>
        <v>A) 传球给队友，B) 射门，C) 将球踢出界外以减慢比赛速度，D) 等待教练指示</v>
      </c>
      <c r="J29" s="4" t="str">
        <f>IFERROR(__xludf.DUMMYFUNCTION("GOOGLETRANSLATE(D29, ""en"", ""zh"")"),"A) 传给队友")</f>
        <v>A) 传给队友</v>
      </c>
      <c r="K29" s="4" t="str">
        <f>IFERROR(__xludf.DUMMYFUNCTION("GOOGLETRANSLATE(E29, ""en"", ""zh"")"),"拦截成功后，最好的策略通常是将球传给位置更好的队友，而不是尝试单打独斗。")</f>
        <v>拦截成功后，最好的策略通常是将球传给位置更好的队友，而不是尝试单打独斗。</v>
      </c>
      <c r="L29" s="2"/>
      <c r="M29" s="3"/>
      <c r="N29" s="2"/>
      <c r="O29" s="3"/>
      <c r="P29" s="6"/>
      <c r="Q29" s="2"/>
      <c r="R29" s="2"/>
      <c r="S29" s="2"/>
      <c r="T29" s="2"/>
      <c r="U29" s="2"/>
      <c r="V29" s="2"/>
      <c r="W29" s="2"/>
      <c r="X29" s="2"/>
      <c r="Y29" s="2"/>
      <c r="Z29" s="2"/>
      <c r="AA29" s="2"/>
      <c r="AB29" s="2"/>
    </row>
    <row r="30">
      <c r="A30" s="4">
        <v>30.0</v>
      </c>
      <c r="B30" s="5" t="s">
        <v>120</v>
      </c>
      <c r="C30" s="5" t="s">
        <v>121</v>
      </c>
      <c r="D30" s="5" t="s">
        <v>122</v>
      </c>
      <c r="E30" s="5" t="s">
        <v>123</v>
      </c>
      <c r="F30" s="2"/>
      <c r="G30" s="2"/>
      <c r="H30" s="4" t="str">
        <f>IFERROR(__xludf.DUMMYFUNCTION("GOOGLETRANSLATE(B30, ""en"", ""zh"")"),"在蹴鞠比赛中，A球员将球踢向球门，但球击中门柱后仍留在场内。接下来会发生什么？")</f>
        <v>在蹴鞠比赛中，A球员将球踢向球门，但球击中门柱后仍留在场内。接下来会发生什么？</v>
      </c>
      <c r="I30" s="4" t="str">
        <f>IFERROR(__xludf.DUMMYFUNCTION("GOOGLETRANSLATE(C30, ""en"", ""zh"")"),"A) 比赛暂停，判罚球门球；B) 球出界；C) 比赛继续进行，球仍在比赛中；D) 球被踢回中圈。")</f>
        <v>A) 比赛暂停，判罚球门球；B) 球出界；C) 比赛继续进行，球仍在比赛中；D) 球被踢回中圈。</v>
      </c>
      <c r="J30" s="4" t="str">
        <f>IFERROR(__xludf.DUMMYFUNCTION("GOOGLETRANSLATE(D30, ""en"", ""zh"")"),"C) 比赛继续进行，球仍在比赛中。")</f>
        <v>C) 比赛继续进行，球仍在比赛中。</v>
      </c>
      <c r="K30" s="4" t="str">
        <f>IFERROR(__xludf.DUMMYFUNCTION("GOOGLETRANSLATE(E30, ""en"", ""zh"")"),"如果球击中球门柱后仍留在场内，比赛继续进行，球员必须跟随球的新轨迹。")</f>
        <v>如果球击中球门柱后仍留在场内，比赛继续进行，球员必须跟随球的新轨迹。</v>
      </c>
      <c r="L30" s="3"/>
      <c r="M30" s="3"/>
      <c r="N30" s="3"/>
      <c r="O30" s="3"/>
      <c r="P30" s="6"/>
      <c r="Q30" s="2"/>
      <c r="R30" s="2"/>
      <c r="S30" s="2"/>
      <c r="T30" s="2"/>
      <c r="U30" s="2"/>
      <c r="V30" s="2"/>
      <c r="W30" s="2"/>
      <c r="X30" s="2"/>
      <c r="Y30" s="2"/>
      <c r="Z30" s="2"/>
      <c r="AA30" s="2"/>
      <c r="AB30" s="2"/>
    </row>
    <row r="31">
      <c r="A31" s="4">
        <v>31.0</v>
      </c>
      <c r="B31" s="5" t="s">
        <v>124</v>
      </c>
      <c r="C31" s="5" t="s">
        <v>125</v>
      </c>
      <c r="D31" s="5" t="s">
        <v>126</v>
      </c>
      <c r="E31" s="5" t="s">
        <v>127</v>
      </c>
      <c r="F31" s="2"/>
      <c r="G31" s="2"/>
      <c r="H31" s="4" t="str">
        <f>IFERROR(__xludf.DUMMYFUNCTION("GOOGLETRANSLATE(B31, ""en"", ""zh"")"),"球员A位于禁区边缘附近。他快速射门，守门员将球扑出界外。结果如何？")</f>
        <v>球员A位于禁区边缘附近。他快速射门，守门员将球扑出界外。结果如何？</v>
      </c>
      <c r="I31" s="4" t="str">
        <f>IFERROR(__xludf.DUMMYFUNCTION("GOOGLETRANSLATE(C31, ""en"", ""zh"")"),"A) 判罚角球，B) 比赛从中场重新开始，C) 判罚防守方球门球，D) 判罚掷界外球")</f>
        <v>A) 判罚角球，B) 比赛从中场重新开始，C) 判罚防守方球门球，D) 判罚掷界外球</v>
      </c>
      <c r="J31" s="4" t="str">
        <f>IFERROR(__xludf.DUMMYFUNCTION("GOOGLETRANSLATE(D31, ""en"", ""zh"")"),"A) 判罚角球")</f>
        <v>A) 判罚角球</v>
      </c>
      <c r="K31" s="4" t="str">
        <f>IFERROR(__xludf.DUMMYFUNCTION("GOOGLETRANSLATE(E31, ""en"", ""zh"")"),"当守门员将球扑出底线时，进攻方将获得角球。")</f>
        <v>当守门员将球扑出底线时，进攻方将获得角球。</v>
      </c>
      <c r="L31" s="2"/>
      <c r="M31" s="3"/>
      <c r="N31" s="3"/>
      <c r="O31" s="3"/>
      <c r="P31" s="2"/>
      <c r="Q31" s="2"/>
      <c r="R31" s="2"/>
      <c r="S31" s="2"/>
      <c r="T31" s="2"/>
      <c r="U31" s="2"/>
      <c r="V31" s="2"/>
      <c r="W31" s="2"/>
      <c r="X31" s="2"/>
      <c r="Y31" s="2"/>
      <c r="Z31" s="2"/>
      <c r="AA31" s="2"/>
      <c r="AB31" s="2"/>
    </row>
    <row r="32">
      <c r="A32" s="4">
        <v>32.0</v>
      </c>
      <c r="B32" s="5" t="s">
        <v>128</v>
      </c>
      <c r="C32" s="5" t="s">
        <v>129</v>
      </c>
      <c r="D32" s="5" t="s">
        <v>130</v>
      </c>
      <c r="E32" s="5" t="s">
        <v>131</v>
      </c>
      <c r="F32" s="2"/>
      <c r="G32" s="2"/>
      <c r="H32" s="4" t="str">
        <f>IFERROR(__xludf.DUMMYFUNCTION("GOOGLETRANSLATE(B32, ""en"", ""zh"")"),"在蹴鞠比赛中，A球员从背后踢了对手，犯规。正确的判罚是什么？")</f>
        <v>在蹴鞠比赛中，A球员从背后踢了对手，犯规。正确的判罚是什么？</v>
      </c>
      <c r="I32" s="4" t="str">
        <f>IFERROR(__xludf.DUMMYFUNCTION("GOOGLETRANSLATE(C32, ""en"", ""zh"")"),"A) 比赛继续进行，B) 对方获得任意球，C) A 球员被出示黄牌，D) A 球员被替换下场")</f>
        <v>A) 比赛继续进行，B) 对方获得任意球，C) A 球员被出示黄牌，D) A 球员被替换下场</v>
      </c>
      <c r="J32" s="4" t="str">
        <f>IFERROR(__xludf.DUMMYFUNCTION("GOOGLETRANSLATE(D32, ""en"", ""zh"")"),"B) 对方获得任意球")</f>
        <v>B) 对方获得任意球</v>
      </c>
      <c r="K32" s="4" t="str">
        <f>IFERROR(__xludf.DUMMYFUNCTION("GOOGLETRANSLATE(E32, ""en"", ""zh"")"),"在蹴鞠中，当一名球员踢到对方球员犯规时，对方球队将获得任意球机会。")</f>
        <v>在蹴鞠中，当一名球员踢到对方球员犯规时，对方球队将获得任意球机会。</v>
      </c>
      <c r="L32" s="2"/>
      <c r="M32" s="3"/>
      <c r="N32" s="2"/>
      <c r="O32" s="3"/>
      <c r="P32" s="2"/>
      <c r="Q32" s="2"/>
      <c r="R32" s="2"/>
      <c r="S32" s="2"/>
      <c r="T32" s="2"/>
      <c r="U32" s="2"/>
      <c r="V32" s="2"/>
      <c r="W32" s="2"/>
      <c r="X32" s="2"/>
      <c r="Y32" s="2"/>
      <c r="Z32" s="2"/>
      <c r="AA32" s="2"/>
      <c r="AB32" s="2"/>
    </row>
    <row r="33">
      <c r="A33" s="4">
        <v>33.0</v>
      </c>
      <c r="B33" s="5" t="s">
        <v>132</v>
      </c>
      <c r="C33" s="5" t="s">
        <v>133</v>
      </c>
      <c r="D33" s="5" t="s">
        <v>134</v>
      </c>
      <c r="E33" s="5" t="s">
        <v>135</v>
      </c>
      <c r="F33" s="2"/>
      <c r="G33" s="2"/>
      <c r="H33" s="4" t="str">
        <f>IFERROR(__xludf.DUMMYFUNCTION("GOOGLETRANSLATE(B33, ""en"", ""zh"")"),"在蹴鞠比赛中，A球员试图头球，但时机把握不当，球击中了他的肩膀。这一动作的结果是什么？")</f>
        <v>在蹴鞠比赛中，A球员试图头球，但时机把握不当，球击中了他的肩膀。这一动作的结果是什么？</v>
      </c>
      <c r="I33" s="4" t="str">
        <f>IFERROR(__xludf.DUMMYFUNCTION("GOOGLETRANSLATE(C33, ""en"", ""zh"")"),"A) 判罚手球，B) 比赛照常进行，C) 裁判判罚球门球，D) 球员A因犯规被判罚")</f>
        <v>A) 判罚手球，B) 比赛照常进行，C) 裁判判罚球门球，D) 球员A因犯规被判罚</v>
      </c>
      <c r="J33" s="4" t="str">
        <f>IFERROR(__xludf.DUMMYFUNCTION("GOOGLETRANSLATE(D33, ""en"", ""zh"")"),"B) 演出照常进行")</f>
        <v>B) 演出照常进行</v>
      </c>
      <c r="K33" s="4" t="str">
        <f>IFERROR(__xludf.DUMMYFUNCTION("GOOGLETRANSLATE(E33, ""en"", ""zh"")"),"头球应该用头部完成，但如果球击中肩膀，比赛照常进行。")</f>
        <v>头球应该用头部完成，但如果球击中肩膀，比赛照常进行。</v>
      </c>
      <c r="L33" s="2"/>
      <c r="M33" s="3"/>
      <c r="N33" s="2"/>
      <c r="O33" s="3"/>
      <c r="P33" s="2"/>
      <c r="Q33" s="2"/>
      <c r="R33" s="2"/>
      <c r="S33" s="2"/>
      <c r="T33" s="2"/>
      <c r="U33" s="2"/>
      <c r="V33" s="2"/>
      <c r="W33" s="2"/>
      <c r="X33" s="2"/>
      <c r="Y33" s="2"/>
      <c r="Z33" s="2"/>
      <c r="AA33" s="2"/>
      <c r="AB33" s="2"/>
    </row>
    <row r="34">
      <c r="A34" s="4">
        <v>34.0</v>
      </c>
      <c r="B34" s="5" t="s">
        <v>136</v>
      </c>
      <c r="C34" s="5" t="s">
        <v>137</v>
      </c>
      <c r="D34" s="5" t="s">
        <v>138</v>
      </c>
      <c r="E34" s="5" t="s">
        <v>139</v>
      </c>
      <c r="F34" s="2"/>
      <c r="G34" s="2"/>
      <c r="H34" s="4" t="str">
        <f>IFERROR(__xludf.DUMMYFUNCTION("GOOGLETRANSLATE(B34, ""en"", ""zh"")"),"球员A防守时，截获了球员B传给队友的球。截球后，球员A应该专注于什么？")</f>
        <v>球员A防守时，截获了球员B传给队友的球。截球后，球员A应该专注于什么？</v>
      </c>
      <c r="I34" s="4" t="str">
        <f>IFERROR(__xludf.DUMMYFUNCTION("GOOGLETRANSLATE(C34, ""en"", ""zh"")"),"A) 带球远离球门，B) 立即将球传给守门员，C) 为了安全起见将球踢出界外，D) 寻找队友传球")</f>
        <v>A) 带球远离球门，B) 立即将球传给守门员，C) 为了安全起见将球踢出界外，D) 寻找队友传球</v>
      </c>
      <c r="J34" s="4" t="str">
        <f>IFERROR(__xludf.DUMMYFUNCTION("GOOGLETRANSLATE(D34, ""en"", ""zh"")"),"D) 寻找可以传球的队友")</f>
        <v>D) 寻找可以传球的队友</v>
      </c>
      <c r="K34" s="4" t="str">
        <f>IFERROR(__xludf.DUMMYFUNCTION("GOOGLETRANSLATE(E34, ""en"", ""zh"")"),"拦截到球后，最好的策略是迅速观察场上形势，然后传球给队友发起进攻。")</f>
        <v>拦截到球后，最好的策略是迅速观察场上形势，然后传球给队友发起进攻。</v>
      </c>
      <c r="L34" s="2"/>
      <c r="M34" s="3"/>
      <c r="N34" s="2"/>
      <c r="O34" s="3"/>
      <c r="P34" s="2"/>
      <c r="Q34" s="2"/>
      <c r="R34" s="2"/>
      <c r="S34" s="2"/>
      <c r="T34" s="2"/>
      <c r="U34" s="2"/>
      <c r="V34" s="2"/>
      <c r="W34" s="2"/>
      <c r="X34" s="2"/>
      <c r="Y34" s="2"/>
      <c r="Z34" s="2"/>
      <c r="AA34" s="2"/>
      <c r="AB34" s="2"/>
    </row>
    <row r="35">
      <c r="A35" s="4">
        <v>35.0</v>
      </c>
      <c r="B35" s="5" t="s">
        <v>140</v>
      </c>
      <c r="C35" s="5" t="s">
        <v>141</v>
      </c>
      <c r="D35" s="5" t="s">
        <v>142</v>
      </c>
      <c r="E35" s="5" t="s">
        <v>143</v>
      </c>
      <c r="F35" s="2"/>
      <c r="G35" s="2"/>
      <c r="H35" s="4" t="str">
        <f>IFERROR(__xludf.DUMMYFUNCTION("GOOGLETRANSLATE(B35, ""en"", ""zh"")"),"在蹴鞠队的一场比赛中，A球员将球踢出了边线。接下来会发生什么？")</f>
        <v>在蹴鞠队的一场比赛中，A球员将球踢出了边线。接下来会发生什么？</v>
      </c>
      <c r="I35" s="4" t="str">
        <f>IFERROR(__xludf.DUMMYFUNCTION("GOOGLETRANSLATE(C35, ""en"", ""zh"")"),"A) 比赛重新开始，由对方球队掷界外球；B) A 队获得球权；C) 判罚球门球；D) 比赛暂停。")</f>
        <v>A) 比赛重新开始，由对方球队掷界外球；B) A 队获得球权；C) 判罚球门球；D) 比赛暂停。</v>
      </c>
      <c r="J35" s="4" t="str">
        <f>IFERROR(__xludf.DUMMYFUNCTION("GOOGLETRANSLATE(D35, ""en"", ""zh"")"),"A) 比赛重新开始，由对方掷界外球。")</f>
        <v>A) 比赛重新开始，由对方掷界外球。</v>
      </c>
      <c r="K35" s="4" t="str">
        <f>IFERROR(__xludf.DUMMYFUNCTION("GOOGLETRANSLATE(E35, ""en"", ""zh"")"),"当球出界到边线时，对方球队通过掷界外球重新获得球权。")</f>
        <v>当球出界到边线时，对方球队通过掷界外球重新获得球权。</v>
      </c>
      <c r="L35" s="3"/>
      <c r="M35" s="3"/>
      <c r="N35" s="3"/>
      <c r="O35" s="3"/>
      <c r="P35" s="2"/>
      <c r="Q35" s="2"/>
      <c r="R35" s="2"/>
      <c r="S35" s="2"/>
      <c r="T35" s="2"/>
      <c r="U35" s="2"/>
      <c r="V35" s="2"/>
      <c r="W35" s="2"/>
      <c r="X35" s="2"/>
      <c r="Y35" s="2"/>
      <c r="Z35" s="2"/>
      <c r="AA35" s="2"/>
      <c r="AB35" s="2"/>
    </row>
    <row r="36">
      <c r="A36" s="4">
        <v>36.0</v>
      </c>
      <c r="B36" s="5" t="s">
        <v>144</v>
      </c>
      <c r="C36" s="5" t="s">
        <v>145</v>
      </c>
      <c r="D36" s="5" t="s">
        <v>146</v>
      </c>
      <c r="E36" s="5" t="s">
        <v>147</v>
      </c>
      <c r="F36" s="2"/>
      <c r="G36" s="2"/>
      <c r="H36" s="4" t="str">
        <f>IFERROR(__xludf.DUMMYFUNCTION("GOOGLETRANSLATE(B36, ""en"", ""zh"")"),"在貉队的一场比赛中，A球员在禁区内被犯规后尝试罚点球。点球的主要目的是什么？")</f>
        <v>在貉队的一场比赛中，A球员在禁区内被犯规后尝试罚点球。点球的主要目的是什么？</v>
      </c>
      <c r="I36" s="4" t="str">
        <f>IFERROR(__xludf.DUMMYFUNCTION("GOOGLETRANSLATE(C36, ""en"", ""zh"")"),"A) 将球传给队友，B) 直接射门得分，C) 将球踢出界外，D) 为另一次射门创造反弹机会")</f>
        <v>A) 将球传给队友，B) 直接射门得分，C) 将球踢出界外，D) 为另一次射门创造反弹机会</v>
      </c>
      <c r="J36" s="4" t="str">
        <f>IFERROR(__xludf.DUMMYFUNCTION("GOOGLETRANSLATE(D36, ""en"", ""zh"")"),"B) 直接射门得分")</f>
        <v>B) 直接射门得分</v>
      </c>
      <c r="K36" s="4" t="str">
        <f>IFERROR(__xludf.DUMMYFUNCTION("GOOGLETRANSLATE(E36, ""en"", ""zh"")"),"点球的目标是在点球点上直接将球射入球门，不受守门员干扰。")</f>
        <v>点球的目标是在点球点上直接将球射入球门，不受守门员干扰。</v>
      </c>
      <c r="L36" s="2"/>
      <c r="M36" s="3"/>
      <c r="N36" s="2"/>
      <c r="O36" s="3"/>
      <c r="P36" s="2"/>
      <c r="Q36" s="2"/>
      <c r="R36" s="2"/>
      <c r="S36" s="2"/>
      <c r="T36" s="2"/>
      <c r="U36" s="2"/>
      <c r="V36" s="2"/>
      <c r="W36" s="2"/>
      <c r="X36" s="2"/>
      <c r="Y36" s="2"/>
      <c r="Z36" s="2"/>
      <c r="AA36" s="2"/>
      <c r="AB36" s="2"/>
    </row>
    <row r="37">
      <c r="A37" s="4">
        <v>37.0</v>
      </c>
      <c r="B37" s="5" t="s">
        <v>148</v>
      </c>
      <c r="C37" s="5" t="s">
        <v>149</v>
      </c>
      <c r="D37" s="5" t="s">
        <v>150</v>
      </c>
      <c r="E37" s="5" t="s">
        <v>151</v>
      </c>
      <c r="F37" s="2"/>
      <c r="G37" s="2"/>
      <c r="H37" s="4" t="str">
        <f>IFERROR(__xludf.DUMMYFUNCTION("GOOGLETRANSLATE(B37, ""en"", ""zh"")"),"球员A远射，但被守门员扑出。扑救后，球员A应该怎么做？")</f>
        <v>球员A远射，但被守门员扑出。扑救后，球员A应该怎么做？</v>
      </c>
      <c r="I37" s="4" t="str">
        <f>IFERROR(__xludf.DUMMYFUNCTION("GOOGLETRANSLATE(C37, ""en"", ""zh"")"),"A) 庆祝射门成功，B) 继续移动以防反弹球，C) 停止比赛并等待下一个球门球，D) 离开场地进行恢复")</f>
        <v>A) 庆祝射门成功，B) 继续移动以防反弹球，C) 停止比赛并等待下一个球门球，D) 离开场地进行恢复</v>
      </c>
      <c r="J37" s="4" t="str">
        <f>IFERROR(__xludf.DUMMYFUNCTION("GOOGLETRANSLATE(D37, ""en"", ""zh"")"),"B) 保持移动，以便在球反弹时抢回球。")</f>
        <v>B) 保持移动，以便在球反弹时抢回球。</v>
      </c>
      <c r="K37" s="4" t="str">
        <f>IFERROR(__xludf.DUMMYFUNCTION("GOOGLETRANSLATE(E37, ""en"", ""zh"")"),"扑救成功后，球可能会反弹，如果球重新回到场上，A 球员应该做好准备，跟进抢回球。")</f>
        <v>扑救成功后，球可能会反弹，如果球重新回到场上，A 球员应该做好准备，跟进抢回球。</v>
      </c>
      <c r="L37" s="2"/>
      <c r="M37" s="3"/>
      <c r="N37" s="2"/>
      <c r="O37" s="3"/>
      <c r="P37" s="2"/>
      <c r="Q37" s="2"/>
      <c r="R37" s="2"/>
      <c r="S37" s="2"/>
      <c r="T37" s="2"/>
      <c r="U37" s="2"/>
      <c r="V37" s="2"/>
      <c r="W37" s="2"/>
      <c r="X37" s="2"/>
      <c r="Y37" s="2"/>
      <c r="Z37" s="2"/>
      <c r="AA37" s="2"/>
      <c r="AB37" s="2"/>
    </row>
    <row r="38">
      <c r="A38" s="4">
        <v>38.0</v>
      </c>
      <c r="B38" s="5" t="s">
        <v>152</v>
      </c>
      <c r="C38" s="5" t="s">
        <v>153</v>
      </c>
      <c r="D38" s="5" t="s">
        <v>154</v>
      </c>
      <c r="E38" s="5" t="s">
        <v>155</v>
      </c>
      <c r="F38" s="2"/>
      <c r="G38" s="2"/>
      <c r="H38" s="4" t="str">
        <f>IFERROR(__xludf.DUMMYFUNCTION("GOOGLETRANSLATE(B38, ""en"", ""zh"")"),"在蹴鞠比赛中，球员A将球踢向球门，但被站得离球门太近的球员B挡出。下一步该怎么做？")</f>
        <v>在蹴鞠比赛中，球员A将球踢向球门，但被站得离球门太近的球员B挡出。下一步该怎么做？</v>
      </c>
      <c r="I38" s="4" t="str">
        <f>IFERROR(__xludf.DUMMYFUNCTION("GOOGLETRANSLATE(C38, ""en"", ""zh"")"),"A) 球被送回中圈；B) 判罚任意球；C) 比赛继续进行，因为B球员不允许封堵射门；D) 判给A球员所在球队一个角球。")</f>
        <v>A) 球被送回中圈；B) 判罚任意球；C) 比赛继续进行，因为B球员不允许封堵射门；D) 判给A球员所在球队一个角球。</v>
      </c>
      <c r="J38" s="4" t="str">
        <f>IFERROR(__xludf.DUMMYFUNCTION("GOOGLETRANSLATE(D38, ""en"", ""zh"")"),"D) 球员A的球队获得角球机会")</f>
        <v>D) 球员A的球队获得角球机会</v>
      </c>
      <c r="K38" s="4" t="str">
        <f>IFERROR(__xludf.DUMMYFUNCTION("GOOGLETRANSLATE(E38, ""en"", ""zh"")"),"当对方球员在球门线附近封堵球时，进攻方将获得角球。")</f>
        <v>当对方球员在球门线附近封堵球时，进攻方将获得角球。</v>
      </c>
      <c r="L38" s="2"/>
      <c r="M38" s="3"/>
      <c r="N38" s="3"/>
      <c r="O38" s="3"/>
      <c r="P38" s="2"/>
      <c r="Q38" s="2"/>
      <c r="R38" s="2"/>
      <c r="S38" s="2"/>
      <c r="T38" s="2"/>
      <c r="U38" s="2"/>
      <c r="V38" s="2"/>
      <c r="W38" s="2"/>
      <c r="X38" s="2"/>
      <c r="Y38" s="2"/>
      <c r="Z38" s="2"/>
      <c r="AA38" s="2"/>
      <c r="AB38" s="2"/>
    </row>
    <row r="39">
      <c r="A39" s="4">
        <v>39.0</v>
      </c>
      <c r="B39" s="5" t="s">
        <v>156</v>
      </c>
      <c r="C39" s="5" t="s">
        <v>157</v>
      </c>
      <c r="D39" s="5" t="s">
        <v>158</v>
      </c>
      <c r="E39" s="5" t="s">
        <v>159</v>
      </c>
      <c r="F39" s="2"/>
      <c r="G39" s="2"/>
      <c r="H39" s="4" t="str">
        <f>IFERROR(__xludf.DUMMYFUNCTION("GOOGLETRANSLATE(B39, ""en"", ""zh"")"),"球员A获得禁区外任意球机会。球员A应该如何罚这个任意球？")</f>
        <v>球员A获得禁区外任意球机会。球员A应该如何罚这个任意球？</v>
      </c>
      <c r="I39" s="4" t="str">
        <f>IFERROR(__xludf.DUMMYFUNCTION("GOOGLETRANSLATE(C39, ""en"", ""zh"")"),"A) 将球传给队友，B) 直接射门，C) 将球高高踢起头球攻门，D) 将球踢入对方半场")</f>
        <v>A) 将球传给队友，B) 直接射门，C) 将球高高踢起头球攻门，D) 将球踢入对方半场</v>
      </c>
      <c r="J39" s="4" t="str">
        <f>IFERROR(__xludf.DUMMYFUNCTION("GOOGLETRANSLATE(D39, ""en"", ""zh"")"),"B）直接射门")</f>
        <v>B）直接射门</v>
      </c>
      <c r="K39" s="4" t="str">
        <f>IFERROR(__xludf.DUMMYFUNCTION("GOOGLETRANSLATE(E39, ""en"", ""zh"")"),"禁区外的任意球是直接射门得分的机会，尤其是如果球员的射门精度很高的话。")</f>
        <v>禁区外的任意球是直接射门得分的机会，尤其是如果球员的射门精度很高的话。</v>
      </c>
      <c r="L39" s="2"/>
      <c r="M39" s="3"/>
      <c r="N39" s="2"/>
      <c r="O39" s="3"/>
      <c r="P39" s="2"/>
      <c r="Q39" s="2"/>
      <c r="R39" s="2"/>
      <c r="S39" s="2"/>
      <c r="T39" s="2"/>
      <c r="U39" s="2"/>
      <c r="V39" s="2"/>
      <c r="W39" s="2"/>
      <c r="X39" s="2"/>
      <c r="Y39" s="2"/>
      <c r="Z39" s="2"/>
      <c r="AA39" s="2"/>
      <c r="AB39" s="2"/>
    </row>
    <row r="40">
      <c r="A40" s="4">
        <v>40.0</v>
      </c>
      <c r="B40" s="5" t="s">
        <v>160</v>
      </c>
      <c r="C40" s="5" t="s">
        <v>161</v>
      </c>
      <c r="D40" s="5" t="s">
        <v>162</v>
      </c>
      <c r="E40" s="5" t="s">
        <v>163</v>
      </c>
      <c r="F40" s="2"/>
      <c r="G40" s="2"/>
      <c r="H40" s="4" t="str">
        <f>IFERROR(__xludf.DUMMYFUNCTION("GOOGLETRANSLATE(B40, ""en"", ""zh"")"),"在蹴鞠队的一场比赛中，A球员将球高高踢向空中。球落下后落在了禁区内。守门员应该采取什么行动？")</f>
        <v>在蹴鞠队的一场比赛中，A球员将球高高踢向空中。球落下后落在了禁区内。守门员应该采取什么行动？</v>
      </c>
      <c r="I40" s="4" t="str">
        <f>IFERROR(__xludf.DUMMYFUNCTION("GOOGLETRANSLATE(C40, ""en"", ""zh"")"),"A) 尝试接球，B) 让球弹出界外，C) 将球传给队友，D) 射门")</f>
        <v>A) 尝试接球，B) 让球弹出界外，C) 将球传给队友，D) 射门</v>
      </c>
      <c r="J40" s="4" t="str">
        <f>IFERROR(__xludf.DUMMYFUNCTION("GOOGLETRANSLATE(D40, ""en"", ""zh"")"),"A) 尝试接球")</f>
        <v>A) 尝试接球</v>
      </c>
      <c r="K40" s="4" t="str">
        <f>IFERROR(__xludf.DUMMYFUNCTION("GOOGLETRANSLATE(E40, ""en"", ""zh"")"),"守门员的主要职责是接住或挡出禁区内的高球，以防止进球。")</f>
        <v>守门员的主要职责是接住或挡出禁区内的高球，以防止进球。</v>
      </c>
      <c r="L40" s="3"/>
      <c r="M40" s="3"/>
      <c r="N40" s="2"/>
      <c r="O40" s="3"/>
      <c r="P40" s="2"/>
      <c r="Q40" s="2"/>
      <c r="R40" s="2"/>
      <c r="S40" s="2"/>
      <c r="T40" s="2"/>
      <c r="U40" s="2"/>
      <c r="V40" s="2"/>
      <c r="W40" s="2"/>
      <c r="X40" s="2"/>
      <c r="Y40" s="2"/>
      <c r="Z40" s="2"/>
      <c r="AA40" s="2"/>
      <c r="AB40" s="2"/>
    </row>
    <row r="41">
      <c r="A41" s="4">
        <v>41.0</v>
      </c>
      <c r="B41" s="5" t="s">
        <v>164</v>
      </c>
      <c r="C41" s="5" t="s">
        <v>165</v>
      </c>
      <c r="D41" s="5" t="s">
        <v>166</v>
      </c>
      <c r="E41" s="5" t="s">
        <v>167</v>
      </c>
      <c r="F41" s="2"/>
      <c r="G41" s="2"/>
      <c r="H41" s="4" t="str">
        <f>IFERROR(__xludf.DUMMYFUNCTION("GOOGLETRANSLATE(B41, ""en"", ""zh"")"),"在蹴鞠比赛中，如果一名球员被判犯有严重犯规，可以采取下列哪些处罚措施？")</f>
        <v>在蹴鞠比赛中，如果一名球员被判犯有严重犯规，可以采取下列哪些处罚措施？</v>
      </c>
      <c r="I41" s="4" t="str">
        <f>IFERROR(__xludf.DUMMYFUNCTION("GOOGLETRANSLATE(C41, ""en"", ""zh"")"),"A) 黄牌，B) 红牌，C) 对方球门球，D) 犯规方任意球")</f>
        <v>A) 黄牌，B) 红牌，C) 对方球门球，D) 犯规方任意球</v>
      </c>
      <c r="J41" s="4" t="str">
        <f>IFERROR(__xludf.DUMMYFUNCTION("GOOGLETRANSLATE(D41, ""en"", ""zh"")"),"B) 红牌")</f>
        <v>B) 红牌</v>
      </c>
      <c r="K41" s="4" t="str">
        <f>IFERROR(__xludf.DUMMYFUNCTION("GOOGLETRANSLATE(E41, ""en"", ""zh"")"),"严重犯规会被出示红牌，球员将被罚下场。")</f>
        <v>严重犯规会被出示红牌，球员将被罚下场。</v>
      </c>
      <c r="L41" s="2"/>
      <c r="M41" s="3"/>
      <c r="N41" s="2"/>
      <c r="O41" s="3"/>
      <c r="P41" s="2"/>
      <c r="Q41" s="2"/>
      <c r="R41" s="2"/>
      <c r="S41" s="2"/>
      <c r="T41" s="2"/>
      <c r="U41" s="2"/>
      <c r="V41" s="2"/>
      <c r="W41" s="2"/>
      <c r="X41" s="2"/>
      <c r="Y41" s="2"/>
      <c r="Z41" s="2"/>
      <c r="AA41" s="2"/>
      <c r="AB41" s="2"/>
    </row>
    <row r="42">
      <c r="A42" s="4">
        <v>42.0</v>
      </c>
      <c r="B42" s="5" t="s">
        <v>168</v>
      </c>
      <c r="C42" s="5" t="s">
        <v>169</v>
      </c>
      <c r="D42" s="5" t="s">
        <v>170</v>
      </c>
      <c r="E42" s="5" t="s">
        <v>171</v>
      </c>
      <c r="F42" s="2"/>
      <c r="G42" s="2"/>
      <c r="H42" s="4" t="str">
        <f>IFERROR(__xludf.DUMMYFUNCTION("GOOGLETRANSLATE(B42, ""en"", ""zh"")"),"在蹴鞠比赛中，球员A位于中圈附近，接到队友的传球。球员A最有可能的下一步动作是什么？")</f>
        <v>在蹴鞠比赛中，球员A位于中圈附近，接到队友的传球。球员A最有可能的下一步动作是什么？</v>
      </c>
      <c r="I42" s="4" t="str">
        <f>IFERROR(__xludf.DUMMYFUNCTION("GOOGLETRANSLATE(C42, ""en"", ""zh"")"),"A) 向队友长传，B) 射门，C) 带球向前推进，D) 将球踢出界外")</f>
        <v>A) 向队友长传，B) 射门，C) 带球向前推进，D) 将球踢出界外</v>
      </c>
      <c r="J42" s="4" t="str">
        <f>IFERROR(__xludf.DUMMYFUNCTION("GOOGLETRANSLATE(D42, ""en"", ""zh"")"),"C）带球向前推进进攻")</f>
        <v>C）带球向前推进进攻</v>
      </c>
      <c r="K42" s="4" t="str">
        <f>IFERROR(__xludf.DUMMYFUNCTION("GOOGLETRANSLATE(E42, ""en"", ""zh"")"),"中圈通常是比赛的开始点，向前运球是把球带入进攻区域的常见策略。")</f>
        <v>中圈通常是比赛的开始点，向前运球是把球带入进攻区域的常见策略。</v>
      </c>
      <c r="L42" s="2"/>
      <c r="M42" s="3"/>
      <c r="N42" s="3"/>
      <c r="O42" s="3"/>
      <c r="P42" s="2"/>
      <c r="Q42" s="2"/>
      <c r="R42" s="2"/>
      <c r="S42" s="2"/>
      <c r="T42" s="2"/>
      <c r="U42" s="2"/>
      <c r="V42" s="2"/>
      <c r="W42" s="2"/>
      <c r="X42" s="2"/>
      <c r="Y42" s="2"/>
      <c r="Z42" s="2"/>
      <c r="AA42" s="2"/>
      <c r="AB42" s="2"/>
    </row>
    <row r="43">
      <c r="A43" s="4">
        <v>43.0</v>
      </c>
      <c r="B43" s="5" t="s">
        <v>172</v>
      </c>
      <c r="C43" s="5" t="s">
        <v>173</v>
      </c>
      <c r="D43" s="5" t="s">
        <v>174</v>
      </c>
      <c r="E43" s="5" t="s">
        <v>175</v>
      </c>
      <c r="F43" s="2"/>
      <c r="G43" s="2"/>
      <c r="H43" s="4" t="str">
        <f>IFERROR(__xludf.DUMMYFUNCTION("GOOGLETRANSLATE(B43, ""en"", ""zh"")"),"在蹴鞠比赛中，球员A将球传给正跑向球门的球员B。球员B接下来应该怎么做？")</f>
        <v>在蹴鞠比赛中，球员A将球传给正跑向球门的球员B。球员B接下来应该怎么做？</v>
      </c>
      <c r="I43" s="4" t="str">
        <f>IFERROR(__xludf.DUMMYFUNCTION("GOOGLETRANSLATE(C43, ""en"", ""zh"")"),"A) 等待球传到自己脚下，B) 立即射门，C) 尝试将球传回给球员A，D) 利用速度突破防守队员")</f>
        <v>A) 等待球传到自己脚下，B) 立即射门，C) 尝试将球传回给球员A，D) 利用速度突破防守队员</v>
      </c>
      <c r="J43" s="4" t="str">
        <f>IFERROR(__xludf.DUMMYFUNCTION("GOOGLETRANSLATE(D43, ""en"", ""zh"")"),"D) 利用速度突破防守队员")</f>
        <v>D) 利用速度突破防守队员</v>
      </c>
      <c r="K43" s="4" t="str">
        <f>IFERROR(__xludf.DUMMYFUNCTION("GOOGLETRANSLATE(E43, ""en"", ""zh"")"),"球员 B 应该利用自己的速度创造一条通往球门的清晰路线，并有可能射门或将球传给队友。")</f>
        <v>球员 B 应该利用自己的速度创造一条通往球门的清晰路线，并有可能射门或将球传给队友。</v>
      </c>
      <c r="L43" s="2"/>
      <c r="M43" s="3"/>
      <c r="N43" s="3"/>
      <c r="O43" s="3"/>
      <c r="P43" s="6"/>
      <c r="Q43" s="2"/>
      <c r="R43" s="2"/>
      <c r="S43" s="2"/>
      <c r="T43" s="2"/>
      <c r="U43" s="2"/>
      <c r="V43" s="2"/>
      <c r="W43" s="2"/>
      <c r="X43" s="2"/>
      <c r="Y43" s="2"/>
      <c r="Z43" s="2"/>
      <c r="AA43" s="2"/>
      <c r="AB43" s="2"/>
    </row>
    <row r="44">
      <c r="A44" s="4">
        <v>44.0</v>
      </c>
      <c r="B44" s="5" t="s">
        <v>176</v>
      </c>
      <c r="C44" s="5" t="s">
        <v>177</v>
      </c>
      <c r="D44" s="5" t="s">
        <v>178</v>
      </c>
      <c r="E44" s="5" t="s">
        <v>179</v>
      </c>
      <c r="F44" s="2"/>
      <c r="G44" s="2"/>
      <c r="H44" s="4" t="str">
        <f>IFERROR(__xludf.DUMMYFUNCTION("GOOGLETRANSLATE(B44, ""en"", ""zh"")"),"在蹴鞠队的一场比赛中，球员A因违反体育道德的行为被出示黄牌。被出示黄牌的后果是什么？")</f>
        <v>在蹴鞠队的一场比赛中，球员A因违反体育道德的行为被出示黄牌。被出示黄牌的后果是什么？</v>
      </c>
      <c r="I44" s="4" t="str">
        <f>IFERROR(__xludf.DUMMYFUNCTION("GOOGLETRANSLATE(C44, ""en"", ""zh"")"),"A) 该球员必须离场几分钟；B) 该球员受到警告，比赛继续进行；C) 该球员被罚下场；D) 该球员被罚款。")</f>
        <v>A) 该球员必须离场几分钟；B) 该球员受到警告，比赛继续进行；C) 该球员被罚下场；D) 该球员被罚款。</v>
      </c>
      <c r="J44" s="4" t="str">
        <f>IFERROR(__xludf.DUMMYFUNCTION("GOOGLETRANSLATE(D44, ""en"", ""zh"")"),"B) 玩家受到警告，比赛继续进行。")</f>
        <v>B) 玩家受到警告，比赛继续进行。</v>
      </c>
      <c r="K44" s="4" t="str">
        <f>IFERROR(__xludf.DUMMYFUNCTION("GOOGLETRANSLATE(E44, ""en"", ""zh"")"),"黄牌是对球员不道德行为的警告，除非收到第二张黄牌，否则球员可以继续比赛。")</f>
        <v>黄牌是对球员不道德行为的警告，除非收到第二张黄牌，否则球员可以继续比赛。</v>
      </c>
      <c r="L44" s="2"/>
      <c r="M44" s="3"/>
      <c r="N44" s="3"/>
      <c r="O44" s="3"/>
      <c r="P44" s="6"/>
      <c r="Q44" s="2"/>
      <c r="R44" s="2"/>
      <c r="S44" s="2"/>
      <c r="T44" s="2"/>
      <c r="U44" s="2"/>
      <c r="V44" s="2"/>
      <c r="W44" s="2"/>
      <c r="X44" s="2"/>
      <c r="Y44" s="2"/>
      <c r="Z44" s="2"/>
      <c r="AA44" s="2"/>
      <c r="AB44" s="2"/>
    </row>
    <row r="45">
      <c r="A45" s="11">
        <v>45.0</v>
      </c>
      <c r="B45" s="12" t="s">
        <v>180</v>
      </c>
      <c r="C45" s="12" t="s">
        <v>181</v>
      </c>
      <c r="D45" s="12" t="s">
        <v>182</v>
      </c>
      <c r="E45" s="13"/>
      <c r="F45" s="2"/>
      <c r="G45" s="2"/>
      <c r="H45" s="4" t="str">
        <f>IFERROR(__xludf.DUMMYFUNCTION("GOOGLETRANSLATE(B45, ""en"", ""zh"")"),"在蹴鞠比赛中，你的队友即将把球踢进球门。你应该怎么做？")</f>
        <v>在蹴鞠比赛中，你的队友即将把球踢进球门。你应该怎么做？</v>
      </c>
      <c r="I45" s="4" t="str">
        <f>IFERROR(__xludf.DUMMYFUNCTION("GOOGLETRANSLATE(C45, ""en"", ""zh"")"),"A) 阻挡 B) 传球 C) 侧移 D) 拦截")</f>
        <v>A) 阻挡 B) 传球 C) 侧移 D) 拦截</v>
      </c>
      <c r="J45" s="4" t="str">
        <f>IFERROR(__xludf.DUMMYFUNCTION("GOOGLETRANSLATE(D45, ""en"", ""zh"")"),"B) 通过")</f>
        <v>B) 通过</v>
      </c>
      <c r="K45" s="4" t="str">
        <f>IFERROR(__xludf.DUMMYFUNCTION("GOOGLETRANSLATE(E45, ""en"", ""zh"")"),"#VALUE!")</f>
        <v>#VALUE!</v>
      </c>
      <c r="L45" s="2"/>
      <c r="M45" s="2"/>
      <c r="N45" s="2"/>
      <c r="O45" s="2"/>
      <c r="P45" s="2"/>
      <c r="Q45" s="2"/>
      <c r="R45" s="2"/>
      <c r="S45" s="2"/>
      <c r="T45" s="2"/>
      <c r="U45" s="2"/>
      <c r="V45" s="2"/>
      <c r="W45" s="2"/>
      <c r="X45" s="2"/>
      <c r="Y45" s="2"/>
      <c r="Z45" s="2"/>
      <c r="AA45" s="2"/>
      <c r="AB45" s="2"/>
    </row>
    <row r="46">
      <c r="A46" s="11">
        <v>46.0</v>
      </c>
      <c r="B46" s="12" t="s">
        <v>183</v>
      </c>
      <c r="C46" s="12" t="s">
        <v>184</v>
      </c>
      <c r="D46" s="12" t="s">
        <v>185</v>
      </c>
      <c r="E46" s="13"/>
      <c r="F46" s="2"/>
      <c r="G46" s="2"/>
      <c r="H46" s="4" t="str">
        <f>IFERROR(__xludf.DUMMYFUNCTION("GOOGLETRANSLATE(B46, ""en"", ""zh"")"),"如果对方球队控球率占优，最佳策略是什么？")</f>
        <v>如果对方球队控球率占优，最佳策略是什么？</v>
      </c>
      <c r="I46" s="4" t="str">
        <f>IFERROR(__xludf.DUMMYFUNCTION("GOOGLETRANSLATE(C46, ""en"", ""zh"")"),"A) 高位施压 B) 撤退防守 C) 无视 D) 鲁莽进攻")</f>
        <v>A) 高位施压 B) 撤退防守 C) 无视 D) 鲁莽进攻</v>
      </c>
      <c r="J46" s="4" t="str">
        <f>IFERROR(__xludf.DUMMYFUNCTION("GOOGLETRANSLATE(D46, ""en"", ""zh"")"),"B）撤退并防守")</f>
        <v>B）撤退并防守</v>
      </c>
      <c r="K46" s="4" t="str">
        <f>IFERROR(__xludf.DUMMYFUNCTION("GOOGLETRANSLATE(E46, ""en"", ""zh"")"),"#VALUE!")</f>
        <v>#VALUE!</v>
      </c>
      <c r="L46" s="2"/>
      <c r="M46" s="2"/>
      <c r="N46" s="2"/>
      <c r="O46" s="2"/>
      <c r="P46" s="2"/>
      <c r="Q46" s="2"/>
      <c r="R46" s="2"/>
      <c r="S46" s="2"/>
      <c r="T46" s="2"/>
      <c r="U46" s="2"/>
      <c r="V46" s="2"/>
      <c r="W46" s="2"/>
      <c r="X46" s="2"/>
      <c r="Y46" s="2"/>
      <c r="Z46" s="2"/>
      <c r="AA46" s="2"/>
      <c r="AB46" s="2"/>
    </row>
    <row r="47">
      <c r="A47" s="11">
        <v>47.0</v>
      </c>
      <c r="B47" s="12" t="s">
        <v>186</v>
      </c>
      <c r="C47" s="12" t="s">
        <v>187</v>
      </c>
      <c r="D47" s="12" t="s">
        <v>188</v>
      </c>
      <c r="E47" s="13"/>
      <c r="F47" s="2"/>
      <c r="G47" s="2"/>
      <c r="H47" s="4" t="str">
        <f>IFERROR(__xludf.DUMMYFUNCTION("GOOGLETRANSLATE(B47, ""en"", ""zh"")"),"一名球员带球向你走来。最安全的做法是什么？")</f>
        <v>一名球员带球向你走来。最安全的做法是什么？</v>
      </c>
      <c r="I47" s="4" t="str">
        <f>IFERROR(__xludf.DUMMYFUNCTION("GOOGLETRANSLATE(C47, ""en"", ""zh"")"),"A) 积极拼抢 B) 侧身躲开 C) 谨慎拦截 D) 无视")</f>
        <v>A) 积极拼抢 B) 侧身躲开 C) 谨慎拦截 D) 无视</v>
      </c>
      <c r="J47" s="4" t="str">
        <f>IFERROR(__xludf.DUMMYFUNCTION("GOOGLETRANSLATE(D47, ""en"", ""zh"")"),"C) 谨慎拦截")</f>
        <v>C) 谨慎拦截</v>
      </c>
      <c r="K47" s="4" t="str">
        <f>IFERROR(__xludf.DUMMYFUNCTION("GOOGLETRANSLATE(E47, ""en"", ""zh"")"),"#VALUE!")</f>
        <v>#VALUE!</v>
      </c>
      <c r="L47" s="2"/>
      <c r="M47" s="2"/>
      <c r="N47" s="2"/>
      <c r="O47" s="2"/>
      <c r="P47" s="2"/>
      <c r="Q47" s="2"/>
      <c r="R47" s="2"/>
      <c r="S47" s="2"/>
      <c r="T47" s="2"/>
      <c r="U47" s="2"/>
      <c r="V47" s="2"/>
      <c r="W47" s="2"/>
      <c r="X47" s="2"/>
      <c r="Y47" s="2"/>
      <c r="Z47" s="2"/>
      <c r="AA47" s="2"/>
      <c r="AB47" s="2"/>
    </row>
    <row r="48">
      <c r="A48" s="11">
        <v>48.0</v>
      </c>
      <c r="B48" s="12" t="s">
        <v>189</v>
      </c>
      <c r="C48" s="12" t="s">
        <v>190</v>
      </c>
      <c r="D48" s="12" t="s">
        <v>191</v>
      </c>
      <c r="E48" s="13"/>
      <c r="F48" s="2"/>
      <c r="G48" s="2"/>
      <c r="H48" s="4" t="str">
        <f>IFERROR(__xludf.DUMMYFUNCTION("GOOGLETRANSLATE(B48, ""en"", ""zh"")"),"球在边线附近滚动，一名对方球员正朝你走来。你应该怎么做？")</f>
        <v>球在边线附近滚动，一名对方球员正朝你走来。你应该怎么做？</v>
      </c>
      <c r="I48" s="4" t="str">
        <f>IFERROR(__xludf.DUMMYFUNCTION("GOOGLETRANSLATE(C48, ""en"", ""zh"")"),"A) 放手 B) 踢出界外 C) 控制局面 D) 绊倒对手")</f>
        <v>A) 放手 B) 踢出界外 C) 控制局面 D) 绊倒对手</v>
      </c>
      <c r="J48" s="4" t="str">
        <f>IFERROR(__xludf.DUMMYFUNCTION("GOOGLETRANSLATE(D48, ""en"", ""zh"")"),"C) 增益控制")</f>
        <v>C) 增益控制</v>
      </c>
      <c r="K48" s="4" t="str">
        <f>IFERROR(__xludf.DUMMYFUNCTION("GOOGLETRANSLATE(E48, ""en"", ""zh"")"),"#VALUE!")</f>
        <v>#VALUE!</v>
      </c>
      <c r="L48" s="2"/>
      <c r="M48" s="2"/>
      <c r="N48" s="2"/>
      <c r="O48" s="2"/>
      <c r="P48" s="2"/>
      <c r="Q48" s="2"/>
      <c r="R48" s="2"/>
      <c r="S48" s="2"/>
      <c r="T48" s="2"/>
      <c r="U48" s="2"/>
      <c r="V48" s="2"/>
      <c r="W48" s="2"/>
      <c r="X48" s="2"/>
      <c r="Y48" s="2"/>
      <c r="Z48" s="2"/>
      <c r="AA48" s="2"/>
      <c r="AB48" s="2"/>
    </row>
    <row r="49">
      <c r="A49" s="11">
        <v>49.0</v>
      </c>
      <c r="B49" s="12" t="s">
        <v>192</v>
      </c>
      <c r="C49" s="12" t="s">
        <v>193</v>
      </c>
      <c r="D49" s="12" t="s">
        <v>194</v>
      </c>
      <c r="E49" s="13"/>
      <c r="F49" s="2"/>
      <c r="G49" s="2"/>
      <c r="H49" s="4" t="str">
        <f>IFERROR(__xludf.DUMMYFUNCTION("GOOGLETRANSLATE(B49, ""en"", ""zh"")"),"你的队友在球门附近无人盯防，你应该如何应对？")</f>
        <v>你的队友在球门附近无人盯防，你应该如何应对？</v>
      </c>
      <c r="I49" s="4" t="str">
        <f>IFERROR(__xludf.DUMMYFUNCTION("GOOGLETRANSLATE(C49, ""en"", ""zh"")"),"A) 传球 B) 射门自残 C) 逃跑 D) 停止比赛")</f>
        <v>A) 传球 B) 射门自残 C) 逃跑 D) 停止比赛</v>
      </c>
      <c r="J49" s="4" t="str">
        <f>IFERROR(__xludf.DUMMYFUNCTION("GOOGLETRANSLATE(D49, ""en"", ""zh"")"),"A) 传球")</f>
        <v>A) 传球</v>
      </c>
      <c r="K49" s="4" t="str">
        <f>IFERROR(__xludf.DUMMYFUNCTION("GOOGLETRANSLATE(E49, ""en"", ""zh"")"),"#VALUE!")</f>
        <v>#VALUE!</v>
      </c>
      <c r="L49" s="2"/>
      <c r="M49" s="2"/>
      <c r="N49" s="2"/>
      <c r="O49" s="2"/>
      <c r="P49" s="2"/>
      <c r="Q49" s="2"/>
      <c r="R49" s="2"/>
      <c r="S49" s="2"/>
      <c r="T49" s="2"/>
      <c r="U49" s="2"/>
      <c r="V49" s="2"/>
      <c r="W49" s="2"/>
      <c r="X49" s="2"/>
      <c r="Y49" s="2"/>
      <c r="Z49" s="2"/>
      <c r="AA49" s="2"/>
      <c r="AB49" s="2"/>
    </row>
    <row r="50">
      <c r="A50" s="11">
        <v>50.0</v>
      </c>
      <c r="B50" s="12" t="s">
        <v>195</v>
      </c>
      <c r="C50" s="12" t="s">
        <v>196</v>
      </c>
      <c r="D50" s="12" t="s">
        <v>197</v>
      </c>
      <c r="E50" s="13"/>
      <c r="F50" s="2"/>
      <c r="G50" s="2"/>
      <c r="H50" s="4" t="str">
        <f>IFERROR(__xludf.DUMMYFUNCTION("GOOGLETRANSLATE(B50, ""en"", ""zh"")"),"你正在防守角球。首要任务是什么？")</f>
        <v>你正在防守角球。首要任务是什么？</v>
      </c>
      <c r="I50" s="4" t="str">
        <f>IFERROR(__xludf.DUMMYFUNCTION("GOOGLETRANSLATE(C50, ""en"", ""zh"")"),"A) 解围 B) 逃跑 C) 无视对手 D) 尝试花式技巧")</f>
        <v>A) 解围 B) 逃跑 C) 无视对手 D) 尝试花式技巧</v>
      </c>
      <c r="J50" s="4" t="str">
        <f>IFERROR(__xludf.DUMMYFUNCTION("GOOGLETRANSLATE(D50, ""en"", ""zh"")"),"A) 清球")</f>
        <v>A) 清球</v>
      </c>
      <c r="K50" s="4" t="str">
        <f>IFERROR(__xludf.DUMMYFUNCTION("GOOGLETRANSLATE(E50, ""en"", ""zh"")"),"#VALUE!")</f>
        <v>#VALUE!</v>
      </c>
      <c r="L50" s="2"/>
      <c r="M50" s="2"/>
      <c r="N50" s="2"/>
      <c r="O50" s="2"/>
      <c r="P50" s="2"/>
      <c r="Q50" s="2"/>
      <c r="R50" s="2"/>
      <c r="S50" s="2"/>
      <c r="T50" s="2"/>
      <c r="U50" s="2"/>
      <c r="V50" s="2"/>
      <c r="W50" s="2"/>
      <c r="X50" s="2"/>
      <c r="Y50" s="2"/>
      <c r="Z50" s="2"/>
      <c r="AA50" s="2"/>
      <c r="AB50" s="2"/>
    </row>
    <row r="51">
      <c r="A51" s="11">
        <v>51.0</v>
      </c>
      <c r="B51" s="12" t="s">
        <v>198</v>
      </c>
      <c r="C51" s="12" t="s">
        <v>199</v>
      </c>
      <c r="D51" s="12" t="s">
        <v>200</v>
      </c>
      <c r="E51" s="13"/>
      <c r="F51" s="2"/>
      <c r="G51" s="2"/>
      <c r="H51" s="4" t="str">
        <f>IFERROR(__xludf.DUMMYFUNCTION("GOOGLETRANSLATE(B51, ""en"", ""zh"")"),"球突然飞过来，你该如何控制它？")</f>
        <v>球突然飞过来，你该如何控制它？</v>
      </c>
      <c r="I51" s="4" t="str">
        <f>IFERROR(__xludf.DUMMYFUNCTION("GOOGLETRANSLATE(C51, ""en"", ""zh"")"),"A) 设陷阱并控制住 B) 随意踢 C) 无视 D) 立即向后传球")</f>
        <v>A) 设陷阱并控制住 B) 随意踢 C) 无视 D) 立即向后传球</v>
      </c>
      <c r="J51" s="4" t="str">
        <f>IFERROR(__xludf.DUMMYFUNCTION("GOOGLETRANSLATE(D51, ""en"", ""zh"")"),"A) 设陷阱并确保安全")</f>
        <v>A) 设陷阱并确保安全</v>
      </c>
      <c r="K51" s="4" t="str">
        <f>IFERROR(__xludf.DUMMYFUNCTION("GOOGLETRANSLATE(E51, ""en"", ""zh"")"),"#VALUE!")</f>
        <v>#VALUE!</v>
      </c>
      <c r="L51" s="2"/>
      <c r="M51" s="2"/>
      <c r="N51" s="2"/>
      <c r="O51" s="2"/>
      <c r="P51" s="2"/>
      <c r="Q51" s="2"/>
      <c r="R51" s="2"/>
      <c r="S51" s="2"/>
      <c r="T51" s="2"/>
      <c r="U51" s="2"/>
      <c r="V51" s="2"/>
      <c r="W51" s="2"/>
      <c r="X51" s="2"/>
      <c r="Y51" s="2"/>
      <c r="Z51" s="2"/>
      <c r="AA51" s="2"/>
      <c r="AB51" s="2"/>
    </row>
    <row r="52">
      <c r="A52" s="11">
        <v>52.0</v>
      </c>
      <c r="B52" s="12" t="s">
        <v>201</v>
      </c>
      <c r="C52" s="12" t="s">
        <v>202</v>
      </c>
      <c r="D52" s="12" t="s">
        <v>203</v>
      </c>
      <c r="E52" s="13"/>
      <c r="F52" s="2"/>
      <c r="G52" s="2"/>
      <c r="H52" s="4" t="str">
        <f>IFERROR(__xludf.DUMMYFUNCTION("GOOGLETRANSLATE(B52, ""en"", ""zh"")"),"运球时对手紧随其后，最佳应对策略是什么？")</f>
        <v>运球时对手紧随其后，最佳应对策略是什么？</v>
      </c>
      <c r="I52" s="4" t="str">
        <f>IFERROR(__xludf.DUMMYFUNCTION("GOOGLETRANSLATE(C52, ""en"", ""zh"")"),"A) 保持控制 B) 鲁莽踢出 C) 停止移动 D) 转身")</f>
        <v>A) 保持控制 B) 鲁莽踢出 C) 停止移动 D) 转身</v>
      </c>
      <c r="J52" s="4" t="str">
        <f>IFERROR(__xludf.DUMMYFUNCTION("GOOGLETRANSLATE(D52, ""en"", ""zh"")"),"A) 保持控制")</f>
        <v>A) 保持控制</v>
      </c>
      <c r="K52" s="4" t="str">
        <f>IFERROR(__xludf.DUMMYFUNCTION("GOOGLETRANSLATE(E52, ""en"", ""zh"")"),"#VALUE!")</f>
        <v>#VALUE!</v>
      </c>
      <c r="L52" s="2"/>
      <c r="M52" s="2"/>
      <c r="N52" s="2"/>
      <c r="O52" s="2"/>
      <c r="P52" s="2"/>
      <c r="Q52" s="2"/>
      <c r="R52" s="2"/>
      <c r="S52" s="2"/>
      <c r="T52" s="2"/>
      <c r="U52" s="2"/>
      <c r="V52" s="2"/>
      <c r="W52" s="2"/>
      <c r="X52" s="2"/>
      <c r="Y52" s="2"/>
      <c r="Z52" s="2"/>
      <c r="AA52" s="2"/>
      <c r="AB52" s="2"/>
    </row>
    <row r="53">
      <c r="A53" s="14">
        <v>53.0</v>
      </c>
      <c r="B53" s="12" t="s">
        <v>204</v>
      </c>
      <c r="C53" s="12" t="s">
        <v>205</v>
      </c>
      <c r="D53" s="12" t="s">
        <v>206</v>
      </c>
      <c r="E53" s="13"/>
      <c r="F53" s="2"/>
      <c r="G53" s="2"/>
      <c r="H53" s="4" t="str">
        <f>IFERROR(__xludf.DUMMYFUNCTION("GOOGLETRANSLATE(B53, ""en"", ""zh"")"),"队友正在尝试远投。你应该如何支援？")</f>
        <v>队友正在尝试远投。你应该如何支援？</v>
      </c>
      <c r="I53" s="4" t="str">
        <f>IFERROR(__xludf.DUMMYFUNCTION("GOOGLETRANSLATE(C53, ""en"", ""zh"")"),"A) 向前移动抢篮板 B) 逃跑 C) 无视 D) 擒抱对手")</f>
        <v>A) 向前移动抢篮板 B) 逃跑 C) 无视 D) 擒抱对手</v>
      </c>
      <c r="J53" s="4" t="str">
        <f>IFERROR(__xludf.DUMMYFUNCTION("GOOGLETRANSLATE(D53, ""en"", ""zh"")"),"A) 向前推进以争取反弹")</f>
        <v>A) 向前推进以争取反弹</v>
      </c>
      <c r="K53" s="4" t="str">
        <f>IFERROR(__xludf.DUMMYFUNCTION("GOOGLETRANSLATE(E53, ""en"", ""zh"")"),"#VALUE!")</f>
        <v>#VALUE!</v>
      </c>
      <c r="L53" s="2"/>
      <c r="M53" s="2"/>
      <c r="N53" s="2"/>
      <c r="O53" s="2"/>
      <c r="P53" s="2"/>
      <c r="Q53" s="2"/>
      <c r="R53" s="2"/>
      <c r="S53" s="2"/>
      <c r="T53" s="2"/>
      <c r="U53" s="2"/>
      <c r="V53" s="2"/>
      <c r="W53" s="2"/>
      <c r="X53" s="2"/>
      <c r="Y53" s="2"/>
      <c r="Z53" s="2"/>
      <c r="AA53" s="2"/>
      <c r="AB53" s="2"/>
    </row>
    <row r="54">
      <c r="A54" s="14">
        <v>54.0</v>
      </c>
      <c r="B54" s="12" t="s">
        <v>207</v>
      </c>
      <c r="C54" s="12" t="s">
        <v>208</v>
      </c>
      <c r="D54" s="12" t="s">
        <v>209</v>
      </c>
      <c r="E54" s="13"/>
      <c r="F54" s="2"/>
      <c r="G54" s="2"/>
      <c r="H54" s="4" t="str">
        <f>IFERROR(__xludf.DUMMYFUNCTION("GOOGLETRANSLATE(B54, ""en"", ""zh"")"),"你发现对方左翼出现空当。你应该怎么做？")</f>
        <v>你发现对方左翼出现空当。你应该怎么做？</v>
      </c>
      <c r="I54" s="4" t="str">
        <f>IFERROR(__xludf.DUMMYFUNCTION("GOOGLETRANSLATE(C54, ""en"", ""zh"")"),"A) 传球或盯防 B) 忽略 C) 跑动 D) 持球")</f>
        <v>A) 传球或盯防 B) 忽略 C) 跑动 D) 持球</v>
      </c>
      <c r="J54" s="4" t="str">
        <f>IFERROR(__xludf.DUMMYFUNCTION("GOOGLETRANSLATE(D54, ""en"", ""zh"")"),"A) 通过或评分")</f>
        <v>A) 通过或评分</v>
      </c>
      <c r="K54" s="4" t="str">
        <f>IFERROR(__xludf.DUMMYFUNCTION("GOOGLETRANSLATE(E54, ""en"", ""zh"")"),"#VALUE!")</f>
        <v>#VALUE!</v>
      </c>
      <c r="L54" s="2"/>
      <c r="M54" s="2"/>
      <c r="N54" s="2"/>
      <c r="O54" s="2"/>
      <c r="P54" s="2"/>
      <c r="Q54" s="2"/>
      <c r="R54" s="2"/>
      <c r="S54" s="2"/>
      <c r="T54" s="2"/>
      <c r="U54" s="2"/>
      <c r="V54" s="2"/>
      <c r="W54" s="2"/>
      <c r="X54" s="2"/>
      <c r="Y54" s="2"/>
      <c r="Z54" s="2"/>
      <c r="AA54" s="2"/>
      <c r="AB54" s="2"/>
    </row>
    <row r="55">
      <c r="A55" s="14">
        <v>55.0</v>
      </c>
      <c r="B55" s="12" t="s">
        <v>210</v>
      </c>
      <c r="C55" s="12" t="s">
        <v>211</v>
      </c>
      <c r="D55" s="12" t="s">
        <v>212</v>
      </c>
      <c r="E55" s="13"/>
      <c r="F55" s="2"/>
      <c r="G55" s="2"/>
      <c r="H55" s="4" t="str">
        <f>IFERROR(__xludf.DUMMYFUNCTION("GOOGLETRANSLATE(B55, ""en"", ""zh"")"),"球正朝你脚边飞来，靠近禁区。正确的处理方式是什么？")</f>
        <v>球正朝你脚边飞来，靠近禁区。正确的处理方式是什么？</v>
      </c>
      <c r="I55" s="4" t="str">
        <f>IFERROR(__xludf.DUMMYFUNCTION("GOOGLETRANSLATE(C55, ""en"", ""zh"")"),"A) 设陷阱控制 B) 随意踢击 C) 转身 D) 冲向对手")</f>
        <v>A) 设陷阱控制 B) 随意踢击 C) 转身 D) 冲向对手</v>
      </c>
      <c r="J55" s="4" t="str">
        <f>IFERROR(__xludf.DUMMYFUNCTION("GOOGLETRANSLATE(D55, ""en"", ""zh"")"),"A) 诱捕和控制")</f>
        <v>A) 诱捕和控制</v>
      </c>
      <c r="K55" s="4" t="str">
        <f>IFERROR(__xludf.DUMMYFUNCTION("GOOGLETRANSLATE(E55, ""en"", ""zh"")"),"#VALUE!")</f>
        <v>#VALUE!</v>
      </c>
      <c r="L55" s="2"/>
      <c r="M55" s="2"/>
      <c r="N55" s="2"/>
      <c r="O55" s="2"/>
      <c r="P55" s="2"/>
      <c r="Q55" s="2"/>
      <c r="R55" s="2"/>
      <c r="S55" s="2"/>
      <c r="T55" s="2"/>
      <c r="U55" s="2"/>
      <c r="V55" s="2"/>
      <c r="W55" s="2"/>
      <c r="X55" s="2"/>
      <c r="Y55" s="2"/>
      <c r="Z55" s="2"/>
      <c r="AA55" s="2"/>
      <c r="AB55" s="2"/>
    </row>
    <row r="56">
      <c r="A56" s="14">
        <v>56.0</v>
      </c>
      <c r="B56" s="12" t="s">
        <v>213</v>
      </c>
      <c r="C56" s="12" t="s">
        <v>214</v>
      </c>
      <c r="D56" s="12" t="s">
        <v>215</v>
      </c>
      <c r="E56" s="13"/>
      <c r="F56" s="2"/>
      <c r="G56" s="2"/>
      <c r="H56" s="4" t="str">
        <f>IFERROR(__xludf.DUMMYFUNCTION("GOOGLETRANSLATE(B56, ""en"", ""zh"")"),"对手假动作投篮，你应该如何应对？")</f>
        <v>对手假动作投篮，你应该如何应对？</v>
      </c>
      <c r="I56" s="4" t="str">
        <f>IFERROR(__xludf.DUMMYFUNCTION("GOOGLETRANSLATE(C56, ""en"", ""zh"")"),"A) 保持警惕，不要贸然行动 B) 立即起跳 C) 侧身躲开 D) 将球踢开")</f>
        <v>A) 保持警惕，不要贸然行动 B) 立即起跳 C) 侧身躲开 D) 将球踢开</v>
      </c>
      <c r="J56" s="4" t="str">
        <f>IFERROR(__xludf.DUMMYFUNCTION("GOOGLETRANSLATE(D56, ""en"", ""zh"")"),"A) 保持警惕，不要贸然行事")</f>
        <v>A) 保持警惕，不要贸然行事</v>
      </c>
      <c r="K56" s="4" t="str">
        <f>IFERROR(__xludf.DUMMYFUNCTION("GOOGLETRANSLATE(E56, ""en"", ""zh"")"),"#VALUE!")</f>
        <v>#VALUE!</v>
      </c>
      <c r="L56" s="2"/>
      <c r="M56" s="2"/>
      <c r="N56" s="2"/>
      <c r="O56" s="2"/>
      <c r="P56" s="2"/>
      <c r="Q56" s="2"/>
      <c r="R56" s="2"/>
      <c r="S56" s="2"/>
      <c r="T56" s="2"/>
      <c r="U56" s="2"/>
      <c r="V56" s="2"/>
      <c r="W56" s="2"/>
      <c r="X56" s="2"/>
      <c r="Y56" s="2"/>
      <c r="Z56" s="2"/>
      <c r="AA56" s="2"/>
      <c r="AB56" s="2"/>
    </row>
    <row r="57">
      <c r="A57" s="14">
        <v>57.0</v>
      </c>
      <c r="B57" s="12" t="s">
        <v>216</v>
      </c>
      <c r="C57" s="12" t="s">
        <v>217</v>
      </c>
      <c r="D57" s="12" t="s">
        <v>218</v>
      </c>
      <c r="E57" s="13"/>
      <c r="F57" s="2"/>
      <c r="G57" s="2"/>
      <c r="H57" s="4" t="str">
        <f>IFERROR(__xludf.DUMMYFUNCTION("GOOGLETRANSLATE(B57, ""en"", ""zh"")"),"你获得了一个靠近对方球门的任意球机会。你的首选是什么？")</f>
        <v>你获得了一个靠近对方球门的任意球机会。你的首选是什么？</v>
      </c>
      <c r="I57" s="4" t="str">
        <f>IFERROR(__xludf.DUMMYFUNCTION("GOOGLETRANSLATE(C57, ""en"", ""zh"")"),"A) 投篮 B) 传球 C) 走开 D) 随意踢球")</f>
        <v>A) 投篮 B) 传球 C) 走开 D) 随意踢球</v>
      </c>
      <c r="J57" s="4" t="str">
        <f>IFERROR(__xludf.DUMMYFUNCTION("GOOGLETRANSLATE(D57, ""en"", ""zh"")"),"A）拍一张照片")</f>
        <v>A）拍一张照片</v>
      </c>
      <c r="K57" s="4" t="str">
        <f>IFERROR(__xludf.DUMMYFUNCTION("GOOGLETRANSLATE(E57, ""en"", ""zh"")"),"#VALUE!")</f>
        <v>#VALUE!</v>
      </c>
      <c r="L57" s="2"/>
      <c r="M57" s="2"/>
      <c r="N57" s="2"/>
      <c r="O57" s="2"/>
      <c r="P57" s="2"/>
      <c r="Q57" s="2"/>
      <c r="R57" s="2"/>
      <c r="S57" s="2"/>
      <c r="T57" s="2"/>
      <c r="U57" s="2"/>
      <c r="V57" s="2"/>
      <c r="W57" s="2"/>
      <c r="X57" s="2"/>
      <c r="Y57" s="2"/>
      <c r="Z57" s="2"/>
      <c r="AA57" s="2"/>
      <c r="AB57" s="2"/>
    </row>
    <row r="58">
      <c r="A58" s="14">
        <v>58.0</v>
      </c>
      <c r="B58" s="12" t="s">
        <v>219</v>
      </c>
      <c r="C58" s="12" t="s">
        <v>220</v>
      </c>
      <c r="D58" s="12" t="s">
        <v>221</v>
      </c>
      <c r="E58" s="13"/>
      <c r="F58" s="2"/>
      <c r="G58" s="2"/>
      <c r="H58" s="4" t="str">
        <f>IFERROR(__xludf.DUMMYFUNCTION("GOOGLETRANSLATE(B58, ""en"", ""zh"")"),"裁判示意你犯规得分。正确的做法是什么？")</f>
        <v>裁判示意你犯规得分。正确的做法是什么？</v>
      </c>
      <c r="I58" s="4" t="str">
        <f>IFERROR(__xludf.DUMMYFUNCTION("GOOGLETRANSLATE(C58, ""en"", ""zh"")"),"A) 快速定位球 B) 争论 C) 拖延比赛 D) 忽略")</f>
        <v>A) 快速定位球 B) 争论 C) 拖延比赛 D) 忽略</v>
      </c>
      <c r="J58" s="4" t="str">
        <f>IFERROR(__xludf.DUMMYFUNCTION("GOOGLETRANSLATE(D58, ""en"", ""zh"")"),"A）快速定位球")</f>
        <v>A）快速定位球</v>
      </c>
      <c r="K58" s="4" t="str">
        <f>IFERROR(__xludf.DUMMYFUNCTION("GOOGLETRANSLATE(E58, ""en"", ""zh"")"),"#VALUE!")</f>
        <v>#VALUE!</v>
      </c>
      <c r="L58" s="2"/>
      <c r="M58" s="2"/>
      <c r="N58" s="2"/>
      <c r="O58" s="2"/>
      <c r="P58" s="2"/>
      <c r="Q58" s="2"/>
      <c r="R58" s="2"/>
      <c r="S58" s="2"/>
      <c r="T58" s="2"/>
      <c r="U58" s="2"/>
      <c r="V58" s="2"/>
      <c r="W58" s="2"/>
      <c r="X58" s="2"/>
      <c r="Y58" s="2"/>
      <c r="Z58" s="2"/>
      <c r="AA58" s="2"/>
      <c r="AB58" s="2"/>
    </row>
    <row r="59">
      <c r="A59" s="14">
        <v>59.0</v>
      </c>
      <c r="B59" s="12" t="s">
        <v>222</v>
      </c>
      <c r="C59" s="12" t="s">
        <v>223</v>
      </c>
      <c r="D59" s="12" t="s">
        <v>224</v>
      </c>
      <c r="E59" s="13"/>
      <c r="F59" s="2"/>
      <c r="G59" s="2"/>
      <c r="H59" s="4" t="str">
        <f>IFERROR(__xludf.DUMMYFUNCTION("GOOGLETRANSLATE(B59, ""en"", ""zh"")"),"你的队友越位了。最佳应对措施是什么？")</f>
        <v>你的队友越位了。最佳应对措施是什么？</v>
      </c>
      <c r="I59" s="4" t="str">
        <f>IFERROR(__xludf.DUMMYFUNCTION("GOOGLETRANSLATE(C59, ""en"", ""zh"")"),"A) 持球 B) 照常传球 C) 停止并重新站位 D) 忽略")</f>
        <v>A) 持球 B) 照常传球 C) 停止并重新站位 D) 忽略</v>
      </c>
      <c r="J59" s="4" t="str">
        <f>IFERROR(__xludf.DUMMYFUNCTION("GOOGLETRANSLATE(D59, ""en"", ""zh"")"),"C) 停止并重新定位")</f>
        <v>C) 停止并重新定位</v>
      </c>
      <c r="K59" s="4" t="str">
        <f>IFERROR(__xludf.DUMMYFUNCTION("GOOGLETRANSLATE(E59, ""en"", ""zh"")"),"#VALUE!")</f>
        <v>#VALUE!</v>
      </c>
      <c r="L59" s="2"/>
      <c r="M59" s="2"/>
      <c r="N59" s="2"/>
      <c r="O59" s="2"/>
      <c r="P59" s="2"/>
      <c r="Q59" s="2"/>
      <c r="R59" s="2"/>
      <c r="S59" s="2"/>
      <c r="T59" s="2"/>
      <c r="U59" s="2"/>
      <c r="V59" s="2"/>
      <c r="W59" s="2"/>
      <c r="X59" s="2"/>
      <c r="Y59" s="2"/>
      <c r="Z59" s="2"/>
      <c r="AA59" s="2"/>
      <c r="AB59" s="2"/>
    </row>
    <row r="60">
      <c r="A60" s="14">
        <v>60.0</v>
      </c>
      <c r="B60" s="12" t="s">
        <v>225</v>
      </c>
      <c r="C60" s="12" t="s">
        <v>226</v>
      </c>
      <c r="D60" s="12" t="s">
        <v>227</v>
      </c>
      <c r="E60" s="13"/>
      <c r="F60" s="2"/>
      <c r="G60" s="2"/>
      <c r="H60" s="4" t="str">
        <f>IFERROR(__xludf.DUMMYFUNCTION("GOOGLETRANSLATE(B60, ""en"", ""zh"")"),"球的弹跳轨迹难以预测，你应该如何应对？")</f>
        <v>球的弹跳轨迹难以预测，你应该如何应对？</v>
      </c>
      <c r="I60" s="4" t="str">
        <f>IFERROR(__xludf.DUMMYFUNCTION("GOOGLETRANSLATE(C60, ""en"", ""zh"")"),"A) 调整身位并设下陷阱 B) 胡乱踢腿 C) 无视 D) 逃跑")</f>
        <v>A) 调整身位并设下陷阱 B) 胡乱踢腿 C) 无视 D) 逃跑</v>
      </c>
      <c r="J60" s="4" t="str">
        <f>IFERROR(__xludf.DUMMYFUNCTION("GOOGLETRANSLATE(D60, ""en"", ""zh"")"),"A) 调整身体和陷阱")</f>
        <v>A) 调整身体和陷阱</v>
      </c>
      <c r="K60" s="4" t="str">
        <f>IFERROR(__xludf.DUMMYFUNCTION("GOOGLETRANSLATE(E60, ""en"", ""zh"")"),"#VALUE!")</f>
        <v>#VALUE!</v>
      </c>
      <c r="L60" s="2"/>
      <c r="M60" s="2"/>
      <c r="N60" s="2"/>
      <c r="O60" s="2"/>
      <c r="P60" s="2"/>
      <c r="Q60" s="2"/>
      <c r="R60" s="2"/>
      <c r="S60" s="2"/>
      <c r="T60" s="2"/>
      <c r="U60" s="2"/>
      <c r="V60" s="2"/>
      <c r="W60" s="2"/>
      <c r="X60" s="2"/>
      <c r="Y60" s="2"/>
      <c r="Z60" s="2"/>
      <c r="AA60" s="2"/>
      <c r="AB60" s="2"/>
    </row>
    <row r="61">
      <c r="A61" s="15">
        <v>61.0</v>
      </c>
      <c r="B61" s="12" t="s">
        <v>228</v>
      </c>
      <c r="C61" s="12" t="s">
        <v>229</v>
      </c>
      <c r="D61" s="12" t="s">
        <v>230</v>
      </c>
      <c r="E61" s="16"/>
      <c r="F61" s="2"/>
      <c r="G61" s="2"/>
      <c r="H61" s="4" t="str">
        <f>IFERROR(__xludf.DUMMYFUNCTION("GOOGLETRANSLATE(B61, ""en"", ""zh"")"),"对手从后方逼近，你应该如何应对？")</f>
        <v>对手从后方逼近，你应该如何应对？</v>
      </c>
      <c r="I61" s="4" t="str">
        <f>IFERROR(__xludf.DUMMYFUNCTION("GOOGLETRANSLATE(C61, ""en"", ""zh"")"),"A) 护球 B) 向后踢 C) 无视 D) 逃跑")</f>
        <v>A) 护球 B) 向后踢 C) 无视 D) 逃跑</v>
      </c>
      <c r="J61" s="4" t="str">
        <f>IFERROR(__xludf.DUMMYFUNCTION("GOOGLETRANSLATE(D61, ""en"", ""zh"")"),"A）护球")</f>
        <v>A）护球</v>
      </c>
      <c r="K61" s="4" t="str">
        <f>IFERROR(__xludf.DUMMYFUNCTION("GOOGLETRANSLATE(E61, ""en"", ""zh"")"),"#VALUE!")</f>
        <v>#VALUE!</v>
      </c>
      <c r="L61" s="2"/>
      <c r="M61" s="2"/>
      <c r="N61" s="2"/>
      <c r="O61" s="2"/>
      <c r="P61" s="2"/>
      <c r="Q61" s="2"/>
      <c r="R61" s="2"/>
      <c r="S61" s="2"/>
      <c r="T61" s="2"/>
      <c r="U61" s="2"/>
      <c r="V61" s="2"/>
      <c r="W61" s="2"/>
      <c r="X61" s="2"/>
      <c r="Y61" s="2"/>
      <c r="Z61" s="2"/>
      <c r="AA61" s="2"/>
      <c r="AB61" s="2"/>
    </row>
    <row r="62">
      <c r="A62" s="15">
        <v>62.0</v>
      </c>
      <c r="B62" s="12" t="s">
        <v>231</v>
      </c>
      <c r="C62" s="12" t="s">
        <v>232</v>
      </c>
      <c r="D62" s="12" t="s">
        <v>233</v>
      </c>
      <c r="E62" s="16"/>
      <c r="F62" s="2"/>
      <c r="G62" s="2"/>
      <c r="H62" s="4" t="str">
        <f>IFERROR(__xludf.DUMMYFUNCTION("GOOGLETRANSLATE(B62, ""en"", ""zh"")"),"你离球门很近，球飞速飞来。你会怎么做？")</f>
        <v>你离球门很近，球飞速飞来。你会怎么做？</v>
      </c>
      <c r="I62" s="4" t="str">
        <f>IFERROR(__xludf.DUMMYFUNCTION("GOOGLETRANSLATE(C62, ""en"", ""zh"")"),"A) 射门或控球 B) 停止并静止 C) 踢开 D) 向后传球")</f>
        <v>A) 射门或控球 B) 停止并静止 C) 踢开 D) 向后传球</v>
      </c>
      <c r="J62" s="4" t="str">
        <f>IFERROR(__xludf.DUMMYFUNCTION("GOOGLETRANSLATE(D62, ""en"", ""zh"")"),"A) 射击或控制")</f>
        <v>A) 射击或控制</v>
      </c>
      <c r="K62" s="4" t="str">
        <f>IFERROR(__xludf.DUMMYFUNCTION("GOOGLETRANSLATE(E62, ""en"", ""zh"")"),"#VALUE!")</f>
        <v>#VALUE!</v>
      </c>
      <c r="L62" s="2"/>
      <c r="M62" s="2"/>
      <c r="N62" s="2"/>
      <c r="O62" s="2"/>
      <c r="P62" s="2"/>
      <c r="Q62" s="2"/>
      <c r="R62" s="2"/>
      <c r="S62" s="2"/>
      <c r="T62" s="2"/>
      <c r="U62" s="2"/>
      <c r="V62" s="2"/>
      <c r="W62" s="2"/>
      <c r="X62" s="2"/>
      <c r="Y62" s="2"/>
      <c r="Z62" s="2"/>
      <c r="AA62" s="2"/>
      <c r="AB62" s="2"/>
    </row>
    <row r="63">
      <c r="A63" s="15">
        <v>63.0</v>
      </c>
      <c r="B63" s="12" t="s">
        <v>234</v>
      </c>
      <c r="C63" s="12" t="s">
        <v>235</v>
      </c>
      <c r="D63" s="12" t="s">
        <v>236</v>
      </c>
      <c r="E63" s="16"/>
      <c r="F63" s="2"/>
      <c r="G63" s="2"/>
      <c r="H63" s="4" t="str">
        <f>IFERROR(__xludf.DUMMYFUNCTION("GOOGLETRANSLATE(B63, ""en"", ""zh"")"),"你的球队落后一球。应该采取什么策略？")</f>
        <v>你的球队落后一球。应该采取什么策略？</v>
      </c>
      <c r="I63" s="4" t="str">
        <f>IFERROR(__xludf.DUMMYFUNCTION("GOOGLETRANSLATE(C63, ""en"", ""zh"")"),"A) 全力推进并获得支援 B) 撤退 C) 无视 D) 采取防守策略")</f>
        <v>A) 全力推进并获得支援 B) 撤退 C) 无视 D) 采取防守策略</v>
      </c>
      <c r="J63" s="4" t="str">
        <f>IFERROR(__xludf.DUMMYFUNCTION("GOOGLETRANSLATE(D63, ""en"", ""zh"")"),"A) 在支持下继续前进")</f>
        <v>A) 在支持下继续前进</v>
      </c>
      <c r="K63" s="4" t="str">
        <f>IFERROR(__xludf.DUMMYFUNCTION("GOOGLETRANSLATE(E63, ""en"", ""zh"")"),"#VALUE!")</f>
        <v>#VALUE!</v>
      </c>
      <c r="L63" s="2"/>
      <c r="M63" s="2"/>
      <c r="N63" s="2"/>
      <c r="O63" s="2"/>
      <c r="P63" s="2"/>
      <c r="Q63" s="2"/>
      <c r="R63" s="2"/>
      <c r="S63" s="2"/>
      <c r="T63" s="2"/>
      <c r="U63" s="2"/>
      <c r="V63" s="2"/>
      <c r="W63" s="2"/>
      <c r="X63" s="2"/>
      <c r="Y63" s="2"/>
      <c r="Z63" s="2"/>
      <c r="AA63" s="2"/>
      <c r="AB63" s="2"/>
    </row>
    <row r="64">
      <c r="A64" s="15">
        <v>64.0</v>
      </c>
      <c r="B64" s="12" t="s">
        <v>237</v>
      </c>
      <c r="C64" s="12" t="s">
        <v>238</v>
      </c>
      <c r="D64" s="12" t="s">
        <v>239</v>
      </c>
      <c r="E64" s="16"/>
      <c r="F64" s="2"/>
      <c r="G64" s="2"/>
      <c r="H64" s="4" t="str">
        <f>IFERROR(__xludf.DUMMYFUNCTION("GOOGLETRANSLATE(B64, ""en"", ""zh"")"),"对手正在快速逼近。你如何保持控制？")</f>
        <v>对手正在快速逼近。你如何保持控制？</v>
      </c>
      <c r="I64" s="4" t="str">
        <f>IFERROR(__xludf.DUMMYFUNCTION("GOOGLETRANSLATE(C64, ""en"", ""zh"")"),"A) 保持控球 B) 随意踢球 C) 停止 D) 逃跑")</f>
        <v>A) 保持控球 B) 随意踢球 C) 停止 D) 逃跑</v>
      </c>
      <c r="J64" s="4" t="str">
        <f>IFERROR(__xludf.DUMMYFUNCTION("GOOGLETRANSLATE(D64, ""en"", ""zh"")"),"A) 保持对球的紧密控制")</f>
        <v>A) 保持对球的紧密控制</v>
      </c>
      <c r="K64" s="4" t="str">
        <f>IFERROR(__xludf.DUMMYFUNCTION("GOOGLETRANSLATE(E64, ""en"", ""zh"")"),"#VALUE!")</f>
        <v>#VALUE!</v>
      </c>
      <c r="L64" s="2"/>
      <c r="M64" s="2"/>
      <c r="N64" s="2"/>
      <c r="O64" s="2"/>
      <c r="P64" s="2"/>
      <c r="Q64" s="2"/>
      <c r="R64" s="2"/>
      <c r="S64" s="2"/>
      <c r="T64" s="2"/>
      <c r="U64" s="2"/>
      <c r="V64" s="2"/>
      <c r="W64" s="2"/>
      <c r="X64" s="2"/>
      <c r="Y64" s="2"/>
      <c r="Z64" s="2"/>
      <c r="AA64" s="2"/>
      <c r="AB64" s="2"/>
    </row>
    <row r="65">
      <c r="A65" s="15">
        <v>65.0</v>
      </c>
      <c r="B65" s="12" t="s">
        <v>240</v>
      </c>
      <c r="C65" s="12" t="s">
        <v>241</v>
      </c>
      <c r="D65" s="12" t="s">
        <v>242</v>
      </c>
      <c r="E65" s="16"/>
      <c r="F65" s="2"/>
      <c r="G65" s="2"/>
      <c r="H65" s="4" t="str">
        <f>IFERROR(__xludf.DUMMYFUNCTION("GOOGLETRANSLATE(B65, ""en"", ""zh"")"),"你的队友在球门柱附近。你应该怎么做？")</f>
        <v>你的队友在球门柱附近。你应该怎么做？</v>
      </c>
      <c r="I65" s="4" t="str">
        <f>IFERROR(__xludf.DUMMYFUNCTION("GOOGLETRANSLATE(C65, ""en"", ""zh"")"),"A) 传球寻找得分机会 B) 控球 C) 跑开 D) 侧身躲开")</f>
        <v>A) 传球寻找得分机会 B) 控球 C) 跑开 D) 侧身躲开</v>
      </c>
      <c r="J65" s="4" t="str">
        <f>IFERROR(__xludf.DUMMYFUNCTION("GOOGLETRANSLATE(D65, ""en"", ""zh"")"),"A) 传球以获得得分机会")</f>
        <v>A) 传球以获得得分机会</v>
      </c>
      <c r="K65" s="4" t="str">
        <f>IFERROR(__xludf.DUMMYFUNCTION("GOOGLETRANSLATE(E65, ""en"", ""zh"")"),"#VALUE!")</f>
        <v>#VALUE!</v>
      </c>
      <c r="L65" s="2"/>
      <c r="M65" s="2"/>
      <c r="N65" s="2"/>
      <c r="O65" s="2"/>
      <c r="P65" s="2"/>
      <c r="Q65" s="2"/>
      <c r="R65" s="2"/>
      <c r="S65" s="2"/>
      <c r="T65" s="2"/>
      <c r="U65" s="2"/>
      <c r="V65" s="2"/>
      <c r="W65" s="2"/>
      <c r="X65" s="2"/>
      <c r="Y65" s="2"/>
      <c r="Z65" s="2"/>
      <c r="AA65" s="2"/>
      <c r="AB65" s="2"/>
    </row>
    <row r="66">
      <c r="A66" s="15">
        <v>66.0</v>
      </c>
      <c r="B66" s="12" t="s">
        <v>243</v>
      </c>
      <c r="C66" s="12" t="s">
        <v>244</v>
      </c>
      <c r="D66" s="12" t="s">
        <v>245</v>
      </c>
      <c r="E66" s="16"/>
      <c r="F66" s="2"/>
      <c r="G66" s="2"/>
      <c r="H66" s="4" t="str">
        <f>IFERROR(__xludf.DUMMYFUNCTION("GOOGLETRANSLATE(B66, ""en"", ""zh"")"),"球在中场附近缓慢滚动。你应该怎么做？")</f>
        <v>球在中场附近缓慢滚动。你应该怎么做？</v>
      </c>
      <c r="I66" s="4" t="str">
        <f>IFERROR(__xludf.DUMMYFUNCTION("GOOGLETRANSLATE(C66, ""en"", ""zh"")"),"A) 移动拦截 B) 无视 C) 踢出 D) 等待对手")</f>
        <v>A) 移动拦截 B) 无视 C) 踢出 D) 等待对手</v>
      </c>
      <c r="J66" s="4" t="str">
        <f>IFERROR(__xludf.DUMMYFUNCTION("GOOGLETRANSLATE(D66, ""en"", ""zh"")"),"A) 移动拦截")</f>
        <v>A) 移动拦截</v>
      </c>
      <c r="K66" s="4" t="str">
        <f>IFERROR(__xludf.DUMMYFUNCTION("GOOGLETRANSLATE(E66, ""en"", ""zh"")"),"#VALUE!")</f>
        <v>#VALUE!</v>
      </c>
      <c r="L66" s="2"/>
      <c r="M66" s="2"/>
      <c r="N66" s="2"/>
      <c r="O66" s="2"/>
      <c r="P66" s="2"/>
      <c r="Q66" s="2"/>
      <c r="R66" s="2"/>
      <c r="S66" s="2"/>
      <c r="T66" s="2"/>
      <c r="U66" s="2"/>
      <c r="V66" s="2"/>
      <c r="W66" s="2"/>
      <c r="X66" s="2"/>
      <c r="Y66" s="2"/>
      <c r="Z66" s="2"/>
      <c r="AA66" s="2"/>
      <c r="AB66" s="2"/>
    </row>
    <row r="67">
      <c r="A67" s="15">
        <v>67.0</v>
      </c>
      <c r="B67" s="12" t="s">
        <v>246</v>
      </c>
      <c r="C67" s="12" t="s">
        <v>247</v>
      </c>
      <c r="D67" s="12" t="s">
        <v>248</v>
      </c>
      <c r="E67" s="16"/>
      <c r="F67" s="2"/>
      <c r="G67" s="2"/>
      <c r="H67" s="4" t="str">
        <f>IFERROR(__xludf.DUMMYFUNCTION("GOOGLETRANSLATE(B67, ""en"", ""zh"")"),"对手假传球，你应该如何应对？")</f>
        <v>对手假传球，你应该如何应对？</v>
      </c>
      <c r="I67" s="4" t="str">
        <f>IFERROR(__xludf.DUMMYFUNCTION("GOOGLETRANSLATE(C67, ""en"", ""zh"")"),"A) 仔细观察并拦截 B) 向前跳跃 C) 无视 D) 逃跑")</f>
        <v>A) 仔细观察并拦截 B) 向前跳跃 C) 无视 D) 逃跑</v>
      </c>
      <c r="J67" s="4" t="str">
        <f>IFERROR(__xludf.DUMMYFUNCTION("GOOGLETRANSLATE(D67, ""en"", ""zh"")"),"A) 仔细观察并拦截")</f>
        <v>A) 仔细观察并拦截</v>
      </c>
      <c r="K67" s="4" t="str">
        <f>IFERROR(__xludf.DUMMYFUNCTION("GOOGLETRANSLATE(E67, ""en"", ""zh"")"),"#VALUE!")</f>
        <v>#VALUE!</v>
      </c>
      <c r="L67" s="2"/>
      <c r="M67" s="2"/>
      <c r="N67" s="2"/>
      <c r="O67" s="2"/>
      <c r="P67" s="2"/>
      <c r="Q67" s="2"/>
      <c r="R67" s="2"/>
      <c r="S67" s="2"/>
      <c r="T67" s="2"/>
      <c r="U67" s="2"/>
      <c r="V67" s="2"/>
      <c r="W67" s="2"/>
      <c r="X67" s="2"/>
      <c r="Y67" s="2"/>
      <c r="Z67" s="2"/>
      <c r="AA67" s="2"/>
      <c r="AB67" s="2"/>
    </row>
    <row r="68">
      <c r="A68" s="15">
        <v>68.0</v>
      </c>
      <c r="B68" s="12" t="s">
        <v>249</v>
      </c>
      <c r="C68" s="12" t="s">
        <v>250</v>
      </c>
      <c r="D68" s="12" t="s">
        <v>251</v>
      </c>
      <c r="E68" s="16"/>
      <c r="F68" s="2"/>
      <c r="G68" s="2"/>
      <c r="H68" s="4" t="str">
        <f>IFERROR(__xludf.DUMMYFUNCTION("GOOGLETRANSLATE(B68, ""en"", ""zh"")"),"你正在防守一个点球。首要任务是什么？")</f>
        <v>你正在防守一个点球。首要任务是什么？</v>
      </c>
      <c r="I68" s="4" t="str">
        <f>IFERROR(__xludf.DUMMYFUNCTION("GOOGLETRANSLATE(C68, ""en"", ""zh"")"),"A) 调整身体位置阻挡投篮 B) 跑开 C) 高踢球 D) 侧身躲开")</f>
        <v>A) 调整身体位置阻挡投篮 B) 跑开 C) 高踢球 D) 侧身躲开</v>
      </c>
      <c r="J68" s="4" t="str">
        <f>IFERROR(__xludf.DUMMYFUNCTION("GOOGLETRANSLATE(D68, ""en"", ""zh"")"),"A) 调整身体姿势以阻挡射门")</f>
        <v>A) 调整身体姿势以阻挡射门</v>
      </c>
      <c r="K68" s="4" t="str">
        <f>IFERROR(__xludf.DUMMYFUNCTION("GOOGLETRANSLATE(E68, ""en"", ""zh"")"),"#VALUE!")</f>
        <v>#VALUE!</v>
      </c>
      <c r="L68" s="2"/>
      <c r="M68" s="2"/>
      <c r="N68" s="2"/>
      <c r="O68" s="2"/>
      <c r="P68" s="2"/>
      <c r="Q68" s="2"/>
      <c r="R68" s="2"/>
      <c r="S68" s="2"/>
      <c r="T68" s="2"/>
      <c r="U68" s="2"/>
      <c r="V68" s="2"/>
      <c r="W68" s="2"/>
      <c r="X68" s="2"/>
      <c r="Y68" s="2"/>
      <c r="Z68" s="2"/>
      <c r="AA68" s="2"/>
      <c r="AB68" s="2"/>
    </row>
    <row r="69">
      <c r="A69" s="15">
        <v>69.0</v>
      </c>
      <c r="B69" s="12" t="s">
        <v>252</v>
      </c>
      <c r="C69" s="12" t="s">
        <v>253</v>
      </c>
      <c r="D69" s="12" t="s">
        <v>254</v>
      </c>
      <c r="E69" s="16"/>
      <c r="F69" s="2"/>
      <c r="G69" s="2"/>
      <c r="H69" s="4" t="str">
        <f>IFERROR(__xludf.DUMMYFUNCTION("GOOGLETRANSLATE(B69, ""en"", ""zh"")"),"球在球门附近空中飞行。你应该怎么踢？")</f>
        <v>球在球门附近空中飞行。你应该怎么踢？</v>
      </c>
      <c r="I69" s="4" t="str">
        <f>IFERROR(__xludf.DUMMYFUNCTION("GOOGLETRANSLATE(C69, ""en"", ""zh"")"),"A) 控制或远离 B) 无视 C) 向后跳 D) 任其掉落")</f>
        <v>A) 控制或远离 B) 无视 C) 向后跳 D) 任其掉落</v>
      </c>
      <c r="J69" s="4" t="str">
        <f>IFERROR(__xludf.DUMMYFUNCTION("GOOGLETRANSLATE(D69, ""en"", ""zh"")"),"A) 控制或离开")</f>
        <v>A) 控制或离开</v>
      </c>
      <c r="K69" s="4" t="str">
        <f>IFERROR(__xludf.DUMMYFUNCTION("GOOGLETRANSLATE(E69, ""en"", ""zh"")"),"#VALUE!")</f>
        <v>#VALUE!</v>
      </c>
      <c r="L69" s="2"/>
      <c r="M69" s="2"/>
      <c r="N69" s="2"/>
      <c r="O69" s="2"/>
      <c r="P69" s="2"/>
      <c r="Q69" s="2"/>
      <c r="R69" s="2"/>
      <c r="S69" s="2"/>
      <c r="T69" s="2"/>
      <c r="U69" s="2"/>
      <c r="V69" s="2"/>
      <c r="W69" s="2"/>
      <c r="X69" s="2"/>
      <c r="Y69" s="2"/>
      <c r="Z69" s="2"/>
      <c r="AA69" s="2"/>
      <c r="AB69" s="2"/>
    </row>
    <row r="70">
      <c r="A70" s="15">
        <v>70.0</v>
      </c>
      <c r="B70" s="12" t="s">
        <v>255</v>
      </c>
      <c r="C70" s="12" t="s">
        <v>256</v>
      </c>
      <c r="D70" s="12" t="s">
        <v>257</v>
      </c>
      <c r="E70" s="16"/>
      <c r="F70" s="2"/>
      <c r="G70" s="2"/>
      <c r="H70" s="4" t="str">
        <f>IFERROR(__xludf.DUMMYFUNCTION("GOOGLETRANSLATE(B70, ""en"", ""zh"")"),"你的队友被防守队员包围了，你应该怎么做？")</f>
        <v>你的队友被防守队员包围了，你应该怎么做？</v>
      </c>
      <c r="I70" s="4" t="str">
        <f>IFERROR(__xludf.DUMMYFUNCTION("GOOGLETRANSLATE(C70, ""en"", ""zh"")"),"A) 移动以提供传球选择 B) 无视 C) 跑开 D) 控球")</f>
        <v>A) 移动以提供传球选择 B) 无视 C) 跑开 D) 控球</v>
      </c>
      <c r="J70" s="4" t="str">
        <f>IFERROR(__xludf.DUMMYFUNCTION("GOOGLETRANSLATE(D70, ""en"", ""zh"")"),"A) 改为提供传球选项")</f>
        <v>A) 改为提供传球选项</v>
      </c>
      <c r="K70" s="4" t="str">
        <f>IFERROR(__xludf.DUMMYFUNCTION("GOOGLETRANSLATE(E70, ""en"", ""zh"")"),"#VALUE!")</f>
        <v>#VALUE!</v>
      </c>
      <c r="L70" s="2"/>
      <c r="M70" s="2"/>
      <c r="N70" s="2"/>
      <c r="O70" s="2"/>
      <c r="P70" s="2"/>
      <c r="Q70" s="2"/>
      <c r="R70" s="2"/>
      <c r="S70" s="2"/>
      <c r="T70" s="2"/>
      <c r="U70" s="2"/>
      <c r="V70" s="2"/>
      <c r="W70" s="2"/>
      <c r="X70" s="2"/>
      <c r="Y70" s="2"/>
      <c r="Z70" s="2"/>
      <c r="AA70" s="2"/>
      <c r="AB70" s="2"/>
    </row>
    <row r="71">
      <c r="A71" s="15">
        <v>71.0</v>
      </c>
      <c r="B71" s="12" t="s">
        <v>258</v>
      </c>
      <c r="C71" s="12" t="s">
        <v>259</v>
      </c>
      <c r="D71" s="12" t="s">
        <v>260</v>
      </c>
      <c r="E71" s="16"/>
      <c r="F71" s="2"/>
      <c r="G71" s="2"/>
      <c r="H71" s="4" t="str">
        <f>IFERROR(__xludf.DUMMYFUNCTION("GOOGLETRANSLATE(B71, ""en"", ""zh"")"),"你注意到对手开始疲惫。下一步的战术是什么？")</f>
        <v>你注意到对手开始疲惫。下一步的战术是什么？</v>
      </c>
      <c r="I71" s="4" t="str">
        <f>IFERROR(__xludf.DUMMYFUNCTION("GOOGLETRANSLATE(C71, ""en"", ""zh"")"),"A) 施加高压 B) 撤退 C) 放慢节奏 D) 无视")</f>
        <v>A) 施加高压 B) 撤退 C) 放慢节奏 D) 无视</v>
      </c>
      <c r="J71" s="4" t="str">
        <f>IFERROR(__xludf.DUMMYFUNCTION("GOOGLETRANSLATE(D71, ""en"", ""zh"")"),"A) 施加高压")</f>
        <v>A) 施加高压</v>
      </c>
      <c r="K71" s="4" t="str">
        <f>IFERROR(__xludf.DUMMYFUNCTION("GOOGLETRANSLATE(E71, ""en"", ""zh"")"),"#VALUE!")</f>
        <v>#VALUE!</v>
      </c>
      <c r="L71" s="2"/>
      <c r="M71" s="2"/>
      <c r="N71" s="2"/>
      <c r="O71" s="2"/>
      <c r="P71" s="2"/>
      <c r="Q71" s="2"/>
      <c r="R71" s="2"/>
      <c r="S71" s="2"/>
      <c r="T71" s="2"/>
      <c r="U71" s="2"/>
      <c r="V71" s="2"/>
      <c r="W71" s="2"/>
      <c r="X71" s="2"/>
      <c r="Y71" s="2"/>
      <c r="Z71" s="2"/>
      <c r="AA71" s="2"/>
      <c r="AB71" s="2"/>
    </row>
    <row r="72">
      <c r="A72" s="15">
        <v>72.0</v>
      </c>
      <c r="B72" s="12" t="s">
        <v>261</v>
      </c>
      <c r="C72" s="12" t="s">
        <v>262</v>
      </c>
      <c r="D72" s="12" t="s">
        <v>263</v>
      </c>
      <c r="E72" s="16"/>
      <c r="F72" s="2"/>
      <c r="G72" s="2"/>
      <c r="H72" s="4" t="str">
        <f>IFERROR(__xludf.DUMMYFUNCTION("GOOGLETRANSLATE(B72, ""en"", ""zh"")"),"你即将开出角球。什么才是最重要的？")</f>
        <v>你即将开出角球。什么才是最重要的？</v>
      </c>
      <c r="I72" s="4" t="str">
        <f>IFERROR(__xludf.DUMMYFUNCTION("GOOGLETRANSLATE(C72, ""en"", ""zh"")"),"A) 瞄准队友 B) 随意踢 C) 延迟 D) 无视")</f>
        <v>A) 瞄准队友 B) 随意踢 C) 延迟 D) 无视</v>
      </c>
      <c r="J72" s="4" t="str">
        <f>IFERROR(__xludf.DUMMYFUNCTION("GOOGLETRANSLATE(D72, ""en"", ""zh"")"),"A) 瞄准队友")</f>
        <v>A) 瞄准队友</v>
      </c>
      <c r="K72" s="4" t="str">
        <f>IFERROR(__xludf.DUMMYFUNCTION("GOOGLETRANSLATE(E72, ""en"", ""zh"")"),"#VALUE!")</f>
        <v>#VALUE!</v>
      </c>
      <c r="L72" s="2"/>
      <c r="M72" s="2"/>
      <c r="N72" s="2"/>
      <c r="O72" s="2"/>
      <c r="P72" s="2"/>
      <c r="Q72" s="2"/>
      <c r="R72" s="2"/>
      <c r="S72" s="2"/>
      <c r="T72" s="2"/>
      <c r="U72" s="2"/>
      <c r="V72" s="2"/>
      <c r="W72" s="2"/>
      <c r="X72" s="2"/>
      <c r="Y72" s="2"/>
      <c r="Z72" s="2"/>
      <c r="AA72" s="2"/>
      <c r="AB72" s="2"/>
    </row>
    <row r="73">
      <c r="A73" s="15">
        <v>73.0</v>
      </c>
      <c r="B73" s="12" t="s">
        <v>264</v>
      </c>
      <c r="C73" s="12" t="s">
        <v>265</v>
      </c>
      <c r="D73" s="12" t="s">
        <v>266</v>
      </c>
      <c r="E73" s="16"/>
      <c r="F73" s="2"/>
      <c r="G73" s="2"/>
      <c r="H73" s="4" t="str">
        <f>IFERROR(__xludf.DUMMYFUNCTION("GOOGLETRANSLATE(B73, ""en"", ""zh"")"),"球已经接近你们队的球门线了。你首先要考虑的是什么？")</f>
        <v>球已经接近你们队的球门线了。你首先要考虑的是什么？</v>
      </c>
      <c r="I73" s="4" t="str">
        <f>IFERROR(__xludf.DUMMYFUNCTION("GOOGLETRANSLATE(C73, ""en"", ""zh"")"),"A) 安全通过 B) 跳开 C) 无视 D) 花式伎俩")</f>
        <v>A) 安全通过 B) 跳开 C) 无视 D) 花式伎俩</v>
      </c>
      <c r="J73" s="4" t="str">
        <f>IFERROR(__xludf.DUMMYFUNCTION("GOOGLETRANSLATE(D73, ""en"", ""zh"")"),"A) 安全清除")</f>
        <v>A) 安全清除</v>
      </c>
      <c r="K73" s="4" t="str">
        <f>IFERROR(__xludf.DUMMYFUNCTION("GOOGLETRANSLATE(E73, ""en"", ""zh"")"),"#VALUE!")</f>
        <v>#VALUE!</v>
      </c>
      <c r="L73" s="2"/>
      <c r="M73" s="2"/>
      <c r="N73" s="2"/>
      <c r="O73" s="2"/>
      <c r="P73" s="2"/>
      <c r="Q73" s="2"/>
      <c r="R73" s="2"/>
      <c r="S73" s="2"/>
      <c r="T73" s="2"/>
      <c r="U73" s="2"/>
      <c r="V73" s="2"/>
      <c r="W73" s="2"/>
      <c r="X73" s="2"/>
      <c r="Y73" s="2"/>
      <c r="Z73" s="2"/>
      <c r="AA73" s="2"/>
      <c r="AB73" s="2"/>
    </row>
    <row r="74">
      <c r="A74" s="15">
        <v>74.0</v>
      </c>
      <c r="B74" s="12" t="s">
        <v>267</v>
      </c>
      <c r="C74" s="12" t="s">
        <v>268</v>
      </c>
      <c r="D74" s="12" t="s">
        <v>269</v>
      </c>
      <c r="E74" s="16"/>
      <c r="F74" s="2"/>
      <c r="G74" s="2"/>
      <c r="H74" s="4" t="str">
        <f>IFERROR(__xludf.DUMMYFUNCTION("GOOGLETRANSLATE(B74, ""en"", ""zh"")"),"对方球员正在带球突破你的半场。你应该怎么做？")</f>
        <v>对方球员正在带球突破你的半场。你应该怎么做？</v>
      </c>
      <c r="I74" s="4" t="str">
        <f>IFERROR(__xludf.DUMMYFUNCTION("GOOGLETRANSLATE(C74, ""en"", ""zh"")"),"A) 跟踪并拦截 B) 无视 C) 侧身躲开 D) 随意踢")</f>
        <v>A) 跟踪并拦截 B) 无视 C) 侧身躲开 D) 随意踢</v>
      </c>
      <c r="J74" s="4" t="str">
        <f>IFERROR(__xludf.DUMMYFUNCTION("GOOGLETRANSLATE(D74, ""en"", ""zh"")"),"A) 跟踪和拦截")</f>
        <v>A) 跟踪和拦截</v>
      </c>
      <c r="K74" s="4" t="str">
        <f>IFERROR(__xludf.DUMMYFUNCTION("GOOGLETRANSLATE(E74, ""en"", ""zh"")"),"#VALUE!")</f>
        <v>#VALUE!</v>
      </c>
      <c r="L74" s="2"/>
      <c r="M74" s="2"/>
      <c r="N74" s="2"/>
      <c r="O74" s="2"/>
      <c r="P74" s="2"/>
      <c r="Q74" s="2"/>
      <c r="R74" s="2"/>
      <c r="S74" s="2"/>
      <c r="T74" s="2"/>
      <c r="U74" s="2"/>
      <c r="V74" s="2"/>
      <c r="W74" s="2"/>
      <c r="X74" s="2"/>
      <c r="Y74" s="2"/>
      <c r="Z74" s="2"/>
      <c r="AA74" s="2"/>
      <c r="AB74" s="2"/>
    </row>
    <row r="75">
      <c r="A75" s="17">
        <v>75.0</v>
      </c>
      <c r="B75" s="12" t="s">
        <v>270</v>
      </c>
      <c r="C75" s="12" t="s">
        <v>271</v>
      </c>
      <c r="D75" s="12" t="s">
        <v>272</v>
      </c>
      <c r="E75" s="16"/>
      <c r="F75" s="2"/>
      <c r="G75" s="2"/>
      <c r="H75" s="4" t="str">
        <f>IFERROR(__xludf.DUMMYFUNCTION("GOOGLETRANSLATE(B75, ""en"", ""zh"")"),"你控球在手，但面临压力。最佳策略是什么？")</f>
        <v>你控球在手，但面临压力。最佳策略是什么？</v>
      </c>
      <c r="I75" s="4" t="str">
        <f>IFERROR(__xludf.DUMMYFUNCTION("GOOGLETRANSLATE(C75, ""en"", ""zh"")"),"A) 传球或掩护 B) 盲踢 C) 逃跑 D) 无视")</f>
        <v>A) 传球或掩护 B) 盲踢 C) 逃跑 D) 无视</v>
      </c>
      <c r="J75" s="4" t="str">
        <f>IFERROR(__xludf.DUMMYFUNCTION("GOOGLETRANSLATE(D75, ""en"", ""zh"")"),"A) 传球或盾")</f>
        <v>A) 传球或盾</v>
      </c>
      <c r="K75" s="4" t="str">
        <f>IFERROR(__xludf.DUMMYFUNCTION("GOOGLETRANSLATE(E75, ""en"", ""zh"")"),"#VALUE!")</f>
        <v>#VALUE!</v>
      </c>
      <c r="L75" s="2"/>
      <c r="M75" s="2"/>
      <c r="N75" s="2"/>
      <c r="O75" s="2"/>
      <c r="P75" s="2"/>
      <c r="Q75" s="2"/>
      <c r="R75" s="2"/>
      <c r="S75" s="2"/>
      <c r="T75" s="2"/>
      <c r="U75" s="2"/>
      <c r="V75" s="2"/>
      <c r="W75" s="2"/>
      <c r="X75" s="2"/>
      <c r="Y75" s="2"/>
      <c r="Z75" s="2"/>
      <c r="AA75" s="2"/>
      <c r="AB75" s="2"/>
    </row>
    <row r="76">
      <c r="A76" s="17">
        <v>76.0</v>
      </c>
      <c r="B76" s="12" t="s">
        <v>273</v>
      </c>
      <c r="C76" s="12" t="s">
        <v>274</v>
      </c>
      <c r="D76" s="12" t="s">
        <v>275</v>
      </c>
      <c r="E76" s="16"/>
      <c r="F76" s="2"/>
      <c r="G76" s="2"/>
      <c r="H76" s="4" t="str">
        <f>IFERROR(__xludf.DUMMYFUNCTION("GOOGLETRANSLATE(B76, ""en"", ""zh"")"),"球正弹向对方球门。你应该怎么做？")</f>
        <v>球正弹向对方球门。你应该怎么做？</v>
      </c>
      <c r="I76" s="4" t="str">
        <f>IFERROR(__xludf.DUMMYFUNCTION("GOOGLETRANSLATE(C76, ""en"", ""zh"")"),"A) 前进并控制 B) 后退 C) 随意踢 D) 无视")</f>
        <v>A) 前进并控制 B) 后退 C) 随意踢 D) 无视</v>
      </c>
      <c r="J76" s="4" t="str">
        <f>IFERROR(__xludf.DUMMYFUNCTION("GOOGLETRANSLATE(D76, ""en"", ""zh"")"),"A) 前进与控制")</f>
        <v>A) 前进与控制</v>
      </c>
      <c r="K76" s="4" t="str">
        <f>IFERROR(__xludf.DUMMYFUNCTION("GOOGLETRANSLATE(E76, ""en"", ""zh"")"),"#VALUE!")</f>
        <v>#VALUE!</v>
      </c>
      <c r="L76" s="2"/>
      <c r="M76" s="2"/>
      <c r="N76" s="2"/>
      <c r="O76" s="2"/>
      <c r="P76" s="2"/>
      <c r="Q76" s="2"/>
      <c r="R76" s="2"/>
      <c r="S76" s="2"/>
      <c r="T76" s="2"/>
      <c r="U76" s="2"/>
      <c r="V76" s="2"/>
      <c r="W76" s="2"/>
      <c r="X76" s="2"/>
      <c r="Y76" s="2"/>
      <c r="Z76" s="2"/>
      <c r="AA76" s="2"/>
      <c r="AB76" s="2"/>
    </row>
    <row r="77">
      <c r="A77" s="17">
        <v>77.0</v>
      </c>
      <c r="B77" s="12" t="s">
        <v>276</v>
      </c>
      <c r="C77" s="12" t="s">
        <v>277</v>
      </c>
      <c r="D77" s="12" t="s">
        <v>278</v>
      </c>
      <c r="E77" s="16"/>
      <c r="F77" s="2"/>
      <c r="G77" s="2"/>
      <c r="H77" s="4" t="str">
        <f>IFERROR(__xludf.DUMMYFUNCTION("GOOGLETRANSLATE(B77, ""en"", ""zh"")"),"你的队友在边线附近有空位。你应该如何应对？")</f>
        <v>你的队友在边线附近有空位。你应该如何应对？</v>
      </c>
      <c r="I77" s="4" t="str">
        <f>IFERROR(__xludf.DUMMYFUNCTION("GOOGLETRANSLATE(C77, ""en"", ""zh"")"),"A) 快速传球 B) 控球 C) 跑开 D) 无视")</f>
        <v>A) 快速传球 B) 控球 C) 跑开 D) 无视</v>
      </c>
      <c r="J77" s="4" t="str">
        <f>IFERROR(__xludf.DUMMYFUNCTION("GOOGLETRANSLATE(D77, ""en"", ""zh"")"),"A) 快速传递")</f>
        <v>A) 快速传递</v>
      </c>
      <c r="K77" s="4" t="str">
        <f>IFERROR(__xludf.DUMMYFUNCTION("GOOGLETRANSLATE(E77, ""en"", ""zh"")"),"#VALUE!")</f>
        <v>#VALUE!</v>
      </c>
      <c r="L77" s="2"/>
      <c r="M77" s="2"/>
      <c r="N77" s="2"/>
      <c r="O77" s="2"/>
      <c r="P77" s="2"/>
      <c r="Q77" s="2"/>
      <c r="R77" s="2"/>
      <c r="S77" s="2"/>
      <c r="T77" s="2"/>
      <c r="U77" s="2"/>
      <c r="V77" s="2"/>
      <c r="W77" s="2"/>
      <c r="X77" s="2"/>
      <c r="Y77" s="2"/>
      <c r="Z77" s="2"/>
      <c r="AA77" s="2"/>
      <c r="AB77" s="2"/>
    </row>
    <row r="78">
      <c r="A78" s="17">
        <v>78.0</v>
      </c>
      <c r="B78" s="12" t="s">
        <v>279</v>
      </c>
      <c r="C78" s="12" t="s">
        <v>280</v>
      </c>
      <c r="D78" s="12" t="s">
        <v>281</v>
      </c>
      <c r="E78" s="16"/>
      <c r="F78" s="2"/>
      <c r="G78" s="2"/>
      <c r="H78" s="4" t="str">
        <f>IFERROR(__xludf.DUMMYFUNCTION("GOOGLETRANSLATE(B78, ""en"", ""zh"")"),"对手从侧面进攻。防守的首要任务是什么？")</f>
        <v>对手从侧面进攻。防守的首要任务是什么？</v>
      </c>
      <c r="I78" s="4" t="str">
        <f>IFERROR(__xludf.DUMMYFUNCTION("GOOGLETRANSLATE(C78, ""en"", ""zh"")"),"A) 阻挡路径 B) 无视 C) 逃跑 D) 随意踢")</f>
        <v>A) 阻挡路径 B) 无视 C) 逃跑 D) 随意踢</v>
      </c>
      <c r="J78" s="4" t="str">
        <f>IFERROR(__xludf.DUMMYFUNCTION("GOOGLETRANSLATE(D78, ""en"", ""zh"")"),"A) 阻塞路径")</f>
        <v>A) 阻塞路径</v>
      </c>
      <c r="K78" s="4" t="str">
        <f>IFERROR(__xludf.DUMMYFUNCTION("GOOGLETRANSLATE(E78, ""en"", ""zh"")"),"#VALUE!")</f>
        <v>#VALUE!</v>
      </c>
      <c r="L78" s="2"/>
      <c r="M78" s="2"/>
      <c r="N78" s="2"/>
      <c r="O78" s="2"/>
      <c r="P78" s="2"/>
      <c r="Q78" s="2"/>
      <c r="R78" s="2"/>
      <c r="S78" s="2"/>
      <c r="T78" s="2"/>
      <c r="U78" s="2"/>
      <c r="V78" s="2"/>
      <c r="W78" s="2"/>
      <c r="X78" s="2"/>
      <c r="Y78" s="2"/>
      <c r="Z78" s="2"/>
      <c r="AA78" s="2"/>
      <c r="AB78" s="2"/>
    </row>
    <row r="79">
      <c r="A79" s="17">
        <v>79.0</v>
      </c>
      <c r="B79" s="12" t="s">
        <v>282</v>
      </c>
      <c r="C79" s="12" t="s">
        <v>283</v>
      </c>
      <c r="D79" s="12" t="s">
        <v>284</v>
      </c>
      <c r="E79" s="16"/>
      <c r="F79" s="2"/>
      <c r="G79" s="2"/>
      <c r="H79" s="4" t="str">
        <f>IFERROR(__xludf.DUMMYFUNCTION("GOOGLETRANSLATE(B79, ""en"", ""zh"")"),"你即将进行远距离射击。你应该考虑哪些因素？")</f>
        <v>你即将进行远距离射击。你应该考虑哪些因素？</v>
      </c>
      <c r="I79" s="4" t="str">
        <f>IFERROR(__xludf.DUMMYFUNCTION("GOOGLETRANSLATE(C79, ""en"", ""zh"")"),"A) 精准且有力 B) 随意踢 C) 无视 D) 逃跑")</f>
        <v>A) 精准且有力 B) 随意踢 C) 无视 D) 逃跑</v>
      </c>
      <c r="J79" s="4" t="str">
        <f>IFERROR(__xludf.DUMMYFUNCTION("GOOGLETRANSLATE(D79, ""en"", ""zh"")"),"A) 精度和力度")</f>
        <v>A) 精度和力度</v>
      </c>
      <c r="K79" s="4" t="str">
        <f>IFERROR(__xludf.DUMMYFUNCTION("GOOGLETRANSLATE(E79, ""en"", ""zh"")"),"#VALUE!")</f>
        <v>#VALUE!</v>
      </c>
      <c r="L79" s="2"/>
      <c r="M79" s="2"/>
      <c r="N79" s="2"/>
      <c r="O79" s="2"/>
      <c r="P79" s="2"/>
      <c r="Q79" s="2"/>
      <c r="R79" s="2"/>
      <c r="S79" s="2"/>
      <c r="T79" s="2"/>
      <c r="U79" s="2"/>
      <c r="V79" s="2"/>
      <c r="W79" s="2"/>
      <c r="X79" s="2"/>
      <c r="Y79" s="2"/>
      <c r="Z79" s="2"/>
      <c r="AA79" s="2"/>
      <c r="AB79" s="2"/>
    </row>
    <row r="80">
      <c r="A80" s="17">
        <v>80.0</v>
      </c>
      <c r="B80" s="12" t="s">
        <v>285</v>
      </c>
      <c r="C80" s="12" t="s">
        <v>286</v>
      </c>
      <c r="D80" s="12" t="s">
        <v>287</v>
      </c>
      <c r="E80" s="16"/>
      <c r="F80" s="2"/>
      <c r="G80" s="2"/>
      <c r="H80" s="4" t="str">
        <f>IFERROR(__xludf.DUMMYFUNCTION("GOOGLETRANSLATE(B80, ""en"", ""zh"")"),"对手假装传球，你应该如何应对？")</f>
        <v>对手假装传球，你应该如何应对？</v>
      </c>
      <c r="I80" s="4" t="str">
        <f>IFERROR(__xludf.DUMMYFUNCTION("GOOGLETRANSLATE(C80, ""en"", ""zh"")"),"A) 等待并拦截 B) 向前跑 C) 无视 D) 侧身让开")</f>
        <v>A) 等待并拦截 B) 向前跑 C) 无视 D) 侧身让开</v>
      </c>
      <c r="J80" s="4" t="str">
        <f>IFERROR(__xludf.DUMMYFUNCTION("GOOGLETRANSLATE(D80, ""en"", ""zh"")"),"A) 等待并拦截")</f>
        <v>A) 等待并拦截</v>
      </c>
      <c r="K80" s="4" t="str">
        <f>IFERROR(__xludf.DUMMYFUNCTION("GOOGLETRANSLATE(E80, ""en"", ""zh"")"),"#VALUE!")</f>
        <v>#VALUE!</v>
      </c>
      <c r="L80" s="2"/>
      <c r="M80" s="2"/>
      <c r="N80" s="2"/>
      <c r="O80" s="2"/>
      <c r="P80" s="2"/>
      <c r="Q80" s="2"/>
      <c r="R80" s="2"/>
      <c r="S80" s="2"/>
      <c r="T80" s="2"/>
      <c r="U80" s="2"/>
      <c r="V80" s="2"/>
      <c r="W80" s="2"/>
      <c r="X80" s="2"/>
      <c r="Y80" s="2"/>
      <c r="Z80" s="2"/>
      <c r="AA80" s="2"/>
      <c r="AB80" s="2"/>
    </row>
    <row r="81">
      <c r="A81" s="17">
        <v>81.0</v>
      </c>
      <c r="B81" s="12" t="s">
        <v>288</v>
      </c>
      <c r="C81" s="12" t="s">
        <v>289</v>
      </c>
      <c r="D81" s="12" t="s">
        <v>290</v>
      </c>
      <c r="E81" s="16"/>
      <c r="F81" s="2"/>
      <c r="G81" s="2"/>
      <c r="H81" s="4" t="str">
        <f>IFERROR(__xludf.DUMMYFUNCTION("GOOGLETRANSLATE(B81, ""en"", ""zh"")"),"球在中场附近空中。正确的接球技巧是什么？")</f>
        <v>球在中场附近空中。正确的接球技巧是什么？</v>
      </c>
      <c r="I81" s="4" t="str">
        <f>IFERROR(__xludf.DUMMYFUNCTION("GOOGLETRANSLATE(C81, ""en"", ""zh"")"),"A) 设陷阱或攻击 B) 无视 C) 随意踢 D) 逃跑")</f>
        <v>A) 设陷阱或攻击 B) 无视 C) 随意踢 D) 逃跑</v>
      </c>
      <c r="J81" s="4" t="str">
        <f>IFERROR(__xludf.DUMMYFUNCTION("GOOGLETRANSLATE(D81, ""en"", ""zh"")"),"A) 陷阱或头部")</f>
        <v>A) 陷阱或头部</v>
      </c>
      <c r="K81" s="4" t="str">
        <f>IFERROR(__xludf.DUMMYFUNCTION("GOOGLETRANSLATE(E81, ""en"", ""zh"")"),"#VALUE!")</f>
        <v>#VALUE!</v>
      </c>
      <c r="L81" s="2"/>
      <c r="M81" s="2"/>
      <c r="N81" s="2"/>
      <c r="O81" s="2"/>
      <c r="P81" s="2"/>
      <c r="Q81" s="2"/>
      <c r="R81" s="2"/>
      <c r="S81" s="2"/>
      <c r="T81" s="2"/>
      <c r="U81" s="2"/>
      <c r="V81" s="2"/>
      <c r="W81" s="2"/>
      <c r="X81" s="2"/>
      <c r="Y81" s="2"/>
      <c r="Z81" s="2"/>
      <c r="AA81" s="2"/>
      <c r="AB81" s="2"/>
    </row>
    <row r="82">
      <c r="A82" s="17">
        <v>82.0</v>
      </c>
      <c r="B82" s="12" t="s">
        <v>291</v>
      </c>
      <c r="C82" s="12" t="s">
        <v>292</v>
      </c>
      <c r="D82" s="12" t="s">
        <v>293</v>
      </c>
      <c r="E82" s="16"/>
      <c r="F82" s="2"/>
      <c r="G82" s="2"/>
      <c r="H82" s="4" t="str">
        <f>IFERROR(__xludf.DUMMYFUNCTION("GOOGLETRANSLATE(B82, ""en"", ""zh"")"),"你发现队友在球门附近无人盯防。你应该怎么做？")</f>
        <v>你发现队友在球门附近无人盯防。你应该怎么做？</v>
      </c>
      <c r="I82" s="4" t="str">
        <f>IFERROR(__xludf.DUMMYFUNCTION("GOOGLETRANSLATE(C82, ""en"", ""zh"")"),"A) 立即传球 B) 持球 C) 忽略 D) 逃跑")</f>
        <v>A) 立即传球 B) 持球 C) 忽略 D) 逃跑</v>
      </c>
      <c r="J82" s="4" t="str">
        <f>IFERROR(__xludf.DUMMYFUNCTION("GOOGLETRANSLATE(D82, ""en"", ""zh"")"),"A) 立即通过")</f>
        <v>A) 立即通过</v>
      </c>
      <c r="K82" s="4" t="str">
        <f>IFERROR(__xludf.DUMMYFUNCTION("GOOGLETRANSLATE(E82, ""en"", ""zh"")"),"#VALUE!")</f>
        <v>#VALUE!</v>
      </c>
      <c r="L82" s="2"/>
      <c r="M82" s="2"/>
      <c r="N82" s="2"/>
      <c r="O82" s="2"/>
      <c r="P82" s="2"/>
      <c r="Q82" s="2"/>
      <c r="R82" s="2"/>
      <c r="S82" s="2"/>
      <c r="T82" s="2"/>
      <c r="U82" s="2"/>
      <c r="V82" s="2"/>
      <c r="W82" s="2"/>
      <c r="X82" s="2"/>
      <c r="Y82" s="2"/>
      <c r="Z82" s="2"/>
      <c r="AA82" s="2"/>
      <c r="AB82" s="2"/>
    </row>
    <row r="83">
      <c r="A83" s="17">
        <v>83.0</v>
      </c>
      <c r="B83" s="12" t="s">
        <v>294</v>
      </c>
      <c r="C83" s="12" t="s">
        <v>295</v>
      </c>
      <c r="D83" s="12" t="s">
        <v>296</v>
      </c>
      <c r="E83" s="16"/>
      <c r="F83" s="2"/>
      <c r="G83" s="2"/>
      <c r="H83" s="4" t="str">
        <f>IFERROR(__xludf.DUMMYFUNCTION("GOOGLETRANSLATE(B83, ""en"", ""zh"")"),"对手正向你的球门发起冲锋。你应该如何应对？")</f>
        <v>对手正向你的球门发起冲锋。你应该如何应对？</v>
      </c>
      <c r="I83" s="4" t="str">
        <f>IFERROR(__xludf.DUMMYFUNCTION("GOOGLETRANSLATE(C83, ""en"", ""zh"")"),"A) 摆好防守姿势 B) 无视 C) 随意踢 D) 逃跑")</f>
        <v>A) 摆好防守姿势 B) 无视 C) 随意踢 D) 逃跑</v>
      </c>
      <c r="J83" s="4" t="str">
        <f>IFERROR(__xludf.DUMMYFUNCTION("GOOGLETRANSLATE(D83, ""en"", ""zh"")"),"A) 防守位置")</f>
        <v>A) 防守位置</v>
      </c>
      <c r="K83" s="4" t="str">
        <f>IFERROR(__xludf.DUMMYFUNCTION("GOOGLETRANSLATE(E83, ""en"", ""zh"")"),"#VALUE!")</f>
        <v>#VALUE!</v>
      </c>
      <c r="L83" s="2"/>
      <c r="M83" s="2"/>
      <c r="N83" s="2"/>
      <c r="O83" s="2"/>
      <c r="P83" s="2"/>
      <c r="Q83" s="2"/>
      <c r="R83" s="2"/>
      <c r="S83" s="2"/>
      <c r="T83" s="2"/>
      <c r="U83" s="2"/>
      <c r="V83" s="2"/>
      <c r="W83" s="2"/>
      <c r="X83" s="2"/>
      <c r="Y83" s="2"/>
      <c r="Z83" s="2"/>
      <c r="AA83" s="2"/>
      <c r="AB83" s="2"/>
    </row>
    <row r="84">
      <c r="A84" s="17">
        <v>84.0</v>
      </c>
      <c r="B84" s="12" t="s">
        <v>297</v>
      </c>
      <c r="C84" s="12" t="s">
        <v>298</v>
      </c>
      <c r="D84" s="12" t="s">
        <v>299</v>
      </c>
      <c r="E84" s="16"/>
      <c r="F84" s="2"/>
      <c r="G84" s="2"/>
      <c r="H84" s="4" t="str">
        <f>IFERROR(__xludf.DUMMYFUNCTION("GOOGLETRANSLATE(B84, ""en"", ""zh"")"),"球滚出了界外。什么说法是正确的？")</f>
        <v>球滚出了界外。什么说法是正确的？</v>
      </c>
      <c r="I84" s="4" t="str">
        <f>IFERROR(__xludf.DUMMYFUNCTION("GOOGLETRANSLATE(C84, ""en"", ""zh"")"),"A) 拦截并重新投入比赛 B) 无视 C) 逃跑 D) 侧身躲开")</f>
        <v>A) 拦截并重新投入比赛 B) 无视 C) 逃跑 D) 侧身躲开</v>
      </c>
      <c r="J84" s="4" t="str">
        <f>IFERROR(__xludf.DUMMYFUNCTION("GOOGLETRANSLATE(D84, ""en"", ""zh"")"),"A) 拦截并回击比赛")</f>
        <v>A) 拦截并回击比赛</v>
      </c>
      <c r="K84" s="4" t="str">
        <f>IFERROR(__xludf.DUMMYFUNCTION("GOOGLETRANSLATE(E84, ""en"", ""zh"")"),"#VALUE!")</f>
        <v>#VALUE!</v>
      </c>
      <c r="L84" s="2"/>
      <c r="M84" s="2"/>
      <c r="N84" s="2"/>
      <c r="O84" s="2"/>
      <c r="P84" s="2"/>
      <c r="Q84" s="2"/>
      <c r="R84" s="2"/>
      <c r="S84" s="2"/>
      <c r="T84" s="2"/>
      <c r="U84" s="2"/>
      <c r="V84" s="2"/>
      <c r="W84" s="2"/>
      <c r="X84" s="2"/>
      <c r="Y84" s="2"/>
      <c r="Z84" s="2"/>
      <c r="AA84" s="2"/>
      <c r="AB84" s="2"/>
    </row>
    <row r="85">
      <c r="A85" s="17">
        <v>85.0</v>
      </c>
      <c r="B85" s="12" t="s">
        <v>300</v>
      </c>
      <c r="C85" s="12" t="s">
        <v>301</v>
      </c>
      <c r="D85" s="12" t="s">
        <v>302</v>
      </c>
      <c r="E85" s="16"/>
      <c r="F85" s="2"/>
      <c r="G85" s="2"/>
      <c r="H85" s="4" t="str">
        <f>IFERROR(__xludf.DUMMYFUNCTION("GOOGLETRANSLATE(B85, ""en"", ""zh"")"),"你发现对手防守出现破绽，你应该怎么做？")</f>
        <v>你发现对手防守出现破绽，你应该怎么做？</v>
      </c>
      <c r="I85" s="4" t="str">
        <f>IFERROR(__xludf.DUMMYFUNCTION("GOOGLETRANSLATE(C85, ""en"", ""zh"")"),"A) 传球或运球伺机而动 B) 停止 C) 无视 D) 随意踢球")</f>
        <v>A) 传球或运球伺机而动 B) 停止 C) 无视 D) 随意踢球</v>
      </c>
      <c r="J85" s="4" t="str">
        <f>IFERROR(__xludf.DUMMYFUNCTION("GOOGLETRANSLATE(D85, ""en"", ""zh"")"),"A) 传球或运球以利用对手")</f>
        <v>A) 传球或运球以利用对手</v>
      </c>
      <c r="K85" s="4" t="str">
        <f>IFERROR(__xludf.DUMMYFUNCTION("GOOGLETRANSLATE(E85, ""en"", ""zh"")"),"#VALUE!")</f>
        <v>#VALUE!</v>
      </c>
      <c r="L85" s="2"/>
      <c r="M85" s="2"/>
      <c r="N85" s="2"/>
      <c r="O85" s="2"/>
      <c r="P85" s="2"/>
      <c r="Q85" s="2"/>
      <c r="R85" s="2"/>
      <c r="S85" s="2"/>
      <c r="T85" s="2"/>
      <c r="U85" s="2"/>
      <c r="V85" s="2"/>
      <c r="W85" s="2"/>
      <c r="X85" s="2"/>
      <c r="Y85" s="2"/>
      <c r="Z85" s="2"/>
      <c r="AA85" s="2"/>
      <c r="AB85" s="2"/>
    </row>
    <row r="86">
      <c r="A86" s="17">
        <v>86.0</v>
      </c>
      <c r="B86" s="12" t="s">
        <v>303</v>
      </c>
      <c r="C86" s="12" t="s">
        <v>304</v>
      </c>
      <c r="D86" s="12" t="s">
        <v>305</v>
      </c>
      <c r="E86" s="16"/>
      <c r="F86" s="2"/>
      <c r="G86" s="2"/>
      <c r="H86" s="4" t="str">
        <f>IFERROR(__xludf.DUMMYFUNCTION("GOOGLETRANSLATE(B86, ""en"", ""zh"")"),"队友正在主罚任意球。你的位置是什么？")</f>
        <v>队友正在主罚任意球。你的位置是什么？</v>
      </c>
      <c r="I86" s="4" t="str">
        <f>IFERROR(__xludf.DUMMYFUNCTION("GOOGLETRANSLATE(C86, ""en"", ""zh"")"),"A) 上前支援或接收 B) 逃跑 C) 让开 D) 无视")</f>
        <v>A) 上前支援或接收 B) 逃跑 C) 让开 D) 无视</v>
      </c>
      <c r="J86" s="4" t="str">
        <f>IFERROR(__xludf.DUMMYFUNCTION("GOOGLETRANSLATE(D86, ""en"", ""zh"")"),"A) 移动以支持或接收")</f>
        <v>A) 移动以支持或接收</v>
      </c>
      <c r="K86" s="4" t="str">
        <f>IFERROR(__xludf.DUMMYFUNCTION("GOOGLETRANSLATE(E86, ""en"", ""zh"")"),"#VALUE!")</f>
        <v>#VALUE!</v>
      </c>
      <c r="L86" s="2"/>
      <c r="M86" s="2"/>
      <c r="N86" s="2"/>
      <c r="O86" s="2"/>
      <c r="P86" s="2"/>
      <c r="Q86" s="2"/>
      <c r="R86" s="2"/>
      <c r="S86" s="2"/>
      <c r="T86" s="2"/>
      <c r="U86" s="2"/>
      <c r="V86" s="2"/>
      <c r="W86" s="2"/>
      <c r="X86" s="2"/>
      <c r="Y86" s="2"/>
      <c r="Z86" s="2"/>
      <c r="AA86" s="2"/>
      <c r="AB86" s="2"/>
    </row>
    <row r="87">
      <c r="A87" s="17">
        <v>87.0</v>
      </c>
      <c r="B87" s="12" t="s">
        <v>306</v>
      </c>
      <c r="C87" s="12" t="s">
        <v>307</v>
      </c>
      <c r="D87" s="12" t="s">
        <v>308</v>
      </c>
      <c r="E87" s="16"/>
      <c r="F87" s="2"/>
      <c r="G87" s="2"/>
      <c r="H87" s="4" t="str">
        <f>IFERROR(__xludf.DUMMYFUNCTION("GOOGLETRANSLATE(B87, ""en"", ""zh"")"),"对手疲惫不堪。最佳战术是什么？")</f>
        <v>对手疲惫不堪。最佳战术是什么？</v>
      </c>
      <c r="I87" s="4" t="str">
        <f>IFERROR(__xludf.DUMMYFUNCTION("GOOGLETRANSLATE(C87, ""en"", ""zh"")"),"A) 更积极地施压 B) 撤退 C) 无视 D) 随意踢人")</f>
        <v>A) 更积极地施压 B) 撤退 C) 无视 D) 随意踢人</v>
      </c>
      <c r="J87" s="4" t="str">
        <f>IFERROR(__xludf.DUMMYFUNCTION("GOOGLETRANSLATE(D87, ""en"", ""zh"")"),"A）加大施压力度")</f>
        <v>A）加大施压力度</v>
      </c>
      <c r="K87" s="4" t="str">
        <f>IFERROR(__xludf.DUMMYFUNCTION("GOOGLETRANSLATE(E87, ""en"", ""zh"")"),"#VALUE!")</f>
        <v>#VALUE!</v>
      </c>
      <c r="L87" s="2"/>
      <c r="M87" s="2"/>
      <c r="N87" s="2"/>
      <c r="O87" s="2"/>
      <c r="P87" s="2"/>
      <c r="Q87" s="2"/>
      <c r="R87" s="2"/>
      <c r="S87" s="2"/>
      <c r="T87" s="2"/>
      <c r="U87" s="2"/>
      <c r="V87" s="2"/>
      <c r="W87" s="2"/>
      <c r="X87" s="2"/>
      <c r="Y87" s="2"/>
      <c r="Z87" s="2"/>
      <c r="AA87" s="2"/>
      <c r="AB87" s="2"/>
    </row>
    <row r="88">
      <c r="A88" s="17">
        <v>88.0</v>
      </c>
      <c r="B88" s="12" t="s">
        <v>309</v>
      </c>
      <c r="C88" s="12" t="s">
        <v>310</v>
      </c>
      <c r="D88" s="12" t="s">
        <v>212</v>
      </c>
      <c r="E88" s="16"/>
      <c r="F88" s="2"/>
      <c r="G88" s="2"/>
      <c r="H88" s="4" t="str">
        <f>IFERROR(__xludf.DUMMYFUNCTION("GOOGLETRANSLATE(B88, ""en"", ""zh"")"),"球落到你脚边，靠近罚球线边缘。你该怎么踢？")</f>
        <v>球落到你脚边，靠近罚球线边缘。你该怎么踢？</v>
      </c>
      <c r="I88" s="4" t="str">
        <f>IFERROR(__xludf.DUMMYFUNCTION("GOOGLETRANSLATE(C88, ""en"", ""zh"")"),"A）设陷阱控制 B）随意踢击 C）侧身躲开 D）无视")</f>
        <v>A）设陷阱控制 B）随意踢击 C）侧身躲开 D）无视</v>
      </c>
      <c r="J88" s="4" t="str">
        <f>IFERROR(__xludf.DUMMYFUNCTION("GOOGLETRANSLATE(D88, ""en"", ""zh"")"),"A) 诱捕和控制")</f>
        <v>A) 诱捕和控制</v>
      </c>
      <c r="K88" s="4" t="str">
        <f>IFERROR(__xludf.DUMMYFUNCTION("GOOGLETRANSLATE(E88, ""en"", ""zh"")"),"#VALUE!")</f>
        <v>#VALUE!</v>
      </c>
      <c r="L88" s="2"/>
      <c r="M88" s="2"/>
      <c r="N88" s="2"/>
      <c r="O88" s="2"/>
      <c r="P88" s="2"/>
      <c r="Q88" s="2"/>
      <c r="R88" s="2"/>
      <c r="S88" s="2"/>
      <c r="T88" s="2"/>
      <c r="U88" s="2"/>
      <c r="V88" s="2"/>
      <c r="W88" s="2"/>
      <c r="X88" s="2"/>
      <c r="Y88" s="2"/>
      <c r="Z88" s="2"/>
      <c r="AA88" s="2"/>
      <c r="AB88" s="2"/>
    </row>
    <row r="89">
      <c r="A89" s="17">
        <v>89.0</v>
      </c>
      <c r="B89" s="12" t="s">
        <v>311</v>
      </c>
      <c r="C89" s="12" t="s">
        <v>312</v>
      </c>
      <c r="D89" s="12" t="s">
        <v>230</v>
      </c>
      <c r="E89" s="16"/>
      <c r="F89" s="2"/>
      <c r="G89" s="2"/>
      <c r="H89" s="4" t="str">
        <f>IFERROR(__xludf.DUMMYFUNCTION("GOOGLETRANSLATE(B89, ""en"", ""zh"")"),"对手近在咫尺且速度很快。如何保持控球权？")</f>
        <v>对手近在咫尺且速度很快。如何保持控球权？</v>
      </c>
      <c r="I89" s="4" t="str">
        <f>IFERROR(__xludf.DUMMYFUNCTION("GOOGLETRANSLATE(C89, ""en"", ""zh"")"),"A）护球 B）随意踢球 C）侧身躲开 D）无视")</f>
        <v>A）护球 B）随意踢球 C）侧身躲开 D）无视</v>
      </c>
      <c r="J89" s="4" t="str">
        <f>IFERROR(__xludf.DUMMYFUNCTION("GOOGLETRANSLATE(D89, ""en"", ""zh"")"),"A）护球")</f>
        <v>A）护球</v>
      </c>
      <c r="K89" s="4" t="str">
        <f>IFERROR(__xludf.DUMMYFUNCTION("GOOGLETRANSLATE(E89, ""en"", ""zh"")"),"#VALUE!")</f>
        <v>#VALUE!</v>
      </c>
      <c r="L89" s="2"/>
      <c r="M89" s="2"/>
      <c r="N89" s="2"/>
      <c r="O89" s="2"/>
      <c r="P89" s="2"/>
      <c r="Q89" s="2"/>
      <c r="R89" s="2"/>
      <c r="S89" s="2"/>
      <c r="T89" s="2"/>
      <c r="U89" s="2"/>
      <c r="V89" s="2"/>
      <c r="W89" s="2"/>
      <c r="X89" s="2"/>
      <c r="Y89" s="2"/>
      <c r="Z89" s="2"/>
      <c r="AA89" s="2"/>
      <c r="AB89" s="2"/>
    </row>
    <row r="90">
      <c r="A90" s="17">
        <v>90.0</v>
      </c>
      <c r="B90" s="12" t="s">
        <v>313</v>
      </c>
      <c r="C90" s="12" t="s">
        <v>314</v>
      </c>
      <c r="D90" s="12" t="s">
        <v>293</v>
      </c>
      <c r="E90" s="16"/>
      <c r="F90" s="2"/>
      <c r="G90" s="2"/>
      <c r="H90" s="4" t="str">
        <f>IFERROR(__xludf.DUMMYFUNCTION("GOOGLETRANSLATE(B90, ""en"", ""zh"")"),"你的队友处于得分位置，你应该怎么做？")</f>
        <v>你的队友处于得分位置，你应该怎么做？</v>
      </c>
      <c r="I90" s="4" t="str">
        <f>IFERROR(__xludf.DUMMYFUNCTION("GOOGLETRANSLATE(C90, ""en"", ""zh"")"),"A) 立即传球 B) 持球 C) 跑开 D) 侧身躲开")</f>
        <v>A) 立即传球 B) 持球 C) 跑开 D) 侧身躲开</v>
      </c>
      <c r="J90" s="4" t="str">
        <f>IFERROR(__xludf.DUMMYFUNCTION("GOOGLETRANSLATE(D90, ""en"", ""zh"")"),"A) 立即通过")</f>
        <v>A) 立即通过</v>
      </c>
      <c r="K90" s="4" t="str">
        <f>IFERROR(__xludf.DUMMYFUNCTION("GOOGLETRANSLATE(E90, ""en"", ""zh"")"),"#VALUE!")</f>
        <v>#VALUE!</v>
      </c>
      <c r="L90" s="2"/>
      <c r="M90" s="2"/>
      <c r="N90" s="2"/>
      <c r="O90" s="2"/>
      <c r="P90" s="2"/>
      <c r="Q90" s="2"/>
      <c r="R90" s="2"/>
      <c r="S90" s="2"/>
      <c r="T90" s="2"/>
      <c r="U90" s="2"/>
      <c r="V90" s="2"/>
      <c r="W90" s="2"/>
      <c r="X90" s="2"/>
      <c r="Y90" s="2"/>
      <c r="Z90" s="2"/>
      <c r="AA90" s="2"/>
      <c r="AB90" s="2"/>
    </row>
    <row r="91">
      <c r="A91" s="17">
        <v>91.0</v>
      </c>
      <c r="B91" s="12" t="s">
        <v>315</v>
      </c>
      <c r="C91" s="12" t="s">
        <v>316</v>
      </c>
      <c r="D91" s="12" t="s">
        <v>245</v>
      </c>
      <c r="E91" s="16"/>
      <c r="F91" s="2"/>
      <c r="G91" s="2"/>
      <c r="H91" s="4" t="str">
        <f>IFERROR(__xludf.DUMMYFUNCTION("GOOGLETRANSLATE(B91, ""en"", ""zh"")"),"球在角落附近缓慢滚动。什么做法最好？")</f>
        <v>球在角落附近缓慢滚动。什么做法最好？</v>
      </c>
      <c r="I91" s="4" t="str">
        <f>IFERROR(__xludf.DUMMYFUNCTION("GOOGLETRANSLATE(C91, ""en"", ""zh"")"),"A) 上前拦截 B) 无视 C) 随意踢 D) 侧身躲开")</f>
        <v>A) 上前拦截 B) 无视 C) 随意踢 D) 侧身躲开</v>
      </c>
      <c r="J91" s="4" t="str">
        <f>IFERROR(__xludf.DUMMYFUNCTION("GOOGLETRANSLATE(D91, ""en"", ""zh"")"),"A) 移动拦截")</f>
        <v>A) 移动拦截</v>
      </c>
      <c r="K91" s="4" t="str">
        <f>IFERROR(__xludf.DUMMYFUNCTION("GOOGLETRANSLATE(E91, ""en"", ""zh"")"),"#VALUE!")</f>
        <v>#VALUE!</v>
      </c>
      <c r="L91" s="2"/>
      <c r="M91" s="2"/>
      <c r="N91" s="2"/>
      <c r="O91" s="2"/>
      <c r="P91" s="2"/>
      <c r="Q91" s="2"/>
      <c r="R91" s="2"/>
      <c r="S91" s="2"/>
      <c r="T91" s="2"/>
      <c r="U91" s="2"/>
      <c r="V91" s="2"/>
      <c r="W91" s="2"/>
      <c r="X91" s="2"/>
      <c r="Y91" s="2"/>
      <c r="Z91" s="2"/>
      <c r="AA91" s="2"/>
      <c r="AB91" s="2"/>
    </row>
    <row r="92">
      <c r="A92" s="17">
        <v>92.0</v>
      </c>
      <c r="B92" s="12" t="s">
        <v>317</v>
      </c>
      <c r="C92" s="12" t="s">
        <v>318</v>
      </c>
      <c r="D92" s="12" t="s">
        <v>287</v>
      </c>
      <c r="E92" s="16"/>
      <c r="F92" s="2"/>
      <c r="G92" s="2"/>
      <c r="H92" s="4" t="str">
        <f>IFERROR(__xludf.DUMMYFUNCTION("GOOGLETRANSLATE(B92, ""en"", ""zh"")"),"对手假装运球。你会作何反应？")</f>
        <v>对手假装运球。你会作何反应？</v>
      </c>
      <c r="I92" s="4" t="str">
        <f>IFERROR(__xludf.DUMMYFUNCTION("GOOGLETRANSLATE(C92, ""en"", ""zh"")"),"A) 等待并拦截 B) 向前跳跃 C) 无视 D) 逃跑")</f>
        <v>A) 等待并拦截 B) 向前跳跃 C) 无视 D) 逃跑</v>
      </c>
      <c r="J92" s="4" t="str">
        <f>IFERROR(__xludf.DUMMYFUNCTION("GOOGLETRANSLATE(D92, ""en"", ""zh"")"),"A) 等待并拦截")</f>
        <v>A) 等待并拦截</v>
      </c>
      <c r="K92" s="4" t="str">
        <f>IFERROR(__xludf.DUMMYFUNCTION("GOOGLETRANSLATE(E92, ""en"", ""zh"")"),"#VALUE!")</f>
        <v>#VALUE!</v>
      </c>
      <c r="L92" s="2"/>
      <c r="M92" s="2"/>
      <c r="N92" s="2"/>
      <c r="O92" s="2"/>
      <c r="P92" s="2"/>
      <c r="Q92" s="2"/>
      <c r="R92" s="2"/>
      <c r="S92" s="2"/>
      <c r="T92" s="2"/>
      <c r="U92" s="2"/>
      <c r="V92" s="2"/>
      <c r="W92" s="2"/>
      <c r="X92" s="2"/>
      <c r="Y92" s="2"/>
      <c r="Z92" s="2"/>
      <c r="AA92" s="2"/>
      <c r="AB92" s="2"/>
    </row>
    <row r="93">
      <c r="A93" s="17">
        <v>93.0</v>
      </c>
      <c r="B93" s="12" t="s">
        <v>319</v>
      </c>
      <c r="C93" s="12" t="s">
        <v>320</v>
      </c>
      <c r="D93" s="12" t="s">
        <v>321</v>
      </c>
      <c r="E93" s="16"/>
      <c r="F93" s="2"/>
      <c r="G93" s="2"/>
      <c r="H93" s="4" t="str">
        <f>IFERROR(__xludf.DUMMYFUNCTION("GOOGLETRANSLATE(B93, ""en"", ""zh"")"),"你在防守一名速度很快的进攻者。首要任务是什么？")</f>
        <v>你在防守一名速度很快的进攻者。首要任务是什么？</v>
      </c>
      <c r="I93" s="4" t="str">
        <f>IFERROR(__xludf.DUMMYFUNCTION("GOOGLETRANSLATE(C93, ""en"", ""zh"")"),"A) 站位和时机 B) 随意踢 C) 侧身躲开 D) 无视")</f>
        <v>A) 站位和时机 B) 随意踢 C) 侧身躲开 D) 无视</v>
      </c>
      <c r="J93" s="4" t="str">
        <f>IFERROR(__xludf.DUMMYFUNCTION("GOOGLETRANSLATE(D93, ""en"", ""zh"")"),"A) 定位和计时")</f>
        <v>A) 定位和计时</v>
      </c>
      <c r="K93" s="4" t="str">
        <f>IFERROR(__xludf.DUMMYFUNCTION("GOOGLETRANSLATE(E93, ""en"", ""zh"")"),"#VALUE!")</f>
        <v>#VALUE!</v>
      </c>
      <c r="L93" s="2"/>
      <c r="M93" s="2"/>
      <c r="N93" s="2"/>
      <c r="O93" s="2"/>
      <c r="P93" s="2"/>
      <c r="Q93" s="2"/>
      <c r="R93" s="2"/>
      <c r="S93" s="2"/>
      <c r="T93" s="2"/>
      <c r="U93" s="2"/>
      <c r="V93" s="2"/>
      <c r="W93" s="2"/>
      <c r="X93" s="2"/>
      <c r="Y93" s="2"/>
      <c r="Z93" s="2"/>
      <c r="AA93" s="2"/>
      <c r="AB93" s="2"/>
    </row>
    <row r="94">
      <c r="A94" s="17">
        <v>94.0</v>
      </c>
      <c r="B94" s="12" t="s">
        <v>322</v>
      </c>
      <c r="C94" s="12" t="s">
        <v>323</v>
      </c>
      <c r="D94" s="12" t="s">
        <v>324</v>
      </c>
      <c r="E94" s="16"/>
      <c r="F94" s="2"/>
      <c r="G94" s="2"/>
      <c r="H94" s="4" t="str">
        <f>IFERROR(__xludf.DUMMYFUNCTION("GOOGLETRANSLATE(B94, ""en"", ""zh"")"),"队友即将投篮。你应该如何助攻？")</f>
        <v>队友即将投篮。你应该如何助攻？</v>
      </c>
      <c r="I94" s="4" t="str">
        <f>IFERROR(__xludf.DUMMYFUNCTION("GOOGLETRANSLATE(C94, ""en"", ""zh"")"),"A) 移动抢篮板或传球 B) 无视 C) 跑开 D) 侧身躲开")</f>
        <v>A) 移动抢篮板或传球 B) 无视 C) 跑开 D) 侧身躲开</v>
      </c>
      <c r="J94" s="4" t="str">
        <f>IFERROR(__xludf.DUMMYFUNCTION("GOOGLETRANSLATE(D94, ""en"", ""zh"")"),"A) 移动抢篮板或传球")</f>
        <v>A) 移动抢篮板或传球</v>
      </c>
      <c r="K94" s="4" t="str">
        <f>IFERROR(__xludf.DUMMYFUNCTION("GOOGLETRANSLATE(E94, ""en"", ""zh"")"),"#VALUE!")</f>
        <v>#VALUE!</v>
      </c>
      <c r="L94" s="2"/>
      <c r="M94" s="2"/>
      <c r="N94" s="2"/>
      <c r="O94" s="2"/>
      <c r="P94" s="2"/>
      <c r="Q94" s="2"/>
      <c r="R94" s="2"/>
      <c r="S94" s="2"/>
      <c r="T94" s="2"/>
      <c r="U94" s="2"/>
      <c r="V94" s="2"/>
      <c r="W94" s="2"/>
      <c r="X94" s="2"/>
      <c r="Y94" s="2"/>
      <c r="Z94" s="2"/>
      <c r="AA94" s="2"/>
      <c r="AB94" s="2"/>
    </row>
    <row r="95">
      <c r="A95" s="17">
        <v>95.0</v>
      </c>
      <c r="B95" s="12" t="s">
        <v>325</v>
      </c>
      <c r="C95" s="12" t="s">
        <v>326</v>
      </c>
      <c r="D95" s="12" t="s">
        <v>327</v>
      </c>
      <c r="E95" s="16"/>
      <c r="F95" s="2"/>
      <c r="G95" s="2"/>
      <c r="H95" s="4" t="str">
        <f>IFERROR(__xludf.DUMMYFUNCTION("GOOGLETRANSLATE(B95, ""en"", ""zh"")"),"球正从角球区向你飞来。接下来该怎么做？")</f>
        <v>球正从角球区向你飞来。接下来该怎么做？</v>
      </c>
      <c r="I95" s="4" t="str">
        <f>IFERROR(__xludf.DUMMYFUNCTION("GOOGLETRANSLATE(C95, ""en"", ""zh"")"),"A) 设陷阱或清除 B) 无视 C) 随意踢 D) 侧身躲开")</f>
        <v>A) 设陷阱或清除 B) 无视 C) 随意踢 D) 侧身躲开</v>
      </c>
      <c r="J95" s="4" t="str">
        <f>IFERROR(__xludf.DUMMYFUNCTION("GOOGLETRANSLATE(D95, ""en"", ""zh"")"),"A) 陷阱或清除")</f>
        <v>A) 陷阱或清除</v>
      </c>
      <c r="K95" s="4" t="str">
        <f>IFERROR(__xludf.DUMMYFUNCTION("GOOGLETRANSLATE(E95, ""en"", ""zh"")"),"#VALUE!")</f>
        <v>#VALUE!</v>
      </c>
      <c r="L95" s="2"/>
      <c r="M95" s="2"/>
      <c r="N95" s="2"/>
      <c r="O95" s="2"/>
      <c r="P95" s="2"/>
      <c r="Q95" s="2"/>
      <c r="R95" s="2"/>
      <c r="S95" s="2"/>
      <c r="T95" s="2"/>
      <c r="U95" s="2"/>
      <c r="V95" s="2"/>
      <c r="W95" s="2"/>
      <c r="X95" s="2"/>
      <c r="Y95" s="2"/>
      <c r="Z95" s="2"/>
      <c r="AA95" s="2"/>
      <c r="AB95" s="2"/>
    </row>
    <row r="96">
      <c r="A96" s="17">
        <v>96.0</v>
      </c>
      <c r="B96" s="12" t="s">
        <v>328</v>
      </c>
      <c r="C96" s="12" t="s">
        <v>329</v>
      </c>
      <c r="D96" s="12" t="s">
        <v>330</v>
      </c>
      <c r="E96" s="16"/>
      <c r="F96" s="2"/>
      <c r="G96" s="2"/>
      <c r="H96" s="4" t="str">
        <f>IFERROR(__xludf.DUMMYFUNCTION("GOOGLETRANSLATE(B96, ""en"", ""zh"")"),"对手试图拦截你的传球。最佳策略是什么？")</f>
        <v>对手试图拦截你的传球。最佳策略是什么？</v>
      </c>
      <c r="I96" s="4" t="str">
        <f>IFERROR(__xludf.DUMMYFUNCTION("GOOGLETRANSLATE(C96, ""en"", ""zh"")"),"A) 调整姿势并格挡 B) 随意踢击 C) 侧身躲开 D) 无视")</f>
        <v>A) 调整姿势并格挡 B) 随意踢击 C) 侧身躲开 D) 无视</v>
      </c>
      <c r="J96" s="4" t="str">
        <f>IFERROR(__xludf.DUMMYFUNCTION("GOOGLETRANSLATE(D96, ""en"", ""zh"")"),"A) 调整并遮挡")</f>
        <v>A) 调整并遮挡</v>
      </c>
      <c r="K96" s="4" t="str">
        <f>IFERROR(__xludf.DUMMYFUNCTION("GOOGLETRANSLATE(E96, ""en"", ""zh"")"),"#VALUE!")</f>
        <v>#VALUE!</v>
      </c>
      <c r="L96" s="2"/>
      <c r="M96" s="2"/>
      <c r="N96" s="2"/>
      <c r="O96" s="2"/>
      <c r="P96" s="2"/>
      <c r="Q96" s="2"/>
      <c r="R96" s="2"/>
      <c r="S96" s="2"/>
      <c r="T96" s="2"/>
      <c r="U96" s="2"/>
      <c r="V96" s="2"/>
      <c r="W96" s="2"/>
      <c r="X96" s="2"/>
      <c r="Y96" s="2"/>
      <c r="Z96" s="2"/>
      <c r="AA96" s="2"/>
      <c r="AB96" s="2"/>
    </row>
    <row r="97">
      <c r="A97" s="17">
        <v>97.0</v>
      </c>
      <c r="B97" s="12" t="s">
        <v>331</v>
      </c>
      <c r="C97" s="12" t="s">
        <v>332</v>
      </c>
      <c r="D97" s="12" t="s">
        <v>333</v>
      </c>
      <c r="E97" s="16"/>
      <c r="F97" s="2"/>
      <c r="G97" s="2"/>
      <c r="H97" s="4" t="str">
        <f>IFERROR(__xludf.DUMMYFUNCTION("GOOGLETRANSLATE(B97, ""en"", ""zh"")"),"你身处中场，发现一个空档。最佳策略是什么？")</f>
        <v>你身处中场，发现一个空档。最佳策略是什么？</v>
      </c>
      <c r="I97" s="4" t="str">
        <f>IFERROR(__xludf.DUMMYFUNCTION("GOOGLETRANSLATE(C97, ""en"", ""zh"")"),"A) 控制前进 B) 控球 C) 忽略 D) 随意踢球")</f>
        <v>A) 控制前进 B) 控球 C) 忽略 D) 随意踢球</v>
      </c>
      <c r="J97" s="4" t="str">
        <f>IFERROR(__xludf.DUMMYFUNCTION("GOOGLETRANSLATE(D97, ""en"", ""zh"")"),"A) 稳步前进")</f>
        <v>A) 稳步前进</v>
      </c>
      <c r="K97" s="4" t="str">
        <f>IFERROR(__xludf.DUMMYFUNCTION("GOOGLETRANSLATE(E97, ""en"", ""zh"")"),"#VALUE!")</f>
        <v>#VALUE!</v>
      </c>
      <c r="L97" s="2"/>
      <c r="M97" s="2"/>
      <c r="N97" s="2"/>
      <c r="O97" s="2"/>
      <c r="P97" s="2"/>
      <c r="Q97" s="2"/>
      <c r="R97" s="2"/>
      <c r="S97" s="2"/>
      <c r="T97" s="2"/>
      <c r="U97" s="2"/>
      <c r="V97" s="2"/>
      <c r="W97" s="2"/>
      <c r="X97" s="2"/>
      <c r="Y97" s="2"/>
      <c r="Z97" s="2"/>
      <c r="AA97" s="2"/>
      <c r="AB97" s="2"/>
    </row>
    <row r="98">
      <c r="A98" s="17">
        <v>98.0</v>
      </c>
      <c r="B98" s="12" t="s">
        <v>334</v>
      </c>
      <c r="C98" s="12" t="s">
        <v>335</v>
      </c>
      <c r="D98" s="12" t="s">
        <v>293</v>
      </c>
      <c r="E98" s="16"/>
      <c r="F98" s="2"/>
      <c r="G98" s="2"/>
      <c r="H98" s="4" t="str">
        <f>IFERROR(__xludf.DUMMYFUNCTION("GOOGLETRANSLATE(B98, ""en"", ""zh"")"),"你的队友在球门附近无人盯防。你应该怎么做？")</f>
        <v>你的队友在球门附近无人盯防。你应该怎么做？</v>
      </c>
      <c r="I98" s="4" t="str">
        <f>IFERROR(__xludf.DUMMYFUNCTION("GOOGLETRANSLATE(C98, ""en"", ""zh"")"),"A) 立即传球 B) 持球 C) 忽略 D) 让开")</f>
        <v>A) 立即传球 B) 持球 C) 忽略 D) 让开</v>
      </c>
      <c r="J98" s="4" t="str">
        <f>IFERROR(__xludf.DUMMYFUNCTION("GOOGLETRANSLATE(D98, ""en"", ""zh"")"),"A) 立即通过")</f>
        <v>A) 立即通过</v>
      </c>
      <c r="K98" s="4" t="str">
        <f>IFERROR(__xludf.DUMMYFUNCTION("GOOGLETRANSLATE(E98, ""en"", ""zh"")"),"#VALUE!")</f>
        <v>#VALUE!</v>
      </c>
      <c r="L98" s="2"/>
      <c r="M98" s="2"/>
      <c r="N98" s="2"/>
      <c r="O98" s="2"/>
      <c r="P98" s="2"/>
      <c r="Q98" s="2"/>
      <c r="R98" s="2"/>
      <c r="S98" s="2"/>
      <c r="T98" s="2"/>
      <c r="U98" s="2"/>
      <c r="V98" s="2"/>
      <c r="W98" s="2"/>
      <c r="X98" s="2"/>
      <c r="Y98" s="2"/>
      <c r="Z98" s="2"/>
      <c r="AA98" s="2"/>
      <c r="AB98" s="2"/>
    </row>
    <row r="99">
      <c r="A99" s="17">
        <v>99.0</v>
      </c>
      <c r="B99" s="12" t="s">
        <v>336</v>
      </c>
      <c r="C99" s="12" t="s">
        <v>337</v>
      </c>
      <c r="D99" s="12" t="s">
        <v>338</v>
      </c>
      <c r="E99" s="16"/>
      <c r="F99" s="2"/>
      <c r="G99" s="2"/>
      <c r="H99" s="4" t="str">
        <f>IFERROR(__xludf.DUMMYFUNCTION("GOOGLETRANSLATE(B99, ""en"", ""zh"")"),"对手从后方逼近。应该采取怎样的防守策略？")</f>
        <v>对手从后方逼近。应该采取怎样的防守策略？</v>
      </c>
      <c r="I99" s="4" t="str">
        <f>IFERROR(__xludf.DUMMYFUNCTION("GOOGLETRANSLATE(C99, ""en"", ""zh"")"),"A) 防御并控制 B) 随意踢击 C) 无视 D) 侧身躲开")</f>
        <v>A) 防御并控制 B) 随意踢击 C) 无视 D) 侧身躲开</v>
      </c>
      <c r="J99" s="4" t="str">
        <f>IFERROR(__xludf.DUMMYFUNCTION("GOOGLETRANSLATE(D99, ""en"", ""zh"")"),"A) 护盾和控制")</f>
        <v>A) 护盾和控制</v>
      </c>
      <c r="K99" s="4" t="str">
        <f>IFERROR(__xludf.DUMMYFUNCTION("GOOGLETRANSLATE(E99, ""en"", ""zh"")"),"#VALUE!")</f>
        <v>#VALUE!</v>
      </c>
      <c r="L99" s="2"/>
      <c r="M99" s="2"/>
      <c r="N99" s="2"/>
      <c r="O99" s="2"/>
      <c r="P99" s="2"/>
      <c r="Q99" s="2"/>
      <c r="R99" s="2"/>
      <c r="S99" s="2"/>
      <c r="T99" s="2"/>
      <c r="U99" s="2"/>
      <c r="V99" s="2"/>
      <c r="W99" s="2"/>
      <c r="X99" s="2"/>
      <c r="Y99" s="2"/>
      <c r="Z99" s="2"/>
      <c r="AA99" s="2"/>
      <c r="AB99" s="2"/>
    </row>
    <row r="100">
      <c r="A100" s="17">
        <v>100.0</v>
      </c>
      <c r="B100" s="12" t="s">
        <v>339</v>
      </c>
      <c r="C100" s="12" t="s">
        <v>340</v>
      </c>
      <c r="D100" s="12" t="s">
        <v>227</v>
      </c>
      <c r="E100" s="16"/>
      <c r="F100" s="2"/>
      <c r="G100" s="2"/>
      <c r="H100" s="4" t="str">
        <f>IFERROR(__xludf.DUMMYFUNCTION("GOOGLETRANSLATE(B100, ""en"", ""zh"")"),"球的弹跳轨迹难以预测。什么才是最佳方案？")</f>
        <v>球的弹跳轨迹难以预测。什么才是最佳方案？</v>
      </c>
      <c r="I100" s="4" t="str">
        <f>IFERROR(__xludf.DUMMYFUNCTION("GOOGLETRANSLATE(C100, ""en"", ""zh"")"),"A) 调整身位并设陷阱 B) 随意踢腿 C) 侧身躲开 D) 无视")</f>
        <v>A) 调整身位并设陷阱 B) 随意踢腿 C) 侧身躲开 D) 无视</v>
      </c>
      <c r="J100" s="4" t="str">
        <f>IFERROR(__xludf.DUMMYFUNCTION("GOOGLETRANSLATE(D100, ""en"", ""zh"")"),"A) 调整身体和陷阱")</f>
        <v>A) 调整身体和陷阱</v>
      </c>
      <c r="K100" s="4" t="str">
        <f>IFERROR(__xludf.DUMMYFUNCTION("GOOGLETRANSLATE(E100, ""en"", ""zh"")"),"#VALUE!")</f>
        <v>#VALUE!</v>
      </c>
      <c r="L100" s="2"/>
      <c r="M100" s="2"/>
      <c r="N100" s="2"/>
      <c r="O100" s="2"/>
      <c r="P100" s="2"/>
      <c r="Q100" s="2"/>
      <c r="R100" s="2"/>
      <c r="S100" s="2"/>
      <c r="T100" s="2"/>
      <c r="U100" s="2"/>
      <c r="V100" s="2"/>
      <c r="W100" s="2"/>
      <c r="X100" s="2"/>
      <c r="Y100" s="2"/>
      <c r="Z100" s="2"/>
      <c r="AA100" s="2"/>
      <c r="AB100" s="2"/>
    </row>
    <row r="101">
      <c r="A101" s="17">
        <v>101.0</v>
      </c>
      <c r="B101" s="12" t="s">
        <v>341</v>
      </c>
      <c r="C101" s="12" t="s">
        <v>342</v>
      </c>
      <c r="D101" s="12" t="s">
        <v>343</v>
      </c>
      <c r="E101" s="16"/>
      <c r="F101" s="2"/>
      <c r="G101" s="2"/>
      <c r="H101" s="4" t="str">
        <f>IFERROR(__xludf.DUMMYFUNCTION("GOOGLETRANSLATE(B101, ""en"", ""zh"")"),"对手在球门附近假射。该如何应对？")</f>
        <v>对手在球门附近假射。该如何应对？</v>
      </c>
      <c r="I101" s="4" t="str">
        <f>IFERROR(__xludf.DUMMYFUNCTION("GOOGLETRANSLATE(C101, ""en"", ""zh"")"),"A) 保持警惕并阻挡 B) 向前跑 C) 无视 D) 侧身躲开")</f>
        <v>A) 保持警惕并阻挡 B) 向前跑 C) 无视 D) 侧身躲开</v>
      </c>
      <c r="J101" s="4" t="str">
        <f>IFERROR(__xludf.DUMMYFUNCTION("GOOGLETRANSLATE(D101, ""en"", ""zh"")"),"A) 保持警惕并阻止")</f>
        <v>A) 保持警惕并阻止</v>
      </c>
      <c r="K101" s="4" t="str">
        <f>IFERROR(__xludf.DUMMYFUNCTION("GOOGLETRANSLATE(E101, ""en"", ""zh"")"),"#VALUE!")</f>
        <v>#VALUE!</v>
      </c>
      <c r="L101" s="2"/>
      <c r="M101" s="2"/>
      <c r="N101" s="2"/>
      <c r="O101" s="2"/>
      <c r="P101" s="2"/>
      <c r="Q101" s="2"/>
      <c r="R101" s="2"/>
      <c r="S101" s="2"/>
      <c r="T101" s="2"/>
      <c r="U101" s="2"/>
      <c r="V101" s="2"/>
      <c r="W101" s="2"/>
      <c r="X101" s="2"/>
      <c r="Y101" s="2"/>
      <c r="Z101" s="2"/>
      <c r="AA101" s="2"/>
      <c r="AB101" s="2"/>
    </row>
    <row r="102">
      <c r="A102" s="17">
        <v>102.0</v>
      </c>
      <c r="B102" s="12" t="s">
        <v>344</v>
      </c>
      <c r="C102" s="12" t="s">
        <v>345</v>
      </c>
      <c r="D102" s="12" t="s">
        <v>346</v>
      </c>
      <c r="E102" s="16"/>
      <c r="F102" s="2"/>
      <c r="G102" s="2"/>
      <c r="H102" s="4" t="str">
        <f>IFERROR(__xludf.DUMMYFUNCTION("GOOGLETRANSLATE(B102, ""en"", ""zh"")"),"你正在进行一场定点表演。什么最重要？")</f>
        <v>你正在进行一场定点表演。什么最重要？</v>
      </c>
      <c r="I102" s="4" t="str">
        <f>IFERROR(__xludf.DUMMYFUNCTION("GOOGLETRANSLATE(C102, ""en"", ""zh"")"),"A) 精准瞄准 B) 任意位置踢球 C) 忽略 D) 随机")</f>
        <v>A) 精准瞄准 B) 任意位置踢球 C) 忽略 D) 随机</v>
      </c>
      <c r="J102" s="4" t="str">
        <f>IFERROR(__xludf.DUMMYFUNCTION("GOOGLETRANSLATE(D102, ""en"", ""zh"")"),"A) 准确性和目标")</f>
        <v>A) 准确性和目标</v>
      </c>
      <c r="K102" s="4" t="str">
        <f>IFERROR(__xludf.DUMMYFUNCTION("GOOGLETRANSLATE(E102, ""en"", ""zh"")"),"#VALUE!")</f>
        <v>#VALUE!</v>
      </c>
      <c r="L102" s="2"/>
      <c r="M102" s="2"/>
      <c r="N102" s="2"/>
      <c r="O102" s="2"/>
      <c r="P102" s="2"/>
      <c r="Q102" s="2"/>
      <c r="R102" s="2"/>
      <c r="S102" s="2"/>
      <c r="T102" s="2"/>
      <c r="U102" s="2"/>
      <c r="V102" s="2"/>
      <c r="W102" s="2"/>
      <c r="X102" s="2"/>
      <c r="Y102" s="2"/>
      <c r="Z102" s="2"/>
      <c r="AA102" s="2"/>
      <c r="AB102" s="2"/>
    </row>
    <row r="103">
      <c r="A103" s="17">
        <v>103.0</v>
      </c>
      <c r="B103" s="12" t="s">
        <v>347</v>
      </c>
      <c r="C103" s="12" t="s">
        <v>348</v>
      </c>
      <c r="D103" s="12" t="s">
        <v>349</v>
      </c>
      <c r="E103" s="16"/>
      <c r="F103" s="2"/>
      <c r="G103" s="2"/>
      <c r="H103" s="4" t="str">
        <f>IFERROR(__xludf.DUMMYFUNCTION("GOOGLETRANSLATE(B103, ""en"", ""zh"")"),"球在边线附近，对方球员正在逼近。你应该怎么做？")</f>
        <v>球在边线附近，对方球员正在逼近。你应该怎么做？</v>
      </c>
      <c r="I103" s="4" t="str">
        <f>IFERROR(__xludf.DUMMYFUNCTION("GOOGLETRANSLATE(C103, ""en"", ""zh"")"),"A) 控制并传球 B) 无视 C) 侧身躲开 D) 随意踢球")</f>
        <v>A) 控制并传球 B) 无视 C) 侧身躲开 D) 随意踢球</v>
      </c>
      <c r="J103" s="4" t="str">
        <f>IFERROR(__xludf.DUMMYFUNCTION("GOOGLETRANSLATE(D103, ""en"", ""zh"")"),"A) 控制和传球")</f>
        <v>A) 控制和传球</v>
      </c>
      <c r="K103" s="4" t="str">
        <f>IFERROR(__xludf.DUMMYFUNCTION("GOOGLETRANSLATE(E103, ""en"", ""zh"")"),"#VALUE!")</f>
        <v>#VALUE!</v>
      </c>
      <c r="L103" s="2"/>
      <c r="M103" s="2"/>
      <c r="N103" s="2"/>
      <c r="O103" s="2"/>
      <c r="P103" s="2"/>
      <c r="Q103" s="2"/>
      <c r="R103" s="2"/>
      <c r="S103" s="2"/>
      <c r="T103" s="2"/>
      <c r="U103" s="2"/>
      <c r="V103" s="2"/>
      <c r="W103" s="2"/>
      <c r="X103" s="2"/>
      <c r="Y103" s="2"/>
      <c r="Z103" s="2"/>
      <c r="AA103" s="2"/>
      <c r="AB103" s="2"/>
    </row>
    <row r="104">
      <c r="A104" s="17">
        <v>104.0</v>
      </c>
      <c r="B104" s="12" t="s">
        <v>350</v>
      </c>
      <c r="C104" s="12" t="s">
        <v>351</v>
      </c>
      <c r="D104" s="12" t="s">
        <v>257</v>
      </c>
      <c r="E104" s="16"/>
      <c r="F104" s="2"/>
      <c r="G104" s="2"/>
      <c r="H104" s="4" t="str">
        <f>IFERROR(__xludf.DUMMYFUNCTION("GOOGLETRANSLATE(B104, ""en"", ""zh"")"),"队友晋升很快，你如何支持他？")</f>
        <v>队友晋升很快，你如何支持他？</v>
      </c>
      <c r="I104" s="4" t="str">
        <f>IFERROR(__xludf.DUMMYFUNCTION("GOOGLETRANSLATE(C104, ""en"", ""zh"")"),"A) 移动以提供传球选择 B) 无视 C) 逃跑 D) 让开")</f>
        <v>A) 移动以提供传球选择 B) 无视 C) 逃跑 D) 让开</v>
      </c>
      <c r="J104" s="4" t="str">
        <f>IFERROR(__xludf.DUMMYFUNCTION("GOOGLETRANSLATE(D104, ""en"", ""zh"")"),"A) 改为提供传球选项")</f>
        <v>A) 改为提供传球选项</v>
      </c>
      <c r="K104" s="4" t="str">
        <f>IFERROR(__xludf.DUMMYFUNCTION("GOOGLETRANSLATE(E104, ""en"", ""zh"")"),"#VALUE!")</f>
        <v>#VALUE!</v>
      </c>
      <c r="L104" s="2"/>
      <c r="M104" s="2"/>
      <c r="N104" s="2"/>
      <c r="O104" s="2"/>
      <c r="P104" s="2"/>
      <c r="Q104" s="2"/>
      <c r="R104" s="2"/>
      <c r="S104" s="2"/>
      <c r="T104" s="2"/>
      <c r="U104" s="2"/>
      <c r="V104" s="2"/>
      <c r="W104" s="2"/>
      <c r="X104" s="2"/>
      <c r="Y104" s="2"/>
      <c r="Z104" s="2"/>
      <c r="AA104" s="2"/>
      <c r="AB104" s="2"/>
    </row>
    <row r="105">
      <c r="A105" s="17">
        <v>105.0</v>
      </c>
      <c r="B105" s="12" t="s">
        <v>352</v>
      </c>
      <c r="C105" s="12" t="s">
        <v>353</v>
      </c>
      <c r="D105" s="12" t="s">
        <v>354</v>
      </c>
      <c r="E105" s="16"/>
      <c r="F105" s="2"/>
      <c r="G105" s="2"/>
      <c r="H105" s="4" t="str">
        <f>IFERROR(__xludf.DUMMYFUNCTION("GOOGLETRANSLATE(B105, ""en"", ""zh"")"),"对手体力不支了。最佳策略是什么？")</f>
        <v>对手体力不支了。最佳策略是什么？</v>
      </c>
      <c r="I105" s="4" t="str">
        <f>IFERROR(__xludf.DUMMYFUNCTION("GOOGLETRANSLATE(C105, ""en"", ""zh"")"),"A) 施加压力 B) 撤退 C) 放慢节奏 D) 无视")</f>
        <v>A) 施加压力 B) 撤退 C) 放慢节奏 D) 无视</v>
      </c>
      <c r="J105" s="4" t="str">
        <f>IFERROR(__xludf.DUMMYFUNCTION("GOOGLETRANSLATE(D105, ""en"", ""zh"")"),"A) 施加压力")</f>
        <v>A) 施加压力</v>
      </c>
      <c r="K105" s="4" t="str">
        <f>IFERROR(__xludf.DUMMYFUNCTION("GOOGLETRANSLATE(E105, ""en"", ""zh"")"),"#VALUE!")</f>
        <v>#VALUE!</v>
      </c>
      <c r="L105" s="2"/>
      <c r="M105" s="2"/>
      <c r="N105" s="2"/>
      <c r="O105" s="2"/>
      <c r="P105" s="2"/>
      <c r="Q105" s="2"/>
      <c r="R105" s="2"/>
      <c r="S105" s="2"/>
      <c r="T105" s="2"/>
      <c r="U105" s="2"/>
      <c r="V105" s="2"/>
      <c r="W105" s="2"/>
      <c r="X105" s="2"/>
      <c r="Y105" s="2"/>
      <c r="Z105" s="2"/>
      <c r="AA105" s="2"/>
      <c r="AB105" s="2"/>
    </row>
    <row r="106">
      <c r="A106" s="17">
        <v>106.0</v>
      </c>
      <c r="B106" s="12" t="s">
        <v>355</v>
      </c>
      <c r="C106" s="12" t="s">
        <v>356</v>
      </c>
      <c r="D106" s="12" t="s">
        <v>357</v>
      </c>
      <c r="E106" s="16"/>
      <c r="F106" s="2"/>
      <c r="G106" s="2"/>
      <c r="H106" s="4" t="str">
        <f>IFERROR(__xludf.DUMMYFUNCTION("GOOGLETRANSLATE(B106, ""en"", ""zh"")"),"你即将进行拦截。你应该如何行动？")</f>
        <v>你即将进行拦截。你应该如何行动？</v>
      </c>
      <c r="I106" s="4" t="str">
        <f>IFERROR(__xludf.DUMMYFUNCTION("GOOGLETRANSLATE(C106, ""en"", ""zh"")"),"A) 摆好身体姿势 B) 随意跳跃 C) 侧身躲开 D) 忽略")</f>
        <v>A) 摆好身体姿势 B) 随意跳跃 C) 侧身躲开 D) 忽略</v>
      </c>
      <c r="J106" s="4" t="str">
        <f>IFERROR(__xludf.DUMMYFUNCTION("GOOGLETRANSLATE(D106, ""en"", ""zh"")"),"A) 正确摆放身体姿势")</f>
        <v>A) 正确摆放身体姿势</v>
      </c>
      <c r="K106" s="4" t="str">
        <f>IFERROR(__xludf.DUMMYFUNCTION("GOOGLETRANSLATE(E106, ""en"", ""zh"")"),"#VALUE!")</f>
        <v>#VALUE!</v>
      </c>
      <c r="L106" s="2"/>
      <c r="M106" s="2"/>
      <c r="N106" s="2"/>
      <c r="O106" s="2"/>
      <c r="P106" s="2"/>
      <c r="Q106" s="2"/>
      <c r="R106" s="2"/>
      <c r="S106" s="2"/>
      <c r="T106" s="2"/>
      <c r="U106" s="2"/>
      <c r="V106" s="2"/>
      <c r="W106" s="2"/>
      <c r="X106" s="2"/>
      <c r="Y106" s="2"/>
      <c r="Z106" s="2"/>
      <c r="AA106" s="2"/>
      <c r="AB106" s="2"/>
    </row>
    <row r="107">
      <c r="A107" s="17">
        <v>107.0</v>
      </c>
      <c r="B107" s="12" t="s">
        <v>358</v>
      </c>
      <c r="C107" s="12" t="s">
        <v>359</v>
      </c>
      <c r="D107" s="12" t="s">
        <v>230</v>
      </c>
      <c r="E107" s="16"/>
      <c r="F107" s="2"/>
      <c r="G107" s="2"/>
      <c r="H107" s="4" t="str">
        <f>IFERROR(__xludf.DUMMYFUNCTION("GOOGLETRANSLATE(B107, ""en"", ""zh"")"),"你看到你的队友正受到两名对手的压制。你应该怎么做？")</f>
        <v>你看到你的队友正受到两名对手的压制。你应该怎么做？</v>
      </c>
      <c r="I107" s="4" t="str">
        <f>IFERROR(__xludf.DUMMYFUNCTION("GOOGLETRANSLATE(C107, ""en"", ""zh"")"),"A) 护球 B) 随意踢球 C) 跑开 D) 侧身躲开")</f>
        <v>A) 护球 B) 随意踢球 C) 跑开 D) 侧身躲开</v>
      </c>
      <c r="J107" s="4" t="str">
        <f>IFERROR(__xludf.DUMMYFUNCTION("GOOGLETRANSLATE(D107, ""en"", ""zh"")"),"A）护球")</f>
        <v>A）护球</v>
      </c>
      <c r="K107" s="4" t="str">
        <f>IFERROR(__xludf.DUMMYFUNCTION("GOOGLETRANSLATE(E107, ""en"", ""zh"")"),"#VALUE!")</f>
        <v>#VALUE!</v>
      </c>
      <c r="L107" s="2"/>
      <c r="M107" s="2"/>
      <c r="N107" s="2"/>
      <c r="O107" s="2"/>
      <c r="P107" s="2"/>
      <c r="Q107" s="2"/>
      <c r="R107" s="2"/>
      <c r="S107" s="2"/>
      <c r="T107" s="2"/>
      <c r="U107" s="2"/>
      <c r="V107" s="2"/>
      <c r="W107" s="2"/>
      <c r="X107" s="2"/>
      <c r="Y107" s="2"/>
      <c r="Z107" s="2"/>
      <c r="AA107" s="2"/>
      <c r="AB107" s="2"/>
    </row>
    <row r="108">
      <c r="A108" s="17">
        <v>108.0</v>
      </c>
      <c r="B108" s="12" t="s">
        <v>360</v>
      </c>
      <c r="C108" s="12" t="s">
        <v>361</v>
      </c>
      <c r="D108" s="12" t="s">
        <v>362</v>
      </c>
      <c r="E108" s="16"/>
      <c r="F108" s="2"/>
      <c r="G108" s="2"/>
      <c r="H108" s="4" t="str">
        <f>IFERROR(__xludf.DUMMYFUNCTION("GOOGLETRANSLATE(B108, ""en"", ""zh"")"),"球正滚向对方球门。最佳选择是什么？")</f>
        <v>球正滚向对方球门。最佳选择是什么？</v>
      </c>
      <c r="I108" s="4" t="str">
        <f>IFERROR(__xludf.DUMMYFUNCTION("GOOGLETRANSLATE(C108, ""en"", ""zh"")"),"A) 向前运球 B) 向后传球 C) 无视 D) 随意踢球")</f>
        <v>A) 向前运球 B) 向后传球 C) 无视 D) 随意踢球</v>
      </c>
      <c r="J108" s="4" t="str">
        <f>IFERROR(__xludf.DUMMYFUNCTION("GOOGLETRANSLATE(D108, ""en"", ""zh"")"),"A）向前运球")</f>
        <v>A）向前运球</v>
      </c>
      <c r="K108" s="4" t="str">
        <f>IFERROR(__xludf.DUMMYFUNCTION("GOOGLETRANSLATE(E108, ""en"", ""zh"")"),"#VALUE!")</f>
        <v>#VALUE!</v>
      </c>
      <c r="L108" s="2"/>
      <c r="M108" s="2"/>
      <c r="N108" s="2"/>
      <c r="O108" s="2"/>
      <c r="P108" s="2"/>
      <c r="Q108" s="2"/>
      <c r="R108" s="2"/>
      <c r="S108" s="2"/>
      <c r="T108" s="2"/>
      <c r="U108" s="2"/>
      <c r="V108" s="2"/>
      <c r="W108" s="2"/>
      <c r="X108" s="2"/>
      <c r="Y108" s="2"/>
      <c r="Z108" s="2"/>
      <c r="AA108" s="2"/>
      <c r="AB108" s="2"/>
    </row>
    <row r="109">
      <c r="A109" s="17">
        <v>109.0</v>
      </c>
      <c r="B109" s="12" t="s">
        <v>363</v>
      </c>
      <c r="C109" s="12" t="s">
        <v>364</v>
      </c>
      <c r="D109" s="12" t="s">
        <v>278</v>
      </c>
      <c r="E109" s="16"/>
      <c r="F109" s="2"/>
      <c r="G109" s="2"/>
      <c r="H109" s="4" t="str">
        <f>IFERROR(__xludf.DUMMYFUNCTION("GOOGLETRANSLATE(B109, ""en"", ""zh"")"),"当你在压力下时，队友示意你传球。你应该怎么做？")</f>
        <v>当你在压力下时，队友示意你传球。你应该怎么做？</v>
      </c>
      <c r="I109" s="4" t="str">
        <f>IFERROR(__xludf.DUMMYFUNCTION("GOOGLETRANSLATE(C109, ""en"", ""zh"")"),"A) 快速传球 B) 控球 C) 跑开 D) 侧身躲开")</f>
        <v>A) 快速传球 B) 控球 C) 跑开 D) 侧身躲开</v>
      </c>
      <c r="J109" s="4" t="str">
        <f>IFERROR(__xludf.DUMMYFUNCTION("GOOGLETRANSLATE(D109, ""en"", ""zh"")"),"A) 快速传递")</f>
        <v>A) 快速传递</v>
      </c>
      <c r="K109" s="4" t="str">
        <f>IFERROR(__xludf.DUMMYFUNCTION("GOOGLETRANSLATE(E109, ""en"", ""zh"")"),"#VALUE!")</f>
        <v>#VALUE!</v>
      </c>
      <c r="L109" s="2"/>
      <c r="M109" s="2"/>
      <c r="N109" s="2"/>
      <c r="O109" s="2"/>
      <c r="P109" s="2"/>
      <c r="Q109" s="2"/>
      <c r="R109" s="2"/>
      <c r="S109" s="2"/>
      <c r="T109" s="2"/>
      <c r="U109" s="2"/>
      <c r="V109" s="2"/>
      <c r="W109" s="2"/>
      <c r="X109" s="2"/>
      <c r="Y109" s="2"/>
      <c r="Z109" s="2"/>
      <c r="AA109" s="2"/>
      <c r="AB109" s="2"/>
    </row>
    <row r="110">
      <c r="A110" s="17">
        <v>110.0</v>
      </c>
      <c r="B110" s="12" t="s">
        <v>365</v>
      </c>
      <c r="C110" s="12" t="s">
        <v>366</v>
      </c>
      <c r="D110" s="12" t="s">
        <v>367</v>
      </c>
      <c r="E110" s="16"/>
      <c r="F110" s="2"/>
      <c r="G110" s="2"/>
      <c r="H110" s="4" t="str">
        <f>IFERROR(__xludf.DUMMYFUNCTION("GOOGLETRANSLATE(B110, ""en"", ""zh"")"),"你注意到边路有一个空位。最佳的进攻策略是什么？")</f>
        <v>你注意到边路有一个空位。最佳的进攻策略是什么？</v>
      </c>
      <c r="I110" s="4" t="str">
        <f>IFERROR(__xludf.DUMMYFUNCTION("GOOGLETRANSLATE(C110, ""en"", ""zh"")"),"A) 运球到空位 B) 保持位置 C) 无视 D) 随意踢球")</f>
        <v>A) 运球到空位 B) 保持位置 C) 无视 D) 随意踢球</v>
      </c>
      <c r="J110" s="4" t="str">
        <f>IFERROR(__xludf.DUMMYFUNCTION("GOOGLETRANSLATE(D110, ""en"", ""zh"")"),"A) 运球进入太空")</f>
        <v>A) 运球进入太空</v>
      </c>
      <c r="K110" s="4" t="str">
        <f>IFERROR(__xludf.DUMMYFUNCTION("GOOGLETRANSLATE(E110, ""en"", ""zh"")"),"#VALUE!")</f>
        <v>#VALUE!</v>
      </c>
      <c r="L110" s="2"/>
      <c r="M110" s="2"/>
      <c r="N110" s="2"/>
      <c r="O110" s="2"/>
      <c r="P110" s="2"/>
      <c r="Q110" s="2"/>
      <c r="R110" s="2"/>
      <c r="S110" s="2"/>
      <c r="T110" s="2"/>
      <c r="U110" s="2"/>
      <c r="V110" s="2"/>
      <c r="W110" s="2"/>
      <c r="X110" s="2"/>
      <c r="Y110" s="2"/>
      <c r="Z110" s="2"/>
      <c r="AA110" s="2"/>
      <c r="AB110" s="2"/>
    </row>
    <row r="111">
      <c r="A111" s="17">
        <v>111.0</v>
      </c>
      <c r="B111" s="12" t="s">
        <v>368</v>
      </c>
      <c r="C111" s="12" t="s">
        <v>369</v>
      </c>
      <c r="D111" s="12" t="s">
        <v>281</v>
      </c>
      <c r="E111" s="16"/>
      <c r="F111" s="2"/>
      <c r="G111" s="2"/>
      <c r="H111" s="4" t="str">
        <f>IFERROR(__xludf.DUMMYFUNCTION("GOOGLETRANSLATE(B111, ""en"", ""zh"")"),"对手从侧面接近，你会如何应对？")</f>
        <v>对手从侧面接近，你会如何应对？</v>
      </c>
      <c r="I111" s="4" t="str">
        <f>IFERROR(__xludf.DUMMYFUNCTION("GOOGLETRANSLATE(C111, ""en"", ""zh"")"),"A) 阻挡路径 B) 无视 C) 随意踢 D) 让开")</f>
        <v>A) 阻挡路径 B) 无视 C) 随意踢 D) 让开</v>
      </c>
      <c r="J111" s="4" t="str">
        <f>IFERROR(__xludf.DUMMYFUNCTION("GOOGLETRANSLATE(D111, ""en"", ""zh"")"),"A) 阻塞路径")</f>
        <v>A) 阻塞路径</v>
      </c>
      <c r="K111" s="4" t="str">
        <f>IFERROR(__xludf.DUMMYFUNCTION("GOOGLETRANSLATE(E111, ""en"", ""zh"")"),"#VALUE!")</f>
        <v>#VALUE!</v>
      </c>
      <c r="L111" s="2"/>
      <c r="M111" s="2"/>
      <c r="N111" s="2"/>
      <c r="O111" s="2"/>
      <c r="P111" s="2"/>
      <c r="Q111" s="2"/>
      <c r="R111" s="2"/>
      <c r="S111" s="2"/>
      <c r="T111" s="2"/>
      <c r="U111" s="2"/>
      <c r="V111" s="2"/>
      <c r="W111" s="2"/>
      <c r="X111" s="2"/>
      <c r="Y111" s="2"/>
      <c r="Z111" s="2"/>
      <c r="AA111" s="2"/>
      <c r="AB111" s="2"/>
    </row>
    <row r="112">
      <c r="A112" s="17">
        <v>112.0</v>
      </c>
      <c r="B112" s="12" t="s">
        <v>370</v>
      </c>
      <c r="C112" s="12" t="s">
        <v>371</v>
      </c>
      <c r="D112" s="12" t="s">
        <v>372</v>
      </c>
      <c r="E112" s="16"/>
      <c r="F112" s="2"/>
      <c r="G112" s="2"/>
      <c r="H112" s="4" t="str">
        <f>IFERROR(__xludf.DUMMYFUNCTION("GOOGLETRANSLATE(B112, ""en"", ""zh"")"),"你获得了一次绝佳的射门机会。最佳选择是什么？")</f>
        <v>你获得了一次绝佳的射门机会。最佳选择是什么？</v>
      </c>
      <c r="I112" s="4" t="str">
        <f>IFERROR(__xludf.DUMMYFUNCTION("GOOGLETRANSLATE(C112, ""en"", ""zh"")"),"A) 精准射门 B) 后传球 C) 侧身躲闪 D) 任意位置踢球")</f>
        <v>A) 精准射门 B) 后传球 C) 侧身躲闪 D) 任意位置踢球</v>
      </c>
      <c r="J112" s="4" t="str">
        <f>IFERROR(__xludf.DUMMYFUNCTION("GOOGLETRANSLATE(D112, ""en"", ""zh"")"),"A) 精准射击")</f>
        <v>A) 精准射击</v>
      </c>
      <c r="K112" s="4" t="str">
        <f>IFERROR(__xludf.DUMMYFUNCTION("GOOGLETRANSLATE(E112, ""en"", ""zh"")"),"#VALUE!")</f>
        <v>#VALUE!</v>
      </c>
      <c r="L112" s="2"/>
      <c r="M112" s="2"/>
      <c r="N112" s="2"/>
      <c r="O112" s="2"/>
      <c r="P112" s="2"/>
      <c r="Q112" s="2"/>
      <c r="R112" s="2"/>
      <c r="S112" s="2"/>
      <c r="T112" s="2"/>
      <c r="U112" s="2"/>
      <c r="V112" s="2"/>
      <c r="W112" s="2"/>
      <c r="X112" s="2"/>
      <c r="Y112" s="2"/>
      <c r="Z112" s="2"/>
      <c r="AA112" s="2"/>
      <c r="AB112" s="2"/>
    </row>
    <row r="113">
      <c r="A113" s="17">
        <v>113.0</v>
      </c>
      <c r="B113" s="12" t="s">
        <v>373</v>
      </c>
      <c r="C113" s="12" t="s">
        <v>374</v>
      </c>
      <c r="D113" s="12" t="s">
        <v>349</v>
      </c>
      <c r="E113" s="16"/>
      <c r="F113" s="2"/>
      <c r="G113" s="2"/>
      <c r="H113" s="4" t="str">
        <f>IFERROR(__xludf.DUMMYFUNCTION("GOOGLETRANSLATE(B113, ""en"", ""zh"")"),"球正滚向角旗区。你应该怎么做？")</f>
        <v>球正滚向角旗区。你应该怎么做？</v>
      </c>
      <c r="I113" s="4" t="str">
        <f>IFERROR(__xludf.DUMMYFUNCTION("GOOGLETRANSLATE(C113, ""en"", ""zh"")"),"A) 控制并传球 B) 无视 C) 随意踢球 D) 侧身躲开")</f>
        <v>A) 控制并传球 B) 无视 C) 随意踢球 D) 侧身躲开</v>
      </c>
      <c r="J113" s="4" t="str">
        <f>IFERROR(__xludf.DUMMYFUNCTION("GOOGLETRANSLATE(D113, ""en"", ""zh"")"),"A) 控制和传球")</f>
        <v>A) 控制和传球</v>
      </c>
      <c r="K113" s="4" t="str">
        <f>IFERROR(__xludf.DUMMYFUNCTION("GOOGLETRANSLATE(E113, ""en"", ""zh"")"),"#VALUE!")</f>
        <v>#VALUE!</v>
      </c>
      <c r="L113" s="2"/>
      <c r="M113" s="2"/>
      <c r="N113" s="2"/>
      <c r="O113" s="2"/>
      <c r="P113" s="2"/>
      <c r="Q113" s="2"/>
      <c r="R113" s="2"/>
      <c r="S113" s="2"/>
      <c r="T113" s="2"/>
      <c r="U113" s="2"/>
      <c r="V113" s="2"/>
      <c r="W113" s="2"/>
      <c r="X113" s="2"/>
      <c r="Y113" s="2"/>
      <c r="Z113" s="2"/>
      <c r="AA113" s="2"/>
      <c r="AB113" s="2"/>
    </row>
    <row r="114">
      <c r="A114" s="17">
        <v>114.0</v>
      </c>
      <c r="B114" s="12" t="s">
        <v>375</v>
      </c>
      <c r="C114" s="12" t="s">
        <v>376</v>
      </c>
      <c r="D114" s="12" t="s">
        <v>377</v>
      </c>
      <c r="E114" s="16"/>
      <c r="F114" s="2"/>
      <c r="G114" s="2"/>
      <c r="H114" s="4" t="str">
        <f>IFERROR(__xludf.DUMMYFUNCTION("GOOGLETRANSLATE(B114, ""en"", ""zh"")"),"对手假运球，你应该如何应对？")</f>
        <v>对手假运球，你应该如何应对？</v>
      </c>
      <c r="I114" s="4" t="str">
        <f>IFERROR(__xludf.DUMMYFUNCTION("GOOGLETRANSLATE(C114, ""en"", ""zh"")"),"A) 观察并拦截 B) 向前跳跃 C) 无视 D) 逃跑")</f>
        <v>A) 观察并拦截 B) 向前跳跃 C) 无视 D) 逃跑</v>
      </c>
      <c r="J114" s="4" t="str">
        <f>IFERROR(__xludf.DUMMYFUNCTION("GOOGLETRANSLATE(D114, ""en"", ""zh"")"),"A) 观察并拦截")</f>
        <v>A) 观察并拦截</v>
      </c>
      <c r="K114" s="4" t="str">
        <f>IFERROR(__xludf.DUMMYFUNCTION("GOOGLETRANSLATE(E114, ""en"", ""zh"")"),"#VALUE!")</f>
        <v>#VALUE!</v>
      </c>
      <c r="L114" s="2"/>
      <c r="M114" s="2"/>
      <c r="N114" s="2"/>
      <c r="O114" s="2"/>
      <c r="P114" s="2"/>
      <c r="Q114" s="2"/>
      <c r="R114" s="2"/>
      <c r="S114" s="2"/>
      <c r="T114" s="2"/>
      <c r="U114" s="2"/>
      <c r="V114" s="2"/>
      <c r="W114" s="2"/>
      <c r="X114" s="2"/>
      <c r="Y114" s="2"/>
      <c r="Z114" s="2"/>
      <c r="AA114" s="2"/>
      <c r="AB114" s="2"/>
    </row>
    <row r="115">
      <c r="A115" s="17">
        <v>115.0</v>
      </c>
      <c r="B115" s="12" t="s">
        <v>378</v>
      </c>
      <c r="C115" s="12" t="s">
        <v>379</v>
      </c>
      <c r="D115" s="12" t="s">
        <v>293</v>
      </c>
      <c r="E115" s="16"/>
      <c r="F115" s="2"/>
      <c r="G115" s="2"/>
      <c r="H115" s="4" t="str">
        <f>IFERROR(__xludf.DUMMYFUNCTION("GOOGLETRANSLATE(B115, ""en"", ""zh"")"),"队友在球门前无人盯防。最佳应对策略是什么？")</f>
        <v>队友在球门前无人盯防。最佳应对策略是什么？</v>
      </c>
      <c r="I115" s="4" t="str">
        <f>IFERROR(__xludf.DUMMYFUNCTION("GOOGLETRANSLATE(C115, ""en"", ""zh"")"),"A) 立即传球 B) 持球 C) 跑开 D) 无视")</f>
        <v>A) 立即传球 B) 持球 C) 跑开 D) 无视</v>
      </c>
      <c r="J115" s="4" t="str">
        <f>IFERROR(__xludf.DUMMYFUNCTION("GOOGLETRANSLATE(D115, ""en"", ""zh"")"),"A) 立即通过")</f>
        <v>A) 立即通过</v>
      </c>
      <c r="K115" s="4" t="str">
        <f>IFERROR(__xludf.DUMMYFUNCTION("GOOGLETRANSLATE(E115, ""en"", ""zh"")"),"#VALUE!")</f>
        <v>#VALUE!</v>
      </c>
      <c r="L115" s="2"/>
      <c r="M115" s="2"/>
      <c r="N115" s="2"/>
      <c r="O115" s="2"/>
      <c r="P115" s="2"/>
      <c r="Q115" s="2"/>
      <c r="R115" s="2"/>
      <c r="S115" s="2"/>
      <c r="T115" s="2"/>
      <c r="U115" s="2"/>
      <c r="V115" s="2"/>
      <c r="W115" s="2"/>
      <c r="X115" s="2"/>
      <c r="Y115" s="2"/>
      <c r="Z115" s="2"/>
      <c r="AA115" s="2"/>
      <c r="AB115" s="2"/>
    </row>
    <row r="116">
      <c r="A116" s="17">
        <v>116.0</v>
      </c>
      <c r="B116" s="12" t="s">
        <v>380</v>
      </c>
      <c r="C116" s="12" t="s">
        <v>381</v>
      </c>
      <c r="D116" s="12" t="s">
        <v>382</v>
      </c>
      <c r="E116" s="16"/>
      <c r="F116" s="2"/>
      <c r="G116" s="2"/>
      <c r="H116" s="4" t="str">
        <f>IFERROR(__xludf.DUMMYFUNCTION("GOOGLETRANSLATE(B116, ""en"", ""zh"")"),"你正在防守对方的快速反击。你应该优先考虑什么？")</f>
        <v>你正在防守对方的快速反击。你应该优先考虑什么？</v>
      </c>
      <c r="I116" s="4" t="str">
        <f>IFERROR(__xludf.DUMMYFUNCTION("GOOGLETRANSLATE(C116, ""en"", ""zh"")"),"A) 位置和时机 B) 随意踢 C) 侧身躲开 D) 无视")</f>
        <v>A) 位置和时机 B) 随意踢 C) 侧身躲开 D) 无视</v>
      </c>
      <c r="J116" s="4" t="str">
        <f>IFERROR(__xludf.DUMMYFUNCTION("GOOGLETRANSLATE(D116, ""en"", ""zh"")"),"A) 位置和时间")</f>
        <v>A) 位置和时间</v>
      </c>
      <c r="K116" s="4" t="str">
        <f>IFERROR(__xludf.DUMMYFUNCTION("GOOGLETRANSLATE(E116, ""en"", ""zh"")"),"#VALUE!")</f>
        <v>#VALUE!</v>
      </c>
      <c r="L116" s="2"/>
      <c r="M116" s="2"/>
      <c r="N116" s="2"/>
      <c r="O116" s="2"/>
      <c r="P116" s="2"/>
      <c r="Q116" s="2"/>
      <c r="R116" s="2"/>
      <c r="S116" s="2"/>
      <c r="T116" s="2"/>
      <c r="U116" s="2"/>
      <c r="V116" s="2"/>
      <c r="W116" s="2"/>
      <c r="X116" s="2"/>
      <c r="Y116" s="2"/>
      <c r="Z116" s="2"/>
      <c r="AA116" s="2"/>
      <c r="AB116" s="2"/>
    </row>
    <row r="117">
      <c r="A117" s="17">
        <v>117.0</v>
      </c>
      <c r="B117" s="12" t="s">
        <v>383</v>
      </c>
      <c r="C117" s="12" t="s">
        <v>384</v>
      </c>
      <c r="D117" s="12" t="s">
        <v>212</v>
      </c>
      <c r="E117" s="16"/>
      <c r="F117" s="2"/>
      <c r="G117" s="2"/>
      <c r="H117" s="4" t="str">
        <f>IFERROR(__xludf.DUMMYFUNCTION("GOOGLETRANSLATE(B117, ""en"", ""zh"")"),"球在中场附近弹跳。正确的处理方式是什么？")</f>
        <v>球在中场附近弹跳。正确的处理方式是什么？</v>
      </c>
      <c r="I117" s="4" t="str">
        <f>IFERROR(__xludf.DUMMYFUNCTION("GOOGLETRANSLATE(C117, ""en"", ""zh"")"),"A) 设陷阱控制 B) 无视 C) 随意踢 D) 侧身躲开")</f>
        <v>A) 设陷阱控制 B) 无视 C) 随意踢 D) 侧身躲开</v>
      </c>
      <c r="J117" s="4" t="str">
        <f>IFERROR(__xludf.DUMMYFUNCTION("GOOGLETRANSLATE(D117, ""en"", ""zh"")"),"A) 诱捕和控制")</f>
        <v>A) 诱捕和控制</v>
      </c>
      <c r="K117" s="4" t="str">
        <f>IFERROR(__xludf.DUMMYFUNCTION("GOOGLETRANSLATE(E117, ""en"", ""zh"")"),"#VALUE!")</f>
        <v>#VALUE!</v>
      </c>
      <c r="L117" s="2"/>
      <c r="M117" s="2"/>
      <c r="N117" s="2"/>
      <c r="O117" s="2"/>
      <c r="P117" s="2"/>
      <c r="Q117" s="2"/>
      <c r="R117" s="2"/>
      <c r="S117" s="2"/>
      <c r="T117" s="2"/>
      <c r="U117" s="2"/>
      <c r="V117" s="2"/>
      <c r="W117" s="2"/>
      <c r="X117" s="2"/>
      <c r="Y117" s="2"/>
      <c r="Z117" s="2"/>
      <c r="AA117" s="2"/>
      <c r="AB117" s="2"/>
    </row>
    <row r="118">
      <c r="A118" s="17">
        <v>118.0</v>
      </c>
      <c r="B118" s="12" t="s">
        <v>385</v>
      </c>
      <c r="C118" s="12" t="s">
        <v>386</v>
      </c>
      <c r="D118" s="12" t="s">
        <v>338</v>
      </c>
      <c r="E118" s="16"/>
      <c r="F118" s="2"/>
      <c r="G118" s="2"/>
      <c r="H118" s="4" t="str">
        <f>IFERROR(__xludf.DUMMYFUNCTION("GOOGLETRANSLATE(B118, ""en"", ""zh"")"),"对手距离很近，正试图擒抱你。你应该如何应对？")</f>
        <v>对手距离很近，正试图擒抱你。你应该如何应对？</v>
      </c>
      <c r="I118" s="4" t="str">
        <f>IFERROR(__xludf.DUMMYFUNCTION("GOOGLETRANSLATE(C118, ""en"", ""zh"")"),"A）防御并控制 B）随意踢击 C）侧身躲开 D）无视")</f>
        <v>A）防御并控制 B）随意踢击 C）侧身躲开 D）无视</v>
      </c>
      <c r="J118" s="4" t="str">
        <f>IFERROR(__xludf.DUMMYFUNCTION("GOOGLETRANSLATE(D118, ""en"", ""zh"")"),"A) 护盾和控制")</f>
        <v>A) 护盾和控制</v>
      </c>
      <c r="K118" s="4" t="str">
        <f>IFERROR(__xludf.DUMMYFUNCTION("GOOGLETRANSLATE(E118, ""en"", ""zh"")"),"#VALUE!")</f>
        <v>#VALUE!</v>
      </c>
      <c r="L118" s="2"/>
      <c r="M118" s="2"/>
      <c r="N118" s="2"/>
      <c r="O118" s="2"/>
      <c r="P118" s="2"/>
      <c r="Q118" s="2"/>
      <c r="R118" s="2"/>
      <c r="S118" s="2"/>
      <c r="T118" s="2"/>
      <c r="U118" s="2"/>
      <c r="V118" s="2"/>
      <c r="W118" s="2"/>
      <c r="X118" s="2"/>
      <c r="Y118" s="2"/>
      <c r="Z118" s="2"/>
      <c r="AA118" s="2"/>
      <c r="AB118" s="2"/>
    </row>
    <row r="119">
      <c r="A119" s="17">
        <v>119.0</v>
      </c>
      <c r="B119" s="12" t="s">
        <v>387</v>
      </c>
      <c r="C119" s="12" t="s">
        <v>388</v>
      </c>
      <c r="D119" s="12" t="s">
        <v>389</v>
      </c>
      <c r="E119" s="16"/>
      <c r="F119" s="2"/>
      <c r="G119" s="2"/>
      <c r="H119" s="4" t="str">
        <f>IFERROR(__xludf.DUMMYFUNCTION("GOOGLETRANSLATE(B119, ""en"", ""zh"")"),"队友正在主罚任意球。你应该站在哪里？")</f>
        <v>队友正在主罚任意球。你应该站在哪里？</v>
      </c>
      <c r="I119" s="4" t="str">
        <f>IFERROR(__xludf.DUMMYFUNCTION("GOOGLETRANSLATE(C119, ""en"", ""zh"")"),"A) 准备接球或传球 B) 跑开 C) 侧身躲开 D) 无视")</f>
        <v>A) 准备接球或传球 B) 跑开 C) 侧身躲开 D) 无视</v>
      </c>
      <c r="J119" s="4" t="str">
        <f>IFERROR(__xludf.DUMMYFUNCTION("GOOGLETRANSLATE(D119, ""en"", ""zh"")"),"A) 准备接球或传球")</f>
        <v>A) 准备接球或传球</v>
      </c>
      <c r="K119" s="4" t="str">
        <f>IFERROR(__xludf.DUMMYFUNCTION("GOOGLETRANSLATE(E119, ""en"", ""zh"")"),"#VALUE!")</f>
        <v>#VALUE!</v>
      </c>
      <c r="L119" s="2"/>
      <c r="M119" s="2"/>
      <c r="N119" s="2"/>
      <c r="O119" s="2"/>
      <c r="P119" s="2"/>
      <c r="Q119" s="2"/>
      <c r="R119" s="2"/>
      <c r="S119" s="2"/>
      <c r="T119" s="2"/>
      <c r="U119" s="2"/>
      <c r="V119" s="2"/>
      <c r="W119" s="2"/>
      <c r="X119" s="2"/>
      <c r="Y119" s="2"/>
      <c r="Z119" s="2"/>
      <c r="AA119" s="2"/>
      <c r="AB119" s="2"/>
    </row>
    <row r="120">
      <c r="A120" s="17">
        <v>120.0</v>
      </c>
      <c r="B120" s="12" t="s">
        <v>390</v>
      </c>
      <c r="C120" s="12" t="s">
        <v>326</v>
      </c>
      <c r="D120" s="12" t="s">
        <v>327</v>
      </c>
      <c r="E120" s="16"/>
      <c r="F120" s="2"/>
      <c r="G120" s="2"/>
      <c r="H120" s="4" t="str">
        <f>IFERROR(__xludf.DUMMYFUNCTION("GOOGLETRANSLATE(B120, ""en"", ""zh"")"),"球在球门附近飞行，你应该怎么做？")</f>
        <v>球在球门附近飞行，你应该怎么做？</v>
      </c>
      <c r="I120" s="4" t="str">
        <f>IFERROR(__xludf.DUMMYFUNCTION("GOOGLETRANSLATE(C120, ""en"", ""zh"")"),"A) 设陷阱或清除 B) 无视 C) 随意踢 D) 侧身躲开")</f>
        <v>A) 设陷阱或清除 B) 无视 C) 随意踢 D) 侧身躲开</v>
      </c>
      <c r="J120" s="4" t="str">
        <f>IFERROR(__xludf.DUMMYFUNCTION("GOOGLETRANSLATE(D120, ""en"", ""zh"")"),"A) 陷阱或清除")</f>
        <v>A) 陷阱或清除</v>
      </c>
      <c r="K120" s="4" t="str">
        <f>IFERROR(__xludf.DUMMYFUNCTION("GOOGLETRANSLATE(E120, ""en"", ""zh"")"),"#VALUE!")</f>
        <v>#VALUE!</v>
      </c>
      <c r="L120" s="2"/>
      <c r="M120" s="2"/>
      <c r="N120" s="2"/>
      <c r="O120" s="2"/>
      <c r="P120" s="2"/>
      <c r="Q120" s="2"/>
      <c r="R120" s="2"/>
      <c r="S120" s="2"/>
      <c r="T120" s="2"/>
      <c r="U120" s="2"/>
      <c r="V120" s="2"/>
      <c r="W120" s="2"/>
      <c r="X120" s="2"/>
      <c r="Y120" s="2"/>
      <c r="Z120" s="2"/>
      <c r="AA120" s="2"/>
      <c r="AB120" s="2"/>
    </row>
    <row r="121">
      <c r="A121" s="17">
        <v>121.0</v>
      </c>
      <c r="B121" s="12" t="s">
        <v>391</v>
      </c>
      <c r="C121" s="12" t="s">
        <v>392</v>
      </c>
      <c r="D121" s="12" t="s">
        <v>393</v>
      </c>
      <c r="E121" s="16"/>
      <c r="F121" s="2"/>
      <c r="G121" s="2"/>
      <c r="H121" s="4" t="str">
        <f>IFERROR(__xludf.DUMMYFUNCTION("GOOGLETRANSLATE(B121, ""en"", ""zh"")"),"你注意到对手已经疲惫不堪。你的队伍应该如何调整？")</f>
        <v>你注意到对手已经疲惫不堪。你的队伍应该如何调整？</v>
      </c>
      <c r="I121" s="4" t="str">
        <f>IFERROR(__xludf.DUMMYFUNCTION("GOOGLETRANSLATE(C121, ""en"", ""zh"")"),"A) 加大施压 B) 撤退 C) 放慢节奏 D) 无视")</f>
        <v>A) 加大施压 B) 撤退 C) 放慢节奏 D) 无视</v>
      </c>
      <c r="J121" s="4" t="str">
        <f>IFERROR(__xludf.DUMMYFUNCTION("GOOGLETRANSLATE(D121, ""en"", ""zh"")"),"A) 加大压力")</f>
        <v>A) 加大压力</v>
      </c>
      <c r="K121" s="4" t="str">
        <f>IFERROR(__xludf.DUMMYFUNCTION("GOOGLETRANSLATE(E121, ""en"", ""zh"")"),"#VALUE!")</f>
        <v>#VALUE!</v>
      </c>
      <c r="L121" s="2"/>
      <c r="M121" s="2"/>
      <c r="N121" s="2"/>
      <c r="O121" s="2"/>
      <c r="P121" s="2"/>
      <c r="Q121" s="2"/>
      <c r="R121" s="2"/>
      <c r="S121" s="2"/>
      <c r="T121" s="2"/>
      <c r="U121" s="2"/>
      <c r="V121" s="2"/>
      <c r="W121" s="2"/>
      <c r="X121" s="2"/>
      <c r="Y121" s="2"/>
      <c r="Z121" s="2"/>
      <c r="AA121" s="2"/>
      <c r="AB121" s="2"/>
    </row>
    <row r="122">
      <c r="A122" s="17">
        <v>122.0</v>
      </c>
      <c r="B122" s="12" t="s">
        <v>394</v>
      </c>
      <c r="C122" s="12" t="s">
        <v>395</v>
      </c>
      <c r="D122" s="12" t="s">
        <v>396</v>
      </c>
      <c r="E122" s="16"/>
      <c r="F122" s="2"/>
      <c r="G122" s="2"/>
      <c r="H122" s="4" t="str">
        <f>IFERROR(__xludf.DUMMYFUNCTION("GOOGLETRANSLATE(B122, ""en"", ""zh"")"),"球正向禁区内的队友传去。以下哪个说法正确？")</f>
        <v>球正向禁区内的队友传去。以下哪个说法正确？</v>
      </c>
      <c r="I122" s="4" t="str">
        <f>IFERROR(__xludf.DUMMYFUNCTION("GOOGLETRANSLATE(C122, ""en"", ""zh"")"),"A) 支持传球或射门 B) 跑开 C) 无视 D) 让开")</f>
        <v>A) 支持传球或射门 B) 跑开 C) 无视 D) 让开</v>
      </c>
      <c r="J122" s="4" t="str">
        <f>IFERROR(__xludf.DUMMYFUNCTION("GOOGLETRANSLATE(D122, ""en"", ""zh"")"),"A) 支持传球或射门")</f>
        <v>A) 支持传球或射门</v>
      </c>
      <c r="K122" s="4" t="str">
        <f>IFERROR(__xludf.DUMMYFUNCTION("GOOGLETRANSLATE(E122, ""en"", ""zh"")"),"#VALUE!")</f>
        <v>#VALUE!</v>
      </c>
      <c r="L122" s="2"/>
      <c r="M122" s="2"/>
      <c r="N122" s="2"/>
      <c r="O122" s="2"/>
      <c r="P122" s="2"/>
      <c r="Q122" s="2"/>
      <c r="R122" s="2"/>
      <c r="S122" s="2"/>
      <c r="T122" s="2"/>
      <c r="U122" s="2"/>
      <c r="V122" s="2"/>
      <c r="W122" s="2"/>
      <c r="X122" s="2"/>
      <c r="Y122" s="2"/>
      <c r="Z122" s="2"/>
      <c r="AA122" s="2"/>
      <c r="AB122" s="2"/>
    </row>
    <row r="123">
      <c r="A123" s="17">
        <v>123.0</v>
      </c>
      <c r="B123" s="12" t="s">
        <v>397</v>
      </c>
      <c r="C123" s="12" t="s">
        <v>398</v>
      </c>
      <c r="D123" s="12" t="s">
        <v>399</v>
      </c>
      <c r="E123" s="16"/>
      <c r="F123" s="2"/>
      <c r="G123" s="2"/>
      <c r="H123" s="4" t="str">
        <f>IFERROR(__xludf.DUMMYFUNCTION("GOOGLETRANSLATE(B123, ""en"", ""zh"")"),"对手快速冲锋，你应该如何防守？")</f>
        <v>对手快速冲锋，你应该如何防守？</v>
      </c>
      <c r="I123" s="4" t="str">
        <f>IFERROR(__xludf.DUMMYFUNCTION("GOOGLETRANSLATE(C123, ""en"", ""zh"")"),"A) 站位阻挡 B) 随意踢 C) 侧身躲开 D) 无视")</f>
        <v>A) 站位阻挡 B) 随意踢 C) 侧身躲开 D) 无视</v>
      </c>
      <c r="J123" s="4" t="str">
        <f>IFERROR(__xludf.DUMMYFUNCTION("GOOGLETRANSLATE(D123, ""en"", ""zh"")"),"A) 阻挡位置")</f>
        <v>A) 阻挡位置</v>
      </c>
      <c r="K123" s="4" t="str">
        <f>IFERROR(__xludf.DUMMYFUNCTION("GOOGLETRANSLATE(E123, ""en"", ""zh"")"),"#VALUE!")</f>
        <v>#VALUE!</v>
      </c>
      <c r="L123" s="2"/>
      <c r="M123" s="2"/>
      <c r="N123" s="2"/>
      <c r="O123" s="2"/>
      <c r="P123" s="2"/>
      <c r="Q123" s="2"/>
      <c r="R123" s="2"/>
      <c r="S123" s="2"/>
      <c r="T123" s="2"/>
      <c r="U123" s="2"/>
      <c r="V123" s="2"/>
      <c r="W123" s="2"/>
      <c r="X123" s="2"/>
      <c r="Y123" s="2"/>
      <c r="Z123" s="2"/>
      <c r="AA123" s="2"/>
      <c r="AB123" s="2"/>
    </row>
    <row r="124">
      <c r="A124" s="17">
        <v>124.0</v>
      </c>
      <c r="B124" s="12" t="s">
        <v>400</v>
      </c>
      <c r="C124" s="12" t="s">
        <v>401</v>
      </c>
      <c r="D124" s="12" t="s">
        <v>402</v>
      </c>
      <c r="E124" s="16"/>
      <c r="F124" s="2"/>
      <c r="G124" s="2"/>
      <c r="H124" s="4" t="str">
        <f>IFERROR(__xludf.DUMMYFUNCTION("GOOGLETRANSLATE(B124, ""en"", ""zh"")"),"队友带球向球门方向移动，对方一名球员正在逼近。最佳支援方式是什么？")</f>
        <v>队友带球向球门方向移动，对方一名球员正在逼近。最佳支援方式是什么？</v>
      </c>
      <c r="I124" s="4" t="str">
        <f>IFERROR(__xludf.DUMMYFUNCTION("GOOGLETRANSLATE(C124, ""en"", ""zh"")"),"A) 移动以创造传球机会 B) 无视 C) 逃跑 D) 侧身")</f>
        <v>A) 移动以创造传球机会 B) 无视 C) 逃跑 D) 侧身</v>
      </c>
      <c r="J124" s="4" t="str">
        <f>IFERROR(__xludf.DUMMYFUNCTION("GOOGLETRANSLATE(D124, ""en"", ""zh"")"),"A) 移动以创建传球选项")</f>
        <v>A) 移动以创建传球选项</v>
      </c>
      <c r="K124" s="4" t="str">
        <f>IFERROR(__xludf.DUMMYFUNCTION("GOOGLETRANSLATE(E124, ""en"", ""zh"")"),"#VALUE!")</f>
        <v>#VALUE!</v>
      </c>
      <c r="L124" s="2"/>
      <c r="M124" s="2"/>
      <c r="N124" s="2"/>
      <c r="O124" s="2"/>
      <c r="P124" s="2"/>
      <c r="Q124" s="2"/>
      <c r="R124" s="2"/>
      <c r="S124" s="2"/>
      <c r="T124" s="2"/>
      <c r="U124" s="2"/>
      <c r="V124" s="2"/>
      <c r="W124" s="2"/>
      <c r="X124" s="2"/>
      <c r="Y124" s="2"/>
      <c r="Z124" s="2"/>
      <c r="AA124" s="2"/>
      <c r="AB124" s="2"/>
    </row>
    <row r="125">
      <c r="A125" s="17">
        <v>125.0</v>
      </c>
      <c r="B125" s="12" t="s">
        <v>403</v>
      </c>
      <c r="C125" s="12" t="s">
        <v>404</v>
      </c>
      <c r="D125" s="12" t="s">
        <v>405</v>
      </c>
      <c r="E125" s="16"/>
      <c r="F125" s="2"/>
      <c r="G125" s="2"/>
      <c r="H125" s="4" t="str">
        <f>IFERROR(__xludf.DUMMYFUNCTION("GOOGLETRANSLATE(B125, ""en"", ""zh"")"),"球在边线附近，你控制着球。哪个说法正确？")</f>
        <v>球在边线附近，你控制着球。哪个说法正确？</v>
      </c>
      <c r="I125" s="4" t="str">
        <f>IFERROR(__xludf.DUMMYFUNCTION("GOOGLETRANSLATE(C125, ""en"", ""zh"")"),"A) 控制住球并传球 B) 无视 C) 随意踢球 D) 侧身躲开")</f>
        <v>A) 控制住球并传球 B) 无视 C) 随意踢球 D) 侧身躲开</v>
      </c>
      <c r="J125" s="4" t="str">
        <f>IFERROR(__xludf.DUMMYFUNCTION("GOOGLETRANSLATE(D125, ""en"", ""zh"")"),"A) 保持控球并传球")</f>
        <v>A) 保持控球并传球</v>
      </c>
      <c r="K125" s="4" t="str">
        <f>IFERROR(__xludf.DUMMYFUNCTION("GOOGLETRANSLATE(E125, ""en"", ""zh"")"),"#VALUE!")</f>
        <v>#VALUE!</v>
      </c>
      <c r="L125" s="2"/>
      <c r="M125" s="2"/>
      <c r="N125" s="2"/>
      <c r="O125" s="2"/>
      <c r="P125" s="2"/>
      <c r="Q125" s="2"/>
      <c r="R125" s="2"/>
      <c r="S125" s="2"/>
      <c r="T125" s="2"/>
      <c r="U125" s="2"/>
      <c r="V125" s="2"/>
      <c r="W125" s="2"/>
      <c r="X125" s="2"/>
      <c r="Y125" s="2"/>
      <c r="Z125" s="2"/>
      <c r="AA125" s="2"/>
      <c r="AB125" s="2"/>
    </row>
    <row r="126">
      <c r="A126" s="17">
        <v>126.0</v>
      </c>
      <c r="B126" s="12" t="s">
        <v>406</v>
      </c>
      <c r="C126" s="12" t="s">
        <v>407</v>
      </c>
      <c r="D126" s="12" t="s">
        <v>343</v>
      </c>
      <c r="E126" s="16"/>
      <c r="F126" s="2"/>
      <c r="G126" s="2"/>
      <c r="H126" s="4" t="str">
        <f>IFERROR(__xludf.DUMMYFUNCTION("GOOGLETRANSLATE(B126, ""en"", ""zh"")"),"对手在禁区附近假射。你的反应是什么？")</f>
        <v>对手在禁区附近假射。你的反应是什么？</v>
      </c>
      <c r="I126" s="4" t="str">
        <f>IFERROR(__xludf.DUMMYFUNCTION("GOOGLETRANSLATE(C126, ""en"", ""zh"")"),"A) 保持警惕并阻挡 B) 向前跳跃 C) 无视 D) 侧身躲开")</f>
        <v>A) 保持警惕并阻挡 B) 向前跳跃 C) 无视 D) 侧身躲开</v>
      </c>
      <c r="J126" s="4" t="str">
        <f>IFERROR(__xludf.DUMMYFUNCTION("GOOGLETRANSLATE(D126, ""en"", ""zh"")"),"A) 保持警惕并阻止")</f>
        <v>A) 保持警惕并阻止</v>
      </c>
      <c r="K126" s="4" t="str">
        <f>IFERROR(__xludf.DUMMYFUNCTION("GOOGLETRANSLATE(E126, ""en"", ""zh"")"),"#VALUE!")</f>
        <v>#VALUE!</v>
      </c>
      <c r="L126" s="2"/>
      <c r="M126" s="2"/>
      <c r="N126" s="2"/>
      <c r="O126" s="2"/>
      <c r="P126" s="2"/>
      <c r="Q126" s="2"/>
      <c r="R126" s="2"/>
      <c r="S126" s="2"/>
      <c r="T126" s="2"/>
      <c r="U126" s="2"/>
      <c r="V126" s="2"/>
      <c r="W126" s="2"/>
      <c r="X126" s="2"/>
      <c r="Y126" s="2"/>
      <c r="Z126" s="2"/>
      <c r="AA126" s="2"/>
      <c r="AB126" s="2"/>
    </row>
    <row r="127">
      <c r="A127" s="17">
        <v>127.0</v>
      </c>
      <c r="B127" s="12" t="s">
        <v>408</v>
      </c>
      <c r="C127" s="12" t="s">
        <v>409</v>
      </c>
      <c r="D127" s="12" t="s">
        <v>410</v>
      </c>
      <c r="E127" s="16"/>
      <c r="F127" s="2"/>
      <c r="G127" s="2"/>
      <c r="H127" s="4" t="str">
        <f>IFERROR(__xludf.DUMMYFUNCTION("GOOGLETRANSLATE(B127, ""en"", ""zh"")"),"你要开角球。你的首要任务是什么？")</f>
        <v>你要开角球。你的首要任务是什么？</v>
      </c>
      <c r="I127" s="4" t="str">
        <f>IFERROR(__xludf.DUMMYFUNCTION("GOOGLETRANSLATE(C127, ""en"", ""zh"")"),"A) 准确传球给队友 B) 随意踢球 C) 延迟传球 D) 忽略传球")</f>
        <v>A) 准确传球给队友 B) 随意踢球 C) 延迟传球 D) 忽略传球</v>
      </c>
      <c r="J127" s="4" t="str">
        <f>IFERROR(__xludf.DUMMYFUNCTION("GOOGLETRANSLATE(D127, ""en"", ""zh"")"),"A) 准确地将信息传递给队友")</f>
        <v>A) 准确地将信息传递给队友</v>
      </c>
      <c r="K127" s="4" t="str">
        <f>IFERROR(__xludf.DUMMYFUNCTION("GOOGLETRANSLATE(E127, ""en"", ""zh"")"),"#VALUE!")</f>
        <v>#VALUE!</v>
      </c>
      <c r="L127" s="2"/>
      <c r="M127" s="2"/>
      <c r="N127" s="2"/>
      <c r="O127" s="2"/>
      <c r="P127" s="2"/>
      <c r="Q127" s="2"/>
      <c r="R127" s="2"/>
      <c r="S127" s="2"/>
      <c r="T127" s="2"/>
      <c r="U127" s="2"/>
      <c r="V127" s="2"/>
      <c r="W127" s="2"/>
      <c r="X127" s="2"/>
      <c r="Y127" s="2"/>
      <c r="Z127" s="2"/>
      <c r="AA127" s="2"/>
      <c r="AB127" s="2"/>
    </row>
    <row r="128">
      <c r="A128" s="17">
        <v>128.0</v>
      </c>
      <c r="B128" s="12" t="s">
        <v>411</v>
      </c>
      <c r="C128" s="12" t="s">
        <v>316</v>
      </c>
      <c r="D128" s="12" t="s">
        <v>245</v>
      </c>
      <c r="E128" s="16"/>
      <c r="F128" s="2"/>
      <c r="G128" s="2"/>
      <c r="H128" s="4" t="str">
        <f>IFERROR(__xludf.DUMMYFUNCTION("GOOGLETRANSLATE(B128, ""en"", ""zh"")"),"球正缓缓滚向中场。你应该怎么做？")</f>
        <v>球正缓缓滚向中场。你应该怎么做？</v>
      </c>
      <c r="I128" s="4" t="str">
        <f>IFERROR(__xludf.DUMMYFUNCTION("GOOGLETRANSLATE(C128, ""en"", ""zh"")"),"A) 上前拦截 B) 无视 C) 随意踢 D) 侧身躲开")</f>
        <v>A) 上前拦截 B) 无视 C) 随意踢 D) 侧身躲开</v>
      </c>
      <c r="J128" s="4" t="str">
        <f>IFERROR(__xludf.DUMMYFUNCTION("GOOGLETRANSLATE(D128, ""en"", ""zh"")"),"A) 移动拦截")</f>
        <v>A) 移动拦截</v>
      </c>
      <c r="K128" s="4" t="str">
        <f>IFERROR(__xludf.DUMMYFUNCTION("GOOGLETRANSLATE(E128, ""en"", ""zh"")"),"#VALUE!")</f>
        <v>#VALUE!</v>
      </c>
      <c r="L128" s="2"/>
      <c r="M128" s="2"/>
      <c r="N128" s="2"/>
      <c r="O128" s="2"/>
      <c r="P128" s="2"/>
      <c r="Q128" s="2"/>
      <c r="R128" s="2"/>
      <c r="S128" s="2"/>
      <c r="T128" s="2"/>
      <c r="U128" s="2"/>
      <c r="V128" s="2"/>
      <c r="W128" s="2"/>
      <c r="X128" s="2"/>
      <c r="Y128" s="2"/>
      <c r="Z128" s="2"/>
      <c r="AA128" s="2"/>
      <c r="AB128" s="2"/>
    </row>
    <row r="129">
      <c r="A129" s="17">
        <v>129.0</v>
      </c>
      <c r="B129" s="12" t="s">
        <v>412</v>
      </c>
      <c r="C129" s="12" t="s">
        <v>413</v>
      </c>
      <c r="D129" s="12" t="s">
        <v>414</v>
      </c>
      <c r="E129" s="16"/>
      <c r="F129" s="2"/>
      <c r="G129" s="2"/>
      <c r="H129" s="4" t="str">
        <f>IFERROR(__xludf.DUMMYFUNCTION("GOOGLETRANSLATE(B129, ""en"", ""zh"")"),"对手从后方逼近，如何保持控制？")</f>
        <v>对手从后方逼近，如何保持控制？</v>
      </c>
      <c r="I129" s="4" t="str">
        <f>IFERROR(__xludf.DUMMYFUNCTION("GOOGLETRANSLATE(C129, ""en"", ""zh"")"),"A）举盾并向前移动 B）随意踢击 C）侧身躲开 D）无视")</f>
        <v>A）举盾并向前移动 B）随意踢击 C）侧身躲开 D）无视</v>
      </c>
      <c r="J129" s="4" t="str">
        <f>IFERROR(__xludf.DUMMYFUNCTION("GOOGLETRANSLATE(D129, ""en"", ""zh"")"),"A）防御并向前推进")</f>
        <v>A）防御并向前推进</v>
      </c>
      <c r="K129" s="4" t="str">
        <f>IFERROR(__xludf.DUMMYFUNCTION("GOOGLETRANSLATE(E129, ""en"", ""zh"")"),"#VALUE!")</f>
        <v>#VALUE!</v>
      </c>
      <c r="L129" s="2"/>
      <c r="M129" s="2"/>
      <c r="N129" s="2"/>
      <c r="O129" s="2"/>
      <c r="P129" s="2"/>
      <c r="Q129" s="2"/>
      <c r="R129" s="2"/>
      <c r="S129" s="2"/>
      <c r="T129" s="2"/>
      <c r="U129" s="2"/>
      <c r="V129" s="2"/>
      <c r="W129" s="2"/>
      <c r="X129" s="2"/>
      <c r="Y129" s="2"/>
      <c r="Z129" s="2"/>
      <c r="AA129" s="2"/>
      <c r="AB129" s="2"/>
    </row>
    <row r="130">
      <c r="A130" s="17">
        <v>130.0</v>
      </c>
      <c r="B130" s="12" t="s">
        <v>415</v>
      </c>
      <c r="C130" s="12" t="s">
        <v>314</v>
      </c>
      <c r="D130" s="12" t="s">
        <v>293</v>
      </c>
      <c r="E130" s="16"/>
      <c r="F130" s="2"/>
      <c r="G130" s="2"/>
      <c r="H130" s="4" t="str">
        <f>IFERROR(__xludf.DUMMYFUNCTION("GOOGLETRANSLATE(B130, ""en"", ""zh"")"),"队友处于得分位置。正确的应对方式是什么？")</f>
        <v>队友处于得分位置。正确的应对方式是什么？</v>
      </c>
      <c r="I130" s="4" t="str">
        <f>IFERROR(__xludf.DUMMYFUNCTION("GOOGLETRANSLATE(C130, ""en"", ""zh"")"),"A) 立即传球 B) 持球 C) 跑开 D) 侧身躲开")</f>
        <v>A) 立即传球 B) 持球 C) 跑开 D) 侧身躲开</v>
      </c>
      <c r="J130" s="4" t="str">
        <f>IFERROR(__xludf.DUMMYFUNCTION("GOOGLETRANSLATE(D130, ""en"", ""zh"")"),"A) 立即通过")</f>
        <v>A) 立即通过</v>
      </c>
      <c r="K130" s="4" t="str">
        <f>IFERROR(__xludf.DUMMYFUNCTION("GOOGLETRANSLATE(E130, ""en"", ""zh"")"),"#VALUE!")</f>
        <v>#VALUE!</v>
      </c>
      <c r="L130" s="2"/>
      <c r="M130" s="2"/>
      <c r="N130" s="2"/>
      <c r="O130" s="2"/>
      <c r="P130" s="2"/>
      <c r="Q130" s="2"/>
      <c r="R130" s="2"/>
      <c r="S130" s="2"/>
      <c r="T130" s="2"/>
      <c r="U130" s="2"/>
      <c r="V130" s="2"/>
      <c r="W130" s="2"/>
      <c r="X130" s="2"/>
      <c r="Y130" s="2"/>
      <c r="Z130" s="2"/>
      <c r="AA130" s="2"/>
      <c r="AB130" s="2"/>
    </row>
    <row r="131">
      <c r="A131" s="17">
        <v>131.0</v>
      </c>
      <c r="B131" s="12" t="s">
        <v>416</v>
      </c>
      <c r="C131" s="12" t="s">
        <v>340</v>
      </c>
      <c r="D131" s="12" t="s">
        <v>227</v>
      </c>
      <c r="E131" s="16"/>
      <c r="F131" s="2"/>
      <c r="G131" s="2"/>
      <c r="H131" s="4" t="str">
        <f>IFERROR(__xludf.DUMMYFUNCTION("GOOGLETRANSLATE(B131, ""en"", ""zh"")"),"球在球门附近弹跳轨迹难以预测。你应该如何处理？")</f>
        <v>球在球门附近弹跳轨迹难以预测。你应该如何处理？</v>
      </c>
      <c r="I131" s="4" t="str">
        <f>IFERROR(__xludf.DUMMYFUNCTION("GOOGLETRANSLATE(C131, ""en"", ""zh"")"),"A) 调整身位并设陷阱 B) 随意踢腿 C) 侧身躲开 D) 无视")</f>
        <v>A) 调整身位并设陷阱 B) 随意踢腿 C) 侧身躲开 D) 无视</v>
      </c>
      <c r="J131" s="4" t="str">
        <f>IFERROR(__xludf.DUMMYFUNCTION("GOOGLETRANSLATE(D131, ""en"", ""zh"")"),"A) 调整身体和陷阱")</f>
        <v>A) 调整身体和陷阱</v>
      </c>
      <c r="K131" s="4" t="str">
        <f>IFERROR(__xludf.DUMMYFUNCTION("GOOGLETRANSLATE(E131, ""en"", ""zh"")"),"#VALUE!")</f>
        <v>#VALUE!</v>
      </c>
      <c r="L131" s="2"/>
      <c r="M131" s="2"/>
      <c r="N131" s="2"/>
      <c r="O131" s="2"/>
      <c r="P131" s="2"/>
      <c r="Q131" s="2"/>
      <c r="R131" s="2"/>
      <c r="S131" s="2"/>
      <c r="T131" s="2"/>
      <c r="U131" s="2"/>
      <c r="V131" s="2"/>
      <c r="W131" s="2"/>
      <c r="X131" s="2"/>
      <c r="Y131" s="2"/>
      <c r="Z131" s="2"/>
      <c r="AA131" s="2"/>
      <c r="AB131" s="2"/>
    </row>
    <row r="132">
      <c r="A132" s="17">
        <v>132.0</v>
      </c>
      <c r="B132" s="12" t="s">
        <v>417</v>
      </c>
      <c r="C132" s="12" t="s">
        <v>418</v>
      </c>
      <c r="D132" s="12" t="s">
        <v>308</v>
      </c>
      <c r="E132" s="16"/>
      <c r="F132" s="2"/>
      <c r="G132" s="2"/>
      <c r="H132" s="4" t="str">
        <f>IFERROR(__xludf.DUMMYFUNCTION("GOOGLETRANSLATE(B132, ""en"", ""zh"")"),"对手体力不支了，你应该采取什么战术？")</f>
        <v>对手体力不支了，你应该采取什么战术？</v>
      </c>
      <c r="I132" s="4" t="str">
        <f>IFERROR(__xludf.DUMMYFUNCTION("GOOGLETRANSLATE(C132, ""en"", ""zh"")"),"A) 更积极地进攻 B) 撤退 C) 放慢节奏 D) 无视")</f>
        <v>A) 更积极地进攻 B) 撤退 C) 放慢节奏 D) 无视</v>
      </c>
      <c r="J132" s="4" t="str">
        <f>IFERROR(__xludf.DUMMYFUNCTION("GOOGLETRANSLATE(D132, ""en"", ""zh"")"),"A）加大施压力度")</f>
        <v>A）加大施压力度</v>
      </c>
      <c r="K132" s="4" t="str">
        <f>IFERROR(__xludf.DUMMYFUNCTION("GOOGLETRANSLATE(E132, ""en"", ""zh"")"),"#VALUE!")</f>
        <v>#VALUE!</v>
      </c>
      <c r="L132" s="2"/>
      <c r="M132" s="2"/>
      <c r="N132" s="2"/>
      <c r="O132" s="2"/>
      <c r="P132" s="2"/>
      <c r="Q132" s="2"/>
      <c r="R132" s="2"/>
      <c r="S132" s="2"/>
      <c r="T132" s="2"/>
      <c r="U132" s="2"/>
      <c r="V132" s="2"/>
      <c r="W132" s="2"/>
      <c r="X132" s="2"/>
      <c r="Y132" s="2"/>
      <c r="Z132" s="2"/>
      <c r="AA132" s="2"/>
      <c r="AB132" s="2"/>
    </row>
    <row r="133">
      <c r="A133" s="17">
        <v>133.0</v>
      </c>
      <c r="B133" s="12" t="s">
        <v>419</v>
      </c>
      <c r="C133" s="12" t="s">
        <v>420</v>
      </c>
      <c r="D133" s="12" t="s">
        <v>421</v>
      </c>
      <c r="E133" s="16"/>
      <c r="F133" s="2"/>
      <c r="G133" s="2"/>
      <c r="H133" s="4" t="str">
        <f>IFERROR(__xludf.DUMMYFUNCTION("GOOGLETRANSLATE(B133, ""en"", ""zh"")"),"你正在处理一起点球大战。首要任务是什么？")</f>
        <v>你正在处理一起点球大战。首要任务是什么？</v>
      </c>
      <c r="I133" s="4" t="str">
        <f>IFERROR(__xludf.DUMMYFUNCTION("GOOGLETRANSLATE(C133, ""en"", ""zh"")"),"A) 摆好姿势格挡 B) 随意踢腿 C) 侧身躲开 D) 无视")</f>
        <v>A) 摆好姿势格挡 B) 随意踢腿 C) 侧身躲开 D) 无视</v>
      </c>
      <c r="J133" s="4" t="str">
        <f>IFERROR(__xludf.DUMMYFUNCTION("GOOGLETRANSLATE(D133, ""en"", ""zh"")"),"A) 调整身体位置以阻挡")</f>
        <v>A) 调整身体位置以阻挡</v>
      </c>
      <c r="K133" s="4" t="str">
        <f>IFERROR(__xludf.DUMMYFUNCTION("GOOGLETRANSLATE(E133, ""en"", ""zh"")"),"#VALUE!")</f>
        <v>#VALUE!</v>
      </c>
      <c r="L133" s="2"/>
      <c r="M133" s="2"/>
      <c r="N133" s="2"/>
      <c r="O133" s="2"/>
      <c r="P133" s="2"/>
      <c r="Q133" s="2"/>
      <c r="R133" s="2"/>
      <c r="S133" s="2"/>
      <c r="T133" s="2"/>
      <c r="U133" s="2"/>
      <c r="V133" s="2"/>
      <c r="W133" s="2"/>
      <c r="X133" s="2"/>
      <c r="Y133" s="2"/>
      <c r="Z133" s="2"/>
      <c r="AA133" s="2"/>
      <c r="AB133" s="2"/>
    </row>
    <row r="134">
      <c r="A134" s="17">
        <v>134.0</v>
      </c>
      <c r="B134" s="12" t="s">
        <v>422</v>
      </c>
      <c r="C134" s="12" t="s">
        <v>423</v>
      </c>
      <c r="D134" s="12" t="s">
        <v>424</v>
      </c>
      <c r="E134" s="16"/>
      <c r="F134" s="2"/>
      <c r="G134" s="2"/>
      <c r="H134" s="4" t="str">
        <f>IFERROR(__xludf.DUMMYFUNCTION("GOOGLETRANSLATE(B134, ""en"", ""zh"")"),"球正滚向角旗区。你应该怎么做？")</f>
        <v>球正滚向角旗区。你应该怎么做？</v>
      </c>
      <c r="I134" s="4" t="str">
        <f>IFERROR(__xludf.DUMMYFUNCTION("GOOGLETRANSLATE(C134, ""en"", ""zh"")"),"A) 拦截并继续比赛 B) 无视 C) 随意踢球 D) 侧身躲开")</f>
        <v>A) 拦截并继续比赛 B) 无视 C) 随意踢球 D) 侧身躲开</v>
      </c>
      <c r="J134" s="4" t="str">
        <f>IFERROR(__xludf.DUMMYFUNCTION("GOOGLETRANSLATE(D134, ""en"", ""zh"")"),"A) 拦截并返回比赛")</f>
        <v>A) 拦截并返回比赛</v>
      </c>
      <c r="K134" s="4" t="str">
        <f>IFERROR(__xludf.DUMMYFUNCTION("GOOGLETRANSLATE(E134, ""en"", ""zh"")"),"#VALUE!")</f>
        <v>#VALUE!</v>
      </c>
      <c r="L134" s="2"/>
      <c r="M134" s="2"/>
      <c r="N134" s="2"/>
      <c r="O134" s="2"/>
      <c r="P134" s="2"/>
      <c r="Q134" s="2"/>
      <c r="R134" s="2"/>
      <c r="S134" s="2"/>
      <c r="T134" s="2"/>
      <c r="U134" s="2"/>
      <c r="V134" s="2"/>
      <c r="W134" s="2"/>
      <c r="X134" s="2"/>
      <c r="Y134" s="2"/>
      <c r="Z134" s="2"/>
      <c r="AA134" s="2"/>
      <c r="AB134" s="2"/>
    </row>
    <row r="135">
      <c r="A135" s="17">
        <v>135.0</v>
      </c>
      <c r="B135" s="12" t="s">
        <v>425</v>
      </c>
      <c r="C135" s="12" t="s">
        <v>268</v>
      </c>
      <c r="D135" s="12" t="s">
        <v>269</v>
      </c>
      <c r="E135" s="16"/>
      <c r="F135" s="2"/>
      <c r="G135" s="2"/>
      <c r="H135" s="4" t="str">
        <f>IFERROR(__xludf.DUMMYFUNCTION("GOOGLETRANSLATE(B135, ""en"", ""zh"")"),"对手带球突破你的防线，你应该如何应对？")</f>
        <v>对手带球突破你的防线，你应该如何应对？</v>
      </c>
      <c r="I135" s="4" t="str">
        <f>IFERROR(__xludf.DUMMYFUNCTION("GOOGLETRANSLATE(C135, ""en"", ""zh"")"),"A) 跟踪并拦截 B) 无视 C) 侧身躲开 D) 随意踢")</f>
        <v>A) 跟踪并拦截 B) 无视 C) 侧身躲开 D) 随意踢</v>
      </c>
      <c r="J135" s="4" t="str">
        <f>IFERROR(__xludf.DUMMYFUNCTION("GOOGLETRANSLATE(D135, ""en"", ""zh"")"),"A) 跟踪和拦截")</f>
        <v>A) 跟踪和拦截</v>
      </c>
      <c r="K135" s="4" t="str">
        <f>IFERROR(__xludf.DUMMYFUNCTION("GOOGLETRANSLATE(E135, ""en"", ""zh"")"),"#VALUE!")</f>
        <v>#VALUE!</v>
      </c>
      <c r="L135" s="2"/>
      <c r="M135" s="2"/>
      <c r="N135" s="2"/>
      <c r="O135" s="2"/>
      <c r="P135" s="2"/>
      <c r="Q135" s="2"/>
      <c r="R135" s="2"/>
      <c r="S135" s="2"/>
      <c r="T135" s="2"/>
      <c r="U135" s="2"/>
      <c r="V135" s="2"/>
      <c r="W135" s="2"/>
      <c r="X135" s="2"/>
      <c r="Y135" s="2"/>
      <c r="Z135" s="2"/>
      <c r="AA135" s="2"/>
      <c r="AB135" s="2"/>
    </row>
    <row r="136">
      <c r="A136" s="18">
        <v>136.0</v>
      </c>
      <c r="B136" s="12" t="s">
        <v>426</v>
      </c>
      <c r="C136" s="12" t="s">
        <v>427</v>
      </c>
      <c r="D136" s="12" t="s">
        <v>278</v>
      </c>
      <c r="E136" s="16"/>
      <c r="F136" s="2"/>
      <c r="G136" s="2"/>
      <c r="H136" s="4" t="str">
        <f>IFERROR(__xludf.DUMMYFUNCTION("GOOGLETRANSLATE(B136, ""en"", ""zh"")"),"队友在压力下示意传球。什么是正确的？")</f>
        <v>队友在压力下示意传球。什么是正确的？</v>
      </c>
      <c r="I136" s="4" t="str">
        <f>IFERROR(__xludf.DUMMYFUNCTION("GOOGLETRANSLATE(C136, ""en"", ""zh"")"),"A) 快速传球 B) 控球 C) 跑开 D) 侧身躲开")</f>
        <v>A) 快速传球 B) 控球 C) 跑开 D) 侧身躲开</v>
      </c>
      <c r="J136" s="4" t="str">
        <f>IFERROR(__xludf.DUMMYFUNCTION("GOOGLETRANSLATE(D136, ""en"", ""zh"")"),"A) 快速传递")</f>
        <v>A) 快速传递</v>
      </c>
      <c r="K136" s="4" t="str">
        <f>IFERROR(__xludf.DUMMYFUNCTION("GOOGLETRANSLATE(E136, ""en"", ""zh"")"),"#VALUE!")</f>
        <v>#VALUE!</v>
      </c>
      <c r="L136" s="2"/>
      <c r="M136" s="2"/>
      <c r="N136" s="2"/>
      <c r="O136" s="2"/>
      <c r="P136" s="2"/>
      <c r="Q136" s="2"/>
      <c r="R136" s="2"/>
      <c r="S136" s="2"/>
      <c r="T136" s="2"/>
      <c r="U136" s="2"/>
      <c r="V136" s="2"/>
      <c r="W136" s="2"/>
      <c r="X136" s="2"/>
      <c r="Y136" s="2"/>
      <c r="Z136" s="2"/>
      <c r="AA136" s="2"/>
      <c r="AB136" s="2"/>
    </row>
    <row r="137">
      <c r="A137" s="18">
        <v>137.0</v>
      </c>
      <c r="B137" s="12" t="s">
        <v>428</v>
      </c>
      <c r="C137" s="12" t="s">
        <v>384</v>
      </c>
      <c r="D137" s="12" t="s">
        <v>212</v>
      </c>
      <c r="E137" s="16"/>
      <c r="F137" s="2"/>
      <c r="G137" s="2"/>
      <c r="H137" s="4" t="str">
        <f>IFERROR(__xludf.DUMMYFUNCTION("GOOGLETRANSLATE(B137, ""en"", ""zh"")"),"球从中场方向逼近。正确的技术是什么？")</f>
        <v>球从中场方向逼近。正确的技术是什么？</v>
      </c>
      <c r="I137" s="4" t="str">
        <f>IFERROR(__xludf.DUMMYFUNCTION("GOOGLETRANSLATE(C137, ""en"", ""zh"")"),"A) 设陷阱控制 B) 无视 C) 随意踢 D) 侧身躲开")</f>
        <v>A) 设陷阱控制 B) 无视 C) 随意踢 D) 侧身躲开</v>
      </c>
      <c r="J137" s="4" t="str">
        <f>IFERROR(__xludf.DUMMYFUNCTION("GOOGLETRANSLATE(D137, ""en"", ""zh"")"),"A) 诱捕和控制")</f>
        <v>A) 诱捕和控制</v>
      </c>
      <c r="K137" s="4" t="str">
        <f>IFERROR(__xludf.DUMMYFUNCTION("GOOGLETRANSLATE(E137, ""en"", ""zh"")"),"#VALUE!")</f>
        <v>#VALUE!</v>
      </c>
      <c r="L137" s="2"/>
      <c r="M137" s="2"/>
      <c r="N137" s="2"/>
      <c r="O137" s="2"/>
      <c r="P137" s="2"/>
      <c r="Q137" s="2"/>
      <c r="R137" s="2"/>
      <c r="S137" s="2"/>
      <c r="T137" s="2"/>
      <c r="U137" s="2"/>
      <c r="V137" s="2"/>
      <c r="W137" s="2"/>
      <c r="X137" s="2"/>
      <c r="Y137" s="2"/>
      <c r="Z137" s="2"/>
      <c r="AA137" s="2"/>
      <c r="AB137" s="2"/>
    </row>
    <row r="138">
      <c r="A138" s="18">
        <v>138.0</v>
      </c>
      <c r="B138" s="12" t="s">
        <v>429</v>
      </c>
      <c r="C138" s="12" t="s">
        <v>430</v>
      </c>
      <c r="D138" s="12" t="s">
        <v>377</v>
      </c>
      <c r="E138" s="16"/>
      <c r="F138" s="2"/>
      <c r="G138" s="2"/>
      <c r="H138" s="4" t="str">
        <f>IFERROR(__xludf.DUMMYFUNCTION("GOOGLETRANSLATE(B138, ""en"", ""zh"")"),"对手在球门前假动作运球。你应该怎么做？")</f>
        <v>对手在球门前假动作运球。你应该怎么做？</v>
      </c>
      <c r="I138" s="4" t="str">
        <f>IFERROR(__xludf.DUMMYFUNCTION("GOOGLETRANSLATE(C138, ""en"", ""zh"")"),"A) 观察并拦截 B) 向前跳跃 C) 忽略 D) 侧身让开")</f>
        <v>A) 观察并拦截 B) 向前跳跃 C) 忽略 D) 侧身让开</v>
      </c>
      <c r="J138" s="4" t="str">
        <f>IFERROR(__xludf.DUMMYFUNCTION("GOOGLETRANSLATE(D138, ""en"", ""zh"")"),"A) 观察并拦截")</f>
        <v>A) 观察并拦截</v>
      </c>
      <c r="K138" s="4" t="str">
        <f>IFERROR(__xludf.DUMMYFUNCTION("GOOGLETRANSLATE(E138, ""en"", ""zh"")"),"#VALUE!")</f>
        <v>#VALUE!</v>
      </c>
      <c r="L138" s="2"/>
      <c r="M138" s="2"/>
      <c r="N138" s="2"/>
      <c r="O138" s="2"/>
      <c r="P138" s="2"/>
      <c r="Q138" s="2"/>
      <c r="R138" s="2"/>
      <c r="S138" s="2"/>
      <c r="T138" s="2"/>
      <c r="U138" s="2"/>
      <c r="V138" s="2"/>
      <c r="W138" s="2"/>
      <c r="X138" s="2"/>
      <c r="Y138" s="2"/>
      <c r="Z138" s="2"/>
      <c r="AA138" s="2"/>
      <c r="AB138" s="2"/>
    </row>
    <row r="139">
      <c r="A139" s="18">
        <v>139.0</v>
      </c>
      <c r="B139" s="12" t="s">
        <v>431</v>
      </c>
      <c r="C139" s="12" t="s">
        <v>432</v>
      </c>
      <c r="D139" s="12" t="s">
        <v>433</v>
      </c>
      <c r="E139" s="16"/>
      <c r="F139" s="2"/>
      <c r="G139" s="2"/>
      <c r="H139" s="4" t="str">
        <f>IFERROR(__xludf.DUMMYFUNCTION("GOOGLETRANSLATE(B139, ""en"", ""zh"")"),"你注意到对方球门附近有空位。最佳策略是什么？")</f>
        <v>你注意到对方球门附近有空位。最佳策略是什么？</v>
      </c>
      <c r="I139" s="4" t="str">
        <f>IFERROR(__xludf.DUMMYFUNCTION("GOOGLETRANSLATE(C139, ""en"", ""zh"")"),"A) 运球或传球 B) 控球 C) 无视 D) 随意踢球")</f>
        <v>A) 运球或传球 B) 控球 C) 无视 D) 随意踢球</v>
      </c>
      <c r="J139" s="4" t="str">
        <f>IFERROR(__xludf.DUMMYFUNCTION("GOOGLETRANSLATE(D139, ""en"", ""zh"")"),"A) 运球或传球")</f>
        <v>A) 运球或传球</v>
      </c>
      <c r="K139" s="4" t="str">
        <f>IFERROR(__xludf.DUMMYFUNCTION("GOOGLETRANSLATE(E139, ""en"", ""zh"")"),"#VALUE!")</f>
        <v>#VALUE!</v>
      </c>
      <c r="L139" s="2"/>
      <c r="M139" s="2"/>
      <c r="N139" s="2"/>
      <c r="O139" s="2"/>
      <c r="P139" s="2"/>
      <c r="Q139" s="2"/>
      <c r="R139" s="2"/>
      <c r="S139" s="2"/>
      <c r="T139" s="2"/>
      <c r="U139" s="2"/>
      <c r="V139" s="2"/>
      <c r="W139" s="2"/>
      <c r="X139" s="2"/>
      <c r="Y139" s="2"/>
      <c r="Z139" s="2"/>
      <c r="AA139" s="2"/>
      <c r="AB139" s="2"/>
    </row>
    <row r="140">
      <c r="A140" s="18">
        <v>140.0</v>
      </c>
      <c r="B140" s="12" t="s">
        <v>347</v>
      </c>
      <c r="C140" s="12" t="s">
        <v>374</v>
      </c>
      <c r="D140" s="12" t="s">
        <v>349</v>
      </c>
      <c r="E140" s="16"/>
      <c r="F140" s="2"/>
      <c r="G140" s="2"/>
      <c r="H140" s="4" t="str">
        <f>IFERROR(__xludf.DUMMYFUNCTION("GOOGLETRANSLATE(B140, ""en"", ""zh"")"),"球在边线附近，对方球员正在逼近。你应该怎么做？")</f>
        <v>球在边线附近，对方球员正在逼近。你应该怎么做？</v>
      </c>
      <c r="I140" s="4" t="str">
        <f>IFERROR(__xludf.DUMMYFUNCTION("GOOGLETRANSLATE(C140, ""en"", ""zh"")"),"A) 控制并传球 B) 无视 C) 随意踢球 D) 侧身躲开")</f>
        <v>A) 控制并传球 B) 无视 C) 随意踢球 D) 侧身躲开</v>
      </c>
      <c r="J140" s="4" t="str">
        <f>IFERROR(__xludf.DUMMYFUNCTION("GOOGLETRANSLATE(D140, ""en"", ""zh"")"),"A) 控制和传球")</f>
        <v>A) 控制和传球</v>
      </c>
      <c r="K140" s="4" t="str">
        <f>IFERROR(__xludf.DUMMYFUNCTION("GOOGLETRANSLATE(E140, ""en"", ""zh"")"),"#VALUE!")</f>
        <v>#VALUE!</v>
      </c>
      <c r="L140" s="2"/>
      <c r="M140" s="2"/>
      <c r="N140" s="2"/>
      <c r="O140" s="2"/>
      <c r="P140" s="2"/>
      <c r="Q140" s="2"/>
      <c r="R140" s="2"/>
      <c r="S140" s="2"/>
      <c r="T140" s="2"/>
      <c r="U140" s="2"/>
      <c r="V140" s="2"/>
      <c r="W140" s="2"/>
      <c r="X140" s="2"/>
      <c r="Y140" s="2"/>
      <c r="Z140" s="2"/>
      <c r="AA140" s="2"/>
      <c r="AB140" s="2"/>
    </row>
    <row r="141">
      <c r="A141" s="18">
        <v>141.0</v>
      </c>
      <c r="B141" s="12" t="s">
        <v>434</v>
      </c>
      <c r="C141" s="12" t="s">
        <v>435</v>
      </c>
      <c r="D141" s="12" t="s">
        <v>436</v>
      </c>
      <c r="E141" s="16"/>
      <c r="F141" s="2"/>
      <c r="G141" s="2"/>
      <c r="H141" s="4" t="str">
        <f>IFERROR(__xludf.DUMMYFUNCTION("GOOGLETRANSLATE(B141, ""en"", ""zh"")"),"你正在防守对方的快速反击。你应该如何站位？")</f>
        <v>你正在防守对方的快速反击。你应该如何站位？</v>
      </c>
      <c r="I141" s="4" t="str">
        <f>IFERROR(__xludf.DUMMYFUNCTION("GOOGLETRANSLATE(C141, ""en"", ""zh"")"),"A) 追踪对手并格挡 B) 随意踢击 C) 侧身躲开 D) 无视")</f>
        <v>A) 追踪对手并格挡 B) 随意踢击 C) 侧身躲开 D) 无视</v>
      </c>
      <c r="J141" s="4" t="str">
        <f>IFERROR(__xludf.DUMMYFUNCTION("GOOGLETRANSLATE(D141, ""en"", ""zh"")"),"A) 跟踪对手并进行阻挡")</f>
        <v>A) 跟踪对手并进行阻挡</v>
      </c>
      <c r="K141" s="4" t="str">
        <f>IFERROR(__xludf.DUMMYFUNCTION("GOOGLETRANSLATE(E141, ""en"", ""zh"")"),"#VALUE!")</f>
        <v>#VALUE!</v>
      </c>
      <c r="L141" s="2"/>
      <c r="M141" s="2"/>
      <c r="N141" s="2"/>
      <c r="O141" s="2"/>
      <c r="P141" s="2"/>
      <c r="Q141" s="2"/>
      <c r="R141" s="2"/>
      <c r="S141" s="2"/>
      <c r="T141" s="2"/>
      <c r="U141" s="2"/>
      <c r="V141" s="2"/>
      <c r="W141" s="2"/>
      <c r="X141" s="2"/>
      <c r="Y141" s="2"/>
      <c r="Z141" s="2"/>
      <c r="AA141" s="2"/>
      <c r="AB141" s="2"/>
    </row>
    <row r="142">
      <c r="A142" s="18">
        <v>142.0</v>
      </c>
      <c r="B142" s="12" t="s">
        <v>437</v>
      </c>
      <c r="C142" s="12" t="s">
        <v>314</v>
      </c>
      <c r="D142" s="12" t="s">
        <v>293</v>
      </c>
      <c r="E142" s="16"/>
      <c r="F142" s="2"/>
      <c r="G142" s="2"/>
      <c r="H142" s="4" t="str">
        <f>IFERROR(__xludf.DUMMYFUNCTION("GOOGLETRANSLATE(B142, ""en"", ""zh"")"),"队友在球门附近无人盯防。你应该怎么做？")</f>
        <v>队友在球门附近无人盯防。你应该怎么做？</v>
      </c>
      <c r="I142" s="4" t="str">
        <f>IFERROR(__xludf.DUMMYFUNCTION("GOOGLETRANSLATE(C142, ""en"", ""zh"")"),"A) 立即传球 B) 持球 C) 跑开 D) 侧身躲开")</f>
        <v>A) 立即传球 B) 持球 C) 跑开 D) 侧身躲开</v>
      </c>
      <c r="J142" s="4" t="str">
        <f>IFERROR(__xludf.DUMMYFUNCTION("GOOGLETRANSLATE(D142, ""en"", ""zh"")"),"A) 立即通过")</f>
        <v>A) 立即通过</v>
      </c>
      <c r="K142" s="4" t="str">
        <f>IFERROR(__xludf.DUMMYFUNCTION("GOOGLETRANSLATE(E142, ""en"", ""zh"")"),"#VALUE!")</f>
        <v>#VALUE!</v>
      </c>
      <c r="L142" s="2"/>
      <c r="M142" s="2"/>
      <c r="N142" s="2"/>
      <c r="O142" s="2"/>
      <c r="P142" s="2"/>
      <c r="Q142" s="2"/>
      <c r="R142" s="2"/>
      <c r="S142" s="2"/>
      <c r="T142" s="2"/>
      <c r="U142" s="2"/>
      <c r="V142" s="2"/>
      <c r="W142" s="2"/>
      <c r="X142" s="2"/>
      <c r="Y142" s="2"/>
      <c r="Z142" s="2"/>
      <c r="AA142" s="2"/>
      <c r="AB142" s="2"/>
    </row>
    <row r="143">
      <c r="A143" s="18">
        <v>143.0</v>
      </c>
      <c r="B143" s="12" t="s">
        <v>438</v>
      </c>
      <c r="C143" s="12" t="s">
        <v>310</v>
      </c>
      <c r="D143" s="12" t="s">
        <v>212</v>
      </c>
      <c r="E143" s="16"/>
      <c r="F143" s="2"/>
      <c r="G143" s="2"/>
      <c r="H143" s="4" t="str">
        <f>IFERROR(__xludf.DUMMYFUNCTION("GOOGLETRANSLATE(B143, ""en"", ""zh"")"),"球正滚向禁区。首要任务是什么？")</f>
        <v>球正滚向禁区。首要任务是什么？</v>
      </c>
      <c r="I143" s="4" t="str">
        <f>IFERROR(__xludf.DUMMYFUNCTION("GOOGLETRANSLATE(C143, ""en"", ""zh"")"),"A）设陷阱控制 B）随意踢击 C）侧身躲开 D）无视")</f>
        <v>A）设陷阱控制 B）随意踢击 C）侧身躲开 D）无视</v>
      </c>
      <c r="J143" s="4" t="str">
        <f>IFERROR(__xludf.DUMMYFUNCTION("GOOGLETRANSLATE(D143, ""en"", ""zh"")"),"A) 诱捕和控制")</f>
        <v>A) 诱捕和控制</v>
      </c>
      <c r="K143" s="4" t="str">
        <f>IFERROR(__xludf.DUMMYFUNCTION("GOOGLETRANSLATE(E143, ""en"", ""zh"")"),"#VALUE!")</f>
        <v>#VALUE!</v>
      </c>
      <c r="L143" s="2"/>
      <c r="M143" s="2"/>
      <c r="N143" s="2"/>
      <c r="O143" s="2"/>
      <c r="P143" s="2"/>
      <c r="Q143" s="2"/>
      <c r="R143" s="2"/>
      <c r="S143" s="2"/>
      <c r="T143" s="2"/>
      <c r="U143" s="2"/>
      <c r="V143" s="2"/>
      <c r="W143" s="2"/>
      <c r="X143" s="2"/>
      <c r="Y143" s="2"/>
      <c r="Z143" s="2"/>
      <c r="AA143" s="2"/>
      <c r="AB143" s="2"/>
    </row>
    <row r="144">
      <c r="A144" s="18">
        <v>144.0</v>
      </c>
      <c r="B144" s="12" t="s">
        <v>439</v>
      </c>
      <c r="C144" s="12" t="s">
        <v>312</v>
      </c>
      <c r="D144" s="12" t="s">
        <v>230</v>
      </c>
      <c r="E144" s="16"/>
      <c r="F144" s="2"/>
      <c r="G144" s="2"/>
      <c r="H144" s="4" t="str">
        <f>IFERROR(__xludf.DUMMYFUNCTION("GOOGLETRANSLATE(B144, ""en"", ""zh"")"),"对手快速逼近，如何保持控球权？")</f>
        <v>对手快速逼近，如何保持控球权？</v>
      </c>
      <c r="I144" s="4" t="str">
        <f>IFERROR(__xludf.DUMMYFUNCTION("GOOGLETRANSLATE(C144, ""en"", ""zh"")"),"A）护球 B）随意踢球 C）侧身躲开 D）无视")</f>
        <v>A）护球 B）随意踢球 C）侧身躲开 D）无视</v>
      </c>
      <c r="J144" s="4" t="str">
        <f>IFERROR(__xludf.DUMMYFUNCTION("GOOGLETRANSLATE(D144, ""en"", ""zh"")"),"A）护球")</f>
        <v>A）护球</v>
      </c>
      <c r="K144" s="4" t="str">
        <f>IFERROR(__xludf.DUMMYFUNCTION("GOOGLETRANSLATE(E144, ""en"", ""zh"")"),"#VALUE!")</f>
        <v>#VALUE!</v>
      </c>
      <c r="L144" s="2"/>
      <c r="M144" s="2"/>
      <c r="N144" s="2"/>
      <c r="O144" s="2"/>
      <c r="P144" s="2"/>
      <c r="Q144" s="2"/>
      <c r="R144" s="2"/>
      <c r="S144" s="2"/>
      <c r="T144" s="2"/>
      <c r="U144" s="2"/>
      <c r="V144" s="2"/>
      <c r="W144" s="2"/>
      <c r="X144" s="2"/>
      <c r="Y144" s="2"/>
      <c r="Z144" s="2"/>
      <c r="AA144" s="2"/>
      <c r="AB144" s="2"/>
    </row>
    <row r="145">
      <c r="A145" s="18">
        <v>145.0</v>
      </c>
      <c r="B145" s="12" t="s">
        <v>440</v>
      </c>
      <c r="C145" s="12" t="s">
        <v>323</v>
      </c>
      <c r="D145" s="12" t="s">
        <v>324</v>
      </c>
      <c r="E145" s="16"/>
      <c r="F145" s="2"/>
      <c r="G145" s="2"/>
      <c r="H145" s="4" t="str">
        <f>IFERROR(__xludf.DUMMYFUNCTION("GOOGLETRANSLATE(B145, ""en"", ""zh"")"),"队友即将投篮，你应该如何支援？")</f>
        <v>队友即将投篮，你应该如何支援？</v>
      </c>
      <c r="I145" s="4" t="str">
        <f>IFERROR(__xludf.DUMMYFUNCTION("GOOGLETRANSLATE(C145, ""en"", ""zh"")"),"A) 移动抢篮板或传球 B) 无视 C) 跑开 D) 侧身躲开")</f>
        <v>A) 移动抢篮板或传球 B) 无视 C) 跑开 D) 侧身躲开</v>
      </c>
      <c r="J145" s="4" t="str">
        <f>IFERROR(__xludf.DUMMYFUNCTION("GOOGLETRANSLATE(D145, ""en"", ""zh"")"),"A) 移动抢篮板或传球")</f>
        <v>A) 移动抢篮板或传球</v>
      </c>
      <c r="K145" s="4" t="str">
        <f>IFERROR(__xludf.DUMMYFUNCTION("GOOGLETRANSLATE(E145, ""en"", ""zh"")"),"#VALUE!")</f>
        <v>#VALUE!</v>
      </c>
      <c r="L145" s="2"/>
      <c r="M145" s="2"/>
      <c r="N145" s="2"/>
      <c r="O145" s="2"/>
      <c r="P145" s="2"/>
      <c r="Q145" s="2"/>
      <c r="R145" s="2"/>
      <c r="S145" s="2"/>
      <c r="T145" s="2"/>
      <c r="U145" s="2"/>
      <c r="V145" s="2"/>
      <c r="W145" s="2"/>
      <c r="X145" s="2"/>
      <c r="Y145" s="2"/>
      <c r="Z145" s="2"/>
      <c r="AA145" s="2"/>
      <c r="AB145" s="2"/>
    </row>
    <row r="146">
      <c r="A146" s="18">
        <v>146.0</v>
      </c>
      <c r="B146" s="12" t="s">
        <v>383</v>
      </c>
      <c r="C146" s="12" t="s">
        <v>441</v>
      </c>
      <c r="D146" s="12" t="s">
        <v>442</v>
      </c>
      <c r="E146" s="16"/>
      <c r="F146" s="2"/>
      <c r="G146" s="2"/>
      <c r="H146" s="4" t="str">
        <f>IFERROR(__xludf.DUMMYFUNCTION("GOOGLETRANSLATE(B146, ""en"", ""zh"")"),"球在中场附近弹跳。正确的处理方式是什么？")</f>
        <v>球在中场附近弹跳。正确的处理方式是什么？</v>
      </c>
      <c r="I146" s="4" t="str">
        <f>IFERROR(__xludf.DUMMYFUNCTION("GOOGLETRANSLATE(C146, ""en"", ""zh"")"),"A) 设陷阱或控制 B) 无视 C) 随意踢 D) 侧身躲开")</f>
        <v>A) 设陷阱或控制 B) 无视 C) 随意踢 D) 侧身躲开</v>
      </c>
      <c r="J146" s="4" t="str">
        <f>IFERROR(__xludf.DUMMYFUNCTION("GOOGLETRANSLATE(D146, ""en"", ""zh"")"),"A) 诱捕或控制")</f>
        <v>A) 诱捕或控制</v>
      </c>
      <c r="K146" s="4" t="str">
        <f>IFERROR(__xludf.DUMMYFUNCTION("GOOGLETRANSLATE(E146, ""en"", ""zh"")"),"#VALUE!")</f>
        <v>#VALUE!</v>
      </c>
      <c r="L146" s="2"/>
      <c r="M146" s="2"/>
      <c r="N146" s="2"/>
      <c r="O146" s="2"/>
      <c r="P146" s="2"/>
      <c r="Q146" s="2"/>
      <c r="R146" s="2"/>
      <c r="S146" s="2"/>
      <c r="T146" s="2"/>
      <c r="U146" s="2"/>
      <c r="V146" s="2"/>
      <c r="W146" s="2"/>
      <c r="X146" s="2"/>
      <c r="Y146" s="2"/>
      <c r="Z146" s="2"/>
      <c r="AA146" s="2"/>
      <c r="AB146" s="2"/>
    </row>
    <row r="147">
      <c r="A147" s="18">
        <v>147.0</v>
      </c>
      <c r="B147" s="12" t="s">
        <v>443</v>
      </c>
      <c r="C147" s="12" t="s">
        <v>407</v>
      </c>
      <c r="D147" s="12" t="s">
        <v>343</v>
      </c>
      <c r="E147" s="16"/>
      <c r="F147" s="2"/>
      <c r="G147" s="2"/>
      <c r="H147" s="4" t="str">
        <f>IFERROR(__xludf.DUMMYFUNCTION("GOOGLETRANSLATE(B147, ""en"", ""zh"")"),"对手在你球门附近假装射门，你会如何应对？")</f>
        <v>对手在你球门附近假装射门，你会如何应对？</v>
      </c>
      <c r="I147" s="4" t="str">
        <f>IFERROR(__xludf.DUMMYFUNCTION("GOOGLETRANSLATE(C147, ""en"", ""zh"")"),"A) 保持警惕并阻挡 B) 向前跳跃 C) 无视 D) 侧身躲开")</f>
        <v>A) 保持警惕并阻挡 B) 向前跳跃 C) 无视 D) 侧身躲开</v>
      </c>
      <c r="J147" s="4" t="str">
        <f>IFERROR(__xludf.DUMMYFUNCTION("GOOGLETRANSLATE(D147, ""en"", ""zh"")"),"A) 保持警惕并阻止")</f>
        <v>A) 保持警惕并阻止</v>
      </c>
      <c r="K147" s="4" t="str">
        <f>IFERROR(__xludf.DUMMYFUNCTION("GOOGLETRANSLATE(E147, ""en"", ""zh"")"),"#VALUE!")</f>
        <v>#VALUE!</v>
      </c>
      <c r="L147" s="2"/>
      <c r="M147" s="2"/>
      <c r="N147" s="2"/>
      <c r="O147" s="2"/>
      <c r="P147" s="2"/>
      <c r="Q147" s="2"/>
      <c r="R147" s="2"/>
      <c r="S147" s="2"/>
      <c r="T147" s="2"/>
      <c r="U147" s="2"/>
      <c r="V147" s="2"/>
      <c r="W147" s="2"/>
      <c r="X147" s="2"/>
      <c r="Y147" s="2"/>
      <c r="Z147" s="2"/>
      <c r="AA147" s="2"/>
      <c r="AB147" s="2"/>
    </row>
    <row r="148">
      <c r="A148" s="18">
        <v>148.0</v>
      </c>
      <c r="B148" s="12" t="s">
        <v>444</v>
      </c>
      <c r="C148" s="12" t="s">
        <v>345</v>
      </c>
      <c r="D148" s="12" t="s">
        <v>346</v>
      </c>
      <c r="E148" s="16"/>
      <c r="F148" s="2"/>
      <c r="G148" s="2"/>
      <c r="H148" s="4" t="str">
        <f>IFERROR(__xludf.DUMMYFUNCTION("GOOGLETRANSLATE(B148, ""en"", ""zh"")"),"你即将主罚任意球。什么才是最重要的？")</f>
        <v>你即将主罚任意球。什么才是最重要的？</v>
      </c>
      <c r="I148" s="4" t="str">
        <f>IFERROR(__xludf.DUMMYFUNCTION("GOOGLETRANSLATE(C148, ""en"", ""zh"")"),"A) 精准瞄准 B) 任意位置踢球 C) 忽略 D) 随机")</f>
        <v>A) 精准瞄准 B) 任意位置踢球 C) 忽略 D) 随机</v>
      </c>
      <c r="J148" s="4" t="str">
        <f>IFERROR(__xludf.DUMMYFUNCTION("GOOGLETRANSLATE(D148, ""en"", ""zh"")"),"A) 准确性和目标")</f>
        <v>A) 准确性和目标</v>
      </c>
      <c r="K148" s="4" t="str">
        <f>IFERROR(__xludf.DUMMYFUNCTION("GOOGLETRANSLATE(E148, ""en"", ""zh"")"),"#VALUE!")</f>
        <v>#VALUE!</v>
      </c>
      <c r="L148" s="2"/>
      <c r="M148" s="2"/>
      <c r="N148" s="2"/>
      <c r="O148" s="2"/>
      <c r="P148" s="2"/>
      <c r="Q148" s="2"/>
      <c r="R148" s="2"/>
      <c r="S148" s="2"/>
      <c r="T148" s="2"/>
      <c r="U148" s="2"/>
      <c r="V148" s="2"/>
      <c r="W148" s="2"/>
      <c r="X148" s="2"/>
      <c r="Y148" s="2"/>
      <c r="Z148" s="2"/>
      <c r="AA148" s="2"/>
      <c r="AB148" s="2"/>
    </row>
    <row r="149">
      <c r="A149" s="18">
        <v>149.0</v>
      </c>
      <c r="B149" s="12" t="s">
        <v>445</v>
      </c>
      <c r="C149" s="12" t="s">
        <v>348</v>
      </c>
      <c r="D149" s="12" t="s">
        <v>349</v>
      </c>
      <c r="E149" s="16"/>
      <c r="F149" s="2"/>
      <c r="G149" s="2"/>
      <c r="H149" s="4" t="str">
        <f>IFERROR(__xludf.DUMMYFUNCTION("GOOGLETRANSLATE(B149, ""en"", ""zh"")"),"球在边线附近，对手离得很近。你应该怎么打？")</f>
        <v>球在边线附近，对手离得很近。你应该怎么打？</v>
      </c>
      <c r="I149" s="4" t="str">
        <f>IFERROR(__xludf.DUMMYFUNCTION("GOOGLETRANSLATE(C149, ""en"", ""zh"")"),"A) 控制并传球 B) 无视 C) 侧身躲开 D) 随意踢球")</f>
        <v>A) 控制并传球 B) 无视 C) 侧身躲开 D) 随意踢球</v>
      </c>
      <c r="J149" s="4" t="str">
        <f>IFERROR(__xludf.DUMMYFUNCTION("GOOGLETRANSLATE(D149, ""en"", ""zh"")"),"A) 控制和传球")</f>
        <v>A) 控制和传球</v>
      </c>
      <c r="K149" s="4" t="str">
        <f>IFERROR(__xludf.DUMMYFUNCTION("GOOGLETRANSLATE(E149, ""en"", ""zh"")"),"#VALUE!")</f>
        <v>#VALUE!</v>
      </c>
      <c r="L149" s="2"/>
      <c r="M149" s="2"/>
      <c r="N149" s="2"/>
      <c r="O149" s="2"/>
      <c r="P149" s="2"/>
      <c r="Q149" s="2"/>
      <c r="R149" s="2"/>
      <c r="S149" s="2"/>
      <c r="T149" s="2"/>
      <c r="U149" s="2"/>
      <c r="V149" s="2"/>
      <c r="W149" s="2"/>
      <c r="X149" s="2"/>
      <c r="Y149" s="2"/>
      <c r="Z149" s="2"/>
      <c r="AA149" s="2"/>
      <c r="AB149" s="2"/>
    </row>
    <row r="150">
      <c r="A150" s="18">
        <v>150.0</v>
      </c>
      <c r="B150" s="12" t="s">
        <v>446</v>
      </c>
      <c r="C150" s="12" t="s">
        <v>401</v>
      </c>
      <c r="D150" s="12" t="s">
        <v>402</v>
      </c>
      <c r="E150" s="16"/>
      <c r="F150" s="2"/>
      <c r="G150" s="2"/>
      <c r="H150" s="4" t="str">
        <f>IFERROR(__xludf.DUMMYFUNCTION("GOOGLETRANSLATE(B150, ""en"", ""zh"")"),"队友晋升很快，你如何帮助他？")</f>
        <v>队友晋升很快，你如何帮助他？</v>
      </c>
      <c r="I150" s="4" t="str">
        <f>IFERROR(__xludf.DUMMYFUNCTION("GOOGLETRANSLATE(C150, ""en"", ""zh"")"),"A) 移动以创造传球机会 B) 无视 C) 逃跑 D) 侧身")</f>
        <v>A) 移动以创造传球机会 B) 无视 C) 逃跑 D) 侧身</v>
      </c>
      <c r="J150" s="4" t="str">
        <f>IFERROR(__xludf.DUMMYFUNCTION("GOOGLETRANSLATE(D150, ""en"", ""zh"")"),"A) 移动以创建传球选项")</f>
        <v>A) 移动以创建传球选项</v>
      </c>
      <c r="K150" s="4" t="str">
        <f>IFERROR(__xludf.DUMMYFUNCTION("GOOGLETRANSLATE(E150, ""en"", ""zh"")"),"#VALUE!")</f>
        <v>#VALUE!</v>
      </c>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25"/>
    <col customWidth="1" min="5" max="5" width="12.75"/>
    <col customWidth="1" min="9" max="9" width="20.88"/>
    <col customWidth="1" min="10" max="10" width="12.75"/>
    <col customWidth="1" min="12" max="12" width="12.75"/>
  </cols>
  <sheetData>
    <row r="1">
      <c r="A1" s="20" t="s">
        <v>0</v>
      </c>
      <c r="B1" s="20" t="s">
        <v>1</v>
      </c>
      <c r="C1" s="20" t="s">
        <v>2</v>
      </c>
      <c r="D1" s="20" t="s">
        <v>3</v>
      </c>
      <c r="E1" s="20" t="s">
        <v>4</v>
      </c>
      <c r="F1" s="21"/>
      <c r="G1" s="21"/>
      <c r="H1" s="22"/>
      <c r="I1" s="20" t="s">
        <v>5</v>
      </c>
      <c r="J1" s="20" t="s">
        <v>6</v>
      </c>
      <c r="K1" s="20" t="s">
        <v>7</v>
      </c>
      <c r="L1" s="20" t="s">
        <v>4</v>
      </c>
      <c r="M1" s="22"/>
      <c r="N1" s="3"/>
      <c r="O1" s="22"/>
      <c r="P1" s="22"/>
    </row>
    <row r="2" ht="150.75" customHeight="1">
      <c r="A2" s="23">
        <v>1.0</v>
      </c>
      <c r="B2" s="24" t="s">
        <v>447</v>
      </c>
      <c r="C2" s="24" t="s">
        <v>448</v>
      </c>
      <c r="D2" s="24" t="s">
        <v>449</v>
      </c>
      <c r="E2" s="24" t="s">
        <v>450</v>
      </c>
      <c r="F2" s="21"/>
      <c r="G2" s="21"/>
      <c r="H2" s="25"/>
      <c r="I2" s="24" t="str">
        <f>IFERROR(__xludf.DUMMYFUNCTION("GOOGLETRANSLATE(B2, ""en"", ""zh"")"),"在国际龙舟锦标赛决赛中，A队和B队进行500米比赛。比赛分为四个赛段，每个赛段长125米。A队到达125米标记点用时30秒，B队用时32秒。在第二赛段，A队用时32秒完成125米，B队用时33秒。在第三赛段，A队用时33秒完成125米，B队用时35秒。在第四赛段，A队用时31秒完成125米，B队用时34秒。谁赢得了比赛？")</f>
        <v>在国际龙舟锦标赛决赛中，A队和B队进行500米比赛。比赛分为四个赛段，每个赛段长125米。A队到达125米标记点用时30秒，B队用时32秒。在第二赛段，A队用时32秒完成125米，B队用时33秒。在第三赛段，A队用时33秒完成125米，B队用时35秒。在第四赛段，A队用时31秒完成125米，B队用时34秒。谁赢得了比赛？</v>
      </c>
      <c r="J2" s="24" t="str">
        <f>IFERROR(__xludf.DUMMYFUNCTION("GOOGLETRANSLATE(C2, ""en"", ""zh"")"),"A) A队，B) B队，C) 比赛仍在进行中，D) 平局")</f>
        <v>A) A队，B) B队，C) 比赛仍在进行中，D) 平局</v>
      </c>
      <c r="K2" s="24" t="str">
        <f>IFERROR(__xludf.DUMMYFUNCTION("GOOGLETRANSLATE(D2, ""en"", ""zh"")"),"A) A队")</f>
        <v>A) A队</v>
      </c>
      <c r="L2" s="24" t="str">
        <f>IFERROR(__xludf.DUMMYFUNCTION("GOOGLETRANSLATE(E2, ""en"", ""zh"")"),"A队以128秒的总成绩完赛，比B队用时134秒更快。A队赢得了比赛。")</f>
        <v>A队以128秒的总成绩完赛，比B队用时134秒更快。A队赢得了比赛。</v>
      </c>
      <c r="M2" s="22"/>
      <c r="N2" s="21"/>
      <c r="O2" s="22"/>
      <c r="P2" s="21"/>
    </row>
    <row r="3" ht="51.75" customHeight="1">
      <c r="A3" s="23">
        <v>2.0</v>
      </c>
      <c r="B3" s="24" t="s">
        <v>451</v>
      </c>
      <c r="C3" s="24" t="s">
        <v>452</v>
      </c>
      <c r="D3" s="24" t="s">
        <v>449</v>
      </c>
      <c r="E3" s="24" t="s">
        <v>453</v>
      </c>
      <c r="F3" s="21"/>
      <c r="G3" s="21"/>
      <c r="H3" s="25"/>
      <c r="I3" s="24" t="str">
        <f>IFERROR(__xludf.DUMMYFUNCTION("GOOGLETRANSLATE(B3, ""en"", ""zh"")"),"在龙舟比赛中，每支队伍都要进行10分钟的计时赛。比赛时间以龙舟每2分钟到达的位置为准。A队在2分钟时到达200米，4分钟时到达400米，6分钟时到达600米，8分钟时到达800米。B队在2分钟时到达180米，4分钟时到达370米，6分钟时到达580米，8分钟时到达800米。哪支队伍更有可能获胜？")</f>
        <v>在龙舟比赛中，每支队伍都要进行10分钟的计时赛。比赛时间以龙舟每2分钟到达的位置为准。A队在2分钟时到达200米，4分钟时到达400米，6分钟时到达600米，8分钟时到达800米。B队在2分钟时到达180米，4分钟时到达370米，6分钟时到达580米，8分钟时到达800米。哪支队伍更有可能获胜？</v>
      </c>
      <c r="J3" s="24" t="str">
        <f>IFERROR(__xludf.DUMMYFUNCTION("GOOGLETRANSLATE(C3, ""en"", ""zh"")"),"A) A队，B) B队，C) 两队同时完成，D) 现在确定还为时过早")</f>
        <v>A) A队，B) B队，C) 两队同时完成，D) 现在确定还为时过早</v>
      </c>
      <c r="K3" s="24" t="str">
        <f>IFERROR(__xludf.DUMMYFUNCTION("GOOGLETRANSLATE(D3, ""en"", ""zh"")"),"A) A队")</f>
        <v>A) A队</v>
      </c>
      <c r="L3" s="24" t="str">
        <f>IFERROR(__xludf.DUMMYFUNCTION("GOOGLETRANSLATE(E3, ""en"", ""zh"")"),"A 队在所有检查点都始终领先于 B 队，这表明他们的比赛速度更快。")</f>
        <v>A 队在所有检查点都始终领先于 B 队，这表明他们的比赛速度更快。</v>
      </c>
      <c r="M3" s="22"/>
      <c r="N3" s="21"/>
      <c r="O3" s="22"/>
      <c r="P3" s="22"/>
    </row>
    <row r="4" ht="78.0" customHeight="1">
      <c r="A4" s="23">
        <v>3.0</v>
      </c>
      <c r="B4" s="24" t="s">
        <v>454</v>
      </c>
      <c r="C4" s="24" t="s">
        <v>455</v>
      </c>
      <c r="D4" s="24" t="s">
        <v>456</v>
      </c>
      <c r="E4" s="24" t="s">
        <v>457</v>
      </c>
      <c r="F4" s="21"/>
      <c r="G4" s="21"/>
      <c r="H4" s="25"/>
      <c r="I4" s="24" t="str">
        <f>IFERROR(__xludf.DUMMYFUNCTION("GOOGLETRANSLATE(B4, ""en"", ""zh"")"),"在龙舟世界杯比赛中，A队和B队都晋级了1000米决赛。A队的平均速度为每秒5米，B队的平均速度为每秒4.8米。请问两队分别需要多长时间才能完成比赛？")</f>
        <v>在龙舟世界杯比赛中，A队和B队都晋级了1000米决赛。A队的平均速度为每秒5米，B队的平均速度为每秒4.8米。请问两队分别需要多长时间才能完成比赛？</v>
      </c>
      <c r="J4" s="24" t="str">
        <f>IFERROR(__xludf.DUMMYFUNCTION("GOOGLETRANSLATE(C4, ""en"", ""zh"")"),"A) A队：200秒，B队：208.33秒；B) A队：208.33秒，B队：200秒；C) A队：150秒，B队：160秒；D) A队：250秒，B队：240秒")</f>
        <v>A) A队：200秒，B队：208.33秒；B) A队：208.33秒，B队：200秒；C) A队：150秒，B队：160秒；D) A队：250秒，B队：240秒</v>
      </c>
      <c r="K4" s="24" t="str">
        <f>IFERROR(__xludf.DUMMYFUNCTION("GOOGLETRANSLATE(D4, ""en"", ""zh"")"),"A) A队：200秒，B队：208.33秒")</f>
        <v>A) A队：200秒，B队：208.33秒</v>
      </c>
      <c r="L4" s="24" t="str">
        <f>IFERROR(__xludf.DUMMYFUNCTION("GOOGLETRANSLATE(E4, ""en"", ""zh"")"),"时间的计算方法是用距离除以速度。A队：1000米 / 5米/秒 = 200秒。B队：1000米 / 4.8米/秒 = 208.33秒。")</f>
        <v>时间的计算方法是用距离除以速度。A队：1000米 / 5米/秒 = 200秒。B队：1000米 / 4.8米/秒 = 208.33秒。</v>
      </c>
      <c r="M4" s="22"/>
      <c r="N4" s="21"/>
      <c r="O4" s="22"/>
      <c r="P4" s="21"/>
    </row>
    <row r="5" ht="73.5" customHeight="1">
      <c r="A5" s="23">
        <v>4.0</v>
      </c>
      <c r="B5" s="24" t="s">
        <v>458</v>
      </c>
      <c r="C5" s="24" t="s">
        <v>459</v>
      </c>
      <c r="D5" s="24" t="s">
        <v>460</v>
      </c>
      <c r="E5" s="24" t="s">
        <v>461</v>
      </c>
      <c r="F5" s="21"/>
      <c r="G5" s="21"/>
      <c r="H5" s="25"/>
      <c r="I5" s="24" t="str">
        <f>IFERROR(__xludf.DUMMYFUNCTION("GOOGLETRANSLATE(B5, ""en"", ""zh"")"),"在一场龙舟比赛中，A队和B队进行2000米的比赛。两队同时出发。A队全程保持8米/秒的恒定速度，而B队起步强劲，前1000米速度达到8.5米/秒，后1000米速度降至7米/秒。两队分别需要多长时间才能完成比赛？")</f>
        <v>在一场龙舟比赛中，A队和B队进行2000米的比赛。两队同时出发。A队全程保持8米/秒的恒定速度，而B队起步强劲，前1000米速度达到8.5米/秒，后1000米速度降至7米/秒。两队分别需要多长时间才能完成比赛？</v>
      </c>
      <c r="J5" s="24" t="str">
        <f>IFERROR(__xludf.DUMMYFUNCTION("GOOGLETRANSLATE(C5, ""en"", ""zh"")"),"A) A队：250秒，B队：235.29秒；B) A队：250秒，B队：271.43秒；C) A队：200秒，B队：225秒；D) A队：275秒，B队：300秒")</f>
        <v>A) A队：250秒，B队：235.29秒；B) A队：250秒，B队：271.43秒；C) A队：200秒，B队：225秒；D) A队：275秒，B队：300秒</v>
      </c>
      <c r="K5" s="24" t="str">
        <f>IFERROR(__xludf.DUMMYFUNCTION("GOOGLETRANSLATE(D5, ""en"", ""zh"")"),"B) A队：250秒，B队：271.43秒")</f>
        <v>B) A队：250秒，B队：271.43秒</v>
      </c>
      <c r="L5" s="24" t="str">
        <f>IFERROR(__xludf.DUMMYFUNCTION("GOOGLETRANSLATE(E5, ""en"", ""zh"")"),"A队用时：2000米/8米/秒=250秒。B队用时：（1000米/8.5米/秒）+（1000米/7米/秒）=117.65+142.86=271.43秒。")</f>
        <v>A队用时：2000米/8米/秒=250秒。B队用时：（1000米/8.5米/秒）+（1000米/7米/秒）=117.65+142.86=271.43秒。</v>
      </c>
      <c r="M5" s="22"/>
      <c r="N5" s="21"/>
      <c r="O5" s="22"/>
      <c r="P5" s="21"/>
    </row>
    <row r="6" ht="66.0" customHeight="1">
      <c r="A6" s="23">
        <v>5.0</v>
      </c>
      <c r="B6" s="24" t="s">
        <v>462</v>
      </c>
      <c r="C6" s="24" t="s">
        <v>463</v>
      </c>
      <c r="D6" s="24" t="s">
        <v>464</v>
      </c>
      <c r="E6" s="24" t="s">
        <v>465</v>
      </c>
      <c r="F6" s="21"/>
      <c r="G6" s="21"/>
      <c r="H6" s="25"/>
      <c r="I6" s="24" t="str">
        <f>IFERROR(__xludf.DUMMYFUNCTION("GOOGLETRANSLATE(B6, ""en"", ""zh"")"),"在一场龙舟比赛中，A队用时10分30秒完成比赛，B队用时10分45秒完成比赛。两队成绩相差多少秒？")</f>
        <v>在一场龙舟比赛中，A队用时10分30秒完成比赛，B队用时10分45秒完成比赛。两队成绩相差多少秒？</v>
      </c>
      <c r="J6" s="24" t="str">
        <f>IFERROR(__xludf.DUMMYFUNCTION("GOOGLETRANSLATE(C6, ""en"", ""zh"")"),"A) 15秒，B) 10秒，C) 30秒，D) 5秒")</f>
        <v>A) 15秒，B) 10秒，C) 30秒，D) 5秒</v>
      </c>
      <c r="K6" s="24" t="str">
        <f>IFERROR(__xludf.DUMMYFUNCTION("GOOGLETRANSLATE(D6, ""en"", ""zh"")"),"A) 15 秒")</f>
        <v>A) 15 秒</v>
      </c>
      <c r="L6" s="24" t="str">
        <f>IFERROR(__xludf.DUMMYFUNCTION("GOOGLETRANSLATE(E6, ""en"", ""zh"")"),"时间差就是 10 分 45 秒减去 10 分 30 秒，等于 15 秒。")</f>
        <v>时间差就是 10 分 45 秒减去 10 分 30 秒，等于 15 秒。</v>
      </c>
      <c r="M6" s="22"/>
      <c r="N6" s="21"/>
      <c r="O6" s="22"/>
      <c r="P6" s="21"/>
    </row>
    <row r="7" ht="70.5" customHeight="1">
      <c r="A7" s="23">
        <v>6.0</v>
      </c>
      <c r="B7" s="24" t="s">
        <v>466</v>
      </c>
      <c r="C7" s="24" t="s">
        <v>467</v>
      </c>
      <c r="D7" s="24" t="s">
        <v>449</v>
      </c>
      <c r="E7" s="24" t="s">
        <v>468</v>
      </c>
      <c r="F7" s="21"/>
      <c r="G7" s="21"/>
      <c r="H7" s="26"/>
      <c r="I7" s="24" t="str">
        <f>IFERROR(__xludf.DUMMYFUNCTION("GOOGLETRANSLATE(B7, ""en"", ""zh"")"),"在一场龙舟比赛中，A队和B队进行500米比赛。A队前250米用时2分钟，后250米用时2.5分钟。B队前250米用时2.2分钟，后250米用时2.8分钟。哪支队伍最有可能获胜？")</f>
        <v>在一场龙舟比赛中，A队和B队进行500米比赛。A队前250米用时2分钟，后250米用时2.5分钟。B队前250米用时2.2分钟，后250米用时2.8分钟。哪支队伍最有可能获胜？</v>
      </c>
      <c r="J7" s="24" t="str">
        <f>IFERROR(__xludf.DUMMYFUNCTION("GOOGLETRANSLATE(C7, ""en"", ""zh"")"),"A) A队胜，B) B队胜，C) 平局，D) 尚无法确定")</f>
        <v>A) A队胜，B) B队胜，C) 平局，D) 尚无法确定</v>
      </c>
      <c r="K7" s="24" t="str">
        <f>IFERROR(__xludf.DUMMYFUNCTION("GOOGLETRANSLATE(D7, ""en"", ""zh"")"),"A) A队")</f>
        <v>A) A队</v>
      </c>
      <c r="L7" s="24" t="str">
        <f>IFERROR(__xludf.DUMMYFUNCTION("GOOGLETRANSLATE(E7, ""en"", ""zh"")"),"A队用时4.5分钟完成比赛，B队用时5分钟。因此，A队很可能获胜。")</f>
        <v>A队用时4.5分钟完成比赛，B队用时5分钟。因此，A队很可能获胜。</v>
      </c>
      <c r="M7" s="22"/>
      <c r="N7" s="21"/>
      <c r="O7" s="22"/>
      <c r="P7" s="21"/>
    </row>
    <row r="8">
      <c r="A8" s="23">
        <v>7.0</v>
      </c>
      <c r="B8" s="24" t="s">
        <v>469</v>
      </c>
      <c r="C8" s="24" t="s">
        <v>470</v>
      </c>
      <c r="D8" s="24" t="s">
        <v>471</v>
      </c>
      <c r="E8" s="24" t="s">
        <v>472</v>
      </c>
      <c r="F8" s="21"/>
      <c r="G8" s="21"/>
      <c r="H8" s="25"/>
      <c r="I8" s="24" t="str">
        <f>IFERROR(__xludf.DUMMYFUNCTION("GOOGLETRANSLATE(B8, ""en"", ""zh"")"),"在一次龙舟比赛中，A队参加2000米比赛。他们用5分钟完成了前1000米，用4分钟完成了后1000米。A队全程的平均速度是多少？")</f>
        <v>在一次龙舟比赛中，A队参加2000米比赛。他们用5分钟完成了前1000米，用4分钟完成了后1000米。A队全程的平均速度是多少？</v>
      </c>
      <c r="J8" s="24" t="str">
        <f>IFERROR(__xludf.DUMMYFUNCTION("GOOGLETRANSLATE(C8, ""en"", ""zh"")"),"A) 6 米/秒，B) 5.5 米/秒，C) 5 米/秒，D) 4.5 米/秒")</f>
        <v>A) 6 米/秒，B) 5.5 米/秒，C) 5 米/秒，D) 4.5 米/秒</v>
      </c>
      <c r="K8" s="24" t="str">
        <f>IFERROR(__xludf.DUMMYFUNCTION("GOOGLETRANSLATE(D8, ""en"", ""zh"")"),"B) 5.5 米每秒")</f>
        <v>B) 5.5 米每秒</v>
      </c>
      <c r="L8" s="24" t="str">
        <f>IFERROR(__xludf.DUMMYFUNCTION("GOOGLETRANSLATE(E8, ""en"", ""zh"")"),"总距离为2000米，总时间为9分钟（540秒）。平均速度为2000米/540秒=5.5米/秒。")</f>
        <v>总距离为2000米，总时间为9分钟（540秒）。平均速度为2000米/540秒=5.5米/秒。</v>
      </c>
      <c r="M8" s="22"/>
      <c r="N8" s="21"/>
      <c r="O8" s="22"/>
      <c r="P8" s="22"/>
    </row>
    <row r="9">
      <c r="A9" s="23">
        <v>8.0</v>
      </c>
      <c r="B9" s="24" t="s">
        <v>473</v>
      </c>
      <c r="C9" s="24" t="s">
        <v>474</v>
      </c>
      <c r="D9" s="24" t="s">
        <v>449</v>
      </c>
      <c r="E9" s="24" t="s">
        <v>475</v>
      </c>
      <c r="F9" s="21"/>
      <c r="G9" s="21"/>
      <c r="H9" s="26"/>
      <c r="I9" s="24" t="str">
        <f>IFERROR(__xludf.DUMMYFUNCTION("GOOGLETRANSLATE(B9, ""en"", ""zh"")"),"在一场龙舟比赛中，A队和B队进行1000米比赛。两队同时出发，A队用时3分钟完成前500米，B队用时3分10秒完成前500米。如果两队在接下来的500米比赛中保持匀速，哪队会先到达终点？")</f>
        <v>在一场龙舟比赛中，A队和B队进行1000米比赛。两队同时出发，A队用时3分钟完成前500米，B队用时3分10秒完成前500米。如果两队在接下来的500米比赛中保持匀速，哪队会先到达终点？</v>
      </c>
      <c r="J9" s="24" t="str">
        <f>IFERROR(__xludf.DUMMYFUNCTION("GOOGLETRANSLATE(C9, ""en"", ""zh"")"),"A) A队胜，B) B队胜，C) 平局，D) 胜负难分")</f>
        <v>A) A队胜，B) B队胜，C) 平局，D) 胜负难分</v>
      </c>
      <c r="K9" s="24" t="str">
        <f>IFERROR(__xludf.DUMMYFUNCTION("GOOGLETRANSLATE(D9, ""en"", ""zh"")"),"A) A队")</f>
        <v>A) A队</v>
      </c>
      <c r="L9" s="24" t="str">
        <f>IFERROR(__xludf.DUMMYFUNCTION("GOOGLETRANSLATE(E9, ""en"", ""zh"")"),"A 队在前 500 米后领先 10 秒，两队将保持匀速前进，因此 A 队很可能获得第一名。")</f>
        <v>A 队在前 500 米后领先 10 秒，两队将保持匀速前进，因此 A 队很可能获得第一名。</v>
      </c>
      <c r="M9" s="22"/>
      <c r="N9" s="21"/>
      <c r="O9" s="22"/>
      <c r="P9" s="22"/>
    </row>
    <row r="10" ht="129.0" customHeight="1">
      <c r="A10" s="23">
        <v>9.0</v>
      </c>
      <c r="B10" s="24" t="s">
        <v>476</v>
      </c>
      <c r="C10" s="24" t="s">
        <v>477</v>
      </c>
      <c r="D10" s="24" t="s">
        <v>478</v>
      </c>
      <c r="E10" s="24" t="s">
        <v>479</v>
      </c>
      <c r="F10" s="21"/>
      <c r="G10" s="21"/>
      <c r="H10" s="25"/>
      <c r="I10" s="24" t="str">
        <f>IFERROR(__xludf.DUMMYFUNCTION("GOOGLETRANSLATE(B10, ""en"", ""zh"")"),"在一场龙舟比赛中，A队和B队进行1500米比赛。A队保持7米/秒的恒定速度，而B队在比赛进行到一半时将速度从6米/秒提高到7米/秒。两队分别需要多长时间才能完成比赛？")</f>
        <v>在一场龙舟比赛中，A队和B队进行1500米比赛。A队保持7米/秒的恒定速度，而B队在比赛进行到一半时将速度从6米/秒提高到7米/秒。两队分别需要多长时间才能完成比赛？</v>
      </c>
      <c r="J10" s="24" t="str">
        <f>IFERROR(__xludf.DUMMYFUNCTION("GOOGLETRANSLATE(C10, ""en"", ""zh"")"),"A) A队：214.29秒，B队：210秒；B) A队：214.29秒，B队：221.43秒；C) A队：215秒，B队：220秒；D) A队：210秒，B队：215秒")</f>
        <v>A) A队：214.29秒，B队：210秒；B) A队：214.29秒，B队：221.43秒；C) A队：215秒，B队：220秒；D) A队：210秒，B队：215秒</v>
      </c>
      <c r="K10" s="24" t="str">
        <f>IFERROR(__xludf.DUMMYFUNCTION("GOOGLETRANSLATE(D10, ""en"", ""zh"")"),"B) A队：214.29秒，B队：221.43秒")</f>
        <v>B) A队：214.29秒，B队：221.43秒</v>
      </c>
      <c r="L10" s="24" t="str">
        <f>IFERROR(__xludf.DUMMYFUNCTION("GOOGLETRANSLATE(E10, ""en"", ""zh"")"),"A队的成绩计算方法为：1500米 / 7米/秒 = 214.29秒。B队的成绩分为两段：（750米 / 6米/秒）+（750米 / 7米/秒）= 125 + 107.14 = 221.43秒。")</f>
        <v>A队的成绩计算方法为：1500米 / 7米/秒 = 214.29秒。B队的成绩分为两段：（750米 / 6米/秒）+（750米 / 7米/秒）= 125 + 107.14 = 221.43秒。</v>
      </c>
      <c r="M10" s="22"/>
      <c r="N10" s="21"/>
      <c r="O10" s="22"/>
      <c r="P10" s="21"/>
    </row>
    <row r="11">
      <c r="A11" s="23">
        <v>10.0</v>
      </c>
      <c r="B11" s="24" t="s">
        <v>480</v>
      </c>
      <c r="C11" s="24" t="s">
        <v>467</v>
      </c>
      <c r="D11" s="24" t="s">
        <v>449</v>
      </c>
      <c r="E11" s="24" t="s">
        <v>481</v>
      </c>
      <c r="F11" s="21"/>
      <c r="G11" s="21"/>
      <c r="H11" s="25"/>
      <c r="I11" s="24" t="str">
        <f>IFERROR(__xludf.DUMMYFUNCTION("GOOGLETRANSLATE(B11, ""en"", ""zh"")"),"在一场龙舟比赛中，A队和B队进行1000米比赛。A队前500米用时2分钟，后500米用时2.2分钟。B队前500米用时2.3分钟，后500米用时2.1分钟。哪支队伍先到达终点？")</f>
        <v>在一场龙舟比赛中，A队和B队进行1000米比赛。A队前500米用时2分钟，后500米用时2.2分钟。B队前500米用时2.3分钟，后500米用时2.1分钟。哪支队伍先到达终点？</v>
      </c>
      <c r="J11" s="24" t="str">
        <f>IFERROR(__xludf.DUMMYFUNCTION("GOOGLETRANSLATE(C11, ""en"", ""zh"")"),"A) A队胜，B) B队胜，C) 平局，D) 尚无法确定")</f>
        <v>A) A队胜，B) B队胜，C) 平局，D) 尚无法确定</v>
      </c>
      <c r="K11" s="24" t="str">
        <f>IFERROR(__xludf.DUMMYFUNCTION("GOOGLETRANSLATE(D11, ""en"", ""zh"")"),"A) A队")</f>
        <v>A) A队</v>
      </c>
      <c r="L11" s="24" t="str">
        <f>IFERROR(__xludf.DUMMYFUNCTION("GOOGLETRANSLATE(E11, ""en"", ""zh"")"),"A 队用时 4.2 分钟完成比赛，B 队用时 4.4 分钟完成比赛，因此 A 队获胜。")</f>
        <v>A 队用时 4.2 分钟完成比赛，B 队用时 4.4 分钟完成比赛，因此 A 队获胜。</v>
      </c>
      <c r="M11" s="22"/>
      <c r="N11" s="21"/>
      <c r="O11" s="22"/>
      <c r="P11" s="21"/>
    </row>
    <row r="12">
      <c r="A12" s="23">
        <v>11.0</v>
      </c>
      <c r="B12" s="24" t="s">
        <v>482</v>
      </c>
      <c r="C12" s="24" t="s">
        <v>483</v>
      </c>
      <c r="D12" s="24" t="s">
        <v>464</v>
      </c>
      <c r="E12" s="24" t="s">
        <v>484</v>
      </c>
      <c r="F12" s="21"/>
      <c r="G12" s="21"/>
      <c r="H12" s="25"/>
      <c r="I12" s="24" t="str">
        <f>IFERROR(__xludf.DUMMYFUNCTION("GOOGLETRANSLATE(B12, ""en"", ""zh"")"),"在一场龙舟比赛中，A队用5分钟完成1000米赛程，B队用5分15秒完成同样的赛程。两队用时相差多少？")</f>
        <v>在一场龙舟比赛中，A队用5分钟完成1000米赛程，B队用5分15秒完成同样的赛程。两队用时相差多少？</v>
      </c>
      <c r="J12" s="24" t="str">
        <f>IFERROR(__xludf.DUMMYFUNCTION("GOOGLETRANSLATE(C12, ""en"", ""zh"")"),"A) 15秒，B) 30秒，C) 10秒，D) 5秒")</f>
        <v>A) 15秒，B) 30秒，C) 10秒，D) 5秒</v>
      </c>
      <c r="K12" s="24" t="str">
        <f>IFERROR(__xludf.DUMMYFUNCTION("GOOGLETRANSLATE(D12, ""en"", ""zh"")"),"A) 15 秒")</f>
        <v>A) 15 秒</v>
      </c>
      <c r="L12" s="24" t="str">
        <f>IFERROR(__xludf.DUMMYFUNCTION("GOOGLETRANSLATE(E12, ""en"", ""zh"")"),"A队比B队快了15秒。")</f>
        <v>A队比B队快了15秒。</v>
      </c>
      <c r="M12" s="22"/>
      <c r="N12" s="21"/>
      <c r="O12" s="22"/>
      <c r="P12" s="21"/>
    </row>
    <row r="13">
      <c r="A13" s="23">
        <v>12.0</v>
      </c>
      <c r="B13" s="24" t="s">
        <v>485</v>
      </c>
      <c r="C13" s="24" t="s">
        <v>486</v>
      </c>
      <c r="D13" s="24" t="s">
        <v>487</v>
      </c>
      <c r="E13" s="24" t="s">
        <v>488</v>
      </c>
      <c r="F13" s="21"/>
      <c r="G13" s="21"/>
      <c r="H13" s="25"/>
      <c r="I13" s="24" t="str">
        <f>IFERROR(__xludf.DUMMYFUNCTION("GOOGLETRANSLATE(B13, ""en"", ""zh"")"),"在龙舟比赛中，A队前250米用时1分钟，第二个250米用时1.2分钟，第三个250米用时1.1分钟，最后一个250米用时1.3分钟。A队在整场比赛中的平均速度是多少？")</f>
        <v>在龙舟比赛中，A队前250米用时1分钟，第二个250米用时1.2分钟，第三个250米用时1.1分钟，最后一个250米用时1.3分钟。A队在整场比赛中的平均速度是多少？</v>
      </c>
      <c r="J13" s="24" t="str">
        <f>IFERROR(__xludf.DUMMYFUNCTION("GOOGLETRANSLATE(C13, ""en"", ""zh"")"),"A) 7.14 米/秒，B) 8 米/秒，C) 6.67 米/秒，D) 7.5 米/秒")</f>
        <v>A) 7.14 米/秒，B) 8 米/秒，C) 6.67 米/秒，D) 7.5 米/秒</v>
      </c>
      <c r="K13" s="24" t="str">
        <f>IFERROR(__xludf.DUMMYFUNCTION("GOOGLETRANSLATE(D13, ""en"", ""zh"")"),"A) 7.14 米每秒")</f>
        <v>A) 7.14 米每秒</v>
      </c>
      <c r="L13" s="24" t="str">
        <f>IFERROR(__xludf.DUMMYFUNCTION("GOOGLETRANSLATE(E13, ""en"", ""zh"")"),"A队用时4.6分钟（276秒）。平均速度为1000米/276秒=7.14米/秒。")</f>
        <v>A队用时4.6分钟（276秒）。平均速度为1000米/276秒=7.14米/秒。</v>
      </c>
      <c r="M13" s="22"/>
      <c r="N13" s="22"/>
      <c r="O13" s="22"/>
      <c r="P13" s="22"/>
    </row>
    <row r="14">
      <c r="A14" s="23">
        <v>13.0</v>
      </c>
      <c r="B14" s="24" t="s">
        <v>489</v>
      </c>
      <c r="C14" s="24" t="s">
        <v>490</v>
      </c>
      <c r="D14" s="24" t="s">
        <v>491</v>
      </c>
      <c r="E14" s="24" t="s">
        <v>492</v>
      </c>
      <c r="F14" s="21"/>
      <c r="G14" s="21"/>
      <c r="H14" s="25"/>
      <c r="I14" s="24" t="str">
        <f>IFERROR(__xludf.DUMMYFUNCTION("GOOGLETRANSLATE(B14, ""en"", ""zh"")"),"在一场龙舟比赛中，A队用时12分钟完成比赛，而B队用时11分50秒。以下哪个说法是正确的？")</f>
        <v>在一场龙舟比赛中，A队用时12分钟完成比赛，而B队用时11分50秒。以下哪个说法是正确的？</v>
      </c>
      <c r="J14" s="24" t="str">
        <f>IFERROR(__xludf.DUMMYFUNCTION("GOOGLETRANSLATE(C14, ""en"", ""zh"")"),"A) A队比B队慢10秒，B) B队赢了10秒，C) A队赢了10秒，D) 平局")</f>
        <v>A) A队比B队慢10秒，B) B队赢了10秒，C) A队赢了10秒，D) 平局</v>
      </c>
      <c r="K14" s="24" t="str">
        <f>IFERROR(__xludf.DUMMYFUNCTION("GOOGLETRANSLATE(D14, ""en"", ""zh"")"),"B) B队以10秒优势获胜")</f>
        <v>B) B队以10秒优势获胜</v>
      </c>
      <c r="L14" s="24" t="str">
        <f>IFERROR(__xludf.DUMMYFUNCTION("GOOGLETRANSLATE(E14, ""en"", ""zh"")"),"B队比A队快了10秒。")</f>
        <v>B队比A队快了10秒。</v>
      </c>
      <c r="M14" s="22"/>
      <c r="N14" s="21"/>
      <c r="O14" s="22"/>
      <c r="P14" s="21"/>
    </row>
    <row r="15">
      <c r="A15" s="23">
        <v>14.0</v>
      </c>
      <c r="B15" s="24" t="s">
        <v>493</v>
      </c>
      <c r="C15" s="24" t="s">
        <v>467</v>
      </c>
      <c r="D15" s="24" t="s">
        <v>449</v>
      </c>
      <c r="E15" s="24" t="s">
        <v>494</v>
      </c>
      <c r="F15" s="21"/>
      <c r="G15" s="21"/>
      <c r="H15" s="25"/>
      <c r="I15" s="24" t="str">
        <f>IFERROR(__xludf.DUMMYFUNCTION("GOOGLETRANSLATE(B15, ""en"", ""zh"")"),"在世界龙舟锦标赛中，比赛总距离为2000米。A队全程保持10米/秒的恒定速度，而B队在前1000米保持9.5米/秒的速度，后1000米加速至10.5米/秒。哪支队伍会先到达终点？")</f>
        <v>在世界龙舟锦标赛中，比赛总距离为2000米。A队全程保持10米/秒的恒定速度，而B队在前1000米保持9.5米/秒的速度，后1000米加速至10.5米/秒。哪支队伍会先到达终点？</v>
      </c>
      <c r="J15" s="24" t="str">
        <f>IFERROR(__xludf.DUMMYFUNCTION("GOOGLETRANSLATE(C15, ""en"", ""zh"")"),"A) A队胜，B) B队胜，C) 平局，D) 尚无法确定")</f>
        <v>A) A队胜，B) B队胜，C) 平局，D) 尚无法确定</v>
      </c>
      <c r="K15" s="24" t="str">
        <f>IFERROR(__xludf.DUMMYFUNCTION("GOOGLETRANSLATE(D15, ""en"", ""zh"")"),"A) A队")</f>
        <v>A) A队</v>
      </c>
      <c r="L15" s="24" t="str">
        <f>IFERROR(__xludf.DUMMYFUNCTION("GOOGLETRANSLATE(E15, ""en"", ""zh"")"),"A队用时200秒完成比赛，B队用时210.53秒，因此A队获胜。")</f>
        <v>A队用时200秒完成比赛，B队用时210.53秒，因此A队获胜。</v>
      </c>
      <c r="M15" s="22"/>
      <c r="N15" s="21"/>
      <c r="O15" s="22"/>
      <c r="P15" s="21"/>
    </row>
    <row r="16">
      <c r="A16" s="23">
        <v>15.0</v>
      </c>
      <c r="B16" s="24" t="s">
        <v>495</v>
      </c>
      <c r="C16" s="24" t="s">
        <v>467</v>
      </c>
      <c r="D16" s="24" t="s">
        <v>449</v>
      </c>
      <c r="E16" s="24" t="s">
        <v>496</v>
      </c>
      <c r="F16" s="21"/>
      <c r="G16" s="21"/>
      <c r="H16" s="26"/>
      <c r="I16" s="24" t="str">
        <f>IFERROR(__xludf.DUMMYFUNCTION("GOOGLETRANSLATE(B16, ""en"", ""zh"")"),"在一场1500米龙舟比赛中，A队前750米用时4.5分钟，B队前750米用时4.7分钟。假设两队保持相同的速度，哪支队伍更有可能赢得比赛？")</f>
        <v>在一场1500米龙舟比赛中，A队前750米用时4.5分钟，B队前750米用时4.7分钟。假设两队保持相同的速度，哪支队伍更有可能赢得比赛？</v>
      </c>
      <c r="J16" s="24" t="str">
        <f>IFERROR(__xludf.DUMMYFUNCTION("GOOGLETRANSLATE(C16, ""en"", ""zh"")"),"A) A队胜，B) B队胜，C) 平局，D) 尚无法确定")</f>
        <v>A) A队胜，B) B队胜，C) 平局，D) 尚无法确定</v>
      </c>
      <c r="K16" s="24" t="str">
        <f>IFERROR(__xludf.DUMMYFUNCTION("GOOGLETRANSLATE(D16, ""en"", ""zh"")"),"A) A队")</f>
        <v>A) A队</v>
      </c>
      <c r="L16" s="24" t="str">
        <f>IFERROR(__xludf.DUMMYFUNCTION("GOOGLETRANSLATE(E16, ""en"", ""zh"")"),"A队领先12秒，很可能会保持这一优势。")</f>
        <v>A队领先12秒，很可能会保持这一优势。</v>
      </c>
      <c r="M16" s="22"/>
      <c r="N16" s="21"/>
      <c r="O16" s="22"/>
      <c r="P16" s="21"/>
    </row>
    <row r="17">
      <c r="A17" s="23">
        <v>16.0</v>
      </c>
      <c r="B17" s="24" t="s">
        <v>497</v>
      </c>
      <c r="C17" s="24" t="s">
        <v>467</v>
      </c>
      <c r="D17" s="24" t="s">
        <v>449</v>
      </c>
      <c r="E17" s="24" t="s">
        <v>498</v>
      </c>
      <c r="F17" s="21"/>
      <c r="G17" s="21"/>
      <c r="H17" s="25"/>
      <c r="I17" s="24" t="str">
        <f>IFERROR(__xludf.DUMMYFUNCTION("GOOGLETRANSLATE(B17, ""en"", ""zh"")"),"在一场龙舟比赛中，A队全程1500米保持每秒6米的速度，而B队在前500米保持每秒6.5米的速度，后1000米保持每秒5.5米的速度。哪支队伍先到达终点？")</f>
        <v>在一场龙舟比赛中，A队全程1500米保持每秒6米的速度，而B队在前500米保持每秒6.5米的速度，后1000米保持每秒5.5米的速度。哪支队伍先到达终点？</v>
      </c>
      <c r="J17" s="24" t="str">
        <f>IFERROR(__xludf.DUMMYFUNCTION("GOOGLETRANSLATE(C17, ""en"", ""zh"")"),"A) A队胜，B) B队胜，C) 平局，D) 尚无法确定")</f>
        <v>A) A队胜，B) B队胜，C) 平局，D) 尚无法确定</v>
      </c>
      <c r="K17" s="24" t="str">
        <f>IFERROR(__xludf.DUMMYFUNCTION("GOOGLETRANSLATE(D17, ""en"", ""zh"")"),"A) A队")</f>
        <v>A) A队</v>
      </c>
      <c r="L17" s="24" t="str">
        <f>IFERROR(__xludf.DUMMYFUNCTION("GOOGLETRANSLATE(E17, ""en"", ""zh"")"),"A 队用时 250 秒完成比赛，而 B 队用时 259.09 秒，因此 A 队获胜。")</f>
        <v>A 队用时 250 秒完成比赛，而 B 队用时 259.09 秒，因此 A 队获胜。</v>
      </c>
      <c r="M17" s="22"/>
      <c r="N17" s="21"/>
      <c r="O17" s="22"/>
      <c r="P17" s="21"/>
    </row>
    <row r="18">
      <c r="A18" s="23">
        <v>17.0</v>
      </c>
      <c r="B18" s="24" t="s">
        <v>499</v>
      </c>
      <c r="C18" s="24" t="s">
        <v>467</v>
      </c>
      <c r="D18" s="24" t="s">
        <v>449</v>
      </c>
      <c r="E18" s="24" t="s">
        <v>500</v>
      </c>
      <c r="F18" s="21"/>
      <c r="G18" s="21"/>
      <c r="H18" s="25"/>
      <c r="I18" s="24" t="str">
        <f>IFERROR(__xludf.DUMMYFUNCTION("GOOGLETRANSLATE(B18, ""en"", ""zh"")"),"在一场龙舟比赛中，A队和B队同时出发。A队用时2分30秒完成前500米，而B队用时2分45秒完成同样的距离。目前哪支队伍领先？")</f>
        <v>在一场龙舟比赛中，A队和B队同时出发。A队用时2分30秒完成前500米，而B队用时2分45秒完成同样的距离。目前哪支队伍领先？</v>
      </c>
      <c r="J18" s="24" t="str">
        <f>IFERROR(__xludf.DUMMYFUNCTION("GOOGLETRANSLATE(C18, ""en"", ""zh"")"),"A) A队胜，B) B队胜，C) 平局，D) 尚无法确定")</f>
        <v>A) A队胜，B) B队胜，C) 平局，D) 尚无法确定</v>
      </c>
      <c r="K18" s="24" t="str">
        <f>IFERROR(__xludf.DUMMYFUNCTION("GOOGLETRANSLATE(D18, ""en"", ""zh"")"),"A) A队")</f>
        <v>A) A队</v>
      </c>
      <c r="L18" s="24" t="str">
        <f>IFERROR(__xludf.DUMMYFUNCTION("GOOGLETRANSLATE(E18, ""en"", ""zh"")"),"前500米过后，A队领先15秒。")</f>
        <v>前500米过后，A队领先15秒。</v>
      </c>
      <c r="M18" s="22"/>
      <c r="N18" s="21"/>
      <c r="O18" s="22"/>
      <c r="P18" s="22"/>
    </row>
    <row r="19">
      <c r="A19" s="23">
        <v>18.0</v>
      </c>
      <c r="B19" s="24" t="s">
        <v>501</v>
      </c>
      <c r="C19" s="24" t="s">
        <v>502</v>
      </c>
      <c r="D19" s="24" t="s">
        <v>503</v>
      </c>
      <c r="E19" s="24" t="s">
        <v>504</v>
      </c>
      <c r="F19" s="21"/>
      <c r="G19" s="21"/>
      <c r="H19" s="25"/>
      <c r="I19" s="24" t="str">
        <f>IFERROR(__xludf.DUMMYFUNCTION("GOOGLETRANSLATE(B19, ""en"", ""zh"")"),"在一场龙舟比赛中，A队用8分钟完成2000米赛程，B队用8分30秒完成赛程。两队的平均速度分别是多少？")</f>
        <v>在一场龙舟比赛中，A队用8分钟完成2000米赛程，B队用8分30秒完成赛程。两队的平均速度分别是多少？</v>
      </c>
      <c r="J19" s="24" t="str">
        <f>IFERROR(__xludf.DUMMYFUNCTION("GOOGLETRANSLATE(C19, ""en"", ""zh"")"),"A) A队：4.17米/秒，B队：3.92米/秒；B) A队：4米/秒，B队：3.5米/秒；C) A队：4.5米/秒，B队：3.8米/秒；D) A队：4米/秒，B队：4米/秒")</f>
        <v>A) A队：4.17米/秒，B队：3.92米/秒；B) A队：4米/秒，B队：3.5米/秒；C) A队：4.5米/秒，B队：3.8米/秒；D) A队：4米/秒，B队：4米/秒</v>
      </c>
      <c r="K19" s="24" t="str">
        <f>IFERROR(__xludf.DUMMYFUNCTION("GOOGLETRANSLATE(D19, ""en"", ""zh"")"),"A) A队：4.17米/秒，B队：3.92米/秒")</f>
        <v>A) A队：4.17米/秒，B队：3.92米/秒</v>
      </c>
      <c r="L19" s="24" t="str">
        <f>IFERROR(__xludf.DUMMYFUNCTION("GOOGLETRANSLATE(E19, ""en"", ""zh"")"),"A队的平均速度为2000米/480秒=4.17米/秒。B队的平均速度为2000米/510秒=3.92米/秒。")</f>
        <v>A队的平均速度为2000米/480秒=4.17米/秒。B队的平均速度为2000米/510秒=3.92米/秒。</v>
      </c>
      <c r="M19" s="22"/>
      <c r="N19" s="22"/>
      <c r="O19" s="22"/>
      <c r="P19" s="22"/>
    </row>
    <row r="20">
      <c r="A20" s="23">
        <v>19.0</v>
      </c>
      <c r="B20" s="24" t="s">
        <v>505</v>
      </c>
      <c r="C20" s="24" t="s">
        <v>467</v>
      </c>
      <c r="D20" s="24" t="s">
        <v>449</v>
      </c>
      <c r="E20" s="24" t="s">
        <v>506</v>
      </c>
      <c r="F20" s="21"/>
      <c r="G20" s="21"/>
      <c r="H20" s="25"/>
      <c r="I20" s="24" t="str">
        <f>IFERROR(__xludf.DUMMYFUNCTION("GOOGLETRANSLATE(B20, ""en"", ""zh"")"),"在一场龙舟比赛中，A队用5分钟游完前1000米，B队用5分10秒游完同样的距离。如果两队继续以相同的速度前进，哪队最有可能赢得比赛？")</f>
        <v>在一场龙舟比赛中，A队用5分钟游完前1000米，B队用5分10秒游完同样的距离。如果两队继续以相同的速度前进，哪队最有可能赢得比赛？</v>
      </c>
      <c r="J20" s="24" t="str">
        <f>IFERROR(__xludf.DUMMYFUNCTION("GOOGLETRANSLATE(C20, ""en"", ""zh"")"),"A) A队胜，B) B队胜，C) 平局，D) 尚无法确定")</f>
        <v>A) A队胜，B) B队胜，C) 平局，D) 尚无法确定</v>
      </c>
      <c r="K20" s="24" t="str">
        <f>IFERROR(__xludf.DUMMYFUNCTION("GOOGLETRANSLATE(D20, ""en"", ""zh"")"),"A) A队")</f>
        <v>A) A队</v>
      </c>
      <c r="L20" s="24" t="str">
        <f>IFERROR(__xludf.DUMMYFUNCTION("GOOGLETRANSLATE(E20, ""en"", ""zh"")"),"A队目前领先10秒，很可能会保持这一优势。")</f>
        <v>A队目前领先10秒，很可能会保持这一优势。</v>
      </c>
      <c r="M20" s="22"/>
      <c r="N20" s="21"/>
      <c r="O20" s="22"/>
      <c r="P20" s="21"/>
    </row>
    <row r="21">
      <c r="A21" s="23">
        <v>20.0</v>
      </c>
      <c r="B21" s="24" t="s">
        <v>507</v>
      </c>
      <c r="C21" s="24" t="s">
        <v>508</v>
      </c>
      <c r="D21" s="24" t="s">
        <v>509</v>
      </c>
      <c r="E21" s="24" t="s">
        <v>510</v>
      </c>
      <c r="F21" s="21"/>
      <c r="G21" s="21"/>
      <c r="H21" s="25"/>
      <c r="I21" s="24" t="str">
        <f>IFERROR(__xludf.DUMMYFUNCTION("GOOGLETRANSLATE(B21, ""en"", ""zh"")"),"在一场龙舟比赛中，A队和B队进行3000米比赛。A队前1000米用时5分钟，第二个1000米用时5.5分钟，最后一个1000米用时6分钟。A队全程的平均速度是多少？")</f>
        <v>在一场龙舟比赛中，A队和B队进行3000米比赛。A队前1000米用时5分钟，第二个1000米用时5.5分钟，最后一个1000米用时6分钟。A队全程的平均速度是多少？</v>
      </c>
      <c r="J21" s="24" t="str">
        <f>IFERROR(__xludf.DUMMYFUNCTION("GOOGLETRANSLATE(C21, ""en"", ""zh"")"),"A) 5.28 米/秒，B) 5.5 米/秒，C) 5 米/秒，D) 6 米/秒")</f>
        <v>A) 5.28 米/秒，B) 5.5 米/秒，C) 5 米/秒，D) 6 米/秒</v>
      </c>
      <c r="K21" s="24" t="str">
        <f>IFERROR(__xludf.DUMMYFUNCTION("GOOGLETRANSLATE(D21, ""en"", ""zh"")"),"A) 5.28 米每秒")</f>
        <v>A) 5.28 米每秒</v>
      </c>
      <c r="L21" s="24" t="str">
        <f>IFERROR(__xludf.DUMMYFUNCTION("GOOGLETRANSLATE(E21, ""en"", ""zh"")"),"A 队的总用时为 16.5 分钟（990 秒），平均速度为 3000 米 / 990 秒 = 5.28 米每秒。")</f>
        <v>A 队的总用时为 16.5 分钟（990 秒），平均速度为 3000 米 / 990 秒 = 5.28 米每秒。</v>
      </c>
      <c r="M21" s="22"/>
      <c r="N21" s="21"/>
      <c r="O21" s="22"/>
      <c r="P21" s="22"/>
    </row>
    <row r="22">
      <c r="A22" s="23">
        <v>21.0</v>
      </c>
      <c r="B22" s="24" t="s">
        <v>511</v>
      </c>
      <c r="C22" s="24" t="s">
        <v>467</v>
      </c>
      <c r="D22" s="24" t="s">
        <v>449</v>
      </c>
      <c r="E22" s="24" t="s">
        <v>512</v>
      </c>
      <c r="F22" s="21"/>
      <c r="G22" s="21"/>
      <c r="H22" s="25"/>
      <c r="I22" s="24" t="str">
        <f>IFERROR(__xludf.DUMMYFUNCTION("GOOGLETRANSLATE(B22, ""en"", ""zh"")"),"在一场龙舟比赛中，A队与B队进行1500米的比赛。A队保持每秒7米的恒定速度，而B队在前500米以每秒6米的速度起跑，并在后1000米加速到每秒8米。哪支队伍更有可能获胜？")</f>
        <v>在一场龙舟比赛中，A队与B队进行1500米的比赛。A队保持每秒7米的恒定速度，而B队在前500米以每秒6米的速度起跑，并在后1000米加速到每秒8米。哪支队伍更有可能获胜？</v>
      </c>
      <c r="J22" s="24" t="str">
        <f>IFERROR(__xludf.DUMMYFUNCTION("GOOGLETRANSLATE(C22, ""en"", ""zh"")"),"A) A队胜，B) B队胜，C) 平局，D) 尚无法确定")</f>
        <v>A) A队胜，B) B队胜，C) 平局，D) 尚无法确定</v>
      </c>
      <c r="K22" s="24" t="str">
        <f>IFERROR(__xludf.DUMMYFUNCTION("GOOGLETRANSLATE(D22, ""en"", ""zh"")"),"A) A队")</f>
        <v>A) A队</v>
      </c>
      <c r="L22" s="24" t="str">
        <f>IFERROR(__xludf.DUMMYFUNCTION("GOOGLETRANSLATE(E22, ""en"", ""zh"")"),"A 队用时 214.29 秒，B 队用时 218.75 秒，因此 A 队获胜。")</f>
        <v>A 队用时 214.29 秒，B 队用时 218.75 秒，因此 A 队获胜。</v>
      </c>
      <c r="M22" s="22"/>
      <c r="N22" s="21"/>
      <c r="O22" s="22"/>
      <c r="P22" s="21"/>
    </row>
    <row r="23">
      <c r="A23" s="23">
        <v>22.0</v>
      </c>
      <c r="B23" s="24" t="s">
        <v>513</v>
      </c>
      <c r="C23" s="24" t="s">
        <v>514</v>
      </c>
      <c r="D23" s="24" t="s">
        <v>449</v>
      </c>
      <c r="E23" s="24" t="s">
        <v>515</v>
      </c>
      <c r="F23" s="21"/>
      <c r="G23" s="21"/>
      <c r="H23" s="25"/>
      <c r="I23" s="24" t="str">
        <f>IFERROR(__xludf.DUMMYFUNCTION("GOOGLETRANSLATE(B23, ""en"", ""zh"")"),"在一场龙舟比赛中，A队用时13分钟完成比赛，B队用时13分20秒完成比赛。哪支队伍的平均速度更快？")</f>
        <v>在一场龙舟比赛中，A队用时13分钟完成比赛，B队用时13分20秒完成比赛。哪支队伍的平均速度更快？</v>
      </c>
      <c r="J23" s="24" t="str">
        <f>IFERROR(__xludf.DUMMYFUNCTION("GOOGLETRANSLATE(C23, ""en"", ""zh"")"),"A) A队，B) B队，C) 两队平均速度相同，D) 无法确定")</f>
        <v>A) A队，B) B队，C) 两队平均速度相同，D) 无法确定</v>
      </c>
      <c r="K23" s="24" t="str">
        <f>IFERROR(__xludf.DUMMYFUNCTION("GOOGLETRANSLATE(D23, ""en"", ""zh"")"),"A) A队")</f>
        <v>A) A队</v>
      </c>
      <c r="L23" s="24" t="str">
        <f>IFERROR(__xludf.DUMMYFUNCTION("GOOGLETRANSLATE(E23, ""en"", ""zh"")"),"A队比B队快20秒，因此平均速度更高。")</f>
        <v>A队比B队快20秒，因此平均速度更高。</v>
      </c>
      <c r="M23" s="22"/>
      <c r="N23" s="21"/>
      <c r="O23" s="22"/>
      <c r="P23" s="21"/>
    </row>
    <row r="24">
      <c r="A24" s="23">
        <v>23.0</v>
      </c>
      <c r="B24" s="24" t="s">
        <v>516</v>
      </c>
      <c r="C24" s="24" t="s">
        <v>463</v>
      </c>
      <c r="D24" s="24" t="s">
        <v>464</v>
      </c>
      <c r="E24" s="24" t="s">
        <v>484</v>
      </c>
      <c r="F24" s="21"/>
      <c r="G24" s="21"/>
      <c r="H24" s="26"/>
      <c r="I24" s="24" t="str">
        <f>IFERROR(__xludf.DUMMYFUNCTION("GOOGLETRANSLATE(B24, ""en"", ""zh"")"),"在一次龙舟比赛中，A队用时4分30秒完成1000米赛程，B队用时4分45秒完成同样的赛程。两队成绩相差多少秒？")</f>
        <v>在一次龙舟比赛中，A队用时4分30秒完成1000米赛程，B队用时4分45秒完成同样的赛程。两队成绩相差多少秒？</v>
      </c>
      <c r="J24" s="24" t="str">
        <f>IFERROR(__xludf.DUMMYFUNCTION("GOOGLETRANSLATE(C24, ""en"", ""zh"")"),"A) 15秒，B) 10秒，C) 30秒，D) 5秒")</f>
        <v>A) 15秒，B) 10秒，C) 30秒，D) 5秒</v>
      </c>
      <c r="K24" s="24" t="str">
        <f>IFERROR(__xludf.DUMMYFUNCTION("GOOGLETRANSLATE(D24, ""en"", ""zh"")"),"A) 15 秒")</f>
        <v>A) 15 秒</v>
      </c>
      <c r="L24" s="24" t="str">
        <f>IFERROR(__xludf.DUMMYFUNCTION("GOOGLETRANSLATE(E24, ""en"", ""zh"")"),"A队比B队快了15秒。")</f>
        <v>A队比B队快了15秒。</v>
      </c>
      <c r="M24" s="22"/>
      <c r="N24" s="21"/>
      <c r="O24" s="22"/>
      <c r="P24" s="21"/>
    </row>
    <row r="25">
      <c r="A25" s="23">
        <v>24.0</v>
      </c>
      <c r="B25" s="24" t="s">
        <v>517</v>
      </c>
      <c r="C25" s="24" t="s">
        <v>467</v>
      </c>
      <c r="D25" s="24" t="s">
        <v>449</v>
      </c>
      <c r="E25" s="24" t="s">
        <v>518</v>
      </c>
      <c r="F25" s="21"/>
      <c r="G25" s="21"/>
      <c r="H25" s="25"/>
      <c r="I25" s="24" t="str">
        <f>IFERROR(__xludf.DUMMYFUNCTION("GOOGLETRANSLATE(B25, ""en"", ""zh"")"),"在一场龙舟比赛中，A队用4分钟游完1000米，而B队用4分20秒游完同样的距离。哪支队伍赢得比赛？")</f>
        <v>在一场龙舟比赛中，A队用4分钟游完1000米，而B队用4分20秒游完同样的距离。哪支队伍赢得比赛？</v>
      </c>
      <c r="J25" s="24" t="str">
        <f>IFERROR(__xludf.DUMMYFUNCTION("GOOGLETRANSLATE(C25, ""en"", ""zh"")"),"A) A队胜，B) B队胜，C) 平局，D) 尚无法确定")</f>
        <v>A) A队胜，B) B队胜，C) 平局，D) 尚无法确定</v>
      </c>
      <c r="K25" s="24" t="str">
        <f>IFERROR(__xludf.DUMMYFUNCTION("GOOGLETRANSLATE(D25, ""en"", ""zh"")"),"A) A队")</f>
        <v>A) A队</v>
      </c>
      <c r="L25" s="24" t="str">
        <f>IFERROR(__xludf.DUMMYFUNCTION("GOOGLETRANSLATE(E25, ""en"", ""zh"")"),"A队比B队快20秒完成比赛。")</f>
        <v>A队比B队快20秒完成比赛。</v>
      </c>
      <c r="M25" s="22"/>
      <c r="N25" s="21"/>
      <c r="O25" s="22"/>
      <c r="P25" s="21"/>
    </row>
    <row r="26">
      <c r="A26" s="23">
        <v>25.0</v>
      </c>
      <c r="B26" s="24" t="s">
        <v>519</v>
      </c>
      <c r="C26" s="24" t="s">
        <v>520</v>
      </c>
      <c r="D26" s="24" t="s">
        <v>521</v>
      </c>
      <c r="E26" s="24" t="s">
        <v>522</v>
      </c>
      <c r="F26" s="21"/>
      <c r="G26" s="21"/>
      <c r="H26" s="25"/>
      <c r="I26" s="24" t="str">
        <f>IFERROR(__xludf.DUMMYFUNCTION("GOOGLETRANSLATE(B26, ""en"", ""zh"")"),"在一场龙舟比赛中，A队以7分30秒的成绩完成了1500米比赛。B队以8分钟的成绩完成了同样的比赛。两队成绩相差多少？")</f>
        <v>在一场龙舟比赛中，A队以7分30秒的成绩完成了1500米比赛。B队以8分钟的成绩完成了同样的比赛。两队成绩相差多少？</v>
      </c>
      <c r="J26" s="24" t="str">
        <f>IFERROR(__xludf.DUMMYFUNCTION("GOOGLETRANSLATE(C26, ""en"", ""zh"")"),"A) 30秒，B) 1分钟，C) 45秒，D) 20秒")</f>
        <v>A) 30秒，B) 1分钟，C) 45秒，D) 20秒</v>
      </c>
      <c r="K26" s="24" t="str">
        <f>IFERROR(__xludf.DUMMYFUNCTION("GOOGLETRANSLATE(D26, ""en"", ""zh"")"),"B) 1分钟")</f>
        <v>B) 1分钟</v>
      </c>
      <c r="L26" s="24" t="str">
        <f>IFERROR(__xludf.DUMMYFUNCTION("GOOGLETRANSLATE(E26, ""en"", ""zh"")"),"A队比B队快1分钟完成比赛。")</f>
        <v>A队比B队快1分钟完成比赛。</v>
      </c>
      <c r="M26" s="22"/>
      <c r="N26" s="21"/>
      <c r="O26" s="22"/>
      <c r="P26" s="21"/>
    </row>
    <row r="27">
      <c r="A27" s="23">
        <v>26.0</v>
      </c>
      <c r="B27" s="24" t="s">
        <v>523</v>
      </c>
      <c r="C27" s="24" t="s">
        <v>514</v>
      </c>
      <c r="D27" s="24" t="s">
        <v>449</v>
      </c>
      <c r="E27" s="24" t="s">
        <v>524</v>
      </c>
      <c r="F27" s="21"/>
      <c r="G27" s="21"/>
      <c r="H27" s="25"/>
      <c r="I27" s="24" t="str">
        <f>IFERROR(__xludf.DUMMYFUNCTION("GOOGLETRANSLATE(B27, ""en"", ""zh"")"),"在一场龙舟比赛中，A队用时9分30秒完成2000米赛程，而B队用时10分钟。哪支队伍的平均速度更快？")</f>
        <v>在一场龙舟比赛中，A队用时9分30秒完成2000米赛程，而B队用时10分钟。哪支队伍的平均速度更快？</v>
      </c>
      <c r="J27" s="24" t="str">
        <f>IFERROR(__xludf.DUMMYFUNCTION("GOOGLETRANSLATE(C27, ""en"", ""zh"")"),"A) A队，B) B队，C) 两队平均速度相同，D) 无法确定")</f>
        <v>A) A队，B) B队，C) 两队平均速度相同，D) 无法确定</v>
      </c>
      <c r="K27" s="24" t="str">
        <f>IFERROR(__xludf.DUMMYFUNCTION("GOOGLETRANSLATE(D27, ""en"", ""zh"")"),"A) A队")</f>
        <v>A) A队</v>
      </c>
      <c r="L27" s="24" t="str">
        <f>IFERROR(__xludf.DUMMYFUNCTION("GOOGLETRANSLATE(E27, ""en"", ""zh"")"),"A队更快完成比赛，这意味着他们的平均速度更高。")</f>
        <v>A队更快完成比赛，这意味着他们的平均速度更高。</v>
      </c>
      <c r="M27" s="22"/>
      <c r="N27" s="21"/>
      <c r="O27" s="22"/>
      <c r="P27" s="21"/>
    </row>
    <row r="28">
      <c r="A28" s="23">
        <v>27.0</v>
      </c>
      <c r="B28" s="24" t="s">
        <v>525</v>
      </c>
      <c r="C28" s="24" t="s">
        <v>526</v>
      </c>
      <c r="D28" s="24" t="s">
        <v>527</v>
      </c>
      <c r="E28" s="24" t="s">
        <v>528</v>
      </c>
      <c r="F28" s="21"/>
      <c r="G28" s="21"/>
      <c r="H28" s="25"/>
      <c r="I28" s="24" t="str">
        <f>IFERROR(__xludf.DUMMYFUNCTION("GOOGLETRANSLATE(B28, ""en"", ""zh"")"),"在一场龙舟比赛中，A队和B队进行500米比赛。A队用时2分钟完成比赛，B队用时2分10秒完成比赛。两队成绩相差多少秒？")</f>
        <v>在一场龙舟比赛中，A队和B队进行500米比赛。A队用时2分钟完成比赛，B队用时2分10秒完成比赛。两队成绩相差多少秒？</v>
      </c>
      <c r="J28" s="24" t="str">
        <f>IFERROR(__xludf.DUMMYFUNCTION("GOOGLETRANSLATE(C28, ""en"", ""zh"")"),"A) 10 秒，B) 20 秒，C) 5 秒，D) 15 秒")</f>
        <v>A) 10 秒，B) 20 秒，C) 5 秒，D) 15 秒</v>
      </c>
      <c r="K28" s="24" t="str">
        <f>IFERROR(__xludf.DUMMYFUNCTION("GOOGLETRANSLATE(D28, ""en"", ""zh"")"),"A) 10 秒")</f>
        <v>A) 10 秒</v>
      </c>
      <c r="L28" s="24" t="str">
        <f>IFERROR(__xludf.DUMMYFUNCTION("GOOGLETRANSLATE(E28, ""en"", ""zh"")"),"A队比B队快10秒完成比赛。")</f>
        <v>A队比B队快10秒完成比赛。</v>
      </c>
      <c r="M28" s="22"/>
      <c r="N28" s="21"/>
      <c r="O28" s="22"/>
      <c r="P28" s="21"/>
    </row>
    <row r="29">
      <c r="A29" s="23">
        <v>28.0</v>
      </c>
      <c r="B29" s="24" t="s">
        <v>529</v>
      </c>
      <c r="C29" s="24" t="s">
        <v>530</v>
      </c>
      <c r="D29" s="24" t="s">
        <v>531</v>
      </c>
      <c r="E29" s="24" t="s">
        <v>532</v>
      </c>
      <c r="F29" s="21"/>
      <c r="G29" s="21"/>
      <c r="H29" s="25"/>
      <c r="I29" s="24" t="str">
        <f>IFERROR(__xludf.DUMMYFUNCTION("GOOGLETRANSLATE(B29, ""en"", ""zh"")"),"A队以8分10秒的成绩完成了2000米的龙舟比赛。B队以8分30秒的成绩完成了同样的比赛。两队的平均速度分别是多少？")</f>
        <v>A队以8分10秒的成绩完成了2000米的龙舟比赛。B队以8分30秒的成绩完成了同样的比赛。两队的平均速度分别是多少？</v>
      </c>
      <c r="J29" s="24" t="str">
        <f>IFERROR(__xludf.DUMMYFUNCTION("GOOGLETRANSLATE(C29, ""en"", ""zh"")"),"A) A队：4.07米/秒，B队：3.92米/秒；B) A队：4.2米/秒，B队：3.9米/秒；C) A队：4.5米/秒，B队：4米/秒；D) A队：4.15米/秒，B队：3.85米/秒")</f>
        <v>A) A队：4.07米/秒，B队：3.92米/秒；B) A队：4.2米/秒，B队：3.9米/秒；C) A队：4.5米/秒，B队：4米/秒；D) A队：4.15米/秒，B队：3.85米/秒</v>
      </c>
      <c r="K29" s="24" t="str">
        <f>IFERROR(__xludf.DUMMYFUNCTION("GOOGLETRANSLATE(D29, ""en"", ""zh"")"),"A) A队：4.07米/秒，B队：3.92米/秒")</f>
        <v>A) A队：4.07米/秒，B队：3.92米/秒</v>
      </c>
      <c r="L29" s="24" t="str">
        <f>IFERROR(__xludf.DUMMYFUNCTION("GOOGLETRANSLATE(E29, ""en"", ""zh"")"),"A队的平均速度为2000米/490秒=4.07米/秒。B队的平均速度为2000米/510秒=3.92米/秒。")</f>
        <v>A队的平均速度为2000米/490秒=4.07米/秒。B队的平均速度为2000米/510秒=3.92米/秒。</v>
      </c>
      <c r="M29" s="22"/>
      <c r="N29" s="22"/>
      <c r="O29" s="22"/>
      <c r="P29" s="22"/>
    </row>
    <row r="30">
      <c r="A30" s="23">
        <v>29.0</v>
      </c>
      <c r="B30" s="24" t="s">
        <v>533</v>
      </c>
      <c r="C30" s="24" t="s">
        <v>467</v>
      </c>
      <c r="D30" s="24" t="s">
        <v>449</v>
      </c>
      <c r="E30" s="24" t="s">
        <v>534</v>
      </c>
      <c r="F30" s="21"/>
      <c r="G30" s="21"/>
      <c r="H30" s="25"/>
      <c r="I30" s="24" t="str">
        <f>IFERROR(__xludf.DUMMYFUNCTION("GOOGLETRANSLATE(B30, ""en"", ""zh"")"),"在一场龙舟比赛中，A队和B队同时出发。A队以每秒6米的恒定速度航行，而B队在前500米以每秒5米的速度起航，然后在剩余的1500米中加速到每秒7米。哪支队伍更有可能赢得比赛？")</f>
        <v>在一场龙舟比赛中，A队和B队同时出发。A队以每秒6米的恒定速度航行，而B队在前500米以每秒5米的速度起航，然后在剩余的1500米中加速到每秒7米。哪支队伍更有可能赢得比赛？</v>
      </c>
      <c r="J30" s="24" t="str">
        <f>IFERROR(__xludf.DUMMYFUNCTION("GOOGLETRANSLATE(C30, ""en"", ""zh"")"),"A) A队胜，B) B队胜，C) 平局，D) 尚无法确定")</f>
        <v>A) A队胜，B) B队胜，C) 平局，D) 尚无法确定</v>
      </c>
      <c r="K30" s="24" t="str">
        <f>IFERROR(__xludf.DUMMYFUNCTION("GOOGLETRANSLATE(D30, ""en"", ""zh"")"),"A) A队")</f>
        <v>A) A队</v>
      </c>
      <c r="L30" s="24" t="str">
        <f>IFERROR(__xludf.DUMMYFUNCTION("GOOGLETRANSLATE(E30, ""en"", ""zh"")"),"A 队以恒定速度完成比赛，总用时 250 秒，而 B 队用时 260 秒，因此 A 队获胜。")</f>
        <v>A 队以恒定速度完成比赛，总用时 250 秒，而 B 队用时 260 秒，因此 A 队获胜。</v>
      </c>
      <c r="M30" s="22"/>
      <c r="N30" s="21"/>
      <c r="O30" s="22"/>
      <c r="P30" s="21"/>
    </row>
    <row r="31">
      <c r="A31" s="23">
        <v>30.0</v>
      </c>
      <c r="B31" s="24" t="s">
        <v>535</v>
      </c>
      <c r="C31" s="24" t="s">
        <v>467</v>
      </c>
      <c r="D31" s="24" t="s">
        <v>449</v>
      </c>
      <c r="E31" s="24" t="s">
        <v>536</v>
      </c>
      <c r="F31" s="21"/>
      <c r="G31" s="21"/>
      <c r="H31" s="25"/>
      <c r="I31" s="24" t="str">
        <f>IFERROR(__xludf.DUMMYFUNCTION("GOOGLETRANSLATE(B31, ""en"", ""zh"")"),"在一场龙舟比赛中，A队用4分钟完成了前1000米，B队用4分10秒完成了同样的距离。如果两队继续以相同的速度前进，哪支队伍更有可能获胜？")</f>
        <v>在一场龙舟比赛中，A队用4分钟完成了前1000米，B队用4分10秒完成了同样的距离。如果两队继续以相同的速度前进，哪支队伍更有可能获胜？</v>
      </c>
      <c r="J31" s="24" t="str">
        <f>IFERROR(__xludf.DUMMYFUNCTION("GOOGLETRANSLATE(C31, ""en"", ""zh"")"),"A) A队胜，B) B队胜，C) 平局，D) 尚无法确定")</f>
        <v>A) A队胜，B) B队胜，C) 平局，D) 尚无法确定</v>
      </c>
      <c r="K31" s="24" t="str">
        <f>IFERROR(__xludf.DUMMYFUNCTION("GOOGLETRANSLATE(D31, ""en"", ""zh"")"),"A) A队")</f>
        <v>A) A队</v>
      </c>
      <c r="L31" s="24" t="str">
        <f>IFERROR(__xludf.DUMMYFUNCTION("GOOGLETRANSLATE(E31, ""en"", ""zh"")"),"A队领先10秒，很可能会保持这一优势。")</f>
        <v>A队领先10秒，很可能会保持这一优势。</v>
      </c>
      <c r="M31" s="22"/>
      <c r="N31" s="21"/>
      <c r="O31" s="22"/>
      <c r="P31" s="21"/>
    </row>
    <row r="32">
      <c r="A32" s="23">
        <v>31.0</v>
      </c>
      <c r="B32" s="24" t="s">
        <v>537</v>
      </c>
      <c r="C32" s="24" t="s">
        <v>467</v>
      </c>
      <c r="D32" s="24" t="s">
        <v>449</v>
      </c>
      <c r="E32" s="24" t="s">
        <v>538</v>
      </c>
      <c r="F32" s="21"/>
      <c r="G32" s="21"/>
      <c r="H32" s="25"/>
      <c r="I32" s="24" t="str">
        <f>IFERROR(__xludf.DUMMYFUNCTION("GOOGLETRANSLATE(B32, ""en"", ""zh"")"),"在一场龙舟比赛中，A队前500米用时2分钟，然后加速到每秒8米，持续1000米。B队全程保持每秒7米的恒定速度。哪支队伍会先到达终点？")</f>
        <v>在一场龙舟比赛中，A队前500米用时2分钟，然后加速到每秒8米，持续1000米。B队全程保持每秒7米的恒定速度。哪支队伍会先到达终点？</v>
      </c>
      <c r="J32" s="24" t="str">
        <f>IFERROR(__xludf.DUMMYFUNCTION("GOOGLETRANSLATE(C32, ""en"", ""zh"")"),"A) A队胜，B) B队胜，C) 平局，D) 尚无法确定")</f>
        <v>A) A队胜，B) B队胜，C) 平局，D) 尚无法确定</v>
      </c>
      <c r="K32" s="24" t="str">
        <f>IFERROR(__xludf.DUMMYFUNCTION("GOOGLETRANSLATE(D32, ""en"", ""zh"")"),"A) A队")</f>
        <v>A) A队</v>
      </c>
      <c r="L32" s="24" t="str">
        <f>IFERROR(__xludf.DUMMYFUNCTION("GOOGLETRANSLATE(E32, ""en"", ""zh"")"),"A队在第二赛段速度更快，总用时172.14秒，而B队用时214.29秒。A队获胜。")</f>
        <v>A队在第二赛段速度更快，总用时172.14秒，而B队用时214.29秒。A队获胜。</v>
      </c>
      <c r="M32" s="22"/>
      <c r="N32" s="21"/>
      <c r="O32" s="22"/>
      <c r="P32" s="21"/>
    </row>
    <row r="33">
      <c r="A33" s="23">
        <v>32.0</v>
      </c>
      <c r="B33" s="24" t="s">
        <v>539</v>
      </c>
      <c r="C33" s="24" t="s">
        <v>467</v>
      </c>
      <c r="D33" s="24" t="s">
        <v>540</v>
      </c>
      <c r="E33" s="24" t="s">
        <v>541</v>
      </c>
      <c r="F33" s="21"/>
      <c r="G33" s="21"/>
      <c r="H33" s="25"/>
      <c r="I33" s="24" t="str">
        <f>IFERROR(__xludf.DUMMYFUNCTION("GOOGLETRANSLATE(B33, ""en"", ""zh"")"),"在一场3000米龙舟比赛中，A队前1500米用时7分30秒，B队用时7分钟完成同样的距离。哪支队伍更有可能赢得比赛？")</f>
        <v>在一场3000米龙舟比赛中，A队前1500米用时7分30秒，B队用时7分钟完成同样的距离。哪支队伍更有可能赢得比赛？</v>
      </c>
      <c r="J33" s="24" t="str">
        <f>IFERROR(__xludf.DUMMYFUNCTION("GOOGLETRANSLATE(C33, ""en"", ""zh"")"),"A) A队胜，B) B队胜，C) 平局，D) 尚无法确定")</f>
        <v>A) A队胜，B) B队胜，C) 平局，D) 尚无法确定</v>
      </c>
      <c r="K33" s="24" t="str">
        <f>IFERROR(__xludf.DUMMYFUNCTION("GOOGLETRANSLATE(D33, ""en"", ""zh"")"),"B) B队")</f>
        <v>B) B队</v>
      </c>
      <c r="L33" s="24" t="str">
        <f>IFERROR(__xludf.DUMMYFUNCTION("GOOGLETRANSLATE(E33, ""en"", ""zh"")"),"比赛进行到一半时，B队领先30秒，获胜的可能性更大。")</f>
        <v>比赛进行到一半时，B队领先30秒，获胜的可能性更大。</v>
      </c>
      <c r="M33" s="22"/>
      <c r="N33" s="21"/>
      <c r="O33" s="22"/>
      <c r="P33" s="21"/>
    </row>
    <row r="34">
      <c r="A34" s="23">
        <v>33.0</v>
      </c>
      <c r="B34" s="24" t="s">
        <v>542</v>
      </c>
      <c r="C34" s="24" t="s">
        <v>514</v>
      </c>
      <c r="D34" s="24" t="s">
        <v>449</v>
      </c>
      <c r="E34" s="24" t="s">
        <v>543</v>
      </c>
      <c r="F34" s="21"/>
      <c r="G34" s="21"/>
      <c r="H34" s="25"/>
      <c r="I34" s="24" t="str">
        <f>IFERROR(__xludf.DUMMYFUNCTION("GOOGLETRANSLATE(B34, ""en"", ""zh"")"),"在一场龙舟比赛中，A队用时9分40秒完成2000米赛程，而B队用时10分钟完成比赛。哪支队伍的平均速度更快？")</f>
        <v>在一场龙舟比赛中，A队用时9分40秒完成2000米赛程，而B队用时10分钟完成比赛。哪支队伍的平均速度更快？</v>
      </c>
      <c r="J34" s="24" t="str">
        <f>IFERROR(__xludf.DUMMYFUNCTION("GOOGLETRANSLATE(C34, ""en"", ""zh"")"),"A) A队，B) B队，C) 两队平均速度相同，D) 无法确定")</f>
        <v>A) A队，B) B队，C) 两队平均速度相同，D) 无法确定</v>
      </c>
      <c r="K34" s="24" t="str">
        <f>IFERROR(__xludf.DUMMYFUNCTION("GOOGLETRANSLATE(D34, ""en"", ""zh"")"),"A) A队")</f>
        <v>A) A队</v>
      </c>
      <c r="L34" s="24" t="str">
        <f>IFERROR(__xludf.DUMMYFUNCTION("GOOGLETRANSLATE(E34, ""en"", ""zh"")"),"A队完赛速度更快，这意味着他们的平均速度更高。")</f>
        <v>A队完赛速度更快，这意味着他们的平均速度更高。</v>
      </c>
      <c r="M34" s="22"/>
      <c r="N34" s="21"/>
      <c r="O34" s="22"/>
      <c r="P34" s="21"/>
    </row>
    <row r="35">
      <c r="A35" s="23">
        <v>34.0</v>
      </c>
      <c r="B35" s="24" t="s">
        <v>544</v>
      </c>
      <c r="C35" s="24" t="s">
        <v>467</v>
      </c>
      <c r="D35" s="24" t="s">
        <v>449</v>
      </c>
      <c r="E35" s="24" t="s">
        <v>545</v>
      </c>
      <c r="F35" s="21"/>
      <c r="G35" s="21"/>
      <c r="H35" s="25"/>
      <c r="I35" s="24" t="str">
        <f>IFERROR(__xludf.DUMMYFUNCTION("GOOGLETRANSLATE(B35, ""en"", ""zh"")"),"在一场龙舟比赛中，A队前500米用时2分30秒，B队用时2分40秒。假设两队保持相同的速度，那么目前哪支队伍领先？")</f>
        <v>在一场龙舟比赛中，A队前500米用时2分30秒，B队用时2分40秒。假设两队保持相同的速度，那么目前哪支队伍领先？</v>
      </c>
      <c r="J35" s="24" t="str">
        <f>IFERROR(__xludf.DUMMYFUNCTION("GOOGLETRANSLATE(C35, ""en"", ""zh"")"),"A) A队胜，B) B队胜，C) 平局，D) 尚无法确定")</f>
        <v>A) A队胜，B) B队胜，C) 平局，D) 尚无法确定</v>
      </c>
      <c r="K35" s="24" t="str">
        <f>IFERROR(__xludf.DUMMYFUNCTION("GOOGLETRANSLATE(D35, ""en"", ""zh"")"),"A) A队")</f>
        <v>A) A队</v>
      </c>
      <c r="L35" s="24" t="str">
        <f>IFERROR(__xludf.DUMMYFUNCTION("GOOGLETRANSLATE(E35, ""en"", ""zh"")"),"前500米过后，A队领先10秒。")</f>
        <v>前500米过后，A队领先10秒。</v>
      </c>
      <c r="M35" s="22"/>
      <c r="N35" s="21"/>
      <c r="O35" s="22"/>
      <c r="P35" s="22"/>
    </row>
    <row r="36">
      <c r="A36" s="23">
        <v>35.0</v>
      </c>
      <c r="B36" s="24" t="s">
        <v>546</v>
      </c>
      <c r="C36" s="24" t="s">
        <v>547</v>
      </c>
      <c r="D36" s="24" t="s">
        <v>548</v>
      </c>
      <c r="E36" s="24" t="s">
        <v>549</v>
      </c>
      <c r="F36" s="21"/>
      <c r="G36" s="21"/>
      <c r="H36" s="25"/>
      <c r="I36" s="24" t="str">
        <f>IFERROR(__xludf.DUMMYFUNCTION("GOOGLETRANSLATE(B36, ""en"", ""zh"")"),"在一场龙舟比赛中，A队用5分钟完成1000米赛程，B队用5分20秒完成同样的赛程。A队比B队快多少？")</f>
        <v>在一场龙舟比赛中，A队用5分钟完成1000米赛程，B队用5分20秒完成同样的赛程。A队比B队快多少？</v>
      </c>
      <c r="J36" s="24" t="str">
        <f>IFERROR(__xludf.DUMMYFUNCTION("GOOGLETRANSLATE(C36, ""en"", ""zh"")"),"A) 20秒，B) 30秒，C) 10秒，D) 40秒")</f>
        <v>A) 20秒，B) 30秒，C) 10秒，D) 40秒</v>
      </c>
      <c r="K36" s="24" t="str">
        <f>IFERROR(__xludf.DUMMYFUNCTION("GOOGLETRANSLATE(D36, ""en"", ""zh"")"),"A) 20 秒")</f>
        <v>A) 20 秒</v>
      </c>
      <c r="L36" s="24" t="str">
        <f>IFERROR(__xludf.DUMMYFUNCTION("GOOGLETRANSLATE(E36, ""en"", ""zh"")"),"A队比B队快了20秒。")</f>
        <v>A队比B队快了20秒。</v>
      </c>
      <c r="M36" s="22"/>
      <c r="N36" s="21"/>
      <c r="O36" s="22"/>
      <c r="P36" s="21"/>
    </row>
    <row r="37">
      <c r="A37" s="23">
        <v>36.0</v>
      </c>
      <c r="B37" s="24" t="s">
        <v>550</v>
      </c>
      <c r="C37" s="24" t="s">
        <v>467</v>
      </c>
      <c r="D37" s="24" t="s">
        <v>449</v>
      </c>
      <c r="E37" s="24" t="s">
        <v>551</v>
      </c>
      <c r="F37" s="21"/>
      <c r="G37" s="21"/>
      <c r="H37" s="25"/>
      <c r="I37" s="24" t="str">
        <f>IFERROR(__xludf.DUMMYFUNCTION("GOOGLETRANSLATE(B37, ""en"", ""zh"")"),"在一场龙舟比赛中，A队用时2分钟完成前500米，B队用时2分30秒完成前500米。此后，两队以相同的速度继续前进。哪支队伍会先到达终点？")</f>
        <v>在一场龙舟比赛中，A队用时2分钟完成前500米，B队用时2分30秒完成前500米。此后，两队以相同的速度继续前进。哪支队伍会先到达终点？</v>
      </c>
      <c r="J37" s="24" t="str">
        <f>IFERROR(__xludf.DUMMYFUNCTION("GOOGLETRANSLATE(C37, ""en"", ""zh"")"),"A) A队胜，B) B队胜，C) 平局，D) 尚无法确定")</f>
        <v>A) A队胜，B) B队胜，C) 平局，D) 尚无法确定</v>
      </c>
      <c r="K37" s="24" t="str">
        <f>IFERROR(__xludf.DUMMYFUNCTION("GOOGLETRANSLATE(D37, ""en"", ""zh"")"),"A) A队")</f>
        <v>A) A队</v>
      </c>
      <c r="L37" s="24" t="str">
        <f>IFERROR(__xludf.DUMMYFUNCTION("GOOGLETRANSLATE(E37, ""en"", ""zh"")"),"A队领先30秒，很可能获得第一名。")</f>
        <v>A队领先30秒，很可能获得第一名。</v>
      </c>
      <c r="M37" s="22"/>
      <c r="N37" s="21"/>
      <c r="O37" s="22"/>
      <c r="P37" s="21"/>
    </row>
    <row r="38">
      <c r="A38" s="23">
        <v>37.0</v>
      </c>
      <c r="B38" s="24" t="s">
        <v>552</v>
      </c>
      <c r="C38" s="24" t="s">
        <v>553</v>
      </c>
      <c r="D38" s="24" t="s">
        <v>548</v>
      </c>
      <c r="E38" s="24" t="s">
        <v>554</v>
      </c>
      <c r="F38" s="21"/>
      <c r="G38" s="21"/>
      <c r="H38" s="25"/>
      <c r="I38" s="24" t="str">
        <f>IFERROR(__xludf.DUMMYFUNCTION("GOOGLETRANSLATE(B38, ""en"", ""zh"")"),"在一场龙舟比赛中，A队用时10分30秒完成比赛，B队用时10分10秒完成比赛。两队用时相差多少？")</f>
        <v>在一场龙舟比赛中，A队用时10分30秒完成比赛，B队用时10分10秒完成比赛。两队用时相差多少？</v>
      </c>
      <c r="J38" s="24" t="str">
        <f>IFERROR(__xludf.DUMMYFUNCTION("GOOGLETRANSLATE(C38, ""en"", ""zh"")"),"A) 20秒，B) 10秒，C) 15秒，D) 30秒")</f>
        <v>A) 20秒，B) 10秒，C) 15秒，D) 30秒</v>
      </c>
      <c r="K38" s="24" t="str">
        <f>IFERROR(__xludf.DUMMYFUNCTION("GOOGLETRANSLATE(D38, ""en"", ""zh"")"),"A) 20 秒")</f>
        <v>A) 20 秒</v>
      </c>
      <c r="L38" s="24" t="str">
        <f>IFERROR(__xludf.DUMMYFUNCTION("GOOGLETRANSLATE(E38, ""en"", ""zh"")"),"A队比B队慢了20秒。")</f>
        <v>A队比B队慢了20秒。</v>
      </c>
      <c r="M38" s="22"/>
      <c r="N38" s="21"/>
      <c r="O38" s="22"/>
      <c r="P38" s="21"/>
    </row>
    <row r="39">
      <c r="A39" s="23">
        <v>38.0</v>
      </c>
      <c r="B39" s="24" t="s">
        <v>555</v>
      </c>
      <c r="C39" s="24" t="s">
        <v>514</v>
      </c>
      <c r="D39" s="24" t="s">
        <v>540</v>
      </c>
      <c r="E39" s="24" t="s">
        <v>556</v>
      </c>
      <c r="F39" s="21"/>
      <c r="G39" s="21"/>
      <c r="H39" s="25"/>
      <c r="I39" s="24" t="str">
        <f>IFERROR(__xludf.DUMMYFUNCTION("GOOGLETRANSLATE(B39, ""en"", ""zh"")"),"在一场龙舟比赛中，A队用时6分20秒完成了1500米赛程，B队用时6分钟完成了同样的赛程。哪支队伍的平均速度更快？")</f>
        <v>在一场龙舟比赛中，A队用时6分20秒完成了1500米赛程，B队用时6分钟完成了同样的赛程。哪支队伍的平均速度更快？</v>
      </c>
      <c r="J39" s="24" t="str">
        <f>IFERROR(__xludf.DUMMYFUNCTION("GOOGLETRANSLATE(C39, ""en"", ""zh"")"),"A) A队，B) B队，C) 两队平均速度相同，D) 无法确定")</f>
        <v>A) A队，B) B队，C) 两队平均速度相同，D) 无法确定</v>
      </c>
      <c r="K39" s="24" t="str">
        <f>IFERROR(__xludf.DUMMYFUNCTION("GOOGLETRANSLATE(D39, ""en"", ""zh"")"),"B) B队")</f>
        <v>B) B队</v>
      </c>
      <c r="L39" s="24" t="str">
        <f>IFERROR(__xludf.DUMMYFUNCTION("GOOGLETRANSLATE(E39, ""en"", ""zh"")"),"B队更快完成比赛，这意味着他们的平均速度更高。")</f>
        <v>B队更快完成比赛，这意味着他们的平均速度更高。</v>
      </c>
      <c r="M39" s="22"/>
      <c r="N39" s="21"/>
      <c r="O39" s="22"/>
      <c r="P39" s="22"/>
    </row>
    <row r="40">
      <c r="A40" s="23">
        <v>39.0</v>
      </c>
      <c r="B40" s="24" t="s">
        <v>557</v>
      </c>
      <c r="C40" s="24" t="s">
        <v>558</v>
      </c>
      <c r="D40" s="24" t="s">
        <v>548</v>
      </c>
      <c r="E40" s="24" t="s">
        <v>549</v>
      </c>
      <c r="F40" s="21"/>
      <c r="G40" s="21"/>
      <c r="H40" s="25"/>
      <c r="I40" s="24" t="str">
        <f>IFERROR(__xludf.DUMMYFUNCTION("GOOGLETRANSLATE(B40, ""en"", ""zh"")"),"在一场龙舟比赛中，A队用时4分50秒完成1000米赛程，B队用时5分10秒完成比赛。A队比B队快多少？")</f>
        <v>在一场龙舟比赛中，A队用时4分50秒完成1000米赛程，B队用时5分10秒完成比赛。A队比B队快多少？</v>
      </c>
      <c r="J40" s="24" t="str">
        <f>IFERROR(__xludf.DUMMYFUNCTION("GOOGLETRANSLATE(C40, ""en"", ""zh"")"),"A) 20秒，B) 30秒，C) 40秒，D) 10秒")</f>
        <v>A) 20秒，B) 30秒，C) 40秒，D) 10秒</v>
      </c>
      <c r="K40" s="24" t="str">
        <f>IFERROR(__xludf.DUMMYFUNCTION("GOOGLETRANSLATE(D40, ""en"", ""zh"")"),"A) 20 秒")</f>
        <v>A) 20 秒</v>
      </c>
      <c r="L40" s="24" t="str">
        <f>IFERROR(__xludf.DUMMYFUNCTION("GOOGLETRANSLATE(E40, ""en"", ""zh"")"),"A队比B队快了20秒。")</f>
        <v>A队比B队快了20秒。</v>
      </c>
      <c r="M40" s="22"/>
      <c r="N40" s="21"/>
      <c r="O40" s="22"/>
      <c r="P40" s="21"/>
    </row>
    <row r="41">
      <c r="A41" s="23">
        <v>40.0</v>
      </c>
      <c r="B41" s="24" t="s">
        <v>559</v>
      </c>
      <c r="C41" s="24" t="s">
        <v>467</v>
      </c>
      <c r="D41" s="24" t="s">
        <v>449</v>
      </c>
      <c r="E41" s="24" t="s">
        <v>560</v>
      </c>
      <c r="F41" s="21"/>
      <c r="G41" s="21"/>
      <c r="H41" s="25"/>
      <c r="I41" s="24" t="str">
        <f>IFERROR(__xludf.DUMMYFUNCTION("GOOGLETRANSLATE(B41, ""en"", ""zh"")"),"在2500米龙舟比赛中，A队前1500米用时7分钟，B队前1500米用时7分10秒。目前哪支队伍领先？")</f>
        <v>在2500米龙舟比赛中，A队前1500米用时7分钟，B队前1500米用时7分10秒。目前哪支队伍领先？</v>
      </c>
      <c r="J41" s="24" t="str">
        <f>IFERROR(__xludf.DUMMYFUNCTION("GOOGLETRANSLATE(C41, ""en"", ""zh"")"),"A) A队胜，B) B队胜，C) 平局，D) 尚无法确定")</f>
        <v>A) A队胜，B) B队胜，C) 平局，D) 尚无法确定</v>
      </c>
      <c r="K41" s="24" t="str">
        <f>IFERROR(__xludf.DUMMYFUNCTION("GOOGLETRANSLATE(D41, ""en"", ""zh"")"),"A) A队")</f>
        <v>A) A队</v>
      </c>
      <c r="L41" s="24" t="str">
        <f>IFERROR(__xludf.DUMMYFUNCTION("GOOGLETRANSLATE(E41, ""en"", ""zh"")"),"前1500米过后，A队领先10秒。")</f>
        <v>前1500米过后，A队领先10秒。</v>
      </c>
      <c r="M41" s="22"/>
      <c r="N41" s="21"/>
      <c r="O41" s="22"/>
      <c r="P41" s="22"/>
    </row>
    <row r="42">
      <c r="A42" s="23">
        <v>41.0</v>
      </c>
      <c r="B42" s="24" t="s">
        <v>561</v>
      </c>
      <c r="C42" s="24" t="s">
        <v>467</v>
      </c>
      <c r="D42" s="24" t="s">
        <v>449</v>
      </c>
      <c r="E42" s="24" t="s">
        <v>562</v>
      </c>
      <c r="F42" s="21"/>
      <c r="G42" s="21"/>
      <c r="H42" s="25"/>
      <c r="I42" s="24" t="str">
        <f>IFERROR(__xludf.DUMMYFUNCTION("GOOGLETRANSLATE(B42, ""en"", ""zh"")"),"在一场龙舟比赛中，A队在1000米赛程中始终保持每秒6.5米的速度，而B队始终保持每秒6米的速度。哪支队伍先到达终点？")</f>
        <v>在一场龙舟比赛中，A队在1000米赛程中始终保持每秒6.5米的速度，而B队始终保持每秒6米的速度。哪支队伍先到达终点？</v>
      </c>
      <c r="J42" s="24" t="str">
        <f>IFERROR(__xludf.DUMMYFUNCTION("GOOGLETRANSLATE(C42, ""en"", ""zh"")"),"A) A队胜，B) B队胜，C) 平局，D) 尚无法确定")</f>
        <v>A) A队胜，B) B队胜，C) 平局，D) 尚无法确定</v>
      </c>
      <c r="K42" s="24" t="str">
        <f>IFERROR(__xludf.DUMMYFUNCTION("GOOGLETRANSLATE(D42, ""en"", ""zh"")"),"A) A队")</f>
        <v>A) A队</v>
      </c>
      <c r="L42" s="24" t="str">
        <f>IFERROR(__xludf.DUMMYFUNCTION("GOOGLETRANSLATE(E42, ""en"", ""zh"")"),"A队用时153.85秒完成1000米比赛，B队用时166.67秒。A队获胜。")</f>
        <v>A队用时153.85秒完成1000米比赛，B队用时166.67秒。A队获胜。</v>
      </c>
      <c r="M42" s="22"/>
      <c r="N42" s="21"/>
      <c r="O42" s="22"/>
      <c r="P42" s="22"/>
    </row>
    <row r="43">
      <c r="A43" s="23">
        <v>42.0</v>
      </c>
      <c r="B43" s="24" t="s">
        <v>563</v>
      </c>
      <c r="C43" s="24" t="s">
        <v>564</v>
      </c>
      <c r="D43" s="24" t="s">
        <v>548</v>
      </c>
      <c r="E43" s="24" t="s">
        <v>549</v>
      </c>
      <c r="F43" s="21"/>
      <c r="G43" s="21"/>
      <c r="H43" s="25"/>
      <c r="I43" s="24" t="str">
        <f>IFERROR(__xludf.DUMMYFUNCTION("GOOGLETRANSLATE(B43, ""en"", ""zh"")"),"在一场1500米龙舟比赛中，A队前1000米用时5分钟，B队用时5分20秒。两队用时相差多少？")</f>
        <v>在一场1500米龙舟比赛中，A队前1000米用时5分钟，B队用时5分20秒。两队用时相差多少？</v>
      </c>
      <c r="J43" s="24" t="str">
        <f>IFERROR(__xludf.DUMMYFUNCTION("GOOGLETRANSLATE(C43, ""en"", ""zh"")"),"A) 20秒，B) 10秒，C) 30秒，D) 40秒")</f>
        <v>A) 20秒，B) 10秒，C) 30秒，D) 40秒</v>
      </c>
      <c r="K43" s="24" t="str">
        <f>IFERROR(__xludf.DUMMYFUNCTION("GOOGLETRANSLATE(D43, ""en"", ""zh"")"),"A) 20 秒")</f>
        <v>A) 20 秒</v>
      </c>
      <c r="L43" s="24" t="str">
        <f>IFERROR(__xludf.DUMMYFUNCTION("GOOGLETRANSLATE(E43, ""en"", ""zh"")"),"A队比B队快了20秒。")</f>
        <v>A队比B队快了20秒。</v>
      </c>
      <c r="M43" s="22"/>
      <c r="N43" s="21"/>
      <c r="O43" s="22"/>
      <c r="P43" s="21"/>
    </row>
    <row r="44">
      <c r="A44" s="23">
        <v>43.0</v>
      </c>
      <c r="B44" s="24" t="s">
        <v>565</v>
      </c>
      <c r="C44" s="24" t="s">
        <v>467</v>
      </c>
      <c r="D44" s="24" t="s">
        <v>449</v>
      </c>
      <c r="E44" s="24" t="s">
        <v>566</v>
      </c>
      <c r="F44" s="21"/>
      <c r="G44" s="21"/>
      <c r="H44" s="25"/>
      <c r="I44" s="24" t="str">
        <f>IFERROR(__xludf.DUMMYFUNCTION("GOOGLETRANSLATE(B44, ""en"", ""zh"")"),"在一场龙舟比赛中，A队和B队进行2000米比赛。A队用时5分钟完成前1000米，而B队用时5分30秒完成前1000米。目前哪支队伍领先？")</f>
        <v>在一场龙舟比赛中，A队和B队进行2000米比赛。A队用时5分钟完成前1000米，而B队用时5分30秒完成前1000米。目前哪支队伍领先？</v>
      </c>
      <c r="J44" s="24" t="str">
        <f>IFERROR(__xludf.DUMMYFUNCTION("GOOGLETRANSLATE(C44, ""en"", ""zh"")"),"A) A队胜，B) B队胜，C) 平局，D) 尚无法确定")</f>
        <v>A) A队胜，B) B队胜，C) 平局，D) 尚无法确定</v>
      </c>
      <c r="K44" s="24" t="str">
        <f>IFERROR(__xludf.DUMMYFUNCTION("GOOGLETRANSLATE(D44, ""en"", ""zh"")"),"A) A队")</f>
        <v>A) A队</v>
      </c>
      <c r="L44" s="24" t="str">
        <f>IFERROR(__xludf.DUMMYFUNCTION("GOOGLETRANSLATE(E44, ""en"", ""zh"")"),"前1000米过后，A队领先30秒。")</f>
        <v>前1000米过后，A队领先30秒。</v>
      </c>
      <c r="M44" s="22"/>
      <c r="N44" s="21"/>
      <c r="O44" s="22"/>
      <c r="P44" s="22"/>
    </row>
    <row r="45">
      <c r="A45" s="23">
        <v>44.0</v>
      </c>
      <c r="B45" s="24" t="s">
        <v>567</v>
      </c>
      <c r="C45" s="24" t="s">
        <v>467</v>
      </c>
      <c r="D45" s="24" t="s">
        <v>449</v>
      </c>
      <c r="E45" s="24" t="s">
        <v>568</v>
      </c>
      <c r="F45" s="21"/>
      <c r="G45" s="21"/>
      <c r="H45" s="25"/>
      <c r="I45" s="24" t="str">
        <f>IFERROR(__xludf.DUMMYFUNCTION("GOOGLETRANSLATE(B45, ""en"", ""zh"")"),"A队和B队参加2500米龙舟比赛。A队前1000米用时4分40秒，B队用时5分钟。哪支队伍更有可能获胜？")</f>
        <v>A队和B队参加2500米龙舟比赛。A队前1000米用时4分40秒，B队用时5分钟。哪支队伍更有可能获胜？</v>
      </c>
      <c r="J45" s="24" t="str">
        <f>IFERROR(__xludf.DUMMYFUNCTION("GOOGLETRANSLATE(C45, ""en"", ""zh"")"),"A) A队胜，B) B队胜，C) 平局，D) 尚无法确定")</f>
        <v>A) A队胜，B) B队胜，C) 平局，D) 尚无法确定</v>
      </c>
      <c r="K45" s="24" t="str">
        <f>IFERROR(__xludf.DUMMYFUNCTION("GOOGLETRANSLATE(D45, ""en"", ""zh"")"),"A) A队")</f>
        <v>A) A队</v>
      </c>
      <c r="L45" s="24" t="str">
        <f>IFERROR(__xludf.DUMMYFUNCTION("GOOGLETRANSLATE(E45, ""en"", ""zh"")"),"A队领先20秒，很可能会保持这一优势。")</f>
        <v>A队领先20秒，很可能会保持这一优势。</v>
      </c>
      <c r="M45" s="22"/>
      <c r="N45" s="21"/>
      <c r="O45" s="22"/>
      <c r="P45" s="21"/>
    </row>
    <row r="46">
      <c r="A46" s="23">
        <v>45.0</v>
      </c>
      <c r="B46" s="24" t="s">
        <v>569</v>
      </c>
      <c r="C46" s="24" t="s">
        <v>467</v>
      </c>
      <c r="D46" s="24" t="s">
        <v>449</v>
      </c>
      <c r="E46" s="24" t="s">
        <v>570</v>
      </c>
      <c r="F46" s="21"/>
      <c r="G46" s="21"/>
      <c r="H46" s="25"/>
      <c r="I46" s="24" t="str">
        <f>IFERROR(__xludf.DUMMYFUNCTION("GOOGLETRANSLATE(B46, ""en"", ""zh"")"),"在一场龙舟比赛中，A队前1000米用时4分钟，B队用时4分10秒。如果两队保持相同的速度，哪队会先到达终点？")</f>
        <v>在一场龙舟比赛中，A队前1000米用时4分钟，B队用时4分10秒。如果两队保持相同的速度，哪队会先到达终点？</v>
      </c>
      <c r="J46" s="24" t="str">
        <f>IFERROR(__xludf.DUMMYFUNCTION("GOOGLETRANSLATE(C46, ""en"", ""zh"")"),"A) A队胜，B) B队胜，C) 平局，D) 尚无法确定")</f>
        <v>A) A队胜，B) B队胜，C) 平局，D) 尚无法确定</v>
      </c>
      <c r="K46" s="24" t="str">
        <f>IFERROR(__xludf.DUMMYFUNCTION("GOOGLETRANSLATE(D46, ""en"", ""zh"")"),"A) A队")</f>
        <v>A) A队</v>
      </c>
      <c r="L46" s="24" t="str">
        <f>IFERROR(__xludf.DUMMYFUNCTION("GOOGLETRANSLATE(E46, ""en"", ""zh"")"),"A队领先10秒，很可能第一个冲过终点线。")</f>
        <v>A队领先10秒，很可能第一个冲过终点线。</v>
      </c>
      <c r="M46" s="22"/>
      <c r="N46" s="21"/>
      <c r="O46" s="22"/>
      <c r="P46" s="21"/>
    </row>
    <row r="47">
      <c r="A47" s="23">
        <v>46.0</v>
      </c>
      <c r="B47" s="24" t="s">
        <v>571</v>
      </c>
      <c r="C47" s="24" t="s">
        <v>514</v>
      </c>
      <c r="D47" s="24" t="s">
        <v>449</v>
      </c>
      <c r="E47" s="24" t="s">
        <v>543</v>
      </c>
      <c r="F47" s="21"/>
      <c r="G47" s="21"/>
      <c r="H47" s="25"/>
      <c r="I47" s="24" t="str">
        <f>IFERROR(__xludf.DUMMYFUNCTION("GOOGLETRANSLATE(B47, ""en"", ""zh"")"),"在一场龙舟比赛中，A队用时7分钟完成1500米赛程，而B队用时7分30秒完成比赛。哪支队伍的平均速度更快？")</f>
        <v>在一场龙舟比赛中，A队用时7分钟完成1500米赛程，而B队用时7分30秒完成比赛。哪支队伍的平均速度更快？</v>
      </c>
      <c r="J47" s="24" t="str">
        <f>IFERROR(__xludf.DUMMYFUNCTION("GOOGLETRANSLATE(C47, ""en"", ""zh"")"),"A) A队，B) B队，C) 两队平均速度相同，D) 无法确定")</f>
        <v>A) A队，B) B队，C) 两队平均速度相同，D) 无法确定</v>
      </c>
      <c r="K47" s="24" t="str">
        <f>IFERROR(__xludf.DUMMYFUNCTION("GOOGLETRANSLATE(D47, ""en"", ""zh"")"),"A) A队")</f>
        <v>A) A队</v>
      </c>
      <c r="L47" s="24" t="str">
        <f>IFERROR(__xludf.DUMMYFUNCTION("GOOGLETRANSLATE(E47, ""en"", ""zh"")"),"A队完赛速度更快，这意味着他们的平均速度更高。")</f>
        <v>A队完赛速度更快，这意味着他们的平均速度更高。</v>
      </c>
      <c r="M47" s="22"/>
      <c r="N47" s="21"/>
      <c r="O47" s="22"/>
      <c r="P47" s="21"/>
    </row>
    <row r="48">
      <c r="A48" s="23">
        <v>47.0</v>
      </c>
      <c r="B48" s="24" t="s">
        <v>572</v>
      </c>
      <c r="C48" s="24" t="s">
        <v>467</v>
      </c>
      <c r="D48" s="24" t="s">
        <v>449</v>
      </c>
      <c r="E48" s="24" t="s">
        <v>573</v>
      </c>
      <c r="F48" s="21"/>
      <c r="G48" s="21"/>
      <c r="H48" s="25"/>
      <c r="I48" s="24" t="str">
        <f>IFERROR(__xludf.DUMMYFUNCTION("GOOGLETRANSLATE(B48, ""en"", ""zh"")"),"在一场龙舟比赛中，A队和B队都参加1500米的比赛。A队用时2分30秒完成了前500米，而B队用时2分45秒完成了同样的距离。此时哪支队伍领先？")</f>
        <v>在一场龙舟比赛中，A队和B队都参加1500米的比赛。A队用时2分30秒完成了前500米，而B队用时2分45秒完成了同样的距离。此时哪支队伍领先？</v>
      </c>
      <c r="J48" s="24" t="str">
        <f>IFERROR(__xludf.DUMMYFUNCTION("GOOGLETRANSLATE(C48, ""en"", ""zh"")"),"A) A队胜，B) B队胜，C) 平局，D) 尚无法确定")</f>
        <v>A) A队胜，B) B队胜，C) 平局，D) 尚无法确定</v>
      </c>
      <c r="K48" s="24" t="str">
        <f>IFERROR(__xludf.DUMMYFUNCTION("GOOGLETRANSLATE(D48, ""en"", ""zh"")"),"A) A队")</f>
        <v>A) A队</v>
      </c>
      <c r="L48" s="24" t="str">
        <f>IFERROR(__xludf.DUMMYFUNCTION("GOOGLETRANSLATE(E48, ""en"", ""zh"")"),"A队在前500米结束后领先15秒。")</f>
        <v>A队在前500米结束后领先15秒。</v>
      </c>
      <c r="M48" s="22"/>
      <c r="N48" s="21"/>
      <c r="O48" s="22"/>
      <c r="P48" s="21"/>
    </row>
    <row r="49">
      <c r="A49" s="23">
        <v>48.0</v>
      </c>
      <c r="B49" s="24" t="s">
        <v>574</v>
      </c>
      <c r="C49" s="24" t="s">
        <v>514</v>
      </c>
      <c r="D49" s="24" t="s">
        <v>449</v>
      </c>
      <c r="E49" s="24" t="s">
        <v>575</v>
      </c>
      <c r="F49" s="21"/>
      <c r="G49" s="21"/>
      <c r="H49" s="25"/>
      <c r="I49" s="24" t="str">
        <f>IFERROR(__xludf.DUMMYFUNCTION("GOOGLETRANSLATE(B49, ""en"", ""zh"")"),"在2000米龙舟比赛中，A队用5分钟完成了前1000米，B队用5分10秒完成了前1000米。哪支队伍的平均速度更快？")</f>
        <v>在2000米龙舟比赛中，A队用5分钟完成了前1000米，B队用5分10秒完成了前1000米。哪支队伍的平均速度更快？</v>
      </c>
      <c r="J49" s="24" t="str">
        <f>IFERROR(__xludf.DUMMYFUNCTION("GOOGLETRANSLATE(C49, ""en"", ""zh"")"),"A) A队，B) B队，C) 两队平均速度相同，D) 无法确定")</f>
        <v>A) A队，B) B队，C) 两队平均速度相同，D) 无法确定</v>
      </c>
      <c r="K49" s="24" t="str">
        <f>IFERROR(__xludf.DUMMYFUNCTION("GOOGLETRANSLATE(D49, ""en"", ""zh"")"),"A) A队")</f>
        <v>A) A队</v>
      </c>
      <c r="L49" s="24" t="str">
        <f>IFERROR(__xludf.DUMMYFUNCTION("GOOGLETRANSLATE(E49, ""en"", ""zh"")"),"A队前1000米的成绩比B队快10秒，这意味着他们的平均速度更快。")</f>
        <v>A队前1000米的成绩比B队快10秒，这意味着他们的平均速度更快。</v>
      </c>
      <c r="M49" s="22"/>
      <c r="N49" s="21"/>
      <c r="O49" s="22"/>
      <c r="P49" s="22"/>
    </row>
    <row r="50">
      <c r="A50" s="23">
        <v>49.0</v>
      </c>
      <c r="B50" s="24" t="s">
        <v>576</v>
      </c>
      <c r="C50" s="24" t="s">
        <v>467</v>
      </c>
      <c r="D50" s="24" t="s">
        <v>449</v>
      </c>
      <c r="E50" s="24" t="s">
        <v>577</v>
      </c>
      <c r="F50" s="21"/>
      <c r="G50" s="21"/>
      <c r="H50" s="25"/>
      <c r="I50" s="24" t="str">
        <f>IFERROR(__xludf.DUMMYFUNCTION("GOOGLETRANSLATE(B50, ""en"", ""zh"")"),"A队用4分钟跑完前1000米，B队用4分30秒跑完同样的距离。如果两队以同样的速度跑完剩下的1000米，哪队会赢？")</f>
        <v>A队用4分钟跑完前1000米，B队用4分30秒跑完同样的距离。如果两队以同样的速度跑完剩下的1000米，哪队会赢？</v>
      </c>
      <c r="J50" s="24" t="str">
        <f>IFERROR(__xludf.DUMMYFUNCTION("GOOGLETRANSLATE(C50, ""en"", ""zh"")"),"A) A队胜，B) B队胜，C) 平局，D) 尚无法确定")</f>
        <v>A) A队胜，B) B队胜，C) 平局，D) 尚无法确定</v>
      </c>
      <c r="K50" s="24" t="str">
        <f>IFERROR(__xludf.DUMMYFUNCTION("GOOGLETRANSLATE(D50, ""en"", ""zh"")"),"A) A队")</f>
        <v>A) A队</v>
      </c>
      <c r="L50" s="24" t="str">
        <f>IFERROR(__xludf.DUMMYFUNCTION("GOOGLETRANSLATE(E50, ""en"", ""zh"")"),"A队领先30秒，很可能最终获胜。")</f>
        <v>A队领先30秒，很可能最终获胜。</v>
      </c>
      <c r="M50" s="22"/>
      <c r="N50" s="21"/>
      <c r="O50" s="22"/>
      <c r="P50" s="21"/>
    </row>
    <row r="51">
      <c r="A51" s="23">
        <v>50.0</v>
      </c>
      <c r="B51" s="24" t="s">
        <v>578</v>
      </c>
      <c r="C51" s="24" t="s">
        <v>514</v>
      </c>
      <c r="D51" s="24" t="s">
        <v>540</v>
      </c>
      <c r="E51" s="24" t="s">
        <v>579</v>
      </c>
      <c r="F51" s="21"/>
      <c r="G51" s="21"/>
      <c r="H51" s="25"/>
      <c r="I51" s="24" t="str">
        <f>IFERROR(__xludf.DUMMYFUNCTION("GOOGLETRANSLATE(B51, ""en"", ""zh"")"),"在一场龙舟比赛中，A队用4分20秒完成了1000米，而B队用4分钟完成了同样的距离。哪支队伍的平均速度更快？")</f>
        <v>在一场龙舟比赛中，A队用4分20秒完成了1000米，而B队用4分钟完成了同样的距离。哪支队伍的平均速度更快？</v>
      </c>
      <c r="J51" s="24" t="str">
        <f>IFERROR(__xludf.DUMMYFUNCTION("GOOGLETRANSLATE(C51, ""en"", ""zh"")"),"A) A队，B) B队，C) 两队平均速度相同，D) 无法确定")</f>
        <v>A) A队，B) B队，C) 两队平均速度相同，D) 无法确定</v>
      </c>
      <c r="K51" s="24" t="str">
        <f>IFERROR(__xludf.DUMMYFUNCTION("GOOGLETRANSLATE(D51, ""en"", ""zh"")"),"B) B队")</f>
        <v>B) B队</v>
      </c>
      <c r="L51" s="24" t="str">
        <f>IFERROR(__xludf.DUMMYFUNCTION("GOOGLETRANSLATE(E51, ""en"", ""zh"")"),"B队用时更短完成全程，因此平均速度更高。")</f>
        <v>B队用时更短完成全程，因此平均速度更高。</v>
      </c>
      <c r="M51" s="22"/>
      <c r="N51" s="21"/>
      <c r="O51" s="22"/>
      <c r="P51" s="21"/>
    </row>
    <row r="52">
      <c r="A52" s="23">
        <v>51.0</v>
      </c>
      <c r="B52" s="24" t="s">
        <v>580</v>
      </c>
      <c r="C52" s="24" t="s">
        <v>467</v>
      </c>
      <c r="D52" s="24" t="s">
        <v>449</v>
      </c>
      <c r="E52" s="24" t="s">
        <v>581</v>
      </c>
      <c r="F52" s="21"/>
      <c r="G52" s="21"/>
      <c r="H52" s="25"/>
      <c r="I52" s="24" t="str">
        <f>IFERROR(__xludf.DUMMYFUNCTION("GOOGLETRANSLATE(B52, ""en"", ""zh"")"),"在一场龙舟比赛中，A队和B队进行前1500米的比赛。A队用时4分30秒完成前1000米，而B队用时5分钟。1500米过后，两队继续以相同的速度前进。哪支队伍会先到达终点？")</f>
        <v>在一场龙舟比赛中，A队和B队进行前1500米的比赛。A队用时4分30秒完成前1000米，而B队用时5分钟。1500米过后，两队继续以相同的速度前进。哪支队伍会先到达终点？</v>
      </c>
      <c r="J52" s="24" t="str">
        <f>IFERROR(__xludf.DUMMYFUNCTION("GOOGLETRANSLATE(C52, ""en"", ""zh"")"),"A) A队胜，B) B队胜，C) 平局，D) 尚无法确定")</f>
        <v>A) A队胜，B) B队胜，C) 平局，D) 尚无法确定</v>
      </c>
      <c r="K52" s="24" t="str">
        <f>IFERROR(__xludf.DUMMYFUNCTION("GOOGLETRANSLATE(D52, ""en"", ""zh"")"),"A) A队")</f>
        <v>A) A队</v>
      </c>
      <c r="L52" s="24" t="str">
        <f>IFERROR(__xludf.DUMMYFUNCTION("GOOGLETRANSLATE(E52, ""en"", ""zh"")"),"A队在前1000米结束后已经领先30秒，并保持领先优势。")</f>
        <v>A队在前1000米结束后已经领先30秒，并保持领先优势。</v>
      </c>
      <c r="M52" s="22"/>
      <c r="N52" s="21"/>
      <c r="O52" s="22"/>
      <c r="P52" s="22"/>
    </row>
    <row r="53">
      <c r="A53" s="23">
        <v>52.0</v>
      </c>
      <c r="B53" s="24" t="s">
        <v>582</v>
      </c>
      <c r="C53" s="24" t="s">
        <v>467</v>
      </c>
      <c r="D53" s="24" t="s">
        <v>449</v>
      </c>
      <c r="E53" s="24" t="s">
        <v>583</v>
      </c>
      <c r="F53" s="21"/>
      <c r="G53" s="21"/>
      <c r="H53" s="25"/>
      <c r="I53" s="24" t="str">
        <f>IFERROR(__xludf.DUMMYFUNCTION("GOOGLETRANSLATE(B53, ""en"", ""zh"")"),"在一场龙舟比赛中，A队用4分钟游完1000米，然后加速到每秒8米，再游完接下来的1000米。B队以每秒7米的恒定速度游完2000米。哪支队伍先到达终点？")</f>
        <v>在一场龙舟比赛中，A队用4分钟游完1000米，然后加速到每秒8米，再游完接下来的1000米。B队以每秒7米的恒定速度游完2000米。哪支队伍先到达终点？</v>
      </c>
      <c r="J53" s="24" t="str">
        <f>IFERROR(__xludf.DUMMYFUNCTION("GOOGLETRANSLATE(C53, ""en"", ""zh"")"),"A) A队胜，B) B队胜，C) 平局，D) 尚无法确定")</f>
        <v>A) A队胜，B) B队胜，C) 平局，D) 尚无法确定</v>
      </c>
      <c r="K53" s="24" t="str">
        <f>IFERROR(__xludf.DUMMYFUNCTION("GOOGLETRANSLATE(D53, ""en"", ""zh"")"),"A) A队")</f>
        <v>A) A队</v>
      </c>
      <c r="L53" s="24" t="str">
        <f>IFERROR(__xludf.DUMMYFUNCTION("GOOGLETRANSLATE(E53, ""en"", ""zh"")"),"A 队用时 245 秒完成比赛，而 B 队用时 285.71 秒，因此 A 队获胜。")</f>
        <v>A 队用时 245 秒完成比赛，而 B 队用时 285.71 秒，因此 A 队获胜。</v>
      </c>
      <c r="M53" s="22"/>
      <c r="N53" s="21"/>
      <c r="O53" s="22"/>
      <c r="P53" s="21"/>
    </row>
    <row r="54">
      <c r="A54" s="23">
        <v>53.0</v>
      </c>
      <c r="B54" s="24" t="s">
        <v>584</v>
      </c>
      <c r="C54" s="24" t="s">
        <v>467</v>
      </c>
      <c r="D54" s="24" t="s">
        <v>449</v>
      </c>
      <c r="E54" s="24" t="s">
        <v>585</v>
      </c>
      <c r="F54" s="21"/>
      <c r="G54" s="21"/>
      <c r="H54" s="25"/>
      <c r="I54" s="24" t="str">
        <f>IFERROR(__xludf.DUMMYFUNCTION("GOOGLETRANSLATE(B54, ""en"", ""zh"")"),"A队和B队参加2000米龙舟比赛。A队前1000米用时5分钟，B队用时5分10秒。哪支队伍更有可能赢得比赛？")</f>
        <v>A队和B队参加2000米龙舟比赛。A队前1000米用时5分钟，B队用时5分10秒。哪支队伍更有可能赢得比赛？</v>
      </c>
      <c r="J54" s="24" t="str">
        <f>IFERROR(__xludf.DUMMYFUNCTION("GOOGLETRANSLATE(C54, ""en"", ""zh"")"),"A) A队胜，B) B队胜，C) 平局，D) 尚无法确定")</f>
        <v>A) A队胜，B) B队胜，C) 平局，D) 尚无法确定</v>
      </c>
      <c r="K54" s="24" t="str">
        <f>IFERROR(__xludf.DUMMYFUNCTION("GOOGLETRANSLATE(D54, ""en"", ""zh"")"),"A) A队")</f>
        <v>A) A队</v>
      </c>
      <c r="L54" s="24" t="str">
        <f>IFERROR(__xludf.DUMMYFUNCTION("GOOGLETRANSLATE(E54, ""en"", ""zh"")"),"A队在前1000米结束后领先10秒，并且很可能会保持这一优势。")</f>
        <v>A队在前1000米结束后领先10秒，并且很可能会保持这一优势。</v>
      </c>
      <c r="M54" s="22"/>
      <c r="N54" s="21"/>
      <c r="O54" s="22"/>
      <c r="P54" s="22"/>
    </row>
    <row r="55">
      <c r="A55" s="23">
        <v>54.0</v>
      </c>
      <c r="B55" s="24" t="s">
        <v>586</v>
      </c>
      <c r="C55" s="24" t="s">
        <v>514</v>
      </c>
      <c r="D55" s="24" t="s">
        <v>449</v>
      </c>
      <c r="E55" s="24" t="s">
        <v>587</v>
      </c>
      <c r="F55" s="21"/>
      <c r="G55" s="21"/>
      <c r="H55" s="25"/>
      <c r="I55" s="24" t="str">
        <f>IFERROR(__xludf.DUMMYFUNCTION("GOOGLETRANSLATE(B55, ""en"", ""zh"")"),"在一场龙舟比赛中，A队用时6分钟完成1500米赛程，B队用时6分30秒完成。哪支队伍的平均速度更快？")</f>
        <v>在一场龙舟比赛中，A队用时6分钟完成1500米赛程，B队用时6分30秒完成。哪支队伍的平均速度更快？</v>
      </c>
      <c r="J55" s="24" t="str">
        <f>IFERROR(__xludf.DUMMYFUNCTION("GOOGLETRANSLATE(C55, ""en"", ""zh"")"),"A) A队，B) B队，C) 两队平均速度相同，D) 无法确定")</f>
        <v>A) A队，B) B队，C) 两队平均速度相同，D) 无法确定</v>
      </c>
      <c r="K55" s="24" t="str">
        <f>IFERROR(__xludf.DUMMYFUNCTION("GOOGLETRANSLATE(D55, ""en"", ""zh"")"),"A) A队")</f>
        <v>A) A队</v>
      </c>
      <c r="L55" s="24" t="str">
        <f>IFERROR(__xludf.DUMMYFUNCTION("GOOGLETRANSLATE(E55, ""en"", ""zh"")"),"A队用时更短完成比赛，这意味着他们的平均速度更高。")</f>
        <v>A队用时更短完成比赛，这意味着他们的平均速度更高。</v>
      </c>
      <c r="M55" s="22"/>
      <c r="N55" s="21"/>
      <c r="O55" s="22"/>
      <c r="P55" s="21"/>
    </row>
    <row r="56">
      <c r="A56" s="23">
        <v>55.0</v>
      </c>
      <c r="B56" s="24" t="s">
        <v>588</v>
      </c>
      <c r="C56" s="24" t="s">
        <v>520</v>
      </c>
      <c r="D56" s="24" t="s">
        <v>589</v>
      </c>
      <c r="E56" s="24" t="s">
        <v>590</v>
      </c>
      <c r="F56" s="21"/>
      <c r="G56" s="21"/>
      <c r="H56" s="25"/>
      <c r="I56" s="24" t="str">
        <f>IFERROR(__xludf.DUMMYFUNCTION("GOOGLETRANSLATE(B56, ""en"", ""zh"")"),"A队用时9分30秒完成龙舟比赛，B队用时10分钟完成比赛。两队比赛时间相差多少？")</f>
        <v>A队用时9分30秒完成龙舟比赛，B队用时10分钟完成比赛。两队比赛时间相差多少？</v>
      </c>
      <c r="J56" s="24" t="str">
        <f>IFERROR(__xludf.DUMMYFUNCTION("GOOGLETRANSLATE(C56, ""en"", ""zh"")"),"A) 30秒，B) 1分钟，C) 45秒，D) 20秒")</f>
        <v>A) 30秒，B) 1分钟，C) 45秒，D) 20秒</v>
      </c>
      <c r="K56" s="24" t="str">
        <f>IFERROR(__xludf.DUMMYFUNCTION("GOOGLETRANSLATE(D56, ""en"", ""zh"")"),"A) 30 秒")</f>
        <v>A) 30 秒</v>
      </c>
      <c r="L56" s="24" t="str">
        <f>IFERROR(__xludf.DUMMYFUNCTION("GOOGLETRANSLATE(E56, ""en"", ""zh"")"),"A队比B队快了30秒。")</f>
        <v>A队比B队快了30秒。</v>
      </c>
      <c r="M56" s="22"/>
      <c r="N56" s="21"/>
      <c r="O56" s="22"/>
      <c r="P56" s="21"/>
    </row>
    <row r="57">
      <c r="A57" s="23">
        <v>56.0</v>
      </c>
      <c r="B57" s="24" t="s">
        <v>591</v>
      </c>
      <c r="C57" s="24" t="s">
        <v>467</v>
      </c>
      <c r="D57" s="24" t="s">
        <v>449</v>
      </c>
      <c r="E57" s="24" t="s">
        <v>566</v>
      </c>
      <c r="F57" s="21"/>
      <c r="G57" s="21"/>
      <c r="H57" s="25"/>
      <c r="I57" s="24" t="str">
        <f>IFERROR(__xludf.DUMMYFUNCTION("GOOGLETRANSLATE(B57, ""en"", ""zh"")"),"在一场龙舟比赛中，A队和B队进行2000米的比赛。A队用时4分30秒完成了前1000米，B队用时5分钟完成了前1000米。哪支队伍领先？")</f>
        <v>在一场龙舟比赛中，A队和B队进行2000米的比赛。A队用时4分30秒完成了前1000米，B队用时5分钟完成了前1000米。哪支队伍领先？</v>
      </c>
      <c r="J57" s="24" t="str">
        <f>IFERROR(__xludf.DUMMYFUNCTION("GOOGLETRANSLATE(C57, ""en"", ""zh"")"),"A) A队胜，B) B队胜，C) 平局，D) 尚无法确定")</f>
        <v>A) A队胜，B) B队胜，C) 平局，D) 尚无法确定</v>
      </c>
      <c r="K57" s="24" t="str">
        <f>IFERROR(__xludf.DUMMYFUNCTION("GOOGLETRANSLATE(D57, ""en"", ""zh"")"),"A) A队")</f>
        <v>A) A队</v>
      </c>
      <c r="L57" s="24" t="str">
        <f>IFERROR(__xludf.DUMMYFUNCTION("GOOGLETRANSLATE(E57, ""en"", ""zh"")"),"前1000米过后，A队领先30秒。")</f>
        <v>前1000米过后，A队领先30秒。</v>
      </c>
      <c r="M57" s="22"/>
      <c r="N57" s="21"/>
      <c r="O57" s="22"/>
      <c r="P57" s="22"/>
    </row>
    <row r="58">
      <c r="A58" s="23">
        <v>57.0</v>
      </c>
      <c r="B58" s="24" t="s">
        <v>592</v>
      </c>
      <c r="C58" s="24" t="s">
        <v>593</v>
      </c>
      <c r="D58" s="24" t="s">
        <v>527</v>
      </c>
      <c r="E58" s="24" t="s">
        <v>528</v>
      </c>
      <c r="F58" s="21"/>
      <c r="G58" s="21"/>
      <c r="H58" s="25"/>
      <c r="I58" s="24" t="str">
        <f>IFERROR(__xludf.DUMMYFUNCTION("GOOGLETRANSLATE(B58, ""en"", ""zh"")"),"在一场龙舟比赛中，A队用时4分10秒完成1000米赛程，B队用时4分20秒。A队比B队快多少？")</f>
        <v>在一场龙舟比赛中，A队用时4分10秒完成1000米赛程，B队用时4分20秒。A队比B队快多少？</v>
      </c>
      <c r="J58" s="24" t="str">
        <f>IFERROR(__xludf.DUMMYFUNCTION("GOOGLETRANSLATE(C58, ""en"", ""zh"")"),"A) 10 秒，B) 20 秒，C) 5 秒，D) 30 秒")</f>
        <v>A) 10 秒，B) 20 秒，C) 5 秒，D) 30 秒</v>
      </c>
      <c r="K58" s="24" t="str">
        <f>IFERROR(__xludf.DUMMYFUNCTION("GOOGLETRANSLATE(D58, ""en"", ""zh"")"),"A) 10 秒")</f>
        <v>A) 10 秒</v>
      </c>
      <c r="L58" s="24" t="str">
        <f>IFERROR(__xludf.DUMMYFUNCTION("GOOGLETRANSLATE(E58, ""en"", ""zh"")"),"A队比B队快10秒完成比赛。")</f>
        <v>A队比B队快10秒完成比赛。</v>
      </c>
      <c r="M58" s="22"/>
      <c r="N58" s="21"/>
      <c r="O58" s="22"/>
      <c r="P58" s="21"/>
    </row>
    <row r="59">
      <c r="A59" s="23">
        <v>58.0</v>
      </c>
      <c r="B59" s="24" t="s">
        <v>594</v>
      </c>
      <c r="C59" s="24" t="s">
        <v>467</v>
      </c>
      <c r="D59" s="24" t="s">
        <v>540</v>
      </c>
      <c r="E59" s="24" t="s">
        <v>595</v>
      </c>
      <c r="F59" s="21"/>
      <c r="G59" s="21"/>
      <c r="H59" s="25"/>
      <c r="I59" s="24" t="str">
        <f>IFERROR(__xludf.DUMMYFUNCTION("GOOGLETRANSLATE(B59, ""en"", ""zh"")"),"在一场龙舟比赛中，A队用2分20秒完成了前500米，而B队用2分10秒完成了同样的距离。哪支队伍领先？")</f>
        <v>在一场龙舟比赛中，A队用2分20秒完成了前500米，而B队用2分10秒完成了同样的距离。哪支队伍领先？</v>
      </c>
      <c r="J59" s="24" t="str">
        <f>IFERROR(__xludf.DUMMYFUNCTION("GOOGLETRANSLATE(C59, ""en"", ""zh"")"),"A) A队胜，B) B队胜，C) 平局，D) 尚无法确定")</f>
        <v>A) A队胜，B) B队胜，C) 平局，D) 尚无法确定</v>
      </c>
      <c r="K59" s="24" t="str">
        <f>IFERROR(__xludf.DUMMYFUNCTION("GOOGLETRANSLATE(D59, ""en"", ""zh"")"),"B) B队")</f>
        <v>B) B队</v>
      </c>
      <c r="L59" s="24" t="str">
        <f>IFERROR(__xludf.DUMMYFUNCTION("GOOGLETRANSLATE(E59, ""en"", ""zh"")"),"前500米过后，B队领先10秒。")</f>
        <v>前500米过后，B队领先10秒。</v>
      </c>
      <c r="M59" s="22"/>
      <c r="N59" s="21"/>
      <c r="O59" s="22"/>
      <c r="P59" s="22"/>
    </row>
    <row r="60">
      <c r="A60" s="23">
        <v>59.0</v>
      </c>
      <c r="B60" s="24" t="s">
        <v>596</v>
      </c>
      <c r="C60" s="24" t="s">
        <v>467</v>
      </c>
      <c r="D60" s="24" t="s">
        <v>449</v>
      </c>
      <c r="E60" s="24" t="s">
        <v>597</v>
      </c>
      <c r="F60" s="21"/>
      <c r="G60" s="21"/>
      <c r="H60" s="25"/>
      <c r="I60" s="24" t="str">
        <f>IFERROR(__xludf.DUMMYFUNCTION("GOOGLETRANSLATE(B60, ""en"", ""zh"")"),"在一场龙舟比赛中，A队用8分钟完成2000米赛程，B队用8分30秒完成。如果两队保持目前的速度，哪队更有可能获胜？")</f>
        <v>在一场龙舟比赛中，A队用8分钟完成2000米赛程，B队用8分30秒完成。如果两队保持目前的速度，哪队更有可能获胜？</v>
      </c>
      <c r="J60" s="24" t="str">
        <f>IFERROR(__xludf.DUMMYFUNCTION("GOOGLETRANSLATE(C60, ""en"", ""zh"")"),"A) A队胜，B) B队胜，C) 平局，D) 尚无法确定")</f>
        <v>A) A队胜，B) B队胜，C) 平局，D) 尚无法确定</v>
      </c>
      <c r="K60" s="24" t="str">
        <f>IFERROR(__xludf.DUMMYFUNCTION("GOOGLETRANSLATE(D60, ""en"", ""zh"")"),"A) A队")</f>
        <v>A) A队</v>
      </c>
      <c r="L60" s="24" t="str">
        <f>IFERROR(__xludf.DUMMYFUNCTION("GOOGLETRANSLATE(E60, ""en"", ""zh"")"),"A队完赛速度更快，很可能会保持这一优势。")</f>
        <v>A队完赛速度更快，很可能会保持这一优势。</v>
      </c>
      <c r="M60" s="22"/>
      <c r="N60" s="21"/>
      <c r="O60" s="22"/>
      <c r="P60" s="21"/>
    </row>
    <row r="61">
      <c r="A61" s="23">
        <v>60.0</v>
      </c>
      <c r="B61" s="24" t="s">
        <v>598</v>
      </c>
      <c r="C61" s="24" t="s">
        <v>467</v>
      </c>
      <c r="D61" s="24" t="s">
        <v>449</v>
      </c>
      <c r="E61" s="24" t="s">
        <v>599</v>
      </c>
      <c r="F61" s="21"/>
      <c r="G61" s="21"/>
      <c r="H61" s="25"/>
      <c r="I61" s="24" t="str">
        <f>IFERROR(__xludf.DUMMYFUNCTION("GOOGLETRANSLATE(B61, ""en"", ""zh"")"),"在一场龙舟比赛中，A队和B队进行1500米的比赛。A队用5分钟完成了前1000米，而B队用5分20秒完成了前1000米。如果两队继续以相同的速度前进，哪支队伍更有可能获胜？")</f>
        <v>在一场龙舟比赛中，A队和B队进行1500米的比赛。A队用5分钟完成了前1000米，而B队用5分20秒完成了前1000米。如果两队继续以相同的速度前进，哪支队伍更有可能获胜？</v>
      </c>
      <c r="J61" s="24" t="str">
        <f>IFERROR(__xludf.DUMMYFUNCTION("GOOGLETRANSLATE(C61, ""en"", ""zh"")"),"A) A队胜，B) B队胜，C) 平局，D) 尚无法确定")</f>
        <v>A) A队胜，B) B队胜，C) 平局，D) 尚无法确定</v>
      </c>
      <c r="K61" s="24" t="str">
        <f>IFERROR(__xludf.DUMMYFUNCTION("GOOGLETRANSLATE(D61, ""en"", ""zh"")"),"A) A队")</f>
        <v>A) A队</v>
      </c>
      <c r="L61" s="24" t="str">
        <f>IFERROR(__xludf.DUMMYFUNCTION("GOOGLETRANSLATE(E61, ""en"", ""zh"")"),"A队领先20秒，很可能会保持优势。")</f>
        <v>A队领先20秒，很可能会保持优势。</v>
      </c>
      <c r="M61" s="22"/>
      <c r="N61" s="21"/>
      <c r="O61" s="22"/>
      <c r="P61" s="21"/>
    </row>
    <row r="62">
      <c r="A62" s="15">
        <v>61.0</v>
      </c>
      <c r="B62" s="12" t="s">
        <v>600</v>
      </c>
      <c r="C62" s="12" t="s">
        <v>601</v>
      </c>
      <c r="D62" s="12" t="s">
        <v>602</v>
      </c>
      <c r="E62" s="27"/>
      <c r="F62" s="21"/>
      <c r="G62" s="21"/>
      <c r="H62" s="21"/>
      <c r="I62" s="24" t="str">
        <f>IFERROR(__xludf.DUMMYFUNCTION("GOOGLETRANSLATE(B62, ""en"", ""zh"")"),"你的团队落后几秒钟。首要任务是什么？")</f>
        <v>你的团队落后几秒钟。首要任务是什么？</v>
      </c>
      <c r="J62" s="24" t="str">
        <f>IFERROR(__xludf.DUMMYFUNCTION("GOOGLETRANSLATE(C62, ""en"", ""zh"")"),"A) 加快划桨频率 B) 减慢划桨速度 C) 保持当前速度 D) 停止划桨")</f>
        <v>A) 加快划桨频率 B) 减慢划桨速度 C) 保持当前速度 D) 停止划桨</v>
      </c>
      <c r="K62" s="24" t="str">
        <f>IFERROR(__xludf.DUMMYFUNCTION("GOOGLETRANSLATE(D62, ""en"", ""zh"")"),"A) 增加划水频率")</f>
        <v>A) 增加划水频率</v>
      </c>
      <c r="L62" s="24" t="str">
        <f>IFERROR(__xludf.DUMMYFUNCTION("GOOGLETRANSLATE(E62, ""en"", ""zh"")"),"#VALUE!")</f>
        <v>#VALUE!</v>
      </c>
      <c r="M62" s="21"/>
      <c r="N62" s="21"/>
      <c r="O62" s="21"/>
      <c r="P62" s="21"/>
    </row>
    <row r="63">
      <c r="A63" s="15">
        <v>62.0</v>
      </c>
      <c r="B63" s="12" t="s">
        <v>603</v>
      </c>
      <c r="C63" s="12" t="s">
        <v>604</v>
      </c>
      <c r="D63" s="12" t="s">
        <v>605</v>
      </c>
      <c r="E63" s="27"/>
      <c r="F63" s="21"/>
      <c r="G63" s="21"/>
      <c r="H63" s="21"/>
      <c r="I63" s="24" t="str">
        <f>IFERROR(__xludf.DUMMYFUNCTION("GOOGLETRANSLATE(B63, ""en"", ""zh"")"),"队友节奏跟不上，最佳应对方法是什么？")</f>
        <v>队友节奏跟不上，最佳应对方法是什么？</v>
      </c>
      <c r="J63" s="24" t="str">
        <f>IFERROR(__xludf.DUMMYFUNCTION("GOOGLETRANSLATE(C63, ""en"", ""zh"")"),"A) 鼓励并配合节奏 B) 忽略 C) 独自加快划桨速度 D) 交换座位")</f>
        <v>A) 鼓励并配合节奏 B) 忽略 C) 独自加快划桨速度 D) 交换座位</v>
      </c>
      <c r="K63" s="24" t="str">
        <f>IFERROR(__xludf.DUMMYFUNCTION("GOOGLETRANSLATE(D63, ""en"", ""zh"")"),"A) 鼓励并配合节奏")</f>
        <v>A) 鼓励并配合节奏</v>
      </c>
      <c r="L63" s="24" t="str">
        <f>IFERROR(__xludf.DUMMYFUNCTION("GOOGLETRANSLATE(E63, ""en"", ""zh"")"),"#VALUE!")</f>
        <v>#VALUE!</v>
      </c>
      <c r="M63" s="21"/>
      <c r="N63" s="21"/>
      <c r="O63" s="21"/>
      <c r="P63" s="21"/>
    </row>
    <row r="64">
      <c r="A64" s="15">
        <v>63.0</v>
      </c>
      <c r="B64" s="12" t="s">
        <v>606</v>
      </c>
      <c r="C64" s="12" t="s">
        <v>607</v>
      </c>
      <c r="D64" s="12" t="s">
        <v>608</v>
      </c>
      <c r="E64" s="27"/>
      <c r="F64" s="21"/>
      <c r="G64" s="21"/>
      <c r="H64" s="21"/>
      <c r="I64" s="24" t="str">
        <f>IFERROR(__xludf.DUMMYFUNCTION("GOOGLETRANSLATE(B64, ""en"", ""zh"")"),"你发现船偏离了航线。你应该如何应对？")</f>
        <v>你发现船偏离了航线。你应该如何应对？</v>
      </c>
      <c r="J64" s="24" t="str">
        <f>IFERROR(__xludf.DUMMYFUNCTION("GOOGLETRANSLATE(C64, ""en"", ""zh"")"),"A) 调整划桨角度 B) 照常进行 C) 停止划桨 D) 随意划桨")</f>
        <v>A) 调整划桨角度 B) 照常进行 C) 停止划桨 D) 随意划桨</v>
      </c>
      <c r="K64" s="24" t="str">
        <f>IFERROR(__xludf.DUMMYFUNCTION("GOOGLETRANSLATE(D64, ""en"", ""zh"")"),"A) 调整划桨角度")</f>
        <v>A) 调整划桨角度</v>
      </c>
      <c r="L64" s="24" t="str">
        <f>IFERROR(__xludf.DUMMYFUNCTION("GOOGLETRANSLATE(E64, ""en"", ""zh"")"),"#VALUE!")</f>
        <v>#VALUE!</v>
      </c>
      <c r="M64" s="21"/>
      <c r="N64" s="21"/>
      <c r="O64" s="21"/>
      <c r="P64" s="21"/>
    </row>
    <row r="65">
      <c r="A65" s="15">
        <v>64.0</v>
      </c>
      <c r="B65" s="12" t="s">
        <v>609</v>
      </c>
      <c r="C65" s="12" t="s">
        <v>610</v>
      </c>
      <c r="D65" s="12" t="s">
        <v>611</v>
      </c>
      <c r="E65" s="27"/>
      <c r="F65" s="21"/>
      <c r="G65" s="21"/>
      <c r="H65" s="21"/>
      <c r="I65" s="24" t="str">
        <f>IFERROR(__xludf.DUMMYFUNCTION("GOOGLETRANSLATE(B65, ""en"", ""zh"")"),"鼓手示意加快节奏。你立即采取什么行动？")</f>
        <v>鼓手示意加快节奏。你立即采取什么行动？</v>
      </c>
      <c r="J65" s="24" t="str">
        <f>IFERROR(__xludf.DUMMYFUNCTION("GOOGLETRANSLATE(C65, ""en"", ""zh"")"),"A) 跟随鼓的节奏 B) 保持节奏 C) 无视鼓声 D) 减少击打次数")</f>
        <v>A) 跟随鼓的节奏 B) 保持节奏 C) 无视鼓声 D) 减少击打次数</v>
      </c>
      <c r="K65" s="24" t="str">
        <f>IFERROR(__xludf.DUMMYFUNCTION("GOOGLETRANSLATE(D65, ""en"", ""zh"")"),"A) 跟随鼓的节奏")</f>
        <v>A) 跟随鼓的节奏</v>
      </c>
      <c r="L65" s="24" t="str">
        <f>IFERROR(__xludf.DUMMYFUNCTION("GOOGLETRANSLATE(E65, ""en"", ""zh"")"),"#VALUE!")</f>
        <v>#VALUE!</v>
      </c>
      <c r="M65" s="21"/>
      <c r="N65" s="21"/>
      <c r="O65" s="21"/>
      <c r="P65" s="21"/>
    </row>
    <row r="66">
      <c r="A66" s="15">
        <v>65.0</v>
      </c>
      <c r="B66" s="12" t="s">
        <v>612</v>
      </c>
      <c r="C66" s="12" t="s">
        <v>613</v>
      </c>
      <c r="D66" s="12" t="s">
        <v>614</v>
      </c>
      <c r="E66" s="27"/>
      <c r="F66" s="21"/>
      <c r="G66" s="21"/>
      <c r="H66" s="21"/>
      <c r="I66" s="24" t="str">
        <f>IFERROR(__xludf.DUMMYFUNCTION("GOOGLETRANSLATE(B66, ""en"", ""zh"")"),"你的对手正在缩小与你队伍的差距。你该如何应对？")</f>
        <v>你的对手正在缩小与你队伍的差距。你该如何应对？</v>
      </c>
      <c r="J66" s="24" t="str">
        <f>IFERROR(__xludf.DUMMYFUNCTION("GOOGLETRANSLATE(C66, ""en"", ""zh"")"),"A) 提高协调性和划水力量 B) 减慢速度 C) 保持速度 D) 随意划水")</f>
        <v>A) 提高协调性和划水力量 B) 减慢速度 C) 保持速度 D) 随意划水</v>
      </c>
      <c r="K66" s="24" t="str">
        <f>IFERROR(__xludf.DUMMYFUNCTION("GOOGLETRANSLATE(D66, ""en"", ""zh"")"),"A) 提高协调性和划水力量")</f>
        <v>A) 提高协调性和划水力量</v>
      </c>
      <c r="L66" s="24" t="str">
        <f>IFERROR(__xludf.DUMMYFUNCTION("GOOGLETRANSLATE(E66, ""en"", ""zh"")"),"#VALUE!")</f>
        <v>#VALUE!</v>
      </c>
      <c r="M66" s="21"/>
      <c r="N66" s="21"/>
      <c r="O66" s="21"/>
      <c r="P66" s="21"/>
    </row>
    <row r="67">
      <c r="A67" s="15">
        <v>66.0</v>
      </c>
      <c r="B67" s="12" t="s">
        <v>615</v>
      </c>
      <c r="C67" s="12" t="s">
        <v>616</v>
      </c>
      <c r="D67" s="12" t="s">
        <v>617</v>
      </c>
      <c r="E67" s="27"/>
      <c r="F67" s="21"/>
      <c r="G67" s="21"/>
      <c r="H67" s="21"/>
      <c r="I67" s="24" t="str">
        <f>IFERROR(__xludf.DUMMYFUNCTION("GOOGLETRANSLATE(B67, ""en"", ""zh"")"),"比赛进行到一半时，你感到疲惫开始袭来。最好的应对方法是什么？")</f>
        <v>比赛进行到一半时，你感到疲惫开始袭来。最好的应对方法是什么？</v>
      </c>
      <c r="J67" s="24" t="str">
        <f>IFERROR(__xludf.DUMMYFUNCTION("GOOGLETRANSLATE(C67, ""en"", ""zh"")"),"A) 专注于技巧和节奏 B) 停止划桨 C) 随意划桨 D) 降低划桨频率")</f>
        <v>A) 专注于技巧和节奏 B) 停止划桨 C) 随意划桨 D) 降低划桨频率</v>
      </c>
      <c r="K67" s="24" t="str">
        <f>IFERROR(__xludf.DUMMYFUNCTION("GOOGLETRANSLATE(D67, ""en"", ""zh"")"),"A) 注重技巧和节奏")</f>
        <v>A) 注重技巧和节奏</v>
      </c>
      <c r="L67" s="24" t="str">
        <f>IFERROR(__xludf.DUMMYFUNCTION("GOOGLETRANSLATE(E67, ""en"", ""zh"")"),"#VALUE!")</f>
        <v>#VALUE!</v>
      </c>
      <c r="M67" s="21"/>
      <c r="N67" s="21"/>
      <c r="O67" s="21"/>
      <c r="P67" s="21"/>
    </row>
    <row r="68">
      <c r="A68" s="15">
        <v>67.0</v>
      </c>
      <c r="B68" s="12" t="s">
        <v>618</v>
      </c>
      <c r="C68" s="12" t="s">
        <v>619</v>
      </c>
      <c r="D68" s="12" t="s">
        <v>620</v>
      </c>
      <c r="E68" s="27"/>
      <c r="F68" s="21"/>
      <c r="G68" s="21"/>
      <c r="H68" s="21"/>
      <c r="I68" s="24" t="str">
        <f>IFERROR(__xludf.DUMMYFUNCTION("GOOGLETRANSLATE(B68, ""en"", ""zh"")"),"队友划桨速度过快，打乱了节奏。你应该怎么做？")</f>
        <v>队友划桨速度过快，打乱了节奏。你应该怎么做？</v>
      </c>
      <c r="J68" s="24" t="str">
        <f>IFERROR(__xludf.DUMMYFUNCTION("GOOGLETRANSLATE(C68, ""en"", ""zh"")"),"A) 与团队同步 B) 忽略 C) 加快划桨速度 D) 交换位置")</f>
        <v>A) 与团队同步 B) 忽略 C) 加快划桨速度 D) 交换位置</v>
      </c>
      <c r="K68" s="24" t="str">
        <f>IFERROR(__xludf.DUMMYFUNCTION("GOOGLETRANSLATE(D68, ""en"", ""zh"")"),"A) 与团队同步")</f>
        <v>A) 与团队同步</v>
      </c>
      <c r="L68" s="24" t="str">
        <f>IFERROR(__xludf.DUMMYFUNCTION("GOOGLETRANSLATE(E68, ""en"", ""zh"")"),"#VALUE!")</f>
        <v>#VALUE!</v>
      </c>
      <c r="M68" s="21"/>
      <c r="N68" s="21"/>
      <c r="O68" s="21"/>
      <c r="P68" s="21"/>
    </row>
    <row r="69">
      <c r="A69" s="15">
        <v>68.0</v>
      </c>
      <c r="B69" s="12" t="s">
        <v>621</v>
      </c>
      <c r="C69" s="12" t="s">
        <v>622</v>
      </c>
      <c r="D69" s="12" t="s">
        <v>623</v>
      </c>
      <c r="E69" s="27"/>
      <c r="F69" s="21"/>
      <c r="G69" s="21"/>
      <c r="H69" s="21"/>
      <c r="I69" s="24" t="str">
        <f>IFERROR(__xludf.DUMMYFUNCTION("GOOGLETRANSLATE(B69, ""en"", ""zh"")"),"水面波涛汹涌，你的团队应该如何应对？")</f>
        <v>水面波涛汹涌，你的团队应该如何应对？</v>
      </c>
      <c r="J69" s="24" t="str">
        <f>IFERROR(__xludf.DUMMYFUNCTION("GOOGLETRANSLATE(C69, ""en"", ""zh"")"),"A) 保持稳定有力的划水动作 B) 轻柔地划水 C) 无视波浪 D) 停止划水")</f>
        <v>A) 保持稳定有力的划水动作 B) 轻柔地划水 C) 无视波浪 D) 停止划水</v>
      </c>
      <c r="K69" s="24" t="str">
        <f>IFERROR(__xludf.DUMMYFUNCTION("GOOGLETRANSLATE(D69, ""en"", ""zh"")"),"A) 保持稳定而有力的划水动作")</f>
        <v>A) 保持稳定而有力的划水动作</v>
      </c>
      <c r="L69" s="24" t="str">
        <f>IFERROR(__xludf.DUMMYFUNCTION("GOOGLETRANSLATE(E69, ""en"", ""zh"")"),"#VALUE!")</f>
        <v>#VALUE!</v>
      </c>
      <c r="M69" s="21"/>
      <c r="N69" s="21"/>
      <c r="O69" s="21"/>
      <c r="P69" s="21"/>
    </row>
    <row r="70">
      <c r="A70" s="15">
        <v>69.0</v>
      </c>
      <c r="B70" s="12" t="s">
        <v>624</v>
      </c>
      <c r="C70" s="12" t="s">
        <v>625</v>
      </c>
      <c r="D70" s="12" t="s">
        <v>626</v>
      </c>
      <c r="E70" s="27"/>
      <c r="F70" s="21"/>
      <c r="G70" s="21"/>
      <c r="H70" s="21"/>
      <c r="I70" s="24" t="str">
        <f>IFERROR(__xludf.DUMMYFUNCTION("GOOGLETRANSLATE(B70, ""en"", ""zh"")"),"你目前领先，但发现对手的追赶路线有缺口。你应该采取什么战术？")</f>
        <v>你目前领先，但发现对手的追赶路线有缺口。你应该采取什么战术？</v>
      </c>
      <c r="J70" s="24" t="str">
        <f>IFERROR(__xludf.DUMMYFUNCTION("GOOGLETRANSLATE(C70, ""en"", ""zh"")"),"A) 提高划水频率以保持领先 B) 减慢速度 C) 随意划水 D) 忽略")</f>
        <v>A) 提高划水频率以保持领先 B) 减慢速度 C) 随意划水 D) 忽略</v>
      </c>
      <c r="K70" s="24" t="str">
        <f>IFERROR(__xludf.DUMMYFUNCTION("GOOGLETRANSLATE(D70, ""en"", ""zh"")"),"A) 提高划水频率以保持领先优势")</f>
        <v>A) 提高划水频率以保持领先优势</v>
      </c>
      <c r="L70" s="24" t="str">
        <f>IFERROR(__xludf.DUMMYFUNCTION("GOOGLETRANSLATE(E70, ""en"", ""zh"")"),"#VALUE!")</f>
        <v>#VALUE!</v>
      </c>
      <c r="M70" s="21"/>
      <c r="N70" s="21"/>
      <c r="O70" s="21"/>
      <c r="P70" s="21"/>
    </row>
    <row r="71">
      <c r="A71" s="15">
        <v>70.0</v>
      </c>
      <c r="B71" s="12" t="s">
        <v>627</v>
      </c>
      <c r="C71" s="12" t="s">
        <v>628</v>
      </c>
      <c r="D71" s="12" t="s">
        <v>629</v>
      </c>
      <c r="E71" s="27"/>
      <c r="F71" s="21"/>
      <c r="G71" s="21"/>
      <c r="H71" s="21"/>
      <c r="I71" s="24" t="str">
        <f>IFERROR(__xludf.DUMMYFUNCTION("GOOGLETRANSLATE(B71, ""en"", ""zh"")"),"一名队友即将失去平衡。团队应该怎么做？")</f>
        <v>一名队友即将失去平衡。团队应该怎么做？</v>
      </c>
      <c r="J71" s="24" t="str">
        <f>IFERROR(__xludf.DUMMYFUNCTION("GOOGLETRANSLATE(C71, ""en"", ""zh"")"),"A) 保持稳定的划桨动作并保持船身稳定 B) 停止划桨 C) 加快速度 D) 忽略")</f>
        <v>A) 保持稳定的划桨动作并保持船身稳定 B) 停止划桨 C) 加快速度 D) 忽略</v>
      </c>
      <c r="K71" s="24" t="str">
        <f>IFERROR(__xludf.DUMMYFUNCTION("GOOGLETRANSLATE(D71, ""en"", ""zh"")"),"A) 保持稳定的划水动作并稳定身体")</f>
        <v>A) 保持稳定的划水动作并稳定身体</v>
      </c>
      <c r="L71" s="24" t="str">
        <f>IFERROR(__xludf.DUMMYFUNCTION("GOOGLETRANSLATE(E71, ""en"", ""zh"")"),"#VALUE!")</f>
        <v>#VALUE!</v>
      </c>
      <c r="M71" s="21"/>
      <c r="N71" s="21"/>
      <c r="O71" s="21"/>
      <c r="P71" s="21"/>
    </row>
    <row r="72">
      <c r="A72" s="15">
        <v>71.0</v>
      </c>
      <c r="B72" s="12" t="s">
        <v>630</v>
      </c>
      <c r="C72" s="12" t="s">
        <v>631</v>
      </c>
      <c r="D72" s="12" t="s">
        <v>632</v>
      </c>
      <c r="E72" s="27"/>
      <c r="F72" s="21"/>
      <c r="G72" s="21"/>
      <c r="H72" s="21"/>
      <c r="I72" s="24" t="str">
        <f>IFERROR(__xludf.DUMMYFUNCTION("GOOGLETRANSLATE(B72, ""en"", ""zh"")"),"比赛接近最后200米，你现在最关注的是什么？")</f>
        <v>比赛接近最后200米，你现在最关注的是什么？</v>
      </c>
      <c r="J72" s="24" t="str">
        <f>IFERROR(__xludf.DUMMYFUNCTION("GOOGLETRANSLATE(C72, ""en"", ""zh"")"),"A) 协调划水冲刺 B) 减速 C) 轻划 D) 保持匀速")</f>
        <v>A) 协调划水冲刺 B) 减速 C) 轻划 D) 保持匀速</v>
      </c>
      <c r="K72" s="24" t="str">
        <f>IFERROR(__xludf.DUMMYFUNCTION("GOOGLETRANSLATE(D72, ""en"", ""zh"")"),"A) 协调划水冲刺")</f>
        <v>A) 协调划水冲刺</v>
      </c>
      <c r="L72" s="24" t="str">
        <f>IFERROR(__xludf.DUMMYFUNCTION("GOOGLETRANSLATE(E72, ""en"", ""zh"")"),"#VALUE!")</f>
        <v>#VALUE!</v>
      </c>
      <c r="M72" s="21"/>
      <c r="N72" s="21"/>
      <c r="O72" s="21"/>
      <c r="P72" s="21"/>
    </row>
    <row r="73">
      <c r="A73" s="15">
        <v>72.0</v>
      </c>
      <c r="B73" s="12" t="s">
        <v>633</v>
      </c>
      <c r="C73" s="12" t="s">
        <v>634</v>
      </c>
      <c r="D73" s="12" t="s">
        <v>635</v>
      </c>
      <c r="E73" s="27"/>
      <c r="F73" s="21"/>
      <c r="G73" s="21"/>
      <c r="H73" s="21"/>
      <c r="I73" s="24" t="str">
        <f>IFERROR(__xludf.DUMMYFUNCTION("GOOGLETRANSLATE(B73, ""en"", ""zh"")"),"对手在最后阶段加速追赶，你该如何应对？")</f>
        <v>对手在最后阶段加速追赶，你该如何应对？</v>
      </c>
      <c r="J73" s="24" t="str">
        <f>IFERROR(__xludf.DUMMYFUNCTION("GOOGLETRANSLATE(C73, ""en"", ""zh"")"),"A) 跟上他们的节奏并协调配合 B) 停止划桨 C) 随意划桨 D) 忽略")</f>
        <v>A) 跟上他们的节奏并协调配合 B) 停止划桨 C) 随意划桨 D) 忽略</v>
      </c>
      <c r="K73" s="24" t="str">
        <f>IFERROR(__xludf.DUMMYFUNCTION("GOOGLETRANSLATE(D73, ""en"", ""zh"")"),"A) 跟上他们的步伐并协调")</f>
        <v>A) 跟上他们的步伐并协调</v>
      </c>
      <c r="L73" s="24" t="str">
        <f>IFERROR(__xludf.DUMMYFUNCTION("GOOGLETRANSLATE(E73, ""en"", ""zh"")"),"#VALUE!")</f>
        <v>#VALUE!</v>
      </c>
      <c r="M73" s="21"/>
      <c r="N73" s="21"/>
      <c r="O73" s="21"/>
      <c r="P73" s="21"/>
    </row>
    <row r="74">
      <c r="A74" s="15">
        <v>73.0</v>
      </c>
      <c r="B74" s="12" t="s">
        <v>636</v>
      </c>
      <c r="C74" s="12" t="s">
        <v>637</v>
      </c>
      <c r="D74" s="12" t="s">
        <v>638</v>
      </c>
      <c r="E74" s="27"/>
      <c r="F74" s="21"/>
      <c r="G74" s="21"/>
      <c r="H74" s="21"/>
      <c r="I74" s="24" t="str">
        <f>IFERROR(__xludf.DUMMYFUNCTION("GOOGLETRANSLATE(B74, ""en"", ""zh"")"),"你发现桨叶击水角度不一致。应该如何纠正？")</f>
        <v>你发现桨叶击水角度不一致。应该如何纠正？</v>
      </c>
      <c r="J74" s="24" t="str">
        <f>IFERROR(__xludf.DUMMYFUNCTION("GOOGLETRANSLATE(C74, ""en"", ""zh"")"),"A) 调整桨角以配合节奏 B) 继续保持现状 C) 加快速度 D) 停止划桨")</f>
        <v>A) 调整桨角以配合节奏 B) 继续保持现状 C) 加快速度 D) 停止划桨</v>
      </c>
      <c r="K74" s="24" t="str">
        <f>IFERROR(__xludf.DUMMYFUNCTION("GOOGLETRANSLATE(D74, ""en"", ""zh"")"),"A) 调整桨角以匹配节奏")</f>
        <v>A) 调整桨角以匹配节奏</v>
      </c>
      <c r="L74" s="24" t="str">
        <f>IFERROR(__xludf.DUMMYFUNCTION("GOOGLETRANSLATE(E74, ""en"", ""zh"")"),"#VALUE!")</f>
        <v>#VALUE!</v>
      </c>
      <c r="M74" s="21"/>
      <c r="N74" s="21"/>
      <c r="O74" s="21"/>
      <c r="P74" s="21"/>
    </row>
    <row r="75">
      <c r="A75" s="15">
        <v>74.0</v>
      </c>
      <c r="B75" s="12" t="s">
        <v>639</v>
      </c>
      <c r="C75" s="12" t="s">
        <v>640</v>
      </c>
      <c r="D75" s="12" t="s">
        <v>641</v>
      </c>
      <c r="E75" s="27"/>
      <c r="F75" s="21"/>
      <c r="G75" s="21"/>
      <c r="H75" s="21"/>
      <c r="I75" s="24" t="str">
        <f>IFERROR(__xludf.DUMMYFUNCTION("GOOGLETRANSLATE(B75, ""en"", ""zh"")"),"比赛进行到一半时，团队开始失去协调。最佳应对措施是什么？")</f>
        <v>比赛进行到一半时，团队开始失去协调。最佳应对措施是什么？</v>
      </c>
      <c r="J75" s="24" t="str">
        <f>IFERROR(__xludf.DUMMYFUNCTION("GOOGLETRANSLATE(C75, ""en"", ""zh"")"),"A) 专注于协调划水动作 B) 单独划水 C) 忽略 D) 放慢速度")</f>
        <v>A) 专注于协调划水动作 B) 单独划水 C) 忽略 D) 放慢速度</v>
      </c>
      <c r="K75" s="24" t="str">
        <f>IFERROR(__xludf.DUMMYFUNCTION("GOOGLETRANSLATE(D75, ""en"", ""zh"")"),"A) 专注于同步击球")</f>
        <v>A) 专注于同步击球</v>
      </c>
      <c r="L75" s="24" t="str">
        <f>IFERROR(__xludf.DUMMYFUNCTION("GOOGLETRANSLATE(E75, ""en"", ""zh"")"),"#VALUE!")</f>
        <v>#VALUE!</v>
      </c>
      <c r="M75" s="21"/>
      <c r="N75" s="21"/>
      <c r="O75" s="21"/>
      <c r="P75" s="21"/>
    </row>
    <row r="76">
      <c r="A76" s="17">
        <v>75.0</v>
      </c>
      <c r="B76" s="12" t="s">
        <v>642</v>
      </c>
      <c r="C76" s="12" t="s">
        <v>643</v>
      </c>
      <c r="D76" s="12" t="s">
        <v>644</v>
      </c>
      <c r="E76" s="27"/>
      <c r="F76" s="21"/>
      <c r="G76" s="21"/>
      <c r="H76" s="21"/>
      <c r="I76" s="24" t="str">
        <f>IFERROR(__xludf.DUMMYFUNCTION("GOOGLETRANSLATE(B76, ""en"", ""zh"")"),"舵手下达战术指令，全队应该如何响应？")</f>
        <v>舵手下达战术指令，全队应该如何响应？</v>
      </c>
      <c r="J76" s="24" t="str">
        <f>IFERROR(__xludf.DUMMYFUNCTION("GOOGLETRANSLATE(C76, ""en"", ""zh"")"),"A) 严格按照指示操​​作 B) 无视呼叫 C) 随意划桨 D) 保持速度")</f>
        <v>A) 严格按照指示操​​作 B) 无视呼叫 C) 随意划桨 D) 保持速度</v>
      </c>
      <c r="K76" s="24" t="str">
        <f>IFERROR(__xludf.DUMMYFUNCTION("GOOGLETRANSLATE(D76, ""en"", ""zh"")"),"A) 严格按照说明操作")</f>
        <v>A) 严格按照说明操作</v>
      </c>
      <c r="L76" s="24" t="str">
        <f>IFERROR(__xludf.DUMMYFUNCTION("GOOGLETRANSLATE(E76, ""en"", ""zh"")"),"#VALUE!")</f>
        <v>#VALUE!</v>
      </c>
      <c r="M76" s="21"/>
      <c r="N76" s="21"/>
      <c r="O76" s="21"/>
      <c r="P76" s="21"/>
    </row>
    <row r="77">
      <c r="A77" s="17">
        <v>76.0</v>
      </c>
      <c r="B77" s="12" t="s">
        <v>645</v>
      </c>
      <c r="C77" s="12" t="s">
        <v>646</v>
      </c>
      <c r="D77" s="12" t="s">
        <v>647</v>
      </c>
      <c r="E77" s="27"/>
      <c r="F77" s="21"/>
      <c r="G77" s="21"/>
      <c r="H77" s="21"/>
      <c r="I77" s="24" t="str">
        <f>IFERROR(__xludf.DUMMYFUNCTION("GOOGLETRANSLATE(B77, ""en"", ""zh"")"),"水流比预想的要强。应该采取什么策略？")</f>
        <v>水流比预想的要强。应该采取什么策略？</v>
      </c>
      <c r="J77" s="24" t="str">
        <f>IFERROR(__xludf.DUMMYFUNCTION("GOOGLETRANSLATE(C77, ""en"", ""zh"")"),"A) 加大划水力度并保持动作同步 B) 轻划 C) 忽略 D) 减少用力")</f>
        <v>A) 加大划水力度并保持动作同步 B) 轻划 C) 忽略 D) 减少用力</v>
      </c>
      <c r="K77" s="24" t="str">
        <f>IFERROR(__xludf.DUMMYFUNCTION("GOOGLETRANSLATE(D77, ""en"", ""zh"")"),"A) 采用更有力、更协调的击打动作")</f>
        <v>A) 采用更有力、更协调的击打动作</v>
      </c>
      <c r="L77" s="24" t="str">
        <f>IFERROR(__xludf.DUMMYFUNCTION("GOOGLETRANSLATE(E77, ""en"", ""zh"")"),"#VALUE!")</f>
        <v>#VALUE!</v>
      </c>
      <c r="M77" s="21"/>
      <c r="N77" s="21"/>
      <c r="O77" s="21"/>
      <c r="P77" s="21"/>
    </row>
    <row r="78">
      <c r="A78" s="17">
        <v>77.0</v>
      </c>
      <c r="B78" s="12" t="s">
        <v>648</v>
      </c>
      <c r="C78" s="12" t="s">
        <v>649</v>
      </c>
      <c r="D78" s="12" t="s">
        <v>650</v>
      </c>
      <c r="E78" s="27"/>
      <c r="F78" s="21"/>
      <c r="G78" s="21"/>
      <c r="H78" s="21"/>
      <c r="I78" s="24" t="str">
        <f>IFERROR(__xludf.DUMMYFUNCTION("GOOGLETRANSLATE(B78, ""en"", ""zh"")"),"队友击球失误，全队应该如何应对？")</f>
        <v>队友击球失误，全队应该如何应对？</v>
      </c>
      <c r="J78" s="24" t="str">
        <f>IFERROR(__xludf.DUMMYFUNCTION("GOOGLETRANSLATE(C78, ""en"", ""zh"")"),"A) 通过保持节奏来补偿 B) 停止划桨 C) 加快划桨速度 D) 忽略")</f>
        <v>A) 通过保持节奏来补偿 B) 停止划桨 C) 加快划桨速度 D) 忽略</v>
      </c>
      <c r="K78" s="24" t="str">
        <f>IFERROR(__xludf.DUMMYFUNCTION("GOOGLETRANSLATE(D78, ""en"", ""zh"")"),"A) 通过维持节奏进行补偿")</f>
        <v>A) 通过维持节奏进行补偿</v>
      </c>
      <c r="L78" s="24" t="str">
        <f>IFERROR(__xludf.DUMMYFUNCTION("GOOGLETRANSLATE(E78, ""en"", ""zh"")"),"#VALUE!")</f>
        <v>#VALUE!</v>
      </c>
      <c r="M78" s="21"/>
      <c r="N78" s="21"/>
      <c r="O78" s="21"/>
      <c r="P78" s="21"/>
    </row>
    <row r="79">
      <c r="A79" s="17">
        <v>78.0</v>
      </c>
      <c r="B79" s="12" t="s">
        <v>651</v>
      </c>
      <c r="C79" s="12" t="s">
        <v>652</v>
      </c>
      <c r="D79" s="12" t="s">
        <v>653</v>
      </c>
      <c r="E79" s="27"/>
      <c r="F79" s="21"/>
      <c r="G79" s="21"/>
      <c r="H79" s="21"/>
      <c r="I79" s="24" t="str">
        <f>IFERROR(__xludf.DUMMYFUNCTION("GOOGLETRANSLATE(B79, ""en"", ""zh"")"),"你们队和对手势均力敌，现在的重点是什么？")</f>
        <v>你们队和对手势均力敌，现在的重点是什么？</v>
      </c>
      <c r="J79" s="24" t="str">
        <f>IFERROR(__xludf.DUMMYFUNCTION("GOOGLETRANSLATE(C79, ""en"", ""zh"")"),"A) 保持同步和强劲动力 B) 放慢速度 C) 单独划桨 D) 忽略")</f>
        <v>A) 保持同步和强劲动力 B) 放慢速度 C) 单独划桨 D) 忽略</v>
      </c>
      <c r="K79" s="24" t="str">
        <f>IFERROR(__xludf.DUMMYFUNCTION("GOOGLETRANSLATE(D79, ""en"", ""zh"")"),"A) 保持同步和强大")</f>
        <v>A) 保持同步和强大</v>
      </c>
      <c r="L79" s="24" t="str">
        <f>IFERROR(__xludf.DUMMYFUNCTION("GOOGLETRANSLATE(E79, ""en"", ""zh"")"),"#VALUE!")</f>
        <v>#VALUE!</v>
      </c>
      <c r="M79" s="21"/>
      <c r="N79" s="21"/>
      <c r="O79" s="21"/>
      <c r="P79" s="21"/>
    </row>
    <row r="80">
      <c r="A80" s="17">
        <v>79.0</v>
      </c>
      <c r="B80" s="12" t="s">
        <v>654</v>
      </c>
      <c r="C80" s="12" t="s">
        <v>655</v>
      </c>
      <c r="D80" s="12" t="s">
        <v>656</v>
      </c>
      <c r="E80" s="27"/>
      <c r="F80" s="21"/>
      <c r="G80" s="21"/>
      <c r="H80" s="21"/>
      <c r="I80" s="24" t="str">
        <f>IFERROR(__xludf.DUMMYFUNCTION("GOOGLETRANSLATE(B80, ""en"", ""zh"")"),"鼓手示意大家突然冲刺。正确的做法是什么？")</f>
        <v>鼓手示意大家突然冲刺。正确的做法是什么？</v>
      </c>
      <c r="J80" s="24" t="str">
        <f>IFERROR(__xludf.DUMMYFUNCTION("GOOGLETRANSLATE(C80, ""en"", ""zh"")"),"A) 全神贯注地冲刺 B) 忽略 C) 缓慢划桨 D) 停止")</f>
        <v>A) 全神贯注地冲刺 B) 忽略 C) 缓慢划桨 D) 停止</v>
      </c>
      <c r="K80" s="24" t="str">
        <f>IFERROR(__xludf.DUMMYFUNCTION("GOOGLETRANSLATE(D80, ""en"", ""zh"")"),"A) 全程协调冲刺")</f>
        <v>A) 全程协调冲刺</v>
      </c>
      <c r="L80" s="24" t="str">
        <f>IFERROR(__xludf.DUMMYFUNCTION("GOOGLETRANSLATE(E80, ""en"", ""zh"")"),"#VALUE!")</f>
        <v>#VALUE!</v>
      </c>
      <c r="M80" s="21"/>
      <c r="N80" s="21"/>
      <c r="O80" s="21"/>
      <c r="P80" s="21"/>
    </row>
    <row r="81">
      <c r="A81" s="17">
        <v>80.0</v>
      </c>
      <c r="B81" s="12" t="s">
        <v>657</v>
      </c>
      <c r="C81" s="12" t="s">
        <v>658</v>
      </c>
      <c r="D81" s="12" t="s">
        <v>659</v>
      </c>
      <c r="E81" s="27"/>
      <c r="F81" s="21"/>
      <c r="G81" s="21"/>
      <c r="H81" s="21"/>
      <c r="I81" s="24" t="str">
        <f>IFERROR(__xludf.DUMMYFUNCTION("GOOGLETRANSLATE(B81, ""en"", ""zh"")"),"你注意到水从你这边不均匀地溅出来。你会如何应对？")</f>
        <v>你注意到水从你这边不均匀地溅出来。你会如何应对？</v>
      </c>
      <c r="J81" s="24" t="str">
        <f>IFERROR(__xludf.DUMMYFUNCTION("GOOGLETRANSLATE(C81, ""en"", ""zh"")"),"A) 调整划桨技巧 B) 忽略 C) 随意划桨 D) 降低速度")</f>
        <v>A) 调整划桨技巧 B) 忽略 C) 随意划桨 D) 降低速度</v>
      </c>
      <c r="K81" s="24" t="str">
        <f>IFERROR(__xludf.DUMMYFUNCTION("GOOGLETRANSLATE(D81, ""en"", ""zh"")"),"A) 调整击球技巧")</f>
        <v>A) 调整击球技巧</v>
      </c>
      <c r="L81" s="24" t="str">
        <f>IFERROR(__xludf.DUMMYFUNCTION("GOOGLETRANSLATE(E81, ""en"", ""zh"")"),"#VALUE!")</f>
        <v>#VALUE!</v>
      </c>
      <c r="M81" s="21"/>
      <c r="N81" s="21"/>
      <c r="O81" s="21"/>
      <c r="P81" s="21"/>
    </row>
    <row r="82">
      <c r="A82" s="17">
        <v>81.0</v>
      </c>
      <c r="B82" s="12" t="s">
        <v>660</v>
      </c>
      <c r="C82" s="12" t="s">
        <v>661</v>
      </c>
      <c r="D82" s="12" t="s">
        <v>662</v>
      </c>
      <c r="E82" s="27"/>
      <c r="F82" s="21"/>
      <c r="G82" s="21"/>
      <c r="H82" s="21"/>
      <c r="I82" s="24" t="str">
        <f>IFERROR(__xludf.DUMMYFUNCTION("GOOGLETRANSLATE(B82, ""en"", ""zh"")"),"船开始向左偏航。应该立即如何纠正？")</f>
        <v>船开始向左偏航。应该立即如何纠正？</v>
      </c>
      <c r="J82" s="24" t="str">
        <f>IFERROR(__xludf.DUMMYFUNCTION("GOOGLETRANSLATE(C82, ""en"", ""zh"")"),"A) 加大右侧拨片力度 B) 忽略 C) 随机拨动拨片 D) 停止")</f>
        <v>A) 加大右侧拨片力度 B) 忽略 C) 随机拨动拨片 D) 停止</v>
      </c>
      <c r="K82" s="24" t="str">
        <f>IFERROR(__xludf.DUMMYFUNCTION("GOOGLETRANSLATE(D82, ""en"", ""zh"")"),"A）加大右侧拨片的力度")</f>
        <v>A）加大右侧拨片的力度</v>
      </c>
      <c r="L82" s="24" t="str">
        <f>IFERROR(__xludf.DUMMYFUNCTION("GOOGLETRANSLATE(E82, ""en"", ""zh"")"),"#VALUE!")</f>
        <v>#VALUE!</v>
      </c>
      <c r="M82" s="21"/>
      <c r="N82" s="21"/>
      <c r="O82" s="21"/>
      <c r="P82" s="21"/>
    </row>
    <row r="83">
      <c r="A83" s="17">
        <v>82.0</v>
      </c>
      <c r="B83" s="12" t="s">
        <v>663</v>
      </c>
      <c r="C83" s="12" t="s">
        <v>664</v>
      </c>
      <c r="D83" s="12" t="s">
        <v>665</v>
      </c>
      <c r="E83" s="27"/>
      <c r="F83" s="21"/>
      <c r="G83" s="21"/>
      <c r="H83" s="21"/>
      <c r="I83" s="24" t="str">
        <f>IFERROR(__xludf.DUMMYFUNCTION("GOOGLETRANSLATE(B83, ""en"", ""zh"")"),"你的队友明显筋疲力尽。最佳应对措施是什么？")</f>
        <v>你的队友明显筋疲力尽。最佳应对措施是什么？</v>
      </c>
      <c r="J83" s="24" t="str">
        <f>IFERROR(__xludf.DUMMYFUNCTION("GOOGLETRANSLATE(C83, ""en"", ""zh"")"),"A) 鼓励并保持节奏 B) 加快划桨速度 C) 忽略 D) 停止")</f>
        <v>A) 鼓励并保持节奏 B) 加快划桨速度 C) 忽略 D) 停止</v>
      </c>
      <c r="K83" s="24" t="str">
        <f>IFERROR(__xludf.DUMMYFUNCTION("GOOGLETRANSLATE(D83, ""en"", ""zh"")"),"A) 鼓励并保持节奏")</f>
        <v>A) 鼓励并保持节奏</v>
      </c>
      <c r="L83" s="24" t="str">
        <f>IFERROR(__xludf.DUMMYFUNCTION("GOOGLETRANSLATE(E83, ""en"", ""zh"")"),"#VALUE!")</f>
        <v>#VALUE!</v>
      </c>
      <c r="M83" s="21"/>
      <c r="N83" s="21"/>
      <c r="O83" s="21"/>
      <c r="P83" s="21"/>
    </row>
    <row r="84">
      <c r="A84" s="17">
        <v>83.0</v>
      </c>
      <c r="B84" s="12" t="s">
        <v>666</v>
      </c>
      <c r="C84" s="12" t="s">
        <v>667</v>
      </c>
      <c r="D84" s="12" t="s">
        <v>668</v>
      </c>
      <c r="E84" s="27"/>
      <c r="F84" s="21"/>
      <c r="G84" s="21"/>
      <c r="H84" s="21"/>
      <c r="I84" s="24" t="str">
        <f>IFERROR(__xludf.DUMMYFUNCTION("GOOGLETRANSLATE(B84, ""en"", ""zh"")"),"竞争对手采取激进的内切策略。你的团队应该如何应对？")</f>
        <v>竞争对手采取激进的内切策略。你的团队应该如何应对？</v>
      </c>
      <c r="J84" s="24" t="str">
        <f>IFERROR(__xludf.DUMMYFUNCTION("GOOGLETRANSLATE(C84, ""en"", ""zh"")"),"A) 保持划水线并增加划水次数 B) 停止 C) 随意划水 D) 忽略")</f>
        <v>A) 保持划水线并增加划水次数 B) 停止 C) 随意划水 D) 忽略</v>
      </c>
      <c r="K84" s="24" t="str">
        <f>IFERROR(__xludf.DUMMYFUNCTION("GOOGLETRANSLATE(D84, ""en"", ""zh"")"),"A) 保持线条并增加笔画数")</f>
        <v>A) 保持线条并增加笔画数</v>
      </c>
      <c r="L84" s="24" t="str">
        <f>IFERROR(__xludf.DUMMYFUNCTION("GOOGLETRANSLATE(E84, ""en"", ""zh"")"),"#VALUE!")</f>
        <v>#VALUE!</v>
      </c>
      <c r="M84" s="21"/>
      <c r="N84" s="21"/>
      <c r="O84" s="21"/>
      <c r="P84" s="21"/>
    </row>
    <row r="85">
      <c r="A85" s="17">
        <v>84.0</v>
      </c>
      <c r="B85" s="12" t="s">
        <v>669</v>
      </c>
      <c r="C85" s="12" t="s">
        <v>670</v>
      </c>
      <c r="D85" s="12" t="s">
        <v>671</v>
      </c>
      <c r="E85" s="27"/>
      <c r="F85" s="21"/>
      <c r="G85" s="21"/>
      <c r="H85" s="21"/>
      <c r="I85" s="24" t="str">
        <f>IFERROR(__xludf.DUMMYFUNCTION("GOOGLETRANSLATE(B85, ""en"", ""zh"")"),"你发现拨片击球时机出现偏差。该如何解决？")</f>
        <v>你发现拨片击球时机出现偏差。该如何解决？</v>
      </c>
      <c r="J85" s="24" t="str">
        <f>IFERROR(__xludf.DUMMYFUNCTION("GOOGLETRANSLATE(C85, ""en"", ""zh"")"),"A) 恢复同步 B) 忽略 C) 加快划桨速度 D) 停止")</f>
        <v>A) 恢复同步 B) 忽略 C) 加快划桨速度 D) 停止</v>
      </c>
      <c r="K85" s="24" t="str">
        <f>IFERROR(__xludf.DUMMYFUNCTION("GOOGLETRANSLATE(D85, ""en"", ""zh"")"),"A) 恢复同步")</f>
        <v>A) 恢复同步</v>
      </c>
      <c r="L85" s="24" t="str">
        <f>IFERROR(__xludf.DUMMYFUNCTION("GOOGLETRANSLATE(E85, ""en"", ""zh"")"),"#VALUE!")</f>
        <v>#VALUE!</v>
      </c>
      <c r="M85" s="21"/>
      <c r="N85" s="21"/>
      <c r="O85" s="21"/>
      <c r="P85" s="21"/>
    </row>
    <row r="86">
      <c r="A86" s="17">
        <v>85.0</v>
      </c>
      <c r="B86" s="12" t="s">
        <v>672</v>
      </c>
      <c r="C86" s="12" t="s">
        <v>673</v>
      </c>
      <c r="D86" s="12" t="s">
        <v>674</v>
      </c>
      <c r="E86" s="27"/>
      <c r="F86" s="21"/>
      <c r="G86" s="21"/>
      <c r="H86" s="21"/>
      <c r="I86" s="24" t="str">
        <f>IFERROR(__xludf.DUMMYFUNCTION("GOOGLETRANSLATE(B86, ""en"", ""zh"")"),"风势加剧了水况恶化。球队应该如何应对？")</f>
        <v>风势加剧了水况恶化。球队应该如何应对？</v>
      </c>
      <c r="J86" s="24" t="str">
        <f>IFERROR(__xludf.DUMMYFUNCTION("GOOGLETRANSLATE(C86, ""en"", ""zh"")"),"A) 加强协调并保持稳定 B) 轻划 C) 忽略 D) 停止")</f>
        <v>A) 加强协调并保持稳定 B) 轻划 C) 忽略 D) 停止</v>
      </c>
      <c r="K86" s="24" t="str">
        <f>IFERROR(__xludf.DUMMYFUNCTION("GOOGLETRANSLATE(D86, ""en"", ""zh"")"),"A) 增强协调性和稳定性")</f>
        <v>A) 增强协调性和稳定性</v>
      </c>
      <c r="L86" s="24" t="str">
        <f>IFERROR(__xludf.DUMMYFUNCTION("GOOGLETRANSLATE(E86, ""en"", ""zh"")"),"#VALUE!")</f>
        <v>#VALUE!</v>
      </c>
      <c r="M86" s="21"/>
      <c r="N86" s="21"/>
      <c r="O86" s="21"/>
      <c r="P86" s="21"/>
    </row>
    <row r="87">
      <c r="A87" s="17">
        <v>86.0</v>
      </c>
      <c r="B87" s="12" t="s">
        <v>675</v>
      </c>
      <c r="C87" s="12" t="s">
        <v>676</v>
      </c>
      <c r="D87" s="12" t="s">
        <v>677</v>
      </c>
      <c r="E87" s="27"/>
      <c r="F87" s="21"/>
      <c r="G87" s="21"/>
      <c r="H87" s="21"/>
      <c r="I87" s="24" t="str">
        <f>IFERROR(__xludf.DUMMYFUNCTION("GOOGLETRANSLATE(B87, ""en"", ""zh"")"),"比赛中途团队士气低落。如何才能提升团队表现？")</f>
        <v>比赛中途团队士气低落。如何才能提升团队表现？</v>
      </c>
      <c r="J87" s="24" t="str">
        <f>IFERROR(__xludf.DUMMYFUNCTION("GOOGLETRANSLATE(C87, ""en"", ""zh"")"),"A) 鼓励并注重节奏 B) 随意划桨 C) 忽略 D) 放慢速度")</f>
        <v>A) 鼓励并注重节奏 B) 随意划桨 C) 忽略 D) 放慢速度</v>
      </c>
      <c r="K87" s="24" t="str">
        <f>IFERROR(__xludf.DUMMYFUNCTION("GOOGLETRANSLATE(D87, ""en"", ""zh"")"),"A) 鼓励并注重节奏")</f>
        <v>A) 鼓励并注重节奏</v>
      </c>
      <c r="L87" s="24" t="str">
        <f>IFERROR(__xludf.DUMMYFUNCTION("GOOGLETRANSLATE(E87, ""en"", ""zh"")"),"#VALUE!")</f>
        <v>#VALUE!</v>
      </c>
      <c r="M87" s="21"/>
      <c r="N87" s="21"/>
      <c r="O87" s="21"/>
      <c r="P87" s="21"/>
    </row>
    <row r="88">
      <c r="A88" s="17">
        <v>87.0</v>
      </c>
      <c r="B88" s="12" t="s">
        <v>678</v>
      </c>
      <c r="C88" s="12" t="s">
        <v>679</v>
      </c>
      <c r="D88" s="12" t="s">
        <v>680</v>
      </c>
      <c r="E88" s="27"/>
      <c r="F88" s="21"/>
      <c r="G88" s="21"/>
      <c r="H88" s="21"/>
      <c r="I88" s="24" t="str">
        <f>IFERROR(__xludf.DUMMYFUNCTION("GOOGLETRANSLATE(B88, ""en"", ""zh"")"),"你正紧随对手，接近终点线。你的策略是什么？")</f>
        <v>你正紧随对手，接近终点线。你的策略是什么？</v>
      </c>
      <c r="J88" s="24" t="str">
        <f>IFERROR(__xludf.DUMMYFUNCTION("GOOGLETRANSLATE(C88, ""en"", ""zh"")"),"A) 全程协调冲刺 B) 保持匀速 C) 轻划 D) 停止")</f>
        <v>A) 全程协调冲刺 B) 保持匀速 C) 轻划 D) 停止</v>
      </c>
      <c r="K88" s="24" t="str">
        <f>IFERROR(__xludf.DUMMYFUNCTION("GOOGLETRANSLATE(D88, ""en"", ""zh"")"),"A) 全员协调冲刺")</f>
        <v>A) 全员协调冲刺</v>
      </c>
      <c r="L88" s="24" t="str">
        <f>IFERROR(__xludf.DUMMYFUNCTION("GOOGLETRANSLATE(E88, ""en"", ""zh"")"),"#VALUE!")</f>
        <v>#VALUE!</v>
      </c>
      <c r="M88" s="21"/>
      <c r="N88" s="21"/>
      <c r="O88" s="21"/>
      <c r="P88" s="21"/>
    </row>
    <row r="89">
      <c r="A89" s="17">
        <v>88.0</v>
      </c>
      <c r="B89" s="12" t="s">
        <v>681</v>
      </c>
      <c r="C89" s="12" t="s">
        <v>682</v>
      </c>
      <c r="D89" s="12" t="s">
        <v>683</v>
      </c>
      <c r="E89" s="27"/>
      <c r="F89" s="21"/>
      <c r="G89" s="21"/>
      <c r="H89" s="21"/>
      <c r="I89" s="24" t="str">
        <f>IFERROR(__xludf.DUMMYFUNCTION("GOOGLETRANSLATE(B89, ""en"", ""zh"")"),"对手挡住了你的去路。你的团队应该如何应对？")</f>
        <v>对手挡住了你的去路。你的团队应该如何应对？</v>
      </c>
      <c r="J89" s="24" t="str">
        <f>IFERROR(__xludf.DUMMYFUNCTION("GOOGLETRANSLATE(C89, ""en"", ""zh"")"),"A) 调整航向并保持划桨动作 B) 随意划桨 C) 减速 D) 停止")</f>
        <v>A) 调整航向并保持划桨动作 B) 随意划桨 C) 减速 D) 停止</v>
      </c>
      <c r="K89" s="24" t="str">
        <f>IFERROR(__xludf.DUMMYFUNCTION("GOOGLETRANSLATE(D89, ""en"", ""zh"")"),"A) 调整航向并保持划桨动作")</f>
        <v>A) 调整航向并保持划桨动作</v>
      </c>
      <c r="L89" s="24" t="str">
        <f>IFERROR(__xludf.DUMMYFUNCTION("GOOGLETRANSLATE(E89, ""en"", ""zh"")"),"#VALUE!")</f>
        <v>#VALUE!</v>
      </c>
      <c r="M89" s="21"/>
      <c r="N89" s="21"/>
      <c r="O89" s="21"/>
      <c r="P89" s="21"/>
    </row>
    <row r="90">
      <c r="A90" s="17">
        <v>89.0</v>
      </c>
      <c r="B90" s="12" t="s">
        <v>684</v>
      </c>
      <c r="C90" s="12" t="s">
        <v>685</v>
      </c>
      <c r="D90" s="12" t="s">
        <v>686</v>
      </c>
      <c r="E90" s="27"/>
      <c r="F90" s="21"/>
      <c r="G90" s="21"/>
      <c r="H90" s="21"/>
      <c r="I90" s="24" t="str">
        <f>IFERROR(__xludf.DUMMYFUNCTION("GOOGLETRANSLATE(B90, ""en"", ""zh"")"),"鼓手要求加快节奏。你的回应是什么？")</f>
        <v>鼓手要求加快节奏。你的回应是什么？</v>
      </c>
      <c r="J90" s="24" t="str">
        <f>IFERROR(__xludf.DUMMYFUNCTION("GOOGLETRANSLATE(C90, ""en"", ""zh"")"),"A) 加快节奏 B) 忽略 C) 减少击球次数 D) 停止")</f>
        <v>A) 加快节奏 B) 忽略 C) 减少击球次数 D) 停止</v>
      </c>
      <c r="K90" s="24" t="str">
        <f>IFERROR(__xludf.DUMMYFUNCTION("GOOGLETRANSLATE(D90, ""en"", ""zh"")"),"A) 比赛节奏加快")</f>
        <v>A) 比赛节奏加快</v>
      </c>
      <c r="L90" s="24" t="str">
        <f>IFERROR(__xludf.DUMMYFUNCTION("GOOGLETRANSLATE(E90, ""en"", ""zh"")"),"#VALUE!")</f>
        <v>#VALUE!</v>
      </c>
      <c r="M90" s="21"/>
      <c r="N90" s="21"/>
      <c r="O90" s="21"/>
      <c r="P90" s="21"/>
    </row>
    <row r="91">
      <c r="A91" s="17">
        <v>90.0</v>
      </c>
      <c r="B91" s="12" t="s">
        <v>687</v>
      </c>
      <c r="C91" s="12" t="s">
        <v>688</v>
      </c>
      <c r="D91" s="12" t="s">
        <v>689</v>
      </c>
      <c r="E91" s="27"/>
      <c r="F91" s="21"/>
      <c r="G91" s="21"/>
      <c r="H91" s="21"/>
      <c r="I91" s="24" t="str">
        <f>IFERROR(__xludf.DUMMYFUNCTION("GOOGLETRANSLATE(B91, ""en"", ""zh"")"),"划到一半时，一些划桨者失去了节奏。最好的办法是什么？")</f>
        <v>划到一半时，一些划桨者失去了节奏。最好的办法是什么？</v>
      </c>
      <c r="J91" s="24" t="str">
        <f>IFERROR(__xludf.DUMMYFUNCTION("GOOGLETRANSLATE(C91, ""en"", ""zh"")"),"A) 与主节奏同步 B) 单独加快划桨速度 C) 忽略 D) 停止")</f>
        <v>A) 与主节奏同步 B) 单独加快划桨速度 C) 忽略 D) 停止</v>
      </c>
      <c r="K91" s="24" t="str">
        <f>IFERROR(__xludf.DUMMYFUNCTION("GOOGLETRANSLATE(D91, ""en"", ""zh"")"),"A) 与主节奏同步")</f>
        <v>A) 与主节奏同步</v>
      </c>
      <c r="L91" s="24" t="str">
        <f>IFERROR(__xludf.DUMMYFUNCTION("GOOGLETRANSLATE(E91, ""en"", ""zh"")"),"#VALUE!")</f>
        <v>#VALUE!</v>
      </c>
      <c r="M91" s="21"/>
      <c r="N91" s="21"/>
      <c r="O91" s="21"/>
      <c r="P91" s="21"/>
    </row>
    <row r="92">
      <c r="A92" s="17">
        <v>91.0</v>
      </c>
      <c r="B92" s="12" t="s">
        <v>690</v>
      </c>
      <c r="C92" s="12" t="s">
        <v>691</v>
      </c>
      <c r="D92" s="12" t="s">
        <v>692</v>
      </c>
      <c r="E92" s="27"/>
      <c r="F92" s="21"/>
      <c r="G92" s="21"/>
      <c r="H92" s="21"/>
      <c r="I92" s="24" t="str">
        <f>IFERROR(__xludf.DUMMYFUNCTION("GOOGLETRANSLATE(B92, ""en"", ""zh"")"),"由于船体不平衡，船体略微倾斜。应该怎么办？")</f>
        <v>由于船体不平衡，船体略微倾斜。应该怎么办？</v>
      </c>
      <c r="J92" s="24" t="str">
        <f>IFERROR(__xludf.DUMMYFUNCTION("GOOGLETRANSLATE(C92, ""en"", ""zh"")"),"A) 用均匀的划水动作保持稳定 B) 随意划水 C) 忽略 D) 停止")</f>
        <v>A) 用均匀的划水动作保持稳定 B) 随意划水 C) 忽略 D) 停止</v>
      </c>
      <c r="K92" s="24" t="str">
        <f>IFERROR(__xludf.DUMMYFUNCTION("GOOGLETRANSLATE(D92, ""en"", ""zh"")"),"A）用均匀的划水动作保持稳定")</f>
        <v>A）用均匀的划水动作保持稳定</v>
      </c>
      <c r="L92" s="24" t="str">
        <f>IFERROR(__xludf.DUMMYFUNCTION("GOOGLETRANSLATE(E92, ""en"", ""zh"")"),"#VALUE!")</f>
        <v>#VALUE!</v>
      </c>
      <c r="M92" s="21"/>
      <c r="N92" s="21"/>
      <c r="O92" s="21"/>
      <c r="P92" s="21"/>
    </row>
    <row r="93">
      <c r="A93" s="17">
        <v>92.0</v>
      </c>
      <c r="B93" s="12" t="s">
        <v>693</v>
      </c>
      <c r="C93" s="12" t="s">
        <v>694</v>
      </c>
      <c r="D93" s="12" t="s">
        <v>695</v>
      </c>
      <c r="E93" s="27"/>
      <c r="F93" s="21"/>
      <c r="G93" s="21"/>
      <c r="H93" s="21"/>
      <c r="I93" s="24" t="str">
        <f>IFERROR(__xludf.DUMMYFUNCTION("GOOGLETRANSLATE(B93, ""en"", ""zh"")"),"你注意到左侧海浪更强劲。你该如何调整？")</f>
        <v>你注意到左侧海浪更强劲。你该如何调整？</v>
      </c>
      <c r="J93" s="24" t="str">
        <f>IFERROR(__xludf.DUMMYFUNCTION("GOOGLETRANSLATE(C93, ""en"", ""zh"")"),"A) 加大左侧球拍的力度 B) 忽略 C) 随意拍打球拍 D) 停止")</f>
        <v>A) 加大左侧球拍的力度 B) 忽略 C) 随意拍打球拍 D) 停止</v>
      </c>
      <c r="K93" s="24" t="str">
        <f>IFERROR(__xludf.DUMMYFUNCTION("GOOGLETRANSLATE(D93, ""en"", ""zh"")"),"A）加大左侧桨的发力")</f>
        <v>A）加大左侧桨的发力</v>
      </c>
      <c r="L93" s="24" t="str">
        <f>IFERROR(__xludf.DUMMYFUNCTION("GOOGLETRANSLATE(E93, ""en"", ""zh"")"),"#VALUE!")</f>
        <v>#VALUE!</v>
      </c>
      <c r="M93" s="21"/>
      <c r="N93" s="21"/>
      <c r="O93" s="21"/>
      <c r="P93" s="21"/>
    </row>
    <row r="94">
      <c r="A94" s="17">
        <v>93.0</v>
      </c>
      <c r="B94" s="12" t="s">
        <v>696</v>
      </c>
      <c r="C94" s="12" t="s">
        <v>697</v>
      </c>
      <c r="D94" s="12" t="s">
        <v>698</v>
      </c>
      <c r="E94" s="27"/>
      <c r="F94" s="21"/>
      <c r="G94" s="21"/>
      <c r="H94" s="21"/>
      <c r="I94" s="24" t="str">
        <f>IFERROR(__xludf.DUMMYFUNCTION("GOOGLETRANSLATE(B94, ""en"", ""zh"")"),"对手发起猛攻，你的球队应该如何应对？")</f>
        <v>对手发起猛攻，你的球队应该如何应对？</v>
      </c>
      <c r="J94" s="24" t="str">
        <f>IFERROR(__xludf.DUMMYFUNCTION("GOOGLETRANSLATE(C94, ""en"", ""zh"")"),"A) 提高划桨频率和协调性 B) 减慢速度 C) 随意划桨 D) 忽略")</f>
        <v>A) 提高划桨频率和协调性 B) 减慢速度 C) 随意划桨 D) 忽略</v>
      </c>
      <c r="K94" s="24" t="str">
        <f>IFERROR(__xludf.DUMMYFUNCTION("GOOGLETRANSLATE(D94, ""en"", ""zh"")"),"A) 提高划水频率和协调性")</f>
        <v>A) 提高划水频率和协调性</v>
      </c>
      <c r="L94" s="24" t="str">
        <f>IFERROR(__xludf.DUMMYFUNCTION("GOOGLETRANSLATE(E94, ""en"", ""zh"")"),"#VALUE!")</f>
        <v>#VALUE!</v>
      </c>
      <c r="M94" s="21"/>
      <c r="N94" s="21"/>
      <c r="O94" s="21"/>
      <c r="P94" s="21"/>
    </row>
    <row r="95">
      <c r="A95" s="17">
        <v>94.0</v>
      </c>
      <c r="B95" s="12" t="s">
        <v>699</v>
      </c>
      <c r="C95" s="12" t="s">
        <v>700</v>
      </c>
      <c r="D95" s="12" t="s">
        <v>701</v>
      </c>
      <c r="E95" s="27"/>
      <c r="F95" s="21"/>
      <c r="G95" s="21"/>
      <c r="H95" s="21"/>
      <c r="I95" s="24" t="str">
        <f>IFERROR(__xludf.DUMMYFUNCTION("GOOGLETRANSLATE(B95, ""en"", ""zh"")"),"比赛途中，你的队伍失去了赛道方向。正确的做法是什么？")</f>
        <v>比赛途中，你的队伍失去了赛道方向。正确的做法是什么？</v>
      </c>
      <c r="J95" s="24" t="str">
        <f>IFERROR(__xludf.DUMMYFUNCTION("GOOGLETRANSLATE(C95, ""en"", ""zh"")"),"A) 严格按照舵手的指示划桨 B) 随意划桨 C) 停止划桨 D) 忽略舵手的指示")</f>
        <v>A) 严格按照舵手的指示划桨 B) 随意划桨 C) 停止划桨 D) 忽略舵手的指示</v>
      </c>
      <c r="K95" s="24" t="str">
        <f>IFERROR(__xludf.DUMMYFUNCTION("GOOGLETRANSLATE(D95, ""en"", ""zh"")"),"A) 严格遵守舵手的指示。")</f>
        <v>A) 严格遵守舵手的指示。</v>
      </c>
      <c r="L95" s="24" t="str">
        <f>IFERROR(__xludf.DUMMYFUNCTION("GOOGLETRANSLATE(E95, ""en"", ""zh"")"),"#VALUE!")</f>
        <v>#VALUE!</v>
      </c>
      <c r="M95" s="21"/>
      <c r="N95" s="21"/>
      <c r="O95" s="21"/>
      <c r="P95" s="21"/>
    </row>
    <row r="96">
      <c r="A96" s="17">
        <v>95.0</v>
      </c>
      <c r="B96" s="12" t="s">
        <v>702</v>
      </c>
      <c r="C96" s="12" t="s">
        <v>703</v>
      </c>
      <c r="D96" s="12" t="s">
        <v>704</v>
      </c>
      <c r="E96" s="27"/>
      <c r="F96" s="21"/>
      <c r="G96" s="21"/>
      <c r="H96" s="21"/>
      <c r="I96" s="24" t="str">
        <f>IFERROR(__xludf.DUMMYFUNCTION("GOOGLETRANSLATE(B96, ""en"", ""zh"")"),"鼓手示意突然减速。球队应该如何应对？")</f>
        <v>鼓手示意突然减速。球队应该如何应对？</v>
      </c>
      <c r="J96" s="24" t="str">
        <f>IFERROR(__xludf.DUMMYFUNCTION("GOOGLETRANSLATE(C96, ""en"", ""zh"")"),"A) 减少划桨次数，同时保持同步 B) 忽略 C) 加快划桨速度 D) 停止")</f>
        <v>A) 减少划桨次数，同时保持同步 B) 忽略 C) 加快划桨速度 D) 停止</v>
      </c>
      <c r="K96" s="24" t="str">
        <f>IFERROR(__xludf.DUMMYFUNCTION("GOOGLETRANSLATE(D96, ""en"", ""zh"")"),"A) 减少划水次数，同时保持同步")</f>
        <v>A) 减少划水次数，同时保持同步</v>
      </c>
      <c r="L96" s="24" t="str">
        <f>IFERROR(__xludf.DUMMYFUNCTION("GOOGLETRANSLATE(E96, ""en"", ""zh"")"),"#VALUE!")</f>
        <v>#VALUE!</v>
      </c>
      <c r="M96" s="21"/>
      <c r="N96" s="21"/>
      <c r="O96" s="21"/>
      <c r="P96" s="21"/>
    </row>
    <row r="97">
      <c r="A97" s="17">
        <v>96.0</v>
      </c>
      <c r="B97" s="12" t="s">
        <v>705</v>
      </c>
      <c r="C97" s="12" t="s">
        <v>706</v>
      </c>
      <c r="D97" s="12" t="s">
        <v>707</v>
      </c>
      <c r="E97" s="27"/>
      <c r="F97" s="21"/>
      <c r="G97" s="21"/>
      <c r="H97" s="21"/>
      <c r="I97" s="24" t="str">
        <f>IFERROR(__xludf.DUMMYFUNCTION("GOOGLETRANSLATE(B97, ""en"", ""zh"")"),"队友即将过度劳累。正确的应对措施是什么？")</f>
        <v>队友即将过度劳累。正确的应对措施是什么？</v>
      </c>
      <c r="J97" s="24" t="str">
        <f>IFERROR(__xludf.DUMMYFUNCTION("GOOGLETRANSLATE(C97, ""en"", ""zh"")"),"A) 鼓励保持节奏和速度 B) 加快划桨速度 C) 忽略 D) 停止")</f>
        <v>A) 鼓励保持节奏和速度 B) 加快划桨速度 C) 忽略 D) 停止</v>
      </c>
      <c r="K97" s="24" t="str">
        <f>IFERROR(__xludf.DUMMYFUNCTION("GOOGLETRANSLATE(D97, ""en"", ""zh"")"),"A) 鼓励保持节奏和韵律")</f>
        <v>A) 鼓励保持节奏和韵律</v>
      </c>
      <c r="L97" s="24" t="str">
        <f>IFERROR(__xludf.DUMMYFUNCTION("GOOGLETRANSLATE(E97, ""en"", ""zh"")"),"#VALUE!")</f>
        <v>#VALUE!</v>
      </c>
      <c r="M97" s="21"/>
      <c r="N97" s="21"/>
      <c r="O97" s="21"/>
      <c r="P97" s="21"/>
    </row>
    <row r="98">
      <c r="A98" s="17">
        <v>97.0</v>
      </c>
      <c r="B98" s="12" t="s">
        <v>708</v>
      </c>
      <c r="C98" s="12" t="s">
        <v>709</v>
      </c>
      <c r="D98" s="12" t="s">
        <v>710</v>
      </c>
      <c r="E98" s="27"/>
      <c r="F98" s="21"/>
      <c r="G98" s="21"/>
      <c r="H98" s="21"/>
      <c r="I98" s="24" t="str">
        <f>IFERROR(__xludf.DUMMYFUNCTION("GOOGLETRANSLATE(B98, ""en"", ""zh"")"),"水花飞溅不均匀，会产生阻力。你如何应对？")</f>
        <v>水花飞溅不均匀，会产生阻力。你如何应对？</v>
      </c>
      <c r="J98" s="24" t="str">
        <f>IFERROR(__xludf.DUMMYFUNCTION("GOOGLETRANSLATE(C98, ""en"", ""zh"")"),"A) 调整划桨技巧和时机 B) 随意划桨 C) 忽略 D) 停止")</f>
        <v>A) 调整划桨技巧和时机 B) 随意划桨 C) 忽略 D) 停止</v>
      </c>
      <c r="K98" s="24" t="str">
        <f>IFERROR(__xludf.DUMMYFUNCTION("GOOGLETRANSLATE(D98, ""en"", ""zh"")"),"A) 调整击球技巧和时机")</f>
        <v>A) 调整击球技巧和时机</v>
      </c>
      <c r="L98" s="24" t="str">
        <f>IFERROR(__xludf.DUMMYFUNCTION("GOOGLETRANSLATE(E98, ""en"", ""zh"")"),"#VALUE!")</f>
        <v>#VALUE!</v>
      </c>
      <c r="M98" s="21"/>
      <c r="N98" s="21"/>
      <c r="O98" s="21"/>
      <c r="P98" s="21"/>
    </row>
    <row r="99">
      <c r="A99" s="17">
        <v>98.0</v>
      </c>
      <c r="B99" s="12" t="s">
        <v>711</v>
      </c>
      <c r="C99" s="12" t="s">
        <v>712</v>
      </c>
      <c r="D99" s="12" t="s">
        <v>713</v>
      </c>
      <c r="E99" s="27"/>
      <c r="F99" s="21"/>
      <c r="G99" s="21"/>
      <c r="H99" s="21"/>
      <c r="I99" s="24" t="str">
        <f>IFERROR(__xludf.DUMMYFUNCTION("GOOGLETRANSLATE(B99, ""en"", ""zh"")"),"对手目前仅以微弱优势领先。他们的策略是什么？")</f>
        <v>对手目前仅以微弱优势领先。他们的策略是什么？</v>
      </c>
      <c r="J99" s="24" t="str">
        <f>IFERROR(__xludf.DUMMYFUNCTION("GOOGLETRANSLATE(C99, ""en"", ""zh"")"),"A) 加快协调冲刺速度 B) 随意划桨 C) 减速 D) 忽略")</f>
        <v>A) 加快协调冲刺速度 B) 随意划桨 C) 减速 D) 忽略</v>
      </c>
      <c r="K99" s="24" t="str">
        <f>IFERROR(__xludf.DUMMYFUNCTION("GOOGLETRANSLATE(D99, ""en"", ""zh"")"),"A) 提高协调冲刺能力")</f>
        <v>A) 提高协调冲刺能力</v>
      </c>
      <c r="L99" s="24" t="str">
        <f>IFERROR(__xludf.DUMMYFUNCTION("GOOGLETRANSLATE(E99, ""en"", ""zh"")"),"#VALUE!")</f>
        <v>#VALUE!</v>
      </c>
      <c r="M99" s="21"/>
      <c r="N99" s="21"/>
      <c r="O99" s="21"/>
      <c r="P99" s="21"/>
    </row>
    <row r="100">
      <c r="A100" s="17">
        <v>99.0</v>
      </c>
      <c r="B100" s="12" t="s">
        <v>714</v>
      </c>
      <c r="C100" s="12" t="s">
        <v>715</v>
      </c>
      <c r="D100" s="12" t="s">
        <v>716</v>
      </c>
      <c r="E100" s="27"/>
      <c r="F100" s="21"/>
      <c r="G100" s="21"/>
      <c r="H100" s="21"/>
      <c r="I100" s="24" t="str">
        <f>IFERROR(__xludf.DUMMYFUNCTION("GOOGLETRANSLATE(B100, ""en"", ""zh"")"),"你的队伍开局落后，如何才能提升排名？")</f>
        <v>你的队伍开局落后，如何才能提升排名？</v>
      </c>
      <c r="J100" s="24" t="str">
        <f>IFERROR(__xludf.DUMMYFUNCTION("GOOGLETRANSLATE(C100, ""en"", ""zh"")"),"A) 增加划桨力度并同步 B) 随机划桨 C) 停止 D) 忽略")</f>
        <v>A) 增加划桨力度并同步 B) 随机划桨 C) 停止 D) 忽略</v>
      </c>
      <c r="K100" s="24" t="str">
        <f>IFERROR(__xludf.DUMMYFUNCTION("GOOGLETRANSLATE(D100, ""en"", ""zh"")"),"A) 通过同步增加划水强度")</f>
        <v>A) 通过同步增加划水强度</v>
      </c>
      <c r="L100" s="24" t="str">
        <f>IFERROR(__xludf.DUMMYFUNCTION("GOOGLETRANSLATE(E100, ""en"", ""zh"")"),"#VALUE!")</f>
        <v>#VALUE!</v>
      </c>
      <c r="M100" s="21"/>
      <c r="N100" s="21"/>
      <c r="O100" s="21"/>
      <c r="P100" s="21"/>
    </row>
    <row r="101">
      <c r="A101" s="17">
        <v>100.0</v>
      </c>
      <c r="B101" s="12" t="s">
        <v>717</v>
      </c>
      <c r="C101" s="12" t="s">
        <v>718</v>
      </c>
      <c r="D101" s="12" t="s">
        <v>719</v>
      </c>
      <c r="E101" s="27"/>
      <c r="F101" s="21"/>
      <c r="G101" s="21"/>
      <c r="H101" s="21"/>
      <c r="I101" s="24" t="str">
        <f>IFERROR(__xludf.DUMMYFUNCTION("GOOGLETRANSLATE(B101, ""en"", ""zh"")"),"行程过半时，风阻增大。你如何应对？")</f>
        <v>行程过半时，风阻增大。你如何应对？</v>
      </c>
      <c r="J101" s="24" t="str">
        <f>IFERROR(__xludf.DUMMYFUNCTION("GOOGLETRANSLATE(C101, ""en"", ""zh"")"),"A) 加大划水力度 B) 轻划 C) 停止 D) 忽略")</f>
        <v>A) 加大划水力度 B) 轻划 C) 停止 D) 忽略</v>
      </c>
      <c r="K101" s="24" t="str">
        <f>IFERROR(__xludf.DUMMYFUNCTION("GOOGLETRANSLATE(D101, ""en"", ""zh"")"),"A) 施加更强劲的同步击打")</f>
        <v>A) 施加更强劲的同步击打</v>
      </c>
      <c r="L101" s="24" t="str">
        <f>IFERROR(__xludf.DUMMYFUNCTION("GOOGLETRANSLATE(E101, ""en"", ""zh"")"),"#VALUE!")</f>
        <v>#VALUE!</v>
      </c>
      <c r="M101" s="21"/>
      <c r="N101" s="21"/>
      <c r="O101" s="21"/>
      <c r="P101" s="21"/>
    </row>
    <row r="102">
      <c r="A102" s="17">
        <v>101.0</v>
      </c>
      <c r="B102" s="12" t="s">
        <v>720</v>
      </c>
      <c r="C102" s="12" t="s">
        <v>721</v>
      </c>
      <c r="D102" s="12" t="s">
        <v>722</v>
      </c>
      <c r="E102" s="27"/>
      <c r="F102" s="21"/>
      <c r="G102" s="21"/>
      <c r="H102" s="21"/>
      <c r="I102" s="24" t="str">
        <f>IFERROR(__xludf.DUMMYFUNCTION("GOOGLETRANSLATE(B102, ""en"", ""zh"")"),"队友失去平衡。团队应该怎么做？")</f>
        <v>队友失去平衡。团队应该怎么做？</v>
      </c>
      <c r="J102" s="24" t="str">
        <f>IFERROR(__xludf.DUMMYFUNCTION("GOOGLETRANSLATE(C102, ""en"", ""zh"")"),"A) 保持稳定的划桨动作 B) 加快划桨速度 C) 忽略 D) 停止")</f>
        <v>A) 保持稳定的划桨动作 B) 加快划桨速度 C) 忽略 D) 停止</v>
      </c>
      <c r="K102" s="24" t="str">
        <f>IFERROR(__xludf.DUMMYFUNCTION("GOOGLETRANSLATE(D102, ""en"", ""zh"")"),"A) 保持稳定的划水动作")</f>
        <v>A) 保持稳定的划水动作</v>
      </c>
      <c r="L102" s="24" t="str">
        <f>IFERROR(__xludf.DUMMYFUNCTION("GOOGLETRANSLATE(E102, ""en"", ""zh"")"),"#VALUE!")</f>
        <v>#VALUE!</v>
      </c>
      <c r="M102" s="21"/>
      <c r="N102" s="21"/>
      <c r="O102" s="21"/>
      <c r="P102" s="21"/>
    </row>
    <row r="103">
      <c r="A103" s="17">
        <v>102.0</v>
      </c>
      <c r="B103" s="12" t="s">
        <v>723</v>
      </c>
      <c r="C103" s="12" t="s">
        <v>724</v>
      </c>
      <c r="D103" s="12" t="s">
        <v>725</v>
      </c>
      <c r="E103" s="27"/>
      <c r="F103" s="21"/>
      <c r="G103" s="21"/>
      <c r="H103" s="21"/>
      <c r="I103" s="24" t="str">
        <f>IFERROR(__xludf.DUMMYFUNCTION("GOOGLETRANSLATE(B103, ""en"", ""zh"")"),"对手封锁了内线，你应该如何应对？")</f>
        <v>对手封锁了内线，你应该如何应对？</v>
      </c>
      <c r="J103" s="24" t="str">
        <f>IFERROR(__xludf.DUMMYFUNCTION("GOOGLETRANSLATE(C103, ""en"", ""zh"")"),"A) 有效调整钓线和桨 B) 随意划桨 C) 减速 D) 忽略")</f>
        <v>A) 有效调整钓线和桨 B) 随意划桨 C) 减速 D) 忽略</v>
      </c>
      <c r="K103" s="24" t="str">
        <f>IFERROR(__xludf.DUMMYFUNCTION("GOOGLETRANSLATE(D103, ""en"", ""zh"")"),"A) 有效调整钓线和桨。")</f>
        <v>A) 有效调整钓线和桨。</v>
      </c>
      <c r="L103" s="24" t="str">
        <f>IFERROR(__xludf.DUMMYFUNCTION("GOOGLETRANSLATE(E103, ""en"", ""zh"")"),"#VALUE!")</f>
        <v>#VALUE!</v>
      </c>
      <c r="M103" s="21"/>
      <c r="N103" s="21"/>
      <c r="O103" s="21"/>
      <c r="P103" s="21"/>
    </row>
    <row r="104">
      <c r="A104" s="17">
        <v>103.0</v>
      </c>
      <c r="B104" s="12" t="s">
        <v>726</v>
      </c>
      <c r="C104" s="12" t="s">
        <v>727</v>
      </c>
      <c r="D104" s="12" t="s">
        <v>728</v>
      </c>
      <c r="E104" s="27"/>
      <c r="F104" s="21"/>
      <c r="G104" s="21"/>
      <c r="H104" s="21"/>
      <c r="I104" s="24" t="str">
        <f>IFERROR(__xludf.DUMMYFUNCTION("GOOGLETRANSLATE(B104, ""en"", ""zh"")"),"你们队在比赛临近尾声时难分伯仲。你们的策略是什么？")</f>
        <v>你们队在比赛临近尾声时难分伯仲。你们的策略是什么？</v>
      </c>
      <c r="J104" s="24" t="str">
        <f>IFERROR(__xludf.DUMMYFUNCTION("GOOGLETRANSLATE(C104, ""en"", ""zh"")"),"A) 完美同步冲刺 B) 随机划桨 C) 停止 D) 忽略")</f>
        <v>A) 完美同步冲刺 B) 随机划桨 C) 停止 D) 忽略</v>
      </c>
      <c r="K104" s="24" t="str">
        <f>IFERROR(__xludf.DUMMYFUNCTION("GOOGLETRANSLATE(D104, ""en"", ""zh"")"),"A) 完美同步冲刺")</f>
        <v>A) 完美同步冲刺</v>
      </c>
      <c r="L104" s="24" t="str">
        <f>IFERROR(__xludf.DUMMYFUNCTION("GOOGLETRANSLATE(E104, ""en"", ""zh"")"),"#VALUE!")</f>
        <v>#VALUE!</v>
      </c>
      <c r="M104" s="21"/>
      <c r="N104" s="21"/>
      <c r="O104" s="21"/>
      <c r="P104" s="21"/>
    </row>
    <row r="105">
      <c r="A105" s="17">
        <v>104.0</v>
      </c>
      <c r="B105" s="12" t="s">
        <v>729</v>
      </c>
      <c r="C105" s="12" t="s">
        <v>730</v>
      </c>
      <c r="D105" s="12" t="s">
        <v>731</v>
      </c>
      <c r="E105" s="27"/>
      <c r="F105" s="21"/>
      <c r="G105" s="21"/>
      <c r="H105" s="21"/>
      <c r="I105" s="24" t="str">
        <f>IFERROR(__xludf.DUMMYFUNCTION("GOOGLETRANSLATE(B105, ""en"", ""zh"")"),"由于波浪的作用，船身摇晃。如何保持速度？")</f>
        <v>由于波浪的作用，船身摇晃。如何保持速度？</v>
      </c>
      <c r="J105" s="24" t="str">
        <f>IFERROR(__xludf.DUMMYFUNCTION("GOOGLETRANSLATE(C105, ""en"", ""zh"")"),"A) 平衡划桨动作并增加力量 B) 轻划 C) 停止 D) 忽略")</f>
        <v>A) 平衡划桨动作并增加力量 B) 轻划 C) 停止 D) 忽略</v>
      </c>
      <c r="K105" s="24" t="str">
        <f>IFERROR(__xludf.DUMMYFUNCTION("GOOGLETRANSLATE(D105, ""en"", ""zh"")"),"A) 平衡划水并增加力量")</f>
        <v>A) 平衡划水并增加力量</v>
      </c>
      <c r="L105" s="24" t="str">
        <f>IFERROR(__xludf.DUMMYFUNCTION("GOOGLETRANSLATE(E105, ""en"", ""zh"")"),"#VALUE!")</f>
        <v>#VALUE!</v>
      </c>
      <c r="M105" s="21"/>
      <c r="N105" s="21"/>
      <c r="O105" s="21"/>
      <c r="P105" s="21"/>
    </row>
    <row r="106">
      <c r="A106" s="17">
        <v>105.0</v>
      </c>
      <c r="B106" s="12" t="s">
        <v>732</v>
      </c>
      <c r="C106" s="12" t="s">
        <v>733</v>
      </c>
      <c r="D106" s="12" t="s">
        <v>734</v>
      </c>
      <c r="E106" s="27"/>
      <c r="F106" s="21"/>
      <c r="G106" s="21"/>
      <c r="H106" s="21"/>
      <c r="I106" s="24" t="str">
        <f>IFERROR(__xludf.DUMMYFUNCTION("GOOGLETRANSLATE(B106, ""en"", ""zh"")"),"队友划桨太用力了，你应该怎么做？")</f>
        <v>队友划桨太用力了，你应该怎么做？</v>
      </c>
      <c r="J106" s="24" t="str">
        <f>IFERROR(__xludf.DUMMYFUNCTION("GOOGLETRANSLATE(C106, ""en"", ""zh"")"),"A) 恢复同步节奏 B) 加快划桨速度 C) 忽略 D) 停止")</f>
        <v>A) 恢复同步节奏 B) 加快划桨速度 C) 忽略 D) 停止</v>
      </c>
      <c r="K106" s="24" t="str">
        <f>IFERROR(__xludf.DUMMYFUNCTION("GOOGLETRANSLATE(D106, ""en"", ""zh"")"),"A) 恢复同步节律")</f>
        <v>A) 恢复同步节律</v>
      </c>
      <c r="L106" s="24" t="str">
        <f>IFERROR(__xludf.DUMMYFUNCTION("GOOGLETRANSLATE(E106, ""en"", ""zh"")"),"#VALUE!")</f>
        <v>#VALUE!</v>
      </c>
      <c r="M106" s="21"/>
      <c r="N106" s="21"/>
      <c r="O106" s="21"/>
      <c r="P106" s="21"/>
    </row>
    <row r="107">
      <c r="A107" s="17">
        <v>106.0</v>
      </c>
      <c r="B107" s="12" t="s">
        <v>735</v>
      </c>
      <c r="C107" s="12" t="s">
        <v>736</v>
      </c>
      <c r="D107" s="12" t="s">
        <v>737</v>
      </c>
      <c r="E107" s="27"/>
      <c r="F107" s="21"/>
      <c r="G107" s="21"/>
      <c r="H107" s="21"/>
      <c r="I107" s="24" t="str">
        <f>IFERROR(__xludf.DUMMYFUNCTION("GOOGLETRANSLATE(B107, ""en"", ""zh"")"),"比赛途中，由于水雾飞溅，能见度下降。车队应该如何应对？")</f>
        <v>比赛途中，由于水雾飞溅，能见度下降。车队应该如何应对？</v>
      </c>
      <c r="J107" s="24" t="str">
        <f>IFERROR(__xludf.DUMMYFUNCTION("GOOGLETRANSLATE(C107, ""en"", ""zh"")"),"A) 听从舵手指令 B) 随意划桨 C) 停止 D) 无视")</f>
        <v>A) 听从舵手指令 B) 随意划桨 C) 停止 D) 无视</v>
      </c>
      <c r="K107" s="24" t="str">
        <f>IFERROR(__xludf.DUMMYFUNCTION("GOOGLETRANSLATE(D107, ""en"", ""zh"")"),"A) 服从舵手的命令")</f>
        <v>A) 服从舵手的命令</v>
      </c>
      <c r="L107" s="24" t="str">
        <f>IFERROR(__xludf.DUMMYFUNCTION("GOOGLETRANSLATE(E107, ""en"", ""zh"")"),"#VALUE!")</f>
        <v>#VALUE!</v>
      </c>
      <c r="M107" s="21"/>
      <c r="N107" s="21"/>
      <c r="O107" s="21"/>
      <c r="P107" s="21"/>
    </row>
    <row r="108">
      <c r="A108" s="17">
        <v>107.0</v>
      </c>
      <c r="B108" s="12" t="s">
        <v>738</v>
      </c>
      <c r="C108" s="12" t="s">
        <v>739</v>
      </c>
      <c r="D108" s="12" t="s">
        <v>740</v>
      </c>
      <c r="E108" s="27"/>
      <c r="F108" s="21"/>
      <c r="G108" s="21"/>
      <c r="H108" s="21"/>
      <c r="I108" s="24" t="str">
        <f>IFERROR(__xludf.DUMMYFUNCTION("GOOGLETRANSLATE(B108, ""en"", ""zh"")"),"对手突然发起冲刺，你会如何应对？")</f>
        <v>对手突然发起冲刺，你会如何应对？</v>
      </c>
      <c r="J108" s="24" t="str">
        <f>IFERROR(__xludf.DUMMYFUNCTION("GOOGLETRANSLATE(C108, ""en"", ""zh"")"),"A) 提高协调性和力量 B) 随意划桨 C) 停止 D) 忽略")</f>
        <v>A) 提高协调性和力量 B) 随意划桨 C) 停止 D) 忽略</v>
      </c>
      <c r="K108" s="24" t="str">
        <f>IFERROR(__xludf.DUMMYFUNCTION("GOOGLETRANSLATE(D108, ""en"", ""zh"")"),"A) 增强协调性和力量")</f>
        <v>A) 增强协调性和力量</v>
      </c>
      <c r="L108" s="24" t="str">
        <f>IFERROR(__xludf.DUMMYFUNCTION("GOOGLETRANSLATE(E108, ""en"", ""zh"")"),"#VALUE!")</f>
        <v>#VALUE!</v>
      </c>
      <c r="M108" s="21"/>
      <c r="N108" s="21"/>
      <c r="O108" s="21"/>
      <c r="P108" s="21"/>
    </row>
    <row r="109">
      <c r="A109" s="17">
        <v>108.0</v>
      </c>
      <c r="B109" s="12" t="s">
        <v>741</v>
      </c>
      <c r="C109" s="12" t="s">
        <v>742</v>
      </c>
      <c r="D109" s="12" t="s">
        <v>743</v>
      </c>
      <c r="E109" s="27"/>
      <c r="F109" s="21"/>
      <c r="G109" s="21"/>
      <c r="H109" s="21"/>
      <c r="I109" s="24" t="str">
        <f>IFERROR(__xludf.DUMMYFUNCTION("GOOGLETRANSLATE(B109, ""en"", ""zh"")"),"团队节奏略有下降。应该采取什么纠正措施？")</f>
        <v>团队节奏略有下降。应该采取什么纠正措施？</v>
      </c>
      <c r="J109" s="24" t="str">
        <f>IFERROR(__xludf.DUMMYFUNCTION("GOOGLETRANSLATE(C109, ""en"", ""zh"")"),"A) 恢复同步节奏 B) 单独加快划桨速度 C) 忽略 D) 停止")</f>
        <v>A) 恢复同步节奏 B) 单独加快划桨速度 C) 忽略 D) 停止</v>
      </c>
      <c r="K109" s="24" t="str">
        <f>IFERROR(__xludf.DUMMYFUNCTION("GOOGLETRANSLATE(D109, ""en"", ""zh"")"),"A) 恢复齐奏节奏")</f>
        <v>A) 恢复齐奏节奏</v>
      </c>
      <c r="L109" s="24" t="str">
        <f>IFERROR(__xludf.DUMMYFUNCTION("GOOGLETRANSLATE(E109, ""en"", ""zh"")"),"#VALUE!")</f>
        <v>#VALUE!</v>
      </c>
      <c r="M109" s="21"/>
      <c r="N109" s="21"/>
      <c r="O109" s="21"/>
      <c r="P109" s="21"/>
    </row>
    <row r="110">
      <c r="A110" s="17">
        <v>109.0</v>
      </c>
      <c r="B110" s="12" t="s">
        <v>744</v>
      </c>
      <c r="C110" s="12" t="s">
        <v>745</v>
      </c>
      <c r="D110" s="12" t="s">
        <v>746</v>
      </c>
      <c r="E110" s="27"/>
      <c r="F110" s="21"/>
      <c r="G110" s="21"/>
      <c r="H110" s="21"/>
      <c r="I110" s="24" t="str">
        <f>IFERROR(__xludf.DUMMYFUNCTION("GOOGLETRANSLATE(B110, ""en"", ""zh"")"),"你看到外侧车道有个空档。应该采取什么战术？")</f>
        <v>你看到外侧车道有个空档。应该采取什么战术？</v>
      </c>
      <c r="J110" s="24" t="str">
        <f>IFERROR(__xludf.DUMMYFUNCTION("GOOGLETRANSLATE(C110, ""en"", ""zh"")"),"A) 同步操控方向盘和划桨 B) 随机划桨 C) 停止 D) 忽略")</f>
        <v>A) 同步操控方向盘和划桨 B) 随机划桨 C) 停止 D) 忽略</v>
      </c>
      <c r="K110" s="24" t="str">
        <f>IFERROR(__xludf.DUMMYFUNCTION("GOOGLETRANSLATE(D110, ""en"", ""zh"")"),"A) 舵和桨同步操作")</f>
        <v>A) 舵和桨同步操作</v>
      </c>
      <c r="L110" s="24" t="str">
        <f>IFERROR(__xludf.DUMMYFUNCTION("GOOGLETRANSLATE(E110, ""en"", ""zh"")"),"#VALUE!")</f>
        <v>#VALUE!</v>
      </c>
      <c r="M110" s="21"/>
      <c r="N110" s="21"/>
      <c r="O110" s="21"/>
      <c r="P110" s="21"/>
    </row>
    <row r="111">
      <c r="A111" s="17">
        <v>110.0</v>
      </c>
      <c r="B111" s="12" t="s">
        <v>747</v>
      </c>
      <c r="C111" s="12" t="s">
        <v>748</v>
      </c>
      <c r="D111" s="12" t="s">
        <v>749</v>
      </c>
      <c r="E111" s="27"/>
      <c r="F111" s="21"/>
      <c r="G111" s="21"/>
      <c r="H111" s="21"/>
      <c r="I111" s="24" t="str">
        <f>IFERROR(__xludf.DUMMYFUNCTION("GOOGLETRANSLATE(B111, ""en"", ""zh"")"),"水阻会增加。车队应该如何保持速度？")</f>
        <v>水阻会增加。车队应该如何保持速度？</v>
      </c>
      <c r="J111" s="24" t="str">
        <f>IFERROR(__xludf.DUMMYFUNCTION("GOOGLETRANSLATE(C111, ""en"", ""zh"")"),"A) 加大同步动力 B) 轻划 C) 停止 D) 忽略")</f>
        <v>A) 加大同步动力 B) 轻划 C) 停止 D) 忽略</v>
      </c>
      <c r="K111" s="24" t="str">
        <f>IFERROR(__xludf.DUMMYFUNCTION("GOOGLETRANSLATE(D111, ""en"", ""zh"")"),"A) 应用更多同步功率")</f>
        <v>A) 应用更多同步功率</v>
      </c>
      <c r="L111" s="24" t="str">
        <f>IFERROR(__xludf.DUMMYFUNCTION("GOOGLETRANSLATE(E111, ""en"", ""zh"")"),"#VALUE!")</f>
        <v>#VALUE!</v>
      </c>
      <c r="M111" s="21"/>
      <c r="N111" s="21"/>
      <c r="O111" s="21"/>
      <c r="P111" s="21"/>
    </row>
    <row r="112">
      <c r="A112" s="17">
        <v>111.0</v>
      </c>
      <c r="B112" s="12" t="s">
        <v>750</v>
      </c>
      <c r="C112" s="12" t="s">
        <v>751</v>
      </c>
      <c r="D112" s="12" t="s">
        <v>752</v>
      </c>
      <c r="E112" s="27"/>
      <c r="F112" s="21"/>
      <c r="G112" s="21"/>
      <c r="H112" s="21"/>
      <c r="I112" s="24" t="str">
        <f>IFERROR(__xludf.DUMMYFUNCTION("GOOGLETRANSLATE(B112, ""en"", ""zh"")"),"舵手示意最后冲刺。船员应该如何反应？")</f>
        <v>舵手示意最后冲刺。船员应该如何反应？</v>
      </c>
      <c r="J112" s="24" t="str">
        <f>IFERROR(__xludf.DUMMYFUNCTION("GOOGLETRANSLATE(C112, ""en"", ""zh"")"),"A) 以完美节奏冲刺 B) 随意划桨 C) 减速 D) 忽略")</f>
        <v>A) 以完美节奏冲刺 B) 随意划桨 C) 减速 D) 忽略</v>
      </c>
      <c r="K112" s="24" t="str">
        <f>IFERROR(__xludf.DUMMYFUNCTION("GOOGLETRANSLATE(D112, ""en"", ""zh"")"),"A) 以完美的节奏冲刺")</f>
        <v>A) 以完美的节奏冲刺</v>
      </c>
      <c r="L112" s="24" t="str">
        <f>IFERROR(__xludf.DUMMYFUNCTION("GOOGLETRANSLATE(E112, ""en"", ""zh"")"),"#VALUE!")</f>
        <v>#VALUE!</v>
      </c>
      <c r="M112" s="21"/>
      <c r="N112" s="21"/>
      <c r="O112" s="21"/>
      <c r="P112" s="21"/>
    </row>
    <row r="113">
      <c r="A113" s="17">
        <v>112.0</v>
      </c>
      <c r="B113" s="12" t="s">
        <v>753</v>
      </c>
      <c r="C113" s="12" t="s">
        <v>754</v>
      </c>
      <c r="D113" s="12" t="s">
        <v>755</v>
      </c>
      <c r="E113" s="27"/>
      <c r="F113" s="21"/>
      <c r="G113" s="21"/>
      <c r="H113" s="21"/>
      <c r="I113" s="24" t="str">
        <f>IFERROR(__xludf.DUMMYFUNCTION("GOOGLETRANSLATE(B113, ""en"", ""zh"")"),"对手封堵了球道，你注意到内侧有空档。接下来该怎么做？")</f>
        <v>对手封堵了球道，你注意到内侧有空档。接下来该怎么做？</v>
      </c>
      <c r="J113" s="24" t="str">
        <f>IFERROR(__xludf.DUMMYFUNCTION("GOOGLETRANSLATE(C113, ""en"", ""zh"")"),"A) 同步换道 B) 随机拨动踏板 C) 停止 D) 忽略")</f>
        <v>A) 同步换道 B) 随机拨动踏板 C) 停止 D) 忽略</v>
      </c>
      <c r="K113" s="24" t="str">
        <f>IFERROR(__xludf.DUMMYFUNCTION("GOOGLETRANSLATE(D113, ""en"", ""zh"")"),"A) 同步切换车道")</f>
        <v>A) 同步切换车道</v>
      </c>
      <c r="L113" s="24" t="str">
        <f>IFERROR(__xludf.DUMMYFUNCTION("GOOGLETRANSLATE(E113, ""en"", ""zh"")"),"#VALUE!")</f>
        <v>#VALUE!</v>
      </c>
      <c r="M113" s="21"/>
      <c r="N113" s="21"/>
      <c r="O113" s="21"/>
      <c r="P113" s="21"/>
    </row>
    <row r="114">
      <c r="A114" s="17">
        <v>113.0</v>
      </c>
      <c r="B114" s="12" t="s">
        <v>756</v>
      </c>
      <c r="C114" s="12" t="s">
        <v>757</v>
      </c>
      <c r="D114" s="12" t="s">
        <v>758</v>
      </c>
      <c r="E114" s="27"/>
      <c r="F114" s="21"/>
      <c r="G114" s="21"/>
      <c r="H114" s="21"/>
      <c r="I114" s="24" t="str">
        <f>IFERROR(__xludf.DUMMYFUNCTION("GOOGLETRANSLATE(B114, ""en"", ""zh"")"),"比赛中途士气低落，如何提振士气？")</f>
        <v>比赛中途士气低落，如何提振士气？</v>
      </c>
      <c r="J114" s="24" t="str">
        <f>IFERROR(__xludf.DUMMYFUNCTION("GOOGLETRANSLATE(C114, ""en"", ""zh"")"),"A) 鼓励团队并保持节奏 B) 个人加快划桨速度 C) 忽略 D) 停止")</f>
        <v>A) 鼓励团队并保持节奏 B) 个人加快划桨速度 C) 忽略 D) 停止</v>
      </c>
      <c r="K114" s="24" t="str">
        <f>IFERROR(__xludf.DUMMYFUNCTION("GOOGLETRANSLATE(D114, ""en"", ""zh"")"),"A) 鼓励团队并保持节奏")</f>
        <v>A) 鼓励团队并保持节奏</v>
      </c>
      <c r="L114" s="24" t="str">
        <f>IFERROR(__xludf.DUMMYFUNCTION("GOOGLETRANSLATE(E114, ""en"", ""zh"")"),"#VALUE!")</f>
        <v>#VALUE!</v>
      </c>
      <c r="M114" s="21"/>
      <c r="N114" s="21"/>
      <c r="O114" s="21"/>
      <c r="P114" s="21"/>
    </row>
    <row r="115">
      <c r="A115" s="17">
        <v>114.0</v>
      </c>
      <c r="B115" s="12" t="s">
        <v>759</v>
      </c>
      <c r="C115" s="12" t="s">
        <v>760</v>
      </c>
      <c r="D115" s="12" t="s">
        <v>761</v>
      </c>
      <c r="E115" s="27"/>
      <c r="F115" s="21"/>
      <c r="G115" s="21"/>
      <c r="H115" s="21"/>
      <c r="I115" s="24" t="str">
        <f>IFERROR(__xludf.DUMMYFUNCTION("GOOGLETRANSLATE(B115, ""en"", ""zh"")"),"最后100米，对手紧追不舍。你的策略是什么？")</f>
        <v>最后100米，对手紧追不舍。你的策略是什么？</v>
      </c>
      <c r="J115" s="24" t="str">
        <f>IFERROR(__xludf.DUMMYFUNCTION("GOOGLETRANSLATE(C115, ""en"", ""zh"")"),"A) 全力冲刺 B) 随机划桨 C) 停止 D) 忽略")</f>
        <v>A) 全力冲刺 B) 随机划桨 C) 停止 D) 忽略</v>
      </c>
      <c r="K115" s="24" t="str">
        <f>IFERROR(__xludf.DUMMYFUNCTION("GOOGLETRANSLATE(D115, ""en"", ""zh"")"),"A) 最大协调冲刺")</f>
        <v>A) 最大协调冲刺</v>
      </c>
      <c r="L115" s="24" t="str">
        <f>IFERROR(__xludf.DUMMYFUNCTION("GOOGLETRANSLATE(E115, ""en"", ""zh"")"),"#VALUE!")</f>
        <v>#VALUE!</v>
      </c>
      <c r="M115" s="21"/>
      <c r="N115" s="21"/>
      <c r="O115" s="21"/>
      <c r="P115" s="21"/>
    </row>
    <row r="116">
      <c r="A116" s="17">
        <v>115.0</v>
      </c>
      <c r="B116" s="12" t="s">
        <v>762</v>
      </c>
      <c r="C116" s="12" t="s">
        <v>763</v>
      </c>
      <c r="D116" s="12" t="s">
        <v>764</v>
      </c>
      <c r="E116" s="27"/>
      <c r="F116" s="21"/>
      <c r="G116" s="21"/>
      <c r="H116" s="21"/>
      <c r="I116" s="24" t="str">
        <f>IFERROR(__xludf.DUMMYFUNCTION("GOOGLETRANSLATE(B116, ""en"", ""zh"")"),"比赛进行到一半时，船的一侧遇到的波浪更多。你会如何应对？")</f>
        <v>比赛进行到一半时，船的一侧遇到的波浪更多。你会如何应对？</v>
      </c>
      <c r="J116" s="24" t="str">
        <f>IFERROR(__xludf.DUMMYFUNCTION("GOOGLETRANSLATE(C116, ""en"", ""zh"")"),"A) 增加该侧的划桨力度 B) 随意划桨 C) 停止 D) 忽略")</f>
        <v>A) 增加该侧的划桨力度 B) 随意划桨 C) 停止 D) 忽略</v>
      </c>
      <c r="K116" s="24" t="str">
        <f>IFERROR(__xludf.DUMMYFUNCTION("GOOGLETRANSLATE(D116, ""en"", ""zh"")"),"A) 增加该侧的划水力量")</f>
        <v>A) 增加该侧的划水力量</v>
      </c>
      <c r="L116" s="24" t="str">
        <f>IFERROR(__xludf.DUMMYFUNCTION("GOOGLETRANSLATE(E116, ""en"", ""zh"")"),"#VALUE!")</f>
        <v>#VALUE!</v>
      </c>
      <c r="M116" s="21"/>
      <c r="N116" s="21"/>
      <c r="O116" s="21"/>
      <c r="P116" s="21"/>
    </row>
    <row r="117">
      <c r="A117" s="17">
        <v>116.0</v>
      </c>
      <c r="B117" s="12" t="s">
        <v>765</v>
      </c>
      <c r="C117" s="12" t="s">
        <v>766</v>
      </c>
      <c r="D117" s="12" t="s">
        <v>767</v>
      </c>
      <c r="E117" s="27"/>
      <c r="F117" s="21"/>
      <c r="G117" s="21"/>
      <c r="H117" s="21"/>
      <c r="I117" s="24" t="str">
        <f>IFERROR(__xludf.DUMMYFUNCTION("GOOGLETRANSLATE(B117, ""en"", ""zh"")"),"你发现你的球队击球节奏不同步了。你应该怎么做？")</f>
        <v>你发现你的球队击球节奏不同步了。你应该怎么做？</v>
      </c>
      <c r="J117" s="24" t="str">
        <f>IFERROR(__xludf.DUMMYFUNCTION("GOOGLETRANSLATE(C117, ""en"", ""zh"")"),"A) 专注于跟上鼓点节奏 B) 单独加快划桨速度 C) 忽略 D) 停止")</f>
        <v>A) 专注于跟上鼓点节奏 B) 单独加快划桨速度 C) 忽略 D) 停止</v>
      </c>
      <c r="K117" s="24" t="str">
        <f>IFERROR(__xludf.DUMMYFUNCTION("GOOGLETRANSLATE(D117, ""en"", ""zh"")"),"A) 专注于跟上鼓点节奏")</f>
        <v>A) 专注于跟上鼓点节奏</v>
      </c>
      <c r="L117" s="24" t="str">
        <f>IFERROR(__xludf.DUMMYFUNCTION("GOOGLETRANSLATE(E117, ""en"", ""zh"")"),"#VALUE!")</f>
        <v>#VALUE!</v>
      </c>
      <c r="M117" s="21"/>
      <c r="N117" s="21"/>
      <c r="O117" s="21"/>
      <c r="P117" s="21"/>
    </row>
    <row r="118">
      <c r="A118" s="17">
        <v>117.0</v>
      </c>
      <c r="B118" s="12" t="s">
        <v>768</v>
      </c>
      <c r="C118" s="12" t="s">
        <v>769</v>
      </c>
      <c r="D118" s="12" t="s">
        <v>770</v>
      </c>
      <c r="E118" s="27"/>
      <c r="F118" s="21"/>
      <c r="G118" s="21"/>
      <c r="H118" s="21"/>
      <c r="I118" s="24" t="str">
        <f>IFERROR(__xludf.DUMMYFUNCTION("GOOGLETRANSLATE(B118, ""en"", ""zh"")"),"对手突然发力，你的队伍应该如何应对？")</f>
        <v>对手突然发力，你的队伍应该如何应对？</v>
      </c>
      <c r="J118" s="24" t="str">
        <f>IFERROR(__xludf.DUMMYFUNCTION("GOOGLETRANSLATE(C118, ""en"", ""zh"")"),"A) 提高划水频率并保持同步 B) 随意划水 C) 减慢速度 D) 忽略")</f>
        <v>A) 提高划水频率并保持同步 B) 随意划水 C) 减慢速度 D) 忽略</v>
      </c>
      <c r="K118" s="24" t="str">
        <f>IFERROR(__xludf.DUMMYFUNCTION("GOOGLETRANSLATE(D118, ""en"", ""zh"")"),"A) 在保持同步的情况下提高划水频率")</f>
        <v>A) 在保持同步的情况下提高划水频率</v>
      </c>
      <c r="L118" s="24" t="str">
        <f>IFERROR(__xludf.DUMMYFUNCTION("GOOGLETRANSLATE(E118, ""en"", ""zh"")"),"#VALUE!")</f>
        <v>#VALUE!</v>
      </c>
      <c r="M118" s="21"/>
      <c r="N118" s="21"/>
      <c r="O118" s="21"/>
      <c r="P118" s="21"/>
    </row>
    <row r="119">
      <c r="A119" s="17">
        <v>118.0</v>
      </c>
      <c r="B119" s="12" t="s">
        <v>771</v>
      </c>
      <c r="C119" s="12" t="s">
        <v>772</v>
      </c>
      <c r="D119" s="12" t="s">
        <v>710</v>
      </c>
      <c r="E119" s="27"/>
      <c r="F119" s="21"/>
      <c r="G119" s="21"/>
      <c r="H119" s="21"/>
      <c r="I119" s="24" t="str">
        <f>IFERROR(__xludf.DUMMYFUNCTION("GOOGLETRANSLATE(B119, ""en"", ""zh"")"),"水面波涛汹涌，如何保持航速？")</f>
        <v>水面波涛汹涌，如何保持航速？</v>
      </c>
      <c r="J119" s="24" t="str">
        <f>IFERROR(__xludf.DUMMYFUNCTION("GOOGLETRANSLATE(C119, ""en"", ""zh"")"),"A) 调整划桨技巧和时机 B) 随意划桨 C) 停止 D) 忽略")</f>
        <v>A) 调整划桨技巧和时机 B) 随意划桨 C) 停止 D) 忽略</v>
      </c>
      <c r="K119" s="24" t="str">
        <f>IFERROR(__xludf.DUMMYFUNCTION("GOOGLETRANSLATE(D119, ""en"", ""zh"")"),"A) 调整击球技巧和时机")</f>
        <v>A) 调整击球技巧和时机</v>
      </c>
      <c r="L119" s="24" t="str">
        <f>IFERROR(__xludf.DUMMYFUNCTION("GOOGLETRANSLATE(E119, ""en"", ""zh"")"),"#VALUE!")</f>
        <v>#VALUE!</v>
      </c>
      <c r="M119" s="21"/>
      <c r="N119" s="21"/>
      <c r="O119" s="21"/>
      <c r="P119" s="21"/>
    </row>
    <row r="120">
      <c r="A120" s="17">
        <v>119.0</v>
      </c>
      <c r="B120" s="12" t="s">
        <v>773</v>
      </c>
      <c r="C120" s="12" t="s">
        <v>774</v>
      </c>
      <c r="D120" s="12" t="s">
        <v>775</v>
      </c>
      <c r="E120" s="27"/>
      <c r="F120" s="21"/>
      <c r="G120" s="21"/>
      <c r="H120" s="21"/>
      <c r="I120" s="24" t="str">
        <f>IFERROR(__xludf.DUMMYFUNCTION("GOOGLETRANSLATE(B120, ""en"", ""zh"")"),"你起步落后。你最好的应对策略是什么？")</f>
        <v>你起步落后。你最好的应对策略是什么？</v>
      </c>
      <c r="J120" s="24" t="str">
        <f>IFERROR(__xludf.DUMMYFUNCTION("GOOGLETRANSLATE(C120, ""en"", ""zh"")"),"A) 通过同步划桨逐渐加速 B) 随意划桨 C) 停止 D) 忽略")</f>
        <v>A) 通过同步划桨逐渐加速 B) 随意划桨 C) 停止 D) 忽略</v>
      </c>
      <c r="K120" s="24" t="str">
        <f>IFERROR(__xludf.DUMMYFUNCTION("GOOGLETRANSLATE(D120, ""en"", ""zh"")"),"A）通过同步击球逐渐提高速度")</f>
        <v>A）通过同步击球逐渐提高速度</v>
      </c>
      <c r="L120" s="24" t="str">
        <f>IFERROR(__xludf.DUMMYFUNCTION("GOOGLETRANSLATE(E120, ""en"", ""zh"")"),"#VALUE!")</f>
        <v>#VALUE!</v>
      </c>
      <c r="M120" s="21"/>
      <c r="N120" s="21"/>
      <c r="O120" s="21"/>
      <c r="P120" s="21"/>
    </row>
    <row r="121">
      <c r="A121" s="17">
        <v>120.0</v>
      </c>
      <c r="B121" s="12" t="s">
        <v>776</v>
      </c>
      <c r="C121" s="12" t="s">
        <v>777</v>
      </c>
      <c r="D121" s="12" t="s">
        <v>778</v>
      </c>
      <c r="E121" s="27"/>
      <c r="F121" s="21"/>
      <c r="G121" s="21"/>
      <c r="H121" s="21"/>
      <c r="I121" s="24" t="str">
        <f>IFERROR(__xludf.DUMMYFUNCTION("GOOGLETRANSLATE(B121, ""en"", ""zh"")"),"比赛途中，鼓手示意队伍突然冲刺。队伍应该如何应对？")</f>
        <v>比赛途中，鼓手示意队伍突然冲刺。队伍应该如何应对？</v>
      </c>
      <c r="J121" s="24" t="str">
        <f>IFERROR(__xludf.DUMMYFUNCTION("GOOGLETRANSLATE(C121, ""en"", ""zh"")"),"A) 齐步冲刺 B) 无视 C) 轻划 D) 停止")</f>
        <v>A) 齐步冲刺 B) 无视 C) 轻划 D) 停止</v>
      </c>
      <c r="K121" s="24" t="str">
        <f>IFERROR(__xludf.DUMMYFUNCTION("GOOGLETRANSLATE(D121, ""en"", ""zh"")"),"A) 齐步冲刺")</f>
        <v>A) 齐步冲刺</v>
      </c>
      <c r="L121" s="24" t="str">
        <f>IFERROR(__xludf.DUMMYFUNCTION("GOOGLETRANSLATE(E121, ""en"", ""zh"")"),"#VALUE!")</f>
        <v>#VALUE!</v>
      </c>
      <c r="M121" s="21"/>
      <c r="N121" s="21"/>
      <c r="O121" s="21"/>
      <c r="P121" s="21"/>
    </row>
    <row r="122">
      <c r="A122" s="17">
        <v>121.0</v>
      </c>
      <c r="B122" s="12" t="s">
        <v>779</v>
      </c>
      <c r="C122" s="12" t="s">
        <v>721</v>
      </c>
      <c r="D122" s="12" t="s">
        <v>722</v>
      </c>
      <c r="E122" s="27"/>
      <c r="F122" s="21"/>
      <c r="G122" s="21"/>
      <c r="H122" s="21"/>
      <c r="I122" s="24" t="str">
        <f>IFERROR(__xludf.DUMMYFUNCTION("GOOGLETRANSLATE(B122, ""en"", ""zh"")"),"一名队友失去平衡，团队应该如何调整？")</f>
        <v>一名队友失去平衡，团队应该如何调整？</v>
      </c>
      <c r="J122" s="24" t="str">
        <f>IFERROR(__xludf.DUMMYFUNCTION("GOOGLETRANSLATE(C122, ""en"", ""zh"")"),"A) 保持稳定的划桨动作 B) 加快划桨速度 C) 忽略 D) 停止")</f>
        <v>A) 保持稳定的划桨动作 B) 加快划桨速度 C) 忽略 D) 停止</v>
      </c>
      <c r="K122" s="24" t="str">
        <f>IFERROR(__xludf.DUMMYFUNCTION("GOOGLETRANSLATE(D122, ""en"", ""zh"")"),"A) 保持稳定的划水动作")</f>
        <v>A) 保持稳定的划水动作</v>
      </c>
      <c r="L122" s="24" t="str">
        <f>IFERROR(__xludf.DUMMYFUNCTION("GOOGLETRANSLATE(E122, ""en"", ""zh"")"),"#VALUE!")</f>
        <v>#VALUE!</v>
      </c>
      <c r="M122" s="21"/>
      <c r="N122" s="21"/>
      <c r="O122" s="21"/>
      <c r="P122" s="21"/>
    </row>
    <row r="123">
      <c r="A123" s="17">
        <v>122.0</v>
      </c>
      <c r="B123" s="12" t="s">
        <v>780</v>
      </c>
      <c r="C123" s="12" t="s">
        <v>781</v>
      </c>
      <c r="D123" s="12" t="s">
        <v>782</v>
      </c>
      <c r="E123" s="27"/>
      <c r="F123" s="21"/>
      <c r="G123" s="21"/>
      <c r="H123" s="21"/>
      <c r="I123" s="24" t="str">
        <f>IFERROR(__xludf.DUMMYFUNCTION("GOOGLETRANSLATE(B123, ""en"", ""zh"")"),"对手封锁了你的内线。正确的战术是什么？")</f>
        <v>对手封锁了你的内线。正确的战术是什么？</v>
      </c>
      <c r="J123" s="24" t="str">
        <f>IFERROR(__xludf.DUMMYFUNCTION("GOOGLETRANSLATE(C123, ""en"", ""zh"")"),"A) 协调划桨变换泳道 B) 随机划桨 C) 停止 D) 无视")</f>
        <v>A) 协调划桨变换泳道 B) 随机划桨 C) 停止 D) 无视</v>
      </c>
      <c r="K123" s="24" t="str">
        <f>IFERROR(__xludf.DUMMYFUNCTION("GOOGLETRANSLATE(D123, ""en"", ""zh"")"),"A) 通过协调划桨变换车道")</f>
        <v>A) 通过协调划桨变换车道</v>
      </c>
      <c r="L123" s="24" t="str">
        <f>IFERROR(__xludf.DUMMYFUNCTION("GOOGLETRANSLATE(E123, ""en"", ""zh"")"),"#VALUE!")</f>
        <v>#VALUE!</v>
      </c>
      <c r="M123" s="21"/>
      <c r="N123" s="21"/>
      <c r="O123" s="21"/>
      <c r="P123" s="21"/>
    </row>
    <row r="124">
      <c r="A124" s="17">
        <v>123.0</v>
      </c>
      <c r="B124" s="12" t="s">
        <v>783</v>
      </c>
      <c r="C124" s="12" t="s">
        <v>784</v>
      </c>
      <c r="D124" s="12" t="s">
        <v>785</v>
      </c>
      <c r="E124" s="27"/>
      <c r="F124" s="21"/>
      <c r="G124" s="21"/>
      <c r="H124" s="21"/>
      <c r="I124" s="24" t="str">
        <f>IFERROR(__xludf.DUMMYFUNCTION("GOOGLETRANSLATE(B124, ""en"", ""zh"")"),"喷雾导致能见度降低。团队应该采取什么行动？")</f>
        <v>喷雾导致能见度降低。团队应该采取什么行动？</v>
      </c>
      <c r="J124" s="24" t="str">
        <f>IFERROR(__xludf.DUMMYFUNCTION("GOOGLETRANSLATE(C124, ""en"", ""zh"")"),"A) 听从舵手指示 B) 随意划桨 C) 停止 D) 无视")</f>
        <v>A) 听从舵手指示 B) 随意划桨 C) 停止 D) 无视</v>
      </c>
      <c r="K124" s="24" t="str">
        <f>IFERROR(__xludf.DUMMYFUNCTION("GOOGLETRANSLATE(D124, ""en"", ""zh"")"),"A) 听从舵手的指示")</f>
        <v>A) 听从舵手的指示</v>
      </c>
      <c r="L124" s="24" t="str">
        <f>IFERROR(__xludf.DUMMYFUNCTION("GOOGLETRANSLATE(E124, ""en"", ""zh"")"),"#VALUE!")</f>
        <v>#VALUE!</v>
      </c>
      <c r="M124" s="21"/>
      <c r="N124" s="21"/>
      <c r="O124" s="21"/>
      <c r="P124" s="21"/>
    </row>
    <row r="125">
      <c r="A125" s="17">
        <v>124.0</v>
      </c>
      <c r="B125" s="12" t="s">
        <v>786</v>
      </c>
      <c r="C125" s="12" t="s">
        <v>787</v>
      </c>
      <c r="D125" s="12" t="s">
        <v>788</v>
      </c>
      <c r="E125" s="27"/>
      <c r="F125" s="21"/>
      <c r="G125" s="21"/>
      <c r="H125" s="21"/>
      <c r="I125" s="24" t="str">
        <f>IFERROR(__xludf.DUMMYFUNCTION("GOOGLETRANSLATE(B125, ""en"", ""zh"")"),"水流比预想的要强。你的团队应该如何应对？")</f>
        <v>水流比预想的要强。你的团队应该如何应对？</v>
      </c>
      <c r="J125" s="24" t="str">
        <f>IFERROR(__xludf.DUMMYFUNCTION("GOOGLETRANSLATE(C125, ""en"", ""zh"")"),"A) 加大划水力度，保持动作同步 B) 轻划 C) 忽略 D) 停止")</f>
        <v>A) 加大划水力度，保持动作同步 B) 轻划 C) 忽略 D) 停止</v>
      </c>
      <c r="K125" s="24" t="str">
        <f>IFERROR(__xludf.DUMMYFUNCTION("GOOGLETRANSLATE(D125, ""en"", ""zh"")"),"A) 运用更有力、更协调的击打动作")</f>
        <v>A) 运用更有力、更协调的击打动作</v>
      </c>
      <c r="L125" s="24" t="str">
        <f>IFERROR(__xludf.DUMMYFUNCTION("GOOGLETRANSLATE(E125, ""en"", ""zh"")"),"#VALUE!")</f>
        <v>#VALUE!</v>
      </c>
      <c r="M125" s="21"/>
      <c r="N125" s="21"/>
      <c r="O125" s="21"/>
      <c r="P125" s="21"/>
    </row>
    <row r="126">
      <c r="A126" s="17">
        <v>125.0</v>
      </c>
      <c r="B126" s="12" t="s">
        <v>789</v>
      </c>
      <c r="C126" s="12" t="s">
        <v>790</v>
      </c>
      <c r="D126" s="12" t="s">
        <v>791</v>
      </c>
      <c r="E126" s="27"/>
      <c r="F126" s="21"/>
      <c r="G126" s="21"/>
      <c r="H126" s="21"/>
      <c r="I126" s="24" t="str">
        <f>IFERROR(__xludf.DUMMYFUNCTION("GOOGLETRANSLATE(B126, ""en"", ""zh"")"),"比赛进行到一半，队伍的一侧队员已经疲惫不堪。如何保持节奏？")</f>
        <v>比赛进行到一半，队伍的一侧队员已经疲惫不堪。如何保持节奏？</v>
      </c>
      <c r="J126" s="24" t="str">
        <f>IFERROR(__xludf.DUMMYFUNCTION("GOOGLETRANSLATE(C126, ""en"", ""zh"")"),"A) 调整功率分配 B) 随机拨动桨叶 C) 停止 D) 忽略")</f>
        <v>A) 调整功率分配 B) 随机拨动桨叶 C) 停止 D) 忽略</v>
      </c>
      <c r="K126" s="24" t="str">
        <f>IFERROR(__xludf.DUMMYFUNCTION("GOOGLETRANSLATE(D126, ""en"", ""zh"")"),"A) 调整功率分配")</f>
        <v>A) 调整功率分配</v>
      </c>
      <c r="L126" s="24" t="str">
        <f>IFERROR(__xludf.DUMMYFUNCTION("GOOGLETRANSLATE(E126, ""en"", ""zh"")"),"#VALUE!")</f>
        <v>#VALUE!</v>
      </c>
      <c r="M126" s="21"/>
      <c r="N126" s="21"/>
      <c r="O126" s="21"/>
      <c r="P126" s="21"/>
    </row>
    <row r="127">
      <c r="A127" s="17">
        <v>126.0</v>
      </c>
      <c r="B127" s="12" t="s">
        <v>792</v>
      </c>
      <c r="C127" s="12" t="s">
        <v>793</v>
      </c>
      <c r="D127" s="12" t="s">
        <v>794</v>
      </c>
      <c r="E127" s="27"/>
      <c r="F127" s="21"/>
      <c r="G127" s="21"/>
      <c r="H127" s="21"/>
      <c r="I127" s="24" t="str">
        <f>IFERROR(__xludf.DUMMYFUNCTION("GOOGLETRANSLATE(B127, ""en"", ""zh"")"),"船开始向左偏。如何纠正它？")</f>
        <v>船开始向左偏。如何纠正它？</v>
      </c>
      <c r="J127" s="24" t="str">
        <f>IFERROR(__xludf.DUMMYFUNCTION("GOOGLETRANSLATE(C127, ""en"", ""zh"")"),"A) 增加右侧桨的力度 B) 随意划桨 C) 停止 D) 忽略")</f>
        <v>A) 增加右侧桨的力度 B) 随意划桨 C) 停止 D) 忽略</v>
      </c>
      <c r="K127" s="24" t="str">
        <f>IFERROR(__xludf.DUMMYFUNCTION("GOOGLETRANSLATE(D127, ""en"", ""zh"")"),"A) 增加右侧桨的功率")</f>
        <v>A) 增加右侧桨的功率</v>
      </c>
      <c r="L127" s="24" t="str">
        <f>IFERROR(__xludf.DUMMYFUNCTION("GOOGLETRANSLATE(E127, ""en"", ""zh"")"),"#VALUE!")</f>
        <v>#VALUE!</v>
      </c>
      <c r="M127" s="21"/>
      <c r="N127" s="21"/>
      <c r="O127" s="21"/>
      <c r="P127" s="21"/>
    </row>
    <row r="128">
      <c r="A128" s="17">
        <v>127.0</v>
      </c>
      <c r="B128" s="12" t="s">
        <v>795</v>
      </c>
      <c r="C128" s="12" t="s">
        <v>796</v>
      </c>
      <c r="D128" s="12" t="s">
        <v>797</v>
      </c>
      <c r="E128" s="27"/>
      <c r="F128" s="21"/>
      <c r="G128" s="21"/>
      <c r="H128" s="21"/>
      <c r="I128" s="24" t="str">
        <f>IFERROR(__xludf.DUMMYFUNCTION("GOOGLETRANSLATE(B128, ""en"", ""zh"")"),"比赛中途团队士气低落。最佳解决方法是什么？")</f>
        <v>比赛中途团队士气低落。最佳解决方法是什么？</v>
      </c>
      <c r="J128" s="24" t="str">
        <f>IFERROR(__xludf.DUMMYFUNCTION("GOOGLETRANSLATE(C128, ""en"", ""zh"")"),"A) 鼓励队友并专注于节奏 B) 个人加快划桨速度 C) 忽略 D) 停止")</f>
        <v>A) 鼓励队友并专注于节奏 B) 个人加快划桨速度 C) 忽略 D) 停止</v>
      </c>
      <c r="K128" s="24" t="str">
        <f>IFERROR(__xludf.DUMMYFUNCTION("GOOGLETRANSLATE(D128, ""en"", ""zh"")"),"A) 鼓励队友并专注于节奏")</f>
        <v>A) 鼓励队友并专注于节奏</v>
      </c>
      <c r="L128" s="24" t="str">
        <f>IFERROR(__xludf.DUMMYFUNCTION("GOOGLETRANSLATE(E128, ""en"", ""zh"")"),"#VALUE!")</f>
        <v>#VALUE!</v>
      </c>
      <c r="M128" s="21"/>
      <c r="N128" s="21"/>
      <c r="O128" s="21"/>
      <c r="P128" s="21"/>
    </row>
    <row r="129">
      <c r="A129" s="17">
        <v>128.0</v>
      </c>
      <c r="B129" s="12" t="s">
        <v>798</v>
      </c>
      <c r="C129" s="12" t="s">
        <v>799</v>
      </c>
      <c r="D129" s="12" t="s">
        <v>656</v>
      </c>
      <c r="E129" s="27"/>
      <c r="F129" s="21"/>
      <c r="G129" s="21"/>
      <c r="H129" s="21"/>
      <c r="I129" s="24" t="str">
        <f>IFERROR(__xludf.DUMMYFUNCTION("GOOGLETRANSLATE(B129, ""en"", ""zh"")"),"你的队伍已经接近终点线，但略微落后。应该采取什么战术？")</f>
        <v>你的队伍已经接近终点线，但略微落后。应该采取什么战术？</v>
      </c>
      <c r="J129" s="24" t="str">
        <f>IFERROR(__xludf.DUMMYFUNCTION("GOOGLETRANSLATE(C129, ""en"", ""zh"")"),"A) 全神贯注地冲刺 B) 随意划桨 C) 停止 D) 忽略")</f>
        <v>A) 全神贯注地冲刺 B) 随意划桨 C) 停止 D) 忽略</v>
      </c>
      <c r="K129" s="24" t="str">
        <f>IFERROR(__xludf.DUMMYFUNCTION("GOOGLETRANSLATE(D129, ""en"", ""zh"")"),"A) 全程协调冲刺")</f>
        <v>A) 全程协调冲刺</v>
      </c>
      <c r="L129" s="24" t="str">
        <f>IFERROR(__xludf.DUMMYFUNCTION("GOOGLETRANSLATE(E129, ""en"", ""zh"")"),"#VALUE!")</f>
        <v>#VALUE!</v>
      </c>
      <c r="M129" s="21"/>
      <c r="N129" s="21"/>
      <c r="O129" s="21"/>
      <c r="P129" s="21"/>
    </row>
    <row r="130">
      <c r="A130" s="17">
        <v>129.0</v>
      </c>
      <c r="B130" s="12" t="s">
        <v>800</v>
      </c>
      <c r="C130" s="12" t="s">
        <v>801</v>
      </c>
      <c r="D130" s="12" t="s">
        <v>802</v>
      </c>
      <c r="E130" s="27"/>
      <c r="F130" s="21"/>
      <c r="G130" s="21"/>
      <c r="H130" s="21"/>
      <c r="I130" s="24" t="str">
        <f>IFERROR(__xludf.DUMMYFUNCTION("GOOGLETRANSLATE(B130, ""en"", ""zh"")"),"队友划水节奏不对，你会如何应对？")</f>
        <v>队友划水节奏不对，你会如何应对？</v>
      </c>
      <c r="J130" s="24" t="str">
        <f>IFERROR(__xludf.DUMMYFUNCTION("GOOGLETRANSLATE(C130, ""en"", ""zh"")"),"A) 与大多数人同步 B) 单独加快划桨速度 C) 忽略 D) 停止")</f>
        <v>A) 与大多数人同步 B) 单独加快划桨速度 C) 忽略 D) 停止</v>
      </c>
      <c r="K130" s="24" t="str">
        <f>IFERROR(__xludf.DUMMYFUNCTION("GOOGLETRANSLATE(D130, ""en"", ""zh"")"),"A) 与大多数人同步")</f>
        <v>A) 与大多数人同步</v>
      </c>
      <c r="L130" s="24" t="str">
        <f>IFERROR(__xludf.DUMMYFUNCTION("GOOGLETRANSLATE(E130, ""en"", ""zh"")"),"#VALUE!")</f>
        <v>#VALUE!</v>
      </c>
      <c r="M130" s="21"/>
      <c r="N130" s="21"/>
      <c r="O130" s="21"/>
      <c r="P130" s="21"/>
    </row>
    <row r="131">
      <c r="A131" s="17">
        <v>130.0</v>
      </c>
      <c r="B131" s="12" t="s">
        <v>803</v>
      </c>
      <c r="C131" s="12" t="s">
        <v>804</v>
      </c>
      <c r="D131" s="12" t="s">
        <v>683</v>
      </c>
      <c r="E131" s="27"/>
      <c r="F131" s="21"/>
      <c r="G131" s="21"/>
      <c r="H131" s="21"/>
      <c r="I131" s="24" t="str">
        <f>IFERROR(__xludf.DUMMYFUNCTION("GOOGLETRANSLATE(B131, ""en"", ""zh"")"),"对手挡住了你的去路。你的团队会作何反应？")</f>
        <v>对手挡住了你的去路。你的团队会作何反应？</v>
      </c>
      <c r="J131" s="24" t="str">
        <f>IFERROR(__xludf.DUMMYFUNCTION("GOOGLETRANSLATE(C131, ""en"", ""zh"")"),"A) 调整航向并保持划桨节奏 B) 随意划桨 C) 减速 D) 忽略")</f>
        <v>A) 调整航向并保持划桨节奏 B) 随意划桨 C) 减速 D) 忽略</v>
      </c>
      <c r="K131" s="24" t="str">
        <f>IFERROR(__xludf.DUMMYFUNCTION("GOOGLETRANSLATE(D131, ""en"", ""zh"")"),"A) 调整航向并保持划桨动作")</f>
        <v>A) 调整航向并保持划桨动作</v>
      </c>
      <c r="L131" s="24" t="str">
        <f>IFERROR(__xludf.DUMMYFUNCTION("GOOGLETRANSLATE(E131, ""en"", ""zh"")"),"#VALUE!")</f>
        <v>#VALUE!</v>
      </c>
      <c r="M131" s="21"/>
      <c r="N131" s="21"/>
      <c r="O131" s="21"/>
      <c r="P131" s="21"/>
    </row>
    <row r="132">
      <c r="A132" s="17">
        <v>131.0</v>
      </c>
      <c r="B132" s="12" t="s">
        <v>805</v>
      </c>
      <c r="C132" s="12" t="s">
        <v>806</v>
      </c>
      <c r="D132" s="12" t="s">
        <v>692</v>
      </c>
      <c r="E132" s="27"/>
      <c r="F132" s="21"/>
      <c r="G132" s="21"/>
      <c r="H132" s="21"/>
      <c r="I132" s="24" t="str">
        <f>IFERROR(__xludf.DUMMYFUNCTION("GOOGLETRANSLATE(B132, ""en"", ""zh"")"),"比赛进行到一半时，船开始轻微倾斜。应该怎么办？")</f>
        <v>比赛进行到一半时，船开始轻微倾斜。应该怎么办？</v>
      </c>
      <c r="J132" s="24" t="str">
        <f>IFERROR(__xludf.DUMMYFUNCTION("GOOGLETRANSLATE(C132, ""en"", ""zh"")"),"A) 保持划水平稳 B) 加快划水速度 C) 忽略 D) 停止")</f>
        <v>A) 保持划水平稳 B) 加快划水速度 C) 忽略 D) 停止</v>
      </c>
      <c r="K132" s="24" t="str">
        <f>IFERROR(__xludf.DUMMYFUNCTION("GOOGLETRANSLATE(D132, ""en"", ""zh"")"),"A）用均匀的划水动作保持稳定")</f>
        <v>A）用均匀的划水动作保持稳定</v>
      </c>
      <c r="L132" s="24" t="str">
        <f>IFERROR(__xludf.DUMMYFUNCTION("GOOGLETRANSLATE(E132, ""en"", ""zh"")"),"#VALUE!")</f>
        <v>#VALUE!</v>
      </c>
      <c r="M132" s="21"/>
      <c r="N132" s="21"/>
      <c r="O132" s="21"/>
      <c r="P132" s="21"/>
    </row>
    <row r="133">
      <c r="A133" s="17">
        <v>132.0</v>
      </c>
      <c r="B133" s="12" t="s">
        <v>807</v>
      </c>
      <c r="C133" s="12" t="s">
        <v>808</v>
      </c>
      <c r="D133" s="12" t="s">
        <v>809</v>
      </c>
      <c r="E133" s="27"/>
      <c r="F133" s="21"/>
      <c r="G133" s="21"/>
      <c r="H133" s="21"/>
      <c r="I133" s="24" t="str">
        <f>IFERROR(__xludf.DUMMYFUNCTION("GOOGLETRANSLATE(B133, ""en"", ""zh"")"),"水阻会增加。如何保持最佳速度？")</f>
        <v>水阻会增加。如何保持最佳速度？</v>
      </c>
      <c r="J133" s="24" t="str">
        <f>IFERROR(__xludf.DUMMYFUNCTION("GOOGLETRANSLATE(C133, ""en"", ""zh"")"),"A) 增加划桨力度并同步 B) 轻划 C) 忽略 D) 停止")</f>
        <v>A) 增加划桨力度并同步 B) 轻划 C) 忽略 D) 停止</v>
      </c>
      <c r="K133" s="24" t="str">
        <f>IFERROR(__xludf.DUMMYFUNCTION("GOOGLETRANSLATE(D133, ""en"", ""zh"")"),"A) 通过同步增加冲程功率")</f>
        <v>A) 通过同步增加冲程功率</v>
      </c>
      <c r="L133" s="24" t="str">
        <f>IFERROR(__xludf.DUMMYFUNCTION("GOOGLETRANSLATE(E133, ""en"", ""zh"")"),"#VALUE!")</f>
        <v>#VALUE!</v>
      </c>
      <c r="M133" s="21"/>
      <c r="N133" s="21"/>
      <c r="O133" s="21"/>
      <c r="P133" s="21"/>
    </row>
    <row r="134">
      <c r="A134" s="17">
        <v>133.0</v>
      </c>
      <c r="B134" s="12" t="s">
        <v>810</v>
      </c>
      <c r="C134" s="12" t="s">
        <v>811</v>
      </c>
      <c r="D134" s="12" t="s">
        <v>812</v>
      </c>
      <c r="E134" s="27"/>
      <c r="F134" s="21"/>
      <c r="G134" s="21"/>
      <c r="H134" s="21"/>
      <c r="I134" s="24" t="str">
        <f>IFERROR(__xludf.DUMMYFUNCTION("GOOGLETRANSLATE(B134, ""en"", ""zh"")"),"队友示意改变节奏。正确的反应是什么？")</f>
        <v>队友示意改变节奏。正确的反应是什么？</v>
      </c>
      <c r="J134" s="24" t="str">
        <f>IFERROR(__xludf.DUMMYFUNCTION("GOOGLETRANSLATE(C134, ""en"", ""zh"")"),"A) 按照节奏指示划桨 B) 随意划桨 C) 停止 D) 忽略")</f>
        <v>A) 按照节奏指示划桨 B) 随意划桨 C) 停止 D) 忽略</v>
      </c>
      <c r="K134" s="24" t="str">
        <f>IFERROR(__xludf.DUMMYFUNCTION("GOOGLETRANSLATE(D134, ""en"", ""zh"")"),"A) 遵循节奏指导")</f>
        <v>A) 遵循节奏指导</v>
      </c>
      <c r="L134" s="24" t="str">
        <f>IFERROR(__xludf.DUMMYFUNCTION("GOOGLETRANSLATE(E134, ""en"", ""zh"")"),"#VALUE!")</f>
        <v>#VALUE!</v>
      </c>
      <c r="M134" s="21"/>
      <c r="N134" s="21"/>
      <c r="O134" s="21"/>
      <c r="P134" s="21"/>
    </row>
    <row r="135">
      <c r="A135" s="17">
        <v>134.0</v>
      </c>
      <c r="B135" s="12" t="s">
        <v>813</v>
      </c>
      <c r="C135" s="12" t="s">
        <v>814</v>
      </c>
      <c r="D135" s="12" t="s">
        <v>815</v>
      </c>
      <c r="E135" s="27"/>
      <c r="F135" s="21"/>
      <c r="G135" s="21"/>
      <c r="H135" s="21"/>
      <c r="I135" s="24" t="str">
        <f>IFERROR(__xludf.DUMMYFUNCTION("GOOGLETRANSLATE(B135, ""en"", ""zh"")"),"最后200米，对手紧随其后。策略是什么？")</f>
        <v>最后200米，对手紧随其后。策略是什么？</v>
      </c>
      <c r="J135" s="24" t="str">
        <f>IFERROR(__xludf.DUMMYFUNCTION("GOOGLETRANSLATE(C135, ""en"", ""zh"")"),"A) 提高划水频率并充分协调 B) 随意划水 C) 减慢速度 D) 忽略")</f>
        <v>A) 提高划水频率并充分协调 B) 随意划水 C) 减慢速度 D) 忽略</v>
      </c>
      <c r="K135" s="24" t="str">
        <f>IFERROR(__xludf.DUMMYFUNCTION("GOOGLETRANSLATE(D135, ""en"", ""zh"")"),"A) 在完全协调的情况下提高划水频率")</f>
        <v>A) 在完全协调的情况下提高划水频率</v>
      </c>
      <c r="L135" s="24" t="str">
        <f>IFERROR(__xludf.DUMMYFUNCTION("GOOGLETRANSLATE(E135, ""en"", ""zh"")"),"#VALUE!")</f>
        <v>#VALUE!</v>
      </c>
      <c r="M135" s="21"/>
      <c r="N135" s="21"/>
      <c r="O135" s="21"/>
      <c r="P135" s="21"/>
    </row>
    <row r="136">
      <c r="A136" s="17">
        <v>135.0</v>
      </c>
      <c r="B136" s="12" t="s">
        <v>816</v>
      </c>
      <c r="C136" s="12" t="s">
        <v>817</v>
      </c>
      <c r="D136" s="12" t="s">
        <v>818</v>
      </c>
      <c r="E136" s="27"/>
      <c r="F136" s="21"/>
      <c r="G136" s="21"/>
      <c r="H136" s="21"/>
      <c r="I136" s="24" t="str">
        <f>IFERROR(__xludf.DUMMYFUNCTION("GOOGLETRANSLATE(B136, ""en"", ""zh"")"),"比赛进行到一半时，风力突然增大。你的团队应该如何调整？")</f>
        <v>比赛进行到一半时，风力突然增大。你的团队应该如何调整？</v>
      </c>
      <c r="J136" s="24" t="str">
        <f>IFERROR(__xludf.DUMMYFUNCTION("GOOGLETRANSLATE(C136, ""en"", ""zh"")"),"A) 使用更有力、更协调的划水动作 B) 轻划 C) 忽略 D) 停止")</f>
        <v>A) 使用更有力、更协调的划水动作 B) 轻划 C) 忽略 D) 停止</v>
      </c>
      <c r="K136" s="24" t="str">
        <f>IFERROR(__xludf.DUMMYFUNCTION("GOOGLETRANSLATE(D136, ""en"", ""zh"")"),"A) 使用更有力、更协调的笔画")</f>
        <v>A) 使用更有力、更协调的笔画</v>
      </c>
      <c r="L136" s="24" t="str">
        <f>IFERROR(__xludf.DUMMYFUNCTION("GOOGLETRANSLATE(E136, ""en"", ""zh"")"),"#VALUE!")</f>
        <v>#VALUE!</v>
      </c>
      <c r="M136" s="21"/>
      <c r="N136" s="21"/>
      <c r="O136" s="21"/>
      <c r="P136" s="21"/>
    </row>
    <row r="137">
      <c r="A137" s="18">
        <v>136.0</v>
      </c>
      <c r="B137" s="12" t="s">
        <v>819</v>
      </c>
      <c r="C137" s="12" t="s">
        <v>820</v>
      </c>
      <c r="D137" s="12" t="s">
        <v>821</v>
      </c>
      <c r="E137" s="27"/>
      <c r="F137" s="21"/>
      <c r="G137" s="21"/>
      <c r="H137" s="21"/>
      <c r="I137" s="24" t="str">
        <f>IFERROR(__xludf.DUMMYFUNCTION("GOOGLETRANSLATE(B137, ""en"", ""zh"")"),"对手在终点线附近封锁了内侧车道。如何应对？")</f>
        <v>对手在终点线附近封锁了内侧车道。如何应对？</v>
      </c>
      <c r="J137" s="24" t="str">
        <f>IFERROR(__xludf.DUMMYFUNCTION("GOOGLETRANSLATE(C137, ""en"", ""zh"")"),"A) 同步划桨换道 B) 随机划桨 C) 停止 D) 忽略")</f>
        <v>A) 同步划桨换道 B) 随机划桨 C) 停止 D) 忽略</v>
      </c>
      <c r="K137" s="24" t="str">
        <f>IFERROR(__xludf.DUMMYFUNCTION("GOOGLETRANSLATE(D137, ""en"", ""zh"")"),"A) 同步划桨换道")</f>
        <v>A) 同步划桨换道</v>
      </c>
      <c r="L137" s="24" t="str">
        <f>IFERROR(__xludf.DUMMYFUNCTION("GOOGLETRANSLATE(E137, ""en"", ""zh"")"),"#VALUE!")</f>
        <v>#VALUE!</v>
      </c>
      <c r="M137" s="21"/>
      <c r="N137" s="21"/>
      <c r="O137" s="21"/>
      <c r="P137" s="21"/>
    </row>
    <row r="138">
      <c r="A138" s="18">
        <v>137.0</v>
      </c>
      <c r="B138" s="12" t="s">
        <v>822</v>
      </c>
      <c r="C138" s="12" t="s">
        <v>823</v>
      </c>
      <c r="D138" s="12" t="s">
        <v>824</v>
      </c>
      <c r="E138" s="27"/>
      <c r="F138" s="21"/>
      <c r="G138" s="21"/>
      <c r="H138" s="21"/>
      <c r="I138" s="24" t="str">
        <f>IFERROR(__xludf.DUMMYFUNCTION("GOOGLETRANSLATE(B138, ""en"", ""zh"")"),"船的一侧吃水较深，该如何解决？")</f>
        <v>船的一侧吃水较深，该如何解决？</v>
      </c>
      <c r="J138" s="24" t="str">
        <f>IFERROR(__xludf.DUMMYFUNCTION("GOOGLETRANSLATE(C138, ""en"", ""zh"")"),"A) 调整划桨力度和时机 B) 随意划桨 C) 停止 D) 忽略")</f>
        <v>A) 调整划桨力度和时机 B) 随意划桨 C) 停止 D) 忽略</v>
      </c>
      <c r="K138" s="24" t="str">
        <f>IFERROR(__xludf.DUMMYFUNCTION("GOOGLETRANSLATE(D138, ""en"", ""zh"")"),"A) 调整冲程动力和正时")</f>
        <v>A) 调整冲程动力和正时</v>
      </c>
      <c r="L138" s="24" t="str">
        <f>IFERROR(__xludf.DUMMYFUNCTION("GOOGLETRANSLATE(E138, ""en"", ""zh"")"),"#VALUE!")</f>
        <v>#VALUE!</v>
      </c>
      <c r="M138" s="21"/>
      <c r="N138" s="21"/>
      <c r="O138" s="21"/>
      <c r="P138" s="21"/>
    </row>
    <row r="139">
      <c r="A139" s="18">
        <v>138.0</v>
      </c>
      <c r="B139" s="12" t="s">
        <v>825</v>
      </c>
      <c r="C139" s="12" t="s">
        <v>826</v>
      </c>
      <c r="D139" s="12" t="s">
        <v>671</v>
      </c>
      <c r="E139" s="27"/>
      <c r="F139" s="21"/>
      <c r="G139" s="21"/>
      <c r="H139" s="21"/>
      <c r="I139" s="24" t="str">
        <f>IFERROR(__xludf.DUMMYFUNCTION("GOOGLETRANSLATE(B139, ""en"", ""zh"")"),"你注意到划桨动作存在偏差。球队应该怎么做？")</f>
        <v>你注意到划桨动作存在偏差。球队应该怎么做？</v>
      </c>
      <c r="J139" s="24" t="str">
        <f>IFERROR(__xludf.DUMMYFUNCTION("GOOGLETRANSLATE(C139, ""en"", ""zh"")"),"A) 恢复同步 B) 单独加快划桨速度 C) 忽略 D) 停止")</f>
        <v>A) 恢复同步 B) 单独加快划桨速度 C) 忽略 D) 停止</v>
      </c>
      <c r="K139" s="24" t="str">
        <f>IFERROR(__xludf.DUMMYFUNCTION("GOOGLETRANSLATE(D139, ""en"", ""zh"")"),"A) 恢复同步")</f>
        <v>A) 恢复同步</v>
      </c>
      <c r="L139" s="24" t="str">
        <f>IFERROR(__xludf.DUMMYFUNCTION("GOOGLETRANSLATE(E139, ""en"", ""zh"")"),"#VALUE!")</f>
        <v>#VALUE!</v>
      </c>
      <c r="M139" s="21"/>
      <c r="N139" s="21"/>
      <c r="O139" s="21"/>
      <c r="P139" s="21"/>
    </row>
    <row r="140">
      <c r="A140" s="18">
        <v>139.0</v>
      </c>
      <c r="B140" s="12" t="s">
        <v>827</v>
      </c>
      <c r="C140" s="12" t="s">
        <v>828</v>
      </c>
      <c r="D140" s="12" t="s">
        <v>829</v>
      </c>
      <c r="E140" s="27"/>
      <c r="F140" s="21"/>
      <c r="G140" s="21"/>
      <c r="H140" s="21"/>
      <c r="I140" s="24" t="str">
        <f>IFERROR(__xludf.DUMMYFUNCTION("GOOGLETRANSLATE(B140, ""en"", ""zh"")"),"舵手示意临近终点时突然冲刺。该如何应对？")</f>
        <v>舵手示意临近终点时突然冲刺。该如何应对？</v>
      </c>
      <c r="J140" s="24" t="str">
        <f>IFERROR(__xludf.DUMMYFUNCTION("GOOGLETRANSLATE(C140, ""en"", ""zh"")"),"A) 完美协调地冲刺 B) 随意划桨 C) 减速 D) 忽略")</f>
        <v>A) 完美协调地冲刺 B) 随意划桨 C) 减速 D) 忽略</v>
      </c>
      <c r="K140" s="24" t="str">
        <f>IFERROR(__xludf.DUMMYFUNCTION("GOOGLETRANSLATE(D140, ""en"", ""zh"")"),"A) 完美协调地冲刺")</f>
        <v>A) 完美协调地冲刺</v>
      </c>
      <c r="L140" s="24" t="str">
        <f>IFERROR(__xludf.DUMMYFUNCTION("GOOGLETRANSLATE(E140, ""en"", ""zh"")"),"#VALUE!")</f>
        <v>#VALUE!</v>
      </c>
      <c r="M140" s="21"/>
      <c r="N140" s="21"/>
      <c r="O140" s="21"/>
      <c r="P140" s="21"/>
    </row>
    <row r="141">
      <c r="A141" s="18">
        <v>140.0</v>
      </c>
      <c r="B141" s="12" t="s">
        <v>830</v>
      </c>
      <c r="C141" s="12" t="s">
        <v>831</v>
      </c>
      <c r="D141" s="12" t="s">
        <v>832</v>
      </c>
      <c r="E141" s="27"/>
      <c r="F141" s="21"/>
      <c r="G141" s="21"/>
      <c r="H141" s="21"/>
      <c r="I141" s="24" t="str">
        <f>IFERROR(__xludf.DUMMYFUNCTION("GOOGLETRANSLATE(B141, ""en"", ""zh"")"),"比赛中途队伍开始失去节奏，应该采取什么纠正措施？")</f>
        <v>比赛中途队伍开始失去节奏，应该采取什么纠正措施？</v>
      </c>
      <c r="J141" s="24" t="str">
        <f>IFERROR(__xludf.DUMMYFUNCTION("GOOGLETRANSLATE(C141, ""en"", ""zh"")"),"A) 调整划水节奏以适应主节奏 B) 单独加快划水速度 C) 忽略 D) 停止")</f>
        <v>A) 调整划水节奏以适应主节奏 B) 单独加快划水速度 C) 忽略 D) 停止</v>
      </c>
      <c r="K141" s="24" t="str">
        <f>IFERROR(__xludf.DUMMYFUNCTION("GOOGLETRANSLATE(D141, ""en"", ""zh"")"),"A) 将笔画重新调整到与主节奏一致")</f>
        <v>A) 将笔画重新调整到与主节奏一致</v>
      </c>
      <c r="L141" s="24" t="str">
        <f>IFERROR(__xludf.DUMMYFUNCTION("GOOGLETRANSLATE(E141, ""en"", ""zh"")"),"#VALUE!")</f>
        <v>#VALUE!</v>
      </c>
      <c r="M141" s="21"/>
      <c r="N141" s="21"/>
      <c r="O141" s="21"/>
      <c r="P141" s="21"/>
    </row>
    <row r="142">
      <c r="A142" s="18">
        <v>141.0</v>
      </c>
      <c r="B142" s="12" t="s">
        <v>833</v>
      </c>
      <c r="C142" s="12" t="s">
        <v>834</v>
      </c>
      <c r="D142" s="12" t="s">
        <v>835</v>
      </c>
      <c r="E142" s="27"/>
      <c r="F142" s="21"/>
      <c r="G142" s="21"/>
      <c r="H142" s="21"/>
      <c r="I142" s="24" t="str">
        <f>IFERROR(__xludf.DUMMYFUNCTION("GOOGLETRANSLATE(B142, ""en"", ""zh"")"),"水花飞溅不均匀，会产生阻力。你应该如何应对？")</f>
        <v>水花飞溅不均匀，会产生阻力。你应该如何应对？</v>
      </c>
      <c r="J142" s="24" t="str">
        <f>IFERROR(__xludf.DUMMYFUNCTION("GOOGLETRANSLATE(C142, ""en"", ""zh"")"),"A) 调整技术和划桨时机 B) 随意划桨 C) 忽略 D) 停止")</f>
        <v>A) 调整技术和划桨时机 B) 随意划桨 C) 忽略 D) 停止</v>
      </c>
      <c r="K142" s="24" t="str">
        <f>IFERROR(__xludf.DUMMYFUNCTION("GOOGLETRANSLATE(D142, ""en"", ""zh"")"),"A) 调整技术和划桨时机")</f>
        <v>A) 调整技术和划桨时机</v>
      </c>
      <c r="L142" s="24" t="str">
        <f>IFERROR(__xludf.DUMMYFUNCTION("GOOGLETRANSLATE(E142, ""en"", ""zh"")"),"#VALUE!")</f>
        <v>#VALUE!</v>
      </c>
      <c r="M142" s="21"/>
      <c r="N142" s="21"/>
      <c r="O142" s="21"/>
      <c r="P142" s="21"/>
    </row>
    <row r="143">
      <c r="A143" s="18">
        <v>142.0</v>
      </c>
      <c r="B143" s="12" t="s">
        <v>836</v>
      </c>
      <c r="C143" s="12" t="s">
        <v>837</v>
      </c>
      <c r="D143" s="12" t="s">
        <v>838</v>
      </c>
      <c r="E143" s="27"/>
      <c r="F143" s="21"/>
      <c r="G143" s="21"/>
      <c r="H143" s="21"/>
      <c r="I143" s="24" t="str">
        <f>IFERROR(__xludf.DUMMYFUNCTION("GOOGLETRANSLATE(B143, ""en"", ""zh"")"),"比赛进行到一半时，一名队友跟不上节奏。队友会如何应对？")</f>
        <v>比赛进行到一半时，一名队友跟不上节奏。队友会如何应对？</v>
      </c>
      <c r="J143" s="24" t="str">
        <f>IFERROR(__xludf.DUMMYFUNCTION("GOOGLETRANSLATE(C143, ""en"", ""zh"")"),"A) 鼓励并调整节奏 B) 单独加快划桨速度 C) 忽略 D) 停止")</f>
        <v>A) 鼓励并调整节奏 B) 单独加快划桨速度 C) 忽略 D) 停止</v>
      </c>
      <c r="K143" s="24" t="str">
        <f>IFERROR(__xludf.DUMMYFUNCTION("GOOGLETRANSLATE(D143, ""en"", ""zh"")"),"A) 鼓励和调整节奏")</f>
        <v>A) 鼓励和调整节奏</v>
      </c>
      <c r="L143" s="24" t="str">
        <f>IFERROR(__xludf.DUMMYFUNCTION("GOOGLETRANSLATE(E143, ""en"", ""zh"")"),"#VALUE!")</f>
        <v>#VALUE!</v>
      </c>
      <c r="M143" s="21"/>
      <c r="N143" s="21"/>
      <c r="O143" s="21"/>
      <c r="P143" s="21"/>
    </row>
    <row r="144">
      <c r="A144" s="18">
        <v>143.0</v>
      </c>
      <c r="B144" s="12" t="s">
        <v>839</v>
      </c>
      <c r="C144" s="12" t="s">
        <v>840</v>
      </c>
      <c r="D144" s="12" t="s">
        <v>841</v>
      </c>
      <c r="E144" s="27"/>
      <c r="F144" s="21"/>
      <c r="G144" s="21"/>
      <c r="H144" s="21"/>
      <c r="I144" s="24" t="str">
        <f>IFERROR(__xludf.DUMMYFUNCTION("GOOGLETRANSLATE(B144, ""en"", ""zh"")"),"对手突然发起冲刺。正确的策略是什么？")</f>
        <v>对手突然发起冲刺。正确的策略是什么？</v>
      </c>
      <c r="J144" s="24" t="str">
        <f>IFERROR(__xludf.DUMMYFUNCTION("GOOGLETRANSLATE(C144, ""en"", ""zh"")"),"A) 完全同步划桨 B) 随意划桨 C) 停止 D) 忽略")</f>
        <v>A) 完全同步划桨 B) 随意划桨 C) 停止 D) 忽略</v>
      </c>
      <c r="K144" s="24" t="str">
        <f>IFERROR(__xludf.DUMMYFUNCTION("GOOGLETRANSLATE(D144, ""en"", ""zh"")"),"A) 比赛节奏完全同步")</f>
        <v>A) 比赛节奏完全同步</v>
      </c>
      <c r="L144" s="24" t="str">
        <f>IFERROR(__xludf.DUMMYFUNCTION("GOOGLETRANSLATE(E144, ""en"", ""zh"")"),"#VALUE!")</f>
        <v>#VALUE!</v>
      </c>
      <c r="M144" s="21"/>
      <c r="N144" s="21"/>
      <c r="O144" s="21"/>
      <c r="P144" s="21"/>
    </row>
    <row r="145">
      <c r="A145" s="18">
        <v>144.0</v>
      </c>
      <c r="B145" s="12" t="s">
        <v>842</v>
      </c>
      <c r="C145" s="12" t="s">
        <v>843</v>
      </c>
      <c r="D145" s="12" t="s">
        <v>844</v>
      </c>
      <c r="E145" s="27"/>
      <c r="F145" s="21"/>
      <c r="G145" s="21"/>
      <c r="H145" s="21"/>
      <c r="I145" s="24" t="str">
        <f>IFERROR(__xludf.DUMMYFUNCTION("GOOGLETRANSLATE(B145, ""en"", ""zh"")"),"球队与对手势均力敌，如何才能取得优势？")</f>
        <v>球队与对手势均力敌，如何才能取得优势？</v>
      </c>
      <c r="J145" s="24" t="str">
        <f>IFERROR(__xludf.DUMMYFUNCTION("GOOGLETRANSLATE(C145, ""en"", ""zh"")"),"A) 协调冲刺 B) 随意划桨 C) 减速 D) 忽略")</f>
        <v>A) 协调冲刺 B) 随意划桨 C) 减速 D) 忽略</v>
      </c>
      <c r="K145" s="24" t="str">
        <f>IFERROR(__xludf.DUMMYFUNCTION("GOOGLETRANSLATE(D145, ""en"", ""zh"")"),"A) 协调冲刺")</f>
        <v>A) 协调冲刺</v>
      </c>
      <c r="L145" s="24" t="str">
        <f>IFERROR(__xludf.DUMMYFUNCTION("GOOGLETRANSLATE(E145, ""en"", ""zh"")"),"#VALUE!")</f>
        <v>#VALUE!</v>
      </c>
      <c r="M145" s="21"/>
      <c r="N145" s="21"/>
      <c r="O145" s="21"/>
      <c r="P145" s="21"/>
    </row>
    <row r="146">
      <c r="A146" s="18">
        <v>145.0</v>
      </c>
      <c r="B146" s="12" t="s">
        <v>845</v>
      </c>
      <c r="C146" s="12" t="s">
        <v>846</v>
      </c>
      <c r="D146" s="12" t="s">
        <v>847</v>
      </c>
      <c r="E146" s="27"/>
      <c r="F146" s="21"/>
      <c r="G146" s="21"/>
      <c r="H146" s="21"/>
      <c r="I146" s="24" t="str">
        <f>IFERROR(__xludf.DUMMYFUNCTION("GOOGLETRANSLATE(B146, ""en"", ""zh"")"),"船体因波浪起伏而开始倾斜。如何保持船体稳定？")</f>
        <v>船体因波浪起伏而开始倾斜。如何保持船体稳定？</v>
      </c>
      <c r="J146" s="24" t="str">
        <f>IFERROR(__xludf.DUMMYFUNCTION("GOOGLETRANSLATE(C146, ""en"", ""zh"")"),"A) 平衡划桨动作并调整力度 B) 轻划 C) 忽略 D) 停止")</f>
        <v>A) 平衡划桨动作并调整力度 B) 轻划 C) 忽略 D) 停止</v>
      </c>
      <c r="K146" s="24" t="str">
        <f>IFERROR(__xludf.DUMMYFUNCTION("GOOGLETRANSLATE(D146, ""en"", ""zh"")"),"A) 平衡划水并调整力度")</f>
        <v>A) 平衡划水并调整力度</v>
      </c>
      <c r="L146" s="24" t="str">
        <f>IFERROR(__xludf.DUMMYFUNCTION("GOOGLETRANSLATE(E146, ""en"", ""zh"")"),"#VALUE!")</f>
        <v>#VALUE!</v>
      </c>
      <c r="M146" s="21"/>
      <c r="N146" s="21"/>
      <c r="O146" s="21"/>
      <c r="P146" s="21"/>
    </row>
    <row r="147">
      <c r="A147" s="18">
        <v>146.0</v>
      </c>
      <c r="B147" s="12" t="s">
        <v>848</v>
      </c>
      <c r="C147" s="12" t="s">
        <v>849</v>
      </c>
      <c r="D147" s="12" t="s">
        <v>850</v>
      </c>
      <c r="E147" s="27"/>
      <c r="F147" s="21"/>
      <c r="G147" s="21"/>
      <c r="H147" s="21"/>
      <c r="I147" s="24" t="str">
        <f>IFERROR(__xludf.DUMMYFUNCTION("GOOGLETRANSLATE(B147, ""en"", ""zh"")"),"最后阶段，对手非常接近。球队会采取什么战术？")</f>
        <v>最后阶段，对手非常接近。球队会采取什么战术？</v>
      </c>
      <c r="J147" s="24" t="str">
        <f>IFERROR(__xludf.DUMMYFUNCTION("GOOGLETRANSLATE(C147, ""en"", ""zh"")"),"A) 全力冲刺并保持完美节奏 B) 随意划桨 C) 减速 D) 忽略")</f>
        <v>A) 全力冲刺并保持完美节奏 B) 随意划桨 C) 减速 D) 忽略</v>
      </c>
      <c r="K147" s="24" t="str">
        <f>IFERROR(__xludf.DUMMYFUNCTION("GOOGLETRANSLATE(D147, ""en"", ""zh"")"),"A) 以完美节奏全力冲刺")</f>
        <v>A) 以完美节奏全力冲刺</v>
      </c>
      <c r="L147" s="24" t="str">
        <f>IFERROR(__xludf.DUMMYFUNCTION("GOOGLETRANSLATE(E147, ""en"", ""zh"")"),"#VALUE!")</f>
        <v>#VALUE!</v>
      </c>
      <c r="M147" s="21"/>
      <c r="N147" s="21"/>
      <c r="O147" s="21"/>
      <c r="P147" s="21"/>
    </row>
    <row r="148">
      <c r="A148" s="28"/>
      <c r="B148" s="21"/>
      <c r="C148" s="21"/>
      <c r="D148" s="21"/>
      <c r="E148" s="21"/>
      <c r="F148" s="21"/>
      <c r="G148" s="21"/>
      <c r="H148" s="21"/>
      <c r="I148" s="21"/>
      <c r="J148" s="21"/>
      <c r="K148" s="21"/>
      <c r="L148" s="21"/>
      <c r="M148" s="21"/>
      <c r="N148" s="21"/>
      <c r="O148" s="21"/>
      <c r="P148" s="21"/>
    </row>
    <row r="149">
      <c r="A149" s="28"/>
      <c r="B149" s="21"/>
      <c r="C149" s="21"/>
      <c r="D149" s="21"/>
      <c r="E149" s="21"/>
      <c r="F149" s="21"/>
      <c r="G149" s="21"/>
      <c r="H149" s="21"/>
      <c r="I149" s="21"/>
      <c r="J149" s="21"/>
      <c r="K149" s="21"/>
      <c r="L149" s="21"/>
      <c r="M149" s="21"/>
      <c r="N149" s="21"/>
      <c r="O149" s="21"/>
      <c r="P149" s="21"/>
    </row>
    <row r="150">
      <c r="A150" s="28"/>
      <c r="B150" s="21"/>
      <c r="C150" s="21"/>
      <c r="D150" s="21"/>
      <c r="E150" s="21"/>
      <c r="F150" s="21"/>
      <c r="G150" s="21"/>
      <c r="H150" s="21"/>
      <c r="I150" s="21"/>
      <c r="J150" s="21"/>
      <c r="K150" s="21"/>
      <c r="L150" s="21"/>
      <c r="M150" s="21"/>
      <c r="N150" s="21"/>
      <c r="O150" s="21"/>
      <c r="P150" s="21"/>
    </row>
    <row r="151">
      <c r="A151" s="28"/>
      <c r="B151" s="21"/>
      <c r="C151" s="21"/>
      <c r="D151" s="21"/>
      <c r="E151" s="21"/>
      <c r="F151" s="21"/>
      <c r="G151" s="21"/>
      <c r="H151" s="21"/>
      <c r="I151" s="21"/>
      <c r="J151" s="21"/>
      <c r="K151" s="21"/>
      <c r="L151" s="21"/>
      <c r="M151" s="21"/>
      <c r="N151" s="21"/>
      <c r="O151" s="21"/>
      <c r="P151" s="21"/>
    </row>
    <row r="152">
      <c r="A152" s="21"/>
      <c r="B152" s="21"/>
      <c r="C152" s="21"/>
      <c r="D152" s="21"/>
      <c r="E152" s="21"/>
      <c r="F152" s="21"/>
      <c r="G152" s="21"/>
      <c r="H152" s="21"/>
      <c r="I152" s="21"/>
      <c r="J152" s="21"/>
      <c r="K152" s="21"/>
      <c r="L152" s="21"/>
      <c r="M152" s="21"/>
      <c r="N152" s="21"/>
      <c r="O152" s="21"/>
      <c r="P152" s="21"/>
    </row>
    <row r="153">
      <c r="A153" s="21"/>
      <c r="B153" s="21"/>
      <c r="C153" s="21"/>
      <c r="D153" s="21"/>
      <c r="E153" s="21"/>
      <c r="F153" s="21"/>
      <c r="G153" s="21"/>
      <c r="H153" s="21"/>
      <c r="I153" s="21"/>
      <c r="J153" s="21"/>
      <c r="K153" s="21"/>
      <c r="L153" s="21"/>
      <c r="M153" s="21"/>
      <c r="N153" s="21"/>
      <c r="O153" s="21"/>
      <c r="P153" s="21"/>
    </row>
    <row r="154">
      <c r="A154" s="21"/>
      <c r="B154" s="21"/>
      <c r="C154" s="21"/>
      <c r="D154" s="21"/>
      <c r="E154" s="21"/>
      <c r="F154" s="21"/>
      <c r="G154" s="21"/>
      <c r="H154" s="21"/>
      <c r="I154" s="21"/>
      <c r="J154" s="21"/>
      <c r="K154" s="21"/>
      <c r="L154" s="21"/>
      <c r="M154" s="21"/>
      <c r="N154" s="21"/>
      <c r="O154" s="21"/>
      <c r="P154" s="21"/>
    </row>
    <row r="155">
      <c r="A155" s="21"/>
      <c r="B155" s="21"/>
      <c r="C155" s="21"/>
      <c r="D155" s="21"/>
      <c r="E155" s="21"/>
      <c r="F155" s="21"/>
      <c r="G155" s="21"/>
      <c r="H155" s="21"/>
      <c r="I155" s="21"/>
      <c r="J155" s="21"/>
      <c r="K155" s="21"/>
      <c r="L155" s="21"/>
      <c r="M155" s="21"/>
      <c r="N155" s="21"/>
      <c r="O155" s="21"/>
      <c r="P155" s="21"/>
    </row>
    <row r="156">
      <c r="A156" s="21"/>
      <c r="B156" s="21"/>
      <c r="C156" s="21"/>
      <c r="D156" s="21"/>
      <c r="E156" s="21"/>
      <c r="F156" s="21"/>
      <c r="G156" s="21"/>
      <c r="H156" s="21"/>
      <c r="I156" s="21"/>
      <c r="J156" s="21"/>
      <c r="K156" s="21"/>
      <c r="L156" s="21"/>
      <c r="M156" s="21"/>
      <c r="N156" s="21"/>
      <c r="O156" s="21"/>
      <c r="P156" s="21"/>
    </row>
    <row r="157">
      <c r="A157" s="21"/>
      <c r="B157" s="21"/>
      <c r="C157" s="21"/>
      <c r="D157" s="21"/>
      <c r="E157" s="21"/>
      <c r="F157" s="21"/>
      <c r="G157" s="21"/>
      <c r="H157" s="21"/>
      <c r="I157" s="21"/>
      <c r="J157" s="21"/>
      <c r="K157" s="21"/>
      <c r="L157" s="21"/>
      <c r="M157" s="21"/>
      <c r="N157" s="21"/>
      <c r="O157" s="21"/>
      <c r="P157" s="21"/>
    </row>
    <row r="158">
      <c r="A158" s="21"/>
      <c r="B158" s="21"/>
      <c r="C158" s="21"/>
      <c r="D158" s="21"/>
      <c r="E158" s="21"/>
      <c r="F158" s="21"/>
      <c r="G158" s="21"/>
      <c r="H158" s="21"/>
      <c r="I158" s="21"/>
      <c r="J158" s="21"/>
      <c r="K158" s="21"/>
      <c r="L158" s="21"/>
      <c r="M158" s="21"/>
      <c r="N158" s="21"/>
      <c r="O158" s="21"/>
      <c r="P158" s="21"/>
    </row>
    <row r="159">
      <c r="A159" s="21"/>
      <c r="B159" s="21"/>
      <c r="C159" s="21"/>
      <c r="D159" s="21"/>
      <c r="E159" s="21"/>
      <c r="F159" s="21"/>
      <c r="G159" s="21"/>
      <c r="H159" s="21"/>
      <c r="I159" s="21"/>
      <c r="J159" s="21"/>
      <c r="K159" s="21"/>
      <c r="L159" s="21"/>
      <c r="M159" s="21"/>
      <c r="N159" s="21"/>
      <c r="O159" s="21"/>
      <c r="P159" s="21"/>
    </row>
    <row r="160">
      <c r="A160" s="21"/>
      <c r="B160" s="21"/>
      <c r="C160" s="21"/>
      <c r="D160" s="21"/>
      <c r="E160" s="21"/>
      <c r="F160" s="21"/>
      <c r="G160" s="21"/>
      <c r="H160" s="21"/>
      <c r="I160" s="21"/>
      <c r="J160" s="21"/>
      <c r="K160" s="21"/>
      <c r="L160" s="21"/>
      <c r="M160" s="21"/>
      <c r="N160" s="21"/>
      <c r="O160" s="21"/>
      <c r="P160" s="21"/>
    </row>
    <row r="161">
      <c r="A161" s="21"/>
      <c r="B161" s="21"/>
      <c r="C161" s="21"/>
      <c r="D161" s="21"/>
      <c r="E161" s="21"/>
      <c r="F161" s="21"/>
      <c r="G161" s="21"/>
      <c r="H161" s="21"/>
      <c r="I161" s="21"/>
      <c r="J161" s="21"/>
      <c r="K161" s="21"/>
      <c r="L161" s="21"/>
      <c r="M161" s="21"/>
      <c r="N161" s="21"/>
      <c r="O161" s="21"/>
      <c r="P161" s="21"/>
    </row>
    <row r="162">
      <c r="A162" s="21"/>
      <c r="B162" s="21"/>
      <c r="C162" s="21"/>
      <c r="D162" s="21"/>
      <c r="E162" s="21"/>
      <c r="F162" s="21"/>
      <c r="G162" s="21"/>
      <c r="H162" s="21"/>
      <c r="I162" s="21"/>
      <c r="J162" s="21"/>
      <c r="K162" s="21"/>
      <c r="L162" s="21"/>
      <c r="M162" s="21"/>
      <c r="N162" s="21"/>
      <c r="O162" s="21"/>
      <c r="P162" s="21"/>
    </row>
    <row r="163">
      <c r="A163" s="21"/>
      <c r="B163" s="21"/>
      <c r="C163" s="21"/>
      <c r="D163" s="21"/>
      <c r="E163" s="21"/>
      <c r="F163" s="21"/>
      <c r="G163" s="21"/>
      <c r="H163" s="21"/>
      <c r="I163" s="21"/>
      <c r="J163" s="21"/>
      <c r="K163" s="21"/>
      <c r="L163" s="21"/>
      <c r="M163" s="21"/>
      <c r="N163" s="21"/>
      <c r="O163" s="21"/>
      <c r="P163" s="21"/>
    </row>
    <row r="164">
      <c r="A164" s="21"/>
      <c r="B164" s="21"/>
      <c r="C164" s="21"/>
      <c r="D164" s="21"/>
      <c r="E164" s="21"/>
      <c r="F164" s="21"/>
      <c r="G164" s="21"/>
      <c r="H164" s="21"/>
      <c r="I164" s="21"/>
      <c r="J164" s="21"/>
      <c r="K164" s="21"/>
      <c r="L164" s="21"/>
      <c r="M164" s="21"/>
      <c r="N164" s="21"/>
      <c r="O164" s="21"/>
      <c r="P164" s="21"/>
    </row>
    <row r="165">
      <c r="A165" s="21"/>
      <c r="B165" s="21"/>
      <c r="C165" s="21"/>
      <c r="D165" s="21"/>
      <c r="E165" s="21"/>
      <c r="F165" s="21"/>
      <c r="G165" s="21"/>
      <c r="H165" s="21"/>
      <c r="I165" s="21"/>
      <c r="J165" s="21"/>
      <c r="K165" s="21"/>
      <c r="L165" s="21"/>
      <c r="M165" s="21"/>
      <c r="N165" s="21"/>
      <c r="O165" s="21"/>
      <c r="P165" s="21"/>
    </row>
    <row r="166">
      <c r="A166" s="21"/>
      <c r="B166" s="21"/>
      <c r="C166" s="21"/>
      <c r="D166" s="21"/>
      <c r="E166" s="21"/>
      <c r="F166" s="21"/>
      <c r="G166" s="21"/>
      <c r="H166" s="21"/>
      <c r="I166" s="21"/>
      <c r="J166" s="21"/>
      <c r="K166" s="21"/>
      <c r="L166" s="21"/>
      <c r="M166" s="21"/>
      <c r="N166" s="21"/>
      <c r="O166" s="21"/>
      <c r="P166" s="21"/>
    </row>
    <row r="167">
      <c r="A167" s="21"/>
      <c r="B167" s="21"/>
      <c r="C167" s="21"/>
      <c r="D167" s="21"/>
      <c r="E167" s="21"/>
      <c r="F167" s="21"/>
      <c r="G167" s="21"/>
      <c r="H167" s="21"/>
      <c r="I167" s="21"/>
      <c r="J167" s="21"/>
      <c r="K167" s="21"/>
      <c r="L167" s="21"/>
      <c r="M167" s="21"/>
      <c r="N167" s="21"/>
      <c r="O167" s="21"/>
      <c r="P167" s="21"/>
    </row>
    <row r="168">
      <c r="A168" s="21"/>
      <c r="B168" s="21"/>
      <c r="C168" s="21"/>
      <c r="D168" s="21"/>
      <c r="E168" s="21"/>
      <c r="F168" s="21"/>
      <c r="G168" s="21"/>
      <c r="H168" s="21"/>
      <c r="I168" s="21"/>
      <c r="J168" s="21"/>
      <c r="K168" s="21"/>
      <c r="L168" s="21"/>
      <c r="M168" s="21"/>
      <c r="N168" s="21"/>
      <c r="O168" s="21"/>
      <c r="P168" s="21"/>
    </row>
    <row r="169">
      <c r="A169" s="21"/>
      <c r="B169" s="21"/>
      <c r="C169" s="21"/>
      <c r="D169" s="21"/>
      <c r="E169" s="21"/>
      <c r="F169" s="21"/>
      <c r="G169" s="21"/>
      <c r="H169" s="21"/>
      <c r="I169" s="21"/>
      <c r="J169" s="21"/>
      <c r="K169" s="21"/>
      <c r="L169" s="21"/>
      <c r="M169" s="21"/>
      <c r="N169" s="21"/>
      <c r="O169" s="21"/>
      <c r="P169" s="21"/>
    </row>
    <row r="170">
      <c r="A170" s="21"/>
      <c r="B170" s="21"/>
      <c r="C170" s="21"/>
      <c r="D170" s="21"/>
      <c r="E170" s="21"/>
      <c r="F170" s="21"/>
      <c r="G170" s="21"/>
      <c r="H170" s="21"/>
      <c r="I170" s="21"/>
      <c r="J170" s="21"/>
      <c r="K170" s="21"/>
      <c r="L170" s="21"/>
      <c r="M170" s="21"/>
      <c r="N170" s="21"/>
      <c r="O170" s="21"/>
      <c r="P170" s="21"/>
    </row>
    <row r="171">
      <c r="A171" s="21"/>
      <c r="B171" s="21"/>
      <c r="C171" s="21"/>
      <c r="D171" s="21"/>
      <c r="E171" s="21"/>
      <c r="F171" s="21"/>
      <c r="G171" s="21"/>
      <c r="H171" s="21"/>
      <c r="I171" s="21"/>
      <c r="J171" s="21"/>
      <c r="K171" s="21"/>
      <c r="L171" s="21"/>
      <c r="M171" s="21"/>
      <c r="N171" s="21"/>
      <c r="O171" s="21"/>
      <c r="P171" s="21"/>
    </row>
    <row r="172">
      <c r="A172" s="21"/>
      <c r="B172" s="21"/>
      <c r="C172" s="21"/>
      <c r="D172" s="21"/>
      <c r="E172" s="21"/>
      <c r="F172" s="21"/>
      <c r="G172" s="21"/>
      <c r="H172" s="21"/>
      <c r="I172" s="21"/>
      <c r="J172" s="21"/>
      <c r="K172" s="21"/>
      <c r="L172" s="21"/>
      <c r="M172" s="21"/>
      <c r="N172" s="21"/>
      <c r="O172" s="21"/>
      <c r="P172" s="21"/>
    </row>
    <row r="173">
      <c r="A173" s="21"/>
      <c r="B173" s="21"/>
      <c r="C173" s="21"/>
      <c r="D173" s="21"/>
      <c r="E173" s="21"/>
      <c r="F173" s="21"/>
      <c r="G173" s="21"/>
      <c r="H173" s="21"/>
      <c r="I173" s="21"/>
      <c r="J173" s="21"/>
      <c r="K173" s="21"/>
      <c r="L173" s="21"/>
      <c r="M173" s="21"/>
      <c r="N173" s="21"/>
      <c r="O173" s="21"/>
      <c r="P173" s="21"/>
    </row>
    <row r="174">
      <c r="A174" s="21"/>
      <c r="B174" s="21"/>
      <c r="C174" s="21"/>
      <c r="D174" s="21"/>
      <c r="E174" s="21"/>
      <c r="F174" s="21"/>
      <c r="G174" s="21"/>
      <c r="H174" s="21"/>
      <c r="I174" s="21"/>
      <c r="J174" s="21"/>
      <c r="K174" s="21"/>
      <c r="L174" s="21"/>
      <c r="M174" s="21"/>
      <c r="N174" s="21"/>
      <c r="O174" s="21"/>
      <c r="P174" s="21"/>
    </row>
    <row r="175">
      <c r="A175" s="21"/>
      <c r="B175" s="21"/>
      <c r="C175" s="21"/>
      <c r="D175" s="21"/>
      <c r="E175" s="21"/>
      <c r="F175" s="21"/>
      <c r="G175" s="21"/>
      <c r="H175" s="21"/>
      <c r="I175" s="21"/>
      <c r="J175" s="21"/>
      <c r="K175" s="21"/>
      <c r="L175" s="21"/>
      <c r="M175" s="21"/>
      <c r="N175" s="21"/>
      <c r="O175" s="21"/>
      <c r="P175" s="21"/>
    </row>
    <row r="176">
      <c r="A176" s="21"/>
      <c r="B176" s="21"/>
      <c r="C176" s="21"/>
      <c r="D176" s="21"/>
      <c r="E176" s="21"/>
      <c r="F176" s="21"/>
      <c r="G176" s="21"/>
      <c r="H176" s="21"/>
      <c r="I176" s="21"/>
      <c r="J176" s="21"/>
      <c r="K176" s="21"/>
      <c r="L176" s="21"/>
      <c r="M176" s="21"/>
      <c r="N176" s="21"/>
      <c r="O176" s="21"/>
      <c r="P176" s="21"/>
    </row>
    <row r="177">
      <c r="A177" s="21"/>
      <c r="B177" s="21"/>
      <c r="C177" s="21"/>
      <c r="D177" s="21"/>
      <c r="E177" s="21"/>
      <c r="F177" s="21"/>
      <c r="G177" s="21"/>
      <c r="H177" s="21"/>
      <c r="I177" s="21"/>
      <c r="J177" s="21"/>
      <c r="K177" s="21"/>
      <c r="L177" s="21"/>
      <c r="M177" s="21"/>
      <c r="N177" s="21"/>
      <c r="O177" s="21"/>
      <c r="P177" s="21"/>
    </row>
    <row r="178">
      <c r="A178" s="21"/>
      <c r="B178" s="21"/>
      <c r="C178" s="21"/>
      <c r="D178" s="21"/>
      <c r="E178" s="21"/>
      <c r="F178" s="21"/>
      <c r="G178" s="21"/>
      <c r="H178" s="21"/>
      <c r="I178" s="21"/>
      <c r="J178" s="21"/>
      <c r="K178" s="21"/>
      <c r="L178" s="21"/>
      <c r="M178" s="21"/>
      <c r="N178" s="21"/>
      <c r="O178" s="21"/>
      <c r="P178" s="21"/>
    </row>
    <row r="179">
      <c r="A179" s="21"/>
      <c r="B179" s="21"/>
      <c r="C179" s="21"/>
      <c r="D179" s="21"/>
      <c r="E179" s="21"/>
      <c r="F179" s="21"/>
      <c r="G179" s="21"/>
      <c r="H179" s="21"/>
      <c r="I179" s="21"/>
      <c r="J179" s="21"/>
      <c r="K179" s="21"/>
      <c r="L179" s="21"/>
      <c r="M179" s="21"/>
      <c r="N179" s="21"/>
      <c r="O179" s="21"/>
      <c r="P179" s="21"/>
    </row>
    <row r="180">
      <c r="A180" s="21"/>
      <c r="B180" s="21"/>
      <c r="C180" s="21"/>
      <c r="D180" s="21"/>
      <c r="E180" s="21"/>
      <c r="F180" s="21"/>
      <c r="G180" s="21"/>
      <c r="H180" s="21"/>
      <c r="I180" s="21"/>
      <c r="J180" s="21"/>
      <c r="K180" s="21"/>
      <c r="L180" s="21"/>
      <c r="M180" s="21"/>
      <c r="N180" s="21"/>
      <c r="O180" s="21"/>
      <c r="P180" s="21"/>
    </row>
    <row r="181">
      <c r="A181" s="21"/>
      <c r="B181" s="21"/>
      <c r="C181" s="21"/>
      <c r="D181" s="21"/>
      <c r="E181" s="21"/>
      <c r="F181" s="21"/>
      <c r="G181" s="21"/>
      <c r="H181" s="21"/>
      <c r="I181" s="21"/>
      <c r="J181" s="21"/>
      <c r="K181" s="21"/>
      <c r="L181" s="21"/>
      <c r="M181" s="21"/>
      <c r="N181" s="21"/>
      <c r="O181" s="21"/>
      <c r="P181" s="21"/>
    </row>
    <row r="182">
      <c r="A182" s="21"/>
      <c r="B182" s="21"/>
      <c r="C182" s="21"/>
      <c r="D182" s="21"/>
      <c r="E182" s="21"/>
      <c r="F182" s="21"/>
      <c r="G182" s="21"/>
      <c r="H182" s="21"/>
      <c r="I182" s="21"/>
      <c r="J182" s="21"/>
      <c r="K182" s="21"/>
      <c r="L182" s="21"/>
      <c r="M182" s="21"/>
      <c r="N182" s="21"/>
      <c r="O182" s="21"/>
      <c r="P182" s="21"/>
    </row>
    <row r="183">
      <c r="A183" s="21"/>
      <c r="B183" s="21"/>
      <c r="C183" s="21"/>
      <c r="D183" s="21"/>
      <c r="E183" s="21"/>
      <c r="F183" s="21"/>
      <c r="G183" s="21"/>
      <c r="H183" s="21"/>
      <c r="I183" s="21"/>
      <c r="J183" s="21"/>
      <c r="K183" s="21"/>
      <c r="L183" s="21"/>
      <c r="M183" s="21"/>
      <c r="N183" s="21"/>
      <c r="O183" s="21"/>
      <c r="P183" s="21"/>
    </row>
    <row r="184">
      <c r="A184" s="21"/>
      <c r="B184" s="21"/>
      <c r="C184" s="21"/>
      <c r="D184" s="21"/>
      <c r="E184" s="21"/>
      <c r="F184" s="21"/>
      <c r="G184" s="21"/>
      <c r="H184" s="21"/>
      <c r="I184" s="21"/>
      <c r="J184" s="21"/>
      <c r="K184" s="21"/>
      <c r="L184" s="21"/>
      <c r="M184" s="21"/>
      <c r="N184" s="21"/>
      <c r="O184" s="21"/>
      <c r="P184" s="21"/>
    </row>
    <row r="185">
      <c r="A185" s="21"/>
      <c r="B185" s="21"/>
      <c r="C185" s="21"/>
      <c r="D185" s="21"/>
      <c r="E185" s="21"/>
      <c r="F185" s="21"/>
      <c r="G185" s="21"/>
      <c r="H185" s="21"/>
      <c r="I185" s="21"/>
      <c r="J185" s="21"/>
      <c r="K185" s="21"/>
      <c r="L185" s="21"/>
      <c r="M185" s="21"/>
      <c r="N185" s="21"/>
      <c r="O185" s="21"/>
      <c r="P185" s="21"/>
    </row>
    <row r="186">
      <c r="A186" s="21"/>
      <c r="B186" s="21"/>
      <c r="C186" s="21"/>
      <c r="D186" s="21"/>
      <c r="E186" s="21"/>
      <c r="F186" s="21"/>
      <c r="G186" s="21"/>
      <c r="H186" s="21"/>
      <c r="I186" s="21"/>
      <c r="J186" s="21"/>
      <c r="K186" s="21"/>
      <c r="L186" s="21"/>
      <c r="M186" s="21"/>
      <c r="N186" s="21"/>
      <c r="O186" s="21"/>
      <c r="P186" s="21"/>
    </row>
    <row r="187">
      <c r="A187" s="21"/>
      <c r="B187" s="21"/>
      <c r="C187" s="21"/>
      <c r="D187" s="21"/>
      <c r="E187" s="21"/>
      <c r="F187" s="21"/>
      <c r="G187" s="21"/>
      <c r="H187" s="21"/>
      <c r="I187" s="21"/>
      <c r="J187" s="21"/>
      <c r="K187" s="21"/>
      <c r="L187" s="21"/>
      <c r="M187" s="21"/>
      <c r="N187" s="21"/>
      <c r="O187" s="21"/>
      <c r="P187" s="21"/>
    </row>
    <row r="188">
      <c r="A188" s="21"/>
      <c r="B188" s="21"/>
      <c r="C188" s="21"/>
      <c r="D188" s="21"/>
      <c r="E188" s="21"/>
      <c r="F188" s="21"/>
      <c r="G188" s="21"/>
      <c r="H188" s="21"/>
      <c r="I188" s="21"/>
      <c r="J188" s="21"/>
      <c r="K188" s="21"/>
      <c r="L188" s="21"/>
      <c r="M188" s="21"/>
      <c r="N188" s="21"/>
      <c r="O188" s="21"/>
      <c r="P188" s="21"/>
    </row>
    <row r="189">
      <c r="A189" s="21"/>
      <c r="B189" s="21"/>
      <c r="C189" s="21"/>
      <c r="D189" s="21"/>
      <c r="E189" s="21"/>
      <c r="F189" s="21"/>
      <c r="G189" s="21"/>
      <c r="H189" s="21"/>
      <c r="I189" s="21"/>
      <c r="J189" s="21"/>
      <c r="K189" s="21"/>
      <c r="L189" s="21"/>
      <c r="M189" s="21"/>
      <c r="N189" s="21"/>
      <c r="O189" s="21"/>
      <c r="P189" s="21"/>
    </row>
    <row r="190">
      <c r="A190" s="21"/>
      <c r="B190" s="21"/>
      <c r="C190" s="21"/>
      <c r="D190" s="21"/>
      <c r="E190" s="21"/>
      <c r="F190" s="21"/>
      <c r="G190" s="21"/>
      <c r="H190" s="21"/>
      <c r="I190" s="21"/>
      <c r="J190" s="21"/>
      <c r="K190" s="21"/>
      <c r="L190" s="21"/>
      <c r="M190" s="21"/>
      <c r="N190" s="21"/>
      <c r="O190" s="21"/>
      <c r="P190" s="21"/>
    </row>
    <row r="191">
      <c r="A191" s="21"/>
      <c r="B191" s="21"/>
      <c r="C191" s="21"/>
      <c r="D191" s="21"/>
      <c r="E191" s="21"/>
      <c r="F191" s="21"/>
      <c r="G191" s="21"/>
      <c r="H191" s="21"/>
      <c r="I191" s="21"/>
      <c r="J191" s="21"/>
      <c r="K191" s="21"/>
      <c r="L191" s="21"/>
      <c r="M191" s="21"/>
      <c r="N191" s="21"/>
      <c r="O191" s="21"/>
      <c r="P191" s="21"/>
    </row>
    <row r="192">
      <c r="A192" s="21"/>
      <c r="B192" s="21"/>
      <c r="C192" s="21"/>
      <c r="D192" s="21"/>
      <c r="E192" s="21"/>
      <c r="F192" s="21"/>
      <c r="G192" s="21"/>
      <c r="H192" s="21"/>
      <c r="I192" s="21"/>
      <c r="J192" s="21"/>
      <c r="K192" s="21"/>
      <c r="L192" s="21"/>
      <c r="M192" s="21"/>
      <c r="N192" s="21"/>
      <c r="O192" s="21"/>
      <c r="P192" s="21"/>
    </row>
    <row r="193">
      <c r="A193" s="21"/>
      <c r="B193" s="21"/>
      <c r="C193" s="21"/>
      <c r="D193" s="21"/>
      <c r="E193" s="21"/>
      <c r="F193" s="21"/>
      <c r="G193" s="21"/>
      <c r="H193" s="21"/>
      <c r="I193" s="21"/>
      <c r="J193" s="21"/>
      <c r="K193" s="21"/>
      <c r="L193" s="21"/>
      <c r="M193" s="21"/>
      <c r="N193" s="21"/>
      <c r="O193" s="21"/>
      <c r="P193" s="21"/>
    </row>
    <row r="194">
      <c r="A194" s="21"/>
      <c r="B194" s="21"/>
      <c r="C194" s="21"/>
      <c r="D194" s="21"/>
      <c r="E194" s="21"/>
      <c r="F194" s="21"/>
      <c r="G194" s="21"/>
      <c r="H194" s="21"/>
      <c r="I194" s="21"/>
      <c r="J194" s="21"/>
      <c r="K194" s="21"/>
      <c r="L194" s="21"/>
      <c r="M194" s="21"/>
      <c r="N194" s="21"/>
      <c r="O194" s="21"/>
      <c r="P194" s="21"/>
    </row>
    <row r="195">
      <c r="A195" s="21"/>
      <c r="B195" s="21"/>
      <c r="C195" s="21"/>
      <c r="D195" s="21"/>
      <c r="E195" s="21"/>
      <c r="F195" s="21"/>
      <c r="G195" s="21"/>
      <c r="H195" s="21"/>
      <c r="I195" s="21"/>
      <c r="J195" s="21"/>
      <c r="K195" s="21"/>
      <c r="L195" s="21"/>
      <c r="M195" s="21"/>
      <c r="N195" s="21"/>
      <c r="O195" s="21"/>
      <c r="P195" s="21"/>
    </row>
    <row r="196">
      <c r="A196" s="21"/>
      <c r="B196" s="21"/>
      <c r="C196" s="21"/>
      <c r="D196" s="21"/>
      <c r="E196" s="21"/>
      <c r="F196" s="21"/>
      <c r="G196" s="21"/>
      <c r="H196" s="21"/>
      <c r="I196" s="21"/>
      <c r="J196" s="21"/>
      <c r="K196" s="21"/>
      <c r="L196" s="21"/>
      <c r="M196" s="21"/>
      <c r="N196" s="21"/>
      <c r="O196" s="21"/>
      <c r="P196" s="21"/>
    </row>
    <row r="197">
      <c r="A197" s="21"/>
      <c r="B197" s="21"/>
      <c r="C197" s="21"/>
      <c r="D197" s="21"/>
      <c r="E197" s="21"/>
      <c r="F197" s="21"/>
      <c r="G197" s="21"/>
      <c r="H197" s="21"/>
      <c r="I197" s="21"/>
      <c r="J197" s="21"/>
      <c r="K197" s="21"/>
      <c r="L197" s="21"/>
      <c r="M197" s="21"/>
      <c r="N197" s="21"/>
      <c r="O197" s="21"/>
      <c r="P197" s="21"/>
    </row>
    <row r="198">
      <c r="A198" s="21"/>
      <c r="B198" s="21"/>
      <c r="C198" s="21"/>
      <c r="D198" s="21"/>
      <c r="E198" s="21"/>
      <c r="F198" s="21"/>
      <c r="G198" s="21"/>
      <c r="H198" s="21"/>
      <c r="I198" s="21"/>
      <c r="J198" s="21"/>
      <c r="K198" s="21"/>
      <c r="L198" s="21"/>
      <c r="M198" s="21"/>
      <c r="N198" s="21"/>
      <c r="O198" s="21"/>
      <c r="P198" s="21"/>
    </row>
    <row r="199">
      <c r="A199" s="21"/>
      <c r="B199" s="21"/>
      <c r="C199" s="21"/>
      <c r="D199" s="21"/>
      <c r="E199" s="21"/>
      <c r="F199" s="21"/>
      <c r="G199" s="21"/>
      <c r="H199" s="21"/>
      <c r="I199" s="21"/>
      <c r="J199" s="21"/>
      <c r="K199" s="21"/>
      <c r="L199" s="21"/>
      <c r="M199" s="21"/>
      <c r="N199" s="21"/>
      <c r="O199" s="21"/>
      <c r="P199" s="21"/>
    </row>
    <row r="200">
      <c r="A200" s="21"/>
      <c r="B200" s="21"/>
      <c r="C200" s="21"/>
      <c r="D200" s="21"/>
      <c r="E200" s="21"/>
      <c r="F200" s="21"/>
      <c r="G200" s="21"/>
      <c r="H200" s="21"/>
      <c r="I200" s="21"/>
      <c r="J200" s="21"/>
      <c r="K200" s="21"/>
      <c r="L200" s="21"/>
      <c r="M200" s="21"/>
      <c r="N200" s="21"/>
      <c r="O200" s="21"/>
      <c r="P200" s="21"/>
    </row>
    <row r="201">
      <c r="A201" s="21"/>
      <c r="B201" s="21"/>
      <c r="C201" s="21"/>
      <c r="D201" s="21"/>
      <c r="E201" s="21"/>
      <c r="F201" s="21"/>
      <c r="G201" s="21"/>
      <c r="H201" s="21"/>
      <c r="I201" s="21"/>
      <c r="J201" s="21"/>
      <c r="K201" s="21"/>
      <c r="L201" s="21"/>
      <c r="M201" s="21"/>
      <c r="N201" s="21"/>
      <c r="O201" s="21"/>
      <c r="P201" s="21"/>
    </row>
    <row r="202">
      <c r="A202" s="21"/>
      <c r="B202" s="21"/>
      <c r="C202" s="21"/>
      <c r="D202" s="21"/>
      <c r="E202" s="21"/>
      <c r="F202" s="21"/>
      <c r="G202" s="21"/>
      <c r="H202" s="21"/>
      <c r="I202" s="21"/>
      <c r="J202" s="21"/>
      <c r="K202" s="21"/>
      <c r="L202" s="21"/>
      <c r="M202" s="21"/>
      <c r="N202" s="21"/>
      <c r="O202" s="21"/>
      <c r="P202" s="21"/>
    </row>
    <row r="203">
      <c r="A203" s="21"/>
      <c r="B203" s="21"/>
      <c r="C203" s="21"/>
      <c r="D203" s="21"/>
      <c r="E203" s="21"/>
      <c r="F203" s="21"/>
      <c r="G203" s="21"/>
      <c r="H203" s="21"/>
      <c r="I203" s="21"/>
      <c r="J203" s="21"/>
      <c r="K203" s="21"/>
      <c r="L203" s="21"/>
      <c r="M203" s="21"/>
      <c r="N203" s="21"/>
      <c r="O203" s="21"/>
      <c r="P203" s="21"/>
    </row>
    <row r="204">
      <c r="A204" s="21"/>
      <c r="B204" s="21"/>
      <c r="C204" s="21"/>
      <c r="D204" s="21"/>
      <c r="E204" s="21"/>
      <c r="F204" s="21"/>
      <c r="G204" s="21"/>
      <c r="H204" s="21"/>
      <c r="I204" s="21"/>
      <c r="J204" s="21"/>
      <c r="K204" s="21"/>
      <c r="L204" s="21"/>
      <c r="M204" s="21"/>
      <c r="N204" s="21"/>
      <c r="O204" s="21"/>
      <c r="P204" s="21"/>
    </row>
    <row r="205">
      <c r="A205" s="21"/>
      <c r="B205" s="21"/>
      <c r="C205" s="21"/>
      <c r="D205" s="21"/>
      <c r="E205" s="21"/>
      <c r="F205" s="21"/>
      <c r="G205" s="21"/>
      <c r="H205" s="21"/>
      <c r="I205" s="21"/>
      <c r="J205" s="21"/>
      <c r="K205" s="21"/>
      <c r="L205" s="21"/>
      <c r="M205" s="21"/>
      <c r="N205" s="21"/>
      <c r="O205" s="21"/>
      <c r="P205" s="21"/>
    </row>
    <row r="206">
      <c r="A206" s="21"/>
      <c r="B206" s="21"/>
      <c r="C206" s="21"/>
      <c r="D206" s="21"/>
      <c r="E206" s="21"/>
      <c r="F206" s="21"/>
      <c r="G206" s="21"/>
      <c r="H206" s="21"/>
      <c r="I206" s="21"/>
      <c r="J206" s="21"/>
      <c r="K206" s="21"/>
      <c r="L206" s="21"/>
      <c r="M206" s="21"/>
      <c r="N206" s="21"/>
      <c r="O206" s="21"/>
      <c r="P206" s="21"/>
    </row>
    <row r="207">
      <c r="A207" s="21"/>
      <c r="B207" s="21"/>
      <c r="C207" s="21"/>
      <c r="D207" s="21"/>
      <c r="E207" s="21"/>
      <c r="F207" s="21"/>
      <c r="G207" s="21"/>
      <c r="H207" s="21"/>
      <c r="I207" s="21"/>
      <c r="J207" s="21"/>
      <c r="K207" s="21"/>
      <c r="L207" s="21"/>
      <c r="M207" s="21"/>
      <c r="N207" s="21"/>
      <c r="O207" s="21"/>
      <c r="P207" s="21"/>
    </row>
    <row r="208">
      <c r="A208" s="21"/>
      <c r="B208" s="21"/>
      <c r="C208" s="21"/>
      <c r="D208" s="21"/>
      <c r="E208" s="21"/>
      <c r="F208" s="21"/>
      <c r="G208" s="21"/>
      <c r="H208" s="21"/>
      <c r="I208" s="21"/>
      <c r="J208" s="21"/>
      <c r="K208" s="21"/>
      <c r="L208" s="21"/>
      <c r="M208" s="21"/>
      <c r="N208" s="21"/>
      <c r="O208" s="21"/>
      <c r="P208" s="21"/>
    </row>
    <row r="209">
      <c r="A209" s="21"/>
      <c r="B209" s="21"/>
      <c r="C209" s="21"/>
      <c r="D209" s="21"/>
      <c r="E209" s="21"/>
      <c r="F209" s="21"/>
      <c r="G209" s="21"/>
      <c r="H209" s="21"/>
      <c r="I209" s="21"/>
      <c r="J209" s="21"/>
      <c r="K209" s="21"/>
      <c r="L209" s="21"/>
      <c r="M209" s="21"/>
      <c r="N209" s="21"/>
      <c r="O209" s="21"/>
      <c r="P209" s="21"/>
    </row>
    <row r="210">
      <c r="A210" s="21"/>
      <c r="B210" s="21"/>
      <c r="C210" s="21"/>
      <c r="D210" s="21"/>
      <c r="E210" s="21"/>
      <c r="F210" s="21"/>
      <c r="G210" s="21"/>
      <c r="H210" s="21"/>
      <c r="I210" s="21"/>
      <c r="J210" s="21"/>
      <c r="K210" s="21"/>
      <c r="L210" s="21"/>
      <c r="M210" s="21"/>
      <c r="N210" s="21"/>
      <c r="O210" s="21"/>
      <c r="P210" s="21"/>
    </row>
    <row r="211">
      <c r="A211" s="21"/>
      <c r="B211" s="21"/>
      <c r="C211" s="21"/>
      <c r="D211" s="21"/>
      <c r="E211" s="21"/>
      <c r="F211" s="21"/>
      <c r="G211" s="21"/>
      <c r="H211" s="21"/>
      <c r="I211" s="21"/>
      <c r="J211" s="21"/>
      <c r="K211" s="21"/>
      <c r="L211" s="21"/>
      <c r="M211" s="21"/>
      <c r="N211" s="21"/>
      <c r="O211" s="21"/>
      <c r="P211" s="21"/>
    </row>
    <row r="212">
      <c r="A212" s="21"/>
      <c r="B212" s="21"/>
      <c r="C212" s="21"/>
      <c r="D212" s="21"/>
      <c r="E212" s="21"/>
      <c r="F212" s="21"/>
      <c r="G212" s="21"/>
      <c r="H212" s="21"/>
      <c r="I212" s="21"/>
      <c r="J212" s="21"/>
      <c r="K212" s="21"/>
      <c r="L212" s="21"/>
      <c r="M212" s="21"/>
      <c r="N212" s="21"/>
      <c r="O212" s="21"/>
      <c r="P212" s="21"/>
    </row>
    <row r="213">
      <c r="A213" s="21"/>
      <c r="B213" s="21"/>
      <c r="C213" s="21"/>
      <c r="D213" s="21"/>
      <c r="E213" s="21"/>
      <c r="F213" s="21"/>
      <c r="G213" s="21"/>
      <c r="H213" s="21"/>
      <c r="I213" s="21"/>
      <c r="J213" s="21"/>
      <c r="K213" s="21"/>
      <c r="L213" s="21"/>
      <c r="M213" s="21"/>
      <c r="N213" s="21"/>
      <c r="O213" s="21"/>
      <c r="P213" s="21"/>
    </row>
    <row r="214">
      <c r="A214" s="21"/>
      <c r="B214" s="21"/>
      <c r="C214" s="21"/>
      <c r="D214" s="21"/>
      <c r="E214" s="21"/>
      <c r="F214" s="21"/>
      <c r="G214" s="21"/>
      <c r="H214" s="21"/>
      <c r="I214" s="21"/>
      <c r="J214" s="21"/>
      <c r="K214" s="21"/>
      <c r="L214" s="21"/>
      <c r="M214" s="21"/>
      <c r="N214" s="21"/>
      <c r="O214" s="21"/>
      <c r="P214" s="21"/>
    </row>
    <row r="215">
      <c r="A215" s="21"/>
      <c r="B215" s="21"/>
      <c r="C215" s="21"/>
      <c r="D215" s="21"/>
      <c r="E215" s="21"/>
      <c r="F215" s="21"/>
      <c r="G215" s="21"/>
      <c r="H215" s="21"/>
      <c r="I215" s="21"/>
      <c r="J215" s="21"/>
      <c r="K215" s="21"/>
      <c r="L215" s="21"/>
      <c r="M215" s="21"/>
      <c r="N215" s="21"/>
      <c r="O215" s="21"/>
      <c r="P215" s="21"/>
    </row>
    <row r="216">
      <c r="A216" s="21"/>
      <c r="B216" s="21"/>
      <c r="C216" s="21"/>
      <c r="D216" s="21"/>
      <c r="E216" s="21"/>
      <c r="F216" s="21"/>
      <c r="G216" s="21"/>
      <c r="H216" s="21"/>
      <c r="I216" s="21"/>
      <c r="J216" s="21"/>
      <c r="K216" s="21"/>
      <c r="L216" s="21"/>
      <c r="M216" s="21"/>
      <c r="N216" s="21"/>
      <c r="O216" s="21"/>
      <c r="P216" s="21"/>
    </row>
    <row r="217">
      <c r="A217" s="21"/>
      <c r="B217" s="21"/>
      <c r="C217" s="21"/>
      <c r="D217" s="21"/>
      <c r="E217" s="21"/>
      <c r="F217" s="21"/>
      <c r="G217" s="21"/>
      <c r="H217" s="21"/>
      <c r="I217" s="21"/>
      <c r="J217" s="21"/>
      <c r="K217" s="21"/>
      <c r="L217" s="21"/>
      <c r="M217" s="21"/>
      <c r="N217" s="21"/>
      <c r="O217" s="21"/>
      <c r="P217" s="21"/>
    </row>
    <row r="218">
      <c r="A218" s="21"/>
      <c r="B218" s="21"/>
      <c r="C218" s="21"/>
      <c r="D218" s="21"/>
      <c r="E218" s="21"/>
      <c r="F218" s="21"/>
      <c r="G218" s="21"/>
      <c r="H218" s="21"/>
      <c r="I218" s="21"/>
      <c r="J218" s="21"/>
      <c r="K218" s="21"/>
      <c r="L218" s="21"/>
      <c r="M218" s="21"/>
      <c r="N218" s="21"/>
      <c r="O218" s="21"/>
      <c r="P218" s="21"/>
    </row>
    <row r="219">
      <c r="A219" s="21"/>
      <c r="B219" s="21"/>
      <c r="C219" s="21"/>
      <c r="D219" s="21"/>
      <c r="E219" s="21"/>
      <c r="F219" s="21"/>
      <c r="G219" s="21"/>
      <c r="H219" s="21"/>
      <c r="I219" s="21"/>
      <c r="J219" s="21"/>
      <c r="K219" s="21"/>
      <c r="L219" s="21"/>
      <c r="M219" s="21"/>
      <c r="N219" s="21"/>
      <c r="O219" s="21"/>
      <c r="P219" s="21"/>
    </row>
    <row r="220">
      <c r="A220" s="21"/>
      <c r="B220" s="21"/>
      <c r="C220" s="21"/>
      <c r="D220" s="21"/>
      <c r="E220" s="21"/>
      <c r="F220" s="21"/>
      <c r="G220" s="21"/>
      <c r="H220" s="21"/>
      <c r="I220" s="21"/>
      <c r="J220" s="21"/>
      <c r="K220" s="21"/>
      <c r="L220" s="21"/>
      <c r="M220" s="21"/>
      <c r="N220" s="21"/>
      <c r="O220" s="21"/>
      <c r="P220" s="21"/>
    </row>
    <row r="221">
      <c r="A221" s="21"/>
      <c r="B221" s="21"/>
      <c r="C221" s="21"/>
      <c r="D221" s="21"/>
      <c r="E221" s="21"/>
      <c r="F221" s="21"/>
      <c r="G221" s="21"/>
      <c r="H221" s="21"/>
      <c r="I221" s="21"/>
      <c r="J221" s="21"/>
      <c r="K221" s="21"/>
      <c r="L221" s="21"/>
      <c r="M221" s="21"/>
      <c r="N221" s="21"/>
      <c r="O221" s="21"/>
      <c r="P221" s="21"/>
    </row>
    <row r="222">
      <c r="A222" s="21"/>
      <c r="B222" s="21"/>
      <c r="C222" s="21"/>
      <c r="D222" s="21"/>
      <c r="E222" s="21"/>
      <c r="F222" s="21"/>
      <c r="G222" s="21"/>
      <c r="H222" s="21"/>
      <c r="I222" s="21"/>
      <c r="J222" s="21"/>
      <c r="K222" s="21"/>
      <c r="L222" s="21"/>
      <c r="M222" s="21"/>
      <c r="N222" s="21"/>
      <c r="O222" s="21"/>
      <c r="P222" s="21"/>
    </row>
    <row r="223">
      <c r="A223" s="21"/>
      <c r="B223" s="21"/>
      <c r="C223" s="21"/>
      <c r="D223" s="21"/>
      <c r="E223" s="21"/>
      <c r="F223" s="21"/>
      <c r="G223" s="21"/>
      <c r="H223" s="21"/>
      <c r="I223" s="21"/>
      <c r="J223" s="21"/>
      <c r="K223" s="21"/>
      <c r="L223" s="21"/>
      <c r="M223" s="21"/>
      <c r="N223" s="21"/>
      <c r="O223" s="21"/>
      <c r="P223" s="21"/>
    </row>
    <row r="224">
      <c r="A224" s="21"/>
      <c r="B224" s="21"/>
      <c r="C224" s="21"/>
      <c r="D224" s="21"/>
      <c r="E224" s="21"/>
      <c r="F224" s="21"/>
      <c r="G224" s="21"/>
      <c r="H224" s="21"/>
      <c r="I224" s="21"/>
      <c r="J224" s="21"/>
      <c r="K224" s="21"/>
      <c r="L224" s="21"/>
      <c r="M224" s="21"/>
      <c r="N224" s="21"/>
      <c r="O224" s="21"/>
      <c r="P224" s="21"/>
    </row>
    <row r="225">
      <c r="A225" s="21"/>
      <c r="B225" s="21"/>
      <c r="C225" s="21"/>
      <c r="D225" s="21"/>
      <c r="E225" s="21"/>
      <c r="F225" s="21"/>
      <c r="G225" s="21"/>
      <c r="H225" s="21"/>
      <c r="I225" s="21"/>
      <c r="J225" s="21"/>
      <c r="K225" s="21"/>
      <c r="L225" s="21"/>
      <c r="M225" s="21"/>
      <c r="N225" s="21"/>
      <c r="O225" s="21"/>
      <c r="P225" s="21"/>
    </row>
    <row r="226">
      <c r="A226" s="21"/>
      <c r="B226" s="21"/>
      <c r="C226" s="21"/>
      <c r="D226" s="21"/>
      <c r="E226" s="21"/>
      <c r="F226" s="21"/>
      <c r="G226" s="21"/>
      <c r="H226" s="21"/>
      <c r="I226" s="21"/>
      <c r="J226" s="21"/>
      <c r="K226" s="21"/>
      <c r="L226" s="21"/>
      <c r="M226" s="21"/>
      <c r="N226" s="21"/>
      <c r="O226" s="21"/>
      <c r="P226" s="21"/>
    </row>
    <row r="227">
      <c r="A227" s="21"/>
      <c r="B227" s="21"/>
      <c r="C227" s="21"/>
      <c r="D227" s="21"/>
      <c r="E227" s="21"/>
      <c r="F227" s="21"/>
      <c r="G227" s="21"/>
      <c r="H227" s="21"/>
      <c r="I227" s="21"/>
      <c r="J227" s="21"/>
      <c r="K227" s="21"/>
      <c r="L227" s="21"/>
      <c r="M227" s="21"/>
      <c r="N227" s="21"/>
      <c r="O227" s="21"/>
      <c r="P227" s="21"/>
    </row>
    <row r="228">
      <c r="A228" s="21"/>
      <c r="B228" s="21"/>
      <c r="C228" s="21"/>
      <c r="D228" s="21"/>
      <c r="E228" s="21"/>
      <c r="F228" s="21"/>
      <c r="G228" s="21"/>
      <c r="H228" s="21"/>
      <c r="I228" s="21"/>
      <c r="J228" s="21"/>
      <c r="K228" s="21"/>
      <c r="L228" s="21"/>
      <c r="M228" s="21"/>
      <c r="N228" s="21"/>
      <c r="O228" s="21"/>
      <c r="P228" s="21"/>
    </row>
    <row r="229">
      <c r="A229" s="21"/>
      <c r="B229" s="21"/>
      <c r="C229" s="21"/>
      <c r="D229" s="21"/>
      <c r="E229" s="21"/>
      <c r="F229" s="21"/>
      <c r="G229" s="21"/>
      <c r="H229" s="21"/>
      <c r="I229" s="21"/>
      <c r="J229" s="21"/>
      <c r="K229" s="21"/>
      <c r="L229" s="21"/>
      <c r="M229" s="21"/>
      <c r="N229" s="21"/>
      <c r="O229" s="21"/>
      <c r="P229" s="21"/>
    </row>
    <row r="230">
      <c r="A230" s="21"/>
      <c r="B230" s="21"/>
      <c r="C230" s="21"/>
      <c r="D230" s="21"/>
      <c r="E230" s="21"/>
      <c r="F230" s="21"/>
      <c r="G230" s="21"/>
      <c r="H230" s="21"/>
      <c r="I230" s="21"/>
      <c r="J230" s="21"/>
      <c r="K230" s="21"/>
      <c r="L230" s="21"/>
      <c r="M230" s="21"/>
      <c r="N230" s="21"/>
      <c r="O230" s="21"/>
      <c r="P230" s="21"/>
    </row>
    <row r="231">
      <c r="A231" s="21"/>
      <c r="B231" s="21"/>
      <c r="C231" s="21"/>
      <c r="D231" s="21"/>
      <c r="E231" s="21"/>
      <c r="F231" s="21"/>
      <c r="G231" s="21"/>
      <c r="H231" s="21"/>
      <c r="I231" s="21"/>
      <c r="J231" s="21"/>
      <c r="K231" s="21"/>
      <c r="L231" s="21"/>
      <c r="M231" s="21"/>
      <c r="N231" s="21"/>
      <c r="O231" s="21"/>
      <c r="P231" s="21"/>
    </row>
    <row r="232">
      <c r="A232" s="21"/>
      <c r="B232" s="21"/>
      <c r="C232" s="21"/>
      <c r="D232" s="21"/>
      <c r="E232" s="21"/>
      <c r="F232" s="21"/>
      <c r="G232" s="21"/>
      <c r="H232" s="21"/>
      <c r="I232" s="21"/>
      <c r="J232" s="21"/>
      <c r="K232" s="21"/>
      <c r="L232" s="21"/>
      <c r="M232" s="21"/>
      <c r="N232" s="21"/>
      <c r="O232" s="21"/>
      <c r="P232" s="21"/>
    </row>
    <row r="233">
      <c r="A233" s="21"/>
      <c r="B233" s="21"/>
      <c r="C233" s="21"/>
      <c r="D233" s="21"/>
      <c r="E233" s="21"/>
      <c r="F233" s="21"/>
      <c r="G233" s="21"/>
      <c r="H233" s="21"/>
      <c r="I233" s="21"/>
      <c r="J233" s="21"/>
      <c r="K233" s="21"/>
      <c r="L233" s="21"/>
      <c r="M233" s="21"/>
      <c r="N233" s="21"/>
      <c r="O233" s="21"/>
      <c r="P233" s="21"/>
    </row>
    <row r="234">
      <c r="A234" s="21"/>
      <c r="B234" s="21"/>
      <c r="C234" s="21"/>
      <c r="D234" s="21"/>
      <c r="E234" s="21"/>
      <c r="F234" s="21"/>
      <c r="G234" s="21"/>
      <c r="H234" s="21"/>
      <c r="I234" s="21"/>
      <c r="J234" s="21"/>
      <c r="K234" s="21"/>
      <c r="L234" s="21"/>
      <c r="M234" s="21"/>
      <c r="N234" s="21"/>
      <c r="O234" s="21"/>
      <c r="P234" s="21"/>
    </row>
    <row r="235">
      <c r="A235" s="21"/>
      <c r="B235" s="21"/>
      <c r="C235" s="21"/>
      <c r="D235" s="21"/>
      <c r="E235" s="21"/>
      <c r="F235" s="21"/>
      <c r="G235" s="21"/>
      <c r="H235" s="21"/>
      <c r="I235" s="21"/>
      <c r="J235" s="21"/>
      <c r="K235" s="21"/>
      <c r="L235" s="21"/>
      <c r="M235" s="21"/>
      <c r="N235" s="21"/>
      <c r="O235" s="21"/>
      <c r="P235" s="21"/>
    </row>
    <row r="236">
      <c r="A236" s="21"/>
      <c r="B236" s="21"/>
      <c r="C236" s="21"/>
      <c r="D236" s="21"/>
      <c r="E236" s="21"/>
      <c r="F236" s="21"/>
      <c r="G236" s="21"/>
      <c r="H236" s="21"/>
      <c r="I236" s="21"/>
      <c r="J236" s="21"/>
      <c r="K236" s="21"/>
      <c r="L236" s="21"/>
      <c r="M236" s="21"/>
      <c r="N236" s="21"/>
      <c r="O236" s="21"/>
      <c r="P236" s="21"/>
    </row>
    <row r="237">
      <c r="A237" s="21"/>
      <c r="B237" s="21"/>
      <c r="C237" s="21"/>
      <c r="D237" s="21"/>
      <c r="E237" s="21"/>
      <c r="F237" s="21"/>
      <c r="G237" s="21"/>
      <c r="H237" s="21"/>
      <c r="I237" s="21"/>
      <c r="J237" s="21"/>
      <c r="K237" s="21"/>
      <c r="L237" s="21"/>
      <c r="M237" s="21"/>
      <c r="N237" s="21"/>
      <c r="O237" s="21"/>
      <c r="P237" s="21"/>
    </row>
    <row r="238">
      <c r="A238" s="21"/>
      <c r="B238" s="21"/>
      <c r="C238" s="21"/>
      <c r="D238" s="21"/>
      <c r="E238" s="21"/>
      <c r="F238" s="21"/>
      <c r="G238" s="21"/>
      <c r="H238" s="21"/>
      <c r="I238" s="21"/>
      <c r="J238" s="21"/>
      <c r="K238" s="21"/>
      <c r="L238" s="21"/>
      <c r="M238" s="21"/>
      <c r="N238" s="21"/>
      <c r="O238" s="21"/>
      <c r="P238" s="21"/>
    </row>
    <row r="239">
      <c r="A239" s="21"/>
      <c r="B239" s="21"/>
      <c r="C239" s="21"/>
      <c r="D239" s="21"/>
      <c r="E239" s="21"/>
      <c r="F239" s="21"/>
      <c r="G239" s="21"/>
      <c r="H239" s="21"/>
      <c r="I239" s="21"/>
      <c r="J239" s="21"/>
      <c r="K239" s="21"/>
      <c r="L239" s="21"/>
      <c r="M239" s="21"/>
      <c r="N239" s="21"/>
      <c r="O239" s="21"/>
      <c r="P239" s="21"/>
    </row>
    <row r="240">
      <c r="A240" s="21"/>
      <c r="B240" s="21"/>
      <c r="C240" s="21"/>
      <c r="D240" s="21"/>
      <c r="E240" s="21"/>
      <c r="F240" s="21"/>
      <c r="G240" s="21"/>
      <c r="H240" s="21"/>
      <c r="I240" s="21"/>
      <c r="J240" s="21"/>
      <c r="K240" s="21"/>
      <c r="L240" s="21"/>
      <c r="M240" s="21"/>
      <c r="N240" s="21"/>
      <c r="O240" s="21"/>
      <c r="P240" s="21"/>
    </row>
    <row r="241">
      <c r="A241" s="21"/>
      <c r="B241" s="21"/>
      <c r="C241" s="21"/>
      <c r="D241" s="21"/>
      <c r="E241" s="21"/>
      <c r="F241" s="21"/>
      <c r="G241" s="21"/>
      <c r="H241" s="21"/>
      <c r="I241" s="21"/>
      <c r="J241" s="21"/>
      <c r="K241" s="21"/>
      <c r="L241" s="21"/>
      <c r="M241" s="21"/>
      <c r="N241" s="21"/>
      <c r="O241" s="21"/>
      <c r="P241" s="21"/>
    </row>
    <row r="242">
      <c r="A242" s="21"/>
      <c r="B242" s="21"/>
      <c r="C242" s="21"/>
      <c r="D242" s="21"/>
      <c r="E242" s="21"/>
      <c r="F242" s="21"/>
      <c r="G242" s="21"/>
      <c r="H242" s="21"/>
      <c r="I242" s="21"/>
      <c r="J242" s="21"/>
      <c r="K242" s="21"/>
      <c r="L242" s="21"/>
      <c r="M242" s="21"/>
      <c r="N242" s="21"/>
      <c r="O242" s="21"/>
      <c r="P242" s="21"/>
    </row>
    <row r="243">
      <c r="A243" s="21"/>
      <c r="B243" s="21"/>
      <c r="C243" s="21"/>
      <c r="D243" s="21"/>
      <c r="E243" s="21"/>
      <c r="F243" s="21"/>
      <c r="G243" s="21"/>
      <c r="H243" s="21"/>
      <c r="I243" s="21"/>
      <c r="J243" s="21"/>
      <c r="K243" s="21"/>
      <c r="L243" s="21"/>
      <c r="M243" s="21"/>
      <c r="N243" s="21"/>
      <c r="O243" s="21"/>
      <c r="P243" s="21"/>
    </row>
    <row r="244">
      <c r="A244" s="21"/>
      <c r="B244" s="21"/>
      <c r="C244" s="21"/>
      <c r="D244" s="21"/>
      <c r="E244" s="21"/>
      <c r="F244" s="21"/>
      <c r="G244" s="21"/>
      <c r="H244" s="21"/>
      <c r="I244" s="21"/>
      <c r="J244" s="21"/>
      <c r="K244" s="21"/>
      <c r="L244" s="21"/>
      <c r="M244" s="21"/>
      <c r="N244" s="21"/>
      <c r="O244" s="21"/>
      <c r="P244" s="21"/>
    </row>
    <row r="245">
      <c r="A245" s="21"/>
      <c r="B245" s="21"/>
      <c r="C245" s="21"/>
      <c r="D245" s="21"/>
      <c r="E245" s="21"/>
      <c r="F245" s="21"/>
      <c r="G245" s="21"/>
      <c r="H245" s="21"/>
      <c r="I245" s="21"/>
      <c r="J245" s="21"/>
      <c r="K245" s="21"/>
      <c r="L245" s="21"/>
      <c r="M245" s="21"/>
      <c r="N245" s="21"/>
      <c r="O245" s="21"/>
      <c r="P245" s="21"/>
    </row>
    <row r="246">
      <c r="A246" s="21"/>
      <c r="B246" s="21"/>
      <c r="C246" s="21"/>
      <c r="D246" s="21"/>
      <c r="E246" s="21"/>
      <c r="F246" s="21"/>
      <c r="G246" s="21"/>
      <c r="H246" s="21"/>
      <c r="I246" s="21"/>
      <c r="J246" s="21"/>
      <c r="K246" s="21"/>
      <c r="L246" s="21"/>
      <c r="M246" s="21"/>
      <c r="N246" s="21"/>
      <c r="O246" s="21"/>
      <c r="P246" s="21"/>
    </row>
    <row r="247">
      <c r="A247" s="21"/>
      <c r="B247" s="21"/>
      <c r="C247" s="21"/>
      <c r="D247" s="21"/>
      <c r="E247" s="21"/>
      <c r="F247" s="21"/>
      <c r="G247" s="21"/>
      <c r="H247" s="21"/>
      <c r="I247" s="21"/>
      <c r="J247" s="21"/>
      <c r="K247" s="21"/>
      <c r="L247" s="21"/>
      <c r="M247" s="21"/>
      <c r="N247" s="21"/>
      <c r="O247" s="21"/>
      <c r="P247" s="21"/>
    </row>
    <row r="248">
      <c r="A248" s="21"/>
      <c r="B248" s="21"/>
      <c r="C248" s="21"/>
      <c r="D248" s="21"/>
      <c r="E248" s="21"/>
      <c r="F248" s="21"/>
      <c r="G248" s="21"/>
      <c r="H248" s="21"/>
      <c r="I248" s="21"/>
      <c r="J248" s="21"/>
      <c r="K248" s="21"/>
      <c r="L248" s="21"/>
      <c r="M248" s="21"/>
      <c r="N248" s="21"/>
      <c r="O248" s="21"/>
      <c r="P248" s="21"/>
    </row>
    <row r="249">
      <c r="A249" s="21"/>
      <c r="B249" s="21"/>
      <c r="C249" s="21"/>
      <c r="D249" s="21"/>
      <c r="E249" s="21"/>
      <c r="F249" s="21"/>
      <c r="G249" s="21"/>
      <c r="H249" s="21"/>
      <c r="I249" s="21"/>
      <c r="J249" s="21"/>
      <c r="K249" s="21"/>
      <c r="L249" s="21"/>
      <c r="M249" s="21"/>
      <c r="N249" s="21"/>
      <c r="O249" s="21"/>
      <c r="P249" s="21"/>
    </row>
    <row r="250">
      <c r="A250" s="21"/>
      <c r="B250" s="21"/>
      <c r="C250" s="21"/>
      <c r="D250" s="21"/>
      <c r="E250" s="21"/>
      <c r="F250" s="21"/>
      <c r="G250" s="21"/>
      <c r="H250" s="21"/>
      <c r="I250" s="21"/>
      <c r="J250" s="21"/>
      <c r="K250" s="21"/>
      <c r="L250" s="21"/>
      <c r="M250" s="21"/>
      <c r="N250" s="21"/>
      <c r="O250" s="21"/>
      <c r="P250" s="21"/>
    </row>
    <row r="251">
      <c r="A251" s="21"/>
      <c r="B251" s="21"/>
      <c r="C251" s="21"/>
      <c r="D251" s="21"/>
      <c r="E251" s="21"/>
      <c r="F251" s="21"/>
      <c r="G251" s="21"/>
      <c r="H251" s="21"/>
      <c r="I251" s="21"/>
      <c r="J251" s="21"/>
      <c r="K251" s="21"/>
      <c r="L251" s="21"/>
      <c r="M251" s="21"/>
      <c r="N251" s="21"/>
      <c r="O251" s="21"/>
      <c r="P251" s="21"/>
    </row>
    <row r="252">
      <c r="A252" s="21"/>
      <c r="B252" s="21"/>
      <c r="C252" s="21"/>
      <c r="D252" s="21"/>
      <c r="E252" s="21"/>
      <c r="F252" s="21"/>
      <c r="G252" s="21"/>
      <c r="H252" s="21"/>
      <c r="I252" s="21"/>
      <c r="J252" s="21"/>
      <c r="K252" s="21"/>
      <c r="L252" s="21"/>
      <c r="M252" s="21"/>
      <c r="N252" s="21"/>
      <c r="O252" s="21"/>
      <c r="P252" s="21"/>
    </row>
    <row r="253">
      <c r="A253" s="21"/>
      <c r="B253" s="21"/>
      <c r="C253" s="21"/>
      <c r="D253" s="21"/>
      <c r="E253" s="21"/>
      <c r="F253" s="21"/>
      <c r="G253" s="21"/>
      <c r="H253" s="21"/>
      <c r="I253" s="21"/>
      <c r="J253" s="21"/>
      <c r="K253" s="21"/>
      <c r="L253" s="21"/>
      <c r="M253" s="21"/>
      <c r="N253" s="21"/>
      <c r="O253" s="21"/>
      <c r="P253" s="21"/>
    </row>
    <row r="254">
      <c r="A254" s="21"/>
      <c r="B254" s="21"/>
      <c r="C254" s="21"/>
      <c r="D254" s="21"/>
      <c r="E254" s="21"/>
      <c r="F254" s="21"/>
      <c r="G254" s="21"/>
      <c r="H254" s="21"/>
      <c r="I254" s="21"/>
      <c r="J254" s="21"/>
      <c r="K254" s="21"/>
      <c r="L254" s="21"/>
      <c r="M254" s="21"/>
      <c r="N254" s="21"/>
      <c r="O254" s="21"/>
      <c r="P254" s="21"/>
    </row>
    <row r="255">
      <c r="A255" s="21"/>
      <c r="B255" s="21"/>
      <c r="C255" s="21"/>
      <c r="D255" s="21"/>
      <c r="E255" s="21"/>
      <c r="F255" s="21"/>
      <c r="G255" s="21"/>
      <c r="H255" s="21"/>
      <c r="I255" s="21"/>
      <c r="J255" s="21"/>
      <c r="K255" s="21"/>
      <c r="L255" s="21"/>
      <c r="M255" s="21"/>
      <c r="N255" s="21"/>
      <c r="O255" s="21"/>
      <c r="P255" s="21"/>
    </row>
    <row r="256">
      <c r="A256" s="21"/>
      <c r="B256" s="21"/>
      <c r="C256" s="21"/>
      <c r="D256" s="21"/>
      <c r="E256" s="21"/>
      <c r="F256" s="21"/>
      <c r="G256" s="21"/>
      <c r="H256" s="21"/>
      <c r="I256" s="21"/>
      <c r="J256" s="21"/>
      <c r="K256" s="21"/>
      <c r="L256" s="21"/>
      <c r="M256" s="21"/>
      <c r="N256" s="21"/>
      <c r="O256" s="21"/>
      <c r="P256" s="21"/>
    </row>
    <row r="257">
      <c r="A257" s="21"/>
      <c r="B257" s="21"/>
      <c r="C257" s="21"/>
      <c r="D257" s="21"/>
      <c r="E257" s="21"/>
      <c r="F257" s="21"/>
      <c r="G257" s="21"/>
      <c r="H257" s="21"/>
      <c r="I257" s="21"/>
      <c r="J257" s="21"/>
      <c r="K257" s="21"/>
      <c r="L257" s="21"/>
      <c r="M257" s="21"/>
      <c r="N257" s="21"/>
      <c r="O257" s="21"/>
      <c r="P257" s="21"/>
    </row>
    <row r="258">
      <c r="A258" s="21"/>
      <c r="B258" s="21"/>
      <c r="C258" s="21"/>
      <c r="D258" s="21"/>
      <c r="E258" s="21"/>
      <c r="F258" s="21"/>
      <c r="G258" s="21"/>
      <c r="H258" s="21"/>
      <c r="I258" s="21"/>
      <c r="J258" s="21"/>
      <c r="K258" s="21"/>
      <c r="L258" s="21"/>
      <c r="M258" s="21"/>
      <c r="N258" s="21"/>
      <c r="O258" s="21"/>
      <c r="P258" s="21"/>
    </row>
    <row r="259">
      <c r="A259" s="21"/>
      <c r="B259" s="21"/>
      <c r="C259" s="21"/>
      <c r="D259" s="21"/>
      <c r="E259" s="21"/>
      <c r="F259" s="21"/>
      <c r="G259" s="21"/>
      <c r="H259" s="21"/>
      <c r="I259" s="21"/>
      <c r="J259" s="21"/>
      <c r="K259" s="21"/>
      <c r="L259" s="21"/>
      <c r="M259" s="21"/>
      <c r="N259" s="21"/>
      <c r="O259" s="21"/>
      <c r="P259" s="21"/>
    </row>
    <row r="260">
      <c r="A260" s="21"/>
      <c r="B260" s="21"/>
      <c r="C260" s="21"/>
      <c r="D260" s="21"/>
      <c r="E260" s="21"/>
      <c r="F260" s="21"/>
      <c r="G260" s="21"/>
      <c r="H260" s="21"/>
      <c r="I260" s="21"/>
      <c r="J260" s="21"/>
      <c r="K260" s="21"/>
      <c r="L260" s="21"/>
      <c r="M260" s="21"/>
      <c r="N260" s="21"/>
      <c r="O260" s="21"/>
      <c r="P260" s="21"/>
    </row>
    <row r="261">
      <c r="A261" s="21"/>
      <c r="B261" s="21"/>
      <c r="C261" s="21"/>
      <c r="D261" s="21"/>
      <c r="E261" s="21"/>
      <c r="F261" s="21"/>
      <c r="G261" s="21"/>
      <c r="H261" s="21"/>
      <c r="I261" s="21"/>
      <c r="J261" s="21"/>
      <c r="K261" s="21"/>
      <c r="L261" s="21"/>
      <c r="M261" s="21"/>
      <c r="N261" s="21"/>
      <c r="O261" s="21"/>
      <c r="P261" s="21"/>
    </row>
    <row r="262">
      <c r="A262" s="21"/>
      <c r="B262" s="21"/>
      <c r="C262" s="21"/>
      <c r="D262" s="21"/>
      <c r="E262" s="21"/>
      <c r="F262" s="21"/>
      <c r="G262" s="21"/>
      <c r="H262" s="21"/>
      <c r="I262" s="21"/>
      <c r="J262" s="21"/>
      <c r="K262" s="21"/>
      <c r="L262" s="21"/>
      <c r="M262" s="21"/>
      <c r="N262" s="21"/>
      <c r="O262" s="21"/>
      <c r="P262" s="21"/>
    </row>
    <row r="263">
      <c r="A263" s="21"/>
      <c r="B263" s="21"/>
      <c r="C263" s="21"/>
      <c r="D263" s="21"/>
      <c r="E263" s="21"/>
      <c r="F263" s="21"/>
      <c r="G263" s="21"/>
      <c r="H263" s="21"/>
      <c r="I263" s="21"/>
      <c r="J263" s="21"/>
      <c r="K263" s="21"/>
      <c r="L263" s="21"/>
      <c r="M263" s="21"/>
      <c r="N263" s="21"/>
      <c r="O263" s="21"/>
      <c r="P263" s="21"/>
    </row>
    <row r="264">
      <c r="A264" s="21"/>
      <c r="B264" s="21"/>
      <c r="C264" s="21"/>
      <c r="D264" s="21"/>
      <c r="E264" s="21"/>
      <c r="F264" s="21"/>
      <c r="G264" s="21"/>
      <c r="H264" s="21"/>
      <c r="I264" s="21"/>
      <c r="J264" s="21"/>
      <c r="K264" s="21"/>
      <c r="L264" s="21"/>
      <c r="M264" s="21"/>
      <c r="N264" s="21"/>
      <c r="O264" s="21"/>
      <c r="P264" s="21"/>
    </row>
    <row r="265">
      <c r="A265" s="21"/>
      <c r="B265" s="21"/>
      <c r="C265" s="21"/>
      <c r="D265" s="21"/>
      <c r="E265" s="21"/>
      <c r="F265" s="21"/>
      <c r="G265" s="21"/>
      <c r="H265" s="21"/>
      <c r="I265" s="21"/>
      <c r="J265" s="21"/>
      <c r="K265" s="21"/>
      <c r="L265" s="21"/>
      <c r="M265" s="21"/>
      <c r="N265" s="21"/>
      <c r="O265" s="21"/>
      <c r="P265" s="21"/>
    </row>
    <row r="266">
      <c r="A266" s="21"/>
      <c r="B266" s="21"/>
      <c r="C266" s="21"/>
      <c r="D266" s="21"/>
      <c r="E266" s="21"/>
      <c r="F266" s="21"/>
      <c r="G266" s="21"/>
      <c r="H266" s="21"/>
      <c r="I266" s="21"/>
      <c r="J266" s="21"/>
      <c r="K266" s="21"/>
      <c r="L266" s="21"/>
      <c r="M266" s="21"/>
      <c r="N266" s="21"/>
      <c r="O266" s="21"/>
      <c r="P266" s="21"/>
    </row>
    <row r="267">
      <c r="A267" s="21"/>
      <c r="B267" s="21"/>
      <c r="C267" s="21"/>
      <c r="D267" s="21"/>
      <c r="E267" s="21"/>
      <c r="F267" s="21"/>
      <c r="G267" s="21"/>
      <c r="H267" s="21"/>
      <c r="I267" s="21"/>
      <c r="J267" s="21"/>
      <c r="K267" s="21"/>
      <c r="L267" s="21"/>
      <c r="M267" s="21"/>
      <c r="N267" s="21"/>
      <c r="O267" s="21"/>
      <c r="P267" s="21"/>
    </row>
    <row r="268">
      <c r="A268" s="21"/>
      <c r="B268" s="21"/>
      <c r="C268" s="21"/>
      <c r="D268" s="21"/>
      <c r="E268" s="21"/>
      <c r="F268" s="21"/>
      <c r="G268" s="21"/>
      <c r="H268" s="21"/>
      <c r="I268" s="21"/>
      <c r="J268" s="21"/>
      <c r="K268" s="21"/>
      <c r="L268" s="21"/>
      <c r="M268" s="21"/>
      <c r="N268" s="21"/>
      <c r="O268" s="21"/>
      <c r="P268" s="21"/>
    </row>
    <row r="269">
      <c r="A269" s="21"/>
      <c r="B269" s="21"/>
      <c r="C269" s="21"/>
      <c r="D269" s="21"/>
      <c r="E269" s="21"/>
      <c r="F269" s="21"/>
      <c r="G269" s="21"/>
      <c r="H269" s="21"/>
      <c r="I269" s="21"/>
      <c r="J269" s="21"/>
      <c r="K269" s="21"/>
      <c r="L269" s="21"/>
      <c r="M269" s="21"/>
      <c r="N269" s="21"/>
      <c r="O269" s="21"/>
      <c r="P269" s="21"/>
    </row>
    <row r="270">
      <c r="A270" s="21"/>
      <c r="B270" s="21"/>
      <c r="C270" s="21"/>
      <c r="D270" s="21"/>
      <c r="E270" s="21"/>
      <c r="F270" s="21"/>
      <c r="G270" s="21"/>
      <c r="H270" s="21"/>
      <c r="I270" s="21"/>
      <c r="J270" s="21"/>
      <c r="K270" s="21"/>
      <c r="L270" s="21"/>
      <c r="M270" s="21"/>
      <c r="N270" s="21"/>
      <c r="O270" s="21"/>
      <c r="P270" s="21"/>
    </row>
    <row r="271">
      <c r="A271" s="21"/>
      <c r="B271" s="21"/>
      <c r="C271" s="21"/>
      <c r="D271" s="21"/>
      <c r="E271" s="21"/>
      <c r="F271" s="21"/>
      <c r="G271" s="21"/>
      <c r="H271" s="21"/>
      <c r="I271" s="21"/>
      <c r="J271" s="21"/>
      <c r="K271" s="21"/>
      <c r="L271" s="21"/>
      <c r="M271" s="21"/>
      <c r="N271" s="21"/>
      <c r="O271" s="21"/>
      <c r="P271" s="21"/>
    </row>
    <row r="272">
      <c r="A272" s="21"/>
      <c r="B272" s="21"/>
      <c r="C272" s="21"/>
      <c r="D272" s="21"/>
      <c r="E272" s="21"/>
      <c r="F272" s="21"/>
      <c r="G272" s="21"/>
      <c r="H272" s="21"/>
      <c r="I272" s="21"/>
      <c r="J272" s="21"/>
      <c r="K272" s="21"/>
      <c r="L272" s="21"/>
      <c r="M272" s="21"/>
      <c r="N272" s="21"/>
      <c r="O272" s="21"/>
      <c r="P272" s="21"/>
    </row>
    <row r="273">
      <c r="A273" s="21"/>
      <c r="B273" s="21"/>
      <c r="C273" s="21"/>
      <c r="D273" s="21"/>
      <c r="E273" s="21"/>
      <c r="F273" s="21"/>
      <c r="G273" s="21"/>
      <c r="H273" s="21"/>
      <c r="I273" s="21"/>
      <c r="J273" s="21"/>
      <c r="K273" s="21"/>
      <c r="L273" s="21"/>
      <c r="M273" s="21"/>
      <c r="N273" s="21"/>
      <c r="O273" s="21"/>
      <c r="P273" s="21"/>
    </row>
    <row r="274">
      <c r="A274" s="21"/>
      <c r="B274" s="21"/>
      <c r="C274" s="21"/>
      <c r="D274" s="21"/>
      <c r="E274" s="21"/>
      <c r="F274" s="21"/>
      <c r="G274" s="21"/>
      <c r="H274" s="21"/>
      <c r="I274" s="21"/>
      <c r="J274" s="21"/>
      <c r="K274" s="21"/>
      <c r="L274" s="21"/>
      <c r="M274" s="21"/>
      <c r="N274" s="21"/>
      <c r="O274" s="21"/>
      <c r="P274" s="21"/>
    </row>
    <row r="275">
      <c r="A275" s="21"/>
      <c r="B275" s="21"/>
      <c r="C275" s="21"/>
      <c r="D275" s="21"/>
      <c r="E275" s="21"/>
      <c r="F275" s="21"/>
      <c r="G275" s="21"/>
      <c r="H275" s="21"/>
      <c r="I275" s="21"/>
      <c r="J275" s="21"/>
      <c r="K275" s="21"/>
      <c r="L275" s="21"/>
      <c r="M275" s="21"/>
      <c r="N275" s="21"/>
      <c r="O275" s="21"/>
      <c r="P275" s="21"/>
    </row>
    <row r="276">
      <c r="A276" s="21"/>
      <c r="B276" s="21"/>
      <c r="C276" s="21"/>
      <c r="D276" s="21"/>
      <c r="E276" s="21"/>
      <c r="F276" s="21"/>
      <c r="G276" s="21"/>
      <c r="H276" s="21"/>
      <c r="I276" s="21"/>
      <c r="J276" s="21"/>
      <c r="K276" s="21"/>
      <c r="L276" s="21"/>
      <c r="M276" s="21"/>
      <c r="N276" s="21"/>
      <c r="O276" s="21"/>
      <c r="P276" s="21"/>
    </row>
    <row r="277">
      <c r="A277" s="21"/>
      <c r="B277" s="21"/>
      <c r="C277" s="21"/>
      <c r="D277" s="21"/>
      <c r="E277" s="21"/>
      <c r="F277" s="21"/>
      <c r="G277" s="21"/>
      <c r="H277" s="21"/>
      <c r="I277" s="21"/>
      <c r="J277" s="21"/>
      <c r="K277" s="21"/>
      <c r="L277" s="21"/>
      <c r="M277" s="21"/>
      <c r="N277" s="21"/>
      <c r="O277" s="21"/>
      <c r="P277" s="21"/>
    </row>
    <row r="278">
      <c r="A278" s="21"/>
      <c r="B278" s="21"/>
      <c r="C278" s="21"/>
      <c r="D278" s="21"/>
      <c r="E278" s="21"/>
      <c r="F278" s="21"/>
      <c r="G278" s="21"/>
      <c r="H278" s="21"/>
      <c r="I278" s="21"/>
      <c r="J278" s="21"/>
      <c r="K278" s="21"/>
      <c r="L278" s="21"/>
      <c r="M278" s="21"/>
      <c r="N278" s="21"/>
      <c r="O278" s="21"/>
      <c r="P278" s="21"/>
    </row>
    <row r="279">
      <c r="A279" s="21"/>
      <c r="B279" s="21"/>
      <c r="C279" s="21"/>
      <c r="D279" s="21"/>
      <c r="E279" s="21"/>
      <c r="F279" s="21"/>
      <c r="G279" s="21"/>
      <c r="H279" s="21"/>
      <c r="I279" s="21"/>
      <c r="J279" s="21"/>
      <c r="K279" s="21"/>
      <c r="L279" s="21"/>
      <c r="M279" s="21"/>
      <c r="N279" s="21"/>
      <c r="O279" s="21"/>
      <c r="P279" s="21"/>
    </row>
    <row r="280">
      <c r="A280" s="21"/>
      <c r="B280" s="21"/>
      <c r="C280" s="21"/>
      <c r="D280" s="21"/>
      <c r="E280" s="21"/>
      <c r="F280" s="21"/>
      <c r="G280" s="21"/>
      <c r="H280" s="21"/>
      <c r="I280" s="21"/>
      <c r="J280" s="21"/>
      <c r="K280" s="21"/>
      <c r="L280" s="21"/>
      <c r="M280" s="21"/>
      <c r="N280" s="21"/>
      <c r="O280" s="21"/>
      <c r="P280" s="21"/>
    </row>
    <row r="281">
      <c r="A281" s="21"/>
      <c r="B281" s="21"/>
      <c r="C281" s="21"/>
      <c r="D281" s="21"/>
      <c r="E281" s="21"/>
      <c r="F281" s="21"/>
      <c r="G281" s="21"/>
      <c r="H281" s="21"/>
      <c r="I281" s="21"/>
      <c r="J281" s="21"/>
      <c r="K281" s="21"/>
      <c r="L281" s="21"/>
      <c r="M281" s="21"/>
      <c r="N281" s="21"/>
      <c r="O281" s="21"/>
      <c r="P281" s="21"/>
    </row>
    <row r="282">
      <c r="A282" s="21"/>
      <c r="B282" s="21"/>
      <c r="C282" s="21"/>
      <c r="D282" s="21"/>
      <c r="E282" s="21"/>
      <c r="F282" s="21"/>
      <c r="G282" s="21"/>
      <c r="H282" s="21"/>
      <c r="I282" s="21"/>
      <c r="J282" s="21"/>
      <c r="K282" s="21"/>
      <c r="L282" s="21"/>
      <c r="M282" s="21"/>
      <c r="N282" s="21"/>
      <c r="O282" s="21"/>
      <c r="P282" s="21"/>
    </row>
    <row r="283">
      <c r="A283" s="21"/>
      <c r="B283" s="21"/>
      <c r="C283" s="21"/>
      <c r="D283" s="21"/>
      <c r="E283" s="21"/>
      <c r="F283" s="21"/>
      <c r="G283" s="21"/>
      <c r="H283" s="21"/>
      <c r="I283" s="21"/>
      <c r="J283" s="21"/>
      <c r="K283" s="21"/>
      <c r="L283" s="21"/>
      <c r="M283" s="21"/>
      <c r="N283" s="21"/>
      <c r="O283" s="21"/>
      <c r="P283" s="21"/>
    </row>
    <row r="284">
      <c r="A284" s="21"/>
      <c r="B284" s="21"/>
      <c r="C284" s="21"/>
      <c r="D284" s="21"/>
      <c r="E284" s="21"/>
      <c r="F284" s="21"/>
      <c r="G284" s="21"/>
      <c r="H284" s="21"/>
      <c r="I284" s="21"/>
      <c r="J284" s="21"/>
      <c r="K284" s="21"/>
      <c r="L284" s="21"/>
      <c r="M284" s="21"/>
      <c r="N284" s="21"/>
      <c r="O284" s="21"/>
      <c r="P284" s="21"/>
    </row>
    <row r="285">
      <c r="A285" s="21"/>
      <c r="B285" s="21"/>
      <c r="C285" s="21"/>
      <c r="D285" s="21"/>
      <c r="E285" s="21"/>
      <c r="F285" s="21"/>
      <c r="G285" s="21"/>
      <c r="H285" s="21"/>
      <c r="I285" s="21"/>
      <c r="J285" s="21"/>
      <c r="K285" s="21"/>
      <c r="L285" s="21"/>
      <c r="M285" s="21"/>
      <c r="N285" s="21"/>
      <c r="O285" s="21"/>
      <c r="P285" s="21"/>
    </row>
    <row r="286">
      <c r="A286" s="21"/>
      <c r="B286" s="21"/>
      <c r="C286" s="21"/>
      <c r="D286" s="21"/>
      <c r="E286" s="21"/>
      <c r="F286" s="21"/>
      <c r="G286" s="21"/>
      <c r="H286" s="21"/>
      <c r="I286" s="21"/>
      <c r="J286" s="21"/>
      <c r="K286" s="21"/>
      <c r="L286" s="21"/>
      <c r="M286" s="21"/>
      <c r="N286" s="21"/>
      <c r="O286" s="21"/>
      <c r="P286" s="21"/>
    </row>
    <row r="287">
      <c r="A287" s="21"/>
      <c r="B287" s="21"/>
      <c r="C287" s="21"/>
      <c r="D287" s="21"/>
      <c r="E287" s="21"/>
      <c r="F287" s="21"/>
      <c r="G287" s="21"/>
      <c r="H287" s="21"/>
      <c r="I287" s="21"/>
      <c r="J287" s="21"/>
      <c r="K287" s="21"/>
      <c r="L287" s="21"/>
      <c r="M287" s="21"/>
      <c r="N287" s="21"/>
      <c r="O287" s="21"/>
      <c r="P287" s="21"/>
    </row>
    <row r="288">
      <c r="A288" s="21"/>
      <c r="B288" s="21"/>
      <c r="C288" s="21"/>
      <c r="D288" s="21"/>
      <c r="E288" s="21"/>
      <c r="F288" s="21"/>
      <c r="G288" s="21"/>
      <c r="H288" s="21"/>
      <c r="I288" s="21"/>
      <c r="J288" s="21"/>
      <c r="K288" s="21"/>
      <c r="L288" s="21"/>
      <c r="M288" s="21"/>
      <c r="N288" s="21"/>
      <c r="O288" s="21"/>
      <c r="P288" s="21"/>
    </row>
    <row r="289">
      <c r="A289" s="21"/>
      <c r="B289" s="21"/>
      <c r="C289" s="21"/>
      <c r="D289" s="21"/>
      <c r="E289" s="21"/>
      <c r="F289" s="21"/>
      <c r="G289" s="21"/>
      <c r="H289" s="21"/>
      <c r="I289" s="21"/>
      <c r="J289" s="21"/>
      <c r="K289" s="21"/>
      <c r="L289" s="21"/>
      <c r="M289" s="21"/>
      <c r="N289" s="21"/>
      <c r="O289" s="21"/>
      <c r="P289" s="21"/>
    </row>
    <row r="290">
      <c r="A290" s="21"/>
      <c r="B290" s="21"/>
      <c r="C290" s="21"/>
      <c r="D290" s="21"/>
      <c r="E290" s="21"/>
      <c r="F290" s="21"/>
      <c r="G290" s="21"/>
      <c r="H290" s="21"/>
      <c r="I290" s="21"/>
      <c r="J290" s="21"/>
      <c r="K290" s="21"/>
      <c r="L290" s="21"/>
      <c r="M290" s="21"/>
      <c r="N290" s="21"/>
      <c r="O290" s="21"/>
      <c r="P290" s="21"/>
    </row>
    <row r="291">
      <c r="A291" s="21"/>
      <c r="B291" s="21"/>
      <c r="C291" s="21"/>
      <c r="D291" s="21"/>
      <c r="E291" s="21"/>
      <c r="F291" s="21"/>
      <c r="G291" s="21"/>
      <c r="H291" s="21"/>
      <c r="I291" s="21"/>
      <c r="J291" s="21"/>
      <c r="K291" s="21"/>
      <c r="L291" s="21"/>
      <c r="M291" s="21"/>
      <c r="N291" s="21"/>
      <c r="O291" s="21"/>
      <c r="P291" s="21"/>
    </row>
    <row r="292">
      <c r="A292" s="21"/>
      <c r="B292" s="21"/>
      <c r="C292" s="21"/>
      <c r="D292" s="21"/>
      <c r="E292" s="21"/>
      <c r="F292" s="21"/>
      <c r="G292" s="21"/>
      <c r="H292" s="21"/>
      <c r="I292" s="21"/>
      <c r="J292" s="21"/>
      <c r="K292" s="21"/>
      <c r="L292" s="21"/>
      <c r="M292" s="21"/>
      <c r="N292" s="21"/>
      <c r="O292" s="21"/>
      <c r="P292" s="21"/>
    </row>
    <row r="293">
      <c r="A293" s="21"/>
      <c r="B293" s="21"/>
      <c r="C293" s="21"/>
      <c r="D293" s="21"/>
      <c r="E293" s="21"/>
      <c r="F293" s="21"/>
      <c r="G293" s="21"/>
      <c r="H293" s="21"/>
      <c r="I293" s="21"/>
      <c r="J293" s="21"/>
      <c r="K293" s="21"/>
      <c r="L293" s="21"/>
      <c r="M293" s="21"/>
      <c r="N293" s="21"/>
      <c r="O293" s="21"/>
      <c r="P293" s="21"/>
    </row>
    <row r="294">
      <c r="A294" s="21"/>
      <c r="B294" s="21"/>
      <c r="C294" s="21"/>
      <c r="D294" s="21"/>
      <c r="E294" s="21"/>
      <c r="F294" s="21"/>
      <c r="G294" s="21"/>
      <c r="H294" s="21"/>
      <c r="I294" s="21"/>
      <c r="J294" s="21"/>
      <c r="K294" s="21"/>
      <c r="L294" s="21"/>
      <c r="M294" s="21"/>
      <c r="N294" s="21"/>
      <c r="O294" s="21"/>
      <c r="P294" s="21"/>
    </row>
    <row r="295">
      <c r="A295" s="21"/>
      <c r="B295" s="21"/>
      <c r="C295" s="21"/>
      <c r="D295" s="21"/>
      <c r="E295" s="21"/>
      <c r="F295" s="21"/>
      <c r="G295" s="21"/>
      <c r="H295" s="21"/>
      <c r="I295" s="21"/>
      <c r="J295" s="21"/>
      <c r="K295" s="21"/>
      <c r="L295" s="21"/>
      <c r="M295" s="21"/>
      <c r="N295" s="21"/>
      <c r="O295" s="21"/>
      <c r="P295" s="21"/>
    </row>
    <row r="296">
      <c r="A296" s="21"/>
      <c r="B296" s="21"/>
      <c r="C296" s="21"/>
      <c r="D296" s="21"/>
      <c r="E296" s="21"/>
      <c r="F296" s="21"/>
      <c r="G296" s="21"/>
      <c r="H296" s="21"/>
      <c r="I296" s="21"/>
      <c r="J296" s="21"/>
      <c r="K296" s="21"/>
      <c r="L296" s="21"/>
      <c r="M296" s="21"/>
      <c r="N296" s="21"/>
      <c r="O296" s="21"/>
      <c r="P296" s="21"/>
    </row>
    <row r="297">
      <c r="A297" s="21"/>
      <c r="B297" s="21"/>
      <c r="C297" s="21"/>
      <c r="D297" s="21"/>
      <c r="E297" s="21"/>
      <c r="F297" s="21"/>
      <c r="G297" s="21"/>
      <c r="H297" s="21"/>
      <c r="I297" s="21"/>
      <c r="J297" s="21"/>
      <c r="K297" s="21"/>
      <c r="L297" s="21"/>
      <c r="M297" s="21"/>
      <c r="N297" s="21"/>
      <c r="O297" s="21"/>
      <c r="P297" s="21"/>
    </row>
    <row r="298">
      <c r="A298" s="21"/>
      <c r="B298" s="21"/>
      <c r="C298" s="21"/>
      <c r="D298" s="21"/>
      <c r="E298" s="21"/>
      <c r="F298" s="21"/>
      <c r="G298" s="21"/>
      <c r="H298" s="21"/>
      <c r="I298" s="21"/>
      <c r="J298" s="21"/>
      <c r="K298" s="21"/>
      <c r="L298" s="21"/>
      <c r="M298" s="21"/>
      <c r="N298" s="21"/>
      <c r="O298" s="21"/>
      <c r="P298" s="21"/>
    </row>
    <row r="299">
      <c r="A299" s="21"/>
      <c r="B299" s="21"/>
      <c r="C299" s="21"/>
      <c r="D299" s="21"/>
      <c r="E299" s="21"/>
      <c r="F299" s="21"/>
      <c r="G299" s="21"/>
      <c r="H299" s="21"/>
      <c r="I299" s="21"/>
      <c r="J299" s="21"/>
      <c r="K299" s="21"/>
      <c r="L299" s="21"/>
      <c r="M299" s="21"/>
      <c r="N299" s="21"/>
      <c r="O299" s="21"/>
      <c r="P299" s="21"/>
    </row>
    <row r="300">
      <c r="A300" s="21"/>
      <c r="B300" s="21"/>
      <c r="C300" s="21"/>
      <c r="D300" s="21"/>
      <c r="E300" s="21"/>
      <c r="F300" s="21"/>
      <c r="G300" s="21"/>
      <c r="H300" s="21"/>
      <c r="I300" s="21"/>
      <c r="J300" s="21"/>
      <c r="K300" s="21"/>
      <c r="L300" s="21"/>
      <c r="M300" s="21"/>
      <c r="N300" s="21"/>
      <c r="O300" s="21"/>
      <c r="P300" s="21"/>
    </row>
    <row r="301">
      <c r="A301" s="21"/>
      <c r="B301" s="21"/>
      <c r="C301" s="21"/>
      <c r="D301" s="21"/>
      <c r="E301" s="21"/>
      <c r="F301" s="21"/>
      <c r="G301" s="21"/>
      <c r="H301" s="21"/>
      <c r="I301" s="21"/>
      <c r="J301" s="21"/>
      <c r="K301" s="21"/>
      <c r="L301" s="21"/>
      <c r="M301" s="21"/>
      <c r="N301" s="21"/>
      <c r="O301" s="21"/>
      <c r="P301" s="21"/>
    </row>
    <row r="302">
      <c r="A302" s="21"/>
      <c r="B302" s="21"/>
      <c r="C302" s="21"/>
      <c r="D302" s="21"/>
      <c r="E302" s="21"/>
      <c r="F302" s="21"/>
      <c r="G302" s="21"/>
      <c r="H302" s="21"/>
      <c r="I302" s="21"/>
      <c r="J302" s="21"/>
      <c r="K302" s="21"/>
      <c r="L302" s="21"/>
      <c r="M302" s="21"/>
      <c r="N302" s="21"/>
      <c r="O302" s="21"/>
      <c r="P302" s="21"/>
    </row>
    <row r="303">
      <c r="A303" s="21"/>
      <c r="B303" s="21"/>
      <c r="C303" s="21"/>
      <c r="D303" s="21"/>
      <c r="E303" s="21"/>
      <c r="F303" s="21"/>
      <c r="G303" s="21"/>
      <c r="H303" s="21"/>
      <c r="I303" s="21"/>
      <c r="J303" s="21"/>
      <c r="K303" s="21"/>
      <c r="L303" s="21"/>
      <c r="M303" s="21"/>
      <c r="N303" s="21"/>
      <c r="O303" s="21"/>
      <c r="P303" s="21"/>
    </row>
    <row r="304">
      <c r="A304" s="21"/>
      <c r="B304" s="21"/>
      <c r="C304" s="21"/>
      <c r="D304" s="21"/>
      <c r="E304" s="21"/>
      <c r="F304" s="21"/>
      <c r="G304" s="21"/>
      <c r="H304" s="21"/>
      <c r="I304" s="21"/>
      <c r="J304" s="21"/>
      <c r="K304" s="21"/>
      <c r="L304" s="21"/>
      <c r="M304" s="21"/>
      <c r="N304" s="21"/>
      <c r="O304" s="21"/>
      <c r="P304" s="21"/>
    </row>
    <row r="305">
      <c r="A305" s="21"/>
      <c r="B305" s="21"/>
      <c r="C305" s="21"/>
      <c r="D305" s="21"/>
      <c r="E305" s="21"/>
      <c r="F305" s="21"/>
      <c r="G305" s="21"/>
      <c r="H305" s="21"/>
      <c r="I305" s="21"/>
      <c r="J305" s="21"/>
      <c r="K305" s="21"/>
      <c r="L305" s="21"/>
      <c r="M305" s="21"/>
      <c r="N305" s="21"/>
      <c r="O305" s="21"/>
      <c r="P305" s="21"/>
    </row>
    <row r="306">
      <c r="A306" s="21"/>
      <c r="B306" s="21"/>
      <c r="C306" s="21"/>
      <c r="D306" s="21"/>
      <c r="E306" s="21"/>
      <c r="F306" s="21"/>
      <c r="G306" s="21"/>
      <c r="H306" s="21"/>
      <c r="I306" s="21"/>
      <c r="J306" s="21"/>
      <c r="K306" s="21"/>
      <c r="L306" s="21"/>
      <c r="M306" s="21"/>
      <c r="N306" s="21"/>
      <c r="O306" s="21"/>
      <c r="P306" s="21"/>
    </row>
    <row r="307">
      <c r="A307" s="21"/>
      <c r="B307" s="21"/>
      <c r="C307" s="21"/>
      <c r="D307" s="21"/>
      <c r="E307" s="21"/>
      <c r="F307" s="21"/>
      <c r="G307" s="21"/>
      <c r="H307" s="21"/>
      <c r="I307" s="21"/>
      <c r="J307" s="21"/>
      <c r="K307" s="21"/>
      <c r="L307" s="21"/>
      <c r="M307" s="21"/>
      <c r="N307" s="21"/>
      <c r="O307" s="21"/>
      <c r="P307" s="21"/>
    </row>
    <row r="308">
      <c r="A308" s="21"/>
      <c r="B308" s="21"/>
      <c r="C308" s="21"/>
      <c r="D308" s="21"/>
      <c r="E308" s="21"/>
      <c r="F308" s="21"/>
      <c r="G308" s="21"/>
      <c r="H308" s="21"/>
      <c r="I308" s="21"/>
      <c r="J308" s="21"/>
      <c r="K308" s="21"/>
      <c r="L308" s="21"/>
      <c r="M308" s="21"/>
      <c r="N308" s="21"/>
      <c r="O308" s="21"/>
      <c r="P308" s="21"/>
    </row>
    <row r="309">
      <c r="A309" s="21"/>
      <c r="B309" s="21"/>
      <c r="C309" s="21"/>
      <c r="D309" s="21"/>
      <c r="E309" s="21"/>
      <c r="F309" s="21"/>
      <c r="G309" s="21"/>
      <c r="H309" s="21"/>
      <c r="I309" s="21"/>
      <c r="J309" s="21"/>
      <c r="K309" s="21"/>
      <c r="L309" s="21"/>
      <c r="M309" s="21"/>
      <c r="N309" s="21"/>
      <c r="O309" s="21"/>
      <c r="P309" s="21"/>
    </row>
    <row r="310">
      <c r="A310" s="21"/>
      <c r="B310" s="21"/>
      <c r="C310" s="21"/>
      <c r="D310" s="21"/>
      <c r="E310" s="21"/>
      <c r="F310" s="21"/>
      <c r="G310" s="21"/>
      <c r="H310" s="21"/>
      <c r="I310" s="21"/>
      <c r="J310" s="21"/>
      <c r="K310" s="21"/>
      <c r="L310" s="21"/>
      <c r="M310" s="21"/>
      <c r="N310" s="21"/>
      <c r="O310" s="21"/>
      <c r="P310" s="21"/>
    </row>
    <row r="311">
      <c r="A311" s="21"/>
      <c r="B311" s="21"/>
      <c r="C311" s="21"/>
      <c r="D311" s="21"/>
      <c r="E311" s="21"/>
      <c r="F311" s="21"/>
      <c r="G311" s="21"/>
      <c r="H311" s="21"/>
      <c r="I311" s="21"/>
      <c r="J311" s="21"/>
      <c r="K311" s="21"/>
      <c r="L311" s="21"/>
      <c r="M311" s="21"/>
      <c r="N311" s="21"/>
      <c r="O311" s="21"/>
      <c r="P311" s="21"/>
    </row>
    <row r="312">
      <c r="A312" s="21"/>
      <c r="B312" s="21"/>
      <c r="C312" s="21"/>
      <c r="D312" s="21"/>
      <c r="E312" s="21"/>
      <c r="F312" s="21"/>
      <c r="G312" s="21"/>
      <c r="H312" s="21"/>
      <c r="I312" s="21"/>
      <c r="J312" s="21"/>
      <c r="K312" s="21"/>
      <c r="L312" s="21"/>
      <c r="M312" s="21"/>
      <c r="N312" s="21"/>
      <c r="O312" s="21"/>
      <c r="P312" s="21"/>
    </row>
    <row r="313">
      <c r="A313" s="21"/>
      <c r="B313" s="21"/>
      <c r="C313" s="21"/>
      <c r="D313" s="21"/>
      <c r="E313" s="21"/>
      <c r="F313" s="21"/>
      <c r="G313" s="21"/>
      <c r="H313" s="21"/>
      <c r="I313" s="21"/>
      <c r="J313" s="21"/>
      <c r="K313" s="21"/>
      <c r="L313" s="21"/>
      <c r="M313" s="21"/>
      <c r="N313" s="21"/>
      <c r="O313" s="21"/>
      <c r="P313" s="21"/>
    </row>
    <row r="314">
      <c r="A314" s="21"/>
      <c r="B314" s="21"/>
      <c r="C314" s="21"/>
      <c r="D314" s="21"/>
      <c r="E314" s="21"/>
      <c r="F314" s="21"/>
      <c r="G314" s="21"/>
      <c r="H314" s="21"/>
      <c r="I314" s="21"/>
      <c r="J314" s="21"/>
      <c r="K314" s="21"/>
      <c r="L314" s="21"/>
      <c r="M314" s="21"/>
      <c r="N314" s="21"/>
      <c r="O314" s="21"/>
      <c r="P314" s="21"/>
    </row>
    <row r="315">
      <c r="A315" s="21"/>
      <c r="B315" s="21"/>
      <c r="C315" s="21"/>
      <c r="D315" s="21"/>
      <c r="E315" s="21"/>
      <c r="F315" s="21"/>
      <c r="G315" s="21"/>
      <c r="H315" s="21"/>
      <c r="I315" s="21"/>
      <c r="J315" s="21"/>
      <c r="K315" s="21"/>
      <c r="L315" s="21"/>
      <c r="M315" s="21"/>
      <c r="N315" s="21"/>
      <c r="O315" s="21"/>
      <c r="P315" s="21"/>
    </row>
    <row r="316">
      <c r="A316" s="21"/>
      <c r="B316" s="21"/>
      <c r="C316" s="21"/>
      <c r="D316" s="21"/>
      <c r="E316" s="21"/>
      <c r="F316" s="21"/>
      <c r="G316" s="21"/>
      <c r="H316" s="21"/>
      <c r="I316" s="21"/>
      <c r="J316" s="21"/>
      <c r="K316" s="21"/>
      <c r="L316" s="21"/>
      <c r="M316" s="21"/>
      <c r="N316" s="21"/>
      <c r="O316" s="21"/>
      <c r="P316" s="21"/>
    </row>
    <row r="317">
      <c r="A317" s="21"/>
      <c r="B317" s="21"/>
      <c r="C317" s="21"/>
      <c r="D317" s="21"/>
      <c r="E317" s="21"/>
      <c r="F317" s="21"/>
      <c r="G317" s="21"/>
      <c r="H317" s="21"/>
      <c r="I317" s="21"/>
      <c r="J317" s="21"/>
      <c r="K317" s="21"/>
      <c r="L317" s="21"/>
      <c r="M317" s="21"/>
      <c r="N317" s="21"/>
      <c r="O317" s="21"/>
      <c r="P317" s="21"/>
    </row>
    <row r="318">
      <c r="A318" s="21"/>
      <c r="B318" s="21"/>
      <c r="C318" s="21"/>
      <c r="D318" s="21"/>
      <c r="E318" s="21"/>
      <c r="F318" s="21"/>
      <c r="G318" s="21"/>
      <c r="H318" s="21"/>
      <c r="I318" s="21"/>
      <c r="J318" s="21"/>
      <c r="K318" s="21"/>
      <c r="L318" s="21"/>
      <c r="M318" s="21"/>
      <c r="N318" s="21"/>
      <c r="O318" s="21"/>
      <c r="P318" s="21"/>
    </row>
    <row r="319">
      <c r="A319" s="21"/>
      <c r="B319" s="21"/>
      <c r="C319" s="21"/>
      <c r="D319" s="21"/>
      <c r="E319" s="21"/>
      <c r="F319" s="21"/>
      <c r="G319" s="21"/>
      <c r="H319" s="21"/>
      <c r="I319" s="21"/>
      <c r="J319" s="21"/>
      <c r="K319" s="21"/>
      <c r="L319" s="21"/>
      <c r="M319" s="21"/>
      <c r="N319" s="21"/>
      <c r="O319" s="21"/>
      <c r="P319" s="21"/>
    </row>
    <row r="320">
      <c r="A320" s="21"/>
      <c r="B320" s="21"/>
      <c r="C320" s="21"/>
      <c r="D320" s="21"/>
      <c r="E320" s="21"/>
      <c r="F320" s="21"/>
      <c r="G320" s="21"/>
      <c r="H320" s="21"/>
      <c r="I320" s="21"/>
      <c r="J320" s="21"/>
      <c r="K320" s="21"/>
      <c r="L320" s="21"/>
      <c r="M320" s="21"/>
      <c r="N320" s="21"/>
      <c r="O320" s="21"/>
      <c r="P320" s="21"/>
    </row>
    <row r="321">
      <c r="A321" s="21"/>
      <c r="B321" s="21"/>
      <c r="C321" s="21"/>
      <c r="D321" s="21"/>
      <c r="E321" s="21"/>
      <c r="F321" s="21"/>
      <c r="G321" s="21"/>
      <c r="H321" s="21"/>
      <c r="I321" s="21"/>
      <c r="J321" s="21"/>
      <c r="K321" s="21"/>
      <c r="L321" s="21"/>
      <c r="M321" s="21"/>
      <c r="N321" s="21"/>
      <c r="O321" s="21"/>
      <c r="P321" s="21"/>
    </row>
    <row r="322">
      <c r="A322" s="21"/>
      <c r="B322" s="21"/>
      <c r="C322" s="21"/>
      <c r="D322" s="21"/>
      <c r="E322" s="21"/>
      <c r="F322" s="21"/>
      <c r="G322" s="21"/>
      <c r="H322" s="21"/>
      <c r="I322" s="21"/>
      <c r="J322" s="21"/>
      <c r="K322" s="21"/>
      <c r="L322" s="21"/>
      <c r="M322" s="21"/>
      <c r="N322" s="21"/>
      <c r="O322" s="21"/>
      <c r="P322" s="21"/>
    </row>
    <row r="323">
      <c r="A323" s="21"/>
      <c r="B323" s="21"/>
      <c r="C323" s="21"/>
      <c r="D323" s="21"/>
      <c r="E323" s="21"/>
      <c r="F323" s="21"/>
      <c r="G323" s="21"/>
      <c r="H323" s="21"/>
      <c r="I323" s="21"/>
      <c r="J323" s="21"/>
      <c r="K323" s="21"/>
      <c r="L323" s="21"/>
      <c r="M323" s="21"/>
      <c r="N323" s="21"/>
      <c r="O323" s="21"/>
      <c r="P323" s="21"/>
    </row>
    <row r="324">
      <c r="A324" s="21"/>
      <c r="B324" s="21"/>
      <c r="C324" s="21"/>
      <c r="D324" s="21"/>
      <c r="E324" s="21"/>
      <c r="F324" s="21"/>
      <c r="G324" s="21"/>
      <c r="H324" s="21"/>
      <c r="I324" s="21"/>
      <c r="J324" s="21"/>
      <c r="K324" s="21"/>
      <c r="L324" s="21"/>
      <c r="M324" s="21"/>
      <c r="N324" s="21"/>
      <c r="O324" s="21"/>
      <c r="P324" s="21"/>
    </row>
    <row r="325">
      <c r="A325" s="21"/>
      <c r="B325" s="21"/>
      <c r="C325" s="21"/>
      <c r="D325" s="21"/>
      <c r="E325" s="21"/>
      <c r="F325" s="21"/>
      <c r="G325" s="21"/>
      <c r="H325" s="21"/>
      <c r="I325" s="21"/>
      <c r="J325" s="21"/>
      <c r="K325" s="21"/>
      <c r="L325" s="21"/>
      <c r="M325" s="21"/>
      <c r="N325" s="21"/>
      <c r="O325" s="21"/>
      <c r="P325" s="21"/>
    </row>
    <row r="326">
      <c r="A326" s="21"/>
      <c r="B326" s="21"/>
      <c r="C326" s="21"/>
      <c r="D326" s="21"/>
      <c r="E326" s="21"/>
      <c r="F326" s="21"/>
      <c r="G326" s="21"/>
      <c r="H326" s="21"/>
      <c r="I326" s="21"/>
      <c r="J326" s="21"/>
      <c r="K326" s="21"/>
      <c r="L326" s="21"/>
      <c r="M326" s="21"/>
      <c r="N326" s="21"/>
      <c r="O326" s="21"/>
      <c r="P326" s="21"/>
    </row>
    <row r="327">
      <c r="A327" s="21"/>
      <c r="B327" s="21"/>
      <c r="C327" s="21"/>
      <c r="D327" s="21"/>
      <c r="E327" s="21"/>
      <c r="F327" s="21"/>
      <c r="G327" s="21"/>
      <c r="H327" s="21"/>
      <c r="I327" s="21"/>
      <c r="J327" s="21"/>
      <c r="K327" s="21"/>
      <c r="L327" s="21"/>
      <c r="M327" s="21"/>
      <c r="N327" s="21"/>
      <c r="O327" s="21"/>
      <c r="P327" s="21"/>
    </row>
    <row r="328">
      <c r="A328" s="21"/>
      <c r="B328" s="21"/>
      <c r="C328" s="21"/>
      <c r="D328" s="21"/>
      <c r="E328" s="21"/>
      <c r="F328" s="21"/>
      <c r="G328" s="21"/>
      <c r="H328" s="21"/>
      <c r="I328" s="21"/>
      <c r="J328" s="21"/>
      <c r="K328" s="21"/>
      <c r="L328" s="21"/>
      <c r="M328" s="21"/>
      <c r="N328" s="21"/>
      <c r="O328" s="21"/>
      <c r="P328" s="21"/>
    </row>
    <row r="329">
      <c r="A329" s="21"/>
      <c r="B329" s="21"/>
      <c r="C329" s="21"/>
      <c r="D329" s="21"/>
      <c r="E329" s="21"/>
      <c r="F329" s="21"/>
      <c r="G329" s="21"/>
      <c r="H329" s="21"/>
      <c r="I329" s="21"/>
      <c r="J329" s="21"/>
      <c r="K329" s="21"/>
      <c r="L329" s="21"/>
      <c r="M329" s="21"/>
      <c r="N329" s="21"/>
      <c r="O329" s="21"/>
      <c r="P329" s="21"/>
    </row>
    <row r="330">
      <c r="A330" s="21"/>
      <c r="B330" s="21"/>
      <c r="C330" s="21"/>
      <c r="D330" s="21"/>
      <c r="E330" s="21"/>
      <c r="F330" s="21"/>
      <c r="G330" s="21"/>
      <c r="H330" s="21"/>
      <c r="I330" s="21"/>
      <c r="J330" s="21"/>
      <c r="K330" s="21"/>
      <c r="L330" s="21"/>
      <c r="M330" s="21"/>
      <c r="N330" s="21"/>
      <c r="O330" s="21"/>
      <c r="P330" s="21"/>
    </row>
    <row r="331">
      <c r="A331" s="21"/>
      <c r="B331" s="21"/>
      <c r="C331" s="21"/>
      <c r="D331" s="21"/>
      <c r="E331" s="21"/>
      <c r="F331" s="21"/>
      <c r="G331" s="21"/>
      <c r="H331" s="21"/>
      <c r="I331" s="21"/>
      <c r="J331" s="21"/>
      <c r="K331" s="21"/>
      <c r="L331" s="21"/>
      <c r="M331" s="21"/>
      <c r="N331" s="21"/>
      <c r="O331" s="21"/>
      <c r="P331" s="21"/>
    </row>
    <row r="332">
      <c r="A332" s="21"/>
      <c r="B332" s="21"/>
      <c r="C332" s="21"/>
      <c r="D332" s="21"/>
      <c r="E332" s="21"/>
      <c r="F332" s="21"/>
      <c r="G332" s="21"/>
      <c r="H332" s="21"/>
      <c r="I332" s="21"/>
      <c r="J332" s="21"/>
      <c r="K332" s="21"/>
      <c r="L332" s="21"/>
      <c r="M332" s="21"/>
      <c r="N332" s="21"/>
      <c r="O332" s="21"/>
      <c r="P332" s="21"/>
    </row>
    <row r="333">
      <c r="A333" s="21"/>
      <c r="B333" s="21"/>
      <c r="C333" s="21"/>
      <c r="D333" s="21"/>
      <c r="E333" s="21"/>
      <c r="F333" s="21"/>
      <c r="G333" s="21"/>
      <c r="H333" s="21"/>
      <c r="I333" s="21"/>
      <c r="J333" s="21"/>
      <c r="K333" s="21"/>
      <c r="L333" s="21"/>
      <c r="M333" s="21"/>
      <c r="N333" s="21"/>
      <c r="O333" s="21"/>
      <c r="P333" s="21"/>
    </row>
    <row r="334">
      <c r="A334" s="21"/>
      <c r="B334" s="21"/>
      <c r="C334" s="21"/>
      <c r="D334" s="21"/>
      <c r="E334" s="21"/>
      <c r="F334" s="21"/>
      <c r="G334" s="21"/>
      <c r="H334" s="21"/>
      <c r="I334" s="21"/>
      <c r="J334" s="21"/>
      <c r="K334" s="21"/>
      <c r="L334" s="21"/>
      <c r="M334" s="21"/>
      <c r="N334" s="21"/>
      <c r="O334" s="21"/>
      <c r="P334" s="21"/>
    </row>
    <row r="335">
      <c r="A335" s="21"/>
      <c r="B335" s="21"/>
      <c r="C335" s="21"/>
      <c r="D335" s="21"/>
      <c r="E335" s="21"/>
      <c r="F335" s="21"/>
      <c r="G335" s="21"/>
      <c r="H335" s="21"/>
      <c r="I335" s="21"/>
      <c r="J335" s="21"/>
      <c r="K335" s="21"/>
      <c r="L335" s="21"/>
      <c r="M335" s="21"/>
      <c r="N335" s="21"/>
      <c r="O335" s="21"/>
      <c r="P335" s="21"/>
    </row>
    <row r="336">
      <c r="A336" s="21"/>
      <c r="B336" s="21"/>
      <c r="C336" s="21"/>
      <c r="D336" s="21"/>
      <c r="E336" s="21"/>
      <c r="F336" s="21"/>
      <c r="G336" s="21"/>
      <c r="H336" s="21"/>
      <c r="I336" s="21"/>
      <c r="J336" s="21"/>
      <c r="K336" s="21"/>
      <c r="L336" s="21"/>
      <c r="M336" s="21"/>
      <c r="N336" s="21"/>
      <c r="O336" s="21"/>
      <c r="P336" s="21"/>
    </row>
    <row r="337">
      <c r="A337" s="21"/>
      <c r="B337" s="21"/>
      <c r="C337" s="21"/>
      <c r="D337" s="21"/>
      <c r="E337" s="21"/>
      <c r="F337" s="21"/>
      <c r="G337" s="21"/>
      <c r="H337" s="21"/>
      <c r="I337" s="21"/>
      <c r="J337" s="21"/>
      <c r="K337" s="21"/>
      <c r="L337" s="21"/>
      <c r="M337" s="21"/>
      <c r="N337" s="21"/>
      <c r="O337" s="21"/>
      <c r="P337" s="21"/>
    </row>
    <row r="338">
      <c r="A338" s="21"/>
      <c r="B338" s="21"/>
      <c r="C338" s="21"/>
      <c r="D338" s="21"/>
      <c r="E338" s="21"/>
      <c r="F338" s="21"/>
      <c r="G338" s="21"/>
      <c r="H338" s="21"/>
      <c r="I338" s="21"/>
      <c r="J338" s="21"/>
      <c r="K338" s="21"/>
      <c r="L338" s="21"/>
      <c r="M338" s="21"/>
      <c r="N338" s="21"/>
      <c r="O338" s="21"/>
      <c r="P338" s="21"/>
    </row>
    <row r="339">
      <c r="A339" s="21"/>
      <c r="B339" s="21"/>
      <c r="C339" s="21"/>
      <c r="D339" s="21"/>
      <c r="E339" s="21"/>
      <c r="F339" s="21"/>
      <c r="G339" s="21"/>
      <c r="H339" s="21"/>
      <c r="I339" s="21"/>
      <c r="J339" s="21"/>
      <c r="K339" s="21"/>
      <c r="L339" s="21"/>
      <c r="M339" s="21"/>
      <c r="N339" s="21"/>
      <c r="O339" s="21"/>
      <c r="P339" s="21"/>
    </row>
    <row r="340">
      <c r="A340" s="21"/>
      <c r="B340" s="21"/>
      <c r="C340" s="21"/>
      <c r="D340" s="21"/>
      <c r="E340" s="21"/>
      <c r="F340" s="21"/>
      <c r="G340" s="21"/>
      <c r="H340" s="21"/>
      <c r="I340" s="21"/>
      <c r="J340" s="21"/>
      <c r="K340" s="21"/>
      <c r="L340" s="21"/>
      <c r="M340" s="21"/>
      <c r="N340" s="21"/>
      <c r="O340" s="21"/>
      <c r="P340" s="21"/>
    </row>
    <row r="341">
      <c r="A341" s="21"/>
      <c r="B341" s="21"/>
      <c r="C341" s="21"/>
      <c r="D341" s="21"/>
      <c r="E341" s="21"/>
      <c r="F341" s="21"/>
      <c r="G341" s="21"/>
      <c r="H341" s="21"/>
      <c r="I341" s="21"/>
      <c r="J341" s="21"/>
      <c r="K341" s="21"/>
      <c r="L341" s="21"/>
      <c r="M341" s="21"/>
      <c r="N341" s="21"/>
      <c r="O341" s="21"/>
      <c r="P341" s="21"/>
    </row>
    <row r="342">
      <c r="A342" s="21"/>
      <c r="B342" s="21"/>
      <c r="C342" s="21"/>
      <c r="D342" s="21"/>
      <c r="E342" s="21"/>
      <c r="F342" s="21"/>
      <c r="G342" s="21"/>
      <c r="H342" s="21"/>
      <c r="I342" s="21"/>
      <c r="J342" s="21"/>
      <c r="K342" s="21"/>
      <c r="L342" s="21"/>
      <c r="M342" s="21"/>
      <c r="N342" s="21"/>
      <c r="O342" s="21"/>
      <c r="P342" s="21"/>
    </row>
    <row r="343">
      <c r="A343" s="21"/>
      <c r="B343" s="21"/>
      <c r="C343" s="21"/>
      <c r="D343" s="21"/>
      <c r="E343" s="21"/>
      <c r="F343" s="21"/>
      <c r="G343" s="21"/>
      <c r="H343" s="21"/>
      <c r="I343" s="21"/>
      <c r="J343" s="21"/>
      <c r="K343" s="21"/>
      <c r="L343" s="21"/>
      <c r="M343" s="21"/>
      <c r="N343" s="21"/>
      <c r="O343" s="21"/>
      <c r="P343" s="21"/>
    </row>
    <row r="344">
      <c r="A344" s="21"/>
      <c r="B344" s="21"/>
      <c r="C344" s="21"/>
      <c r="D344" s="21"/>
      <c r="E344" s="21"/>
      <c r="F344" s="21"/>
      <c r="G344" s="21"/>
      <c r="H344" s="21"/>
      <c r="I344" s="21"/>
      <c r="J344" s="21"/>
      <c r="K344" s="21"/>
      <c r="L344" s="21"/>
      <c r="M344" s="21"/>
      <c r="N344" s="21"/>
      <c r="O344" s="21"/>
      <c r="P344" s="21"/>
    </row>
    <row r="345">
      <c r="A345" s="21"/>
      <c r="B345" s="21"/>
      <c r="C345" s="21"/>
      <c r="D345" s="21"/>
      <c r="E345" s="21"/>
      <c r="F345" s="21"/>
      <c r="G345" s="21"/>
      <c r="H345" s="21"/>
      <c r="I345" s="21"/>
      <c r="J345" s="21"/>
      <c r="K345" s="21"/>
      <c r="L345" s="21"/>
      <c r="M345" s="21"/>
      <c r="N345" s="21"/>
      <c r="O345" s="21"/>
      <c r="P345" s="21"/>
    </row>
    <row r="346">
      <c r="A346" s="21"/>
      <c r="B346" s="21"/>
      <c r="C346" s="21"/>
      <c r="D346" s="21"/>
      <c r="E346" s="21"/>
      <c r="F346" s="21"/>
      <c r="G346" s="21"/>
      <c r="H346" s="21"/>
      <c r="I346" s="21"/>
      <c r="J346" s="21"/>
      <c r="K346" s="21"/>
      <c r="L346" s="21"/>
      <c r="M346" s="21"/>
      <c r="N346" s="21"/>
      <c r="O346" s="21"/>
      <c r="P346" s="21"/>
    </row>
    <row r="347">
      <c r="A347" s="21"/>
      <c r="B347" s="21"/>
      <c r="C347" s="21"/>
      <c r="D347" s="21"/>
      <c r="E347" s="21"/>
      <c r="F347" s="21"/>
      <c r="G347" s="21"/>
      <c r="H347" s="21"/>
      <c r="I347" s="21"/>
      <c r="J347" s="21"/>
      <c r="K347" s="21"/>
      <c r="L347" s="21"/>
      <c r="M347" s="21"/>
      <c r="N347" s="21"/>
      <c r="O347" s="21"/>
      <c r="P347" s="21"/>
    </row>
    <row r="348">
      <c r="A348" s="21"/>
      <c r="B348" s="21"/>
      <c r="C348" s="21"/>
      <c r="D348" s="21"/>
      <c r="E348" s="21"/>
      <c r="F348" s="21"/>
      <c r="G348" s="21"/>
      <c r="H348" s="21"/>
      <c r="I348" s="21"/>
      <c r="J348" s="21"/>
      <c r="K348" s="21"/>
      <c r="L348" s="21"/>
      <c r="M348" s="21"/>
      <c r="N348" s="21"/>
      <c r="O348" s="21"/>
      <c r="P348" s="21"/>
    </row>
    <row r="349">
      <c r="A349" s="21"/>
      <c r="B349" s="21"/>
      <c r="C349" s="21"/>
      <c r="D349" s="21"/>
      <c r="E349" s="21"/>
      <c r="F349" s="21"/>
      <c r="G349" s="21"/>
      <c r="H349" s="21"/>
      <c r="I349" s="21"/>
      <c r="J349" s="21"/>
      <c r="K349" s="21"/>
      <c r="L349" s="21"/>
      <c r="M349" s="21"/>
      <c r="N349" s="21"/>
      <c r="O349" s="21"/>
      <c r="P349" s="21"/>
    </row>
    <row r="350">
      <c r="A350" s="21"/>
      <c r="B350" s="21"/>
      <c r="C350" s="21"/>
      <c r="D350" s="21"/>
      <c r="E350" s="21"/>
      <c r="F350" s="21"/>
      <c r="G350" s="21"/>
      <c r="H350" s="21"/>
      <c r="I350" s="21"/>
      <c r="J350" s="21"/>
      <c r="K350" s="21"/>
      <c r="L350" s="21"/>
      <c r="M350" s="21"/>
      <c r="N350" s="21"/>
      <c r="O350" s="21"/>
      <c r="P350" s="21"/>
    </row>
    <row r="351">
      <c r="A351" s="21"/>
      <c r="B351" s="21"/>
      <c r="C351" s="21"/>
      <c r="D351" s="21"/>
      <c r="E351" s="21"/>
      <c r="F351" s="21"/>
      <c r="G351" s="21"/>
      <c r="H351" s="21"/>
      <c r="I351" s="21"/>
      <c r="J351" s="21"/>
      <c r="K351" s="21"/>
      <c r="L351" s="21"/>
      <c r="M351" s="21"/>
      <c r="N351" s="21"/>
      <c r="O351" s="21"/>
      <c r="P351" s="21"/>
    </row>
    <row r="352">
      <c r="A352" s="21"/>
      <c r="B352" s="21"/>
      <c r="C352" s="21"/>
      <c r="D352" s="21"/>
      <c r="E352" s="21"/>
      <c r="F352" s="21"/>
      <c r="G352" s="21"/>
      <c r="H352" s="21"/>
      <c r="I352" s="21"/>
      <c r="J352" s="21"/>
      <c r="K352" s="21"/>
      <c r="L352" s="21"/>
      <c r="M352" s="21"/>
      <c r="N352" s="21"/>
      <c r="O352" s="21"/>
      <c r="P352" s="21"/>
    </row>
    <row r="353">
      <c r="A353" s="21"/>
      <c r="B353" s="21"/>
      <c r="C353" s="21"/>
      <c r="D353" s="21"/>
      <c r="E353" s="21"/>
      <c r="F353" s="21"/>
      <c r="G353" s="21"/>
      <c r="H353" s="21"/>
      <c r="I353" s="21"/>
      <c r="J353" s="21"/>
      <c r="K353" s="21"/>
      <c r="L353" s="21"/>
      <c r="M353" s="21"/>
      <c r="N353" s="21"/>
      <c r="O353" s="21"/>
      <c r="P353" s="21"/>
    </row>
    <row r="354">
      <c r="A354" s="21"/>
      <c r="B354" s="21"/>
      <c r="C354" s="21"/>
      <c r="D354" s="21"/>
      <c r="E354" s="21"/>
      <c r="F354" s="21"/>
      <c r="G354" s="21"/>
      <c r="H354" s="21"/>
      <c r="I354" s="21"/>
      <c r="J354" s="21"/>
      <c r="K354" s="21"/>
      <c r="L354" s="21"/>
      <c r="M354" s="21"/>
      <c r="N354" s="21"/>
      <c r="O354" s="21"/>
      <c r="P354" s="21"/>
    </row>
    <row r="355">
      <c r="A355" s="21"/>
      <c r="B355" s="21"/>
      <c r="C355" s="21"/>
      <c r="D355" s="21"/>
      <c r="E355" s="21"/>
      <c r="F355" s="21"/>
      <c r="G355" s="21"/>
      <c r="H355" s="21"/>
      <c r="I355" s="21"/>
      <c r="J355" s="21"/>
      <c r="K355" s="21"/>
      <c r="L355" s="21"/>
      <c r="M355" s="21"/>
      <c r="N355" s="21"/>
      <c r="O355" s="21"/>
      <c r="P355" s="21"/>
    </row>
    <row r="356">
      <c r="A356" s="21"/>
      <c r="B356" s="21"/>
      <c r="C356" s="21"/>
      <c r="D356" s="21"/>
      <c r="E356" s="21"/>
      <c r="F356" s="21"/>
      <c r="G356" s="21"/>
      <c r="H356" s="21"/>
      <c r="I356" s="21"/>
      <c r="J356" s="21"/>
      <c r="K356" s="21"/>
      <c r="L356" s="21"/>
      <c r="M356" s="21"/>
      <c r="N356" s="21"/>
      <c r="O356" s="21"/>
      <c r="P356" s="21"/>
    </row>
    <row r="357">
      <c r="A357" s="21"/>
      <c r="B357" s="21"/>
      <c r="C357" s="21"/>
      <c r="D357" s="21"/>
      <c r="E357" s="21"/>
      <c r="F357" s="21"/>
      <c r="G357" s="21"/>
      <c r="H357" s="21"/>
      <c r="I357" s="21"/>
      <c r="J357" s="21"/>
      <c r="K357" s="21"/>
      <c r="L357" s="21"/>
      <c r="M357" s="21"/>
      <c r="N357" s="21"/>
      <c r="O357" s="21"/>
      <c r="P357" s="21"/>
    </row>
    <row r="358">
      <c r="A358" s="21"/>
      <c r="B358" s="21"/>
      <c r="C358" s="21"/>
      <c r="D358" s="21"/>
      <c r="E358" s="21"/>
      <c r="F358" s="21"/>
      <c r="G358" s="21"/>
      <c r="H358" s="21"/>
      <c r="I358" s="21"/>
      <c r="J358" s="21"/>
      <c r="K358" s="21"/>
      <c r="L358" s="21"/>
      <c r="M358" s="21"/>
      <c r="N358" s="21"/>
      <c r="O358" s="21"/>
      <c r="P358" s="21"/>
    </row>
    <row r="359">
      <c r="A359" s="21"/>
      <c r="B359" s="21"/>
      <c r="C359" s="21"/>
      <c r="D359" s="21"/>
      <c r="E359" s="21"/>
      <c r="F359" s="21"/>
      <c r="G359" s="21"/>
      <c r="H359" s="21"/>
      <c r="I359" s="21"/>
      <c r="J359" s="21"/>
      <c r="K359" s="21"/>
      <c r="L359" s="21"/>
      <c r="M359" s="21"/>
      <c r="N359" s="21"/>
      <c r="O359" s="21"/>
      <c r="P359" s="21"/>
    </row>
    <row r="360">
      <c r="A360" s="21"/>
      <c r="B360" s="21"/>
      <c r="C360" s="21"/>
      <c r="D360" s="21"/>
      <c r="E360" s="21"/>
      <c r="F360" s="21"/>
      <c r="G360" s="21"/>
      <c r="H360" s="21"/>
      <c r="I360" s="21"/>
      <c r="J360" s="21"/>
      <c r="K360" s="21"/>
      <c r="L360" s="21"/>
      <c r="M360" s="21"/>
      <c r="N360" s="21"/>
      <c r="O360" s="21"/>
      <c r="P360" s="21"/>
    </row>
    <row r="361">
      <c r="A361" s="21"/>
      <c r="B361" s="21"/>
      <c r="C361" s="21"/>
      <c r="D361" s="21"/>
      <c r="E361" s="21"/>
      <c r="F361" s="21"/>
      <c r="G361" s="21"/>
      <c r="H361" s="21"/>
      <c r="I361" s="21"/>
      <c r="J361" s="21"/>
      <c r="K361" s="21"/>
      <c r="L361" s="21"/>
      <c r="M361" s="21"/>
      <c r="N361" s="21"/>
      <c r="O361" s="21"/>
      <c r="P361" s="21"/>
    </row>
    <row r="362">
      <c r="A362" s="21"/>
      <c r="B362" s="21"/>
      <c r="C362" s="21"/>
      <c r="D362" s="21"/>
      <c r="E362" s="21"/>
      <c r="F362" s="21"/>
      <c r="G362" s="21"/>
      <c r="H362" s="21"/>
      <c r="I362" s="21"/>
      <c r="J362" s="21"/>
      <c r="K362" s="21"/>
      <c r="L362" s="21"/>
      <c r="M362" s="21"/>
      <c r="N362" s="21"/>
      <c r="O362" s="21"/>
      <c r="P362" s="21"/>
    </row>
    <row r="363">
      <c r="A363" s="21"/>
      <c r="B363" s="21"/>
      <c r="C363" s="21"/>
      <c r="D363" s="21"/>
      <c r="E363" s="21"/>
      <c r="F363" s="21"/>
      <c r="G363" s="21"/>
      <c r="H363" s="21"/>
      <c r="I363" s="21"/>
      <c r="J363" s="21"/>
      <c r="K363" s="21"/>
      <c r="L363" s="21"/>
      <c r="M363" s="21"/>
      <c r="N363" s="21"/>
      <c r="O363" s="21"/>
      <c r="P363" s="21"/>
    </row>
    <row r="364">
      <c r="A364" s="21"/>
      <c r="B364" s="21"/>
      <c r="C364" s="21"/>
      <c r="D364" s="21"/>
      <c r="E364" s="21"/>
      <c r="F364" s="21"/>
      <c r="G364" s="21"/>
      <c r="H364" s="21"/>
      <c r="I364" s="21"/>
      <c r="J364" s="21"/>
      <c r="K364" s="21"/>
      <c r="L364" s="21"/>
      <c r="M364" s="21"/>
      <c r="N364" s="21"/>
      <c r="O364" s="21"/>
      <c r="P364" s="21"/>
    </row>
    <row r="365">
      <c r="A365" s="21"/>
      <c r="B365" s="21"/>
      <c r="C365" s="21"/>
      <c r="D365" s="21"/>
      <c r="E365" s="21"/>
      <c r="F365" s="21"/>
      <c r="G365" s="21"/>
      <c r="H365" s="21"/>
      <c r="I365" s="21"/>
      <c r="J365" s="21"/>
      <c r="K365" s="21"/>
      <c r="L365" s="21"/>
      <c r="M365" s="21"/>
      <c r="N365" s="21"/>
      <c r="O365" s="21"/>
      <c r="P365" s="21"/>
    </row>
    <row r="366">
      <c r="A366" s="21"/>
      <c r="B366" s="21"/>
      <c r="C366" s="21"/>
      <c r="D366" s="21"/>
      <c r="E366" s="21"/>
      <c r="F366" s="21"/>
      <c r="G366" s="21"/>
      <c r="H366" s="21"/>
      <c r="I366" s="21"/>
      <c r="J366" s="21"/>
      <c r="K366" s="21"/>
      <c r="L366" s="21"/>
      <c r="M366" s="21"/>
      <c r="N366" s="21"/>
      <c r="O366" s="21"/>
      <c r="P366" s="21"/>
    </row>
    <row r="367">
      <c r="A367" s="21"/>
      <c r="B367" s="21"/>
      <c r="C367" s="21"/>
      <c r="D367" s="21"/>
      <c r="E367" s="21"/>
      <c r="F367" s="21"/>
      <c r="G367" s="21"/>
      <c r="H367" s="21"/>
      <c r="I367" s="21"/>
      <c r="J367" s="21"/>
      <c r="K367" s="21"/>
      <c r="L367" s="21"/>
      <c r="M367" s="21"/>
      <c r="N367" s="21"/>
      <c r="O367" s="21"/>
      <c r="P367" s="21"/>
    </row>
    <row r="368">
      <c r="A368" s="21"/>
      <c r="B368" s="21"/>
      <c r="C368" s="21"/>
      <c r="D368" s="21"/>
      <c r="E368" s="21"/>
      <c r="F368" s="21"/>
      <c r="G368" s="21"/>
      <c r="H368" s="21"/>
      <c r="I368" s="21"/>
      <c r="J368" s="21"/>
      <c r="K368" s="21"/>
      <c r="L368" s="21"/>
      <c r="M368" s="21"/>
      <c r="N368" s="21"/>
      <c r="O368" s="21"/>
      <c r="P368" s="21"/>
    </row>
    <row r="369">
      <c r="A369" s="21"/>
      <c r="B369" s="21"/>
      <c r="C369" s="21"/>
      <c r="D369" s="21"/>
      <c r="E369" s="21"/>
      <c r="F369" s="21"/>
      <c r="G369" s="21"/>
      <c r="H369" s="21"/>
      <c r="I369" s="21"/>
      <c r="J369" s="21"/>
      <c r="K369" s="21"/>
      <c r="L369" s="21"/>
      <c r="M369" s="21"/>
      <c r="N369" s="21"/>
      <c r="O369" s="21"/>
      <c r="P369" s="21"/>
    </row>
    <row r="370">
      <c r="A370" s="21"/>
      <c r="B370" s="21"/>
      <c r="C370" s="21"/>
      <c r="D370" s="21"/>
      <c r="E370" s="21"/>
      <c r="F370" s="21"/>
      <c r="G370" s="21"/>
      <c r="H370" s="21"/>
      <c r="I370" s="21"/>
      <c r="J370" s="21"/>
      <c r="K370" s="21"/>
      <c r="L370" s="21"/>
      <c r="M370" s="21"/>
      <c r="N370" s="21"/>
      <c r="O370" s="21"/>
      <c r="P370" s="21"/>
    </row>
    <row r="371">
      <c r="A371" s="21"/>
      <c r="B371" s="21"/>
      <c r="C371" s="21"/>
      <c r="D371" s="21"/>
      <c r="E371" s="21"/>
      <c r="F371" s="21"/>
      <c r="G371" s="21"/>
      <c r="H371" s="21"/>
      <c r="I371" s="21"/>
      <c r="J371" s="21"/>
      <c r="K371" s="21"/>
      <c r="L371" s="21"/>
      <c r="M371" s="21"/>
      <c r="N371" s="21"/>
      <c r="O371" s="21"/>
      <c r="P371" s="21"/>
    </row>
    <row r="372">
      <c r="A372" s="21"/>
      <c r="B372" s="21"/>
      <c r="C372" s="21"/>
      <c r="D372" s="21"/>
      <c r="E372" s="21"/>
      <c r="F372" s="21"/>
      <c r="G372" s="21"/>
      <c r="H372" s="21"/>
      <c r="I372" s="21"/>
      <c r="J372" s="21"/>
      <c r="K372" s="21"/>
      <c r="L372" s="21"/>
      <c r="M372" s="21"/>
      <c r="N372" s="21"/>
      <c r="O372" s="21"/>
      <c r="P372" s="21"/>
    </row>
    <row r="373">
      <c r="A373" s="21"/>
      <c r="B373" s="21"/>
      <c r="C373" s="21"/>
      <c r="D373" s="21"/>
      <c r="E373" s="21"/>
      <c r="F373" s="21"/>
      <c r="G373" s="21"/>
      <c r="H373" s="21"/>
      <c r="I373" s="21"/>
      <c r="J373" s="21"/>
      <c r="K373" s="21"/>
      <c r="L373" s="21"/>
      <c r="M373" s="21"/>
      <c r="N373" s="21"/>
      <c r="O373" s="21"/>
      <c r="P373" s="21"/>
    </row>
    <row r="374">
      <c r="A374" s="21"/>
      <c r="B374" s="21"/>
      <c r="C374" s="21"/>
      <c r="D374" s="21"/>
      <c r="E374" s="21"/>
      <c r="F374" s="21"/>
      <c r="G374" s="21"/>
      <c r="H374" s="21"/>
      <c r="I374" s="21"/>
      <c r="J374" s="21"/>
      <c r="K374" s="21"/>
      <c r="L374" s="21"/>
      <c r="M374" s="21"/>
      <c r="N374" s="21"/>
      <c r="O374" s="21"/>
      <c r="P374" s="21"/>
    </row>
    <row r="375">
      <c r="A375" s="21"/>
      <c r="B375" s="21"/>
      <c r="C375" s="21"/>
      <c r="D375" s="21"/>
      <c r="E375" s="21"/>
      <c r="F375" s="21"/>
      <c r="G375" s="21"/>
      <c r="H375" s="21"/>
      <c r="I375" s="21"/>
      <c r="J375" s="21"/>
      <c r="K375" s="21"/>
      <c r="L375" s="21"/>
      <c r="M375" s="21"/>
      <c r="N375" s="21"/>
      <c r="O375" s="21"/>
      <c r="P375" s="21"/>
    </row>
    <row r="376">
      <c r="A376" s="21"/>
      <c r="B376" s="21"/>
      <c r="C376" s="21"/>
      <c r="D376" s="21"/>
      <c r="E376" s="21"/>
      <c r="F376" s="21"/>
      <c r="G376" s="21"/>
      <c r="H376" s="21"/>
      <c r="I376" s="21"/>
      <c r="J376" s="21"/>
      <c r="K376" s="21"/>
      <c r="L376" s="21"/>
      <c r="M376" s="21"/>
      <c r="N376" s="21"/>
      <c r="O376" s="21"/>
      <c r="P376" s="21"/>
    </row>
    <row r="377">
      <c r="A377" s="21"/>
      <c r="B377" s="21"/>
      <c r="C377" s="21"/>
      <c r="D377" s="21"/>
      <c r="E377" s="21"/>
      <c r="F377" s="21"/>
      <c r="G377" s="21"/>
      <c r="H377" s="21"/>
      <c r="I377" s="21"/>
      <c r="J377" s="21"/>
      <c r="K377" s="21"/>
      <c r="L377" s="21"/>
      <c r="M377" s="21"/>
      <c r="N377" s="21"/>
      <c r="O377" s="21"/>
      <c r="P377" s="21"/>
    </row>
    <row r="378">
      <c r="A378" s="21"/>
      <c r="B378" s="21"/>
      <c r="C378" s="21"/>
      <c r="D378" s="21"/>
      <c r="E378" s="21"/>
      <c r="F378" s="21"/>
      <c r="G378" s="21"/>
      <c r="H378" s="21"/>
      <c r="I378" s="21"/>
      <c r="J378" s="21"/>
      <c r="K378" s="21"/>
      <c r="L378" s="21"/>
      <c r="M378" s="21"/>
      <c r="N378" s="21"/>
      <c r="O378" s="21"/>
      <c r="P378" s="21"/>
    </row>
    <row r="379">
      <c r="A379" s="21"/>
      <c r="B379" s="21"/>
      <c r="C379" s="21"/>
      <c r="D379" s="21"/>
      <c r="E379" s="21"/>
      <c r="F379" s="21"/>
      <c r="G379" s="21"/>
      <c r="H379" s="21"/>
      <c r="I379" s="21"/>
      <c r="J379" s="21"/>
      <c r="K379" s="21"/>
      <c r="L379" s="21"/>
      <c r="M379" s="21"/>
      <c r="N379" s="21"/>
      <c r="O379" s="21"/>
      <c r="P379" s="21"/>
    </row>
    <row r="380">
      <c r="A380" s="21"/>
      <c r="B380" s="21"/>
      <c r="C380" s="21"/>
      <c r="D380" s="21"/>
      <c r="E380" s="21"/>
      <c r="F380" s="21"/>
      <c r="G380" s="21"/>
      <c r="H380" s="21"/>
      <c r="I380" s="21"/>
      <c r="J380" s="21"/>
      <c r="K380" s="21"/>
      <c r="L380" s="21"/>
      <c r="M380" s="21"/>
      <c r="N380" s="21"/>
      <c r="O380" s="21"/>
      <c r="P380" s="21"/>
    </row>
    <row r="381">
      <c r="A381" s="21"/>
      <c r="B381" s="21"/>
      <c r="C381" s="21"/>
      <c r="D381" s="21"/>
      <c r="E381" s="21"/>
      <c r="F381" s="21"/>
      <c r="G381" s="21"/>
      <c r="H381" s="21"/>
      <c r="I381" s="21"/>
      <c r="J381" s="21"/>
      <c r="K381" s="21"/>
      <c r="L381" s="21"/>
      <c r="M381" s="21"/>
      <c r="N381" s="21"/>
      <c r="O381" s="21"/>
      <c r="P381" s="21"/>
    </row>
    <row r="382">
      <c r="A382" s="21"/>
      <c r="B382" s="21"/>
      <c r="C382" s="21"/>
      <c r="D382" s="21"/>
      <c r="E382" s="21"/>
      <c r="F382" s="21"/>
      <c r="G382" s="21"/>
      <c r="H382" s="21"/>
      <c r="I382" s="21"/>
      <c r="J382" s="21"/>
      <c r="K382" s="21"/>
      <c r="L382" s="21"/>
      <c r="M382" s="21"/>
      <c r="N382" s="21"/>
      <c r="O382" s="21"/>
      <c r="P382" s="21"/>
    </row>
    <row r="383">
      <c r="A383" s="21"/>
      <c r="B383" s="21"/>
      <c r="C383" s="21"/>
      <c r="D383" s="21"/>
      <c r="E383" s="21"/>
      <c r="F383" s="21"/>
      <c r="G383" s="21"/>
      <c r="H383" s="21"/>
      <c r="I383" s="21"/>
      <c r="J383" s="21"/>
      <c r="K383" s="21"/>
      <c r="L383" s="21"/>
      <c r="M383" s="21"/>
      <c r="N383" s="21"/>
      <c r="O383" s="21"/>
      <c r="P383" s="21"/>
    </row>
    <row r="384">
      <c r="A384" s="21"/>
      <c r="B384" s="21"/>
      <c r="C384" s="21"/>
      <c r="D384" s="21"/>
      <c r="E384" s="21"/>
      <c r="F384" s="21"/>
      <c r="G384" s="21"/>
      <c r="H384" s="21"/>
      <c r="I384" s="21"/>
      <c r="J384" s="21"/>
      <c r="K384" s="21"/>
      <c r="L384" s="21"/>
      <c r="M384" s="21"/>
      <c r="N384" s="21"/>
      <c r="O384" s="21"/>
      <c r="P384" s="21"/>
    </row>
    <row r="385">
      <c r="A385" s="21"/>
      <c r="B385" s="21"/>
      <c r="C385" s="21"/>
      <c r="D385" s="21"/>
      <c r="E385" s="21"/>
      <c r="F385" s="21"/>
      <c r="G385" s="21"/>
      <c r="H385" s="21"/>
      <c r="I385" s="21"/>
      <c r="J385" s="21"/>
      <c r="K385" s="21"/>
      <c r="L385" s="21"/>
      <c r="M385" s="21"/>
      <c r="N385" s="21"/>
      <c r="O385" s="21"/>
      <c r="P385" s="21"/>
    </row>
    <row r="386">
      <c r="A386" s="21"/>
      <c r="B386" s="21"/>
      <c r="C386" s="21"/>
      <c r="D386" s="21"/>
      <c r="E386" s="21"/>
      <c r="F386" s="21"/>
      <c r="G386" s="21"/>
      <c r="H386" s="21"/>
      <c r="I386" s="21"/>
      <c r="J386" s="21"/>
      <c r="K386" s="21"/>
      <c r="L386" s="21"/>
      <c r="M386" s="21"/>
      <c r="N386" s="21"/>
      <c r="O386" s="21"/>
      <c r="P386" s="21"/>
    </row>
    <row r="387">
      <c r="A387" s="21"/>
      <c r="B387" s="21"/>
      <c r="C387" s="21"/>
      <c r="D387" s="21"/>
      <c r="E387" s="21"/>
      <c r="F387" s="21"/>
      <c r="G387" s="21"/>
      <c r="H387" s="21"/>
      <c r="I387" s="21"/>
      <c r="J387" s="21"/>
      <c r="K387" s="21"/>
      <c r="L387" s="21"/>
      <c r="M387" s="21"/>
      <c r="N387" s="21"/>
      <c r="O387" s="21"/>
      <c r="P387" s="21"/>
    </row>
    <row r="388">
      <c r="A388" s="21"/>
      <c r="B388" s="21"/>
      <c r="C388" s="21"/>
      <c r="D388" s="21"/>
      <c r="E388" s="21"/>
      <c r="F388" s="21"/>
      <c r="G388" s="21"/>
      <c r="H388" s="21"/>
      <c r="I388" s="21"/>
      <c r="J388" s="21"/>
      <c r="K388" s="21"/>
      <c r="L388" s="21"/>
      <c r="M388" s="21"/>
      <c r="N388" s="21"/>
      <c r="O388" s="21"/>
      <c r="P388" s="21"/>
    </row>
    <row r="389">
      <c r="A389" s="21"/>
      <c r="B389" s="21"/>
      <c r="C389" s="21"/>
      <c r="D389" s="21"/>
      <c r="E389" s="21"/>
      <c r="F389" s="21"/>
      <c r="G389" s="21"/>
      <c r="H389" s="21"/>
      <c r="I389" s="21"/>
      <c r="J389" s="21"/>
      <c r="K389" s="21"/>
      <c r="L389" s="21"/>
      <c r="M389" s="21"/>
      <c r="N389" s="21"/>
      <c r="O389" s="21"/>
      <c r="P389" s="21"/>
    </row>
    <row r="390">
      <c r="A390" s="21"/>
      <c r="B390" s="21"/>
      <c r="C390" s="21"/>
      <c r="D390" s="21"/>
      <c r="E390" s="21"/>
      <c r="F390" s="21"/>
      <c r="G390" s="21"/>
      <c r="H390" s="21"/>
      <c r="I390" s="21"/>
      <c r="J390" s="21"/>
      <c r="K390" s="21"/>
      <c r="L390" s="21"/>
      <c r="M390" s="21"/>
      <c r="N390" s="21"/>
      <c r="O390" s="21"/>
      <c r="P390" s="21"/>
    </row>
    <row r="391">
      <c r="A391" s="21"/>
      <c r="B391" s="21"/>
      <c r="C391" s="21"/>
      <c r="D391" s="21"/>
      <c r="E391" s="21"/>
      <c r="F391" s="21"/>
      <c r="G391" s="21"/>
      <c r="H391" s="21"/>
      <c r="I391" s="21"/>
      <c r="J391" s="21"/>
      <c r="K391" s="21"/>
      <c r="L391" s="21"/>
      <c r="M391" s="21"/>
      <c r="N391" s="21"/>
      <c r="O391" s="21"/>
      <c r="P391" s="21"/>
    </row>
    <row r="392">
      <c r="A392" s="21"/>
      <c r="B392" s="21"/>
      <c r="C392" s="21"/>
      <c r="D392" s="21"/>
      <c r="E392" s="21"/>
      <c r="F392" s="21"/>
      <c r="G392" s="21"/>
      <c r="H392" s="21"/>
      <c r="I392" s="21"/>
      <c r="J392" s="21"/>
      <c r="K392" s="21"/>
      <c r="L392" s="21"/>
      <c r="M392" s="21"/>
      <c r="N392" s="21"/>
      <c r="O392" s="21"/>
      <c r="P392" s="21"/>
    </row>
    <row r="393">
      <c r="A393" s="21"/>
      <c r="B393" s="21"/>
      <c r="C393" s="21"/>
      <c r="D393" s="21"/>
      <c r="E393" s="21"/>
      <c r="F393" s="21"/>
      <c r="G393" s="21"/>
      <c r="H393" s="21"/>
      <c r="I393" s="21"/>
      <c r="J393" s="21"/>
      <c r="K393" s="21"/>
      <c r="L393" s="21"/>
      <c r="M393" s="21"/>
      <c r="N393" s="21"/>
      <c r="O393" s="21"/>
      <c r="P393" s="21"/>
    </row>
    <row r="394">
      <c r="A394" s="21"/>
      <c r="B394" s="21"/>
      <c r="C394" s="21"/>
      <c r="D394" s="21"/>
      <c r="E394" s="21"/>
      <c r="F394" s="21"/>
      <c r="G394" s="21"/>
      <c r="H394" s="21"/>
      <c r="I394" s="21"/>
      <c r="J394" s="21"/>
      <c r="K394" s="21"/>
      <c r="L394" s="21"/>
      <c r="M394" s="21"/>
      <c r="N394" s="21"/>
      <c r="O394" s="21"/>
      <c r="P394" s="21"/>
    </row>
    <row r="395">
      <c r="A395" s="21"/>
      <c r="B395" s="21"/>
      <c r="C395" s="21"/>
      <c r="D395" s="21"/>
      <c r="E395" s="21"/>
      <c r="F395" s="21"/>
      <c r="G395" s="21"/>
      <c r="H395" s="21"/>
      <c r="I395" s="21"/>
      <c r="J395" s="21"/>
      <c r="K395" s="21"/>
      <c r="L395" s="21"/>
      <c r="M395" s="21"/>
      <c r="N395" s="21"/>
      <c r="O395" s="21"/>
      <c r="P395" s="21"/>
    </row>
    <row r="396">
      <c r="A396" s="21"/>
      <c r="B396" s="21"/>
      <c r="C396" s="21"/>
      <c r="D396" s="21"/>
      <c r="E396" s="21"/>
      <c r="F396" s="21"/>
      <c r="G396" s="21"/>
      <c r="H396" s="21"/>
      <c r="I396" s="21"/>
      <c r="J396" s="21"/>
      <c r="K396" s="21"/>
      <c r="L396" s="21"/>
      <c r="M396" s="21"/>
      <c r="N396" s="21"/>
      <c r="O396" s="21"/>
      <c r="P396" s="21"/>
    </row>
    <row r="397">
      <c r="A397" s="21"/>
      <c r="B397" s="21"/>
      <c r="C397" s="21"/>
      <c r="D397" s="21"/>
      <c r="E397" s="21"/>
      <c r="F397" s="21"/>
      <c r="G397" s="21"/>
      <c r="H397" s="21"/>
      <c r="I397" s="21"/>
      <c r="J397" s="21"/>
      <c r="K397" s="21"/>
      <c r="L397" s="21"/>
      <c r="M397" s="21"/>
      <c r="N397" s="21"/>
      <c r="O397" s="21"/>
      <c r="P397" s="21"/>
    </row>
    <row r="398">
      <c r="A398" s="21"/>
      <c r="B398" s="21"/>
      <c r="C398" s="21"/>
      <c r="D398" s="21"/>
      <c r="E398" s="21"/>
      <c r="F398" s="21"/>
      <c r="G398" s="21"/>
      <c r="H398" s="21"/>
      <c r="I398" s="21"/>
      <c r="J398" s="21"/>
      <c r="K398" s="21"/>
      <c r="L398" s="21"/>
      <c r="M398" s="21"/>
      <c r="N398" s="21"/>
      <c r="O398" s="21"/>
      <c r="P398" s="21"/>
    </row>
    <row r="399">
      <c r="A399" s="21"/>
      <c r="B399" s="21"/>
      <c r="C399" s="21"/>
      <c r="D399" s="21"/>
      <c r="E399" s="21"/>
      <c r="F399" s="21"/>
      <c r="G399" s="21"/>
      <c r="H399" s="21"/>
      <c r="I399" s="21"/>
      <c r="J399" s="21"/>
      <c r="K399" s="21"/>
      <c r="L399" s="21"/>
      <c r="M399" s="21"/>
      <c r="N399" s="21"/>
      <c r="O399" s="21"/>
      <c r="P399" s="21"/>
    </row>
    <row r="400">
      <c r="A400" s="21"/>
      <c r="B400" s="21"/>
      <c r="C400" s="21"/>
      <c r="D400" s="21"/>
      <c r="E400" s="21"/>
      <c r="F400" s="21"/>
      <c r="G400" s="21"/>
      <c r="H400" s="21"/>
      <c r="I400" s="21"/>
      <c r="J400" s="21"/>
      <c r="K400" s="21"/>
      <c r="L400" s="21"/>
      <c r="M400" s="21"/>
      <c r="N400" s="21"/>
      <c r="O400" s="21"/>
      <c r="P400" s="21"/>
    </row>
    <row r="401">
      <c r="A401" s="21"/>
      <c r="B401" s="21"/>
      <c r="C401" s="21"/>
      <c r="D401" s="21"/>
      <c r="E401" s="21"/>
      <c r="F401" s="21"/>
      <c r="G401" s="21"/>
      <c r="H401" s="21"/>
      <c r="I401" s="21"/>
      <c r="J401" s="21"/>
      <c r="K401" s="21"/>
      <c r="L401" s="21"/>
      <c r="M401" s="21"/>
      <c r="N401" s="21"/>
      <c r="O401" s="21"/>
      <c r="P401" s="21"/>
    </row>
    <row r="402">
      <c r="A402" s="21"/>
      <c r="B402" s="21"/>
      <c r="C402" s="21"/>
      <c r="D402" s="21"/>
      <c r="E402" s="21"/>
      <c r="F402" s="21"/>
      <c r="G402" s="21"/>
      <c r="H402" s="21"/>
      <c r="I402" s="21"/>
      <c r="J402" s="21"/>
      <c r="K402" s="21"/>
      <c r="L402" s="21"/>
      <c r="M402" s="21"/>
      <c r="N402" s="21"/>
      <c r="O402" s="21"/>
      <c r="P402" s="21"/>
    </row>
    <row r="403">
      <c r="A403" s="21"/>
      <c r="B403" s="21"/>
      <c r="C403" s="21"/>
      <c r="D403" s="21"/>
      <c r="E403" s="21"/>
      <c r="F403" s="21"/>
      <c r="G403" s="21"/>
      <c r="H403" s="21"/>
      <c r="I403" s="21"/>
      <c r="J403" s="21"/>
      <c r="K403" s="21"/>
      <c r="L403" s="21"/>
      <c r="M403" s="21"/>
      <c r="N403" s="21"/>
      <c r="O403" s="21"/>
      <c r="P403" s="21"/>
    </row>
    <row r="404">
      <c r="A404" s="21"/>
      <c r="B404" s="21"/>
      <c r="C404" s="21"/>
      <c r="D404" s="21"/>
      <c r="E404" s="21"/>
      <c r="F404" s="21"/>
      <c r="G404" s="21"/>
      <c r="H404" s="21"/>
      <c r="I404" s="21"/>
      <c r="J404" s="21"/>
      <c r="K404" s="21"/>
      <c r="L404" s="21"/>
      <c r="M404" s="21"/>
      <c r="N404" s="21"/>
      <c r="O404" s="21"/>
      <c r="P404" s="21"/>
    </row>
    <row r="405">
      <c r="A405" s="21"/>
      <c r="B405" s="21"/>
      <c r="C405" s="21"/>
      <c r="D405" s="21"/>
      <c r="E405" s="21"/>
      <c r="F405" s="21"/>
      <c r="G405" s="21"/>
      <c r="H405" s="21"/>
      <c r="I405" s="21"/>
      <c r="J405" s="21"/>
      <c r="K405" s="21"/>
      <c r="L405" s="21"/>
      <c r="M405" s="21"/>
      <c r="N405" s="21"/>
      <c r="O405" s="21"/>
      <c r="P405" s="21"/>
    </row>
    <row r="406">
      <c r="A406" s="21"/>
      <c r="B406" s="21"/>
      <c r="C406" s="21"/>
      <c r="D406" s="21"/>
      <c r="E406" s="21"/>
      <c r="F406" s="21"/>
      <c r="G406" s="21"/>
      <c r="H406" s="21"/>
      <c r="I406" s="21"/>
      <c r="J406" s="21"/>
      <c r="K406" s="21"/>
      <c r="L406" s="21"/>
      <c r="M406" s="21"/>
      <c r="N406" s="21"/>
      <c r="O406" s="21"/>
      <c r="P406" s="21"/>
    </row>
    <row r="407">
      <c r="A407" s="21"/>
      <c r="B407" s="21"/>
      <c r="C407" s="21"/>
      <c r="D407" s="21"/>
      <c r="E407" s="21"/>
      <c r="F407" s="21"/>
      <c r="G407" s="21"/>
      <c r="H407" s="21"/>
      <c r="I407" s="21"/>
      <c r="J407" s="21"/>
      <c r="K407" s="21"/>
      <c r="L407" s="21"/>
      <c r="M407" s="21"/>
      <c r="N407" s="21"/>
      <c r="O407" s="21"/>
      <c r="P407" s="21"/>
    </row>
    <row r="408">
      <c r="A408" s="21"/>
      <c r="B408" s="21"/>
      <c r="C408" s="21"/>
      <c r="D408" s="21"/>
      <c r="E408" s="21"/>
      <c r="F408" s="21"/>
      <c r="G408" s="21"/>
      <c r="H408" s="21"/>
      <c r="I408" s="21"/>
      <c r="J408" s="21"/>
      <c r="K408" s="21"/>
      <c r="L408" s="21"/>
      <c r="M408" s="21"/>
      <c r="N408" s="21"/>
      <c r="O408" s="21"/>
      <c r="P408" s="21"/>
    </row>
    <row r="409">
      <c r="A409" s="21"/>
      <c r="B409" s="21"/>
      <c r="C409" s="21"/>
      <c r="D409" s="21"/>
      <c r="E409" s="21"/>
      <c r="F409" s="21"/>
      <c r="G409" s="21"/>
      <c r="H409" s="21"/>
      <c r="I409" s="21"/>
      <c r="J409" s="21"/>
      <c r="K409" s="21"/>
      <c r="L409" s="21"/>
      <c r="M409" s="21"/>
      <c r="N409" s="21"/>
      <c r="O409" s="21"/>
      <c r="P409" s="21"/>
    </row>
    <row r="410">
      <c r="A410" s="21"/>
      <c r="B410" s="21"/>
      <c r="C410" s="21"/>
      <c r="D410" s="21"/>
      <c r="E410" s="21"/>
      <c r="F410" s="21"/>
      <c r="G410" s="21"/>
      <c r="H410" s="21"/>
      <c r="I410" s="21"/>
      <c r="J410" s="21"/>
      <c r="K410" s="21"/>
      <c r="L410" s="21"/>
      <c r="M410" s="21"/>
      <c r="N410" s="21"/>
      <c r="O410" s="21"/>
      <c r="P410" s="21"/>
    </row>
    <row r="411">
      <c r="A411" s="21"/>
      <c r="B411" s="21"/>
      <c r="C411" s="21"/>
      <c r="D411" s="21"/>
      <c r="E411" s="21"/>
      <c r="F411" s="21"/>
      <c r="G411" s="21"/>
      <c r="H411" s="21"/>
      <c r="I411" s="21"/>
      <c r="J411" s="21"/>
      <c r="K411" s="21"/>
      <c r="L411" s="21"/>
      <c r="M411" s="21"/>
      <c r="N411" s="21"/>
      <c r="O411" s="21"/>
      <c r="P411" s="21"/>
    </row>
    <row r="412">
      <c r="A412" s="21"/>
      <c r="B412" s="21"/>
      <c r="C412" s="21"/>
      <c r="D412" s="21"/>
      <c r="E412" s="21"/>
      <c r="F412" s="21"/>
      <c r="G412" s="21"/>
      <c r="H412" s="21"/>
      <c r="I412" s="21"/>
      <c r="J412" s="21"/>
      <c r="K412" s="21"/>
      <c r="L412" s="21"/>
      <c r="M412" s="21"/>
      <c r="N412" s="21"/>
      <c r="O412" s="21"/>
      <c r="P412" s="21"/>
    </row>
    <row r="413">
      <c r="A413" s="21"/>
      <c r="B413" s="21"/>
      <c r="C413" s="21"/>
      <c r="D413" s="21"/>
      <c r="E413" s="21"/>
      <c r="F413" s="21"/>
      <c r="G413" s="21"/>
      <c r="H413" s="21"/>
      <c r="I413" s="21"/>
      <c r="J413" s="21"/>
      <c r="K413" s="21"/>
      <c r="L413" s="21"/>
      <c r="M413" s="21"/>
      <c r="N413" s="21"/>
      <c r="O413" s="21"/>
      <c r="P413" s="21"/>
    </row>
    <row r="414">
      <c r="A414" s="21"/>
      <c r="B414" s="21"/>
      <c r="C414" s="21"/>
      <c r="D414" s="21"/>
      <c r="E414" s="21"/>
      <c r="F414" s="21"/>
      <c r="G414" s="21"/>
      <c r="H414" s="21"/>
      <c r="I414" s="21"/>
      <c r="J414" s="21"/>
      <c r="K414" s="21"/>
      <c r="L414" s="21"/>
      <c r="M414" s="21"/>
      <c r="N414" s="21"/>
      <c r="O414" s="21"/>
      <c r="P414" s="21"/>
    </row>
    <row r="415">
      <c r="A415" s="21"/>
      <c r="B415" s="21"/>
      <c r="C415" s="21"/>
      <c r="D415" s="21"/>
      <c r="E415" s="21"/>
      <c r="F415" s="21"/>
      <c r="G415" s="21"/>
      <c r="H415" s="21"/>
      <c r="I415" s="21"/>
      <c r="J415" s="21"/>
      <c r="K415" s="21"/>
      <c r="L415" s="21"/>
      <c r="M415" s="21"/>
      <c r="N415" s="21"/>
      <c r="O415" s="21"/>
      <c r="P415" s="21"/>
    </row>
    <row r="416">
      <c r="A416" s="21"/>
      <c r="B416" s="21"/>
      <c r="C416" s="21"/>
      <c r="D416" s="21"/>
      <c r="E416" s="21"/>
      <c r="F416" s="21"/>
      <c r="G416" s="21"/>
      <c r="H416" s="21"/>
      <c r="I416" s="21"/>
      <c r="J416" s="21"/>
      <c r="K416" s="21"/>
      <c r="L416" s="21"/>
      <c r="M416" s="21"/>
      <c r="N416" s="21"/>
      <c r="O416" s="21"/>
      <c r="P416" s="21"/>
    </row>
    <row r="417">
      <c r="A417" s="21"/>
      <c r="B417" s="21"/>
      <c r="C417" s="21"/>
      <c r="D417" s="21"/>
      <c r="E417" s="21"/>
      <c r="F417" s="21"/>
      <c r="G417" s="21"/>
      <c r="H417" s="21"/>
      <c r="I417" s="21"/>
      <c r="J417" s="21"/>
      <c r="K417" s="21"/>
      <c r="L417" s="21"/>
      <c r="M417" s="21"/>
      <c r="N417" s="21"/>
      <c r="O417" s="21"/>
      <c r="P417" s="21"/>
    </row>
    <row r="418">
      <c r="A418" s="21"/>
      <c r="B418" s="21"/>
      <c r="C418" s="21"/>
      <c r="D418" s="21"/>
      <c r="E418" s="21"/>
      <c r="F418" s="21"/>
      <c r="G418" s="21"/>
      <c r="H418" s="21"/>
      <c r="I418" s="21"/>
      <c r="J418" s="21"/>
      <c r="K418" s="21"/>
      <c r="L418" s="21"/>
      <c r="M418" s="21"/>
      <c r="N418" s="21"/>
      <c r="O418" s="21"/>
      <c r="P418" s="21"/>
    </row>
    <row r="419">
      <c r="A419" s="21"/>
      <c r="B419" s="21"/>
      <c r="C419" s="21"/>
      <c r="D419" s="21"/>
      <c r="E419" s="21"/>
      <c r="F419" s="21"/>
      <c r="G419" s="21"/>
      <c r="H419" s="21"/>
      <c r="I419" s="21"/>
      <c r="J419" s="21"/>
      <c r="K419" s="21"/>
      <c r="L419" s="21"/>
      <c r="M419" s="21"/>
      <c r="N419" s="21"/>
      <c r="O419" s="21"/>
      <c r="P419" s="21"/>
    </row>
    <row r="420">
      <c r="A420" s="21"/>
      <c r="B420" s="21"/>
      <c r="C420" s="21"/>
      <c r="D420" s="21"/>
      <c r="E420" s="21"/>
      <c r="F420" s="21"/>
      <c r="G420" s="21"/>
      <c r="H420" s="21"/>
      <c r="I420" s="21"/>
      <c r="J420" s="21"/>
      <c r="K420" s="21"/>
      <c r="L420" s="21"/>
      <c r="M420" s="21"/>
      <c r="N420" s="21"/>
      <c r="O420" s="21"/>
      <c r="P420" s="21"/>
    </row>
    <row r="421">
      <c r="A421" s="21"/>
      <c r="B421" s="21"/>
      <c r="C421" s="21"/>
      <c r="D421" s="21"/>
      <c r="E421" s="21"/>
      <c r="F421" s="21"/>
      <c r="G421" s="21"/>
      <c r="H421" s="21"/>
      <c r="I421" s="21"/>
      <c r="J421" s="21"/>
      <c r="K421" s="21"/>
      <c r="L421" s="21"/>
      <c r="M421" s="21"/>
      <c r="N421" s="21"/>
      <c r="O421" s="21"/>
      <c r="P421" s="21"/>
    </row>
    <row r="422">
      <c r="A422" s="21"/>
      <c r="B422" s="21"/>
      <c r="C422" s="21"/>
      <c r="D422" s="21"/>
      <c r="E422" s="21"/>
      <c r="F422" s="21"/>
      <c r="G422" s="21"/>
      <c r="H422" s="21"/>
      <c r="I422" s="21"/>
      <c r="J422" s="21"/>
      <c r="K422" s="21"/>
      <c r="L422" s="21"/>
      <c r="M422" s="21"/>
      <c r="N422" s="21"/>
      <c r="O422" s="21"/>
      <c r="P422" s="21"/>
    </row>
    <row r="423">
      <c r="A423" s="21"/>
      <c r="B423" s="21"/>
      <c r="C423" s="21"/>
      <c r="D423" s="21"/>
      <c r="E423" s="21"/>
      <c r="F423" s="21"/>
      <c r="G423" s="21"/>
      <c r="H423" s="21"/>
      <c r="I423" s="21"/>
      <c r="J423" s="21"/>
      <c r="K423" s="21"/>
      <c r="L423" s="21"/>
      <c r="M423" s="21"/>
      <c r="N423" s="21"/>
      <c r="O423" s="21"/>
      <c r="P423" s="21"/>
    </row>
    <row r="424">
      <c r="A424" s="21"/>
      <c r="B424" s="21"/>
      <c r="C424" s="21"/>
      <c r="D424" s="21"/>
      <c r="E424" s="21"/>
      <c r="F424" s="21"/>
      <c r="G424" s="21"/>
      <c r="H424" s="21"/>
      <c r="I424" s="21"/>
      <c r="J424" s="21"/>
      <c r="K424" s="21"/>
      <c r="L424" s="21"/>
      <c r="M424" s="21"/>
      <c r="N424" s="21"/>
      <c r="O424" s="21"/>
      <c r="P424" s="21"/>
    </row>
    <row r="425">
      <c r="A425" s="21"/>
      <c r="B425" s="21"/>
      <c r="C425" s="21"/>
      <c r="D425" s="21"/>
      <c r="E425" s="21"/>
      <c r="F425" s="21"/>
      <c r="G425" s="21"/>
      <c r="H425" s="21"/>
      <c r="I425" s="21"/>
      <c r="J425" s="21"/>
      <c r="K425" s="21"/>
      <c r="L425" s="21"/>
      <c r="M425" s="21"/>
      <c r="N425" s="21"/>
      <c r="O425" s="21"/>
      <c r="P425" s="21"/>
    </row>
    <row r="426">
      <c r="A426" s="21"/>
      <c r="B426" s="21"/>
      <c r="C426" s="21"/>
      <c r="D426" s="21"/>
      <c r="E426" s="21"/>
      <c r="F426" s="21"/>
      <c r="G426" s="21"/>
      <c r="H426" s="21"/>
      <c r="I426" s="21"/>
      <c r="J426" s="21"/>
      <c r="K426" s="21"/>
      <c r="L426" s="21"/>
      <c r="M426" s="21"/>
      <c r="N426" s="21"/>
      <c r="O426" s="21"/>
      <c r="P426" s="21"/>
    </row>
    <row r="427">
      <c r="A427" s="21"/>
      <c r="B427" s="21"/>
      <c r="C427" s="21"/>
      <c r="D427" s="21"/>
      <c r="E427" s="21"/>
      <c r="F427" s="21"/>
      <c r="G427" s="21"/>
      <c r="H427" s="21"/>
      <c r="I427" s="21"/>
      <c r="J427" s="21"/>
      <c r="K427" s="21"/>
      <c r="L427" s="21"/>
      <c r="M427" s="21"/>
      <c r="N427" s="21"/>
      <c r="O427" s="21"/>
      <c r="P427" s="21"/>
    </row>
    <row r="428">
      <c r="A428" s="21"/>
      <c r="B428" s="21"/>
      <c r="C428" s="21"/>
      <c r="D428" s="21"/>
      <c r="E428" s="21"/>
      <c r="F428" s="21"/>
      <c r="G428" s="21"/>
      <c r="H428" s="21"/>
      <c r="I428" s="21"/>
      <c r="J428" s="21"/>
      <c r="K428" s="21"/>
      <c r="L428" s="21"/>
      <c r="M428" s="21"/>
      <c r="N428" s="21"/>
      <c r="O428" s="21"/>
      <c r="P428" s="21"/>
    </row>
    <row r="429">
      <c r="A429" s="21"/>
      <c r="B429" s="21"/>
      <c r="C429" s="21"/>
      <c r="D429" s="21"/>
      <c r="E429" s="21"/>
      <c r="F429" s="21"/>
      <c r="G429" s="21"/>
      <c r="H429" s="21"/>
      <c r="I429" s="21"/>
      <c r="J429" s="21"/>
      <c r="K429" s="21"/>
      <c r="L429" s="21"/>
      <c r="M429" s="21"/>
      <c r="N429" s="21"/>
      <c r="O429" s="21"/>
      <c r="P429" s="21"/>
    </row>
    <row r="430">
      <c r="A430" s="21"/>
      <c r="B430" s="21"/>
      <c r="C430" s="21"/>
      <c r="D430" s="21"/>
      <c r="E430" s="21"/>
      <c r="F430" s="21"/>
      <c r="G430" s="21"/>
      <c r="H430" s="21"/>
      <c r="I430" s="21"/>
      <c r="J430" s="21"/>
      <c r="K430" s="21"/>
      <c r="L430" s="21"/>
      <c r="M430" s="21"/>
      <c r="N430" s="21"/>
      <c r="O430" s="21"/>
      <c r="P430" s="21"/>
    </row>
    <row r="431">
      <c r="A431" s="21"/>
      <c r="B431" s="21"/>
      <c r="C431" s="21"/>
      <c r="D431" s="21"/>
      <c r="E431" s="21"/>
      <c r="F431" s="21"/>
      <c r="G431" s="21"/>
      <c r="H431" s="21"/>
      <c r="I431" s="21"/>
      <c r="J431" s="21"/>
      <c r="K431" s="21"/>
      <c r="L431" s="21"/>
      <c r="M431" s="21"/>
      <c r="N431" s="21"/>
      <c r="O431" s="21"/>
      <c r="P431" s="21"/>
    </row>
    <row r="432">
      <c r="A432" s="21"/>
      <c r="B432" s="21"/>
      <c r="C432" s="21"/>
      <c r="D432" s="21"/>
      <c r="E432" s="21"/>
      <c r="F432" s="21"/>
      <c r="G432" s="21"/>
      <c r="H432" s="21"/>
      <c r="I432" s="21"/>
      <c r="J432" s="21"/>
      <c r="K432" s="21"/>
      <c r="L432" s="21"/>
      <c r="M432" s="21"/>
      <c r="N432" s="21"/>
      <c r="O432" s="21"/>
      <c r="P432" s="21"/>
    </row>
    <row r="433">
      <c r="A433" s="21"/>
      <c r="B433" s="21"/>
      <c r="C433" s="21"/>
      <c r="D433" s="21"/>
      <c r="E433" s="21"/>
      <c r="F433" s="21"/>
      <c r="G433" s="21"/>
      <c r="H433" s="21"/>
      <c r="I433" s="21"/>
      <c r="J433" s="21"/>
      <c r="K433" s="21"/>
      <c r="L433" s="21"/>
      <c r="M433" s="21"/>
      <c r="N433" s="21"/>
      <c r="O433" s="21"/>
      <c r="P433" s="21"/>
    </row>
    <row r="434">
      <c r="A434" s="21"/>
      <c r="B434" s="21"/>
      <c r="C434" s="21"/>
      <c r="D434" s="21"/>
      <c r="E434" s="21"/>
      <c r="F434" s="21"/>
      <c r="G434" s="21"/>
      <c r="H434" s="21"/>
      <c r="I434" s="21"/>
      <c r="J434" s="21"/>
      <c r="K434" s="21"/>
      <c r="L434" s="21"/>
      <c r="M434" s="21"/>
      <c r="N434" s="21"/>
      <c r="O434" s="21"/>
      <c r="P434" s="21"/>
    </row>
    <row r="435">
      <c r="A435" s="21"/>
      <c r="B435" s="21"/>
      <c r="C435" s="21"/>
      <c r="D435" s="21"/>
      <c r="E435" s="21"/>
      <c r="F435" s="21"/>
      <c r="G435" s="21"/>
      <c r="H435" s="21"/>
      <c r="I435" s="21"/>
      <c r="J435" s="21"/>
      <c r="K435" s="21"/>
      <c r="L435" s="21"/>
      <c r="M435" s="21"/>
      <c r="N435" s="21"/>
      <c r="O435" s="21"/>
      <c r="P435" s="21"/>
    </row>
    <row r="436">
      <c r="A436" s="21"/>
      <c r="B436" s="21"/>
      <c r="C436" s="21"/>
      <c r="D436" s="21"/>
      <c r="E436" s="21"/>
      <c r="F436" s="21"/>
      <c r="G436" s="21"/>
      <c r="H436" s="21"/>
      <c r="I436" s="21"/>
      <c r="J436" s="21"/>
      <c r="K436" s="21"/>
      <c r="L436" s="21"/>
      <c r="M436" s="21"/>
      <c r="N436" s="21"/>
      <c r="O436" s="21"/>
      <c r="P436" s="21"/>
    </row>
    <row r="437">
      <c r="A437" s="21"/>
      <c r="B437" s="21"/>
      <c r="C437" s="21"/>
      <c r="D437" s="21"/>
      <c r="E437" s="21"/>
      <c r="F437" s="21"/>
      <c r="G437" s="21"/>
      <c r="H437" s="21"/>
      <c r="I437" s="21"/>
      <c r="J437" s="21"/>
      <c r="K437" s="21"/>
      <c r="L437" s="21"/>
      <c r="M437" s="21"/>
      <c r="N437" s="21"/>
      <c r="O437" s="21"/>
      <c r="P437" s="21"/>
    </row>
    <row r="438">
      <c r="A438" s="21"/>
      <c r="B438" s="21"/>
      <c r="C438" s="21"/>
      <c r="D438" s="21"/>
      <c r="E438" s="21"/>
      <c r="F438" s="21"/>
      <c r="G438" s="21"/>
      <c r="H438" s="21"/>
      <c r="I438" s="21"/>
      <c r="J438" s="21"/>
      <c r="K438" s="21"/>
      <c r="L438" s="21"/>
      <c r="M438" s="21"/>
      <c r="N438" s="21"/>
      <c r="O438" s="21"/>
      <c r="P438" s="21"/>
    </row>
    <row r="439">
      <c r="A439" s="21"/>
      <c r="B439" s="21"/>
      <c r="C439" s="21"/>
      <c r="D439" s="21"/>
      <c r="E439" s="21"/>
      <c r="F439" s="21"/>
      <c r="G439" s="21"/>
      <c r="H439" s="21"/>
      <c r="I439" s="21"/>
      <c r="J439" s="21"/>
      <c r="K439" s="21"/>
      <c r="L439" s="21"/>
      <c r="M439" s="21"/>
      <c r="N439" s="21"/>
      <c r="O439" s="21"/>
      <c r="P439" s="21"/>
    </row>
    <row r="440">
      <c r="A440" s="21"/>
      <c r="B440" s="21"/>
      <c r="C440" s="21"/>
      <c r="D440" s="21"/>
      <c r="E440" s="21"/>
      <c r="F440" s="21"/>
      <c r="G440" s="21"/>
      <c r="H440" s="21"/>
      <c r="I440" s="21"/>
      <c r="J440" s="21"/>
      <c r="K440" s="21"/>
      <c r="L440" s="21"/>
      <c r="M440" s="21"/>
      <c r="N440" s="21"/>
      <c r="O440" s="21"/>
      <c r="P440" s="21"/>
    </row>
    <row r="441">
      <c r="A441" s="21"/>
      <c r="B441" s="21"/>
      <c r="C441" s="21"/>
      <c r="D441" s="21"/>
      <c r="E441" s="21"/>
      <c r="F441" s="21"/>
      <c r="G441" s="21"/>
      <c r="H441" s="21"/>
      <c r="I441" s="21"/>
      <c r="J441" s="21"/>
      <c r="K441" s="21"/>
      <c r="L441" s="21"/>
      <c r="M441" s="21"/>
      <c r="N441" s="21"/>
      <c r="O441" s="21"/>
      <c r="P441" s="21"/>
    </row>
    <row r="442">
      <c r="A442" s="21"/>
      <c r="B442" s="21"/>
      <c r="C442" s="21"/>
      <c r="D442" s="21"/>
      <c r="E442" s="21"/>
      <c r="F442" s="21"/>
      <c r="G442" s="21"/>
      <c r="H442" s="21"/>
      <c r="I442" s="21"/>
      <c r="J442" s="21"/>
      <c r="K442" s="21"/>
      <c r="L442" s="21"/>
      <c r="M442" s="21"/>
      <c r="N442" s="21"/>
      <c r="O442" s="21"/>
      <c r="P442" s="21"/>
    </row>
    <row r="443">
      <c r="A443" s="21"/>
      <c r="B443" s="21"/>
      <c r="C443" s="21"/>
      <c r="D443" s="21"/>
      <c r="E443" s="21"/>
      <c r="F443" s="21"/>
      <c r="G443" s="21"/>
      <c r="H443" s="21"/>
      <c r="I443" s="21"/>
      <c r="J443" s="21"/>
      <c r="K443" s="21"/>
      <c r="L443" s="21"/>
      <c r="M443" s="21"/>
      <c r="N443" s="21"/>
      <c r="O443" s="21"/>
      <c r="P443" s="21"/>
    </row>
    <row r="444">
      <c r="A444" s="21"/>
      <c r="B444" s="21"/>
      <c r="C444" s="21"/>
      <c r="D444" s="21"/>
      <c r="E444" s="21"/>
      <c r="F444" s="21"/>
      <c r="G444" s="21"/>
      <c r="H444" s="21"/>
      <c r="I444" s="21"/>
      <c r="J444" s="21"/>
      <c r="K444" s="21"/>
      <c r="L444" s="21"/>
      <c r="M444" s="21"/>
      <c r="N444" s="21"/>
      <c r="O444" s="21"/>
      <c r="P444" s="21"/>
    </row>
    <row r="445">
      <c r="A445" s="21"/>
      <c r="B445" s="21"/>
      <c r="C445" s="21"/>
      <c r="D445" s="21"/>
      <c r="E445" s="21"/>
      <c r="F445" s="21"/>
      <c r="G445" s="21"/>
      <c r="H445" s="21"/>
      <c r="I445" s="21"/>
      <c r="J445" s="21"/>
      <c r="K445" s="21"/>
      <c r="L445" s="21"/>
      <c r="M445" s="21"/>
      <c r="N445" s="21"/>
      <c r="O445" s="21"/>
      <c r="P445" s="21"/>
    </row>
    <row r="446">
      <c r="A446" s="21"/>
      <c r="B446" s="21"/>
      <c r="C446" s="21"/>
      <c r="D446" s="21"/>
      <c r="E446" s="21"/>
      <c r="F446" s="21"/>
      <c r="G446" s="21"/>
      <c r="H446" s="21"/>
      <c r="I446" s="21"/>
      <c r="J446" s="21"/>
      <c r="K446" s="21"/>
      <c r="L446" s="21"/>
      <c r="M446" s="21"/>
      <c r="N446" s="21"/>
      <c r="O446" s="21"/>
      <c r="P446" s="21"/>
    </row>
    <row r="447">
      <c r="A447" s="21"/>
      <c r="B447" s="21"/>
      <c r="C447" s="21"/>
      <c r="D447" s="21"/>
      <c r="E447" s="21"/>
      <c r="F447" s="21"/>
      <c r="G447" s="21"/>
      <c r="H447" s="21"/>
      <c r="I447" s="21"/>
      <c r="J447" s="21"/>
      <c r="K447" s="21"/>
      <c r="L447" s="21"/>
      <c r="M447" s="21"/>
      <c r="N447" s="21"/>
      <c r="O447" s="21"/>
      <c r="P447" s="21"/>
    </row>
    <row r="448">
      <c r="A448" s="21"/>
      <c r="B448" s="21"/>
      <c r="C448" s="21"/>
      <c r="D448" s="21"/>
      <c r="E448" s="21"/>
      <c r="F448" s="21"/>
      <c r="G448" s="21"/>
      <c r="H448" s="21"/>
      <c r="I448" s="21"/>
      <c r="J448" s="21"/>
      <c r="K448" s="21"/>
      <c r="L448" s="21"/>
      <c r="M448" s="21"/>
      <c r="N448" s="21"/>
      <c r="O448" s="21"/>
      <c r="P448" s="21"/>
    </row>
    <row r="449">
      <c r="A449" s="21"/>
      <c r="B449" s="21"/>
      <c r="C449" s="21"/>
      <c r="D449" s="21"/>
      <c r="E449" s="21"/>
      <c r="F449" s="21"/>
      <c r="G449" s="21"/>
      <c r="H449" s="21"/>
      <c r="I449" s="21"/>
      <c r="J449" s="21"/>
      <c r="K449" s="21"/>
      <c r="L449" s="21"/>
      <c r="M449" s="21"/>
      <c r="N449" s="21"/>
      <c r="O449" s="21"/>
      <c r="P449" s="21"/>
    </row>
    <row r="450">
      <c r="A450" s="21"/>
      <c r="B450" s="21"/>
      <c r="C450" s="21"/>
      <c r="D450" s="21"/>
      <c r="E450" s="21"/>
      <c r="F450" s="21"/>
      <c r="G450" s="21"/>
      <c r="H450" s="21"/>
      <c r="I450" s="21"/>
      <c r="J450" s="21"/>
      <c r="K450" s="21"/>
      <c r="L450" s="21"/>
      <c r="M450" s="21"/>
      <c r="N450" s="21"/>
      <c r="O450" s="21"/>
      <c r="P450" s="21"/>
    </row>
    <row r="451">
      <c r="A451" s="21"/>
      <c r="B451" s="21"/>
      <c r="C451" s="21"/>
      <c r="D451" s="21"/>
      <c r="E451" s="21"/>
      <c r="F451" s="21"/>
      <c r="G451" s="21"/>
      <c r="H451" s="21"/>
      <c r="I451" s="21"/>
      <c r="J451" s="21"/>
      <c r="K451" s="21"/>
      <c r="L451" s="21"/>
      <c r="M451" s="21"/>
      <c r="N451" s="21"/>
      <c r="O451" s="21"/>
      <c r="P451" s="21"/>
    </row>
    <row r="452">
      <c r="A452" s="21"/>
      <c r="B452" s="21"/>
      <c r="C452" s="21"/>
      <c r="D452" s="21"/>
      <c r="E452" s="21"/>
      <c r="F452" s="21"/>
      <c r="G452" s="21"/>
      <c r="H452" s="21"/>
      <c r="I452" s="21"/>
      <c r="J452" s="21"/>
      <c r="K452" s="21"/>
      <c r="L452" s="21"/>
      <c r="M452" s="21"/>
      <c r="N452" s="21"/>
      <c r="O452" s="21"/>
      <c r="P452" s="21"/>
    </row>
    <row r="453">
      <c r="A453" s="21"/>
      <c r="B453" s="21"/>
      <c r="C453" s="21"/>
      <c r="D453" s="21"/>
      <c r="E453" s="21"/>
      <c r="F453" s="21"/>
      <c r="G453" s="21"/>
      <c r="H453" s="21"/>
      <c r="I453" s="21"/>
      <c r="J453" s="21"/>
      <c r="K453" s="21"/>
      <c r="L453" s="21"/>
      <c r="M453" s="21"/>
      <c r="N453" s="21"/>
      <c r="O453" s="21"/>
      <c r="P453" s="21"/>
    </row>
    <row r="454">
      <c r="A454" s="21"/>
      <c r="B454" s="21"/>
      <c r="C454" s="21"/>
      <c r="D454" s="21"/>
      <c r="E454" s="21"/>
      <c r="F454" s="21"/>
      <c r="G454" s="21"/>
      <c r="H454" s="21"/>
      <c r="I454" s="21"/>
      <c r="J454" s="21"/>
      <c r="K454" s="21"/>
      <c r="L454" s="21"/>
      <c r="M454" s="21"/>
      <c r="N454" s="21"/>
      <c r="O454" s="21"/>
      <c r="P454" s="21"/>
    </row>
    <row r="455">
      <c r="A455" s="21"/>
      <c r="B455" s="21"/>
      <c r="C455" s="21"/>
      <c r="D455" s="21"/>
      <c r="E455" s="21"/>
      <c r="F455" s="21"/>
      <c r="G455" s="21"/>
      <c r="H455" s="21"/>
      <c r="I455" s="21"/>
      <c r="J455" s="21"/>
      <c r="K455" s="21"/>
      <c r="L455" s="21"/>
      <c r="M455" s="21"/>
      <c r="N455" s="21"/>
      <c r="O455" s="21"/>
      <c r="P455" s="21"/>
    </row>
    <row r="456">
      <c r="A456" s="21"/>
      <c r="B456" s="21"/>
      <c r="C456" s="21"/>
      <c r="D456" s="21"/>
      <c r="E456" s="21"/>
      <c r="F456" s="21"/>
      <c r="G456" s="21"/>
      <c r="H456" s="21"/>
      <c r="I456" s="21"/>
      <c r="J456" s="21"/>
      <c r="K456" s="21"/>
      <c r="L456" s="21"/>
      <c r="M456" s="21"/>
      <c r="N456" s="21"/>
      <c r="O456" s="21"/>
      <c r="P456" s="21"/>
    </row>
    <row r="457">
      <c r="A457" s="21"/>
      <c r="B457" s="21"/>
      <c r="C457" s="21"/>
      <c r="D457" s="21"/>
      <c r="E457" s="21"/>
      <c r="F457" s="21"/>
      <c r="G457" s="21"/>
      <c r="H457" s="21"/>
      <c r="I457" s="21"/>
      <c r="J457" s="21"/>
      <c r="K457" s="21"/>
      <c r="L457" s="21"/>
      <c r="M457" s="21"/>
      <c r="N457" s="21"/>
      <c r="O457" s="21"/>
      <c r="P457" s="21"/>
    </row>
    <row r="458">
      <c r="A458" s="21"/>
      <c r="B458" s="21"/>
      <c r="C458" s="21"/>
      <c r="D458" s="21"/>
      <c r="E458" s="21"/>
      <c r="F458" s="21"/>
      <c r="G458" s="21"/>
      <c r="H458" s="21"/>
      <c r="I458" s="21"/>
      <c r="J458" s="21"/>
      <c r="K458" s="21"/>
      <c r="L458" s="21"/>
      <c r="M458" s="21"/>
      <c r="N458" s="21"/>
      <c r="O458" s="21"/>
      <c r="P458" s="21"/>
    </row>
    <row r="459">
      <c r="A459" s="21"/>
      <c r="B459" s="21"/>
      <c r="C459" s="21"/>
      <c r="D459" s="21"/>
      <c r="E459" s="21"/>
      <c r="F459" s="21"/>
      <c r="G459" s="21"/>
      <c r="H459" s="21"/>
      <c r="I459" s="21"/>
      <c r="J459" s="21"/>
      <c r="K459" s="21"/>
      <c r="L459" s="21"/>
      <c r="M459" s="21"/>
      <c r="N459" s="21"/>
      <c r="O459" s="21"/>
      <c r="P459" s="21"/>
    </row>
    <row r="460">
      <c r="A460" s="21"/>
      <c r="B460" s="21"/>
      <c r="C460" s="21"/>
      <c r="D460" s="21"/>
      <c r="E460" s="21"/>
      <c r="F460" s="21"/>
      <c r="G460" s="21"/>
      <c r="H460" s="21"/>
      <c r="I460" s="21"/>
      <c r="J460" s="21"/>
      <c r="K460" s="21"/>
      <c r="L460" s="21"/>
      <c r="M460" s="21"/>
      <c r="N460" s="21"/>
      <c r="O460" s="21"/>
      <c r="P460" s="21"/>
    </row>
    <row r="461">
      <c r="A461" s="21"/>
      <c r="B461" s="21"/>
      <c r="C461" s="21"/>
      <c r="D461" s="21"/>
      <c r="E461" s="21"/>
      <c r="F461" s="21"/>
      <c r="G461" s="21"/>
      <c r="H461" s="21"/>
      <c r="I461" s="21"/>
      <c r="J461" s="21"/>
      <c r="K461" s="21"/>
      <c r="L461" s="21"/>
      <c r="M461" s="21"/>
      <c r="N461" s="21"/>
      <c r="O461" s="21"/>
      <c r="P461" s="21"/>
    </row>
    <row r="462">
      <c r="A462" s="21"/>
      <c r="B462" s="21"/>
      <c r="C462" s="21"/>
      <c r="D462" s="21"/>
      <c r="E462" s="21"/>
      <c r="F462" s="21"/>
      <c r="G462" s="21"/>
      <c r="H462" s="21"/>
      <c r="I462" s="21"/>
      <c r="J462" s="21"/>
      <c r="K462" s="21"/>
      <c r="L462" s="21"/>
      <c r="M462" s="21"/>
      <c r="N462" s="21"/>
      <c r="O462" s="21"/>
      <c r="P462" s="21"/>
    </row>
    <row r="463">
      <c r="A463" s="21"/>
      <c r="B463" s="21"/>
      <c r="C463" s="21"/>
      <c r="D463" s="21"/>
      <c r="E463" s="21"/>
      <c r="F463" s="21"/>
      <c r="G463" s="21"/>
      <c r="H463" s="21"/>
      <c r="I463" s="21"/>
      <c r="J463" s="21"/>
      <c r="K463" s="21"/>
      <c r="L463" s="21"/>
      <c r="M463" s="21"/>
      <c r="N463" s="21"/>
      <c r="O463" s="21"/>
      <c r="P463" s="21"/>
    </row>
    <row r="464">
      <c r="A464" s="21"/>
      <c r="B464" s="21"/>
      <c r="C464" s="21"/>
      <c r="D464" s="21"/>
      <c r="E464" s="21"/>
      <c r="F464" s="21"/>
      <c r="G464" s="21"/>
      <c r="H464" s="21"/>
      <c r="I464" s="21"/>
      <c r="J464" s="21"/>
      <c r="K464" s="21"/>
      <c r="L464" s="21"/>
      <c r="M464" s="21"/>
      <c r="N464" s="21"/>
      <c r="O464" s="21"/>
      <c r="P464" s="21"/>
    </row>
    <row r="465">
      <c r="A465" s="21"/>
      <c r="B465" s="21"/>
      <c r="C465" s="21"/>
      <c r="D465" s="21"/>
      <c r="E465" s="21"/>
      <c r="F465" s="21"/>
      <c r="G465" s="21"/>
      <c r="H465" s="21"/>
      <c r="I465" s="21"/>
      <c r="J465" s="21"/>
      <c r="K465" s="21"/>
      <c r="L465" s="21"/>
      <c r="M465" s="21"/>
      <c r="N465" s="21"/>
      <c r="O465" s="21"/>
      <c r="P465" s="21"/>
    </row>
    <row r="466">
      <c r="A466" s="21"/>
      <c r="B466" s="21"/>
      <c r="C466" s="21"/>
      <c r="D466" s="21"/>
      <c r="E466" s="21"/>
      <c r="F466" s="21"/>
      <c r="G466" s="21"/>
      <c r="H466" s="21"/>
      <c r="I466" s="21"/>
      <c r="J466" s="21"/>
      <c r="K466" s="21"/>
      <c r="L466" s="21"/>
      <c r="M466" s="21"/>
      <c r="N466" s="21"/>
      <c r="O466" s="21"/>
      <c r="P466" s="21"/>
    </row>
    <row r="467">
      <c r="A467" s="21"/>
      <c r="B467" s="21"/>
      <c r="C467" s="21"/>
      <c r="D467" s="21"/>
      <c r="E467" s="21"/>
      <c r="F467" s="21"/>
      <c r="G467" s="21"/>
      <c r="H467" s="21"/>
      <c r="I467" s="21"/>
      <c r="J467" s="21"/>
      <c r="K467" s="21"/>
      <c r="L467" s="21"/>
      <c r="M467" s="21"/>
      <c r="N467" s="21"/>
      <c r="O467" s="21"/>
      <c r="P467" s="21"/>
    </row>
    <row r="468">
      <c r="A468" s="21"/>
      <c r="B468" s="21"/>
      <c r="C468" s="21"/>
      <c r="D468" s="21"/>
      <c r="E468" s="21"/>
      <c r="F468" s="21"/>
      <c r="G468" s="21"/>
      <c r="H468" s="21"/>
      <c r="I468" s="21"/>
      <c r="J468" s="21"/>
      <c r="K468" s="21"/>
      <c r="L468" s="21"/>
      <c r="M468" s="21"/>
      <c r="N468" s="21"/>
      <c r="O468" s="21"/>
      <c r="P468" s="21"/>
    </row>
    <row r="469">
      <c r="A469" s="21"/>
      <c r="B469" s="21"/>
      <c r="C469" s="21"/>
      <c r="D469" s="21"/>
      <c r="E469" s="21"/>
      <c r="F469" s="21"/>
      <c r="G469" s="21"/>
      <c r="H469" s="21"/>
      <c r="I469" s="21"/>
      <c r="J469" s="21"/>
      <c r="K469" s="21"/>
      <c r="L469" s="21"/>
      <c r="M469" s="21"/>
      <c r="N469" s="21"/>
      <c r="O469" s="21"/>
      <c r="P469" s="21"/>
    </row>
    <row r="470">
      <c r="A470" s="21"/>
      <c r="B470" s="21"/>
      <c r="C470" s="21"/>
      <c r="D470" s="21"/>
      <c r="E470" s="21"/>
      <c r="F470" s="21"/>
      <c r="G470" s="21"/>
      <c r="H470" s="21"/>
      <c r="I470" s="21"/>
      <c r="J470" s="21"/>
      <c r="K470" s="21"/>
      <c r="L470" s="21"/>
      <c r="M470" s="21"/>
      <c r="N470" s="21"/>
      <c r="O470" s="21"/>
      <c r="P470" s="21"/>
    </row>
    <row r="471">
      <c r="A471" s="21"/>
      <c r="B471" s="21"/>
      <c r="C471" s="21"/>
      <c r="D471" s="21"/>
      <c r="E471" s="21"/>
      <c r="F471" s="21"/>
      <c r="G471" s="21"/>
      <c r="H471" s="21"/>
      <c r="I471" s="21"/>
      <c r="J471" s="21"/>
      <c r="K471" s="21"/>
      <c r="L471" s="21"/>
      <c r="M471" s="21"/>
      <c r="N471" s="21"/>
      <c r="O471" s="21"/>
      <c r="P471" s="21"/>
    </row>
    <row r="472">
      <c r="A472" s="21"/>
      <c r="B472" s="21"/>
      <c r="C472" s="21"/>
      <c r="D472" s="21"/>
      <c r="E472" s="21"/>
      <c r="F472" s="21"/>
      <c r="G472" s="21"/>
      <c r="H472" s="21"/>
      <c r="I472" s="21"/>
      <c r="J472" s="21"/>
      <c r="K472" s="21"/>
      <c r="L472" s="21"/>
      <c r="M472" s="21"/>
      <c r="N472" s="21"/>
      <c r="O472" s="21"/>
      <c r="P472" s="21"/>
    </row>
    <row r="473">
      <c r="A473" s="21"/>
      <c r="B473" s="21"/>
      <c r="C473" s="21"/>
      <c r="D473" s="21"/>
      <c r="E473" s="21"/>
      <c r="F473" s="21"/>
      <c r="G473" s="21"/>
      <c r="H473" s="21"/>
      <c r="I473" s="21"/>
      <c r="J473" s="21"/>
      <c r="K473" s="21"/>
      <c r="L473" s="21"/>
      <c r="M473" s="21"/>
      <c r="N473" s="21"/>
      <c r="O473" s="21"/>
      <c r="P473" s="21"/>
    </row>
    <row r="474">
      <c r="A474" s="21"/>
      <c r="B474" s="21"/>
      <c r="C474" s="21"/>
      <c r="D474" s="21"/>
      <c r="E474" s="21"/>
      <c r="F474" s="21"/>
      <c r="G474" s="21"/>
      <c r="H474" s="21"/>
      <c r="I474" s="21"/>
      <c r="J474" s="21"/>
      <c r="K474" s="21"/>
      <c r="L474" s="21"/>
      <c r="M474" s="21"/>
      <c r="N474" s="21"/>
      <c r="O474" s="21"/>
      <c r="P474" s="21"/>
    </row>
    <row r="475">
      <c r="A475" s="21"/>
      <c r="B475" s="21"/>
      <c r="C475" s="21"/>
      <c r="D475" s="21"/>
      <c r="E475" s="21"/>
      <c r="F475" s="21"/>
      <c r="G475" s="21"/>
      <c r="H475" s="21"/>
      <c r="I475" s="21"/>
      <c r="J475" s="21"/>
      <c r="K475" s="21"/>
      <c r="L475" s="21"/>
      <c r="M475" s="21"/>
      <c r="N475" s="21"/>
      <c r="O475" s="21"/>
      <c r="P475" s="21"/>
    </row>
    <row r="476">
      <c r="A476" s="21"/>
      <c r="B476" s="21"/>
      <c r="C476" s="21"/>
      <c r="D476" s="21"/>
      <c r="E476" s="21"/>
      <c r="F476" s="21"/>
      <c r="G476" s="21"/>
      <c r="H476" s="21"/>
      <c r="I476" s="21"/>
      <c r="J476" s="21"/>
      <c r="K476" s="21"/>
      <c r="L476" s="21"/>
      <c r="M476" s="21"/>
      <c r="N476" s="21"/>
      <c r="O476" s="21"/>
      <c r="P476" s="21"/>
    </row>
    <row r="477">
      <c r="A477" s="21"/>
      <c r="B477" s="21"/>
      <c r="C477" s="21"/>
      <c r="D477" s="21"/>
      <c r="E477" s="21"/>
      <c r="F477" s="21"/>
      <c r="G477" s="21"/>
      <c r="H477" s="21"/>
      <c r="I477" s="21"/>
      <c r="J477" s="21"/>
      <c r="K477" s="21"/>
      <c r="L477" s="21"/>
      <c r="M477" s="21"/>
      <c r="N477" s="21"/>
      <c r="O477" s="21"/>
      <c r="P477" s="21"/>
    </row>
    <row r="478">
      <c r="A478" s="21"/>
      <c r="B478" s="21"/>
      <c r="C478" s="21"/>
      <c r="D478" s="21"/>
      <c r="E478" s="21"/>
      <c r="F478" s="21"/>
      <c r="G478" s="21"/>
      <c r="H478" s="21"/>
      <c r="I478" s="21"/>
      <c r="J478" s="21"/>
      <c r="K478" s="21"/>
      <c r="L478" s="21"/>
      <c r="M478" s="21"/>
      <c r="N478" s="21"/>
      <c r="O478" s="21"/>
      <c r="P478" s="21"/>
    </row>
    <row r="479">
      <c r="A479" s="21"/>
      <c r="B479" s="21"/>
      <c r="C479" s="21"/>
      <c r="D479" s="21"/>
      <c r="E479" s="21"/>
      <c r="F479" s="21"/>
      <c r="G479" s="21"/>
      <c r="H479" s="21"/>
      <c r="I479" s="21"/>
      <c r="J479" s="21"/>
      <c r="K479" s="21"/>
      <c r="L479" s="21"/>
      <c r="M479" s="21"/>
      <c r="N479" s="21"/>
      <c r="O479" s="21"/>
      <c r="P479" s="21"/>
    </row>
    <row r="480">
      <c r="A480" s="21"/>
      <c r="B480" s="21"/>
      <c r="C480" s="21"/>
      <c r="D480" s="21"/>
      <c r="E480" s="21"/>
      <c r="F480" s="21"/>
      <c r="G480" s="21"/>
      <c r="H480" s="21"/>
      <c r="I480" s="21"/>
      <c r="J480" s="21"/>
      <c r="K480" s="21"/>
      <c r="L480" s="21"/>
      <c r="M480" s="21"/>
      <c r="N480" s="21"/>
      <c r="O480" s="21"/>
      <c r="P480" s="21"/>
    </row>
    <row r="481">
      <c r="A481" s="21"/>
      <c r="B481" s="21"/>
      <c r="C481" s="21"/>
      <c r="D481" s="21"/>
      <c r="E481" s="21"/>
      <c r="F481" s="21"/>
      <c r="G481" s="21"/>
      <c r="H481" s="21"/>
      <c r="I481" s="21"/>
      <c r="J481" s="21"/>
      <c r="K481" s="21"/>
      <c r="L481" s="21"/>
      <c r="M481" s="21"/>
      <c r="N481" s="21"/>
      <c r="O481" s="21"/>
      <c r="P481" s="21"/>
    </row>
    <row r="482">
      <c r="A482" s="21"/>
      <c r="B482" s="21"/>
      <c r="C482" s="21"/>
      <c r="D482" s="21"/>
      <c r="E482" s="21"/>
      <c r="F482" s="21"/>
      <c r="G482" s="21"/>
      <c r="H482" s="21"/>
      <c r="I482" s="21"/>
      <c r="J482" s="21"/>
      <c r="K482" s="21"/>
      <c r="L482" s="21"/>
      <c r="M482" s="21"/>
      <c r="N482" s="21"/>
      <c r="O482" s="21"/>
      <c r="P482" s="21"/>
    </row>
    <row r="483">
      <c r="A483" s="21"/>
      <c r="B483" s="21"/>
      <c r="C483" s="21"/>
      <c r="D483" s="21"/>
      <c r="E483" s="21"/>
      <c r="F483" s="21"/>
      <c r="G483" s="21"/>
      <c r="H483" s="21"/>
      <c r="I483" s="21"/>
      <c r="J483" s="21"/>
      <c r="K483" s="21"/>
      <c r="L483" s="21"/>
      <c r="M483" s="21"/>
      <c r="N483" s="21"/>
      <c r="O483" s="21"/>
      <c r="P483" s="21"/>
    </row>
    <row r="484">
      <c r="A484" s="21"/>
      <c r="B484" s="21"/>
      <c r="C484" s="21"/>
      <c r="D484" s="21"/>
      <c r="E484" s="21"/>
      <c r="F484" s="21"/>
      <c r="G484" s="21"/>
      <c r="H484" s="21"/>
      <c r="I484" s="21"/>
      <c r="J484" s="21"/>
      <c r="K484" s="21"/>
      <c r="L484" s="21"/>
      <c r="M484" s="21"/>
      <c r="N484" s="21"/>
      <c r="O484" s="21"/>
      <c r="P484" s="21"/>
    </row>
    <row r="485">
      <c r="A485" s="21"/>
      <c r="B485" s="21"/>
      <c r="C485" s="21"/>
      <c r="D485" s="21"/>
      <c r="E485" s="21"/>
      <c r="F485" s="21"/>
      <c r="G485" s="21"/>
      <c r="H485" s="21"/>
      <c r="I485" s="21"/>
      <c r="J485" s="21"/>
      <c r="K485" s="21"/>
      <c r="L485" s="21"/>
      <c r="M485" s="21"/>
      <c r="N485" s="21"/>
      <c r="O485" s="21"/>
      <c r="P485" s="21"/>
    </row>
    <row r="486">
      <c r="A486" s="21"/>
      <c r="B486" s="21"/>
      <c r="C486" s="21"/>
      <c r="D486" s="21"/>
      <c r="E486" s="21"/>
      <c r="F486" s="21"/>
      <c r="G486" s="21"/>
      <c r="H486" s="21"/>
      <c r="I486" s="21"/>
      <c r="J486" s="21"/>
      <c r="K486" s="21"/>
      <c r="L486" s="21"/>
      <c r="M486" s="21"/>
      <c r="N486" s="21"/>
      <c r="O486" s="21"/>
      <c r="P486" s="21"/>
    </row>
    <row r="487">
      <c r="A487" s="21"/>
      <c r="B487" s="21"/>
      <c r="C487" s="21"/>
      <c r="D487" s="21"/>
      <c r="E487" s="21"/>
      <c r="F487" s="21"/>
      <c r="G487" s="21"/>
      <c r="H487" s="21"/>
      <c r="I487" s="21"/>
      <c r="J487" s="21"/>
      <c r="K487" s="21"/>
      <c r="L487" s="21"/>
      <c r="M487" s="21"/>
      <c r="N487" s="21"/>
      <c r="O487" s="21"/>
      <c r="P487" s="21"/>
    </row>
    <row r="488">
      <c r="A488" s="21"/>
      <c r="B488" s="21"/>
      <c r="C488" s="21"/>
      <c r="D488" s="21"/>
      <c r="E488" s="21"/>
      <c r="F488" s="21"/>
      <c r="G488" s="21"/>
      <c r="H488" s="21"/>
      <c r="I488" s="21"/>
      <c r="J488" s="21"/>
      <c r="K488" s="21"/>
      <c r="L488" s="21"/>
      <c r="M488" s="21"/>
      <c r="N488" s="21"/>
      <c r="O488" s="21"/>
      <c r="P488" s="21"/>
    </row>
    <row r="489">
      <c r="A489" s="21"/>
      <c r="B489" s="21"/>
      <c r="C489" s="21"/>
      <c r="D489" s="21"/>
      <c r="E489" s="21"/>
      <c r="F489" s="21"/>
      <c r="G489" s="21"/>
      <c r="H489" s="21"/>
      <c r="I489" s="21"/>
      <c r="J489" s="21"/>
      <c r="K489" s="21"/>
      <c r="L489" s="21"/>
      <c r="M489" s="21"/>
      <c r="N489" s="21"/>
      <c r="O489" s="21"/>
      <c r="P489" s="21"/>
    </row>
    <row r="490">
      <c r="A490" s="21"/>
      <c r="B490" s="21"/>
      <c r="C490" s="21"/>
      <c r="D490" s="21"/>
      <c r="E490" s="21"/>
      <c r="F490" s="21"/>
      <c r="G490" s="21"/>
      <c r="H490" s="21"/>
      <c r="I490" s="21"/>
      <c r="J490" s="21"/>
      <c r="K490" s="21"/>
      <c r="L490" s="21"/>
      <c r="M490" s="21"/>
      <c r="N490" s="21"/>
      <c r="O490" s="21"/>
      <c r="P490" s="21"/>
    </row>
    <row r="491">
      <c r="A491" s="21"/>
      <c r="B491" s="21"/>
      <c r="C491" s="21"/>
      <c r="D491" s="21"/>
      <c r="E491" s="21"/>
      <c r="F491" s="21"/>
      <c r="G491" s="21"/>
      <c r="H491" s="21"/>
      <c r="I491" s="21"/>
      <c r="J491" s="21"/>
      <c r="K491" s="21"/>
      <c r="L491" s="21"/>
      <c r="M491" s="21"/>
      <c r="N491" s="21"/>
      <c r="O491" s="21"/>
      <c r="P491" s="21"/>
    </row>
    <row r="492">
      <c r="A492" s="21"/>
      <c r="B492" s="21"/>
      <c r="C492" s="21"/>
      <c r="D492" s="21"/>
      <c r="E492" s="21"/>
      <c r="F492" s="21"/>
      <c r="G492" s="21"/>
      <c r="H492" s="21"/>
      <c r="I492" s="21"/>
      <c r="J492" s="21"/>
      <c r="K492" s="21"/>
      <c r="L492" s="21"/>
      <c r="M492" s="21"/>
      <c r="N492" s="21"/>
      <c r="O492" s="21"/>
      <c r="P492" s="21"/>
    </row>
    <row r="493">
      <c r="A493" s="21"/>
      <c r="B493" s="21"/>
      <c r="C493" s="21"/>
      <c r="D493" s="21"/>
      <c r="E493" s="21"/>
      <c r="F493" s="21"/>
      <c r="G493" s="21"/>
      <c r="H493" s="21"/>
      <c r="I493" s="21"/>
      <c r="J493" s="21"/>
      <c r="K493" s="21"/>
      <c r="L493" s="21"/>
      <c r="M493" s="21"/>
      <c r="N493" s="21"/>
      <c r="O493" s="21"/>
      <c r="P493" s="21"/>
    </row>
    <row r="494">
      <c r="A494" s="21"/>
      <c r="B494" s="21"/>
      <c r="C494" s="21"/>
      <c r="D494" s="21"/>
      <c r="E494" s="21"/>
      <c r="F494" s="21"/>
      <c r="G494" s="21"/>
      <c r="H494" s="21"/>
      <c r="I494" s="21"/>
      <c r="J494" s="21"/>
      <c r="K494" s="21"/>
      <c r="L494" s="21"/>
      <c r="M494" s="21"/>
      <c r="N494" s="21"/>
      <c r="O494" s="21"/>
      <c r="P494" s="21"/>
    </row>
    <row r="495">
      <c r="A495" s="21"/>
      <c r="B495" s="21"/>
      <c r="C495" s="21"/>
      <c r="D495" s="21"/>
      <c r="E495" s="21"/>
      <c r="F495" s="21"/>
      <c r="G495" s="21"/>
      <c r="H495" s="21"/>
      <c r="I495" s="21"/>
      <c r="J495" s="21"/>
      <c r="K495" s="21"/>
      <c r="L495" s="21"/>
      <c r="M495" s="21"/>
      <c r="N495" s="21"/>
      <c r="O495" s="21"/>
      <c r="P495" s="21"/>
    </row>
    <row r="496">
      <c r="A496" s="21"/>
      <c r="B496" s="21"/>
      <c r="C496" s="21"/>
      <c r="D496" s="21"/>
      <c r="E496" s="21"/>
      <c r="F496" s="21"/>
      <c r="G496" s="21"/>
      <c r="H496" s="21"/>
      <c r="I496" s="21"/>
      <c r="J496" s="21"/>
      <c r="K496" s="21"/>
      <c r="L496" s="21"/>
      <c r="M496" s="21"/>
      <c r="N496" s="21"/>
      <c r="O496" s="21"/>
      <c r="P496" s="21"/>
    </row>
    <row r="497">
      <c r="A497" s="21"/>
      <c r="B497" s="21"/>
      <c r="C497" s="21"/>
      <c r="D497" s="21"/>
      <c r="E497" s="21"/>
      <c r="F497" s="21"/>
      <c r="G497" s="21"/>
      <c r="H497" s="21"/>
      <c r="I497" s="21"/>
      <c r="J497" s="21"/>
      <c r="K497" s="21"/>
      <c r="L497" s="21"/>
      <c r="M497" s="21"/>
      <c r="N497" s="21"/>
      <c r="O497" s="21"/>
      <c r="P497" s="21"/>
    </row>
    <row r="498">
      <c r="A498" s="21"/>
      <c r="B498" s="21"/>
      <c r="C498" s="21"/>
      <c r="D498" s="21"/>
      <c r="E498" s="21"/>
      <c r="F498" s="21"/>
      <c r="G498" s="21"/>
      <c r="H498" s="21"/>
      <c r="I498" s="21"/>
      <c r="J498" s="21"/>
      <c r="K498" s="21"/>
      <c r="L498" s="21"/>
      <c r="M498" s="21"/>
      <c r="N498" s="21"/>
      <c r="O498" s="21"/>
      <c r="P498" s="21"/>
    </row>
    <row r="499">
      <c r="A499" s="21"/>
      <c r="B499" s="21"/>
      <c r="C499" s="21"/>
      <c r="D499" s="21"/>
      <c r="E499" s="21"/>
      <c r="F499" s="21"/>
      <c r="G499" s="21"/>
      <c r="H499" s="21"/>
      <c r="I499" s="21"/>
      <c r="J499" s="21"/>
      <c r="K499" s="21"/>
      <c r="L499" s="21"/>
      <c r="M499" s="21"/>
      <c r="N499" s="21"/>
      <c r="O499" s="21"/>
      <c r="P499" s="21"/>
    </row>
    <row r="500">
      <c r="A500" s="21"/>
      <c r="B500" s="21"/>
      <c r="C500" s="21"/>
      <c r="D500" s="21"/>
      <c r="E500" s="21"/>
      <c r="F500" s="21"/>
      <c r="G500" s="21"/>
      <c r="H500" s="21"/>
      <c r="I500" s="21"/>
      <c r="J500" s="21"/>
      <c r="K500" s="21"/>
      <c r="L500" s="21"/>
      <c r="M500" s="21"/>
      <c r="N500" s="21"/>
      <c r="O500" s="21"/>
      <c r="P500" s="21"/>
    </row>
    <row r="501">
      <c r="A501" s="21"/>
      <c r="B501" s="21"/>
      <c r="C501" s="21"/>
      <c r="D501" s="21"/>
      <c r="E501" s="21"/>
      <c r="F501" s="21"/>
      <c r="G501" s="21"/>
      <c r="H501" s="21"/>
      <c r="I501" s="21"/>
      <c r="J501" s="21"/>
      <c r="K501" s="21"/>
      <c r="L501" s="21"/>
      <c r="M501" s="21"/>
      <c r="N501" s="21"/>
      <c r="O501" s="21"/>
      <c r="P501" s="21"/>
    </row>
    <row r="502">
      <c r="A502" s="21"/>
      <c r="B502" s="21"/>
      <c r="C502" s="21"/>
      <c r="D502" s="21"/>
      <c r="E502" s="21"/>
      <c r="F502" s="21"/>
      <c r="G502" s="21"/>
      <c r="H502" s="21"/>
      <c r="I502" s="21"/>
      <c r="J502" s="21"/>
      <c r="K502" s="21"/>
      <c r="L502" s="21"/>
      <c r="M502" s="21"/>
      <c r="N502" s="21"/>
      <c r="O502" s="21"/>
      <c r="P502" s="21"/>
    </row>
    <row r="503">
      <c r="A503" s="21"/>
      <c r="B503" s="21"/>
      <c r="C503" s="21"/>
      <c r="D503" s="21"/>
      <c r="E503" s="21"/>
      <c r="F503" s="21"/>
      <c r="G503" s="21"/>
      <c r="H503" s="21"/>
      <c r="I503" s="21"/>
      <c r="J503" s="21"/>
      <c r="K503" s="21"/>
      <c r="L503" s="21"/>
      <c r="M503" s="21"/>
      <c r="N503" s="21"/>
      <c r="O503" s="21"/>
      <c r="P503" s="21"/>
    </row>
    <row r="504">
      <c r="A504" s="21"/>
      <c r="B504" s="21"/>
      <c r="C504" s="21"/>
      <c r="D504" s="21"/>
      <c r="E504" s="21"/>
      <c r="F504" s="21"/>
      <c r="G504" s="21"/>
      <c r="H504" s="21"/>
      <c r="I504" s="21"/>
      <c r="J504" s="21"/>
      <c r="K504" s="21"/>
      <c r="L504" s="21"/>
      <c r="M504" s="21"/>
      <c r="N504" s="21"/>
      <c r="O504" s="21"/>
      <c r="P504" s="21"/>
    </row>
    <row r="505">
      <c r="A505" s="21"/>
      <c r="B505" s="21"/>
      <c r="C505" s="21"/>
      <c r="D505" s="21"/>
      <c r="E505" s="21"/>
      <c r="F505" s="21"/>
      <c r="G505" s="21"/>
      <c r="H505" s="21"/>
      <c r="I505" s="21"/>
      <c r="J505" s="21"/>
      <c r="K505" s="21"/>
      <c r="L505" s="21"/>
      <c r="M505" s="21"/>
      <c r="N505" s="21"/>
      <c r="O505" s="21"/>
      <c r="P505" s="21"/>
    </row>
    <row r="506">
      <c r="A506" s="21"/>
      <c r="B506" s="21"/>
      <c r="C506" s="21"/>
      <c r="D506" s="21"/>
      <c r="E506" s="21"/>
      <c r="F506" s="21"/>
      <c r="G506" s="21"/>
      <c r="H506" s="21"/>
      <c r="I506" s="21"/>
      <c r="J506" s="21"/>
      <c r="K506" s="21"/>
      <c r="L506" s="21"/>
      <c r="M506" s="21"/>
      <c r="N506" s="21"/>
      <c r="O506" s="21"/>
      <c r="P506" s="21"/>
    </row>
    <row r="507">
      <c r="A507" s="21"/>
      <c r="B507" s="21"/>
      <c r="C507" s="21"/>
      <c r="D507" s="21"/>
      <c r="E507" s="21"/>
      <c r="F507" s="21"/>
      <c r="G507" s="21"/>
      <c r="H507" s="21"/>
      <c r="I507" s="21"/>
      <c r="J507" s="21"/>
      <c r="K507" s="21"/>
      <c r="L507" s="21"/>
      <c r="M507" s="21"/>
      <c r="N507" s="21"/>
      <c r="O507" s="21"/>
      <c r="P507" s="21"/>
    </row>
    <row r="508">
      <c r="A508" s="21"/>
      <c r="B508" s="21"/>
      <c r="C508" s="21"/>
      <c r="D508" s="21"/>
      <c r="E508" s="21"/>
      <c r="F508" s="21"/>
      <c r="G508" s="21"/>
      <c r="H508" s="21"/>
      <c r="I508" s="21"/>
      <c r="J508" s="21"/>
      <c r="K508" s="21"/>
      <c r="L508" s="21"/>
      <c r="M508" s="21"/>
      <c r="N508" s="21"/>
      <c r="O508" s="21"/>
      <c r="P508" s="21"/>
    </row>
    <row r="509">
      <c r="A509" s="21"/>
      <c r="B509" s="21"/>
      <c r="C509" s="21"/>
      <c r="D509" s="21"/>
      <c r="E509" s="21"/>
      <c r="F509" s="21"/>
      <c r="G509" s="21"/>
      <c r="H509" s="21"/>
      <c r="I509" s="21"/>
      <c r="J509" s="21"/>
      <c r="K509" s="21"/>
      <c r="L509" s="21"/>
      <c r="M509" s="21"/>
      <c r="N509" s="21"/>
      <c r="O509" s="21"/>
      <c r="P509" s="21"/>
    </row>
    <row r="510">
      <c r="A510" s="21"/>
      <c r="B510" s="21"/>
      <c r="C510" s="21"/>
      <c r="D510" s="21"/>
      <c r="E510" s="21"/>
      <c r="F510" s="21"/>
      <c r="G510" s="21"/>
      <c r="H510" s="21"/>
      <c r="I510" s="21"/>
      <c r="J510" s="21"/>
      <c r="K510" s="21"/>
      <c r="L510" s="21"/>
      <c r="M510" s="21"/>
      <c r="N510" s="21"/>
      <c r="O510" s="21"/>
      <c r="P510" s="21"/>
    </row>
    <row r="511">
      <c r="A511" s="21"/>
      <c r="B511" s="21"/>
      <c r="C511" s="21"/>
      <c r="D511" s="21"/>
      <c r="E511" s="21"/>
      <c r="F511" s="21"/>
      <c r="G511" s="21"/>
      <c r="H511" s="21"/>
      <c r="I511" s="21"/>
      <c r="J511" s="21"/>
      <c r="K511" s="21"/>
      <c r="L511" s="21"/>
      <c r="M511" s="21"/>
      <c r="N511" s="21"/>
      <c r="O511" s="21"/>
      <c r="P511" s="21"/>
    </row>
    <row r="512">
      <c r="A512" s="21"/>
      <c r="B512" s="21"/>
      <c r="C512" s="21"/>
      <c r="D512" s="21"/>
      <c r="E512" s="21"/>
      <c r="F512" s="21"/>
      <c r="G512" s="21"/>
      <c r="H512" s="21"/>
      <c r="I512" s="21"/>
      <c r="J512" s="21"/>
      <c r="K512" s="21"/>
      <c r="L512" s="21"/>
      <c r="M512" s="21"/>
      <c r="N512" s="21"/>
      <c r="O512" s="21"/>
      <c r="P512" s="21"/>
    </row>
    <row r="513">
      <c r="A513" s="21"/>
      <c r="B513" s="21"/>
      <c r="C513" s="21"/>
      <c r="D513" s="21"/>
      <c r="E513" s="21"/>
      <c r="F513" s="21"/>
      <c r="G513" s="21"/>
      <c r="H513" s="21"/>
      <c r="I513" s="21"/>
      <c r="J513" s="21"/>
      <c r="K513" s="21"/>
      <c r="L513" s="21"/>
      <c r="M513" s="21"/>
      <c r="N513" s="21"/>
      <c r="O513" s="21"/>
      <c r="P513" s="21"/>
    </row>
    <row r="514">
      <c r="A514" s="21"/>
      <c r="B514" s="21"/>
      <c r="C514" s="21"/>
      <c r="D514" s="21"/>
      <c r="E514" s="21"/>
      <c r="F514" s="21"/>
      <c r="G514" s="21"/>
      <c r="H514" s="21"/>
      <c r="I514" s="21"/>
      <c r="J514" s="21"/>
      <c r="K514" s="21"/>
      <c r="L514" s="21"/>
      <c r="M514" s="21"/>
      <c r="N514" s="21"/>
      <c r="O514" s="21"/>
      <c r="P514" s="21"/>
    </row>
    <row r="515">
      <c r="A515" s="21"/>
      <c r="B515" s="21"/>
      <c r="C515" s="21"/>
      <c r="D515" s="21"/>
      <c r="E515" s="21"/>
      <c r="F515" s="21"/>
      <c r="G515" s="21"/>
      <c r="H515" s="21"/>
      <c r="I515" s="21"/>
      <c r="J515" s="21"/>
      <c r="K515" s="21"/>
      <c r="L515" s="21"/>
      <c r="M515" s="21"/>
      <c r="N515" s="21"/>
      <c r="O515" s="21"/>
      <c r="P515" s="21"/>
    </row>
    <row r="516">
      <c r="A516" s="21"/>
      <c r="B516" s="21"/>
      <c r="C516" s="21"/>
      <c r="D516" s="21"/>
      <c r="E516" s="21"/>
      <c r="F516" s="21"/>
      <c r="G516" s="21"/>
      <c r="H516" s="21"/>
      <c r="I516" s="21"/>
      <c r="J516" s="21"/>
      <c r="K516" s="21"/>
      <c r="L516" s="21"/>
      <c r="M516" s="21"/>
      <c r="N516" s="21"/>
      <c r="O516" s="21"/>
      <c r="P516" s="21"/>
    </row>
    <row r="517">
      <c r="A517" s="21"/>
      <c r="B517" s="21"/>
      <c r="C517" s="21"/>
      <c r="D517" s="21"/>
      <c r="E517" s="21"/>
      <c r="F517" s="21"/>
      <c r="G517" s="21"/>
      <c r="H517" s="21"/>
      <c r="I517" s="21"/>
      <c r="J517" s="21"/>
      <c r="K517" s="21"/>
      <c r="L517" s="21"/>
      <c r="M517" s="21"/>
      <c r="N517" s="21"/>
      <c r="O517" s="21"/>
      <c r="P517" s="21"/>
    </row>
    <row r="518">
      <c r="A518" s="21"/>
      <c r="B518" s="21"/>
      <c r="C518" s="21"/>
      <c r="D518" s="21"/>
      <c r="E518" s="21"/>
      <c r="F518" s="21"/>
      <c r="G518" s="21"/>
      <c r="H518" s="21"/>
      <c r="I518" s="21"/>
      <c r="J518" s="21"/>
      <c r="K518" s="21"/>
      <c r="L518" s="21"/>
      <c r="M518" s="21"/>
      <c r="N518" s="21"/>
      <c r="O518" s="21"/>
      <c r="P518" s="21"/>
    </row>
    <row r="519">
      <c r="A519" s="21"/>
      <c r="B519" s="21"/>
      <c r="C519" s="21"/>
      <c r="D519" s="21"/>
      <c r="E519" s="21"/>
      <c r="F519" s="21"/>
      <c r="G519" s="21"/>
      <c r="H519" s="21"/>
      <c r="I519" s="21"/>
      <c r="J519" s="21"/>
      <c r="K519" s="21"/>
      <c r="L519" s="21"/>
      <c r="M519" s="21"/>
      <c r="N519" s="21"/>
      <c r="O519" s="21"/>
      <c r="P519" s="21"/>
    </row>
    <row r="520">
      <c r="A520" s="21"/>
      <c r="B520" s="21"/>
      <c r="C520" s="21"/>
      <c r="D520" s="21"/>
      <c r="E520" s="21"/>
      <c r="F520" s="21"/>
      <c r="G520" s="21"/>
      <c r="H520" s="21"/>
      <c r="I520" s="21"/>
      <c r="J520" s="21"/>
      <c r="K520" s="21"/>
      <c r="L520" s="21"/>
      <c r="M520" s="21"/>
      <c r="N520" s="21"/>
      <c r="O520" s="21"/>
      <c r="P520" s="21"/>
    </row>
    <row r="521">
      <c r="A521" s="21"/>
      <c r="B521" s="21"/>
      <c r="C521" s="21"/>
      <c r="D521" s="21"/>
      <c r="E521" s="21"/>
      <c r="F521" s="21"/>
      <c r="G521" s="21"/>
      <c r="H521" s="21"/>
      <c r="I521" s="21"/>
      <c r="J521" s="21"/>
      <c r="K521" s="21"/>
      <c r="L521" s="21"/>
      <c r="M521" s="21"/>
      <c r="N521" s="21"/>
      <c r="O521" s="21"/>
      <c r="P521" s="21"/>
    </row>
    <row r="522">
      <c r="A522" s="21"/>
      <c r="B522" s="21"/>
      <c r="C522" s="21"/>
      <c r="D522" s="21"/>
      <c r="E522" s="21"/>
      <c r="F522" s="21"/>
      <c r="G522" s="21"/>
      <c r="H522" s="21"/>
      <c r="I522" s="21"/>
      <c r="J522" s="21"/>
      <c r="K522" s="21"/>
      <c r="L522" s="21"/>
      <c r="M522" s="21"/>
      <c r="N522" s="21"/>
      <c r="O522" s="21"/>
      <c r="P522" s="21"/>
    </row>
    <row r="523">
      <c r="A523" s="21"/>
      <c r="B523" s="21"/>
      <c r="C523" s="21"/>
      <c r="D523" s="21"/>
      <c r="E523" s="21"/>
      <c r="F523" s="21"/>
      <c r="G523" s="21"/>
      <c r="H523" s="21"/>
      <c r="I523" s="21"/>
      <c r="J523" s="21"/>
      <c r="K523" s="21"/>
      <c r="L523" s="21"/>
      <c r="M523" s="21"/>
      <c r="N523" s="21"/>
      <c r="O523" s="21"/>
      <c r="P523" s="21"/>
    </row>
    <row r="524">
      <c r="A524" s="21"/>
      <c r="B524" s="21"/>
      <c r="C524" s="21"/>
      <c r="D524" s="21"/>
      <c r="E524" s="21"/>
      <c r="F524" s="21"/>
      <c r="G524" s="21"/>
      <c r="H524" s="21"/>
      <c r="I524" s="21"/>
      <c r="J524" s="21"/>
      <c r="K524" s="21"/>
      <c r="L524" s="21"/>
      <c r="M524" s="21"/>
      <c r="N524" s="21"/>
      <c r="O524" s="21"/>
      <c r="P524" s="21"/>
    </row>
    <row r="525">
      <c r="A525" s="21"/>
      <c r="B525" s="21"/>
      <c r="C525" s="21"/>
      <c r="D525" s="21"/>
      <c r="E525" s="21"/>
      <c r="F525" s="21"/>
      <c r="G525" s="21"/>
      <c r="H525" s="21"/>
      <c r="I525" s="21"/>
      <c r="J525" s="21"/>
      <c r="K525" s="21"/>
      <c r="L525" s="21"/>
      <c r="M525" s="21"/>
      <c r="N525" s="21"/>
      <c r="O525" s="21"/>
      <c r="P525" s="21"/>
    </row>
    <row r="526">
      <c r="A526" s="21"/>
      <c r="B526" s="21"/>
      <c r="C526" s="21"/>
      <c r="D526" s="21"/>
      <c r="E526" s="21"/>
      <c r="F526" s="21"/>
      <c r="G526" s="21"/>
      <c r="H526" s="21"/>
      <c r="I526" s="21"/>
      <c r="J526" s="21"/>
      <c r="K526" s="21"/>
      <c r="L526" s="21"/>
      <c r="M526" s="21"/>
      <c r="N526" s="21"/>
      <c r="O526" s="21"/>
      <c r="P526" s="21"/>
    </row>
    <row r="527">
      <c r="A527" s="21"/>
      <c r="B527" s="21"/>
      <c r="C527" s="21"/>
      <c r="D527" s="21"/>
      <c r="E527" s="21"/>
      <c r="F527" s="21"/>
      <c r="G527" s="21"/>
      <c r="H527" s="21"/>
      <c r="I527" s="21"/>
      <c r="J527" s="21"/>
      <c r="K527" s="21"/>
      <c r="L527" s="21"/>
      <c r="M527" s="21"/>
      <c r="N527" s="21"/>
      <c r="O527" s="21"/>
      <c r="P527" s="21"/>
    </row>
    <row r="528">
      <c r="A528" s="21"/>
      <c r="B528" s="21"/>
      <c r="C528" s="21"/>
      <c r="D528" s="21"/>
      <c r="E528" s="21"/>
      <c r="F528" s="21"/>
      <c r="G528" s="21"/>
      <c r="H528" s="21"/>
      <c r="I528" s="21"/>
      <c r="J528" s="21"/>
      <c r="K528" s="21"/>
      <c r="L528" s="21"/>
      <c r="M528" s="21"/>
      <c r="N528" s="21"/>
      <c r="O528" s="21"/>
      <c r="P528" s="21"/>
    </row>
    <row r="529">
      <c r="A529" s="21"/>
      <c r="B529" s="21"/>
      <c r="C529" s="21"/>
      <c r="D529" s="21"/>
      <c r="E529" s="21"/>
      <c r="F529" s="21"/>
      <c r="G529" s="21"/>
      <c r="H529" s="21"/>
      <c r="I529" s="21"/>
      <c r="J529" s="21"/>
      <c r="K529" s="21"/>
      <c r="L529" s="21"/>
      <c r="M529" s="21"/>
      <c r="N529" s="21"/>
      <c r="O529" s="21"/>
      <c r="P529" s="21"/>
    </row>
    <row r="530">
      <c r="A530" s="21"/>
      <c r="B530" s="21"/>
      <c r="C530" s="21"/>
      <c r="D530" s="21"/>
      <c r="E530" s="21"/>
      <c r="F530" s="21"/>
      <c r="G530" s="21"/>
      <c r="H530" s="21"/>
      <c r="I530" s="21"/>
      <c r="J530" s="21"/>
      <c r="K530" s="21"/>
      <c r="L530" s="21"/>
      <c r="M530" s="21"/>
      <c r="N530" s="21"/>
      <c r="O530" s="21"/>
      <c r="P530" s="21"/>
    </row>
    <row r="531">
      <c r="A531" s="21"/>
      <c r="B531" s="21"/>
      <c r="C531" s="21"/>
      <c r="D531" s="21"/>
      <c r="E531" s="21"/>
      <c r="F531" s="21"/>
      <c r="G531" s="21"/>
      <c r="H531" s="21"/>
      <c r="I531" s="21"/>
      <c r="J531" s="21"/>
      <c r="K531" s="21"/>
      <c r="L531" s="21"/>
      <c r="M531" s="21"/>
      <c r="N531" s="21"/>
      <c r="O531" s="21"/>
      <c r="P531" s="21"/>
    </row>
    <row r="532">
      <c r="A532" s="21"/>
      <c r="B532" s="21"/>
      <c r="C532" s="21"/>
      <c r="D532" s="21"/>
      <c r="E532" s="21"/>
      <c r="F532" s="21"/>
      <c r="G532" s="21"/>
      <c r="H532" s="21"/>
      <c r="I532" s="21"/>
      <c r="J532" s="21"/>
      <c r="K532" s="21"/>
      <c r="L532" s="21"/>
      <c r="M532" s="21"/>
      <c r="N532" s="21"/>
      <c r="O532" s="21"/>
      <c r="P532" s="21"/>
    </row>
    <row r="533">
      <c r="A533" s="21"/>
      <c r="B533" s="21"/>
      <c r="C533" s="21"/>
      <c r="D533" s="21"/>
      <c r="E533" s="21"/>
      <c r="F533" s="21"/>
      <c r="G533" s="21"/>
      <c r="H533" s="21"/>
      <c r="I533" s="21"/>
      <c r="J533" s="21"/>
      <c r="K533" s="21"/>
      <c r="L533" s="21"/>
      <c r="M533" s="21"/>
      <c r="N533" s="21"/>
      <c r="O533" s="21"/>
      <c r="P533" s="21"/>
    </row>
    <row r="534">
      <c r="A534" s="21"/>
      <c r="B534" s="21"/>
      <c r="C534" s="21"/>
      <c r="D534" s="21"/>
      <c r="E534" s="21"/>
      <c r="F534" s="21"/>
      <c r="G534" s="21"/>
      <c r="H534" s="21"/>
      <c r="I534" s="21"/>
      <c r="J534" s="21"/>
      <c r="K534" s="21"/>
      <c r="L534" s="21"/>
      <c r="M534" s="21"/>
      <c r="N534" s="21"/>
      <c r="O534" s="21"/>
      <c r="P534" s="21"/>
    </row>
    <row r="535">
      <c r="A535" s="21"/>
      <c r="B535" s="21"/>
      <c r="C535" s="21"/>
      <c r="D535" s="21"/>
      <c r="E535" s="21"/>
      <c r="F535" s="21"/>
      <c r="G535" s="21"/>
      <c r="H535" s="21"/>
      <c r="I535" s="21"/>
      <c r="J535" s="21"/>
      <c r="K535" s="21"/>
      <c r="L535" s="21"/>
      <c r="M535" s="21"/>
      <c r="N535" s="21"/>
      <c r="O535" s="21"/>
      <c r="P535" s="21"/>
    </row>
    <row r="536">
      <c r="A536" s="21"/>
      <c r="B536" s="21"/>
      <c r="C536" s="21"/>
      <c r="D536" s="21"/>
      <c r="E536" s="21"/>
      <c r="F536" s="21"/>
      <c r="G536" s="21"/>
      <c r="H536" s="21"/>
      <c r="I536" s="21"/>
      <c r="J536" s="21"/>
      <c r="K536" s="21"/>
      <c r="L536" s="21"/>
      <c r="M536" s="21"/>
      <c r="N536" s="21"/>
      <c r="O536" s="21"/>
      <c r="P536" s="21"/>
    </row>
    <row r="537">
      <c r="A537" s="21"/>
      <c r="B537" s="21"/>
      <c r="C537" s="21"/>
      <c r="D537" s="21"/>
      <c r="E537" s="21"/>
      <c r="F537" s="21"/>
      <c r="G537" s="21"/>
      <c r="H537" s="21"/>
      <c r="I537" s="21"/>
      <c r="J537" s="21"/>
      <c r="K537" s="21"/>
      <c r="L537" s="21"/>
      <c r="M537" s="21"/>
      <c r="N537" s="21"/>
      <c r="O537" s="21"/>
      <c r="P537" s="21"/>
    </row>
    <row r="538">
      <c r="A538" s="21"/>
      <c r="B538" s="21"/>
      <c r="C538" s="21"/>
      <c r="D538" s="21"/>
      <c r="E538" s="21"/>
      <c r="F538" s="21"/>
      <c r="G538" s="21"/>
      <c r="H538" s="21"/>
      <c r="I538" s="21"/>
      <c r="J538" s="21"/>
      <c r="K538" s="21"/>
      <c r="L538" s="21"/>
      <c r="M538" s="21"/>
      <c r="N538" s="21"/>
      <c r="O538" s="21"/>
      <c r="P538" s="21"/>
    </row>
    <row r="539">
      <c r="A539" s="21"/>
      <c r="B539" s="21"/>
      <c r="C539" s="21"/>
      <c r="D539" s="21"/>
      <c r="E539" s="21"/>
      <c r="F539" s="21"/>
      <c r="G539" s="21"/>
      <c r="H539" s="21"/>
      <c r="I539" s="21"/>
      <c r="J539" s="21"/>
      <c r="K539" s="21"/>
      <c r="L539" s="21"/>
      <c r="M539" s="21"/>
      <c r="N539" s="21"/>
      <c r="O539" s="21"/>
      <c r="P539" s="21"/>
    </row>
    <row r="540">
      <c r="A540" s="21"/>
      <c r="B540" s="21"/>
      <c r="C540" s="21"/>
      <c r="D540" s="21"/>
      <c r="E540" s="21"/>
      <c r="F540" s="21"/>
      <c r="G540" s="21"/>
      <c r="H540" s="21"/>
      <c r="I540" s="21"/>
      <c r="J540" s="21"/>
      <c r="K540" s="21"/>
      <c r="L540" s="21"/>
      <c r="M540" s="21"/>
      <c r="N540" s="21"/>
      <c r="O540" s="21"/>
      <c r="P540" s="21"/>
    </row>
    <row r="541">
      <c r="A541" s="21"/>
      <c r="B541" s="21"/>
      <c r="C541" s="21"/>
      <c r="D541" s="21"/>
      <c r="E541" s="21"/>
      <c r="F541" s="21"/>
      <c r="G541" s="21"/>
      <c r="H541" s="21"/>
      <c r="I541" s="21"/>
      <c r="J541" s="21"/>
      <c r="K541" s="21"/>
      <c r="L541" s="21"/>
      <c r="M541" s="21"/>
      <c r="N541" s="21"/>
      <c r="O541" s="21"/>
      <c r="P541" s="21"/>
    </row>
    <row r="542">
      <c r="A542" s="21"/>
      <c r="B542" s="21"/>
      <c r="C542" s="21"/>
      <c r="D542" s="21"/>
      <c r="E542" s="21"/>
      <c r="F542" s="21"/>
      <c r="G542" s="21"/>
      <c r="H542" s="21"/>
      <c r="I542" s="21"/>
      <c r="J542" s="21"/>
      <c r="K542" s="21"/>
      <c r="L542" s="21"/>
      <c r="M542" s="21"/>
      <c r="N542" s="21"/>
      <c r="O542" s="21"/>
      <c r="P542" s="21"/>
    </row>
    <row r="543">
      <c r="A543" s="21"/>
      <c r="B543" s="21"/>
      <c r="C543" s="21"/>
      <c r="D543" s="21"/>
      <c r="E543" s="21"/>
      <c r="F543" s="21"/>
      <c r="G543" s="21"/>
      <c r="H543" s="21"/>
      <c r="I543" s="21"/>
      <c r="J543" s="21"/>
      <c r="K543" s="21"/>
      <c r="L543" s="21"/>
      <c r="M543" s="21"/>
      <c r="N543" s="21"/>
      <c r="O543" s="21"/>
      <c r="P543" s="21"/>
    </row>
    <row r="544">
      <c r="A544" s="21"/>
      <c r="B544" s="21"/>
      <c r="C544" s="21"/>
      <c r="D544" s="21"/>
      <c r="E544" s="21"/>
      <c r="F544" s="21"/>
      <c r="G544" s="21"/>
      <c r="H544" s="21"/>
      <c r="I544" s="21"/>
      <c r="J544" s="21"/>
      <c r="K544" s="21"/>
      <c r="L544" s="21"/>
      <c r="M544" s="21"/>
      <c r="N544" s="21"/>
      <c r="O544" s="21"/>
      <c r="P544" s="21"/>
    </row>
    <row r="545">
      <c r="A545" s="21"/>
      <c r="B545" s="21"/>
      <c r="C545" s="21"/>
      <c r="D545" s="21"/>
      <c r="E545" s="21"/>
      <c r="F545" s="21"/>
      <c r="G545" s="21"/>
      <c r="H545" s="21"/>
      <c r="I545" s="21"/>
      <c r="J545" s="21"/>
      <c r="K545" s="21"/>
      <c r="L545" s="21"/>
      <c r="M545" s="21"/>
      <c r="N545" s="21"/>
      <c r="O545" s="21"/>
      <c r="P545" s="21"/>
    </row>
    <row r="546">
      <c r="A546" s="21"/>
      <c r="B546" s="21"/>
      <c r="C546" s="21"/>
      <c r="D546" s="21"/>
      <c r="E546" s="21"/>
      <c r="F546" s="21"/>
      <c r="G546" s="21"/>
      <c r="H546" s="21"/>
      <c r="I546" s="21"/>
      <c r="J546" s="21"/>
      <c r="K546" s="21"/>
      <c r="L546" s="21"/>
      <c r="M546" s="21"/>
      <c r="N546" s="21"/>
      <c r="O546" s="21"/>
      <c r="P546" s="21"/>
    </row>
    <row r="547">
      <c r="A547" s="21"/>
      <c r="B547" s="21"/>
      <c r="C547" s="21"/>
      <c r="D547" s="21"/>
      <c r="E547" s="21"/>
      <c r="F547" s="21"/>
      <c r="G547" s="21"/>
      <c r="H547" s="21"/>
      <c r="I547" s="21"/>
      <c r="J547" s="21"/>
      <c r="K547" s="21"/>
      <c r="L547" s="21"/>
      <c r="M547" s="21"/>
      <c r="N547" s="21"/>
      <c r="O547" s="21"/>
      <c r="P547" s="21"/>
    </row>
    <row r="548">
      <c r="A548" s="21"/>
      <c r="B548" s="21"/>
      <c r="C548" s="21"/>
      <c r="D548" s="21"/>
      <c r="E548" s="21"/>
      <c r="F548" s="21"/>
      <c r="G548" s="21"/>
      <c r="H548" s="21"/>
      <c r="I548" s="21"/>
      <c r="J548" s="21"/>
      <c r="K548" s="21"/>
      <c r="L548" s="21"/>
      <c r="M548" s="21"/>
      <c r="N548" s="21"/>
      <c r="O548" s="21"/>
      <c r="P548" s="21"/>
    </row>
    <row r="549">
      <c r="A549" s="21"/>
      <c r="B549" s="21"/>
      <c r="C549" s="21"/>
      <c r="D549" s="21"/>
      <c r="E549" s="21"/>
      <c r="F549" s="21"/>
      <c r="G549" s="21"/>
      <c r="H549" s="21"/>
      <c r="I549" s="21"/>
      <c r="J549" s="21"/>
      <c r="K549" s="21"/>
      <c r="L549" s="21"/>
      <c r="M549" s="21"/>
      <c r="N549" s="21"/>
      <c r="O549" s="21"/>
      <c r="P549" s="21"/>
    </row>
    <row r="550">
      <c r="A550" s="21"/>
      <c r="B550" s="21"/>
      <c r="C550" s="21"/>
      <c r="D550" s="21"/>
      <c r="E550" s="21"/>
      <c r="F550" s="21"/>
      <c r="G550" s="21"/>
      <c r="H550" s="21"/>
      <c r="I550" s="21"/>
      <c r="J550" s="21"/>
      <c r="K550" s="21"/>
      <c r="L550" s="21"/>
      <c r="M550" s="21"/>
      <c r="N550" s="21"/>
      <c r="O550" s="21"/>
      <c r="P550" s="21"/>
    </row>
    <row r="551">
      <c r="A551" s="21"/>
      <c r="B551" s="21"/>
      <c r="C551" s="21"/>
      <c r="D551" s="21"/>
      <c r="E551" s="21"/>
      <c r="F551" s="21"/>
      <c r="G551" s="21"/>
      <c r="H551" s="21"/>
      <c r="I551" s="21"/>
      <c r="J551" s="21"/>
      <c r="K551" s="21"/>
      <c r="L551" s="21"/>
      <c r="M551" s="21"/>
      <c r="N551" s="21"/>
      <c r="O551" s="21"/>
      <c r="P551" s="21"/>
    </row>
    <row r="552">
      <c r="A552" s="21"/>
      <c r="B552" s="21"/>
      <c r="C552" s="21"/>
      <c r="D552" s="21"/>
      <c r="E552" s="21"/>
      <c r="F552" s="21"/>
      <c r="G552" s="21"/>
      <c r="H552" s="21"/>
      <c r="I552" s="21"/>
      <c r="J552" s="21"/>
      <c r="K552" s="21"/>
      <c r="L552" s="21"/>
      <c r="M552" s="21"/>
      <c r="N552" s="21"/>
      <c r="O552" s="21"/>
      <c r="P552" s="21"/>
    </row>
    <row r="553">
      <c r="A553" s="21"/>
      <c r="B553" s="21"/>
      <c r="C553" s="21"/>
      <c r="D553" s="21"/>
      <c r="E553" s="21"/>
      <c r="F553" s="21"/>
      <c r="G553" s="21"/>
      <c r="H553" s="21"/>
      <c r="I553" s="21"/>
      <c r="J553" s="21"/>
      <c r="K553" s="21"/>
      <c r="L553" s="21"/>
      <c r="M553" s="21"/>
      <c r="N553" s="21"/>
      <c r="O553" s="21"/>
      <c r="P553" s="21"/>
    </row>
    <row r="554">
      <c r="A554" s="21"/>
      <c r="B554" s="21"/>
      <c r="C554" s="21"/>
      <c r="D554" s="21"/>
      <c r="E554" s="21"/>
      <c r="F554" s="21"/>
      <c r="G554" s="21"/>
      <c r="H554" s="21"/>
      <c r="I554" s="21"/>
      <c r="J554" s="21"/>
      <c r="K554" s="21"/>
      <c r="L554" s="21"/>
      <c r="M554" s="21"/>
      <c r="N554" s="21"/>
      <c r="O554" s="21"/>
      <c r="P554" s="21"/>
    </row>
    <row r="555">
      <c r="A555" s="21"/>
      <c r="B555" s="21"/>
      <c r="C555" s="21"/>
      <c r="D555" s="21"/>
      <c r="E555" s="21"/>
      <c r="F555" s="21"/>
      <c r="G555" s="21"/>
      <c r="H555" s="21"/>
      <c r="I555" s="21"/>
      <c r="J555" s="21"/>
      <c r="K555" s="21"/>
      <c r="L555" s="21"/>
      <c r="M555" s="21"/>
      <c r="N555" s="21"/>
      <c r="O555" s="21"/>
      <c r="P555" s="21"/>
    </row>
    <row r="556">
      <c r="A556" s="21"/>
      <c r="B556" s="21"/>
      <c r="C556" s="21"/>
      <c r="D556" s="21"/>
      <c r="E556" s="21"/>
      <c r="F556" s="21"/>
      <c r="G556" s="21"/>
      <c r="H556" s="21"/>
      <c r="I556" s="21"/>
      <c r="J556" s="21"/>
      <c r="K556" s="21"/>
      <c r="L556" s="21"/>
      <c r="M556" s="21"/>
      <c r="N556" s="21"/>
      <c r="O556" s="21"/>
      <c r="P556" s="21"/>
    </row>
    <row r="557">
      <c r="A557" s="21"/>
      <c r="B557" s="21"/>
      <c r="C557" s="21"/>
      <c r="D557" s="21"/>
      <c r="E557" s="21"/>
      <c r="F557" s="21"/>
      <c r="G557" s="21"/>
      <c r="H557" s="21"/>
      <c r="I557" s="21"/>
      <c r="J557" s="21"/>
      <c r="K557" s="21"/>
      <c r="L557" s="21"/>
      <c r="M557" s="21"/>
      <c r="N557" s="21"/>
      <c r="O557" s="21"/>
      <c r="P557" s="21"/>
    </row>
    <row r="558">
      <c r="A558" s="21"/>
      <c r="B558" s="21"/>
      <c r="C558" s="21"/>
      <c r="D558" s="21"/>
      <c r="E558" s="21"/>
      <c r="F558" s="21"/>
      <c r="G558" s="21"/>
      <c r="H558" s="21"/>
      <c r="I558" s="21"/>
      <c r="J558" s="21"/>
      <c r="K558" s="21"/>
      <c r="L558" s="21"/>
      <c r="M558" s="21"/>
      <c r="N558" s="21"/>
      <c r="O558" s="21"/>
      <c r="P558" s="21"/>
    </row>
    <row r="559">
      <c r="A559" s="21"/>
      <c r="B559" s="21"/>
      <c r="C559" s="21"/>
      <c r="D559" s="21"/>
      <c r="E559" s="21"/>
      <c r="F559" s="21"/>
      <c r="G559" s="21"/>
      <c r="H559" s="21"/>
      <c r="I559" s="21"/>
      <c r="J559" s="21"/>
      <c r="K559" s="21"/>
      <c r="L559" s="21"/>
      <c r="M559" s="21"/>
      <c r="N559" s="21"/>
      <c r="O559" s="21"/>
      <c r="P559" s="21"/>
    </row>
    <row r="560">
      <c r="A560" s="21"/>
      <c r="B560" s="21"/>
      <c r="C560" s="21"/>
      <c r="D560" s="21"/>
      <c r="E560" s="21"/>
      <c r="F560" s="21"/>
      <c r="G560" s="21"/>
      <c r="H560" s="21"/>
      <c r="I560" s="21"/>
      <c r="J560" s="21"/>
      <c r="K560" s="21"/>
      <c r="L560" s="21"/>
      <c r="M560" s="21"/>
      <c r="N560" s="21"/>
      <c r="O560" s="21"/>
      <c r="P560" s="21"/>
    </row>
    <row r="561">
      <c r="A561" s="21"/>
      <c r="B561" s="21"/>
      <c r="C561" s="21"/>
      <c r="D561" s="21"/>
      <c r="E561" s="21"/>
      <c r="F561" s="21"/>
      <c r="G561" s="21"/>
      <c r="H561" s="21"/>
      <c r="I561" s="21"/>
      <c r="J561" s="21"/>
      <c r="K561" s="21"/>
      <c r="L561" s="21"/>
      <c r="M561" s="21"/>
      <c r="N561" s="21"/>
      <c r="O561" s="21"/>
      <c r="P561" s="21"/>
    </row>
    <row r="562">
      <c r="A562" s="21"/>
      <c r="B562" s="21"/>
      <c r="C562" s="21"/>
      <c r="D562" s="21"/>
      <c r="E562" s="21"/>
      <c r="F562" s="21"/>
      <c r="G562" s="21"/>
      <c r="H562" s="21"/>
      <c r="I562" s="21"/>
      <c r="J562" s="21"/>
      <c r="K562" s="21"/>
      <c r="L562" s="21"/>
      <c r="M562" s="21"/>
      <c r="N562" s="21"/>
      <c r="O562" s="21"/>
      <c r="P562" s="21"/>
    </row>
    <row r="563">
      <c r="A563" s="21"/>
      <c r="B563" s="21"/>
      <c r="C563" s="21"/>
      <c r="D563" s="21"/>
      <c r="E563" s="21"/>
      <c r="F563" s="21"/>
      <c r="G563" s="21"/>
      <c r="H563" s="21"/>
      <c r="I563" s="21"/>
      <c r="J563" s="21"/>
      <c r="K563" s="21"/>
      <c r="L563" s="21"/>
      <c r="M563" s="21"/>
      <c r="N563" s="21"/>
      <c r="O563" s="21"/>
      <c r="P563" s="21"/>
    </row>
    <row r="564">
      <c r="A564" s="21"/>
      <c r="B564" s="21"/>
      <c r="C564" s="21"/>
      <c r="D564" s="21"/>
      <c r="E564" s="21"/>
      <c r="F564" s="21"/>
      <c r="G564" s="21"/>
      <c r="H564" s="21"/>
      <c r="I564" s="21"/>
      <c r="J564" s="21"/>
      <c r="K564" s="21"/>
      <c r="L564" s="21"/>
      <c r="M564" s="21"/>
      <c r="N564" s="21"/>
      <c r="O564" s="21"/>
      <c r="P564" s="21"/>
    </row>
    <row r="565">
      <c r="A565" s="21"/>
      <c r="B565" s="21"/>
      <c r="C565" s="21"/>
      <c r="D565" s="21"/>
      <c r="E565" s="21"/>
      <c r="F565" s="21"/>
      <c r="G565" s="21"/>
      <c r="H565" s="21"/>
      <c r="I565" s="21"/>
      <c r="J565" s="21"/>
      <c r="K565" s="21"/>
      <c r="L565" s="21"/>
      <c r="M565" s="21"/>
      <c r="N565" s="21"/>
      <c r="O565" s="21"/>
      <c r="P565" s="21"/>
    </row>
    <row r="566">
      <c r="A566" s="21"/>
      <c r="B566" s="21"/>
      <c r="C566" s="21"/>
      <c r="D566" s="21"/>
      <c r="E566" s="21"/>
      <c r="F566" s="21"/>
      <c r="G566" s="21"/>
      <c r="H566" s="21"/>
      <c r="I566" s="21"/>
      <c r="J566" s="21"/>
      <c r="K566" s="21"/>
      <c r="L566" s="21"/>
      <c r="M566" s="21"/>
      <c r="N566" s="21"/>
      <c r="O566" s="21"/>
      <c r="P566" s="21"/>
    </row>
    <row r="567">
      <c r="A567" s="21"/>
      <c r="B567" s="21"/>
      <c r="C567" s="21"/>
      <c r="D567" s="21"/>
      <c r="E567" s="21"/>
      <c r="F567" s="21"/>
      <c r="G567" s="21"/>
      <c r="H567" s="21"/>
      <c r="I567" s="21"/>
      <c r="J567" s="21"/>
      <c r="K567" s="21"/>
      <c r="L567" s="21"/>
      <c r="M567" s="21"/>
      <c r="N567" s="21"/>
      <c r="O567" s="21"/>
      <c r="P567" s="21"/>
    </row>
    <row r="568">
      <c r="A568" s="21"/>
      <c r="B568" s="21"/>
      <c r="C568" s="21"/>
      <c r="D568" s="21"/>
      <c r="E568" s="21"/>
      <c r="F568" s="21"/>
      <c r="G568" s="21"/>
      <c r="H568" s="21"/>
      <c r="I568" s="21"/>
      <c r="J568" s="21"/>
      <c r="K568" s="21"/>
      <c r="L568" s="21"/>
      <c r="M568" s="21"/>
      <c r="N568" s="21"/>
      <c r="O568" s="21"/>
      <c r="P568" s="21"/>
    </row>
    <row r="569">
      <c r="A569" s="21"/>
      <c r="B569" s="21"/>
      <c r="C569" s="21"/>
      <c r="D569" s="21"/>
      <c r="E569" s="21"/>
      <c r="F569" s="21"/>
      <c r="G569" s="21"/>
      <c r="H569" s="21"/>
      <c r="I569" s="21"/>
      <c r="J569" s="21"/>
      <c r="K569" s="21"/>
      <c r="L569" s="21"/>
      <c r="M569" s="21"/>
      <c r="N569" s="21"/>
      <c r="O569" s="21"/>
      <c r="P569" s="21"/>
    </row>
    <row r="570">
      <c r="A570" s="21"/>
      <c r="B570" s="21"/>
      <c r="C570" s="21"/>
      <c r="D570" s="21"/>
      <c r="E570" s="21"/>
      <c r="F570" s="21"/>
      <c r="G570" s="21"/>
      <c r="H570" s="21"/>
      <c r="I570" s="21"/>
      <c r="J570" s="21"/>
      <c r="K570" s="21"/>
      <c r="L570" s="21"/>
      <c r="M570" s="21"/>
      <c r="N570" s="21"/>
      <c r="O570" s="21"/>
      <c r="P570" s="21"/>
    </row>
    <row r="571">
      <c r="A571" s="21"/>
      <c r="B571" s="21"/>
      <c r="C571" s="21"/>
      <c r="D571" s="21"/>
      <c r="E571" s="21"/>
      <c r="F571" s="21"/>
      <c r="G571" s="21"/>
      <c r="H571" s="21"/>
      <c r="I571" s="21"/>
      <c r="J571" s="21"/>
      <c r="K571" s="21"/>
      <c r="L571" s="21"/>
      <c r="M571" s="21"/>
      <c r="N571" s="21"/>
      <c r="O571" s="21"/>
      <c r="P571" s="21"/>
    </row>
    <row r="572">
      <c r="A572" s="21"/>
      <c r="B572" s="21"/>
      <c r="C572" s="21"/>
      <c r="D572" s="21"/>
      <c r="E572" s="21"/>
      <c r="F572" s="21"/>
      <c r="G572" s="21"/>
      <c r="H572" s="21"/>
      <c r="I572" s="21"/>
      <c r="J572" s="21"/>
      <c r="K572" s="21"/>
      <c r="L572" s="21"/>
      <c r="M572" s="21"/>
      <c r="N572" s="21"/>
      <c r="O572" s="21"/>
      <c r="P572" s="21"/>
    </row>
    <row r="573">
      <c r="A573" s="21"/>
      <c r="B573" s="21"/>
      <c r="C573" s="21"/>
      <c r="D573" s="21"/>
      <c r="E573" s="21"/>
      <c r="F573" s="21"/>
      <c r="G573" s="21"/>
      <c r="H573" s="21"/>
      <c r="I573" s="21"/>
      <c r="J573" s="21"/>
      <c r="K573" s="21"/>
      <c r="L573" s="21"/>
      <c r="M573" s="21"/>
      <c r="N573" s="21"/>
      <c r="O573" s="21"/>
      <c r="P573" s="21"/>
    </row>
    <row r="574">
      <c r="A574" s="21"/>
      <c r="B574" s="21"/>
      <c r="C574" s="21"/>
      <c r="D574" s="21"/>
      <c r="E574" s="21"/>
      <c r="F574" s="21"/>
      <c r="G574" s="21"/>
      <c r="H574" s="21"/>
      <c r="I574" s="21"/>
      <c r="J574" s="21"/>
      <c r="K574" s="21"/>
      <c r="L574" s="21"/>
      <c r="M574" s="21"/>
      <c r="N574" s="21"/>
      <c r="O574" s="21"/>
      <c r="P574" s="21"/>
    </row>
    <row r="575">
      <c r="A575" s="21"/>
      <c r="B575" s="21"/>
      <c r="C575" s="21"/>
      <c r="D575" s="21"/>
      <c r="E575" s="21"/>
      <c r="F575" s="21"/>
      <c r="G575" s="21"/>
      <c r="H575" s="21"/>
      <c r="I575" s="21"/>
      <c r="J575" s="21"/>
      <c r="K575" s="21"/>
      <c r="L575" s="21"/>
      <c r="M575" s="21"/>
      <c r="N575" s="21"/>
      <c r="O575" s="21"/>
      <c r="P575" s="21"/>
    </row>
    <row r="576">
      <c r="A576" s="21"/>
      <c r="B576" s="21"/>
      <c r="C576" s="21"/>
      <c r="D576" s="21"/>
      <c r="E576" s="21"/>
      <c r="F576" s="21"/>
      <c r="G576" s="21"/>
      <c r="H576" s="21"/>
      <c r="I576" s="21"/>
      <c r="J576" s="21"/>
      <c r="K576" s="21"/>
      <c r="L576" s="21"/>
      <c r="M576" s="21"/>
      <c r="N576" s="21"/>
      <c r="O576" s="21"/>
      <c r="P576" s="21"/>
    </row>
    <row r="577">
      <c r="A577" s="21"/>
      <c r="B577" s="21"/>
      <c r="C577" s="21"/>
      <c r="D577" s="21"/>
      <c r="E577" s="21"/>
      <c r="F577" s="21"/>
      <c r="G577" s="21"/>
      <c r="H577" s="21"/>
      <c r="I577" s="21"/>
      <c r="J577" s="21"/>
      <c r="K577" s="21"/>
      <c r="L577" s="21"/>
      <c r="M577" s="21"/>
      <c r="N577" s="21"/>
      <c r="O577" s="21"/>
      <c r="P577" s="21"/>
    </row>
    <row r="578">
      <c r="A578" s="21"/>
      <c r="B578" s="21"/>
      <c r="C578" s="21"/>
      <c r="D578" s="21"/>
      <c r="E578" s="21"/>
      <c r="F578" s="21"/>
      <c r="G578" s="21"/>
      <c r="H578" s="21"/>
      <c r="I578" s="21"/>
      <c r="J578" s="21"/>
      <c r="K578" s="21"/>
      <c r="L578" s="21"/>
      <c r="M578" s="21"/>
      <c r="N578" s="21"/>
      <c r="O578" s="21"/>
      <c r="P578" s="21"/>
    </row>
    <row r="579">
      <c r="A579" s="21"/>
      <c r="B579" s="21"/>
      <c r="C579" s="21"/>
      <c r="D579" s="21"/>
      <c r="E579" s="21"/>
      <c r="F579" s="21"/>
      <c r="G579" s="21"/>
      <c r="H579" s="21"/>
      <c r="I579" s="21"/>
      <c r="J579" s="21"/>
      <c r="K579" s="21"/>
      <c r="L579" s="21"/>
      <c r="M579" s="21"/>
      <c r="N579" s="21"/>
      <c r="O579" s="21"/>
      <c r="P579" s="21"/>
    </row>
    <row r="580">
      <c r="A580" s="21"/>
      <c r="B580" s="21"/>
      <c r="C580" s="21"/>
      <c r="D580" s="21"/>
      <c r="E580" s="21"/>
      <c r="F580" s="21"/>
      <c r="G580" s="21"/>
      <c r="H580" s="21"/>
      <c r="I580" s="21"/>
      <c r="J580" s="21"/>
      <c r="K580" s="21"/>
      <c r="L580" s="21"/>
      <c r="M580" s="21"/>
      <c r="N580" s="21"/>
      <c r="O580" s="21"/>
      <c r="P580" s="21"/>
    </row>
    <row r="581">
      <c r="A581" s="21"/>
      <c r="B581" s="21"/>
      <c r="C581" s="21"/>
      <c r="D581" s="21"/>
      <c r="E581" s="21"/>
      <c r="F581" s="21"/>
      <c r="G581" s="21"/>
      <c r="H581" s="21"/>
      <c r="I581" s="21"/>
      <c r="J581" s="21"/>
      <c r="K581" s="21"/>
      <c r="L581" s="21"/>
      <c r="M581" s="21"/>
      <c r="N581" s="21"/>
      <c r="O581" s="21"/>
      <c r="P581" s="21"/>
    </row>
    <row r="582">
      <c r="A582" s="21"/>
      <c r="B582" s="21"/>
      <c r="C582" s="21"/>
      <c r="D582" s="21"/>
      <c r="E582" s="21"/>
      <c r="F582" s="21"/>
      <c r="G582" s="21"/>
      <c r="H582" s="21"/>
      <c r="I582" s="21"/>
      <c r="J582" s="21"/>
      <c r="K582" s="21"/>
      <c r="L582" s="21"/>
      <c r="M582" s="21"/>
      <c r="N582" s="21"/>
      <c r="O582" s="21"/>
      <c r="P582" s="21"/>
    </row>
    <row r="583">
      <c r="A583" s="21"/>
      <c r="B583" s="21"/>
      <c r="C583" s="21"/>
      <c r="D583" s="21"/>
      <c r="E583" s="21"/>
      <c r="F583" s="21"/>
      <c r="G583" s="21"/>
      <c r="H583" s="21"/>
      <c r="I583" s="21"/>
      <c r="J583" s="21"/>
      <c r="K583" s="21"/>
      <c r="L583" s="21"/>
      <c r="M583" s="21"/>
      <c r="N583" s="21"/>
      <c r="O583" s="21"/>
      <c r="P583" s="21"/>
    </row>
    <row r="584">
      <c r="A584" s="21"/>
      <c r="B584" s="21"/>
      <c r="C584" s="21"/>
      <c r="D584" s="21"/>
      <c r="E584" s="21"/>
      <c r="F584" s="21"/>
      <c r="G584" s="21"/>
      <c r="H584" s="21"/>
      <c r="I584" s="21"/>
      <c r="J584" s="21"/>
      <c r="K584" s="21"/>
      <c r="L584" s="21"/>
      <c r="M584" s="21"/>
      <c r="N584" s="21"/>
      <c r="O584" s="21"/>
      <c r="P584" s="21"/>
    </row>
    <row r="585">
      <c r="A585" s="21"/>
      <c r="B585" s="21"/>
      <c r="C585" s="21"/>
      <c r="D585" s="21"/>
      <c r="E585" s="21"/>
      <c r="F585" s="21"/>
      <c r="G585" s="21"/>
      <c r="H585" s="21"/>
      <c r="I585" s="21"/>
      <c r="J585" s="21"/>
      <c r="K585" s="21"/>
      <c r="L585" s="21"/>
      <c r="M585" s="21"/>
      <c r="N585" s="21"/>
      <c r="O585" s="21"/>
      <c r="P585" s="21"/>
    </row>
    <row r="586">
      <c r="A586" s="21"/>
      <c r="B586" s="21"/>
      <c r="C586" s="21"/>
      <c r="D586" s="21"/>
      <c r="E586" s="21"/>
      <c r="F586" s="21"/>
      <c r="G586" s="21"/>
      <c r="H586" s="21"/>
      <c r="I586" s="21"/>
      <c r="J586" s="21"/>
      <c r="K586" s="21"/>
      <c r="L586" s="21"/>
      <c r="M586" s="21"/>
      <c r="N586" s="21"/>
      <c r="O586" s="21"/>
      <c r="P586" s="21"/>
    </row>
    <row r="587">
      <c r="A587" s="21"/>
      <c r="B587" s="21"/>
      <c r="C587" s="21"/>
      <c r="D587" s="21"/>
      <c r="E587" s="21"/>
      <c r="F587" s="21"/>
      <c r="G587" s="21"/>
      <c r="H587" s="21"/>
      <c r="I587" s="21"/>
      <c r="J587" s="21"/>
      <c r="K587" s="21"/>
      <c r="L587" s="21"/>
      <c r="M587" s="21"/>
      <c r="N587" s="21"/>
      <c r="O587" s="21"/>
      <c r="P587" s="21"/>
    </row>
    <row r="588">
      <c r="A588" s="21"/>
      <c r="B588" s="21"/>
      <c r="C588" s="21"/>
      <c r="D588" s="21"/>
      <c r="E588" s="21"/>
      <c r="F588" s="21"/>
      <c r="G588" s="21"/>
      <c r="H588" s="21"/>
      <c r="I588" s="21"/>
      <c r="J588" s="21"/>
      <c r="K588" s="21"/>
      <c r="L588" s="21"/>
      <c r="M588" s="21"/>
      <c r="N588" s="21"/>
      <c r="O588" s="21"/>
      <c r="P588" s="21"/>
    </row>
    <row r="589">
      <c r="A589" s="21"/>
      <c r="B589" s="21"/>
      <c r="C589" s="21"/>
      <c r="D589" s="21"/>
      <c r="E589" s="21"/>
      <c r="F589" s="21"/>
      <c r="G589" s="21"/>
      <c r="H589" s="21"/>
      <c r="I589" s="21"/>
      <c r="J589" s="21"/>
      <c r="K589" s="21"/>
      <c r="L589" s="21"/>
      <c r="M589" s="21"/>
      <c r="N589" s="21"/>
      <c r="O589" s="21"/>
      <c r="P589" s="21"/>
    </row>
    <row r="590">
      <c r="A590" s="21"/>
      <c r="B590" s="21"/>
      <c r="C590" s="21"/>
      <c r="D590" s="21"/>
      <c r="E590" s="21"/>
      <c r="F590" s="21"/>
      <c r="G590" s="21"/>
      <c r="H590" s="21"/>
      <c r="I590" s="21"/>
      <c r="J590" s="21"/>
      <c r="K590" s="21"/>
      <c r="L590" s="21"/>
      <c r="M590" s="21"/>
      <c r="N590" s="21"/>
      <c r="O590" s="21"/>
      <c r="P590" s="21"/>
    </row>
    <row r="591">
      <c r="A591" s="21"/>
      <c r="B591" s="21"/>
      <c r="C591" s="21"/>
      <c r="D591" s="21"/>
      <c r="E591" s="21"/>
      <c r="F591" s="21"/>
      <c r="G591" s="21"/>
      <c r="H591" s="21"/>
      <c r="I591" s="21"/>
      <c r="J591" s="21"/>
      <c r="K591" s="21"/>
      <c r="L591" s="21"/>
      <c r="M591" s="21"/>
      <c r="N591" s="21"/>
      <c r="O591" s="21"/>
      <c r="P591" s="21"/>
    </row>
    <row r="592">
      <c r="A592" s="21"/>
      <c r="B592" s="21"/>
      <c r="C592" s="21"/>
      <c r="D592" s="21"/>
      <c r="E592" s="21"/>
      <c r="F592" s="21"/>
      <c r="G592" s="21"/>
      <c r="H592" s="21"/>
      <c r="I592" s="21"/>
      <c r="J592" s="21"/>
      <c r="K592" s="21"/>
      <c r="L592" s="21"/>
      <c r="M592" s="21"/>
      <c r="N592" s="21"/>
      <c r="O592" s="21"/>
      <c r="P592" s="21"/>
    </row>
    <row r="593">
      <c r="A593" s="21"/>
      <c r="B593" s="21"/>
      <c r="C593" s="21"/>
      <c r="D593" s="21"/>
      <c r="E593" s="21"/>
      <c r="F593" s="21"/>
      <c r="G593" s="21"/>
      <c r="H593" s="21"/>
      <c r="I593" s="21"/>
      <c r="J593" s="21"/>
      <c r="K593" s="21"/>
      <c r="L593" s="21"/>
      <c r="M593" s="21"/>
      <c r="N593" s="21"/>
      <c r="O593" s="21"/>
      <c r="P593" s="21"/>
    </row>
    <row r="594">
      <c r="A594" s="21"/>
      <c r="B594" s="21"/>
      <c r="C594" s="21"/>
      <c r="D594" s="21"/>
      <c r="E594" s="21"/>
      <c r="F594" s="21"/>
      <c r="G594" s="21"/>
      <c r="H594" s="21"/>
      <c r="I594" s="21"/>
      <c r="J594" s="21"/>
      <c r="K594" s="21"/>
      <c r="L594" s="21"/>
      <c r="M594" s="21"/>
      <c r="N594" s="21"/>
      <c r="O594" s="21"/>
      <c r="P594" s="21"/>
    </row>
    <row r="595">
      <c r="A595" s="21"/>
      <c r="B595" s="21"/>
      <c r="C595" s="21"/>
      <c r="D595" s="21"/>
      <c r="E595" s="21"/>
      <c r="F595" s="21"/>
      <c r="G595" s="21"/>
      <c r="H595" s="21"/>
      <c r="I595" s="21"/>
      <c r="J595" s="21"/>
      <c r="K595" s="21"/>
      <c r="L595" s="21"/>
      <c r="M595" s="21"/>
      <c r="N595" s="21"/>
      <c r="O595" s="21"/>
      <c r="P595" s="21"/>
    </row>
    <row r="596">
      <c r="A596" s="21"/>
      <c r="B596" s="21"/>
      <c r="C596" s="21"/>
      <c r="D596" s="21"/>
      <c r="E596" s="21"/>
      <c r="F596" s="21"/>
      <c r="G596" s="21"/>
      <c r="H596" s="21"/>
      <c r="I596" s="21"/>
      <c r="J596" s="21"/>
      <c r="K596" s="21"/>
      <c r="L596" s="21"/>
      <c r="M596" s="21"/>
      <c r="N596" s="21"/>
      <c r="O596" s="21"/>
      <c r="P596" s="21"/>
    </row>
    <row r="597">
      <c r="A597" s="21"/>
      <c r="B597" s="21"/>
      <c r="C597" s="21"/>
      <c r="D597" s="21"/>
      <c r="E597" s="21"/>
      <c r="F597" s="21"/>
      <c r="G597" s="21"/>
      <c r="H597" s="21"/>
      <c r="I597" s="21"/>
      <c r="J597" s="21"/>
      <c r="K597" s="21"/>
      <c r="L597" s="21"/>
      <c r="M597" s="21"/>
      <c r="N597" s="21"/>
      <c r="O597" s="21"/>
      <c r="P597" s="21"/>
    </row>
    <row r="598">
      <c r="A598" s="21"/>
      <c r="B598" s="21"/>
      <c r="C598" s="21"/>
      <c r="D598" s="21"/>
      <c r="E598" s="21"/>
      <c r="F598" s="21"/>
      <c r="G598" s="21"/>
      <c r="H598" s="21"/>
      <c r="I598" s="21"/>
      <c r="J598" s="21"/>
      <c r="K598" s="21"/>
      <c r="L598" s="21"/>
      <c r="M598" s="21"/>
      <c r="N598" s="21"/>
      <c r="O598" s="21"/>
      <c r="P598" s="21"/>
    </row>
    <row r="599">
      <c r="A599" s="21"/>
      <c r="B599" s="21"/>
      <c r="C599" s="21"/>
      <c r="D599" s="21"/>
      <c r="E599" s="21"/>
      <c r="F599" s="21"/>
      <c r="G599" s="21"/>
      <c r="H599" s="21"/>
      <c r="I599" s="21"/>
      <c r="J599" s="21"/>
      <c r="K599" s="21"/>
      <c r="L599" s="21"/>
      <c r="M599" s="21"/>
      <c r="N599" s="21"/>
      <c r="O599" s="21"/>
      <c r="P599" s="21"/>
    </row>
    <row r="600">
      <c r="A600" s="21"/>
      <c r="B600" s="21"/>
      <c r="C600" s="21"/>
      <c r="D600" s="21"/>
      <c r="E600" s="21"/>
      <c r="F600" s="21"/>
      <c r="G600" s="21"/>
      <c r="H600" s="21"/>
      <c r="I600" s="21"/>
      <c r="J600" s="21"/>
      <c r="K600" s="21"/>
      <c r="L600" s="21"/>
      <c r="M600" s="21"/>
      <c r="N600" s="21"/>
      <c r="O600" s="21"/>
      <c r="P600" s="21"/>
    </row>
    <row r="601">
      <c r="A601" s="21"/>
      <c r="B601" s="21"/>
      <c r="C601" s="21"/>
      <c r="D601" s="21"/>
      <c r="E601" s="21"/>
      <c r="F601" s="21"/>
      <c r="G601" s="21"/>
      <c r="H601" s="21"/>
      <c r="I601" s="21"/>
      <c r="J601" s="21"/>
      <c r="K601" s="21"/>
      <c r="L601" s="21"/>
      <c r="M601" s="21"/>
      <c r="N601" s="21"/>
      <c r="O601" s="21"/>
      <c r="P601" s="21"/>
    </row>
    <row r="602">
      <c r="A602" s="21"/>
      <c r="B602" s="21"/>
      <c r="C602" s="21"/>
      <c r="D602" s="21"/>
      <c r="E602" s="21"/>
      <c r="F602" s="21"/>
      <c r="G602" s="21"/>
      <c r="H602" s="21"/>
      <c r="I602" s="21"/>
      <c r="J602" s="21"/>
      <c r="K602" s="21"/>
      <c r="L602" s="21"/>
      <c r="M602" s="21"/>
      <c r="N602" s="21"/>
      <c r="O602" s="21"/>
      <c r="P602" s="21"/>
    </row>
    <row r="603">
      <c r="A603" s="21"/>
      <c r="B603" s="21"/>
      <c r="C603" s="21"/>
      <c r="D603" s="21"/>
      <c r="E603" s="21"/>
      <c r="F603" s="21"/>
      <c r="G603" s="21"/>
      <c r="H603" s="21"/>
      <c r="I603" s="21"/>
      <c r="J603" s="21"/>
      <c r="K603" s="21"/>
      <c r="L603" s="21"/>
      <c r="M603" s="21"/>
      <c r="N603" s="21"/>
      <c r="O603" s="21"/>
      <c r="P603" s="21"/>
    </row>
    <row r="604">
      <c r="A604" s="21"/>
      <c r="B604" s="21"/>
      <c r="C604" s="21"/>
      <c r="D604" s="21"/>
      <c r="E604" s="21"/>
      <c r="F604" s="21"/>
      <c r="G604" s="21"/>
      <c r="H604" s="21"/>
      <c r="I604" s="21"/>
      <c r="J604" s="21"/>
      <c r="K604" s="21"/>
      <c r="L604" s="21"/>
      <c r="M604" s="21"/>
      <c r="N604" s="21"/>
      <c r="O604" s="21"/>
      <c r="P604" s="21"/>
    </row>
    <row r="605">
      <c r="A605" s="21"/>
      <c r="B605" s="21"/>
      <c r="C605" s="21"/>
      <c r="D605" s="21"/>
      <c r="E605" s="21"/>
      <c r="F605" s="21"/>
      <c r="G605" s="21"/>
      <c r="H605" s="21"/>
      <c r="I605" s="21"/>
      <c r="J605" s="21"/>
      <c r="K605" s="21"/>
      <c r="L605" s="21"/>
      <c r="M605" s="21"/>
      <c r="N605" s="21"/>
      <c r="O605" s="21"/>
      <c r="P605" s="21"/>
    </row>
    <row r="606">
      <c r="A606" s="21"/>
      <c r="B606" s="21"/>
      <c r="C606" s="21"/>
      <c r="D606" s="21"/>
      <c r="E606" s="21"/>
      <c r="F606" s="21"/>
      <c r="G606" s="21"/>
      <c r="H606" s="21"/>
      <c r="I606" s="21"/>
      <c r="J606" s="21"/>
      <c r="K606" s="21"/>
      <c r="L606" s="21"/>
      <c r="M606" s="21"/>
      <c r="N606" s="21"/>
      <c r="O606" s="21"/>
      <c r="P606" s="21"/>
    </row>
    <row r="607">
      <c r="A607" s="21"/>
      <c r="B607" s="21"/>
      <c r="C607" s="21"/>
      <c r="D607" s="21"/>
      <c r="E607" s="21"/>
      <c r="F607" s="21"/>
      <c r="G607" s="21"/>
      <c r="H607" s="21"/>
      <c r="I607" s="21"/>
      <c r="J607" s="21"/>
      <c r="K607" s="21"/>
      <c r="L607" s="21"/>
      <c r="M607" s="21"/>
      <c r="N607" s="21"/>
      <c r="O607" s="21"/>
      <c r="P607" s="21"/>
    </row>
    <row r="608">
      <c r="A608" s="21"/>
      <c r="B608" s="21"/>
      <c r="C608" s="21"/>
      <c r="D608" s="21"/>
      <c r="E608" s="21"/>
      <c r="F608" s="21"/>
      <c r="G608" s="21"/>
      <c r="H608" s="21"/>
      <c r="I608" s="21"/>
      <c r="J608" s="21"/>
      <c r="K608" s="21"/>
      <c r="L608" s="21"/>
      <c r="M608" s="21"/>
      <c r="N608" s="21"/>
      <c r="O608" s="21"/>
      <c r="P608" s="21"/>
    </row>
    <row r="609">
      <c r="A609" s="21"/>
      <c r="B609" s="21"/>
      <c r="C609" s="21"/>
      <c r="D609" s="21"/>
      <c r="E609" s="21"/>
      <c r="F609" s="21"/>
      <c r="G609" s="21"/>
      <c r="H609" s="21"/>
      <c r="I609" s="21"/>
      <c r="J609" s="21"/>
      <c r="K609" s="21"/>
      <c r="L609" s="21"/>
      <c r="M609" s="21"/>
      <c r="N609" s="21"/>
      <c r="O609" s="21"/>
      <c r="P609" s="21"/>
    </row>
    <row r="610">
      <c r="A610" s="21"/>
      <c r="B610" s="21"/>
      <c r="C610" s="21"/>
      <c r="D610" s="21"/>
      <c r="E610" s="21"/>
      <c r="F610" s="21"/>
      <c r="G610" s="21"/>
      <c r="H610" s="21"/>
      <c r="I610" s="21"/>
      <c r="J610" s="21"/>
      <c r="K610" s="21"/>
      <c r="L610" s="21"/>
      <c r="M610" s="21"/>
      <c r="N610" s="21"/>
      <c r="O610" s="21"/>
      <c r="P610" s="21"/>
    </row>
    <row r="611">
      <c r="A611" s="21"/>
      <c r="B611" s="21"/>
      <c r="C611" s="21"/>
      <c r="D611" s="21"/>
      <c r="E611" s="21"/>
      <c r="F611" s="21"/>
      <c r="G611" s="21"/>
      <c r="H611" s="21"/>
      <c r="I611" s="21"/>
      <c r="J611" s="21"/>
      <c r="K611" s="21"/>
      <c r="L611" s="21"/>
      <c r="M611" s="21"/>
      <c r="N611" s="21"/>
      <c r="O611" s="21"/>
      <c r="P611" s="21"/>
    </row>
    <row r="612">
      <c r="A612" s="21"/>
      <c r="B612" s="21"/>
      <c r="C612" s="21"/>
      <c r="D612" s="21"/>
      <c r="E612" s="21"/>
      <c r="F612" s="21"/>
      <c r="G612" s="21"/>
      <c r="H612" s="21"/>
      <c r="I612" s="21"/>
      <c r="J612" s="21"/>
      <c r="K612" s="21"/>
      <c r="L612" s="21"/>
      <c r="M612" s="21"/>
      <c r="N612" s="21"/>
      <c r="O612" s="21"/>
      <c r="P612" s="21"/>
    </row>
    <row r="613">
      <c r="A613" s="21"/>
      <c r="B613" s="21"/>
      <c r="C613" s="21"/>
      <c r="D613" s="21"/>
      <c r="E613" s="21"/>
      <c r="F613" s="21"/>
      <c r="G613" s="21"/>
      <c r="H613" s="21"/>
      <c r="I613" s="21"/>
      <c r="J613" s="21"/>
      <c r="K613" s="21"/>
      <c r="L613" s="21"/>
      <c r="M613" s="21"/>
      <c r="N613" s="21"/>
      <c r="O613" s="21"/>
      <c r="P613" s="21"/>
    </row>
    <row r="614">
      <c r="A614" s="21"/>
      <c r="B614" s="21"/>
      <c r="C614" s="21"/>
      <c r="D614" s="21"/>
      <c r="E614" s="21"/>
      <c r="F614" s="21"/>
      <c r="G614" s="21"/>
      <c r="H614" s="21"/>
      <c r="I614" s="21"/>
      <c r="J614" s="21"/>
      <c r="K614" s="21"/>
      <c r="L614" s="21"/>
      <c r="M614" s="21"/>
      <c r="N614" s="21"/>
      <c r="O614" s="21"/>
      <c r="P614" s="21"/>
    </row>
    <row r="615">
      <c r="A615" s="21"/>
      <c r="B615" s="21"/>
      <c r="C615" s="21"/>
      <c r="D615" s="21"/>
      <c r="E615" s="21"/>
      <c r="F615" s="21"/>
      <c r="G615" s="21"/>
      <c r="H615" s="21"/>
      <c r="I615" s="21"/>
      <c r="J615" s="21"/>
      <c r="K615" s="21"/>
      <c r="L615" s="21"/>
      <c r="M615" s="21"/>
      <c r="N615" s="21"/>
      <c r="O615" s="21"/>
      <c r="P615" s="21"/>
    </row>
    <row r="616">
      <c r="A616" s="21"/>
      <c r="B616" s="21"/>
      <c r="C616" s="21"/>
      <c r="D616" s="21"/>
      <c r="E616" s="21"/>
      <c r="F616" s="21"/>
      <c r="G616" s="21"/>
      <c r="H616" s="21"/>
      <c r="I616" s="21"/>
      <c r="J616" s="21"/>
      <c r="K616" s="21"/>
      <c r="L616" s="21"/>
      <c r="M616" s="21"/>
      <c r="N616" s="21"/>
      <c r="O616" s="21"/>
      <c r="P616" s="21"/>
    </row>
    <row r="617">
      <c r="A617" s="21"/>
      <c r="B617" s="21"/>
      <c r="C617" s="21"/>
      <c r="D617" s="21"/>
      <c r="E617" s="21"/>
      <c r="F617" s="21"/>
      <c r="G617" s="21"/>
      <c r="H617" s="21"/>
      <c r="I617" s="21"/>
      <c r="J617" s="21"/>
      <c r="K617" s="21"/>
      <c r="L617" s="21"/>
      <c r="M617" s="21"/>
      <c r="N617" s="21"/>
      <c r="O617" s="21"/>
      <c r="P617" s="21"/>
    </row>
    <row r="618">
      <c r="A618" s="21"/>
      <c r="B618" s="21"/>
      <c r="C618" s="21"/>
      <c r="D618" s="21"/>
      <c r="E618" s="21"/>
      <c r="F618" s="21"/>
      <c r="G618" s="21"/>
      <c r="H618" s="21"/>
      <c r="I618" s="21"/>
      <c r="J618" s="21"/>
      <c r="K618" s="21"/>
      <c r="L618" s="21"/>
      <c r="M618" s="21"/>
      <c r="N618" s="21"/>
      <c r="O618" s="21"/>
      <c r="P618" s="21"/>
    </row>
    <row r="619">
      <c r="A619" s="21"/>
      <c r="B619" s="21"/>
      <c r="C619" s="21"/>
      <c r="D619" s="21"/>
      <c r="E619" s="21"/>
      <c r="F619" s="21"/>
      <c r="G619" s="21"/>
      <c r="H619" s="21"/>
      <c r="I619" s="21"/>
      <c r="J619" s="21"/>
      <c r="K619" s="21"/>
      <c r="L619" s="21"/>
      <c r="M619" s="21"/>
      <c r="N619" s="21"/>
      <c r="O619" s="21"/>
      <c r="P619" s="21"/>
    </row>
    <row r="620">
      <c r="A620" s="21"/>
      <c r="B620" s="21"/>
      <c r="C620" s="21"/>
      <c r="D620" s="21"/>
      <c r="E620" s="21"/>
      <c r="F620" s="21"/>
      <c r="G620" s="21"/>
      <c r="H620" s="21"/>
      <c r="I620" s="21"/>
      <c r="J620" s="21"/>
      <c r="K620" s="21"/>
      <c r="L620" s="21"/>
      <c r="M620" s="21"/>
      <c r="N620" s="21"/>
      <c r="O620" s="21"/>
      <c r="P620" s="21"/>
    </row>
    <row r="621">
      <c r="A621" s="21"/>
      <c r="B621" s="21"/>
      <c r="C621" s="21"/>
      <c r="D621" s="21"/>
      <c r="E621" s="21"/>
      <c r="F621" s="21"/>
      <c r="G621" s="21"/>
      <c r="H621" s="21"/>
      <c r="I621" s="21"/>
      <c r="J621" s="21"/>
      <c r="K621" s="21"/>
      <c r="L621" s="21"/>
      <c r="M621" s="21"/>
      <c r="N621" s="21"/>
      <c r="O621" s="21"/>
      <c r="P621" s="21"/>
    </row>
    <row r="622">
      <c r="A622" s="21"/>
      <c r="B622" s="21"/>
      <c r="C622" s="21"/>
      <c r="D622" s="21"/>
      <c r="E622" s="21"/>
      <c r="F622" s="21"/>
      <c r="G622" s="21"/>
      <c r="H622" s="21"/>
      <c r="I622" s="21"/>
      <c r="J622" s="21"/>
      <c r="K622" s="21"/>
      <c r="L622" s="21"/>
      <c r="M622" s="21"/>
      <c r="N622" s="21"/>
      <c r="O622" s="21"/>
      <c r="P622" s="21"/>
    </row>
    <row r="623">
      <c r="A623" s="21"/>
      <c r="B623" s="21"/>
      <c r="C623" s="21"/>
      <c r="D623" s="21"/>
      <c r="E623" s="21"/>
      <c r="F623" s="21"/>
      <c r="G623" s="21"/>
      <c r="H623" s="21"/>
      <c r="I623" s="21"/>
      <c r="J623" s="21"/>
      <c r="K623" s="21"/>
      <c r="L623" s="21"/>
      <c r="M623" s="21"/>
      <c r="N623" s="21"/>
      <c r="O623" s="21"/>
      <c r="P623" s="21"/>
    </row>
    <row r="624">
      <c r="A624" s="21"/>
      <c r="B624" s="21"/>
      <c r="C624" s="21"/>
      <c r="D624" s="21"/>
      <c r="E624" s="21"/>
      <c r="F624" s="21"/>
      <c r="G624" s="21"/>
      <c r="H624" s="21"/>
      <c r="I624" s="21"/>
      <c r="J624" s="21"/>
      <c r="K624" s="21"/>
      <c r="L624" s="21"/>
      <c r="M624" s="21"/>
      <c r="N624" s="21"/>
      <c r="O624" s="21"/>
      <c r="P624" s="21"/>
    </row>
    <row r="625">
      <c r="A625" s="21"/>
      <c r="B625" s="21"/>
      <c r="C625" s="21"/>
      <c r="D625" s="21"/>
      <c r="E625" s="21"/>
      <c r="F625" s="21"/>
      <c r="G625" s="21"/>
      <c r="H625" s="21"/>
      <c r="I625" s="21"/>
      <c r="J625" s="21"/>
      <c r="K625" s="21"/>
      <c r="L625" s="21"/>
      <c r="M625" s="21"/>
      <c r="N625" s="21"/>
      <c r="O625" s="21"/>
      <c r="P625" s="21"/>
    </row>
    <row r="626">
      <c r="A626" s="21"/>
      <c r="B626" s="21"/>
      <c r="C626" s="21"/>
      <c r="D626" s="21"/>
      <c r="E626" s="21"/>
      <c r="F626" s="21"/>
      <c r="G626" s="21"/>
      <c r="H626" s="21"/>
      <c r="I626" s="21"/>
      <c r="J626" s="21"/>
      <c r="K626" s="21"/>
      <c r="L626" s="21"/>
      <c r="M626" s="21"/>
      <c r="N626" s="21"/>
      <c r="O626" s="21"/>
      <c r="P626" s="21"/>
    </row>
    <row r="627">
      <c r="A627" s="21"/>
      <c r="B627" s="21"/>
      <c r="C627" s="21"/>
      <c r="D627" s="21"/>
      <c r="E627" s="21"/>
      <c r="F627" s="21"/>
      <c r="G627" s="21"/>
      <c r="H627" s="21"/>
      <c r="I627" s="21"/>
      <c r="J627" s="21"/>
      <c r="K627" s="21"/>
      <c r="L627" s="21"/>
      <c r="M627" s="21"/>
      <c r="N627" s="21"/>
      <c r="O627" s="21"/>
      <c r="P627" s="21"/>
    </row>
    <row r="628">
      <c r="A628" s="21"/>
      <c r="B628" s="21"/>
      <c r="C628" s="21"/>
      <c r="D628" s="21"/>
      <c r="E628" s="21"/>
      <c r="F628" s="21"/>
      <c r="G628" s="21"/>
      <c r="H628" s="21"/>
      <c r="I628" s="21"/>
      <c r="J628" s="21"/>
      <c r="K628" s="21"/>
      <c r="L628" s="21"/>
      <c r="M628" s="21"/>
      <c r="N628" s="21"/>
      <c r="O628" s="21"/>
      <c r="P628" s="21"/>
    </row>
    <row r="629">
      <c r="A629" s="21"/>
      <c r="B629" s="21"/>
      <c r="C629" s="21"/>
      <c r="D629" s="21"/>
      <c r="E629" s="21"/>
      <c r="F629" s="21"/>
      <c r="G629" s="21"/>
      <c r="H629" s="21"/>
      <c r="I629" s="21"/>
      <c r="J629" s="21"/>
      <c r="K629" s="21"/>
      <c r="L629" s="21"/>
      <c r="M629" s="21"/>
      <c r="N629" s="21"/>
      <c r="O629" s="21"/>
      <c r="P629" s="21"/>
    </row>
    <row r="630">
      <c r="A630" s="21"/>
      <c r="B630" s="21"/>
      <c r="C630" s="21"/>
      <c r="D630" s="21"/>
      <c r="E630" s="21"/>
      <c r="F630" s="21"/>
      <c r="G630" s="21"/>
      <c r="H630" s="21"/>
      <c r="I630" s="21"/>
      <c r="J630" s="21"/>
      <c r="K630" s="21"/>
      <c r="L630" s="21"/>
      <c r="M630" s="21"/>
      <c r="N630" s="21"/>
      <c r="O630" s="21"/>
      <c r="P630" s="21"/>
    </row>
    <row r="631">
      <c r="A631" s="21"/>
      <c r="B631" s="21"/>
      <c r="C631" s="21"/>
      <c r="D631" s="21"/>
      <c r="E631" s="21"/>
      <c r="F631" s="21"/>
      <c r="G631" s="21"/>
      <c r="H631" s="21"/>
      <c r="I631" s="21"/>
      <c r="J631" s="21"/>
      <c r="K631" s="21"/>
      <c r="L631" s="21"/>
      <c r="M631" s="21"/>
      <c r="N631" s="21"/>
      <c r="O631" s="21"/>
      <c r="P631" s="21"/>
    </row>
    <row r="632">
      <c r="A632" s="21"/>
      <c r="B632" s="21"/>
      <c r="C632" s="21"/>
      <c r="D632" s="21"/>
      <c r="E632" s="21"/>
      <c r="F632" s="21"/>
      <c r="G632" s="21"/>
      <c r="H632" s="21"/>
      <c r="I632" s="21"/>
      <c r="J632" s="21"/>
      <c r="K632" s="21"/>
      <c r="L632" s="21"/>
      <c r="M632" s="21"/>
      <c r="N632" s="21"/>
      <c r="O632" s="21"/>
      <c r="P632" s="21"/>
    </row>
    <row r="633">
      <c r="A633" s="21"/>
      <c r="B633" s="21"/>
      <c r="C633" s="21"/>
      <c r="D633" s="21"/>
      <c r="E633" s="21"/>
      <c r="F633" s="21"/>
      <c r="G633" s="21"/>
      <c r="H633" s="21"/>
      <c r="I633" s="21"/>
      <c r="J633" s="21"/>
      <c r="K633" s="21"/>
      <c r="L633" s="21"/>
      <c r="M633" s="21"/>
      <c r="N633" s="21"/>
      <c r="O633" s="21"/>
      <c r="P633" s="21"/>
    </row>
    <row r="634">
      <c r="A634" s="21"/>
      <c r="B634" s="21"/>
      <c r="C634" s="21"/>
      <c r="D634" s="21"/>
      <c r="E634" s="21"/>
      <c r="F634" s="21"/>
      <c r="G634" s="21"/>
      <c r="H634" s="21"/>
      <c r="I634" s="21"/>
      <c r="J634" s="21"/>
      <c r="K634" s="21"/>
      <c r="L634" s="21"/>
      <c r="M634" s="21"/>
      <c r="N634" s="21"/>
      <c r="O634" s="21"/>
      <c r="P634" s="21"/>
    </row>
    <row r="635">
      <c r="A635" s="21"/>
      <c r="B635" s="21"/>
      <c r="C635" s="21"/>
      <c r="D635" s="21"/>
      <c r="E635" s="21"/>
      <c r="F635" s="21"/>
      <c r="G635" s="21"/>
      <c r="H635" s="21"/>
      <c r="I635" s="21"/>
      <c r="J635" s="21"/>
      <c r="K635" s="21"/>
      <c r="L635" s="21"/>
      <c r="M635" s="21"/>
      <c r="N635" s="21"/>
      <c r="O635" s="21"/>
      <c r="P635" s="21"/>
    </row>
    <row r="636">
      <c r="A636" s="21"/>
      <c r="B636" s="21"/>
      <c r="C636" s="21"/>
      <c r="D636" s="21"/>
      <c r="E636" s="21"/>
      <c r="F636" s="21"/>
      <c r="G636" s="21"/>
      <c r="H636" s="21"/>
      <c r="I636" s="21"/>
      <c r="J636" s="21"/>
      <c r="K636" s="21"/>
      <c r="L636" s="21"/>
      <c r="M636" s="21"/>
      <c r="N636" s="21"/>
      <c r="O636" s="21"/>
      <c r="P636" s="21"/>
    </row>
    <row r="637">
      <c r="A637" s="21"/>
      <c r="B637" s="21"/>
      <c r="C637" s="21"/>
      <c r="D637" s="21"/>
      <c r="E637" s="21"/>
      <c r="F637" s="21"/>
      <c r="G637" s="21"/>
      <c r="H637" s="21"/>
      <c r="I637" s="21"/>
      <c r="J637" s="21"/>
      <c r="K637" s="21"/>
      <c r="L637" s="21"/>
      <c r="M637" s="21"/>
      <c r="N637" s="21"/>
      <c r="O637" s="21"/>
      <c r="P637" s="21"/>
    </row>
    <row r="638">
      <c r="A638" s="21"/>
      <c r="B638" s="21"/>
      <c r="C638" s="21"/>
      <c r="D638" s="21"/>
      <c r="E638" s="21"/>
      <c r="F638" s="21"/>
      <c r="G638" s="21"/>
      <c r="H638" s="21"/>
      <c r="I638" s="21"/>
      <c r="J638" s="21"/>
      <c r="K638" s="21"/>
      <c r="L638" s="21"/>
      <c r="M638" s="21"/>
      <c r="N638" s="21"/>
      <c r="O638" s="21"/>
      <c r="P638" s="21"/>
    </row>
    <row r="639">
      <c r="A639" s="21"/>
      <c r="B639" s="21"/>
      <c r="C639" s="21"/>
      <c r="D639" s="21"/>
      <c r="E639" s="21"/>
      <c r="F639" s="21"/>
      <c r="G639" s="21"/>
      <c r="H639" s="21"/>
      <c r="I639" s="21"/>
      <c r="J639" s="21"/>
      <c r="K639" s="21"/>
      <c r="L639" s="21"/>
      <c r="M639" s="21"/>
      <c r="N639" s="21"/>
      <c r="O639" s="21"/>
      <c r="P639" s="21"/>
    </row>
    <row r="640">
      <c r="A640" s="21"/>
      <c r="B640" s="21"/>
      <c r="C640" s="21"/>
      <c r="D640" s="21"/>
      <c r="E640" s="21"/>
      <c r="F640" s="21"/>
      <c r="G640" s="21"/>
      <c r="H640" s="21"/>
      <c r="I640" s="21"/>
      <c r="J640" s="21"/>
      <c r="K640" s="21"/>
      <c r="L640" s="21"/>
      <c r="M640" s="21"/>
      <c r="N640" s="21"/>
      <c r="O640" s="21"/>
      <c r="P640" s="21"/>
    </row>
    <row r="641">
      <c r="A641" s="21"/>
      <c r="B641" s="21"/>
      <c r="C641" s="21"/>
      <c r="D641" s="21"/>
      <c r="E641" s="21"/>
      <c r="F641" s="21"/>
      <c r="G641" s="21"/>
      <c r="H641" s="21"/>
      <c r="I641" s="21"/>
      <c r="J641" s="21"/>
      <c r="K641" s="21"/>
      <c r="L641" s="21"/>
      <c r="M641" s="21"/>
      <c r="N641" s="21"/>
      <c r="O641" s="21"/>
      <c r="P641" s="21"/>
    </row>
    <row r="642">
      <c r="A642" s="21"/>
      <c r="B642" s="21"/>
      <c r="C642" s="21"/>
      <c r="D642" s="21"/>
      <c r="E642" s="21"/>
      <c r="F642" s="21"/>
      <c r="G642" s="21"/>
      <c r="H642" s="21"/>
      <c r="I642" s="21"/>
      <c r="J642" s="21"/>
      <c r="K642" s="21"/>
      <c r="L642" s="21"/>
      <c r="M642" s="21"/>
      <c r="N642" s="21"/>
      <c r="O642" s="21"/>
      <c r="P642" s="21"/>
    </row>
    <row r="643">
      <c r="A643" s="21"/>
      <c r="B643" s="21"/>
      <c r="C643" s="21"/>
      <c r="D643" s="21"/>
      <c r="E643" s="21"/>
      <c r="F643" s="21"/>
      <c r="G643" s="21"/>
      <c r="H643" s="21"/>
      <c r="I643" s="21"/>
      <c r="J643" s="21"/>
      <c r="K643" s="21"/>
      <c r="L643" s="21"/>
      <c r="M643" s="21"/>
      <c r="N643" s="21"/>
      <c r="O643" s="21"/>
      <c r="P643" s="21"/>
    </row>
    <row r="644">
      <c r="A644" s="21"/>
      <c r="B644" s="21"/>
      <c r="C644" s="21"/>
      <c r="D644" s="21"/>
      <c r="E644" s="21"/>
      <c r="F644" s="21"/>
      <c r="G644" s="21"/>
      <c r="H644" s="21"/>
      <c r="I644" s="21"/>
      <c r="J644" s="21"/>
      <c r="K644" s="21"/>
      <c r="L644" s="21"/>
      <c r="M644" s="21"/>
      <c r="N644" s="21"/>
      <c r="O644" s="21"/>
      <c r="P644" s="21"/>
    </row>
    <row r="645">
      <c r="A645" s="21"/>
      <c r="B645" s="21"/>
      <c r="C645" s="21"/>
      <c r="D645" s="21"/>
      <c r="E645" s="21"/>
      <c r="F645" s="21"/>
      <c r="G645" s="21"/>
      <c r="H645" s="21"/>
      <c r="I645" s="21"/>
      <c r="J645" s="21"/>
      <c r="K645" s="21"/>
      <c r="L645" s="21"/>
      <c r="M645" s="21"/>
      <c r="N645" s="21"/>
      <c r="O645" s="21"/>
      <c r="P645" s="21"/>
    </row>
    <row r="646">
      <c r="A646" s="21"/>
      <c r="B646" s="21"/>
      <c r="C646" s="21"/>
      <c r="D646" s="21"/>
      <c r="E646" s="21"/>
      <c r="F646" s="21"/>
      <c r="G646" s="21"/>
      <c r="H646" s="21"/>
      <c r="I646" s="21"/>
      <c r="J646" s="21"/>
      <c r="K646" s="21"/>
      <c r="L646" s="21"/>
      <c r="M646" s="21"/>
      <c r="N646" s="21"/>
      <c r="O646" s="21"/>
      <c r="P646" s="21"/>
    </row>
    <row r="647">
      <c r="A647" s="21"/>
      <c r="B647" s="21"/>
      <c r="C647" s="21"/>
      <c r="D647" s="21"/>
      <c r="E647" s="21"/>
      <c r="F647" s="21"/>
      <c r="G647" s="21"/>
      <c r="H647" s="21"/>
      <c r="I647" s="21"/>
      <c r="J647" s="21"/>
      <c r="K647" s="21"/>
      <c r="L647" s="21"/>
      <c r="M647" s="21"/>
      <c r="N647" s="21"/>
      <c r="O647" s="21"/>
      <c r="P647" s="21"/>
    </row>
    <row r="648">
      <c r="A648" s="21"/>
      <c r="B648" s="21"/>
      <c r="C648" s="21"/>
      <c r="D648" s="21"/>
      <c r="E648" s="21"/>
      <c r="F648" s="21"/>
      <c r="G648" s="21"/>
      <c r="H648" s="21"/>
      <c r="I648" s="21"/>
      <c r="J648" s="21"/>
      <c r="K648" s="21"/>
      <c r="L648" s="21"/>
      <c r="M648" s="21"/>
      <c r="N648" s="21"/>
      <c r="O648" s="21"/>
      <c r="P648" s="21"/>
    </row>
    <row r="649">
      <c r="A649" s="21"/>
      <c r="B649" s="21"/>
      <c r="C649" s="21"/>
      <c r="D649" s="21"/>
      <c r="E649" s="21"/>
      <c r="F649" s="21"/>
      <c r="G649" s="21"/>
      <c r="H649" s="21"/>
      <c r="I649" s="21"/>
      <c r="J649" s="21"/>
      <c r="K649" s="21"/>
      <c r="L649" s="21"/>
      <c r="M649" s="21"/>
      <c r="N649" s="21"/>
      <c r="O649" s="21"/>
      <c r="P649" s="21"/>
    </row>
    <row r="650">
      <c r="A650" s="21"/>
      <c r="B650" s="21"/>
      <c r="C650" s="21"/>
      <c r="D650" s="21"/>
      <c r="E650" s="21"/>
      <c r="F650" s="21"/>
      <c r="G650" s="21"/>
      <c r="H650" s="21"/>
      <c r="I650" s="21"/>
      <c r="J650" s="21"/>
      <c r="K650" s="21"/>
      <c r="L650" s="21"/>
      <c r="M650" s="21"/>
      <c r="N650" s="21"/>
      <c r="O650" s="21"/>
      <c r="P650" s="21"/>
    </row>
    <row r="651">
      <c r="A651" s="21"/>
      <c r="B651" s="21"/>
      <c r="C651" s="21"/>
      <c r="D651" s="21"/>
      <c r="E651" s="21"/>
      <c r="F651" s="21"/>
      <c r="G651" s="21"/>
      <c r="H651" s="21"/>
      <c r="I651" s="21"/>
      <c r="J651" s="21"/>
      <c r="K651" s="21"/>
      <c r="L651" s="21"/>
      <c r="M651" s="21"/>
      <c r="N651" s="21"/>
      <c r="O651" s="21"/>
      <c r="P651" s="21"/>
    </row>
    <row r="652">
      <c r="A652" s="21"/>
      <c r="B652" s="21"/>
      <c r="C652" s="21"/>
      <c r="D652" s="21"/>
      <c r="E652" s="21"/>
      <c r="F652" s="21"/>
      <c r="G652" s="21"/>
      <c r="H652" s="21"/>
      <c r="I652" s="21"/>
      <c r="J652" s="21"/>
      <c r="K652" s="21"/>
      <c r="L652" s="21"/>
      <c r="M652" s="21"/>
      <c r="N652" s="21"/>
      <c r="O652" s="21"/>
      <c r="P652" s="21"/>
    </row>
    <row r="653">
      <c r="A653" s="21"/>
      <c r="B653" s="21"/>
      <c r="C653" s="21"/>
      <c r="D653" s="21"/>
      <c r="E653" s="21"/>
      <c r="F653" s="21"/>
      <c r="G653" s="21"/>
      <c r="H653" s="21"/>
      <c r="I653" s="21"/>
      <c r="J653" s="21"/>
      <c r="K653" s="21"/>
      <c r="L653" s="21"/>
      <c r="M653" s="21"/>
      <c r="N653" s="21"/>
      <c r="O653" s="21"/>
      <c r="P653" s="21"/>
    </row>
    <row r="654">
      <c r="A654" s="21"/>
      <c r="B654" s="21"/>
      <c r="C654" s="21"/>
      <c r="D654" s="21"/>
      <c r="E654" s="21"/>
      <c r="F654" s="21"/>
      <c r="G654" s="21"/>
      <c r="H654" s="21"/>
      <c r="I654" s="21"/>
      <c r="J654" s="21"/>
      <c r="K654" s="21"/>
      <c r="L654" s="21"/>
      <c r="M654" s="21"/>
      <c r="N654" s="21"/>
      <c r="O654" s="21"/>
      <c r="P654" s="21"/>
    </row>
    <row r="655">
      <c r="A655" s="21"/>
      <c r="B655" s="21"/>
      <c r="C655" s="21"/>
      <c r="D655" s="21"/>
      <c r="E655" s="21"/>
      <c r="F655" s="21"/>
      <c r="G655" s="21"/>
      <c r="H655" s="21"/>
      <c r="I655" s="21"/>
      <c r="J655" s="21"/>
      <c r="K655" s="21"/>
      <c r="L655" s="21"/>
      <c r="M655" s="21"/>
      <c r="N655" s="21"/>
      <c r="O655" s="21"/>
      <c r="P655" s="21"/>
    </row>
    <row r="656">
      <c r="A656" s="21"/>
      <c r="B656" s="21"/>
      <c r="C656" s="21"/>
      <c r="D656" s="21"/>
      <c r="E656" s="21"/>
      <c r="F656" s="21"/>
      <c r="G656" s="21"/>
      <c r="H656" s="21"/>
      <c r="I656" s="21"/>
      <c r="J656" s="21"/>
      <c r="K656" s="21"/>
      <c r="L656" s="21"/>
      <c r="M656" s="21"/>
      <c r="N656" s="21"/>
      <c r="O656" s="21"/>
      <c r="P656" s="21"/>
    </row>
    <row r="657">
      <c r="A657" s="21"/>
      <c r="B657" s="21"/>
      <c r="C657" s="21"/>
      <c r="D657" s="21"/>
      <c r="E657" s="21"/>
      <c r="F657" s="21"/>
      <c r="G657" s="21"/>
      <c r="H657" s="21"/>
      <c r="I657" s="21"/>
      <c r="J657" s="21"/>
      <c r="K657" s="21"/>
      <c r="L657" s="21"/>
      <c r="M657" s="21"/>
      <c r="N657" s="21"/>
      <c r="O657" s="21"/>
      <c r="P657" s="21"/>
    </row>
    <row r="658">
      <c r="A658" s="21"/>
      <c r="B658" s="21"/>
      <c r="C658" s="21"/>
      <c r="D658" s="21"/>
      <c r="E658" s="21"/>
      <c r="F658" s="21"/>
      <c r="G658" s="21"/>
      <c r="H658" s="21"/>
      <c r="I658" s="21"/>
      <c r="J658" s="21"/>
      <c r="K658" s="21"/>
      <c r="L658" s="21"/>
      <c r="M658" s="21"/>
      <c r="N658" s="21"/>
      <c r="O658" s="21"/>
      <c r="P658" s="21"/>
    </row>
    <row r="659">
      <c r="A659" s="21"/>
      <c r="B659" s="21"/>
      <c r="C659" s="21"/>
      <c r="D659" s="21"/>
      <c r="E659" s="21"/>
      <c r="F659" s="21"/>
      <c r="G659" s="21"/>
      <c r="H659" s="21"/>
      <c r="I659" s="21"/>
      <c r="J659" s="21"/>
      <c r="K659" s="21"/>
      <c r="L659" s="21"/>
      <c r="M659" s="21"/>
      <c r="N659" s="21"/>
      <c r="O659" s="21"/>
      <c r="P659" s="21"/>
    </row>
    <row r="660">
      <c r="A660" s="21"/>
      <c r="B660" s="21"/>
      <c r="C660" s="21"/>
      <c r="D660" s="21"/>
      <c r="E660" s="21"/>
      <c r="F660" s="21"/>
      <c r="G660" s="21"/>
      <c r="H660" s="21"/>
      <c r="I660" s="21"/>
      <c r="J660" s="21"/>
      <c r="K660" s="21"/>
      <c r="L660" s="21"/>
      <c r="M660" s="21"/>
      <c r="N660" s="21"/>
      <c r="O660" s="21"/>
      <c r="P660" s="21"/>
    </row>
    <row r="661">
      <c r="A661" s="21"/>
      <c r="B661" s="21"/>
      <c r="C661" s="21"/>
      <c r="D661" s="21"/>
      <c r="E661" s="21"/>
      <c r="F661" s="21"/>
      <c r="G661" s="21"/>
      <c r="H661" s="21"/>
      <c r="I661" s="21"/>
      <c r="J661" s="21"/>
      <c r="K661" s="21"/>
      <c r="L661" s="21"/>
      <c r="M661" s="21"/>
      <c r="N661" s="21"/>
      <c r="O661" s="21"/>
      <c r="P661" s="21"/>
    </row>
    <row r="662">
      <c r="A662" s="21"/>
      <c r="B662" s="21"/>
      <c r="C662" s="21"/>
      <c r="D662" s="21"/>
      <c r="E662" s="21"/>
      <c r="F662" s="21"/>
      <c r="G662" s="21"/>
      <c r="H662" s="21"/>
      <c r="I662" s="21"/>
      <c r="J662" s="21"/>
      <c r="K662" s="21"/>
      <c r="L662" s="21"/>
      <c r="M662" s="21"/>
      <c r="N662" s="21"/>
      <c r="O662" s="21"/>
      <c r="P662" s="21"/>
    </row>
    <row r="663">
      <c r="A663" s="21"/>
      <c r="B663" s="21"/>
      <c r="C663" s="21"/>
      <c r="D663" s="21"/>
      <c r="E663" s="21"/>
      <c r="F663" s="21"/>
      <c r="G663" s="21"/>
      <c r="H663" s="21"/>
      <c r="I663" s="21"/>
      <c r="J663" s="21"/>
      <c r="K663" s="21"/>
      <c r="L663" s="21"/>
      <c r="M663" s="21"/>
      <c r="N663" s="21"/>
      <c r="O663" s="21"/>
      <c r="P663" s="21"/>
    </row>
    <row r="664">
      <c r="A664" s="21"/>
      <c r="B664" s="21"/>
      <c r="C664" s="21"/>
      <c r="D664" s="21"/>
      <c r="E664" s="21"/>
      <c r="F664" s="21"/>
      <c r="G664" s="21"/>
      <c r="H664" s="21"/>
      <c r="I664" s="21"/>
      <c r="J664" s="21"/>
      <c r="K664" s="21"/>
      <c r="L664" s="21"/>
      <c r="M664" s="21"/>
      <c r="N664" s="21"/>
      <c r="O664" s="21"/>
      <c r="P664" s="21"/>
    </row>
    <row r="665">
      <c r="A665" s="21"/>
      <c r="B665" s="21"/>
      <c r="C665" s="21"/>
      <c r="D665" s="21"/>
      <c r="E665" s="21"/>
      <c r="F665" s="21"/>
      <c r="G665" s="21"/>
      <c r="H665" s="21"/>
      <c r="I665" s="21"/>
      <c r="J665" s="21"/>
      <c r="K665" s="21"/>
      <c r="L665" s="21"/>
      <c r="M665" s="21"/>
      <c r="N665" s="21"/>
      <c r="O665" s="21"/>
      <c r="P665" s="21"/>
    </row>
    <row r="666">
      <c r="A666" s="21"/>
      <c r="B666" s="21"/>
      <c r="C666" s="21"/>
      <c r="D666" s="21"/>
      <c r="E666" s="21"/>
      <c r="F666" s="21"/>
      <c r="G666" s="21"/>
      <c r="H666" s="21"/>
      <c r="I666" s="21"/>
      <c r="J666" s="21"/>
      <c r="K666" s="21"/>
      <c r="L666" s="21"/>
      <c r="M666" s="21"/>
      <c r="N666" s="21"/>
      <c r="O666" s="21"/>
      <c r="P666" s="21"/>
    </row>
    <row r="667">
      <c r="A667" s="21"/>
      <c r="B667" s="21"/>
      <c r="C667" s="21"/>
      <c r="D667" s="21"/>
      <c r="E667" s="21"/>
      <c r="F667" s="21"/>
      <c r="G667" s="21"/>
      <c r="H667" s="21"/>
      <c r="I667" s="21"/>
      <c r="J667" s="21"/>
      <c r="K667" s="21"/>
      <c r="L667" s="21"/>
      <c r="M667" s="21"/>
      <c r="N667" s="21"/>
      <c r="O667" s="21"/>
      <c r="P667" s="21"/>
    </row>
    <row r="668">
      <c r="A668" s="21"/>
      <c r="B668" s="21"/>
      <c r="C668" s="21"/>
      <c r="D668" s="21"/>
      <c r="E668" s="21"/>
      <c r="F668" s="21"/>
      <c r="G668" s="21"/>
      <c r="H668" s="21"/>
      <c r="I668" s="21"/>
      <c r="J668" s="21"/>
      <c r="K668" s="21"/>
      <c r="L668" s="21"/>
      <c r="M668" s="21"/>
      <c r="N668" s="21"/>
      <c r="O668" s="21"/>
      <c r="P668" s="21"/>
    </row>
    <row r="669">
      <c r="A669" s="21"/>
      <c r="B669" s="21"/>
      <c r="C669" s="21"/>
      <c r="D669" s="21"/>
      <c r="E669" s="21"/>
      <c r="F669" s="21"/>
      <c r="G669" s="21"/>
      <c r="H669" s="21"/>
      <c r="I669" s="21"/>
      <c r="J669" s="21"/>
      <c r="K669" s="21"/>
      <c r="L669" s="21"/>
      <c r="M669" s="21"/>
      <c r="N669" s="21"/>
      <c r="O669" s="21"/>
      <c r="P669" s="21"/>
    </row>
    <row r="670">
      <c r="A670" s="21"/>
      <c r="B670" s="21"/>
      <c r="C670" s="21"/>
      <c r="D670" s="21"/>
      <c r="E670" s="21"/>
      <c r="F670" s="21"/>
      <c r="G670" s="21"/>
      <c r="H670" s="21"/>
      <c r="I670" s="21"/>
      <c r="J670" s="21"/>
      <c r="K670" s="21"/>
      <c r="L670" s="21"/>
      <c r="M670" s="21"/>
      <c r="N670" s="21"/>
      <c r="O670" s="21"/>
      <c r="P670" s="21"/>
    </row>
    <row r="671">
      <c r="A671" s="21"/>
      <c r="B671" s="21"/>
      <c r="C671" s="21"/>
      <c r="D671" s="21"/>
      <c r="E671" s="21"/>
      <c r="F671" s="21"/>
      <c r="G671" s="21"/>
      <c r="H671" s="21"/>
      <c r="I671" s="21"/>
      <c r="J671" s="21"/>
      <c r="K671" s="21"/>
      <c r="L671" s="21"/>
      <c r="M671" s="21"/>
      <c r="N671" s="21"/>
      <c r="O671" s="21"/>
      <c r="P671" s="21"/>
    </row>
    <row r="672">
      <c r="A672" s="21"/>
      <c r="B672" s="21"/>
      <c r="C672" s="21"/>
      <c r="D672" s="21"/>
      <c r="E672" s="21"/>
      <c r="F672" s="21"/>
      <c r="G672" s="21"/>
      <c r="H672" s="21"/>
      <c r="I672" s="21"/>
      <c r="J672" s="21"/>
      <c r="K672" s="21"/>
      <c r="L672" s="21"/>
      <c r="M672" s="21"/>
      <c r="N672" s="21"/>
      <c r="O672" s="21"/>
      <c r="P672" s="21"/>
    </row>
    <row r="673">
      <c r="A673" s="21"/>
      <c r="B673" s="21"/>
      <c r="C673" s="21"/>
      <c r="D673" s="21"/>
      <c r="E673" s="21"/>
      <c r="F673" s="21"/>
      <c r="G673" s="21"/>
      <c r="H673" s="21"/>
      <c r="I673" s="21"/>
      <c r="J673" s="21"/>
      <c r="K673" s="21"/>
      <c r="L673" s="21"/>
      <c r="M673" s="21"/>
      <c r="N673" s="21"/>
      <c r="O673" s="21"/>
      <c r="P673" s="21"/>
    </row>
    <row r="674">
      <c r="A674" s="21"/>
      <c r="B674" s="21"/>
      <c r="C674" s="21"/>
      <c r="D674" s="21"/>
      <c r="E674" s="21"/>
      <c r="F674" s="21"/>
      <c r="G674" s="21"/>
      <c r="H674" s="21"/>
      <c r="I674" s="21"/>
      <c r="J674" s="21"/>
      <c r="K674" s="21"/>
      <c r="L674" s="21"/>
      <c r="M674" s="21"/>
      <c r="N674" s="21"/>
      <c r="O674" s="21"/>
      <c r="P674" s="21"/>
    </row>
    <row r="675">
      <c r="A675" s="21"/>
      <c r="B675" s="21"/>
      <c r="C675" s="21"/>
      <c r="D675" s="21"/>
      <c r="E675" s="21"/>
      <c r="F675" s="21"/>
      <c r="G675" s="21"/>
      <c r="H675" s="21"/>
      <c r="I675" s="21"/>
      <c r="J675" s="21"/>
      <c r="K675" s="21"/>
      <c r="L675" s="21"/>
      <c r="M675" s="21"/>
      <c r="N675" s="21"/>
      <c r="O675" s="21"/>
      <c r="P675" s="21"/>
    </row>
    <row r="676">
      <c r="A676" s="21"/>
      <c r="B676" s="21"/>
      <c r="C676" s="21"/>
      <c r="D676" s="21"/>
      <c r="E676" s="21"/>
      <c r="F676" s="21"/>
      <c r="G676" s="21"/>
      <c r="H676" s="21"/>
      <c r="I676" s="21"/>
      <c r="J676" s="21"/>
      <c r="K676" s="21"/>
      <c r="L676" s="21"/>
      <c r="M676" s="21"/>
      <c r="N676" s="21"/>
      <c r="O676" s="21"/>
      <c r="P676" s="21"/>
    </row>
    <row r="677">
      <c r="A677" s="21"/>
      <c r="B677" s="21"/>
      <c r="C677" s="21"/>
      <c r="D677" s="21"/>
      <c r="E677" s="21"/>
      <c r="F677" s="21"/>
      <c r="G677" s="21"/>
      <c r="H677" s="21"/>
      <c r="I677" s="21"/>
      <c r="J677" s="21"/>
      <c r="K677" s="21"/>
      <c r="L677" s="21"/>
      <c r="M677" s="21"/>
      <c r="N677" s="21"/>
      <c r="O677" s="21"/>
      <c r="P677" s="21"/>
    </row>
    <row r="678">
      <c r="A678" s="21"/>
      <c r="B678" s="21"/>
      <c r="C678" s="21"/>
      <c r="D678" s="21"/>
      <c r="E678" s="21"/>
      <c r="F678" s="21"/>
      <c r="G678" s="21"/>
      <c r="H678" s="21"/>
      <c r="I678" s="21"/>
      <c r="J678" s="21"/>
      <c r="K678" s="21"/>
      <c r="L678" s="21"/>
      <c r="M678" s="21"/>
      <c r="N678" s="21"/>
      <c r="O678" s="21"/>
      <c r="P678" s="21"/>
    </row>
    <row r="679">
      <c r="A679" s="21"/>
      <c r="B679" s="21"/>
      <c r="C679" s="21"/>
      <c r="D679" s="21"/>
      <c r="E679" s="21"/>
      <c r="F679" s="21"/>
      <c r="G679" s="21"/>
      <c r="H679" s="21"/>
      <c r="I679" s="21"/>
      <c r="J679" s="21"/>
      <c r="K679" s="21"/>
      <c r="L679" s="21"/>
      <c r="M679" s="21"/>
      <c r="N679" s="21"/>
      <c r="O679" s="21"/>
      <c r="P679" s="21"/>
    </row>
    <row r="680">
      <c r="A680" s="21"/>
      <c r="B680" s="21"/>
      <c r="C680" s="21"/>
      <c r="D680" s="21"/>
      <c r="E680" s="21"/>
      <c r="F680" s="21"/>
      <c r="G680" s="21"/>
      <c r="H680" s="21"/>
      <c r="I680" s="21"/>
      <c r="J680" s="21"/>
      <c r="K680" s="21"/>
      <c r="L680" s="21"/>
      <c r="M680" s="21"/>
      <c r="N680" s="21"/>
      <c r="O680" s="21"/>
      <c r="P680" s="21"/>
    </row>
    <row r="681">
      <c r="A681" s="21"/>
      <c r="B681" s="21"/>
      <c r="C681" s="21"/>
      <c r="D681" s="21"/>
      <c r="E681" s="21"/>
      <c r="F681" s="21"/>
      <c r="G681" s="21"/>
      <c r="H681" s="21"/>
      <c r="I681" s="21"/>
      <c r="J681" s="21"/>
      <c r="K681" s="21"/>
      <c r="L681" s="21"/>
      <c r="M681" s="21"/>
      <c r="N681" s="21"/>
      <c r="O681" s="21"/>
      <c r="P681" s="21"/>
    </row>
    <row r="682">
      <c r="A682" s="21"/>
      <c r="B682" s="21"/>
      <c r="C682" s="21"/>
      <c r="D682" s="21"/>
      <c r="E682" s="21"/>
      <c r="F682" s="21"/>
      <c r="G682" s="21"/>
      <c r="H682" s="21"/>
      <c r="I682" s="21"/>
      <c r="J682" s="21"/>
      <c r="K682" s="21"/>
      <c r="L682" s="21"/>
      <c r="M682" s="21"/>
      <c r="N682" s="21"/>
      <c r="O682" s="21"/>
      <c r="P682" s="21"/>
    </row>
    <row r="683">
      <c r="A683" s="21"/>
      <c r="B683" s="21"/>
      <c r="C683" s="21"/>
      <c r="D683" s="21"/>
      <c r="E683" s="21"/>
      <c r="F683" s="21"/>
      <c r="G683" s="21"/>
      <c r="H683" s="21"/>
      <c r="I683" s="21"/>
      <c r="J683" s="21"/>
      <c r="K683" s="21"/>
      <c r="L683" s="21"/>
      <c r="M683" s="21"/>
      <c r="N683" s="21"/>
      <c r="O683" s="21"/>
      <c r="P683" s="21"/>
    </row>
    <row r="684">
      <c r="A684" s="21"/>
      <c r="B684" s="21"/>
      <c r="C684" s="21"/>
      <c r="D684" s="21"/>
      <c r="E684" s="21"/>
      <c r="F684" s="21"/>
      <c r="G684" s="21"/>
      <c r="H684" s="21"/>
      <c r="I684" s="21"/>
      <c r="J684" s="21"/>
      <c r="K684" s="21"/>
      <c r="L684" s="21"/>
      <c r="M684" s="21"/>
      <c r="N684" s="21"/>
      <c r="O684" s="21"/>
      <c r="P684" s="21"/>
    </row>
    <row r="685">
      <c r="A685" s="21"/>
      <c r="B685" s="21"/>
      <c r="C685" s="21"/>
      <c r="D685" s="21"/>
      <c r="E685" s="21"/>
      <c r="F685" s="21"/>
      <c r="G685" s="21"/>
      <c r="H685" s="21"/>
      <c r="I685" s="21"/>
      <c r="J685" s="21"/>
      <c r="K685" s="21"/>
      <c r="L685" s="21"/>
      <c r="M685" s="21"/>
      <c r="N685" s="21"/>
      <c r="O685" s="21"/>
      <c r="P685" s="21"/>
    </row>
    <row r="686">
      <c r="A686" s="21"/>
      <c r="B686" s="21"/>
      <c r="C686" s="21"/>
      <c r="D686" s="21"/>
      <c r="E686" s="21"/>
      <c r="F686" s="21"/>
      <c r="G686" s="21"/>
      <c r="H686" s="21"/>
      <c r="I686" s="21"/>
      <c r="J686" s="21"/>
      <c r="K686" s="21"/>
      <c r="L686" s="21"/>
      <c r="M686" s="21"/>
      <c r="N686" s="21"/>
      <c r="O686" s="21"/>
      <c r="P686" s="21"/>
    </row>
    <row r="687">
      <c r="A687" s="21"/>
      <c r="B687" s="21"/>
      <c r="C687" s="21"/>
      <c r="D687" s="21"/>
      <c r="E687" s="21"/>
      <c r="F687" s="21"/>
      <c r="G687" s="21"/>
      <c r="H687" s="21"/>
      <c r="I687" s="21"/>
      <c r="J687" s="21"/>
      <c r="K687" s="21"/>
      <c r="L687" s="21"/>
      <c r="M687" s="21"/>
      <c r="N687" s="21"/>
      <c r="O687" s="21"/>
      <c r="P687" s="21"/>
    </row>
    <row r="688">
      <c r="A688" s="21"/>
      <c r="B688" s="21"/>
      <c r="C688" s="21"/>
      <c r="D688" s="21"/>
      <c r="E688" s="21"/>
      <c r="F688" s="21"/>
      <c r="G688" s="21"/>
      <c r="H688" s="21"/>
      <c r="I688" s="21"/>
      <c r="J688" s="21"/>
      <c r="K688" s="21"/>
      <c r="L688" s="21"/>
      <c r="M688" s="21"/>
      <c r="N688" s="21"/>
      <c r="O688" s="21"/>
      <c r="P688" s="21"/>
    </row>
    <row r="689">
      <c r="A689" s="21"/>
      <c r="B689" s="21"/>
      <c r="C689" s="21"/>
      <c r="D689" s="21"/>
      <c r="E689" s="21"/>
      <c r="F689" s="21"/>
      <c r="G689" s="21"/>
      <c r="H689" s="21"/>
      <c r="I689" s="21"/>
      <c r="J689" s="21"/>
      <c r="K689" s="21"/>
      <c r="L689" s="21"/>
      <c r="M689" s="21"/>
      <c r="N689" s="21"/>
      <c r="O689" s="21"/>
      <c r="P689" s="21"/>
    </row>
    <row r="690">
      <c r="A690" s="21"/>
      <c r="B690" s="21"/>
      <c r="C690" s="21"/>
      <c r="D690" s="21"/>
      <c r="E690" s="21"/>
      <c r="F690" s="21"/>
      <c r="G690" s="21"/>
      <c r="H690" s="21"/>
      <c r="I690" s="21"/>
      <c r="J690" s="21"/>
      <c r="K690" s="21"/>
      <c r="L690" s="21"/>
      <c r="M690" s="21"/>
      <c r="N690" s="21"/>
      <c r="O690" s="21"/>
      <c r="P690" s="21"/>
    </row>
    <row r="691">
      <c r="A691" s="21"/>
      <c r="B691" s="21"/>
      <c r="C691" s="21"/>
      <c r="D691" s="21"/>
      <c r="E691" s="21"/>
      <c r="F691" s="21"/>
      <c r="G691" s="21"/>
      <c r="H691" s="21"/>
      <c r="I691" s="21"/>
      <c r="J691" s="21"/>
      <c r="K691" s="21"/>
      <c r="L691" s="21"/>
      <c r="M691" s="21"/>
      <c r="N691" s="21"/>
      <c r="O691" s="21"/>
      <c r="P691" s="21"/>
    </row>
    <row r="692">
      <c r="A692" s="21"/>
      <c r="B692" s="21"/>
      <c r="C692" s="21"/>
      <c r="D692" s="21"/>
      <c r="E692" s="21"/>
      <c r="F692" s="21"/>
      <c r="G692" s="21"/>
      <c r="H692" s="21"/>
      <c r="I692" s="21"/>
      <c r="J692" s="21"/>
      <c r="K692" s="21"/>
      <c r="L692" s="21"/>
      <c r="M692" s="21"/>
      <c r="N692" s="21"/>
      <c r="O692" s="21"/>
      <c r="P692" s="21"/>
    </row>
    <row r="693">
      <c r="A693" s="21"/>
      <c r="B693" s="21"/>
      <c r="C693" s="21"/>
      <c r="D693" s="21"/>
      <c r="E693" s="21"/>
      <c r="F693" s="21"/>
      <c r="G693" s="21"/>
      <c r="H693" s="21"/>
      <c r="I693" s="21"/>
      <c r="J693" s="21"/>
      <c r="K693" s="21"/>
      <c r="L693" s="21"/>
      <c r="M693" s="21"/>
      <c r="N693" s="21"/>
      <c r="O693" s="21"/>
      <c r="P693" s="21"/>
    </row>
    <row r="694">
      <c r="A694" s="21"/>
      <c r="B694" s="21"/>
      <c r="C694" s="21"/>
      <c r="D694" s="21"/>
      <c r="E694" s="21"/>
      <c r="F694" s="21"/>
      <c r="G694" s="21"/>
      <c r="H694" s="21"/>
      <c r="I694" s="21"/>
      <c r="J694" s="21"/>
      <c r="K694" s="21"/>
      <c r="L694" s="21"/>
      <c r="M694" s="21"/>
      <c r="N694" s="21"/>
      <c r="O694" s="21"/>
      <c r="P694" s="21"/>
    </row>
    <row r="695">
      <c r="A695" s="21"/>
      <c r="B695" s="21"/>
      <c r="C695" s="21"/>
      <c r="D695" s="21"/>
      <c r="E695" s="21"/>
      <c r="F695" s="21"/>
      <c r="G695" s="21"/>
      <c r="H695" s="21"/>
      <c r="I695" s="21"/>
      <c r="J695" s="21"/>
      <c r="K695" s="21"/>
      <c r="L695" s="21"/>
      <c r="M695" s="21"/>
      <c r="N695" s="21"/>
      <c r="O695" s="21"/>
      <c r="P695" s="21"/>
    </row>
    <row r="696">
      <c r="A696" s="21"/>
      <c r="B696" s="21"/>
      <c r="C696" s="21"/>
      <c r="D696" s="21"/>
      <c r="E696" s="21"/>
      <c r="F696" s="21"/>
      <c r="G696" s="21"/>
      <c r="H696" s="21"/>
      <c r="I696" s="21"/>
      <c r="J696" s="21"/>
      <c r="K696" s="21"/>
      <c r="L696" s="21"/>
      <c r="M696" s="21"/>
      <c r="N696" s="21"/>
      <c r="O696" s="21"/>
      <c r="P696" s="21"/>
    </row>
    <row r="697">
      <c r="A697" s="21"/>
      <c r="B697" s="21"/>
      <c r="C697" s="21"/>
      <c r="D697" s="21"/>
      <c r="E697" s="21"/>
      <c r="F697" s="21"/>
      <c r="G697" s="21"/>
      <c r="H697" s="21"/>
      <c r="I697" s="21"/>
      <c r="J697" s="21"/>
      <c r="K697" s="21"/>
      <c r="L697" s="21"/>
      <c r="M697" s="21"/>
      <c r="N697" s="21"/>
      <c r="O697" s="21"/>
      <c r="P697" s="21"/>
    </row>
    <row r="698">
      <c r="A698" s="21"/>
      <c r="B698" s="21"/>
      <c r="C698" s="21"/>
      <c r="D698" s="21"/>
      <c r="E698" s="21"/>
      <c r="F698" s="21"/>
      <c r="G698" s="21"/>
      <c r="H698" s="21"/>
      <c r="I698" s="21"/>
      <c r="J698" s="21"/>
      <c r="K698" s="21"/>
      <c r="L698" s="21"/>
      <c r="M698" s="21"/>
      <c r="N698" s="21"/>
      <c r="O698" s="21"/>
      <c r="P698" s="21"/>
    </row>
    <row r="699">
      <c r="A699" s="21"/>
      <c r="B699" s="21"/>
      <c r="C699" s="21"/>
      <c r="D699" s="21"/>
      <c r="E699" s="21"/>
      <c r="F699" s="21"/>
      <c r="G699" s="21"/>
      <c r="H699" s="21"/>
      <c r="I699" s="21"/>
      <c r="J699" s="21"/>
      <c r="K699" s="21"/>
      <c r="L699" s="21"/>
      <c r="M699" s="21"/>
      <c r="N699" s="21"/>
      <c r="O699" s="21"/>
      <c r="P699" s="21"/>
    </row>
    <row r="700">
      <c r="A700" s="21"/>
      <c r="B700" s="21"/>
      <c r="C700" s="21"/>
      <c r="D700" s="21"/>
      <c r="E700" s="21"/>
      <c r="F700" s="21"/>
      <c r="G700" s="21"/>
      <c r="H700" s="21"/>
      <c r="I700" s="21"/>
      <c r="J700" s="21"/>
      <c r="K700" s="21"/>
      <c r="L700" s="21"/>
      <c r="M700" s="21"/>
      <c r="N700" s="21"/>
      <c r="O700" s="21"/>
      <c r="P700" s="21"/>
    </row>
    <row r="701">
      <c r="A701" s="21"/>
      <c r="B701" s="21"/>
      <c r="C701" s="21"/>
      <c r="D701" s="21"/>
      <c r="E701" s="21"/>
      <c r="F701" s="21"/>
      <c r="G701" s="21"/>
      <c r="H701" s="21"/>
      <c r="I701" s="21"/>
      <c r="J701" s="21"/>
      <c r="K701" s="21"/>
      <c r="L701" s="21"/>
      <c r="M701" s="21"/>
      <c r="N701" s="21"/>
      <c r="O701" s="21"/>
      <c r="P701" s="21"/>
    </row>
    <row r="702">
      <c r="A702" s="21"/>
      <c r="B702" s="21"/>
      <c r="C702" s="21"/>
      <c r="D702" s="21"/>
      <c r="E702" s="21"/>
      <c r="F702" s="21"/>
      <c r="G702" s="21"/>
      <c r="H702" s="21"/>
      <c r="I702" s="21"/>
      <c r="J702" s="21"/>
      <c r="K702" s="21"/>
      <c r="L702" s="21"/>
      <c r="M702" s="21"/>
      <c r="N702" s="21"/>
      <c r="O702" s="21"/>
      <c r="P702" s="21"/>
    </row>
    <row r="703">
      <c r="A703" s="21"/>
      <c r="B703" s="21"/>
      <c r="C703" s="21"/>
      <c r="D703" s="21"/>
      <c r="E703" s="21"/>
      <c r="F703" s="21"/>
      <c r="G703" s="21"/>
      <c r="H703" s="21"/>
      <c r="I703" s="21"/>
      <c r="J703" s="21"/>
      <c r="K703" s="21"/>
      <c r="L703" s="21"/>
      <c r="M703" s="21"/>
      <c r="N703" s="21"/>
      <c r="O703" s="21"/>
      <c r="P703" s="21"/>
    </row>
    <row r="704">
      <c r="A704" s="21"/>
      <c r="B704" s="21"/>
      <c r="C704" s="21"/>
      <c r="D704" s="21"/>
      <c r="E704" s="21"/>
      <c r="F704" s="21"/>
      <c r="G704" s="21"/>
      <c r="H704" s="21"/>
      <c r="I704" s="21"/>
      <c r="J704" s="21"/>
      <c r="K704" s="21"/>
      <c r="L704" s="21"/>
      <c r="M704" s="21"/>
      <c r="N704" s="21"/>
      <c r="O704" s="21"/>
      <c r="P704" s="21"/>
    </row>
    <row r="705">
      <c r="A705" s="21"/>
      <c r="B705" s="21"/>
      <c r="C705" s="21"/>
      <c r="D705" s="21"/>
      <c r="E705" s="21"/>
      <c r="F705" s="21"/>
      <c r="G705" s="21"/>
      <c r="H705" s="21"/>
      <c r="I705" s="21"/>
      <c r="J705" s="21"/>
      <c r="K705" s="21"/>
      <c r="L705" s="21"/>
      <c r="M705" s="21"/>
      <c r="N705" s="21"/>
      <c r="O705" s="21"/>
      <c r="P705" s="21"/>
    </row>
    <row r="706">
      <c r="A706" s="21"/>
      <c r="B706" s="21"/>
      <c r="C706" s="21"/>
      <c r="D706" s="21"/>
      <c r="E706" s="21"/>
      <c r="F706" s="21"/>
      <c r="G706" s="21"/>
      <c r="H706" s="21"/>
      <c r="I706" s="21"/>
      <c r="J706" s="21"/>
      <c r="K706" s="21"/>
      <c r="L706" s="21"/>
      <c r="M706" s="21"/>
      <c r="N706" s="21"/>
      <c r="O706" s="21"/>
      <c r="P706" s="21"/>
    </row>
    <row r="707">
      <c r="A707" s="21"/>
      <c r="B707" s="21"/>
      <c r="C707" s="21"/>
      <c r="D707" s="21"/>
      <c r="E707" s="21"/>
      <c r="F707" s="21"/>
      <c r="G707" s="21"/>
      <c r="H707" s="21"/>
      <c r="I707" s="21"/>
      <c r="J707" s="21"/>
      <c r="K707" s="21"/>
      <c r="L707" s="21"/>
      <c r="M707" s="21"/>
      <c r="N707" s="21"/>
      <c r="O707" s="21"/>
      <c r="P707" s="21"/>
    </row>
    <row r="708">
      <c r="A708" s="21"/>
      <c r="B708" s="21"/>
      <c r="C708" s="21"/>
      <c r="D708" s="21"/>
      <c r="E708" s="21"/>
      <c r="F708" s="21"/>
      <c r="G708" s="21"/>
      <c r="H708" s="21"/>
      <c r="I708" s="21"/>
      <c r="J708" s="21"/>
      <c r="K708" s="21"/>
      <c r="L708" s="21"/>
      <c r="M708" s="21"/>
      <c r="N708" s="21"/>
      <c r="O708" s="21"/>
      <c r="P708" s="21"/>
    </row>
    <row r="709">
      <c r="A709" s="21"/>
      <c r="B709" s="21"/>
      <c r="C709" s="21"/>
      <c r="D709" s="21"/>
      <c r="E709" s="21"/>
      <c r="F709" s="21"/>
      <c r="G709" s="21"/>
      <c r="H709" s="21"/>
      <c r="I709" s="21"/>
      <c r="J709" s="21"/>
      <c r="K709" s="21"/>
      <c r="L709" s="21"/>
      <c r="M709" s="21"/>
      <c r="N709" s="21"/>
      <c r="O709" s="21"/>
      <c r="P709" s="21"/>
    </row>
    <row r="710">
      <c r="A710" s="21"/>
      <c r="B710" s="21"/>
      <c r="C710" s="21"/>
      <c r="D710" s="21"/>
      <c r="E710" s="21"/>
      <c r="F710" s="21"/>
      <c r="G710" s="21"/>
      <c r="H710" s="21"/>
      <c r="I710" s="21"/>
      <c r="J710" s="21"/>
      <c r="K710" s="21"/>
      <c r="L710" s="21"/>
      <c r="M710" s="21"/>
      <c r="N710" s="21"/>
      <c r="O710" s="21"/>
      <c r="P710" s="21"/>
    </row>
    <row r="711">
      <c r="A711" s="21"/>
      <c r="B711" s="21"/>
      <c r="C711" s="21"/>
      <c r="D711" s="21"/>
      <c r="E711" s="21"/>
      <c r="F711" s="21"/>
      <c r="G711" s="21"/>
      <c r="H711" s="21"/>
      <c r="I711" s="21"/>
      <c r="J711" s="21"/>
      <c r="K711" s="21"/>
      <c r="L711" s="21"/>
      <c r="M711" s="21"/>
      <c r="N711" s="21"/>
      <c r="O711" s="21"/>
      <c r="P711" s="21"/>
    </row>
    <row r="712">
      <c r="A712" s="21"/>
      <c r="B712" s="21"/>
      <c r="C712" s="21"/>
      <c r="D712" s="21"/>
      <c r="E712" s="21"/>
      <c r="F712" s="21"/>
      <c r="G712" s="21"/>
      <c r="H712" s="21"/>
      <c r="I712" s="21"/>
      <c r="J712" s="21"/>
      <c r="K712" s="21"/>
      <c r="L712" s="21"/>
      <c r="M712" s="21"/>
      <c r="N712" s="21"/>
      <c r="O712" s="21"/>
      <c r="P712" s="21"/>
    </row>
    <row r="713">
      <c r="A713" s="21"/>
      <c r="B713" s="21"/>
      <c r="C713" s="21"/>
      <c r="D713" s="21"/>
      <c r="E713" s="21"/>
      <c r="F713" s="21"/>
      <c r="G713" s="21"/>
      <c r="H713" s="21"/>
      <c r="I713" s="21"/>
      <c r="J713" s="21"/>
      <c r="K713" s="21"/>
      <c r="L713" s="21"/>
      <c r="M713" s="21"/>
      <c r="N713" s="21"/>
      <c r="O713" s="21"/>
      <c r="P713" s="21"/>
    </row>
    <row r="714">
      <c r="A714" s="21"/>
      <c r="B714" s="21"/>
      <c r="C714" s="21"/>
      <c r="D714" s="21"/>
      <c r="E714" s="21"/>
      <c r="F714" s="21"/>
      <c r="G714" s="21"/>
      <c r="H714" s="21"/>
      <c r="I714" s="21"/>
      <c r="J714" s="21"/>
      <c r="K714" s="21"/>
      <c r="L714" s="21"/>
      <c r="M714" s="21"/>
      <c r="N714" s="21"/>
      <c r="O714" s="21"/>
      <c r="P714" s="21"/>
    </row>
    <row r="715">
      <c r="A715" s="21"/>
      <c r="B715" s="21"/>
      <c r="C715" s="21"/>
      <c r="D715" s="21"/>
      <c r="E715" s="21"/>
      <c r="F715" s="21"/>
      <c r="G715" s="21"/>
      <c r="H715" s="21"/>
      <c r="I715" s="21"/>
      <c r="J715" s="21"/>
      <c r="K715" s="21"/>
      <c r="L715" s="21"/>
      <c r="M715" s="21"/>
      <c r="N715" s="21"/>
      <c r="O715" s="21"/>
      <c r="P715" s="21"/>
    </row>
    <row r="716">
      <c r="A716" s="21"/>
      <c r="B716" s="21"/>
      <c r="C716" s="21"/>
      <c r="D716" s="21"/>
      <c r="E716" s="21"/>
      <c r="F716" s="21"/>
      <c r="G716" s="21"/>
      <c r="H716" s="21"/>
      <c r="I716" s="21"/>
      <c r="J716" s="21"/>
      <c r="K716" s="21"/>
      <c r="L716" s="21"/>
      <c r="M716" s="21"/>
      <c r="N716" s="21"/>
      <c r="O716" s="21"/>
      <c r="P716" s="21"/>
    </row>
    <row r="717">
      <c r="A717" s="21"/>
      <c r="B717" s="21"/>
      <c r="C717" s="21"/>
      <c r="D717" s="21"/>
      <c r="E717" s="21"/>
      <c r="F717" s="21"/>
      <c r="G717" s="21"/>
      <c r="H717" s="21"/>
      <c r="I717" s="21"/>
      <c r="J717" s="21"/>
      <c r="K717" s="21"/>
      <c r="L717" s="21"/>
      <c r="M717" s="21"/>
      <c r="N717" s="21"/>
      <c r="O717" s="21"/>
      <c r="P717" s="21"/>
    </row>
    <row r="718">
      <c r="A718" s="21"/>
      <c r="B718" s="21"/>
      <c r="C718" s="21"/>
      <c r="D718" s="21"/>
      <c r="E718" s="21"/>
      <c r="F718" s="21"/>
      <c r="G718" s="21"/>
      <c r="H718" s="21"/>
      <c r="I718" s="21"/>
      <c r="J718" s="21"/>
      <c r="K718" s="21"/>
      <c r="L718" s="21"/>
      <c r="M718" s="21"/>
      <c r="N718" s="21"/>
      <c r="O718" s="21"/>
      <c r="P718" s="21"/>
    </row>
    <row r="719">
      <c r="A719" s="21"/>
      <c r="B719" s="21"/>
      <c r="C719" s="21"/>
      <c r="D719" s="21"/>
      <c r="E719" s="21"/>
      <c r="F719" s="21"/>
      <c r="G719" s="21"/>
      <c r="H719" s="21"/>
      <c r="I719" s="21"/>
      <c r="J719" s="21"/>
      <c r="K719" s="21"/>
      <c r="L719" s="21"/>
      <c r="M719" s="21"/>
      <c r="N719" s="21"/>
      <c r="O719" s="21"/>
      <c r="P719" s="21"/>
    </row>
    <row r="720">
      <c r="A720" s="21"/>
      <c r="B720" s="21"/>
      <c r="C720" s="21"/>
      <c r="D720" s="21"/>
      <c r="E720" s="21"/>
      <c r="F720" s="21"/>
      <c r="G720" s="21"/>
      <c r="H720" s="21"/>
      <c r="I720" s="21"/>
      <c r="J720" s="21"/>
      <c r="K720" s="21"/>
      <c r="L720" s="21"/>
      <c r="M720" s="21"/>
      <c r="N720" s="21"/>
      <c r="O720" s="21"/>
      <c r="P720" s="21"/>
    </row>
    <row r="721">
      <c r="A721" s="21"/>
      <c r="B721" s="21"/>
      <c r="C721" s="21"/>
      <c r="D721" s="21"/>
      <c r="E721" s="21"/>
      <c r="F721" s="21"/>
      <c r="G721" s="21"/>
      <c r="H721" s="21"/>
      <c r="I721" s="21"/>
      <c r="J721" s="21"/>
      <c r="K721" s="21"/>
      <c r="L721" s="21"/>
      <c r="M721" s="21"/>
      <c r="N721" s="21"/>
      <c r="O721" s="21"/>
      <c r="P721" s="21"/>
    </row>
    <row r="722">
      <c r="A722" s="21"/>
      <c r="B722" s="21"/>
      <c r="C722" s="21"/>
      <c r="D722" s="21"/>
      <c r="E722" s="21"/>
      <c r="F722" s="21"/>
      <c r="G722" s="21"/>
      <c r="H722" s="21"/>
      <c r="I722" s="21"/>
      <c r="J722" s="21"/>
      <c r="K722" s="21"/>
      <c r="L722" s="21"/>
      <c r="M722" s="21"/>
      <c r="N722" s="21"/>
      <c r="O722" s="21"/>
      <c r="P722" s="21"/>
    </row>
    <row r="723">
      <c r="A723" s="21"/>
      <c r="B723" s="21"/>
      <c r="C723" s="21"/>
      <c r="D723" s="21"/>
      <c r="E723" s="21"/>
      <c r="F723" s="21"/>
      <c r="G723" s="21"/>
      <c r="H723" s="21"/>
      <c r="I723" s="21"/>
      <c r="J723" s="21"/>
      <c r="K723" s="21"/>
      <c r="L723" s="21"/>
      <c r="M723" s="21"/>
      <c r="N723" s="21"/>
      <c r="O723" s="21"/>
      <c r="P723" s="21"/>
    </row>
    <row r="724">
      <c r="A724" s="21"/>
      <c r="B724" s="21"/>
      <c r="C724" s="21"/>
      <c r="D724" s="21"/>
      <c r="E724" s="21"/>
      <c r="F724" s="21"/>
      <c r="G724" s="21"/>
      <c r="H724" s="21"/>
      <c r="I724" s="21"/>
      <c r="J724" s="21"/>
      <c r="K724" s="21"/>
      <c r="L724" s="21"/>
      <c r="M724" s="21"/>
      <c r="N724" s="21"/>
      <c r="O724" s="21"/>
      <c r="P724" s="21"/>
    </row>
    <row r="725">
      <c r="A725" s="21"/>
      <c r="B725" s="21"/>
      <c r="C725" s="21"/>
      <c r="D725" s="21"/>
      <c r="E725" s="21"/>
      <c r="F725" s="21"/>
      <c r="G725" s="21"/>
      <c r="H725" s="21"/>
      <c r="I725" s="21"/>
      <c r="J725" s="21"/>
      <c r="K725" s="21"/>
      <c r="L725" s="21"/>
      <c r="M725" s="21"/>
      <c r="N725" s="21"/>
      <c r="O725" s="21"/>
      <c r="P725" s="21"/>
    </row>
    <row r="726">
      <c r="A726" s="21"/>
      <c r="B726" s="21"/>
      <c r="C726" s="21"/>
      <c r="D726" s="21"/>
      <c r="E726" s="21"/>
      <c r="F726" s="21"/>
      <c r="G726" s="21"/>
      <c r="H726" s="21"/>
      <c r="I726" s="21"/>
      <c r="J726" s="21"/>
      <c r="K726" s="21"/>
      <c r="L726" s="21"/>
      <c r="M726" s="21"/>
      <c r="N726" s="21"/>
      <c r="O726" s="21"/>
      <c r="P726" s="21"/>
    </row>
    <row r="727">
      <c r="A727" s="21"/>
      <c r="B727" s="21"/>
      <c r="C727" s="21"/>
      <c r="D727" s="21"/>
      <c r="E727" s="21"/>
      <c r="F727" s="21"/>
      <c r="G727" s="21"/>
      <c r="H727" s="21"/>
      <c r="I727" s="21"/>
      <c r="J727" s="21"/>
      <c r="K727" s="21"/>
      <c r="L727" s="21"/>
      <c r="M727" s="21"/>
      <c r="N727" s="21"/>
      <c r="O727" s="21"/>
      <c r="P727" s="21"/>
    </row>
    <row r="728">
      <c r="A728" s="21"/>
      <c r="B728" s="21"/>
      <c r="C728" s="21"/>
      <c r="D728" s="21"/>
      <c r="E728" s="21"/>
      <c r="F728" s="21"/>
      <c r="G728" s="21"/>
      <c r="H728" s="21"/>
      <c r="I728" s="21"/>
      <c r="J728" s="21"/>
      <c r="K728" s="21"/>
      <c r="L728" s="21"/>
      <c r="M728" s="21"/>
      <c r="N728" s="21"/>
      <c r="O728" s="21"/>
      <c r="P728" s="21"/>
    </row>
    <row r="729">
      <c r="A729" s="21"/>
      <c r="B729" s="21"/>
      <c r="C729" s="21"/>
      <c r="D729" s="21"/>
      <c r="E729" s="21"/>
      <c r="F729" s="21"/>
      <c r="G729" s="21"/>
      <c r="H729" s="21"/>
      <c r="I729" s="21"/>
      <c r="J729" s="21"/>
      <c r="K729" s="21"/>
      <c r="L729" s="21"/>
      <c r="M729" s="21"/>
      <c r="N729" s="21"/>
      <c r="O729" s="21"/>
      <c r="P729" s="21"/>
    </row>
    <row r="730">
      <c r="A730" s="21"/>
      <c r="B730" s="21"/>
      <c r="C730" s="21"/>
      <c r="D730" s="21"/>
      <c r="E730" s="21"/>
      <c r="F730" s="21"/>
      <c r="G730" s="21"/>
      <c r="H730" s="21"/>
      <c r="I730" s="21"/>
      <c r="J730" s="21"/>
      <c r="K730" s="21"/>
      <c r="L730" s="21"/>
      <c r="M730" s="21"/>
      <c r="N730" s="21"/>
      <c r="O730" s="21"/>
      <c r="P730" s="21"/>
    </row>
    <row r="731">
      <c r="A731" s="21"/>
      <c r="B731" s="21"/>
      <c r="C731" s="21"/>
      <c r="D731" s="21"/>
      <c r="E731" s="21"/>
      <c r="F731" s="21"/>
      <c r="G731" s="21"/>
      <c r="H731" s="21"/>
      <c r="I731" s="21"/>
      <c r="J731" s="21"/>
      <c r="K731" s="21"/>
      <c r="L731" s="21"/>
      <c r="M731" s="21"/>
      <c r="N731" s="21"/>
      <c r="O731" s="21"/>
      <c r="P731" s="21"/>
    </row>
    <row r="732">
      <c r="A732" s="21"/>
      <c r="B732" s="21"/>
      <c r="C732" s="21"/>
      <c r="D732" s="21"/>
      <c r="E732" s="21"/>
      <c r="F732" s="21"/>
      <c r="G732" s="21"/>
      <c r="H732" s="21"/>
      <c r="I732" s="21"/>
      <c r="J732" s="21"/>
      <c r="K732" s="21"/>
      <c r="L732" s="21"/>
      <c r="M732" s="21"/>
      <c r="N732" s="21"/>
      <c r="O732" s="21"/>
      <c r="P732" s="21"/>
    </row>
    <row r="733">
      <c r="A733" s="21"/>
      <c r="B733" s="21"/>
      <c r="C733" s="21"/>
      <c r="D733" s="21"/>
      <c r="E733" s="21"/>
      <c r="F733" s="21"/>
      <c r="G733" s="21"/>
      <c r="H733" s="21"/>
      <c r="I733" s="21"/>
      <c r="J733" s="21"/>
      <c r="K733" s="21"/>
      <c r="L733" s="21"/>
      <c r="M733" s="21"/>
      <c r="N733" s="21"/>
      <c r="O733" s="21"/>
      <c r="P733" s="21"/>
    </row>
    <row r="734">
      <c r="A734" s="21"/>
      <c r="B734" s="21"/>
      <c r="C734" s="21"/>
      <c r="D734" s="21"/>
      <c r="E734" s="21"/>
      <c r="F734" s="21"/>
      <c r="G734" s="21"/>
      <c r="H734" s="21"/>
      <c r="I734" s="21"/>
      <c r="J734" s="21"/>
      <c r="K734" s="21"/>
      <c r="L734" s="21"/>
      <c r="M734" s="21"/>
      <c r="N734" s="21"/>
      <c r="O734" s="21"/>
      <c r="P734" s="21"/>
    </row>
    <row r="735">
      <c r="A735" s="21"/>
      <c r="B735" s="21"/>
      <c r="C735" s="21"/>
      <c r="D735" s="21"/>
      <c r="E735" s="21"/>
      <c r="F735" s="21"/>
      <c r="G735" s="21"/>
      <c r="H735" s="21"/>
      <c r="I735" s="21"/>
      <c r="J735" s="21"/>
      <c r="K735" s="21"/>
      <c r="L735" s="21"/>
      <c r="M735" s="21"/>
      <c r="N735" s="21"/>
      <c r="O735" s="21"/>
      <c r="P735" s="21"/>
    </row>
    <row r="736">
      <c r="A736" s="21"/>
      <c r="B736" s="21"/>
      <c r="C736" s="21"/>
      <c r="D736" s="21"/>
      <c r="E736" s="21"/>
      <c r="F736" s="21"/>
      <c r="G736" s="21"/>
      <c r="H736" s="21"/>
      <c r="I736" s="21"/>
      <c r="J736" s="21"/>
      <c r="K736" s="21"/>
      <c r="L736" s="21"/>
      <c r="M736" s="21"/>
      <c r="N736" s="21"/>
      <c r="O736" s="21"/>
      <c r="P736" s="21"/>
    </row>
    <row r="737">
      <c r="A737" s="21"/>
      <c r="B737" s="21"/>
      <c r="C737" s="21"/>
      <c r="D737" s="21"/>
      <c r="E737" s="21"/>
      <c r="F737" s="21"/>
      <c r="G737" s="21"/>
      <c r="H737" s="21"/>
      <c r="I737" s="21"/>
      <c r="J737" s="21"/>
      <c r="K737" s="21"/>
      <c r="L737" s="21"/>
      <c r="M737" s="21"/>
      <c r="N737" s="21"/>
      <c r="O737" s="21"/>
      <c r="P737" s="21"/>
    </row>
    <row r="738">
      <c r="A738" s="21"/>
      <c r="B738" s="21"/>
      <c r="C738" s="21"/>
      <c r="D738" s="21"/>
      <c r="E738" s="21"/>
      <c r="F738" s="21"/>
      <c r="G738" s="21"/>
      <c r="H738" s="21"/>
      <c r="I738" s="21"/>
      <c r="J738" s="21"/>
      <c r="K738" s="21"/>
      <c r="L738" s="21"/>
      <c r="M738" s="21"/>
      <c r="N738" s="21"/>
      <c r="O738" s="21"/>
      <c r="P738" s="21"/>
    </row>
    <row r="739">
      <c r="A739" s="21"/>
      <c r="B739" s="21"/>
      <c r="C739" s="21"/>
      <c r="D739" s="21"/>
      <c r="E739" s="21"/>
      <c r="F739" s="21"/>
      <c r="G739" s="21"/>
      <c r="H739" s="21"/>
      <c r="I739" s="21"/>
      <c r="J739" s="21"/>
      <c r="K739" s="21"/>
      <c r="L739" s="21"/>
      <c r="M739" s="21"/>
      <c r="N739" s="21"/>
      <c r="O739" s="21"/>
      <c r="P739" s="21"/>
    </row>
    <row r="740">
      <c r="A740" s="21"/>
      <c r="B740" s="21"/>
      <c r="C740" s="21"/>
      <c r="D740" s="21"/>
      <c r="E740" s="21"/>
      <c r="F740" s="21"/>
      <c r="G740" s="21"/>
      <c r="H740" s="21"/>
      <c r="I740" s="21"/>
      <c r="J740" s="21"/>
      <c r="K740" s="21"/>
      <c r="L740" s="21"/>
      <c r="M740" s="21"/>
      <c r="N740" s="21"/>
      <c r="O740" s="21"/>
      <c r="P740" s="21"/>
    </row>
    <row r="741">
      <c r="A741" s="21"/>
      <c r="B741" s="21"/>
      <c r="C741" s="21"/>
      <c r="D741" s="21"/>
      <c r="E741" s="21"/>
      <c r="F741" s="21"/>
      <c r="G741" s="21"/>
      <c r="H741" s="21"/>
      <c r="I741" s="21"/>
      <c r="J741" s="21"/>
      <c r="K741" s="21"/>
      <c r="L741" s="21"/>
      <c r="M741" s="21"/>
      <c r="N741" s="21"/>
      <c r="O741" s="21"/>
      <c r="P741" s="21"/>
    </row>
    <row r="742">
      <c r="A742" s="21"/>
      <c r="B742" s="21"/>
      <c r="C742" s="21"/>
      <c r="D742" s="21"/>
      <c r="E742" s="21"/>
      <c r="F742" s="21"/>
      <c r="G742" s="21"/>
      <c r="H742" s="21"/>
      <c r="I742" s="21"/>
      <c r="J742" s="21"/>
      <c r="K742" s="21"/>
      <c r="L742" s="21"/>
      <c r="M742" s="21"/>
      <c r="N742" s="21"/>
      <c r="O742" s="21"/>
      <c r="P742" s="21"/>
    </row>
    <row r="743">
      <c r="A743" s="21"/>
      <c r="B743" s="21"/>
      <c r="C743" s="21"/>
      <c r="D743" s="21"/>
      <c r="E743" s="21"/>
      <c r="F743" s="21"/>
      <c r="G743" s="21"/>
      <c r="H743" s="21"/>
      <c r="I743" s="21"/>
      <c r="J743" s="21"/>
      <c r="K743" s="21"/>
      <c r="L743" s="21"/>
      <c r="M743" s="21"/>
      <c r="N743" s="21"/>
      <c r="O743" s="21"/>
      <c r="P743" s="21"/>
    </row>
    <row r="744">
      <c r="A744" s="21"/>
      <c r="B744" s="21"/>
      <c r="C744" s="21"/>
      <c r="D744" s="21"/>
      <c r="E744" s="21"/>
      <c r="F744" s="21"/>
      <c r="G744" s="21"/>
      <c r="H744" s="21"/>
      <c r="I744" s="21"/>
      <c r="J744" s="21"/>
      <c r="K744" s="21"/>
      <c r="L744" s="21"/>
      <c r="M744" s="21"/>
      <c r="N744" s="21"/>
      <c r="O744" s="21"/>
      <c r="P744" s="21"/>
    </row>
    <row r="745">
      <c r="A745" s="21"/>
      <c r="B745" s="21"/>
      <c r="C745" s="21"/>
      <c r="D745" s="21"/>
      <c r="E745" s="21"/>
      <c r="F745" s="21"/>
      <c r="G745" s="21"/>
      <c r="H745" s="21"/>
      <c r="I745" s="21"/>
      <c r="J745" s="21"/>
      <c r="K745" s="21"/>
      <c r="L745" s="21"/>
      <c r="M745" s="21"/>
      <c r="N745" s="21"/>
      <c r="O745" s="21"/>
      <c r="P745" s="21"/>
    </row>
    <row r="746">
      <c r="A746" s="21"/>
      <c r="B746" s="21"/>
      <c r="C746" s="21"/>
      <c r="D746" s="21"/>
      <c r="E746" s="21"/>
      <c r="F746" s="21"/>
      <c r="G746" s="21"/>
      <c r="H746" s="21"/>
      <c r="I746" s="21"/>
      <c r="J746" s="21"/>
      <c r="K746" s="21"/>
      <c r="L746" s="21"/>
      <c r="M746" s="21"/>
      <c r="N746" s="21"/>
      <c r="O746" s="21"/>
      <c r="P746" s="21"/>
    </row>
    <row r="747">
      <c r="A747" s="21"/>
      <c r="B747" s="21"/>
      <c r="C747" s="21"/>
      <c r="D747" s="21"/>
      <c r="E747" s="21"/>
      <c r="F747" s="21"/>
      <c r="G747" s="21"/>
      <c r="H747" s="21"/>
      <c r="I747" s="21"/>
      <c r="J747" s="21"/>
      <c r="K747" s="21"/>
      <c r="L747" s="21"/>
      <c r="M747" s="21"/>
      <c r="N747" s="21"/>
      <c r="O747" s="21"/>
      <c r="P747" s="21"/>
    </row>
    <row r="748">
      <c r="A748" s="21"/>
      <c r="B748" s="21"/>
      <c r="C748" s="21"/>
      <c r="D748" s="21"/>
      <c r="E748" s="21"/>
      <c r="F748" s="21"/>
      <c r="G748" s="21"/>
      <c r="H748" s="21"/>
      <c r="I748" s="21"/>
      <c r="J748" s="21"/>
      <c r="K748" s="21"/>
      <c r="L748" s="21"/>
      <c r="M748" s="21"/>
      <c r="N748" s="21"/>
      <c r="O748" s="21"/>
      <c r="P748" s="21"/>
    </row>
    <row r="749">
      <c r="A749" s="21"/>
      <c r="B749" s="21"/>
      <c r="C749" s="21"/>
      <c r="D749" s="21"/>
      <c r="E749" s="21"/>
      <c r="F749" s="21"/>
      <c r="G749" s="21"/>
      <c r="H749" s="21"/>
      <c r="I749" s="21"/>
      <c r="J749" s="21"/>
      <c r="K749" s="21"/>
      <c r="L749" s="21"/>
      <c r="M749" s="21"/>
      <c r="N749" s="21"/>
      <c r="O749" s="21"/>
      <c r="P749" s="21"/>
    </row>
    <row r="750">
      <c r="A750" s="21"/>
      <c r="B750" s="21"/>
      <c r="C750" s="21"/>
      <c r="D750" s="21"/>
      <c r="E750" s="21"/>
      <c r="F750" s="21"/>
      <c r="G750" s="21"/>
      <c r="H750" s="21"/>
      <c r="I750" s="21"/>
      <c r="J750" s="21"/>
      <c r="K750" s="21"/>
      <c r="L750" s="21"/>
      <c r="M750" s="21"/>
      <c r="N750" s="21"/>
      <c r="O750" s="21"/>
      <c r="P750" s="21"/>
    </row>
    <row r="751">
      <c r="A751" s="21"/>
      <c r="B751" s="21"/>
      <c r="C751" s="21"/>
      <c r="D751" s="21"/>
      <c r="E751" s="21"/>
      <c r="F751" s="21"/>
      <c r="G751" s="21"/>
      <c r="H751" s="21"/>
      <c r="I751" s="21"/>
      <c r="J751" s="21"/>
      <c r="K751" s="21"/>
      <c r="L751" s="21"/>
      <c r="M751" s="21"/>
      <c r="N751" s="21"/>
      <c r="O751" s="21"/>
      <c r="P751" s="21"/>
    </row>
    <row r="752">
      <c r="A752" s="21"/>
      <c r="B752" s="21"/>
      <c r="C752" s="21"/>
      <c r="D752" s="21"/>
      <c r="E752" s="21"/>
      <c r="F752" s="21"/>
      <c r="G752" s="21"/>
      <c r="H752" s="21"/>
      <c r="I752" s="21"/>
      <c r="J752" s="21"/>
      <c r="K752" s="21"/>
      <c r="L752" s="21"/>
      <c r="M752" s="21"/>
      <c r="N752" s="21"/>
      <c r="O752" s="21"/>
      <c r="P752" s="21"/>
    </row>
    <row r="753">
      <c r="A753" s="21"/>
      <c r="B753" s="21"/>
      <c r="C753" s="21"/>
      <c r="D753" s="21"/>
      <c r="E753" s="21"/>
      <c r="F753" s="21"/>
      <c r="G753" s="21"/>
      <c r="H753" s="21"/>
      <c r="I753" s="21"/>
      <c r="J753" s="21"/>
      <c r="K753" s="21"/>
      <c r="L753" s="21"/>
      <c r="M753" s="21"/>
      <c r="N753" s="21"/>
      <c r="O753" s="21"/>
      <c r="P753" s="21"/>
    </row>
    <row r="754">
      <c r="A754" s="21"/>
      <c r="B754" s="21"/>
      <c r="C754" s="21"/>
      <c r="D754" s="21"/>
      <c r="E754" s="21"/>
      <c r="F754" s="21"/>
      <c r="G754" s="21"/>
      <c r="H754" s="21"/>
      <c r="I754" s="21"/>
      <c r="J754" s="21"/>
      <c r="K754" s="21"/>
      <c r="L754" s="21"/>
      <c r="M754" s="21"/>
      <c r="N754" s="21"/>
      <c r="O754" s="21"/>
      <c r="P754" s="21"/>
    </row>
    <row r="755">
      <c r="A755" s="21"/>
      <c r="B755" s="21"/>
      <c r="C755" s="21"/>
      <c r="D755" s="21"/>
      <c r="E755" s="21"/>
      <c r="F755" s="21"/>
      <c r="G755" s="21"/>
      <c r="H755" s="21"/>
      <c r="I755" s="21"/>
      <c r="J755" s="21"/>
      <c r="K755" s="21"/>
      <c r="L755" s="21"/>
      <c r="M755" s="21"/>
      <c r="N755" s="21"/>
      <c r="O755" s="21"/>
      <c r="P755" s="21"/>
    </row>
    <row r="756">
      <c r="A756" s="21"/>
      <c r="B756" s="21"/>
      <c r="C756" s="21"/>
      <c r="D756" s="21"/>
      <c r="E756" s="21"/>
      <c r="F756" s="21"/>
      <c r="G756" s="21"/>
      <c r="H756" s="21"/>
      <c r="I756" s="21"/>
      <c r="J756" s="21"/>
      <c r="K756" s="21"/>
      <c r="L756" s="21"/>
      <c r="M756" s="21"/>
      <c r="N756" s="21"/>
      <c r="O756" s="21"/>
      <c r="P756" s="21"/>
    </row>
    <row r="757">
      <c r="A757" s="21"/>
      <c r="B757" s="21"/>
      <c r="C757" s="21"/>
      <c r="D757" s="21"/>
      <c r="E757" s="21"/>
      <c r="F757" s="21"/>
      <c r="G757" s="21"/>
      <c r="H757" s="21"/>
      <c r="I757" s="21"/>
      <c r="J757" s="21"/>
      <c r="K757" s="21"/>
      <c r="L757" s="21"/>
      <c r="M757" s="21"/>
      <c r="N757" s="21"/>
      <c r="O757" s="21"/>
      <c r="P757" s="21"/>
    </row>
    <row r="758">
      <c r="A758" s="21"/>
      <c r="B758" s="21"/>
      <c r="C758" s="21"/>
      <c r="D758" s="21"/>
      <c r="E758" s="21"/>
      <c r="F758" s="21"/>
      <c r="G758" s="21"/>
      <c r="H758" s="21"/>
      <c r="I758" s="21"/>
      <c r="J758" s="21"/>
      <c r="K758" s="21"/>
      <c r="L758" s="21"/>
      <c r="M758" s="21"/>
      <c r="N758" s="21"/>
      <c r="O758" s="21"/>
      <c r="P758" s="21"/>
    </row>
    <row r="759">
      <c r="A759" s="21"/>
      <c r="B759" s="21"/>
      <c r="C759" s="21"/>
      <c r="D759" s="21"/>
      <c r="E759" s="21"/>
      <c r="F759" s="21"/>
      <c r="G759" s="21"/>
      <c r="H759" s="21"/>
      <c r="I759" s="21"/>
      <c r="J759" s="21"/>
      <c r="K759" s="21"/>
      <c r="L759" s="21"/>
      <c r="M759" s="21"/>
      <c r="N759" s="21"/>
      <c r="O759" s="21"/>
      <c r="P759" s="21"/>
    </row>
    <row r="760">
      <c r="A760" s="21"/>
      <c r="B760" s="21"/>
      <c r="C760" s="21"/>
      <c r="D760" s="21"/>
      <c r="E760" s="21"/>
      <c r="F760" s="21"/>
      <c r="G760" s="21"/>
      <c r="H760" s="21"/>
      <c r="I760" s="21"/>
      <c r="J760" s="21"/>
      <c r="K760" s="21"/>
      <c r="L760" s="21"/>
      <c r="M760" s="21"/>
      <c r="N760" s="21"/>
      <c r="O760" s="21"/>
      <c r="P760" s="21"/>
    </row>
    <row r="761">
      <c r="A761" s="21"/>
      <c r="B761" s="21"/>
      <c r="C761" s="21"/>
      <c r="D761" s="21"/>
      <c r="E761" s="21"/>
      <c r="F761" s="21"/>
      <c r="G761" s="21"/>
      <c r="H761" s="21"/>
      <c r="I761" s="21"/>
      <c r="J761" s="21"/>
      <c r="K761" s="21"/>
      <c r="L761" s="21"/>
      <c r="M761" s="21"/>
      <c r="N761" s="21"/>
      <c r="O761" s="21"/>
      <c r="P761" s="21"/>
    </row>
    <row r="762">
      <c r="A762" s="21"/>
      <c r="B762" s="21"/>
      <c r="C762" s="21"/>
      <c r="D762" s="21"/>
      <c r="E762" s="21"/>
      <c r="F762" s="21"/>
      <c r="G762" s="21"/>
      <c r="H762" s="21"/>
      <c r="I762" s="21"/>
      <c r="J762" s="21"/>
      <c r="K762" s="21"/>
      <c r="L762" s="21"/>
      <c r="M762" s="21"/>
      <c r="N762" s="21"/>
      <c r="O762" s="21"/>
      <c r="P762" s="21"/>
    </row>
    <row r="763">
      <c r="A763" s="21"/>
      <c r="B763" s="21"/>
      <c r="C763" s="21"/>
      <c r="D763" s="21"/>
      <c r="E763" s="21"/>
      <c r="F763" s="21"/>
      <c r="G763" s="21"/>
      <c r="H763" s="21"/>
      <c r="I763" s="21"/>
      <c r="J763" s="21"/>
      <c r="K763" s="21"/>
      <c r="L763" s="21"/>
      <c r="M763" s="21"/>
      <c r="N763" s="21"/>
      <c r="O763" s="21"/>
      <c r="P763" s="21"/>
    </row>
    <row r="764">
      <c r="A764" s="21"/>
      <c r="B764" s="21"/>
      <c r="C764" s="21"/>
      <c r="D764" s="21"/>
      <c r="E764" s="21"/>
      <c r="F764" s="21"/>
      <c r="G764" s="21"/>
      <c r="H764" s="21"/>
      <c r="I764" s="21"/>
      <c r="J764" s="21"/>
      <c r="K764" s="21"/>
      <c r="L764" s="21"/>
      <c r="M764" s="21"/>
      <c r="N764" s="21"/>
      <c r="O764" s="21"/>
      <c r="P764" s="21"/>
    </row>
    <row r="765">
      <c r="A765" s="21"/>
      <c r="B765" s="21"/>
      <c r="C765" s="21"/>
      <c r="D765" s="21"/>
      <c r="E765" s="21"/>
      <c r="F765" s="21"/>
      <c r="G765" s="21"/>
      <c r="H765" s="21"/>
      <c r="I765" s="21"/>
      <c r="J765" s="21"/>
      <c r="K765" s="21"/>
      <c r="L765" s="21"/>
      <c r="M765" s="21"/>
      <c r="N765" s="21"/>
      <c r="O765" s="21"/>
      <c r="P765" s="21"/>
    </row>
    <row r="766">
      <c r="A766" s="21"/>
      <c r="B766" s="21"/>
      <c r="C766" s="21"/>
      <c r="D766" s="21"/>
      <c r="E766" s="21"/>
      <c r="F766" s="21"/>
      <c r="G766" s="21"/>
      <c r="H766" s="21"/>
      <c r="I766" s="21"/>
      <c r="J766" s="21"/>
      <c r="K766" s="21"/>
      <c r="L766" s="21"/>
      <c r="M766" s="21"/>
      <c r="N766" s="21"/>
      <c r="O766" s="21"/>
      <c r="P766" s="21"/>
    </row>
    <row r="767">
      <c r="A767" s="21"/>
      <c r="B767" s="21"/>
      <c r="C767" s="21"/>
      <c r="D767" s="21"/>
      <c r="E767" s="21"/>
      <c r="F767" s="21"/>
      <c r="G767" s="21"/>
      <c r="H767" s="21"/>
      <c r="I767" s="21"/>
      <c r="J767" s="21"/>
      <c r="K767" s="21"/>
      <c r="L767" s="21"/>
      <c r="M767" s="21"/>
      <c r="N767" s="21"/>
      <c r="O767" s="21"/>
      <c r="P767" s="21"/>
    </row>
    <row r="768">
      <c r="A768" s="21"/>
      <c r="B768" s="21"/>
      <c r="C768" s="21"/>
      <c r="D768" s="21"/>
      <c r="E768" s="21"/>
      <c r="F768" s="21"/>
      <c r="G768" s="21"/>
      <c r="H768" s="21"/>
      <c r="I768" s="21"/>
      <c r="J768" s="21"/>
      <c r="K768" s="21"/>
      <c r="L768" s="21"/>
      <c r="M768" s="21"/>
      <c r="N768" s="21"/>
      <c r="O768" s="21"/>
      <c r="P768" s="21"/>
    </row>
    <row r="769">
      <c r="A769" s="21"/>
      <c r="B769" s="21"/>
      <c r="C769" s="21"/>
      <c r="D769" s="21"/>
      <c r="E769" s="21"/>
      <c r="F769" s="21"/>
      <c r="G769" s="21"/>
      <c r="H769" s="21"/>
      <c r="I769" s="21"/>
      <c r="J769" s="21"/>
      <c r="K769" s="21"/>
      <c r="L769" s="21"/>
      <c r="M769" s="21"/>
      <c r="N769" s="21"/>
      <c r="O769" s="21"/>
      <c r="P769" s="21"/>
    </row>
    <row r="770">
      <c r="A770" s="21"/>
      <c r="B770" s="21"/>
      <c r="C770" s="21"/>
      <c r="D770" s="21"/>
      <c r="E770" s="21"/>
      <c r="F770" s="21"/>
      <c r="G770" s="21"/>
      <c r="H770" s="21"/>
      <c r="I770" s="21"/>
      <c r="J770" s="21"/>
      <c r="K770" s="21"/>
      <c r="L770" s="21"/>
      <c r="M770" s="21"/>
      <c r="N770" s="21"/>
      <c r="O770" s="21"/>
      <c r="P770" s="21"/>
    </row>
    <row r="771">
      <c r="A771" s="21"/>
      <c r="B771" s="21"/>
      <c r="C771" s="21"/>
      <c r="D771" s="21"/>
      <c r="E771" s="21"/>
      <c r="F771" s="21"/>
      <c r="G771" s="21"/>
      <c r="H771" s="21"/>
      <c r="I771" s="21"/>
      <c r="J771" s="21"/>
      <c r="K771" s="21"/>
      <c r="L771" s="21"/>
      <c r="M771" s="21"/>
      <c r="N771" s="21"/>
      <c r="O771" s="21"/>
      <c r="P771" s="21"/>
    </row>
    <row r="772">
      <c r="A772" s="21"/>
      <c r="B772" s="21"/>
      <c r="C772" s="21"/>
      <c r="D772" s="21"/>
      <c r="E772" s="21"/>
      <c r="F772" s="21"/>
      <c r="G772" s="21"/>
      <c r="H772" s="21"/>
      <c r="I772" s="21"/>
      <c r="J772" s="21"/>
      <c r="K772" s="21"/>
      <c r="L772" s="21"/>
      <c r="M772" s="21"/>
      <c r="N772" s="21"/>
      <c r="O772" s="21"/>
      <c r="P772" s="21"/>
    </row>
    <row r="773">
      <c r="A773" s="21"/>
      <c r="B773" s="21"/>
      <c r="C773" s="21"/>
      <c r="D773" s="21"/>
      <c r="E773" s="21"/>
      <c r="F773" s="21"/>
      <c r="G773" s="21"/>
      <c r="H773" s="21"/>
      <c r="I773" s="21"/>
      <c r="J773" s="21"/>
      <c r="K773" s="21"/>
      <c r="L773" s="21"/>
      <c r="M773" s="21"/>
      <c r="N773" s="21"/>
      <c r="O773" s="21"/>
      <c r="P773" s="21"/>
    </row>
    <row r="774">
      <c r="A774" s="21"/>
      <c r="B774" s="21"/>
      <c r="C774" s="21"/>
      <c r="D774" s="21"/>
      <c r="E774" s="21"/>
      <c r="F774" s="21"/>
      <c r="G774" s="21"/>
      <c r="H774" s="21"/>
      <c r="I774" s="21"/>
      <c r="J774" s="21"/>
      <c r="K774" s="21"/>
      <c r="L774" s="21"/>
      <c r="M774" s="21"/>
      <c r="N774" s="21"/>
      <c r="O774" s="21"/>
      <c r="P774" s="21"/>
    </row>
    <row r="775">
      <c r="A775" s="21"/>
      <c r="B775" s="21"/>
      <c r="C775" s="21"/>
      <c r="D775" s="21"/>
      <c r="E775" s="21"/>
      <c r="F775" s="21"/>
      <c r="G775" s="21"/>
      <c r="H775" s="21"/>
      <c r="I775" s="21"/>
      <c r="J775" s="21"/>
      <c r="K775" s="21"/>
      <c r="L775" s="21"/>
      <c r="M775" s="21"/>
      <c r="N775" s="21"/>
      <c r="O775" s="21"/>
      <c r="P775" s="21"/>
    </row>
    <row r="776">
      <c r="A776" s="21"/>
      <c r="B776" s="21"/>
      <c r="C776" s="21"/>
      <c r="D776" s="21"/>
      <c r="E776" s="21"/>
      <c r="F776" s="21"/>
      <c r="G776" s="21"/>
      <c r="H776" s="21"/>
      <c r="I776" s="21"/>
      <c r="J776" s="21"/>
      <c r="K776" s="21"/>
      <c r="L776" s="21"/>
      <c r="M776" s="21"/>
      <c r="N776" s="21"/>
      <c r="O776" s="21"/>
      <c r="P776" s="21"/>
    </row>
    <row r="777">
      <c r="A777" s="21"/>
      <c r="B777" s="21"/>
      <c r="C777" s="21"/>
      <c r="D777" s="21"/>
      <c r="E777" s="21"/>
      <c r="F777" s="21"/>
      <c r="G777" s="21"/>
      <c r="H777" s="21"/>
      <c r="I777" s="21"/>
      <c r="J777" s="21"/>
      <c r="K777" s="21"/>
      <c r="L777" s="21"/>
      <c r="M777" s="21"/>
      <c r="N777" s="21"/>
      <c r="O777" s="21"/>
      <c r="P777" s="21"/>
    </row>
    <row r="778">
      <c r="A778" s="21"/>
      <c r="B778" s="21"/>
      <c r="C778" s="21"/>
      <c r="D778" s="21"/>
      <c r="E778" s="21"/>
      <c r="F778" s="21"/>
      <c r="G778" s="21"/>
      <c r="H778" s="21"/>
      <c r="I778" s="21"/>
      <c r="J778" s="21"/>
      <c r="K778" s="21"/>
      <c r="L778" s="21"/>
      <c r="M778" s="21"/>
      <c r="N778" s="21"/>
      <c r="O778" s="21"/>
      <c r="P778" s="21"/>
    </row>
    <row r="779">
      <c r="A779" s="21"/>
      <c r="B779" s="21"/>
      <c r="C779" s="21"/>
      <c r="D779" s="21"/>
      <c r="E779" s="21"/>
      <c r="F779" s="21"/>
      <c r="G779" s="21"/>
      <c r="H779" s="21"/>
      <c r="I779" s="21"/>
      <c r="J779" s="21"/>
      <c r="K779" s="21"/>
      <c r="L779" s="21"/>
      <c r="M779" s="21"/>
      <c r="N779" s="21"/>
      <c r="O779" s="21"/>
      <c r="P779" s="21"/>
    </row>
    <row r="780">
      <c r="A780" s="21"/>
      <c r="B780" s="21"/>
      <c r="C780" s="21"/>
      <c r="D780" s="21"/>
      <c r="E780" s="21"/>
      <c r="F780" s="21"/>
      <c r="G780" s="21"/>
      <c r="H780" s="21"/>
      <c r="I780" s="21"/>
      <c r="J780" s="21"/>
      <c r="K780" s="21"/>
      <c r="L780" s="21"/>
      <c r="M780" s="21"/>
      <c r="N780" s="21"/>
      <c r="O780" s="21"/>
      <c r="P780" s="21"/>
    </row>
    <row r="781">
      <c r="A781" s="21"/>
      <c r="B781" s="21"/>
      <c r="C781" s="21"/>
      <c r="D781" s="21"/>
      <c r="E781" s="21"/>
      <c r="F781" s="21"/>
      <c r="G781" s="21"/>
      <c r="H781" s="21"/>
      <c r="I781" s="21"/>
      <c r="J781" s="21"/>
      <c r="K781" s="21"/>
      <c r="L781" s="21"/>
      <c r="M781" s="21"/>
      <c r="N781" s="21"/>
      <c r="O781" s="21"/>
      <c r="P781" s="21"/>
    </row>
    <row r="782">
      <c r="A782" s="21"/>
      <c r="B782" s="21"/>
      <c r="C782" s="21"/>
      <c r="D782" s="21"/>
      <c r="E782" s="21"/>
      <c r="F782" s="21"/>
      <c r="G782" s="21"/>
      <c r="H782" s="21"/>
      <c r="I782" s="21"/>
      <c r="J782" s="21"/>
      <c r="K782" s="21"/>
      <c r="L782" s="21"/>
      <c r="M782" s="21"/>
      <c r="N782" s="21"/>
      <c r="O782" s="21"/>
      <c r="P782" s="21"/>
    </row>
    <row r="783">
      <c r="A783" s="21"/>
      <c r="B783" s="21"/>
      <c r="C783" s="21"/>
      <c r="D783" s="21"/>
      <c r="E783" s="21"/>
      <c r="F783" s="21"/>
      <c r="G783" s="21"/>
      <c r="H783" s="21"/>
      <c r="I783" s="21"/>
      <c r="J783" s="21"/>
      <c r="K783" s="21"/>
      <c r="L783" s="21"/>
      <c r="M783" s="21"/>
      <c r="N783" s="21"/>
      <c r="O783" s="21"/>
      <c r="P783" s="21"/>
    </row>
    <row r="784">
      <c r="A784" s="21"/>
      <c r="B784" s="21"/>
      <c r="C784" s="21"/>
      <c r="D784" s="21"/>
      <c r="E784" s="21"/>
      <c r="F784" s="21"/>
      <c r="G784" s="21"/>
      <c r="H784" s="21"/>
      <c r="I784" s="21"/>
      <c r="J784" s="21"/>
      <c r="K784" s="21"/>
      <c r="L784" s="21"/>
      <c r="M784" s="21"/>
      <c r="N784" s="21"/>
      <c r="O784" s="21"/>
      <c r="P784" s="21"/>
    </row>
    <row r="785">
      <c r="A785" s="21"/>
      <c r="B785" s="21"/>
      <c r="C785" s="21"/>
      <c r="D785" s="21"/>
      <c r="E785" s="21"/>
      <c r="F785" s="21"/>
      <c r="G785" s="21"/>
      <c r="H785" s="21"/>
      <c r="I785" s="21"/>
      <c r="J785" s="21"/>
      <c r="K785" s="21"/>
      <c r="L785" s="21"/>
      <c r="M785" s="21"/>
      <c r="N785" s="21"/>
      <c r="O785" s="21"/>
      <c r="P785" s="21"/>
    </row>
    <row r="786">
      <c r="A786" s="21"/>
      <c r="B786" s="21"/>
      <c r="C786" s="21"/>
      <c r="D786" s="21"/>
      <c r="E786" s="21"/>
      <c r="F786" s="21"/>
      <c r="G786" s="21"/>
      <c r="H786" s="21"/>
      <c r="I786" s="21"/>
      <c r="J786" s="21"/>
      <c r="K786" s="21"/>
      <c r="L786" s="21"/>
      <c r="M786" s="21"/>
      <c r="N786" s="21"/>
      <c r="O786" s="21"/>
      <c r="P786" s="21"/>
    </row>
    <row r="787">
      <c r="A787" s="21"/>
      <c r="B787" s="21"/>
      <c r="C787" s="21"/>
      <c r="D787" s="21"/>
      <c r="E787" s="21"/>
      <c r="F787" s="21"/>
      <c r="G787" s="21"/>
      <c r="H787" s="21"/>
      <c r="I787" s="21"/>
      <c r="J787" s="21"/>
      <c r="K787" s="21"/>
      <c r="L787" s="21"/>
      <c r="M787" s="21"/>
      <c r="N787" s="21"/>
      <c r="O787" s="21"/>
      <c r="P787" s="21"/>
    </row>
    <row r="788">
      <c r="A788" s="21"/>
      <c r="B788" s="21"/>
      <c r="C788" s="21"/>
      <c r="D788" s="21"/>
      <c r="E788" s="21"/>
      <c r="F788" s="21"/>
      <c r="G788" s="21"/>
      <c r="H788" s="21"/>
      <c r="I788" s="21"/>
      <c r="J788" s="21"/>
      <c r="K788" s="21"/>
      <c r="L788" s="21"/>
      <c r="M788" s="21"/>
      <c r="N788" s="21"/>
      <c r="O788" s="21"/>
      <c r="P788" s="21"/>
    </row>
    <row r="789">
      <c r="A789" s="21"/>
      <c r="B789" s="21"/>
      <c r="C789" s="21"/>
      <c r="D789" s="21"/>
      <c r="E789" s="21"/>
      <c r="F789" s="21"/>
      <c r="G789" s="21"/>
      <c r="H789" s="21"/>
      <c r="I789" s="21"/>
      <c r="J789" s="21"/>
      <c r="K789" s="21"/>
      <c r="L789" s="21"/>
      <c r="M789" s="21"/>
      <c r="N789" s="21"/>
      <c r="O789" s="21"/>
      <c r="P789" s="21"/>
    </row>
    <row r="790">
      <c r="A790" s="21"/>
      <c r="B790" s="21"/>
      <c r="C790" s="21"/>
      <c r="D790" s="21"/>
      <c r="E790" s="21"/>
      <c r="F790" s="21"/>
      <c r="G790" s="21"/>
      <c r="H790" s="21"/>
      <c r="I790" s="21"/>
      <c r="J790" s="21"/>
      <c r="K790" s="21"/>
      <c r="L790" s="21"/>
      <c r="M790" s="21"/>
      <c r="N790" s="21"/>
      <c r="O790" s="21"/>
      <c r="P790" s="21"/>
    </row>
    <row r="791">
      <c r="A791" s="21"/>
      <c r="B791" s="21"/>
      <c r="C791" s="21"/>
      <c r="D791" s="21"/>
      <c r="E791" s="21"/>
      <c r="F791" s="21"/>
      <c r="G791" s="21"/>
      <c r="H791" s="21"/>
      <c r="I791" s="21"/>
      <c r="J791" s="21"/>
      <c r="K791" s="21"/>
      <c r="L791" s="21"/>
      <c r="M791" s="21"/>
      <c r="N791" s="21"/>
      <c r="O791" s="21"/>
      <c r="P791" s="21"/>
    </row>
    <row r="792">
      <c r="A792" s="21"/>
      <c r="B792" s="21"/>
      <c r="C792" s="21"/>
      <c r="D792" s="21"/>
      <c r="E792" s="21"/>
      <c r="F792" s="21"/>
      <c r="G792" s="21"/>
      <c r="H792" s="21"/>
      <c r="I792" s="21"/>
      <c r="J792" s="21"/>
      <c r="K792" s="21"/>
      <c r="L792" s="21"/>
      <c r="M792" s="21"/>
      <c r="N792" s="21"/>
      <c r="O792" s="21"/>
      <c r="P792" s="21"/>
    </row>
    <row r="793">
      <c r="A793" s="21"/>
      <c r="B793" s="21"/>
      <c r="C793" s="21"/>
      <c r="D793" s="21"/>
      <c r="E793" s="21"/>
      <c r="F793" s="21"/>
      <c r="G793" s="21"/>
      <c r="H793" s="21"/>
      <c r="I793" s="21"/>
      <c r="J793" s="21"/>
      <c r="K793" s="21"/>
      <c r="L793" s="21"/>
      <c r="M793" s="21"/>
      <c r="N793" s="21"/>
      <c r="O793" s="21"/>
      <c r="P793" s="21"/>
    </row>
    <row r="794">
      <c r="A794" s="21"/>
      <c r="B794" s="21"/>
      <c r="C794" s="21"/>
      <c r="D794" s="21"/>
      <c r="E794" s="21"/>
      <c r="F794" s="21"/>
      <c r="G794" s="21"/>
      <c r="H794" s="21"/>
      <c r="I794" s="21"/>
      <c r="J794" s="21"/>
      <c r="K794" s="21"/>
      <c r="L794" s="21"/>
      <c r="M794" s="21"/>
      <c r="N794" s="21"/>
      <c r="O794" s="21"/>
      <c r="P794" s="21"/>
    </row>
    <row r="795">
      <c r="A795" s="21"/>
      <c r="B795" s="21"/>
      <c r="C795" s="21"/>
      <c r="D795" s="21"/>
      <c r="E795" s="21"/>
      <c r="F795" s="21"/>
      <c r="G795" s="21"/>
      <c r="H795" s="21"/>
      <c r="I795" s="21"/>
      <c r="J795" s="21"/>
      <c r="K795" s="21"/>
      <c r="L795" s="21"/>
      <c r="M795" s="21"/>
      <c r="N795" s="21"/>
      <c r="O795" s="21"/>
      <c r="P795" s="21"/>
    </row>
    <row r="796">
      <c r="A796" s="21"/>
      <c r="B796" s="21"/>
      <c r="C796" s="21"/>
      <c r="D796" s="21"/>
      <c r="E796" s="21"/>
      <c r="F796" s="21"/>
      <c r="G796" s="21"/>
      <c r="H796" s="21"/>
      <c r="I796" s="21"/>
      <c r="J796" s="21"/>
      <c r="K796" s="21"/>
      <c r="L796" s="21"/>
      <c r="M796" s="21"/>
      <c r="N796" s="21"/>
      <c r="O796" s="21"/>
      <c r="P796" s="21"/>
    </row>
    <row r="797">
      <c r="A797" s="21"/>
      <c r="B797" s="21"/>
      <c r="C797" s="21"/>
      <c r="D797" s="21"/>
      <c r="E797" s="21"/>
      <c r="F797" s="21"/>
      <c r="G797" s="21"/>
      <c r="H797" s="21"/>
      <c r="I797" s="21"/>
      <c r="J797" s="21"/>
      <c r="K797" s="21"/>
      <c r="L797" s="21"/>
      <c r="M797" s="21"/>
      <c r="N797" s="21"/>
      <c r="O797" s="21"/>
      <c r="P797" s="21"/>
    </row>
    <row r="798">
      <c r="A798" s="21"/>
      <c r="B798" s="21"/>
      <c r="C798" s="21"/>
      <c r="D798" s="21"/>
      <c r="E798" s="21"/>
      <c r="F798" s="21"/>
      <c r="G798" s="21"/>
      <c r="H798" s="21"/>
      <c r="I798" s="21"/>
      <c r="J798" s="21"/>
      <c r="K798" s="21"/>
      <c r="L798" s="21"/>
      <c r="M798" s="21"/>
      <c r="N798" s="21"/>
      <c r="O798" s="21"/>
      <c r="P798" s="21"/>
    </row>
    <row r="799">
      <c r="A799" s="21"/>
      <c r="B799" s="21"/>
      <c r="C799" s="21"/>
      <c r="D799" s="21"/>
      <c r="E799" s="21"/>
      <c r="F799" s="21"/>
      <c r="G799" s="21"/>
      <c r="H799" s="21"/>
      <c r="I799" s="21"/>
      <c r="J799" s="21"/>
      <c r="K799" s="21"/>
      <c r="L799" s="21"/>
      <c r="M799" s="21"/>
      <c r="N799" s="21"/>
      <c r="O799" s="21"/>
      <c r="P799" s="21"/>
    </row>
    <row r="800">
      <c r="A800" s="21"/>
      <c r="B800" s="21"/>
      <c r="C800" s="21"/>
      <c r="D800" s="21"/>
      <c r="E800" s="21"/>
      <c r="F800" s="21"/>
      <c r="G800" s="21"/>
      <c r="H800" s="21"/>
      <c r="I800" s="21"/>
      <c r="J800" s="21"/>
      <c r="K800" s="21"/>
      <c r="L800" s="21"/>
      <c r="M800" s="21"/>
      <c r="N800" s="21"/>
      <c r="O800" s="21"/>
      <c r="P800" s="21"/>
    </row>
    <row r="801">
      <c r="A801" s="21"/>
      <c r="B801" s="21"/>
      <c r="C801" s="21"/>
      <c r="D801" s="21"/>
      <c r="E801" s="21"/>
      <c r="F801" s="21"/>
      <c r="G801" s="21"/>
      <c r="H801" s="21"/>
      <c r="I801" s="21"/>
      <c r="J801" s="21"/>
      <c r="K801" s="21"/>
      <c r="L801" s="21"/>
      <c r="M801" s="21"/>
      <c r="N801" s="21"/>
      <c r="O801" s="21"/>
      <c r="P801" s="21"/>
    </row>
    <row r="802">
      <c r="A802" s="21"/>
      <c r="B802" s="21"/>
      <c r="C802" s="21"/>
      <c r="D802" s="21"/>
      <c r="E802" s="21"/>
      <c r="F802" s="21"/>
      <c r="G802" s="21"/>
      <c r="H802" s="21"/>
      <c r="I802" s="21"/>
      <c r="J802" s="21"/>
      <c r="K802" s="21"/>
      <c r="L802" s="21"/>
      <c r="M802" s="21"/>
      <c r="N802" s="21"/>
      <c r="O802" s="21"/>
      <c r="P802" s="21"/>
    </row>
    <row r="803">
      <c r="A803" s="21"/>
      <c r="B803" s="21"/>
      <c r="C803" s="21"/>
      <c r="D803" s="21"/>
      <c r="E803" s="21"/>
      <c r="F803" s="21"/>
      <c r="G803" s="21"/>
      <c r="H803" s="21"/>
      <c r="I803" s="21"/>
      <c r="J803" s="21"/>
      <c r="K803" s="21"/>
      <c r="L803" s="21"/>
      <c r="M803" s="21"/>
      <c r="N803" s="21"/>
      <c r="O803" s="21"/>
      <c r="P803" s="21"/>
    </row>
    <row r="804">
      <c r="A804" s="21"/>
      <c r="B804" s="21"/>
      <c r="C804" s="21"/>
      <c r="D804" s="21"/>
      <c r="E804" s="21"/>
      <c r="F804" s="21"/>
      <c r="G804" s="21"/>
      <c r="H804" s="21"/>
      <c r="I804" s="21"/>
      <c r="J804" s="21"/>
      <c r="K804" s="21"/>
      <c r="L804" s="21"/>
      <c r="M804" s="21"/>
      <c r="N804" s="21"/>
      <c r="O804" s="21"/>
      <c r="P804" s="21"/>
    </row>
    <row r="805">
      <c r="A805" s="21"/>
      <c r="B805" s="21"/>
      <c r="C805" s="21"/>
      <c r="D805" s="21"/>
      <c r="E805" s="21"/>
      <c r="F805" s="21"/>
      <c r="G805" s="21"/>
      <c r="H805" s="21"/>
      <c r="I805" s="21"/>
      <c r="J805" s="21"/>
      <c r="K805" s="21"/>
      <c r="L805" s="21"/>
      <c r="M805" s="21"/>
      <c r="N805" s="21"/>
      <c r="O805" s="21"/>
      <c r="P805" s="21"/>
    </row>
    <row r="806">
      <c r="A806" s="21"/>
      <c r="B806" s="21"/>
      <c r="C806" s="21"/>
      <c r="D806" s="21"/>
      <c r="E806" s="21"/>
      <c r="F806" s="21"/>
      <c r="G806" s="21"/>
      <c r="H806" s="21"/>
      <c r="I806" s="21"/>
      <c r="J806" s="21"/>
      <c r="K806" s="21"/>
      <c r="L806" s="21"/>
      <c r="M806" s="21"/>
      <c r="N806" s="21"/>
      <c r="O806" s="21"/>
      <c r="P806" s="21"/>
    </row>
    <row r="807">
      <c r="A807" s="21"/>
      <c r="B807" s="21"/>
      <c r="C807" s="21"/>
      <c r="D807" s="21"/>
      <c r="E807" s="21"/>
      <c r="F807" s="21"/>
      <c r="G807" s="21"/>
      <c r="H807" s="21"/>
      <c r="I807" s="21"/>
      <c r="J807" s="21"/>
      <c r="K807" s="21"/>
      <c r="L807" s="21"/>
      <c r="M807" s="21"/>
      <c r="N807" s="21"/>
      <c r="O807" s="21"/>
      <c r="P807" s="21"/>
    </row>
    <row r="808">
      <c r="A808" s="21"/>
      <c r="B808" s="21"/>
      <c r="C808" s="21"/>
      <c r="D808" s="21"/>
      <c r="E808" s="21"/>
      <c r="F808" s="21"/>
      <c r="G808" s="21"/>
      <c r="H808" s="21"/>
      <c r="I808" s="21"/>
      <c r="J808" s="21"/>
      <c r="K808" s="21"/>
      <c r="L808" s="21"/>
      <c r="M808" s="21"/>
      <c r="N808" s="21"/>
      <c r="O808" s="21"/>
      <c r="P808" s="21"/>
    </row>
    <row r="809">
      <c r="A809" s="21"/>
      <c r="B809" s="21"/>
      <c r="C809" s="21"/>
      <c r="D809" s="21"/>
      <c r="E809" s="21"/>
      <c r="F809" s="21"/>
      <c r="G809" s="21"/>
      <c r="H809" s="21"/>
      <c r="I809" s="21"/>
      <c r="J809" s="21"/>
      <c r="K809" s="21"/>
      <c r="L809" s="21"/>
      <c r="M809" s="21"/>
      <c r="N809" s="21"/>
      <c r="O809" s="21"/>
      <c r="P809" s="21"/>
    </row>
    <row r="810">
      <c r="A810" s="21"/>
      <c r="B810" s="21"/>
      <c r="C810" s="21"/>
      <c r="D810" s="21"/>
      <c r="E810" s="21"/>
      <c r="F810" s="21"/>
      <c r="G810" s="21"/>
      <c r="H810" s="21"/>
      <c r="I810" s="21"/>
      <c r="J810" s="21"/>
      <c r="K810" s="21"/>
      <c r="L810" s="21"/>
      <c r="M810" s="21"/>
      <c r="N810" s="21"/>
      <c r="O810" s="21"/>
      <c r="P810" s="21"/>
    </row>
    <row r="811">
      <c r="A811" s="21"/>
      <c r="B811" s="21"/>
      <c r="C811" s="21"/>
      <c r="D811" s="21"/>
      <c r="E811" s="21"/>
      <c r="F811" s="21"/>
      <c r="G811" s="21"/>
      <c r="H811" s="21"/>
      <c r="I811" s="21"/>
      <c r="J811" s="21"/>
      <c r="K811" s="21"/>
      <c r="L811" s="21"/>
      <c r="M811" s="21"/>
      <c r="N811" s="21"/>
      <c r="O811" s="21"/>
      <c r="P811" s="21"/>
    </row>
    <row r="812">
      <c r="A812" s="21"/>
      <c r="B812" s="21"/>
      <c r="C812" s="21"/>
      <c r="D812" s="21"/>
      <c r="E812" s="21"/>
      <c r="F812" s="21"/>
      <c r="G812" s="21"/>
      <c r="H812" s="21"/>
      <c r="I812" s="21"/>
      <c r="J812" s="21"/>
      <c r="K812" s="21"/>
      <c r="L812" s="21"/>
      <c r="M812" s="21"/>
      <c r="N812" s="21"/>
      <c r="O812" s="21"/>
      <c r="P812" s="21"/>
    </row>
    <row r="813">
      <c r="A813" s="21"/>
      <c r="B813" s="21"/>
      <c r="C813" s="21"/>
      <c r="D813" s="21"/>
      <c r="E813" s="21"/>
      <c r="F813" s="21"/>
      <c r="G813" s="21"/>
      <c r="H813" s="21"/>
      <c r="I813" s="21"/>
      <c r="J813" s="21"/>
      <c r="K813" s="21"/>
      <c r="L813" s="21"/>
      <c r="M813" s="21"/>
      <c r="N813" s="21"/>
      <c r="O813" s="21"/>
      <c r="P813" s="21"/>
    </row>
    <row r="814">
      <c r="A814" s="21"/>
      <c r="B814" s="21"/>
      <c r="C814" s="21"/>
      <c r="D814" s="21"/>
      <c r="E814" s="21"/>
      <c r="F814" s="21"/>
      <c r="G814" s="21"/>
      <c r="H814" s="21"/>
      <c r="I814" s="21"/>
      <c r="J814" s="21"/>
      <c r="K814" s="21"/>
      <c r="L814" s="21"/>
      <c r="M814" s="21"/>
      <c r="N814" s="21"/>
      <c r="O814" s="21"/>
      <c r="P814" s="21"/>
    </row>
    <row r="815">
      <c r="A815" s="21"/>
      <c r="B815" s="21"/>
      <c r="C815" s="21"/>
      <c r="D815" s="21"/>
      <c r="E815" s="21"/>
      <c r="F815" s="21"/>
      <c r="G815" s="21"/>
      <c r="H815" s="21"/>
      <c r="I815" s="21"/>
      <c r="J815" s="21"/>
      <c r="K815" s="21"/>
      <c r="L815" s="21"/>
      <c r="M815" s="21"/>
      <c r="N815" s="21"/>
      <c r="O815" s="21"/>
      <c r="P815" s="21"/>
    </row>
    <row r="816">
      <c r="A816" s="21"/>
      <c r="B816" s="21"/>
      <c r="C816" s="21"/>
      <c r="D816" s="21"/>
      <c r="E816" s="21"/>
      <c r="F816" s="21"/>
      <c r="G816" s="21"/>
      <c r="H816" s="21"/>
      <c r="I816" s="21"/>
      <c r="J816" s="21"/>
      <c r="K816" s="21"/>
      <c r="L816" s="21"/>
      <c r="M816" s="21"/>
      <c r="N816" s="21"/>
      <c r="O816" s="21"/>
      <c r="P816" s="21"/>
    </row>
    <row r="817">
      <c r="A817" s="21"/>
      <c r="B817" s="21"/>
      <c r="C817" s="21"/>
      <c r="D817" s="21"/>
      <c r="E817" s="21"/>
      <c r="F817" s="21"/>
      <c r="G817" s="21"/>
      <c r="H817" s="21"/>
      <c r="I817" s="21"/>
      <c r="J817" s="21"/>
      <c r="K817" s="21"/>
      <c r="L817" s="21"/>
      <c r="M817" s="21"/>
      <c r="N817" s="21"/>
      <c r="O817" s="21"/>
      <c r="P817" s="21"/>
    </row>
    <row r="818">
      <c r="A818" s="21"/>
      <c r="B818" s="21"/>
      <c r="C818" s="21"/>
      <c r="D818" s="21"/>
      <c r="E818" s="21"/>
      <c r="F818" s="21"/>
      <c r="G818" s="21"/>
      <c r="H818" s="21"/>
      <c r="I818" s="21"/>
      <c r="J818" s="21"/>
      <c r="K818" s="21"/>
      <c r="L818" s="21"/>
      <c r="M818" s="21"/>
      <c r="N818" s="21"/>
      <c r="O818" s="21"/>
      <c r="P818" s="21"/>
    </row>
    <row r="819">
      <c r="A819" s="21"/>
      <c r="B819" s="21"/>
      <c r="C819" s="21"/>
      <c r="D819" s="21"/>
      <c r="E819" s="21"/>
      <c r="F819" s="21"/>
      <c r="G819" s="21"/>
      <c r="H819" s="21"/>
      <c r="I819" s="21"/>
      <c r="J819" s="21"/>
      <c r="K819" s="21"/>
      <c r="L819" s="21"/>
      <c r="M819" s="21"/>
      <c r="N819" s="21"/>
      <c r="O819" s="21"/>
      <c r="P819" s="21"/>
    </row>
    <row r="820">
      <c r="A820" s="21"/>
      <c r="B820" s="21"/>
      <c r="C820" s="21"/>
      <c r="D820" s="21"/>
      <c r="E820" s="21"/>
      <c r="F820" s="21"/>
      <c r="G820" s="21"/>
      <c r="H820" s="21"/>
      <c r="I820" s="21"/>
      <c r="J820" s="21"/>
      <c r="K820" s="21"/>
      <c r="L820" s="21"/>
      <c r="M820" s="21"/>
      <c r="N820" s="21"/>
      <c r="O820" s="21"/>
      <c r="P820" s="21"/>
    </row>
    <row r="821">
      <c r="A821" s="21"/>
      <c r="B821" s="21"/>
      <c r="C821" s="21"/>
      <c r="D821" s="21"/>
      <c r="E821" s="21"/>
      <c r="F821" s="21"/>
      <c r="G821" s="21"/>
      <c r="H821" s="21"/>
      <c r="I821" s="21"/>
      <c r="J821" s="21"/>
      <c r="K821" s="21"/>
      <c r="L821" s="21"/>
      <c r="M821" s="21"/>
      <c r="N821" s="21"/>
      <c r="O821" s="21"/>
      <c r="P821" s="21"/>
    </row>
    <row r="822">
      <c r="A822" s="21"/>
      <c r="B822" s="21"/>
      <c r="C822" s="21"/>
      <c r="D822" s="21"/>
      <c r="E822" s="21"/>
      <c r="F822" s="21"/>
      <c r="G822" s="21"/>
      <c r="H822" s="21"/>
      <c r="I822" s="21"/>
      <c r="J822" s="21"/>
      <c r="K822" s="21"/>
      <c r="L822" s="21"/>
      <c r="M822" s="21"/>
      <c r="N822" s="21"/>
      <c r="O822" s="21"/>
      <c r="P822" s="21"/>
    </row>
    <row r="823">
      <c r="A823" s="21"/>
      <c r="B823" s="21"/>
      <c r="C823" s="21"/>
      <c r="D823" s="21"/>
      <c r="E823" s="21"/>
      <c r="F823" s="21"/>
      <c r="G823" s="21"/>
      <c r="H823" s="21"/>
      <c r="I823" s="21"/>
      <c r="J823" s="21"/>
      <c r="K823" s="21"/>
      <c r="L823" s="21"/>
      <c r="M823" s="21"/>
      <c r="N823" s="21"/>
      <c r="O823" s="21"/>
      <c r="P823" s="21"/>
    </row>
    <row r="824">
      <c r="A824" s="21"/>
      <c r="B824" s="21"/>
      <c r="C824" s="21"/>
      <c r="D824" s="21"/>
      <c r="E824" s="21"/>
      <c r="F824" s="21"/>
      <c r="G824" s="21"/>
      <c r="H824" s="21"/>
      <c r="I824" s="21"/>
      <c r="J824" s="21"/>
      <c r="K824" s="21"/>
      <c r="L824" s="21"/>
      <c r="M824" s="21"/>
      <c r="N824" s="21"/>
      <c r="O824" s="21"/>
      <c r="P824" s="21"/>
    </row>
    <row r="825">
      <c r="A825" s="21"/>
      <c r="B825" s="21"/>
      <c r="C825" s="21"/>
      <c r="D825" s="21"/>
      <c r="E825" s="21"/>
      <c r="F825" s="21"/>
      <c r="G825" s="21"/>
      <c r="H825" s="21"/>
      <c r="I825" s="21"/>
      <c r="J825" s="21"/>
      <c r="K825" s="21"/>
      <c r="L825" s="21"/>
      <c r="M825" s="21"/>
      <c r="N825" s="21"/>
      <c r="O825" s="21"/>
      <c r="P825" s="21"/>
    </row>
    <row r="826">
      <c r="A826" s="21"/>
      <c r="B826" s="21"/>
      <c r="C826" s="21"/>
      <c r="D826" s="21"/>
      <c r="E826" s="21"/>
      <c r="F826" s="21"/>
      <c r="G826" s="21"/>
      <c r="H826" s="21"/>
      <c r="I826" s="21"/>
      <c r="J826" s="21"/>
      <c r="K826" s="21"/>
      <c r="L826" s="21"/>
      <c r="M826" s="21"/>
      <c r="N826" s="21"/>
      <c r="O826" s="21"/>
      <c r="P826" s="21"/>
    </row>
    <row r="827">
      <c r="A827" s="21"/>
      <c r="B827" s="21"/>
      <c r="C827" s="21"/>
      <c r="D827" s="21"/>
      <c r="E827" s="21"/>
      <c r="F827" s="21"/>
      <c r="G827" s="21"/>
      <c r="H827" s="21"/>
      <c r="I827" s="21"/>
      <c r="J827" s="21"/>
      <c r="K827" s="21"/>
      <c r="L827" s="21"/>
      <c r="M827" s="21"/>
      <c r="N827" s="21"/>
      <c r="O827" s="21"/>
      <c r="P827" s="21"/>
    </row>
    <row r="828">
      <c r="A828" s="21"/>
      <c r="B828" s="21"/>
      <c r="C828" s="21"/>
      <c r="D828" s="21"/>
      <c r="E828" s="21"/>
      <c r="F828" s="21"/>
      <c r="G828" s="21"/>
      <c r="H828" s="21"/>
      <c r="I828" s="21"/>
      <c r="J828" s="21"/>
      <c r="K828" s="21"/>
      <c r="L828" s="21"/>
      <c r="M828" s="21"/>
      <c r="N828" s="21"/>
      <c r="O828" s="21"/>
      <c r="P828" s="21"/>
    </row>
    <row r="829">
      <c r="A829" s="21"/>
      <c r="B829" s="21"/>
      <c r="C829" s="21"/>
      <c r="D829" s="21"/>
      <c r="E829" s="21"/>
      <c r="F829" s="21"/>
      <c r="G829" s="21"/>
      <c r="H829" s="21"/>
      <c r="I829" s="21"/>
      <c r="J829" s="21"/>
      <c r="K829" s="21"/>
      <c r="L829" s="21"/>
      <c r="M829" s="21"/>
      <c r="N829" s="21"/>
      <c r="O829" s="21"/>
      <c r="P829" s="21"/>
    </row>
    <row r="830">
      <c r="A830" s="21"/>
      <c r="B830" s="21"/>
      <c r="C830" s="21"/>
      <c r="D830" s="21"/>
      <c r="E830" s="21"/>
      <c r="F830" s="21"/>
      <c r="G830" s="21"/>
      <c r="H830" s="21"/>
      <c r="I830" s="21"/>
      <c r="J830" s="21"/>
      <c r="K830" s="21"/>
      <c r="L830" s="21"/>
      <c r="M830" s="21"/>
      <c r="N830" s="21"/>
      <c r="O830" s="21"/>
      <c r="P830" s="21"/>
    </row>
    <row r="831">
      <c r="A831" s="21"/>
      <c r="B831" s="21"/>
      <c r="C831" s="21"/>
      <c r="D831" s="21"/>
      <c r="E831" s="21"/>
      <c r="F831" s="21"/>
      <c r="G831" s="21"/>
      <c r="H831" s="21"/>
      <c r="I831" s="21"/>
      <c r="J831" s="21"/>
      <c r="K831" s="21"/>
      <c r="L831" s="21"/>
      <c r="M831" s="21"/>
      <c r="N831" s="21"/>
      <c r="O831" s="21"/>
      <c r="P831" s="21"/>
    </row>
    <row r="832">
      <c r="A832" s="21"/>
      <c r="B832" s="21"/>
      <c r="C832" s="21"/>
      <c r="D832" s="21"/>
      <c r="E832" s="21"/>
      <c r="F832" s="21"/>
      <c r="G832" s="21"/>
      <c r="H832" s="21"/>
      <c r="I832" s="21"/>
      <c r="J832" s="21"/>
      <c r="K832" s="21"/>
      <c r="L832" s="21"/>
      <c r="M832" s="21"/>
      <c r="N832" s="21"/>
      <c r="O832" s="21"/>
      <c r="P832" s="21"/>
    </row>
    <row r="833">
      <c r="A833" s="21"/>
      <c r="B833" s="21"/>
      <c r="C833" s="21"/>
      <c r="D833" s="21"/>
      <c r="E833" s="21"/>
      <c r="F833" s="21"/>
      <c r="G833" s="21"/>
      <c r="H833" s="21"/>
      <c r="I833" s="21"/>
      <c r="J833" s="21"/>
      <c r="K833" s="21"/>
      <c r="L833" s="21"/>
      <c r="M833" s="21"/>
      <c r="N833" s="21"/>
      <c r="O833" s="21"/>
      <c r="P833" s="21"/>
    </row>
    <row r="834">
      <c r="A834" s="21"/>
      <c r="B834" s="21"/>
      <c r="C834" s="21"/>
      <c r="D834" s="21"/>
      <c r="E834" s="21"/>
      <c r="F834" s="21"/>
      <c r="G834" s="21"/>
      <c r="H834" s="21"/>
      <c r="I834" s="21"/>
      <c r="J834" s="21"/>
      <c r="K834" s="21"/>
      <c r="L834" s="21"/>
      <c r="M834" s="21"/>
      <c r="N834" s="21"/>
      <c r="O834" s="21"/>
      <c r="P834" s="21"/>
    </row>
    <row r="835">
      <c r="A835" s="21"/>
      <c r="B835" s="21"/>
      <c r="C835" s="21"/>
      <c r="D835" s="21"/>
      <c r="E835" s="21"/>
      <c r="F835" s="21"/>
      <c r="G835" s="21"/>
      <c r="H835" s="21"/>
      <c r="I835" s="21"/>
      <c r="J835" s="21"/>
      <c r="K835" s="21"/>
      <c r="L835" s="21"/>
      <c r="M835" s="21"/>
      <c r="N835" s="21"/>
      <c r="O835" s="21"/>
      <c r="P835" s="21"/>
    </row>
    <row r="836">
      <c r="A836" s="21"/>
      <c r="B836" s="21"/>
      <c r="C836" s="21"/>
      <c r="D836" s="21"/>
      <c r="E836" s="21"/>
      <c r="F836" s="21"/>
      <c r="G836" s="21"/>
      <c r="H836" s="21"/>
      <c r="I836" s="21"/>
      <c r="J836" s="21"/>
      <c r="K836" s="21"/>
      <c r="L836" s="21"/>
      <c r="M836" s="21"/>
      <c r="N836" s="21"/>
      <c r="O836" s="21"/>
      <c r="P836" s="21"/>
    </row>
    <row r="837">
      <c r="A837" s="21"/>
      <c r="B837" s="21"/>
      <c r="C837" s="21"/>
      <c r="D837" s="21"/>
      <c r="E837" s="21"/>
      <c r="F837" s="21"/>
      <c r="G837" s="21"/>
      <c r="H837" s="21"/>
      <c r="I837" s="21"/>
      <c r="J837" s="21"/>
      <c r="K837" s="21"/>
      <c r="L837" s="21"/>
      <c r="M837" s="21"/>
      <c r="N837" s="21"/>
      <c r="O837" s="21"/>
      <c r="P837" s="21"/>
    </row>
    <row r="838">
      <c r="A838" s="21"/>
      <c r="B838" s="21"/>
      <c r="C838" s="21"/>
      <c r="D838" s="21"/>
      <c r="E838" s="21"/>
      <c r="F838" s="21"/>
      <c r="G838" s="21"/>
      <c r="H838" s="21"/>
      <c r="I838" s="21"/>
      <c r="J838" s="21"/>
      <c r="K838" s="21"/>
      <c r="L838" s="21"/>
      <c r="M838" s="21"/>
      <c r="N838" s="21"/>
      <c r="O838" s="21"/>
      <c r="P838" s="21"/>
    </row>
    <row r="839">
      <c r="A839" s="21"/>
      <c r="B839" s="21"/>
      <c r="C839" s="21"/>
      <c r="D839" s="21"/>
      <c r="E839" s="21"/>
      <c r="F839" s="21"/>
      <c r="G839" s="21"/>
      <c r="H839" s="21"/>
      <c r="I839" s="21"/>
      <c r="J839" s="21"/>
      <c r="K839" s="21"/>
      <c r="L839" s="21"/>
      <c r="M839" s="21"/>
      <c r="N839" s="21"/>
      <c r="O839" s="21"/>
      <c r="P839" s="21"/>
    </row>
    <row r="840">
      <c r="A840" s="21"/>
      <c r="B840" s="21"/>
      <c r="C840" s="21"/>
      <c r="D840" s="21"/>
      <c r="E840" s="21"/>
      <c r="F840" s="21"/>
      <c r="G840" s="21"/>
      <c r="H840" s="21"/>
      <c r="I840" s="21"/>
      <c r="J840" s="21"/>
      <c r="K840" s="21"/>
      <c r="L840" s="21"/>
      <c r="M840" s="21"/>
      <c r="N840" s="21"/>
      <c r="O840" s="21"/>
      <c r="P840" s="21"/>
    </row>
    <row r="841">
      <c r="A841" s="21"/>
      <c r="B841" s="21"/>
      <c r="C841" s="21"/>
      <c r="D841" s="21"/>
      <c r="E841" s="21"/>
      <c r="F841" s="21"/>
      <c r="G841" s="21"/>
      <c r="H841" s="21"/>
      <c r="I841" s="21"/>
      <c r="J841" s="21"/>
      <c r="K841" s="21"/>
      <c r="L841" s="21"/>
      <c r="M841" s="21"/>
      <c r="N841" s="21"/>
      <c r="O841" s="21"/>
      <c r="P841" s="21"/>
    </row>
    <row r="842">
      <c r="A842" s="21"/>
      <c r="B842" s="21"/>
      <c r="C842" s="21"/>
      <c r="D842" s="21"/>
      <c r="E842" s="21"/>
      <c r="F842" s="21"/>
      <c r="G842" s="21"/>
      <c r="H842" s="21"/>
      <c r="I842" s="21"/>
      <c r="J842" s="21"/>
      <c r="K842" s="21"/>
      <c r="L842" s="21"/>
      <c r="M842" s="21"/>
      <c r="N842" s="21"/>
      <c r="O842" s="21"/>
      <c r="P842" s="21"/>
    </row>
    <row r="843">
      <c r="A843" s="21"/>
      <c r="B843" s="21"/>
      <c r="C843" s="21"/>
      <c r="D843" s="21"/>
      <c r="E843" s="21"/>
      <c r="F843" s="21"/>
      <c r="G843" s="21"/>
      <c r="H843" s="21"/>
      <c r="I843" s="21"/>
      <c r="J843" s="21"/>
      <c r="K843" s="21"/>
      <c r="L843" s="21"/>
      <c r="M843" s="21"/>
      <c r="N843" s="21"/>
      <c r="O843" s="21"/>
      <c r="P843" s="21"/>
    </row>
    <row r="844">
      <c r="A844" s="21"/>
      <c r="B844" s="21"/>
      <c r="C844" s="21"/>
      <c r="D844" s="21"/>
      <c r="E844" s="21"/>
      <c r="F844" s="21"/>
      <c r="G844" s="21"/>
      <c r="H844" s="21"/>
      <c r="I844" s="21"/>
      <c r="J844" s="21"/>
      <c r="K844" s="21"/>
      <c r="L844" s="21"/>
      <c r="M844" s="21"/>
      <c r="N844" s="21"/>
      <c r="O844" s="21"/>
      <c r="P844" s="21"/>
    </row>
    <row r="845">
      <c r="A845" s="21"/>
      <c r="B845" s="21"/>
      <c r="C845" s="21"/>
      <c r="D845" s="21"/>
      <c r="E845" s="21"/>
      <c r="F845" s="21"/>
      <c r="G845" s="21"/>
      <c r="H845" s="21"/>
      <c r="I845" s="21"/>
      <c r="J845" s="21"/>
      <c r="K845" s="21"/>
      <c r="L845" s="21"/>
      <c r="M845" s="21"/>
      <c r="N845" s="21"/>
      <c r="O845" s="21"/>
      <c r="P845" s="21"/>
    </row>
    <row r="846">
      <c r="A846" s="21"/>
      <c r="B846" s="21"/>
      <c r="C846" s="21"/>
      <c r="D846" s="21"/>
      <c r="E846" s="21"/>
      <c r="F846" s="21"/>
      <c r="G846" s="21"/>
      <c r="H846" s="21"/>
      <c r="I846" s="21"/>
      <c r="J846" s="21"/>
      <c r="K846" s="21"/>
      <c r="L846" s="21"/>
      <c r="M846" s="21"/>
      <c r="N846" s="21"/>
      <c r="O846" s="21"/>
      <c r="P846" s="21"/>
    </row>
    <row r="847">
      <c r="A847" s="21"/>
      <c r="B847" s="21"/>
      <c r="C847" s="21"/>
      <c r="D847" s="21"/>
      <c r="E847" s="21"/>
      <c r="F847" s="21"/>
      <c r="G847" s="21"/>
      <c r="H847" s="21"/>
      <c r="I847" s="21"/>
      <c r="J847" s="21"/>
      <c r="K847" s="21"/>
      <c r="L847" s="21"/>
      <c r="M847" s="21"/>
      <c r="N847" s="21"/>
      <c r="O847" s="21"/>
      <c r="P847" s="21"/>
    </row>
    <row r="848">
      <c r="A848" s="21"/>
      <c r="B848" s="21"/>
      <c r="C848" s="21"/>
      <c r="D848" s="21"/>
      <c r="E848" s="21"/>
      <c r="F848" s="21"/>
      <c r="G848" s="21"/>
      <c r="H848" s="21"/>
      <c r="I848" s="21"/>
      <c r="J848" s="21"/>
      <c r="K848" s="21"/>
      <c r="L848" s="21"/>
      <c r="M848" s="21"/>
      <c r="N848" s="21"/>
      <c r="O848" s="21"/>
      <c r="P848" s="21"/>
    </row>
    <row r="849">
      <c r="A849" s="21"/>
      <c r="B849" s="21"/>
      <c r="C849" s="21"/>
      <c r="D849" s="21"/>
      <c r="E849" s="21"/>
      <c r="F849" s="21"/>
      <c r="G849" s="21"/>
      <c r="H849" s="21"/>
      <c r="I849" s="21"/>
      <c r="J849" s="21"/>
      <c r="K849" s="21"/>
      <c r="L849" s="21"/>
      <c r="M849" s="21"/>
      <c r="N849" s="21"/>
      <c r="O849" s="21"/>
      <c r="P849" s="21"/>
    </row>
    <row r="850">
      <c r="A850" s="21"/>
      <c r="B850" s="21"/>
      <c r="C850" s="21"/>
      <c r="D850" s="21"/>
      <c r="E850" s="21"/>
      <c r="F850" s="21"/>
      <c r="G850" s="21"/>
      <c r="H850" s="21"/>
      <c r="I850" s="21"/>
      <c r="J850" s="21"/>
      <c r="K850" s="21"/>
      <c r="L850" s="21"/>
      <c r="M850" s="21"/>
      <c r="N850" s="21"/>
      <c r="O850" s="21"/>
      <c r="P850" s="21"/>
    </row>
    <row r="851">
      <c r="A851" s="21"/>
      <c r="B851" s="21"/>
      <c r="C851" s="21"/>
      <c r="D851" s="21"/>
      <c r="E851" s="21"/>
      <c r="F851" s="21"/>
      <c r="G851" s="21"/>
      <c r="H851" s="21"/>
      <c r="I851" s="21"/>
      <c r="J851" s="21"/>
      <c r="K851" s="21"/>
      <c r="L851" s="21"/>
      <c r="M851" s="21"/>
      <c r="N851" s="21"/>
      <c r="O851" s="21"/>
      <c r="P851" s="21"/>
    </row>
    <row r="852">
      <c r="A852" s="21"/>
      <c r="B852" s="21"/>
      <c r="C852" s="21"/>
      <c r="D852" s="21"/>
      <c r="E852" s="21"/>
      <c r="F852" s="21"/>
      <c r="G852" s="21"/>
      <c r="H852" s="21"/>
      <c r="I852" s="21"/>
      <c r="J852" s="21"/>
      <c r="K852" s="21"/>
      <c r="L852" s="21"/>
      <c r="M852" s="21"/>
      <c r="N852" s="21"/>
      <c r="O852" s="21"/>
      <c r="P852" s="21"/>
    </row>
    <row r="853">
      <c r="A853" s="21"/>
      <c r="B853" s="21"/>
      <c r="C853" s="21"/>
      <c r="D853" s="21"/>
      <c r="E853" s="21"/>
      <c r="F853" s="21"/>
      <c r="G853" s="21"/>
      <c r="H853" s="21"/>
      <c r="I853" s="21"/>
      <c r="J853" s="21"/>
      <c r="K853" s="21"/>
      <c r="L853" s="21"/>
      <c r="M853" s="21"/>
      <c r="N853" s="21"/>
      <c r="O853" s="21"/>
      <c r="P853" s="21"/>
    </row>
    <row r="854">
      <c r="A854" s="21"/>
      <c r="B854" s="21"/>
      <c r="C854" s="21"/>
      <c r="D854" s="21"/>
      <c r="E854" s="21"/>
      <c r="F854" s="21"/>
      <c r="G854" s="21"/>
      <c r="H854" s="21"/>
      <c r="I854" s="21"/>
      <c r="J854" s="21"/>
      <c r="K854" s="21"/>
      <c r="L854" s="21"/>
      <c r="M854" s="21"/>
      <c r="N854" s="21"/>
      <c r="O854" s="21"/>
      <c r="P854" s="21"/>
    </row>
    <row r="855">
      <c r="A855" s="21"/>
      <c r="B855" s="21"/>
      <c r="C855" s="21"/>
      <c r="D855" s="21"/>
      <c r="E855" s="21"/>
      <c r="F855" s="21"/>
      <c r="G855" s="21"/>
      <c r="H855" s="21"/>
      <c r="I855" s="21"/>
      <c r="J855" s="21"/>
      <c r="K855" s="21"/>
      <c r="L855" s="21"/>
      <c r="M855" s="21"/>
      <c r="N855" s="21"/>
      <c r="O855" s="21"/>
      <c r="P855" s="21"/>
    </row>
    <row r="856">
      <c r="A856" s="21"/>
      <c r="B856" s="21"/>
      <c r="C856" s="21"/>
      <c r="D856" s="21"/>
      <c r="E856" s="21"/>
      <c r="F856" s="21"/>
      <c r="G856" s="21"/>
      <c r="H856" s="21"/>
      <c r="I856" s="21"/>
      <c r="J856" s="21"/>
      <c r="K856" s="21"/>
      <c r="L856" s="21"/>
      <c r="M856" s="21"/>
      <c r="N856" s="21"/>
      <c r="O856" s="21"/>
      <c r="P856" s="21"/>
    </row>
    <row r="857">
      <c r="A857" s="21"/>
      <c r="B857" s="21"/>
      <c r="C857" s="21"/>
      <c r="D857" s="21"/>
      <c r="E857" s="21"/>
      <c r="F857" s="21"/>
      <c r="G857" s="21"/>
      <c r="H857" s="21"/>
      <c r="I857" s="21"/>
      <c r="J857" s="21"/>
      <c r="K857" s="21"/>
      <c r="L857" s="21"/>
      <c r="M857" s="21"/>
      <c r="N857" s="21"/>
      <c r="O857" s="21"/>
      <c r="P857" s="21"/>
    </row>
    <row r="858">
      <c r="A858" s="21"/>
      <c r="B858" s="21"/>
      <c r="C858" s="21"/>
      <c r="D858" s="21"/>
      <c r="E858" s="21"/>
      <c r="F858" s="21"/>
      <c r="G858" s="21"/>
      <c r="H858" s="21"/>
      <c r="I858" s="21"/>
      <c r="J858" s="21"/>
      <c r="K858" s="21"/>
      <c r="L858" s="21"/>
      <c r="M858" s="21"/>
      <c r="N858" s="21"/>
      <c r="O858" s="21"/>
      <c r="P858" s="21"/>
    </row>
    <row r="859">
      <c r="A859" s="21"/>
      <c r="B859" s="21"/>
      <c r="C859" s="21"/>
      <c r="D859" s="21"/>
      <c r="E859" s="21"/>
      <c r="F859" s="21"/>
      <c r="G859" s="21"/>
      <c r="H859" s="21"/>
      <c r="I859" s="21"/>
      <c r="J859" s="21"/>
      <c r="K859" s="21"/>
      <c r="L859" s="21"/>
      <c r="M859" s="21"/>
      <c r="N859" s="21"/>
      <c r="O859" s="21"/>
      <c r="P859" s="21"/>
    </row>
    <row r="860">
      <c r="A860" s="21"/>
      <c r="B860" s="21"/>
      <c r="C860" s="21"/>
      <c r="D860" s="21"/>
      <c r="E860" s="21"/>
      <c r="F860" s="21"/>
      <c r="G860" s="21"/>
      <c r="H860" s="21"/>
      <c r="I860" s="21"/>
      <c r="J860" s="21"/>
      <c r="K860" s="21"/>
      <c r="L860" s="21"/>
      <c r="M860" s="21"/>
      <c r="N860" s="21"/>
      <c r="O860" s="21"/>
      <c r="P860" s="21"/>
    </row>
    <row r="861">
      <c r="A861" s="21"/>
      <c r="B861" s="21"/>
      <c r="C861" s="21"/>
      <c r="D861" s="21"/>
      <c r="E861" s="21"/>
      <c r="F861" s="21"/>
      <c r="G861" s="21"/>
      <c r="H861" s="21"/>
      <c r="I861" s="21"/>
      <c r="J861" s="21"/>
      <c r="K861" s="21"/>
      <c r="L861" s="21"/>
      <c r="M861" s="21"/>
      <c r="N861" s="21"/>
      <c r="O861" s="21"/>
      <c r="P861" s="21"/>
    </row>
    <row r="862">
      <c r="A862" s="21"/>
      <c r="B862" s="21"/>
      <c r="C862" s="21"/>
      <c r="D862" s="21"/>
      <c r="E862" s="21"/>
      <c r="F862" s="21"/>
      <c r="G862" s="21"/>
      <c r="H862" s="21"/>
      <c r="I862" s="21"/>
      <c r="J862" s="21"/>
      <c r="K862" s="21"/>
      <c r="L862" s="21"/>
      <c r="M862" s="21"/>
      <c r="N862" s="21"/>
      <c r="O862" s="21"/>
      <c r="P862" s="21"/>
    </row>
    <row r="863">
      <c r="A863" s="21"/>
      <c r="B863" s="21"/>
      <c r="C863" s="21"/>
      <c r="D863" s="21"/>
      <c r="E863" s="21"/>
      <c r="F863" s="21"/>
      <c r="G863" s="21"/>
      <c r="H863" s="21"/>
      <c r="I863" s="21"/>
      <c r="J863" s="21"/>
      <c r="K863" s="21"/>
      <c r="L863" s="21"/>
      <c r="M863" s="21"/>
      <c r="N863" s="21"/>
      <c r="O863" s="21"/>
      <c r="P863" s="21"/>
    </row>
    <row r="864">
      <c r="A864" s="21"/>
      <c r="B864" s="21"/>
      <c r="C864" s="21"/>
      <c r="D864" s="21"/>
      <c r="E864" s="21"/>
      <c r="F864" s="21"/>
      <c r="G864" s="21"/>
      <c r="H864" s="21"/>
      <c r="I864" s="21"/>
      <c r="J864" s="21"/>
      <c r="K864" s="21"/>
      <c r="L864" s="21"/>
      <c r="M864" s="21"/>
      <c r="N864" s="21"/>
      <c r="O864" s="21"/>
      <c r="P864" s="21"/>
    </row>
    <row r="865">
      <c r="A865" s="21"/>
      <c r="B865" s="21"/>
      <c r="C865" s="21"/>
      <c r="D865" s="21"/>
      <c r="E865" s="21"/>
      <c r="F865" s="21"/>
      <c r="G865" s="21"/>
      <c r="H865" s="21"/>
      <c r="I865" s="21"/>
      <c r="J865" s="21"/>
      <c r="K865" s="21"/>
      <c r="L865" s="21"/>
      <c r="M865" s="21"/>
      <c r="N865" s="21"/>
      <c r="O865" s="21"/>
      <c r="P865" s="21"/>
    </row>
    <row r="866">
      <c r="A866" s="21"/>
      <c r="B866" s="21"/>
      <c r="C866" s="21"/>
      <c r="D866" s="21"/>
      <c r="E866" s="21"/>
      <c r="F866" s="21"/>
      <c r="G866" s="21"/>
      <c r="H866" s="21"/>
      <c r="I866" s="21"/>
      <c r="J866" s="21"/>
      <c r="K866" s="21"/>
      <c r="L866" s="21"/>
      <c r="M866" s="21"/>
      <c r="N866" s="21"/>
      <c r="O866" s="21"/>
      <c r="P866" s="21"/>
    </row>
    <row r="867">
      <c r="A867" s="21"/>
      <c r="B867" s="21"/>
      <c r="C867" s="21"/>
      <c r="D867" s="21"/>
      <c r="E867" s="21"/>
      <c r="F867" s="21"/>
      <c r="G867" s="21"/>
      <c r="H867" s="21"/>
      <c r="I867" s="21"/>
      <c r="J867" s="21"/>
      <c r="K867" s="21"/>
      <c r="L867" s="21"/>
      <c r="M867" s="21"/>
      <c r="N867" s="21"/>
      <c r="O867" s="21"/>
      <c r="P867" s="21"/>
    </row>
    <row r="868">
      <c r="A868" s="21"/>
      <c r="B868" s="21"/>
      <c r="C868" s="21"/>
      <c r="D868" s="21"/>
      <c r="E868" s="21"/>
      <c r="F868" s="21"/>
      <c r="G868" s="21"/>
      <c r="H868" s="21"/>
      <c r="I868" s="21"/>
      <c r="J868" s="21"/>
      <c r="K868" s="21"/>
      <c r="L868" s="21"/>
      <c r="M868" s="21"/>
      <c r="N868" s="21"/>
      <c r="O868" s="21"/>
      <c r="P868" s="21"/>
    </row>
    <row r="869">
      <c r="A869" s="21"/>
      <c r="B869" s="21"/>
      <c r="C869" s="21"/>
      <c r="D869" s="21"/>
      <c r="E869" s="21"/>
      <c r="F869" s="21"/>
      <c r="G869" s="21"/>
      <c r="H869" s="21"/>
      <c r="I869" s="21"/>
      <c r="J869" s="21"/>
      <c r="K869" s="21"/>
      <c r="L869" s="21"/>
      <c r="M869" s="21"/>
      <c r="N869" s="21"/>
      <c r="O869" s="21"/>
      <c r="P869" s="21"/>
    </row>
    <row r="870">
      <c r="A870" s="21"/>
      <c r="B870" s="21"/>
      <c r="C870" s="21"/>
      <c r="D870" s="21"/>
      <c r="E870" s="21"/>
      <c r="F870" s="21"/>
      <c r="G870" s="21"/>
      <c r="H870" s="21"/>
      <c r="I870" s="21"/>
      <c r="J870" s="21"/>
      <c r="K870" s="21"/>
      <c r="L870" s="21"/>
      <c r="M870" s="21"/>
      <c r="N870" s="21"/>
      <c r="O870" s="21"/>
      <c r="P870" s="21"/>
    </row>
    <row r="871">
      <c r="A871" s="21"/>
      <c r="B871" s="21"/>
      <c r="C871" s="21"/>
      <c r="D871" s="21"/>
      <c r="E871" s="21"/>
      <c r="F871" s="21"/>
      <c r="G871" s="21"/>
      <c r="H871" s="21"/>
      <c r="I871" s="21"/>
      <c r="J871" s="21"/>
      <c r="K871" s="21"/>
      <c r="L871" s="21"/>
      <c r="M871" s="21"/>
      <c r="N871" s="21"/>
      <c r="O871" s="21"/>
      <c r="P871" s="21"/>
    </row>
    <row r="872">
      <c r="A872" s="21"/>
      <c r="B872" s="21"/>
      <c r="C872" s="21"/>
      <c r="D872" s="21"/>
      <c r="E872" s="21"/>
      <c r="F872" s="21"/>
      <c r="G872" s="21"/>
      <c r="H872" s="21"/>
      <c r="I872" s="21"/>
      <c r="J872" s="21"/>
      <c r="K872" s="21"/>
      <c r="L872" s="21"/>
      <c r="M872" s="21"/>
      <c r="N872" s="21"/>
      <c r="O872" s="21"/>
      <c r="P872" s="21"/>
    </row>
    <row r="873">
      <c r="A873" s="21"/>
      <c r="B873" s="21"/>
      <c r="C873" s="21"/>
      <c r="D873" s="21"/>
      <c r="E873" s="21"/>
      <c r="F873" s="21"/>
      <c r="G873" s="21"/>
      <c r="H873" s="21"/>
      <c r="I873" s="21"/>
      <c r="J873" s="21"/>
      <c r="K873" s="21"/>
      <c r="L873" s="21"/>
      <c r="M873" s="21"/>
      <c r="N873" s="21"/>
      <c r="O873" s="21"/>
      <c r="P873" s="21"/>
    </row>
    <row r="874">
      <c r="A874" s="21"/>
      <c r="B874" s="21"/>
      <c r="C874" s="21"/>
      <c r="D874" s="21"/>
      <c r="E874" s="21"/>
      <c r="F874" s="21"/>
      <c r="G874" s="21"/>
      <c r="H874" s="21"/>
      <c r="I874" s="21"/>
      <c r="J874" s="21"/>
      <c r="K874" s="21"/>
      <c r="L874" s="21"/>
      <c r="M874" s="21"/>
      <c r="N874" s="21"/>
      <c r="O874" s="21"/>
      <c r="P874" s="21"/>
    </row>
    <row r="875">
      <c r="A875" s="21"/>
      <c r="B875" s="21"/>
      <c r="C875" s="21"/>
      <c r="D875" s="21"/>
      <c r="E875" s="21"/>
      <c r="F875" s="21"/>
      <c r="G875" s="21"/>
      <c r="H875" s="21"/>
      <c r="I875" s="21"/>
      <c r="J875" s="21"/>
      <c r="K875" s="21"/>
      <c r="L875" s="21"/>
      <c r="M875" s="21"/>
      <c r="N875" s="21"/>
      <c r="O875" s="21"/>
      <c r="P875" s="21"/>
    </row>
    <row r="876">
      <c r="A876" s="21"/>
      <c r="B876" s="21"/>
      <c r="C876" s="21"/>
      <c r="D876" s="21"/>
      <c r="E876" s="21"/>
      <c r="F876" s="21"/>
      <c r="G876" s="21"/>
      <c r="H876" s="21"/>
      <c r="I876" s="21"/>
      <c r="J876" s="21"/>
      <c r="K876" s="21"/>
      <c r="L876" s="21"/>
      <c r="M876" s="21"/>
      <c r="N876" s="21"/>
      <c r="O876" s="21"/>
      <c r="P876" s="21"/>
    </row>
    <row r="877">
      <c r="A877" s="21"/>
      <c r="B877" s="21"/>
      <c r="C877" s="21"/>
      <c r="D877" s="21"/>
      <c r="E877" s="21"/>
      <c r="F877" s="21"/>
      <c r="G877" s="21"/>
      <c r="H877" s="21"/>
      <c r="I877" s="21"/>
      <c r="J877" s="21"/>
      <c r="K877" s="21"/>
      <c r="L877" s="21"/>
      <c r="M877" s="21"/>
      <c r="N877" s="21"/>
      <c r="O877" s="21"/>
      <c r="P877" s="21"/>
    </row>
    <row r="878">
      <c r="A878" s="21"/>
      <c r="B878" s="21"/>
      <c r="C878" s="21"/>
      <c r="D878" s="21"/>
      <c r="E878" s="21"/>
      <c r="F878" s="21"/>
      <c r="G878" s="21"/>
      <c r="H878" s="21"/>
      <c r="I878" s="21"/>
      <c r="J878" s="21"/>
      <c r="K878" s="21"/>
      <c r="L878" s="21"/>
      <c r="M878" s="21"/>
      <c r="N878" s="21"/>
      <c r="O878" s="21"/>
      <c r="P878" s="21"/>
    </row>
    <row r="879">
      <c r="A879" s="21"/>
      <c r="B879" s="21"/>
      <c r="C879" s="21"/>
      <c r="D879" s="21"/>
      <c r="E879" s="21"/>
      <c r="F879" s="21"/>
      <c r="G879" s="21"/>
      <c r="H879" s="21"/>
      <c r="I879" s="21"/>
      <c r="J879" s="21"/>
      <c r="K879" s="21"/>
      <c r="L879" s="21"/>
      <c r="M879" s="21"/>
      <c r="N879" s="21"/>
      <c r="O879" s="21"/>
      <c r="P879" s="21"/>
    </row>
    <row r="880">
      <c r="A880" s="21"/>
      <c r="B880" s="21"/>
      <c r="C880" s="21"/>
      <c r="D880" s="21"/>
      <c r="E880" s="21"/>
      <c r="F880" s="21"/>
      <c r="G880" s="21"/>
      <c r="H880" s="21"/>
      <c r="I880" s="21"/>
      <c r="J880" s="21"/>
      <c r="K880" s="21"/>
      <c r="L880" s="21"/>
      <c r="M880" s="21"/>
      <c r="N880" s="21"/>
      <c r="O880" s="21"/>
      <c r="P880" s="21"/>
    </row>
    <row r="881">
      <c r="A881" s="21"/>
      <c r="B881" s="21"/>
      <c r="C881" s="21"/>
      <c r="D881" s="21"/>
      <c r="E881" s="21"/>
      <c r="F881" s="21"/>
      <c r="G881" s="21"/>
      <c r="H881" s="21"/>
      <c r="I881" s="21"/>
      <c r="J881" s="21"/>
      <c r="K881" s="21"/>
      <c r="L881" s="21"/>
      <c r="M881" s="21"/>
      <c r="N881" s="21"/>
      <c r="O881" s="21"/>
      <c r="P881" s="21"/>
    </row>
    <row r="882">
      <c r="A882" s="21"/>
      <c r="B882" s="21"/>
      <c r="C882" s="21"/>
      <c r="D882" s="21"/>
      <c r="E882" s="21"/>
      <c r="F882" s="21"/>
      <c r="G882" s="21"/>
      <c r="H882" s="21"/>
      <c r="I882" s="21"/>
      <c r="J882" s="21"/>
      <c r="K882" s="21"/>
      <c r="L882" s="21"/>
      <c r="M882" s="21"/>
      <c r="N882" s="21"/>
      <c r="O882" s="21"/>
      <c r="P882" s="21"/>
    </row>
    <row r="883">
      <c r="A883" s="21"/>
      <c r="B883" s="21"/>
      <c r="C883" s="21"/>
      <c r="D883" s="21"/>
      <c r="E883" s="21"/>
      <c r="F883" s="21"/>
      <c r="G883" s="21"/>
      <c r="H883" s="21"/>
      <c r="I883" s="21"/>
      <c r="J883" s="21"/>
      <c r="K883" s="21"/>
      <c r="L883" s="21"/>
      <c r="M883" s="21"/>
      <c r="N883" s="21"/>
      <c r="O883" s="21"/>
      <c r="P883" s="21"/>
    </row>
    <row r="884">
      <c r="A884" s="21"/>
      <c r="B884" s="21"/>
      <c r="C884" s="21"/>
      <c r="D884" s="21"/>
      <c r="E884" s="21"/>
      <c r="F884" s="21"/>
      <c r="G884" s="21"/>
      <c r="H884" s="21"/>
      <c r="I884" s="21"/>
      <c r="J884" s="21"/>
      <c r="K884" s="21"/>
      <c r="L884" s="21"/>
      <c r="M884" s="21"/>
      <c r="N884" s="21"/>
      <c r="O884" s="21"/>
      <c r="P884" s="21"/>
    </row>
    <row r="885">
      <c r="A885" s="21"/>
      <c r="B885" s="21"/>
      <c r="C885" s="21"/>
      <c r="D885" s="21"/>
      <c r="E885" s="21"/>
      <c r="F885" s="21"/>
      <c r="G885" s="21"/>
      <c r="H885" s="21"/>
      <c r="I885" s="21"/>
      <c r="J885" s="21"/>
      <c r="K885" s="21"/>
      <c r="L885" s="21"/>
      <c r="M885" s="21"/>
      <c r="N885" s="21"/>
      <c r="O885" s="21"/>
      <c r="P885" s="21"/>
    </row>
    <row r="886">
      <c r="A886" s="21"/>
      <c r="B886" s="21"/>
      <c r="C886" s="21"/>
      <c r="D886" s="21"/>
      <c r="E886" s="21"/>
      <c r="F886" s="21"/>
      <c r="G886" s="21"/>
      <c r="H886" s="21"/>
      <c r="I886" s="21"/>
      <c r="J886" s="21"/>
      <c r="K886" s="21"/>
      <c r="L886" s="21"/>
      <c r="M886" s="21"/>
      <c r="N886" s="21"/>
      <c r="O886" s="21"/>
      <c r="P886" s="21"/>
    </row>
    <row r="887">
      <c r="A887" s="21"/>
      <c r="B887" s="21"/>
      <c r="C887" s="21"/>
      <c r="D887" s="21"/>
      <c r="E887" s="21"/>
      <c r="F887" s="21"/>
      <c r="G887" s="21"/>
      <c r="H887" s="21"/>
      <c r="I887" s="21"/>
      <c r="J887" s="21"/>
      <c r="K887" s="21"/>
      <c r="L887" s="21"/>
      <c r="M887" s="21"/>
      <c r="N887" s="21"/>
      <c r="O887" s="21"/>
      <c r="P887" s="21"/>
    </row>
    <row r="888">
      <c r="A888" s="21"/>
      <c r="B888" s="21"/>
      <c r="C888" s="21"/>
      <c r="D888" s="21"/>
      <c r="E888" s="21"/>
      <c r="F888" s="21"/>
      <c r="G888" s="21"/>
      <c r="H888" s="21"/>
      <c r="I888" s="21"/>
      <c r="J888" s="21"/>
      <c r="K888" s="21"/>
      <c r="L888" s="21"/>
      <c r="M888" s="21"/>
      <c r="N888" s="21"/>
      <c r="O888" s="21"/>
      <c r="P888" s="21"/>
    </row>
    <row r="889">
      <c r="A889" s="21"/>
      <c r="B889" s="21"/>
      <c r="C889" s="21"/>
      <c r="D889" s="21"/>
      <c r="E889" s="21"/>
      <c r="F889" s="21"/>
      <c r="G889" s="21"/>
      <c r="H889" s="21"/>
      <c r="I889" s="21"/>
      <c r="J889" s="21"/>
      <c r="K889" s="21"/>
      <c r="L889" s="21"/>
      <c r="M889" s="21"/>
      <c r="N889" s="21"/>
      <c r="O889" s="21"/>
      <c r="P889" s="21"/>
    </row>
    <row r="890">
      <c r="A890" s="21"/>
      <c r="B890" s="21"/>
      <c r="C890" s="21"/>
      <c r="D890" s="21"/>
      <c r="E890" s="21"/>
      <c r="F890" s="21"/>
      <c r="G890" s="21"/>
      <c r="H890" s="21"/>
      <c r="I890" s="21"/>
      <c r="J890" s="21"/>
      <c r="K890" s="21"/>
      <c r="L890" s="21"/>
      <c r="M890" s="21"/>
      <c r="N890" s="21"/>
      <c r="O890" s="21"/>
      <c r="P890" s="21"/>
    </row>
    <row r="891">
      <c r="A891" s="21"/>
      <c r="B891" s="21"/>
      <c r="C891" s="21"/>
      <c r="D891" s="21"/>
      <c r="E891" s="21"/>
      <c r="F891" s="21"/>
      <c r="G891" s="21"/>
      <c r="H891" s="21"/>
      <c r="I891" s="21"/>
      <c r="J891" s="21"/>
      <c r="K891" s="21"/>
      <c r="L891" s="21"/>
      <c r="M891" s="21"/>
      <c r="N891" s="21"/>
      <c r="O891" s="21"/>
      <c r="P891" s="21"/>
    </row>
    <row r="892">
      <c r="A892" s="21"/>
      <c r="B892" s="21"/>
      <c r="C892" s="21"/>
      <c r="D892" s="21"/>
      <c r="E892" s="21"/>
      <c r="F892" s="21"/>
      <c r="G892" s="21"/>
      <c r="H892" s="21"/>
      <c r="I892" s="21"/>
      <c r="J892" s="21"/>
      <c r="K892" s="21"/>
      <c r="L892" s="21"/>
      <c r="M892" s="21"/>
      <c r="N892" s="21"/>
      <c r="O892" s="21"/>
      <c r="P892" s="21"/>
    </row>
    <row r="893">
      <c r="A893" s="21"/>
      <c r="B893" s="21"/>
      <c r="C893" s="21"/>
      <c r="D893" s="21"/>
      <c r="E893" s="21"/>
      <c r="F893" s="21"/>
      <c r="G893" s="21"/>
      <c r="H893" s="21"/>
      <c r="I893" s="21"/>
      <c r="J893" s="21"/>
      <c r="K893" s="21"/>
      <c r="L893" s="21"/>
      <c r="M893" s="21"/>
      <c r="N893" s="21"/>
      <c r="O893" s="21"/>
      <c r="P893" s="21"/>
    </row>
    <row r="894">
      <c r="A894" s="21"/>
      <c r="B894" s="21"/>
      <c r="C894" s="21"/>
      <c r="D894" s="21"/>
      <c r="E894" s="21"/>
      <c r="F894" s="21"/>
      <c r="G894" s="21"/>
      <c r="H894" s="21"/>
      <c r="I894" s="21"/>
      <c r="J894" s="21"/>
      <c r="K894" s="21"/>
      <c r="L894" s="21"/>
      <c r="M894" s="21"/>
      <c r="N894" s="21"/>
      <c r="O894" s="21"/>
      <c r="P894" s="21"/>
    </row>
    <row r="895">
      <c r="A895" s="21"/>
      <c r="B895" s="21"/>
      <c r="C895" s="21"/>
      <c r="D895" s="21"/>
      <c r="E895" s="21"/>
      <c r="F895" s="21"/>
      <c r="G895" s="21"/>
      <c r="H895" s="21"/>
      <c r="I895" s="21"/>
      <c r="J895" s="21"/>
      <c r="K895" s="21"/>
      <c r="L895" s="21"/>
      <c r="M895" s="21"/>
      <c r="N895" s="21"/>
      <c r="O895" s="21"/>
      <c r="P895" s="21"/>
    </row>
    <row r="896">
      <c r="A896" s="21"/>
      <c r="B896" s="21"/>
      <c r="C896" s="21"/>
      <c r="D896" s="21"/>
      <c r="E896" s="21"/>
      <c r="F896" s="21"/>
      <c r="G896" s="21"/>
      <c r="H896" s="21"/>
      <c r="I896" s="21"/>
      <c r="J896" s="21"/>
      <c r="K896" s="21"/>
      <c r="L896" s="21"/>
      <c r="M896" s="21"/>
      <c r="N896" s="21"/>
      <c r="O896" s="21"/>
      <c r="P896" s="21"/>
    </row>
    <row r="897">
      <c r="A897" s="21"/>
      <c r="B897" s="21"/>
      <c r="C897" s="21"/>
      <c r="D897" s="21"/>
      <c r="E897" s="21"/>
      <c r="F897" s="21"/>
      <c r="G897" s="21"/>
      <c r="H897" s="21"/>
      <c r="I897" s="21"/>
      <c r="J897" s="21"/>
      <c r="K897" s="21"/>
      <c r="L897" s="21"/>
      <c r="M897" s="21"/>
      <c r="N897" s="21"/>
      <c r="O897" s="21"/>
      <c r="P897" s="21"/>
    </row>
    <row r="898">
      <c r="A898" s="21"/>
      <c r="B898" s="21"/>
      <c r="C898" s="21"/>
      <c r="D898" s="21"/>
      <c r="E898" s="21"/>
      <c r="F898" s="21"/>
      <c r="G898" s="21"/>
      <c r="H898" s="21"/>
      <c r="I898" s="21"/>
      <c r="J898" s="21"/>
      <c r="K898" s="21"/>
      <c r="L898" s="21"/>
      <c r="M898" s="21"/>
      <c r="N898" s="21"/>
      <c r="O898" s="21"/>
      <c r="P898" s="21"/>
    </row>
    <row r="899">
      <c r="A899" s="21"/>
      <c r="B899" s="21"/>
      <c r="C899" s="21"/>
      <c r="D899" s="21"/>
      <c r="E899" s="21"/>
      <c r="F899" s="21"/>
      <c r="G899" s="21"/>
      <c r="H899" s="21"/>
      <c r="I899" s="21"/>
      <c r="J899" s="21"/>
      <c r="K899" s="21"/>
      <c r="L899" s="21"/>
      <c r="M899" s="21"/>
      <c r="N899" s="21"/>
      <c r="O899" s="21"/>
      <c r="P899" s="21"/>
    </row>
    <row r="900">
      <c r="A900" s="21"/>
      <c r="B900" s="21"/>
      <c r="C900" s="21"/>
      <c r="D900" s="21"/>
      <c r="E900" s="21"/>
      <c r="F900" s="21"/>
      <c r="G900" s="21"/>
      <c r="H900" s="21"/>
      <c r="I900" s="21"/>
      <c r="J900" s="21"/>
      <c r="K900" s="21"/>
      <c r="L900" s="21"/>
      <c r="M900" s="21"/>
      <c r="N900" s="21"/>
      <c r="O900" s="21"/>
      <c r="P900" s="21"/>
    </row>
    <row r="901">
      <c r="A901" s="21"/>
      <c r="B901" s="21"/>
      <c r="C901" s="21"/>
      <c r="D901" s="21"/>
      <c r="E901" s="21"/>
      <c r="F901" s="21"/>
      <c r="G901" s="21"/>
      <c r="H901" s="21"/>
      <c r="I901" s="21"/>
      <c r="J901" s="21"/>
      <c r="K901" s="21"/>
      <c r="L901" s="21"/>
      <c r="M901" s="21"/>
      <c r="N901" s="21"/>
      <c r="O901" s="21"/>
      <c r="P901" s="21"/>
    </row>
    <row r="902">
      <c r="A902" s="21"/>
      <c r="B902" s="21"/>
      <c r="C902" s="21"/>
      <c r="D902" s="21"/>
      <c r="E902" s="21"/>
      <c r="F902" s="21"/>
      <c r="G902" s="21"/>
      <c r="H902" s="21"/>
      <c r="I902" s="21"/>
      <c r="J902" s="21"/>
      <c r="K902" s="21"/>
      <c r="L902" s="21"/>
      <c r="M902" s="21"/>
      <c r="N902" s="21"/>
      <c r="O902" s="21"/>
      <c r="P902" s="21"/>
    </row>
    <row r="903">
      <c r="A903" s="21"/>
      <c r="B903" s="21"/>
      <c r="C903" s="21"/>
      <c r="D903" s="21"/>
      <c r="E903" s="21"/>
      <c r="F903" s="21"/>
      <c r="G903" s="21"/>
      <c r="H903" s="21"/>
      <c r="I903" s="21"/>
      <c r="J903" s="21"/>
      <c r="K903" s="21"/>
      <c r="L903" s="21"/>
      <c r="M903" s="21"/>
      <c r="N903" s="21"/>
      <c r="O903" s="21"/>
      <c r="P903" s="21"/>
    </row>
    <row r="904">
      <c r="A904" s="21"/>
      <c r="B904" s="21"/>
      <c r="C904" s="21"/>
      <c r="D904" s="21"/>
      <c r="E904" s="21"/>
      <c r="F904" s="21"/>
      <c r="G904" s="21"/>
      <c r="H904" s="21"/>
      <c r="I904" s="21"/>
      <c r="J904" s="21"/>
      <c r="K904" s="21"/>
      <c r="L904" s="21"/>
      <c r="M904" s="21"/>
      <c r="N904" s="21"/>
      <c r="O904" s="21"/>
      <c r="P904" s="21"/>
    </row>
    <row r="905">
      <c r="A905" s="21"/>
      <c r="B905" s="21"/>
      <c r="C905" s="21"/>
      <c r="D905" s="21"/>
      <c r="E905" s="21"/>
      <c r="F905" s="21"/>
      <c r="G905" s="21"/>
      <c r="H905" s="21"/>
      <c r="I905" s="21"/>
      <c r="J905" s="21"/>
      <c r="K905" s="21"/>
      <c r="L905" s="21"/>
      <c r="M905" s="21"/>
      <c r="N905" s="21"/>
      <c r="O905" s="21"/>
      <c r="P905" s="21"/>
    </row>
    <row r="906">
      <c r="A906" s="21"/>
      <c r="B906" s="21"/>
      <c r="C906" s="21"/>
      <c r="D906" s="21"/>
      <c r="E906" s="21"/>
      <c r="F906" s="21"/>
      <c r="G906" s="21"/>
      <c r="H906" s="21"/>
      <c r="I906" s="21"/>
      <c r="J906" s="21"/>
      <c r="K906" s="21"/>
      <c r="L906" s="21"/>
      <c r="M906" s="21"/>
      <c r="N906" s="21"/>
      <c r="O906" s="21"/>
      <c r="P906" s="21"/>
    </row>
    <row r="907">
      <c r="A907" s="21"/>
      <c r="B907" s="21"/>
      <c r="C907" s="21"/>
      <c r="D907" s="21"/>
      <c r="E907" s="21"/>
      <c r="F907" s="21"/>
      <c r="G907" s="21"/>
      <c r="H907" s="21"/>
      <c r="I907" s="21"/>
      <c r="J907" s="21"/>
      <c r="K907" s="21"/>
      <c r="L907" s="21"/>
      <c r="M907" s="21"/>
      <c r="N907" s="21"/>
      <c r="O907" s="21"/>
      <c r="P907" s="21"/>
    </row>
    <row r="908">
      <c r="A908" s="21"/>
      <c r="B908" s="21"/>
      <c r="C908" s="21"/>
      <c r="D908" s="21"/>
      <c r="E908" s="21"/>
      <c r="F908" s="21"/>
      <c r="G908" s="21"/>
      <c r="H908" s="21"/>
      <c r="I908" s="21"/>
      <c r="J908" s="21"/>
      <c r="K908" s="21"/>
      <c r="L908" s="21"/>
      <c r="M908" s="21"/>
      <c r="N908" s="21"/>
      <c r="O908" s="21"/>
      <c r="P908" s="21"/>
    </row>
    <row r="909">
      <c r="A909" s="21"/>
      <c r="B909" s="21"/>
      <c r="C909" s="21"/>
      <c r="D909" s="21"/>
      <c r="E909" s="21"/>
      <c r="F909" s="21"/>
      <c r="G909" s="21"/>
      <c r="H909" s="21"/>
      <c r="I909" s="21"/>
      <c r="J909" s="21"/>
      <c r="K909" s="21"/>
      <c r="L909" s="21"/>
      <c r="M909" s="21"/>
      <c r="N909" s="21"/>
      <c r="O909" s="21"/>
      <c r="P909" s="21"/>
    </row>
    <row r="910">
      <c r="A910" s="21"/>
      <c r="B910" s="21"/>
      <c r="C910" s="21"/>
      <c r="D910" s="21"/>
      <c r="E910" s="21"/>
      <c r="F910" s="21"/>
      <c r="G910" s="21"/>
      <c r="H910" s="21"/>
      <c r="I910" s="21"/>
      <c r="J910" s="21"/>
      <c r="K910" s="21"/>
      <c r="L910" s="21"/>
      <c r="M910" s="21"/>
      <c r="N910" s="21"/>
      <c r="O910" s="21"/>
      <c r="P910" s="21"/>
    </row>
    <row r="911">
      <c r="A911" s="21"/>
      <c r="B911" s="21"/>
      <c r="C911" s="21"/>
      <c r="D911" s="21"/>
      <c r="E911" s="21"/>
      <c r="F911" s="21"/>
      <c r="G911" s="21"/>
      <c r="H911" s="21"/>
      <c r="I911" s="21"/>
      <c r="J911" s="21"/>
      <c r="K911" s="21"/>
      <c r="L911" s="21"/>
      <c r="M911" s="21"/>
      <c r="N911" s="21"/>
      <c r="O911" s="21"/>
      <c r="P911" s="21"/>
    </row>
    <row r="912">
      <c r="A912" s="21"/>
      <c r="B912" s="21"/>
      <c r="C912" s="21"/>
      <c r="D912" s="21"/>
      <c r="E912" s="21"/>
      <c r="F912" s="21"/>
      <c r="G912" s="21"/>
      <c r="H912" s="21"/>
      <c r="I912" s="21"/>
      <c r="J912" s="21"/>
      <c r="K912" s="21"/>
      <c r="L912" s="21"/>
      <c r="M912" s="21"/>
      <c r="N912" s="21"/>
      <c r="O912" s="21"/>
      <c r="P912" s="21"/>
    </row>
    <row r="913">
      <c r="A913" s="21"/>
      <c r="B913" s="21"/>
      <c r="C913" s="21"/>
      <c r="D913" s="21"/>
      <c r="E913" s="21"/>
      <c r="F913" s="21"/>
      <c r="G913" s="21"/>
      <c r="H913" s="21"/>
      <c r="I913" s="21"/>
      <c r="J913" s="21"/>
      <c r="K913" s="21"/>
      <c r="L913" s="21"/>
      <c r="M913" s="21"/>
      <c r="N913" s="21"/>
      <c r="O913" s="21"/>
      <c r="P913" s="21"/>
    </row>
    <row r="914">
      <c r="A914" s="21"/>
      <c r="B914" s="21"/>
      <c r="C914" s="21"/>
      <c r="D914" s="21"/>
      <c r="E914" s="21"/>
      <c r="F914" s="21"/>
      <c r="G914" s="21"/>
      <c r="H914" s="21"/>
      <c r="I914" s="21"/>
      <c r="J914" s="21"/>
      <c r="K914" s="21"/>
      <c r="L914" s="21"/>
      <c r="M914" s="21"/>
      <c r="N914" s="21"/>
      <c r="O914" s="21"/>
      <c r="P914" s="21"/>
    </row>
    <row r="915">
      <c r="A915" s="21"/>
      <c r="B915" s="21"/>
      <c r="C915" s="21"/>
      <c r="D915" s="21"/>
      <c r="E915" s="21"/>
      <c r="F915" s="21"/>
      <c r="G915" s="21"/>
      <c r="H915" s="21"/>
      <c r="I915" s="21"/>
      <c r="J915" s="21"/>
      <c r="K915" s="21"/>
      <c r="L915" s="21"/>
      <c r="M915" s="21"/>
      <c r="N915" s="21"/>
      <c r="O915" s="21"/>
      <c r="P915" s="21"/>
    </row>
    <row r="916">
      <c r="A916" s="21"/>
      <c r="B916" s="21"/>
      <c r="C916" s="21"/>
      <c r="D916" s="21"/>
      <c r="E916" s="21"/>
      <c r="F916" s="21"/>
      <c r="G916" s="21"/>
      <c r="H916" s="21"/>
      <c r="I916" s="21"/>
      <c r="J916" s="21"/>
      <c r="K916" s="21"/>
      <c r="L916" s="21"/>
      <c r="M916" s="21"/>
      <c r="N916" s="21"/>
      <c r="O916" s="21"/>
      <c r="P916" s="21"/>
    </row>
    <row r="917">
      <c r="A917" s="21"/>
      <c r="B917" s="21"/>
      <c r="C917" s="21"/>
      <c r="D917" s="21"/>
      <c r="E917" s="21"/>
      <c r="F917" s="21"/>
      <c r="G917" s="21"/>
      <c r="H917" s="21"/>
      <c r="I917" s="21"/>
      <c r="J917" s="21"/>
      <c r="K917" s="21"/>
      <c r="L917" s="21"/>
      <c r="M917" s="21"/>
      <c r="N917" s="21"/>
      <c r="O917" s="21"/>
      <c r="P917" s="21"/>
    </row>
    <row r="918">
      <c r="A918" s="21"/>
      <c r="B918" s="21"/>
      <c r="C918" s="21"/>
      <c r="D918" s="21"/>
      <c r="E918" s="21"/>
      <c r="F918" s="21"/>
      <c r="G918" s="21"/>
      <c r="H918" s="21"/>
      <c r="I918" s="21"/>
      <c r="J918" s="21"/>
      <c r="K918" s="21"/>
      <c r="L918" s="21"/>
      <c r="M918" s="21"/>
      <c r="N918" s="21"/>
      <c r="O918" s="21"/>
      <c r="P918" s="21"/>
    </row>
    <row r="919">
      <c r="A919" s="21"/>
      <c r="B919" s="21"/>
      <c r="C919" s="21"/>
      <c r="D919" s="21"/>
      <c r="E919" s="21"/>
      <c r="F919" s="21"/>
      <c r="G919" s="21"/>
      <c r="H919" s="21"/>
      <c r="I919" s="21"/>
      <c r="J919" s="21"/>
      <c r="K919" s="21"/>
      <c r="L919" s="21"/>
      <c r="M919" s="21"/>
      <c r="N919" s="21"/>
      <c r="O919" s="21"/>
      <c r="P919" s="21"/>
    </row>
    <row r="920">
      <c r="A920" s="21"/>
      <c r="B920" s="21"/>
      <c r="C920" s="21"/>
      <c r="D920" s="21"/>
      <c r="E920" s="21"/>
      <c r="F920" s="21"/>
      <c r="G920" s="21"/>
      <c r="H920" s="21"/>
      <c r="I920" s="21"/>
      <c r="J920" s="21"/>
      <c r="K920" s="21"/>
      <c r="L920" s="21"/>
      <c r="M920" s="21"/>
      <c r="N920" s="21"/>
      <c r="O920" s="21"/>
      <c r="P920" s="21"/>
    </row>
    <row r="921">
      <c r="A921" s="21"/>
      <c r="B921" s="21"/>
      <c r="C921" s="21"/>
      <c r="D921" s="21"/>
      <c r="E921" s="21"/>
      <c r="F921" s="21"/>
      <c r="G921" s="21"/>
      <c r="H921" s="21"/>
      <c r="I921" s="21"/>
      <c r="J921" s="21"/>
      <c r="K921" s="21"/>
      <c r="L921" s="21"/>
      <c r="M921" s="21"/>
      <c r="N921" s="21"/>
      <c r="O921" s="21"/>
      <c r="P921" s="21"/>
    </row>
    <row r="922">
      <c r="A922" s="21"/>
      <c r="B922" s="21"/>
      <c r="C922" s="21"/>
      <c r="D922" s="21"/>
      <c r="E922" s="21"/>
      <c r="F922" s="21"/>
      <c r="G922" s="21"/>
      <c r="H922" s="21"/>
      <c r="I922" s="21"/>
      <c r="J922" s="21"/>
      <c r="K922" s="21"/>
      <c r="L922" s="21"/>
      <c r="M922" s="21"/>
      <c r="N922" s="21"/>
      <c r="O922" s="21"/>
      <c r="P922" s="21"/>
    </row>
    <row r="923">
      <c r="A923" s="21"/>
      <c r="B923" s="21"/>
      <c r="C923" s="21"/>
      <c r="D923" s="21"/>
      <c r="E923" s="21"/>
      <c r="F923" s="21"/>
      <c r="G923" s="21"/>
      <c r="H923" s="21"/>
      <c r="I923" s="21"/>
      <c r="J923" s="21"/>
      <c r="K923" s="21"/>
      <c r="L923" s="21"/>
      <c r="M923" s="21"/>
      <c r="N923" s="21"/>
      <c r="O923" s="21"/>
      <c r="P923" s="21"/>
    </row>
    <row r="924">
      <c r="A924" s="21"/>
      <c r="B924" s="21"/>
      <c r="C924" s="21"/>
      <c r="D924" s="21"/>
      <c r="E924" s="21"/>
      <c r="F924" s="21"/>
      <c r="G924" s="21"/>
      <c r="H924" s="21"/>
      <c r="I924" s="21"/>
      <c r="J924" s="21"/>
      <c r="K924" s="21"/>
      <c r="L924" s="21"/>
      <c r="M924" s="21"/>
      <c r="N924" s="21"/>
      <c r="O924" s="21"/>
      <c r="P924" s="21"/>
    </row>
    <row r="925">
      <c r="A925" s="21"/>
      <c r="B925" s="21"/>
      <c r="C925" s="21"/>
      <c r="D925" s="21"/>
      <c r="E925" s="21"/>
      <c r="F925" s="21"/>
      <c r="G925" s="21"/>
      <c r="H925" s="21"/>
      <c r="I925" s="21"/>
      <c r="J925" s="21"/>
      <c r="K925" s="21"/>
      <c r="L925" s="21"/>
      <c r="M925" s="21"/>
      <c r="N925" s="21"/>
      <c r="O925" s="21"/>
      <c r="P925" s="21"/>
    </row>
    <row r="926">
      <c r="A926" s="21"/>
      <c r="B926" s="21"/>
      <c r="C926" s="21"/>
      <c r="D926" s="21"/>
      <c r="E926" s="21"/>
      <c r="F926" s="21"/>
      <c r="G926" s="21"/>
      <c r="H926" s="21"/>
      <c r="I926" s="21"/>
      <c r="J926" s="21"/>
      <c r="K926" s="21"/>
      <c r="L926" s="21"/>
      <c r="M926" s="21"/>
      <c r="N926" s="21"/>
      <c r="O926" s="21"/>
      <c r="P926" s="21"/>
    </row>
    <row r="927">
      <c r="A927" s="21"/>
      <c r="B927" s="21"/>
      <c r="C927" s="21"/>
      <c r="D927" s="21"/>
      <c r="E927" s="21"/>
      <c r="F927" s="21"/>
      <c r="G927" s="21"/>
      <c r="H927" s="21"/>
      <c r="I927" s="21"/>
      <c r="J927" s="21"/>
      <c r="K927" s="21"/>
      <c r="L927" s="21"/>
      <c r="M927" s="21"/>
      <c r="N927" s="21"/>
      <c r="O927" s="21"/>
      <c r="P927" s="21"/>
    </row>
    <row r="928">
      <c r="A928" s="21"/>
      <c r="B928" s="21"/>
      <c r="C928" s="21"/>
      <c r="D928" s="21"/>
      <c r="E928" s="21"/>
      <c r="F928" s="21"/>
      <c r="G928" s="21"/>
      <c r="H928" s="21"/>
      <c r="I928" s="21"/>
      <c r="J928" s="21"/>
      <c r="K928" s="21"/>
      <c r="L928" s="21"/>
      <c r="M928" s="21"/>
      <c r="N928" s="21"/>
      <c r="O928" s="21"/>
      <c r="P928" s="21"/>
    </row>
    <row r="929">
      <c r="A929" s="21"/>
      <c r="B929" s="21"/>
      <c r="C929" s="21"/>
      <c r="D929" s="21"/>
      <c r="E929" s="21"/>
      <c r="F929" s="21"/>
      <c r="G929" s="21"/>
      <c r="H929" s="21"/>
      <c r="I929" s="21"/>
      <c r="J929" s="21"/>
      <c r="K929" s="21"/>
      <c r="L929" s="21"/>
      <c r="M929" s="21"/>
      <c r="N929" s="21"/>
      <c r="O929" s="21"/>
      <c r="P929" s="21"/>
    </row>
    <row r="930">
      <c r="A930" s="21"/>
      <c r="B930" s="21"/>
      <c r="C930" s="21"/>
      <c r="D930" s="21"/>
      <c r="E930" s="21"/>
      <c r="F930" s="21"/>
      <c r="G930" s="21"/>
      <c r="H930" s="21"/>
      <c r="I930" s="21"/>
      <c r="J930" s="21"/>
      <c r="K930" s="21"/>
      <c r="L930" s="21"/>
      <c r="M930" s="21"/>
      <c r="N930" s="21"/>
      <c r="O930" s="21"/>
      <c r="P930" s="21"/>
    </row>
    <row r="931">
      <c r="A931" s="21"/>
      <c r="B931" s="21"/>
      <c r="C931" s="21"/>
      <c r="D931" s="21"/>
      <c r="E931" s="21"/>
      <c r="F931" s="21"/>
      <c r="G931" s="21"/>
      <c r="H931" s="21"/>
      <c r="I931" s="21"/>
      <c r="J931" s="21"/>
      <c r="K931" s="21"/>
      <c r="L931" s="21"/>
      <c r="M931" s="21"/>
      <c r="N931" s="21"/>
      <c r="O931" s="21"/>
      <c r="P931" s="21"/>
    </row>
    <row r="932">
      <c r="A932" s="21"/>
      <c r="B932" s="21"/>
      <c r="C932" s="21"/>
      <c r="D932" s="21"/>
      <c r="E932" s="21"/>
      <c r="F932" s="21"/>
      <c r="G932" s="21"/>
      <c r="H932" s="21"/>
      <c r="I932" s="21"/>
      <c r="J932" s="21"/>
      <c r="K932" s="21"/>
      <c r="L932" s="21"/>
      <c r="M932" s="21"/>
      <c r="N932" s="21"/>
      <c r="O932" s="21"/>
      <c r="P932" s="21"/>
    </row>
    <row r="933">
      <c r="A933" s="21"/>
      <c r="B933" s="21"/>
      <c r="C933" s="21"/>
      <c r="D933" s="21"/>
      <c r="E933" s="21"/>
      <c r="F933" s="21"/>
      <c r="G933" s="21"/>
      <c r="H933" s="21"/>
      <c r="I933" s="21"/>
      <c r="J933" s="21"/>
      <c r="K933" s="21"/>
      <c r="L933" s="21"/>
      <c r="M933" s="21"/>
      <c r="N933" s="21"/>
      <c r="O933" s="21"/>
      <c r="P933" s="21"/>
    </row>
    <row r="934">
      <c r="A934" s="21"/>
      <c r="B934" s="21"/>
      <c r="C934" s="21"/>
      <c r="D934" s="21"/>
      <c r="E934" s="21"/>
      <c r="F934" s="21"/>
      <c r="G934" s="21"/>
      <c r="H934" s="21"/>
      <c r="I934" s="21"/>
      <c r="J934" s="21"/>
      <c r="K934" s="21"/>
      <c r="L934" s="21"/>
      <c r="M934" s="21"/>
      <c r="N934" s="21"/>
      <c r="O934" s="21"/>
      <c r="P934" s="21"/>
    </row>
    <row r="935">
      <c r="A935" s="21"/>
      <c r="B935" s="21"/>
      <c r="C935" s="21"/>
      <c r="D935" s="21"/>
      <c r="E935" s="21"/>
      <c r="F935" s="21"/>
      <c r="G935" s="21"/>
      <c r="H935" s="21"/>
      <c r="I935" s="21"/>
      <c r="J935" s="21"/>
      <c r="K935" s="21"/>
      <c r="L935" s="21"/>
      <c r="M935" s="21"/>
      <c r="N935" s="21"/>
      <c r="O935" s="21"/>
      <c r="P935" s="21"/>
    </row>
    <row r="936">
      <c r="A936" s="21"/>
      <c r="B936" s="21"/>
      <c r="C936" s="21"/>
      <c r="D936" s="21"/>
      <c r="E936" s="21"/>
      <c r="F936" s="21"/>
      <c r="G936" s="21"/>
      <c r="H936" s="21"/>
      <c r="I936" s="21"/>
      <c r="J936" s="21"/>
      <c r="K936" s="21"/>
      <c r="L936" s="21"/>
      <c r="M936" s="21"/>
      <c r="N936" s="21"/>
      <c r="O936" s="21"/>
      <c r="P936" s="21"/>
    </row>
    <row r="937">
      <c r="A937" s="21"/>
      <c r="B937" s="21"/>
      <c r="C937" s="21"/>
      <c r="D937" s="21"/>
      <c r="E937" s="21"/>
      <c r="F937" s="21"/>
      <c r="G937" s="21"/>
      <c r="H937" s="21"/>
      <c r="I937" s="21"/>
      <c r="J937" s="21"/>
      <c r="K937" s="21"/>
      <c r="L937" s="21"/>
      <c r="M937" s="21"/>
      <c r="N937" s="21"/>
      <c r="O937" s="21"/>
      <c r="P937" s="21"/>
    </row>
    <row r="938">
      <c r="A938" s="21"/>
      <c r="B938" s="21"/>
      <c r="C938" s="21"/>
      <c r="D938" s="21"/>
      <c r="E938" s="21"/>
      <c r="F938" s="21"/>
      <c r="G938" s="21"/>
      <c r="H938" s="21"/>
      <c r="I938" s="21"/>
      <c r="J938" s="21"/>
      <c r="K938" s="21"/>
      <c r="L938" s="21"/>
      <c r="M938" s="21"/>
      <c r="N938" s="21"/>
      <c r="O938" s="21"/>
      <c r="P938" s="21"/>
    </row>
    <row r="939">
      <c r="A939" s="21"/>
      <c r="B939" s="21"/>
      <c r="C939" s="21"/>
      <c r="D939" s="21"/>
      <c r="E939" s="21"/>
      <c r="F939" s="21"/>
      <c r="G939" s="21"/>
      <c r="H939" s="21"/>
      <c r="I939" s="21"/>
      <c r="J939" s="21"/>
      <c r="K939" s="21"/>
      <c r="L939" s="21"/>
      <c r="M939" s="21"/>
      <c r="N939" s="21"/>
      <c r="O939" s="21"/>
      <c r="P939" s="21"/>
    </row>
    <row r="940">
      <c r="A940" s="21"/>
      <c r="B940" s="21"/>
      <c r="C940" s="21"/>
      <c r="D940" s="21"/>
      <c r="E940" s="21"/>
      <c r="F940" s="21"/>
      <c r="G940" s="21"/>
      <c r="H940" s="21"/>
      <c r="I940" s="21"/>
      <c r="J940" s="21"/>
      <c r="K940" s="21"/>
      <c r="L940" s="21"/>
      <c r="M940" s="21"/>
      <c r="N940" s="21"/>
      <c r="O940" s="21"/>
      <c r="P940" s="21"/>
    </row>
    <row r="941">
      <c r="A941" s="21"/>
      <c r="B941" s="21"/>
      <c r="C941" s="21"/>
      <c r="D941" s="21"/>
      <c r="E941" s="21"/>
      <c r="F941" s="21"/>
      <c r="G941" s="21"/>
      <c r="H941" s="21"/>
      <c r="I941" s="21"/>
      <c r="J941" s="21"/>
      <c r="K941" s="21"/>
      <c r="L941" s="21"/>
      <c r="M941" s="21"/>
      <c r="N941" s="21"/>
      <c r="O941" s="21"/>
      <c r="P941" s="21"/>
    </row>
    <row r="942">
      <c r="A942" s="21"/>
      <c r="B942" s="21"/>
      <c r="C942" s="21"/>
      <c r="D942" s="21"/>
      <c r="E942" s="21"/>
      <c r="F942" s="21"/>
      <c r="G942" s="21"/>
      <c r="H942" s="21"/>
      <c r="I942" s="21"/>
      <c r="J942" s="21"/>
      <c r="K942" s="21"/>
      <c r="L942" s="21"/>
      <c r="M942" s="21"/>
      <c r="N942" s="21"/>
      <c r="O942" s="21"/>
      <c r="P942" s="21"/>
    </row>
    <row r="943">
      <c r="A943" s="21"/>
      <c r="B943" s="21"/>
      <c r="C943" s="21"/>
      <c r="D943" s="21"/>
      <c r="E943" s="21"/>
      <c r="F943" s="21"/>
      <c r="G943" s="21"/>
      <c r="H943" s="21"/>
      <c r="I943" s="21"/>
      <c r="J943" s="21"/>
      <c r="K943" s="21"/>
      <c r="L943" s="21"/>
      <c r="M943" s="21"/>
      <c r="N943" s="21"/>
      <c r="O943" s="21"/>
      <c r="P943" s="21"/>
    </row>
    <row r="944">
      <c r="A944" s="21"/>
      <c r="B944" s="21"/>
      <c r="C944" s="21"/>
      <c r="D944" s="21"/>
      <c r="E944" s="21"/>
      <c r="F944" s="21"/>
      <c r="G944" s="21"/>
      <c r="H944" s="21"/>
      <c r="I944" s="21"/>
      <c r="J944" s="21"/>
      <c r="K944" s="21"/>
      <c r="L944" s="21"/>
      <c r="M944" s="21"/>
      <c r="N944" s="21"/>
      <c r="O944" s="21"/>
      <c r="P944" s="21"/>
    </row>
    <row r="945">
      <c r="A945" s="21"/>
      <c r="B945" s="21"/>
      <c r="C945" s="21"/>
      <c r="D945" s="21"/>
      <c r="E945" s="21"/>
      <c r="F945" s="21"/>
      <c r="G945" s="21"/>
      <c r="H945" s="21"/>
      <c r="I945" s="21"/>
      <c r="J945" s="21"/>
      <c r="K945" s="21"/>
      <c r="L945" s="21"/>
      <c r="M945" s="21"/>
      <c r="N945" s="21"/>
      <c r="O945" s="21"/>
      <c r="P945" s="21"/>
    </row>
    <row r="946">
      <c r="A946" s="21"/>
      <c r="B946" s="21"/>
      <c r="C946" s="21"/>
      <c r="D946" s="21"/>
      <c r="E946" s="21"/>
      <c r="F946" s="21"/>
      <c r="G946" s="21"/>
      <c r="H946" s="21"/>
      <c r="I946" s="21"/>
      <c r="J946" s="21"/>
      <c r="K946" s="21"/>
      <c r="L946" s="21"/>
      <c r="M946" s="21"/>
      <c r="N946" s="21"/>
      <c r="O946" s="21"/>
      <c r="P946" s="21"/>
    </row>
    <row r="947">
      <c r="A947" s="21"/>
      <c r="B947" s="21"/>
      <c r="C947" s="21"/>
      <c r="D947" s="21"/>
      <c r="E947" s="21"/>
      <c r="F947" s="21"/>
      <c r="G947" s="21"/>
      <c r="H947" s="21"/>
      <c r="I947" s="21"/>
      <c r="J947" s="21"/>
      <c r="K947" s="21"/>
      <c r="L947" s="21"/>
      <c r="M947" s="21"/>
      <c r="N947" s="21"/>
      <c r="O947" s="21"/>
      <c r="P947" s="21"/>
    </row>
    <row r="948">
      <c r="A948" s="21"/>
      <c r="B948" s="21"/>
      <c r="C948" s="21"/>
      <c r="D948" s="21"/>
      <c r="E948" s="21"/>
      <c r="F948" s="21"/>
      <c r="G948" s="21"/>
      <c r="H948" s="21"/>
      <c r="I948" s="21"/>
      <c r="J948" s="21"/>
      <c r="K948" s="21"/>
      <c r="L948" s="21"/>
      <c r="M948" s="21"/>
      <c r="N948" s="21"/>
      <c r="O948" s="21"/>
      <c r="P948" s="21"/>
    </row>
    <row r="949">
      <c r="A949" s="21"/>
      <c r="B949" s="21"/>
      <c r="C949" s="21"/>
      <c r="D949" s="21"/>
      <c r="E949" s="21"/>
      <c r="F949" s="21"/>
      <c r="G949" s="21"/>
      <c r="H949" s="21"/>
      <c r="I949" s="21"/>
      <c r="J949" s="21"/>
      <c r="K949" s="21"/>
      <c r="L949" s="21"/>
      <c r="M949" s="21"/>
      <c r="N949" s="21"/>
      <c r="O949" s="21"/>
      <c r="P949" s="21"/>
    </row>
    <row r="950">
      <c r="A950" s="21"/>
      <c r="B950" s="21"/>
      <c r="C950" s="21"/>
      <c r="D950" s="21"/>
      <c r="E950" s="21"/>
      <c r="F950" s="21"/>
      <c r="G950" s="21"/>
      <c r="H950" s="21"/>
      <c r="I950" s="21"/>
      <c r="J950" s="21"/>
      <c r="K950" s="21"/>
      <c r="L950" s="21"/>
      <c r="M950" s="21"/>
      <c r="N950" s="21"/>
      <c r="O950" s="21"/>
      <c r="P950" s="21"/>
    </row>
    <row r="951">
      <c r="A951" s="21"/>
      <c r="B951" s="21"/>
      <c r="C951" s="21"/>
      <c r="D951" s="21"/>
      <c r="E951" s="21"/>
      <c r="F951" s="21"/>
      <c r="G951" s="21"/>
      <c r="H951" s="21"/>
      <c r="I951" s="21"/>
      <c r="J951" s="21"/>
      <c r="K951" s="21"/>
      <c r="L951" s="21"/>
      <c r="M951" s="21"/>
      <c r="N951" s="21"/>
      <c r="O951" s="21"/>
      <c r="P951" s="21"/>
    </row>
    <row r="952">
      <c r="A952" s="21"/>
      <c r="B952" s="21"/>
      <c r="C952" s="21"/>
      <c r="D952" s="21"/>
      <c r="E952" s="21"/>
      <c r="F952" s="21"/>
      <c r="G952" s="21"/>
      <c r="H952" s="21"/>
      <c r="I952" s="21"/>
      <c r="J952" s="21"/>
      <c r="K952" s="21"/>
      <c r="L952" s="21"/>
      <c r="M952" s="21"/>
      <c r="N952" s="21"/>
      <c r="O952" s="21"/>
      <c r="P952" s="21"/>
    </row>
    <row r="953">
      <c r="A953" s="21"/>
      <c r="B953" s="21"/>
      <c r="C953" s="21"/>
      <c r="D953" s="21"/>
      <c r="E953" s="21"/>
      <c r="F953" s="21"/>
      <c r="G953" s="21"/>
      <c r="H953" s="21"/>
      <c r="I953" s="21"/>
      <c r="J953" s="21"/>
      <c r="K953" s="21"/>
      <c r="L953" s="21"/>
      <c r="M953" s="21"/>
      <c r="N953" s="21"/>
      <c r="O953" s="21"/>
      <c r="P953" s="21"/>
    </row>
    <row r="954">
      <c r="A954" s="21"/>
      <c r="B954" s="21"/>
      <c r="C954" s="21"/>
      <c r="D954" s="21"/>
      <c r="E954" s="21"/>
      <c r="F954" s="21"/>
      <c r="G954" s="21"/>
      <c r="H954" s="21"/>
      <c r="I954" s="21"/>
      <c r="J954" s="21"/>
      <c r="K954" s="21"/>
      <c r="L954" s="21"/>
      <c r="M954" s="21"/>
      <c r="N954" s="21"/>
      <c r="O954" s="21"/>
      <c r="P954" s="21"/>
    </row>
    <row r="955">
      <c r="A955" s="21"/>
      <c r="B955" s="21"/>
      <c r="C955" s="21"/>
      <c r="D955" s="21"/>
      <c r="E955" s="21"/>
      <c r="F955" s="21"/>
      <c r="G955" s="21"/>
      <c r="H955" s="21"/>
      <c r="I955" s="21"/>
      <c r="J955" s="21"/>
      <c r="K955" s="21"/>
      <c r="L955" s="21"/>
      <c r="M955" s="21"/>
      <c r="N955" s="21"/>
      <c r="O955" s="21"/>
      <c r="P955" s="21"/>
    </row>
    <row r="956">
      <c r="A956" s="21"/>
      <c r="B956" s="21"/>
      <c r="C956" s="21"/>
      <c r="D956" s="21"/>
      <c r="E956" s="21"/>
      <c r="F956" s="21"/>
      <c r="G956" s="21"/>
      <c r="H956" s="21"/>
      <c r="I956" s="21"/>
      <c r="J956" s="21"/>
      <c r="K956" s="21"/>
      <c r="L956" s="21"/>
      <c r="M956" s="21"/>
      <c r="N956" s="21"/>
      <c r="O956" s="21"/>
      <c r="P956" s="21"/>
    </row>
    <row r="957">
      <c r="A957" s="21"/>
      <c r="B957" s="21"/>
      <c r="C957" s="21"/>
      <c r="D957" s="21"/>
      <c r="E957" s="21"/>
      <c r="F957" s="21"/>
      <c r="G957" s="21"/>
      <c r="H957" s="21"/>
      <c r="I957" s="21"/>
      <c r="J957" s="21"/>
      <c r="K957" s="21"/>
      <c r="L957" s="21"/>
      <c r="M957" s="21"/>
      <c r="N957" s="21"/>
      <c r="O957" s="21"/>
      <c r="P957" s="21"/>
    </row>
    <row r="958">
      <c r="A958" s="21"/>
      <c r="B958" s="21"/>
      <c r="C958" s="21"/>
      <c r="D958" s="21"/>
      <c r="E958" s="21"/>
      <c r="F958" s="21"/>
      <c r="G958" s="21"/>
      <c r="H958" s="21"/>
      <c r="I958" s="21"/>
      <c r="J958" s="21"/>
      <c r="K958" s="21"/>
      <c r="L958" s="21"/>
      <c r="M958" s="21"/>
      <c r="N958" s="21"/>
      <c r="O958" s="21"/>
      <c r="P958" s="21"/>
    </row>
    <row r="959">
      <c r="A959" s="21"/>
      <c r="B959" s="21"/>
      <c r="C959" s="21"/>
      <c r="D959" s="21"/>
      <c r="E959" s="21"/>
      <c r="F959" s="21"/>
      <c r="G959" s="21"/>
      <c r="H959" s="21"/>
      <c r="I959" s="21"/>
      <c r="J959" s="21"/>
      <c r="K959" s="21"/>
      <c r="L959" s="21"/>
      <c r="M959" s="21"/>
      <c r="N959" s="21"/>
      <c r="O959" s="21"/>
      <c r="P959" s="21"/>
    </row>
    <row r="960">
      <c r="A960" s="21"/>
      <c r="B960" s="21"/>
      <c r="C960" s="21"/>
      <c r="D960" s="21"/>
      <c r="E960" s="21"/>
      <c r="F960" s="21"/>
      <c r="G960" s="21"/>
      <c r="H960" s="21"/>
      <c r="I960" s="21"/>
      <c r="J960" s="21"/>
      <c r="K960" s="21"/>
      <c r="L960" s="21"/>
      <c r="M960" s="21"/>
      <c r="N960" s="21"/>
      <c r="O960" s="21"/>
      <c r="P960" s="21"/>
    </row>
    <row r="961">
      <c r="A961" s="21"/>
      <c r="B961" s="21"/>
      <c r="C961" s="21"/>
      <c r="D961" s="21"/>
      <c r="E961" s="21"/>
      <c r="F961" s="21"/>
      <c r="G961" s="21"/>
      <c r="H961" s="21"/>
      <c r="I961" s="21"/>
      <c r="J961" s="21"/>
      <c r="K961" s="21"/>
      <c r="L961" s="21"/>
      <c r="M961" s="21"/>
      <c r="N961" s="21"/>
      <c r="O961" s="21"/>
      <c r="P961" s="21"/>
    </row>
    <row r="962">
      <c r="A962" s="21"/>
      <c r="B962" s="21"/>
      <c r="C962" s="21"/>
      <c r="D962" s="21"/>
      <c r="E962" s="21"/>
      <c r="F962" s="21"/>
      <c r="G962" s="21"/>
      <c r="H962" s="21"/>
      <c r="I962" s="21"/>
      <c r="J962" s="21"/>
      <c r="K962" s="21"/>
      <c r="L962" s="21"/>
      <c r="M962" s="21"/>
      <c r="N962" s="21"/>
      <c r="O962" s="21"/>
      <c r="P962" s="21"/>
    </row>
    <row r="963">
      <c r="A963" s="21"/>
      <c r="B963" s="21"/>
      <c r="C963" s="21"/>
      <c r="D963" s="21"/>
      <c r="E963" s="21"/>
      <c r="F963" s="21"/>
      <c r="G963" s="21"/>
      <c r="H963" s="21"/>
      <c r="I963" s="21"/>
      <c r="J963" s="21"/>
      <c r="K963" s="21"/>
      <c r="L963" s="21"/>
      <c r="M963" s="21"/>
      <c r="N963" s="21"/>
      <c r="O963" s="21"/>
      <c r="P963" s="21"/>
    </row>
    <row r="964">
      <c r="A964" s="21"/>
      <c r="B964" s="21"/>
      <c r="C964" s="21"/>
      <c r="D964" s="21"/>
      <c r="E964" s="21"/>
      <c r="F964" s="21"/>
      <c r="G964" s="21"/>
      <c r="H964" s="21"/>
      <c r="I964" s="21"/>
      <c r="J964" s="21"/>
      <c r="K964" s="21"/>
      <c r="L964" s="21"/>
      <c r="M964" s="21"/>
      <c r="N964" s="21"/>
      <c r="O964" s="21"/>
      <c r="P964" s="21"/>
    </row>
    <row r="965">
      <c r="A965" s="21"/>
      <c r="B965" s="21"/>
      <c r="C965" s="21"/>
      <c r="D965" s="21"/>
      <c r="E965" s="21"/>
      <c r="F965" s="21"/>
      <c r="G965" s="21"/>
      <c r="H965" s="21"/>
      <c r="I965" s="21"/>
      <c r="J965" s="21"/>
      <c r="K965" s="21"/>
      <c r="L965" s="21"/>
      <c r="M965" s="21"/>
      <c r="N965" s="21"/>
      <c r="O965" s="21"/>
      <c r="P965" s="21"/>
    </row>
    <row r="966">
      <c r="A966" s="21"/>
      <c r="B966" s="21"/>
      <c r="C966" s="21"/>
      <c r="D966" s="21"/>
      <c r="E966" s="21"/>
      <c r="F966" s="21"/>
      <c r="G966" s="21"/>
      <c r="H966" s="21"/>
      <c r="I966" s="21"/>
      <c r="J966" s="21"/>
      <c r="K966" s="21"/>
      <c r="L966" s="21"/>
      <c r="M966" s="21"/>
      <c r="N966" s="21"/>
      <c r="O966" s="21"/>
      <c r="P966" s="21"/>
    </row>
    <row r="967">
      <c r="A967" s="21"/>
      <c r="B967" s="21"/>
      <c r="C967" s="21"/>
      <c r="D967" s="21"/>
      <c r="E967" s="21"/>
      <c r="F967" s="21"/>
      <c r="G967" s="21"/>
      <c r="H967" s="21"/>
      <c r="I967" s="21"/>
      <c r="J967" s="21"/>
      <c r="K967" s="21"/>
      <c r="L967" s="21"/>
      <c r="M967" s="21"/>
      <c r="N967" s="21"/>
      <c r="O967" s="21"/>
      <c r="P967" s="21"/>
    </row>
    <row r="968">
      <c r="A968" s="21"/>
      <c r="B968" s="21"/>
      <c r="C968" s="21"/>
      <c r="D968" s="21"/>
      <c r="E968" s="21"/>
      <c r="F968" s="21"/>
      <c r="G968" s="21"/>
      <c r="H968" s="21"/>
      <c r="I968" s="21"/>
      <c r="J968" s="21"/>
      <c r="K968" s="21"/>
      <c r="L968" s="21"/>
      <c r="M968" s="21"/>
      <c r="N968" s="21"/>
      <c r="O968" s="21"/>
      <c r="P968" s="21"/>
    </row>
    <row r="969">
      <c r="A969" s="21"/>
      <c r="B969" s="21"/>
      <c r="C969" s="21"/>
      <c r="D969" s="21"/>
      <c r="E969" s="21"/>
      <c r="F969" s="21"/>
      <c r="G969" s="21"/>
      <c r="H969" s="21"/>
      <c r="I969" s="21"/>
      <c r="J969" s="21"/>
      <c r="K969" s="21"/>
      <c r="L969" s="21"/>
      <c r="M969" s="21"/>
      <c r="N969" s="21"/>
      <c r="O969" s="21"/>
      <c r="P969" s="21"/>
    </row>
    <row r="970">
      <c r="A970" s="21"/>
      <c r="B970" s="21"/>
      <c r="C970" s="21"/>
      <c r="D970" s="21"/>
      <c r="E970" s="21"/>
      <c r="F970" s="21"/>
      <c r="G970" s="21"/>
      <c r="H970" s="21"/>
      <c r="I970" s="21"/>
      <c r="J970" s="21"/>
      <c r="K970" s="21"/>
      <c r="L970" s="21"/>
      <c r="M970" s="21"/>
      <c r="N970" s="21"/>
      <c r="O970" s="21"/>
      <c r="P970" s="21"/>
    </row>
    <row r="971">
      <c r="A971" s="21"/>
      <c r="B971" s="21"/>
      <c r="C971" s="21"/>
      <c r="D971" s="21"/>
      <c r="E971" s="21"/>
      <c r="F971" s="21"/>
      <c r="G971" s="21"/>
      <c r="H971" s="21"/>
      <c r="I971" s="21"/>
      <c r="J971" s="21"/>
      <c r="K971" s="21"/>
      <c r="L971" s="21"/>
      <c r="M971" s="21"/>
      <c r="N971" s="21"/>
      <c r="O971" s="21"/>
      <c r="P971" s="21"/>
    </row>
    <row r="972">
      <c r="A972" s="21"/>
      <c r="B972" s="21"/>
      <c r="C972" s="21"/>
      <c r="D972" s="21"/>
      <c r="E972" s="21"/>
      <c r="F972" s="21"/>
      <c r="G972" s="21"/>
      <c r="H972" s="21"/>
      <c r="I972" s="21"/>
      <c r="J972" s="21"/>
      <c r="K972" s="21"/>
      <c r="L972" s="21"/>
      <c r="M972" s="21"/>
      <c r="N972" s="21"/>
      <c r="O972" s="21"/>
      <c r="P972" s="21"/>
    </row>
    <row r="973">
      <c r="A973" s="21"/>
      <c r="B973" s="21"/>
      <c r="C973" s="21"/>
      <c r="D973" s="21"/>
      <c r="E973" s="21"/>
      <c r="F973" s="21"/>
      <c r="G973" s="21"/>
      <c r="H973" s="21"/>
      <c r="I973" s="21"/>
      <c r="J973" s="21"/>
      <c r="K973" s="21"/>
      <c r="L973" s="21"/>
      <c r="M973" s="21"/>
      <c r="N973" s="21"/>
      <c r="O973" s="21"/>
      <c r="P973" s="21"/>
    </row>
    <row r="974">
      <c r="A974" s="21"/>
      <c r="B974" s="21"/>
      <c r="C974" s="21"/>
      <c r="D974" s="21"/>
      <c r="E974" s="21"/>
      <c r="F974" s="21"/>
      <c r="G974" s="21"/>
      <c r="H974" s="21"/>
      <c r="I974" s="21"/>
      <c r="J974" s="21"/>
      <c r="K974" s="21"/>
      <c r="L974" s="21"/>
      <c r="M974" s="21"/>
      <c r="N974" s="21"/>
      <c r="O974" s="21"/>
      <c r="P974" s="21"/>
    </row>
    <row r="975">
      <c r="A975" s="21"/>
      <c r="B975" s="21"/>
      <c r="C975" s="21"/>
      <c r="D975" s="21"/>
      <c r="E975" s="21"/>
      <c r="F975" s="21"/>
      <c r="G975" s="21"/>
      <c r="H975" s="21"/>
      <c r="I975" s="21"/>
      <c r="J975" s="21"/>
      <c r="K975" s="21"/>
      <c r="L975" s="21"/>
      <c r="M975" s="21"/>
      <c r="N975" s="21"/>
      <c r="O975" s="21"/>
      <c r="P975" s="21"/>
    </row>
    <row r="976">
      <c r="A976" s="21"/>
      <c r="B976" s="21"/>
      <c r="C976" s="21"/>
      <c r="D976" s="21"/>
      <c r="E976" s="21"/>
      <c r="F976" s="21"/>
      <c r="G976" s="21"/>
      <c r="H976" s="21"/>
      <c r="I976" s="21"/>
      <c r="J976" s="21"/>
      <c r="K976" s="21"/>
      <c r="L976" s="21"/>
      <c r="M976" s="21"/>
      <c r="N976" s="21"/>
      <c r="O976" s="21"/>
      <c r="P976" s="21"/>
    </row>
    <row r="977">
      <c r="A977" s="21"/>
      <c r="B977" s="21"/>
      <c r="C977" s="21"/>
      <c r="D977" s="21"/>
      <c r="E977" s="21"/>
      <c r="F977" s="21"/>
      <c r="G977" s="21"/>
      <c r="H977" s="21"/>
      <c r="I977" s="21"/>
      <c r="J977" s="21"/>
      <c r="K977" s="21"/>
      <c r="L977" s="21"/>
      <c r="M977" s="21"/>
      <c r="N977" s="21"/>
      <c r="O977" s="21"/>
      <c r="P977" s="21"/>
    </row>
    <row r="978">
      <c r="A978" s="21"/>
      <c r="B978" s="21"/>
      <c r="C978" s="21"/>
      <c r="D978" s="21"/>
      <c r="E978" s="21"/>
      <c r="F978" s="21"/>
      <c r="G978" s="21"/>
      <c r="H978" s="21"/>
      <c r="I978" s="21"/>
      <c r="J978" s="21"/>
      <c r="K978" s="21"/>
      <c r="L978" s="21"/>
      <c r="M978" s="21"/>
      <c r="N978" s="21"/>
      <c r="O978" s="21"/>
      <c r="P978" s="21"/>
    </row>
    <row r="979">
      <c r="A979" s="21"/>
      <c r="B979" s="21"/>
      <c r="C979" s="21"/>
      <c r="D979" s="21"/>
      <c r="E979" s="21"/>
      <c r="F979" s="21"/>
      <c r="G979" s="21"/>
      <c r="H979" s="21"/>
      <c r="I979" s="21"/>
      <c r="J979" s="21"/>
      <c r="K979" s="21"/>
      <c r="L979" s="21"/>
      <c r="M979" s="21"/>
      <c r="N979" s="21"/>
      <c r="O979" s="21"/>
      <c r="P979" s="21"/>
    </row>
    <row r="980">
      <c r="A980" s="21"/>
      <c r="B980" s="21"/>
      <c r="C980" s="21"/>
      <c r="D980" s="21"/>
      <c r="E980" s="21"/>
      <c r="F980" s="21"/>
      <c r="G980" s="21"/>
      <c r="H980" s="21"/>
      <c r="I980" s="21"/>
      <c r="J980" s="21"/>
      <c r="K980" s="21"/>
      <c r="L980" s="21"/>
      <c r="M980" s="21"/>
      <c r="N980" s="21"/>
      <c r="O980" s="21"/>
      <c r="P980" s="21"/>
    </row>
    <row r="981">
      <c r="A981" s="21"/>
      <c r="B981" s="21"/>
      <c r="C981" s="21"/>
      <c r="D981" s="21"/>
      <c r="E981" s="21"/>
      <c r="F981" s="21"/>
      <c r="G981" s="21"/>
      <c r="H981" s="21"/>
      <c r="I981" s="21"/>
      <c r="J981" s="21"/>
      <c r="K981" s="21"/>
      <c r="L981" s="21"/>
      <c r="M981" s="21"/>
      <c r="N981" s="21"/>
      <c r="O981" s="21"/>
      <c r="P981" s="21"/>
    </row>
    <row r="982">
      <c r="A982" s="21"/>
      <c r="B982" s="21"/>
      <c r="C982" s="21"/>
      <c r="D982" s="21"/>
      <c r="E982" s="21"/>
      <c r="F982" s="21"/>
      <c r="G982" s="21"/>
      <c r="H982" s="21"/>
      <c r="I982" s="21"/>
      <c r="J982" s="21"/>
      <c r="K982" s="21"/>
      <c r="L982" s="21"/>
      <c r="M982" s="21"/>
      <c r="N982" s="21"/>
      <c r="O982" s="21"/>
      <c r="P982" s="21"/>
    </row>
    <row r="983">
      <c r="A983" s="21"/>
      <c r="B983" s="21"/>
      <c r="C983" s="21"/>
      <c r="D983" s="21"/>
      <c r="E983" s="21"/>
      <c r="F983" s="21"/>
      <c r="G983" s="21"/>
      <c r="H983" s="21"/>
      <c r="I983" s="21"/>
      <c r="J983" s="21"/>
      <c r="K983" s="21"/>
      <c r="L983" s="21"/>
      <c r="M983" s="21"/>
      <c r="N983" s="21"/>
      <c r="O983" s="21"/>
      <c r="P983" s="21"/>
    </row>
    <row r="984">
      <c r="A984" s="21"/>
      <c r="B984" s="21"/>
      <c r="C984" s="21"/>
      <c r="D984" s="21"/>
      <c r="E984" s="21"/>
      <c r="F984" s="21"/>
      <c r="G984" s="21"/>
      <c r="H984" s="21"/>
      <c r="I984" s="21"/>
      <c r="J984" s="21"/>
      <c r="K984" s="21"/>
      <c r="L984" s="21"/>
      <c r="M984" s="21"/>
      <c r="N984" s="21"/>
      <c r="O984" s="21"/>
      <c r="P984" s="21"/>
    </row>
    <row r="985">
      <c r="A985" s="21"/>
      <c r="B985" s="21"/>
      <c r="C985" s="21"/>
      <c r="D985" s="21"/>
      <c r="E985" s="21"/>
      <c r="F985" s="21"/>
      <c r="G985" s="21"/>
      <c r="H985" s="21"/>
      <c r="I985" s="21"/>
      <c r="J985" s="21"/>
      <c r="K985" s="21"/>
      <c r="L985" s="21"/>
      <c r="M985" s="21"/>
      <c r="N985" s="21"/>
      <c r="O985" s="21"/>
      <c r="P985" s="21"/>
    </row>
    <row r="986">
      <c r="A986" s="21"/>
      <c r="B986" s="21"/>
      <c r="C986" s="21"/>
      <c r="D986" s="21"/>
      <c r="E986" s="21"/>
      <c r="F986" s="21"/>
      <c r="G986" s="21"/>
      <c r="H986" s="21"/>
      <c r="I986" s="21"/>
      <c r="J986" s="21"/>
      <c r="K986" s="21"/>
      <c r="L986" s="21"/>
      <c r="M986" s="21"/>
      <c r="N986" s="21"/>
      <c r="O986" s="21"/>
      <c r="P986" s="21"/>
    </row>
    <row r="987">
      <c r="A987" s="21"/>
      <c r="B987" s="21"/>
      <c r="C987" s="21"/>
      <c r="D987" s="21"/>
      <c r="E987" s="21"/>
      <c r="F987" s="21"/>
      <c r="G987" s="21"/>
      <c r="H987" s="21"/>
      <c r="I987" s="21"/>
      <c r="J987" s="21"/>
      <c r="K987" s="21"/>
      <c r="L987" s="21"/>
      <c r="M987" s="21"/>
      <c r="N987" s="21"/>
      <c r="O987" s="21"/>
      <c r="P987" s="21"/>
    </row>
    <row r="988">
      <c r="A988" s="21"/>
      <c r="B988" s="21"/>
      <c r="C988" s="21"/>
      <c r="D988" s="21"/>
      <c r="E988" s="21"/>
      <c r="F988" s="21"/>
      <c r="G988" s="21"/>
      <c r="H988" s="21"/>
      <c r="I988" s="21"/>
      <c r="J988" s="21"/>
      <c r="K988" s="21"/>
      <c r="L988" s="21"/>
      <c r="M988" s="21"/>
      <c r="N988" s="21"/>
      <c r="O988" s="21"/>
      <c r="P988" s="21"/>
    </row>
    <row r="989">
      <c r="A989" s="21"/>
      <c r="B989" s="21"/>
      <c r="C989" s="21"/>
      <c r="D989" s="21"/>
      <c r="E989" s="21"/>
      <c r="F989" s="21"/>
      <c r="G989" s="21"/>
      <c r="H989" s="21"/>
      <c r="I989" s="21"/>
      <c r="J989" s="21"/>
      <c r="K989" s="21"/>
      <c r="L989" s="21"/>
      <c r="M989" s="21"/>
      <c r="N989" s="21"/>
      <c r="O989" s="21"/>
      <c r="P989" s="21"/>
    </row>
    <row r="990">
      <c r="A990" s="21"/>
      <c r="B990" s="21"/>
      <c r="C990" s="21"/>
      <c r="D990" s="21"/>
      <c r="E990" s="21"/>
      <c r="F990" s="21"/>
      <c r="G990" s="21"/>
      <c r="H990" s="21"/>
      <c r="I990" s="21"/>
      <c r="J990" s="21"/>
      <c r="K990" s="21"/>
      <c r="L990" s="21"/>
      <c r="M990" s="21"/>
      <c r="N990" s="21"/>
      <c r="O990" s="21"/>
      <c r="P990" s="21"/>
    </row>
    <row r="991">
      <c r="A991" s="21"/>
      <c r="B991" s="21"/>
      <c r="C991" s="21"/>
      <c r="D991" s="21"/>
      <c r="E991" s="21"/>
      <c r="F991" s="21"/>
      <c r="G991" s="21"/>
      <c r="H991" s="21"/>
      <c r="I991" s="21"/>
      <c r="J991" s="21"/>
      <c r="K991" s="21"/>
      <c r="L991" s="21"/>
      <c r="M991" s="21"/>
      <c r="N991" s="21"/>
      <c r="O991" s="21"/>
      <c r="P991" s="21"/>
    </row>
    <row r="992">
      <c r="A992" s="21"/>
      <c r="B992" s="21"/>
      <c r="C992" s="21"/>
      <c r="D992" s="21"/>
      <c r="E992" s="21"/>
      <c r="F992" s="21"/>
      <c r="G992" s="21"/>
      <c r="H992" s="21"/>
      <c r="I992" s="21"/>
      <c r="J992" s="21"/>
      <c r="K992" s="21"/>
      <c r="L992" s="21"/>
      <c r="M992" s="21"/>
      <c r="N992" s="21"/>
      <c r="O992" s="21"/>
      <c r="P992" s="21"/>
    </row>
    <row r="993">
      <c r="A993" s="21"/>
      <c r="B993" s="21"/>
      <c r="C993" s="21"/>
      <c r="D993" s="21"/>
      <c r="E993" s="21"/>
      <c r="F993" s="21"/>
      <c r="G993" s="21"/>
      <c r="H993" s="21"/>
      <c r="I993" s="21"/>
      <c r="J993" s="21"/>
      <c r="K993" s="21"/>
      <c r="L993" s="21"/>
      <c r="M993" s="21"/>
      <c r="N993" s="21"/>
      <c r="O993" s="21"/>
      <c r="P993" s="21"/>
    </row>
    <row r="994">
      <c r="A994" s="21"/>
      <c r="B994" s="21"/>
      <c r="C994" s="21"/>
      <c r="D994" s="21"/>
      <c r="E994" s="21"/>
      <c r="F994" s="21"/>
      <c r="G994" s="21"/>
      <c r="H994" s="21"/>
      <c r="I994" s="21"/>
      <c r="J994" s="21"/>
      <c r="K994" s="21"/>
      <c r="L994" s="21"/>
      <c r="M994" s="21"/>
      <c r="N994" s="21"/>
      <c r="O994" s="21"/>
      <c r="P994" s="21"/>
    </row>
    <row r="995">
      <c r="A995" s="21"/>
      <c r="B995" s="21"/>
      <c r="C995" s="21"/>
      <c r="D995" s="21"/>
      <c r="E995" s="21"/>
      <c r="F995" s="21"/>
      <c r="G995" s="21"/>
      <c r="H995" s="21"/>
      <c r="I995" s="21"/>
      <c r="J995" s="21"/>
      <c r="K995" s="21"/>
      <c r="L995" s="21"/>
      <c r="M995" s="21"/>
      <c r="N995" s="21"/>
      <c r="O995" s="21"/>
      <c r="P995" s="21"/>
    </row>
    <row r="996">
      <c r="A996" s="21"/>
      <c r="B996" s="21"/>
      <c r="C996" s="21"/>
      <c r="D996" s="21"/>
      <c r="E996" s="21"/>
      <c r="F996" s="21"/>
      <c r="G996" s="21"/>
      <c r="H996" s="21"/>
      <c r="I996" s="21"/>
      <c r="J996" s="21"/>
      <c r="K996" s="21"/>
      <c r="L996" s="21"/>
      <c r="M996" s="21"/>
      <c r="N996" s="21"/>
      <c r="O996" s="21"/>
      <c r="P996" s="21"/>
    </row>
    <row r="997">
      <c r="A997" s="21"/>
      <c r="B997" s="21"/>
      <c r="C997" s="21"/>
      <c r="D997" s="21"/>
      <c r="E997" s="21"/>
      <c r="F997" s="21"/>
      <c r="G997" s="21"/>
      <c r="H997" s="21"/>
      <c r="I997" s="21"/>
      <c r="J997" s="21"/>
      <c r="K997" s="21"/>
      <c r="L997" s="21"/>
      <c r="M997" s="21"/>
      <c r="N997" s="21"/>
      <c r="O997" s="21"/>
      <c r="P997" s="21"/>
    </row>
    <row r="998">
      <c r="A998" s="21"/>
      <c r="B998" s="21"/>
      <c r="C998" s="21"/>
      <c r="D998" s="21"/>
      <c r="E998" s="21"/>
      <c r="F998" s="21"/>
      <c r="G998" s="21"/>
      <c r="H998" s="21"/>
      <c r="I998" s="21"/>
      <c r="J998" s="21"/>
      <c r="K998" s="21"/>
      <c r="L998" s="21"/>
      <c r="M998" s="21"/>
      <c r="N998" s="21"/>
      <c r="O998" s="21"/>
      <c r="P998" s="21"/>
    </row>
    <row r="999">
      <c r="A999" s="21"/>
      <c r="B999" s="21"/>
      <c r="C999" s="21"/>
      <c r="D999" s="21"/>
      <c r="E999" s="21"/>
      <c r="F999" s="21"/>
      <c r="G999" s="21"/>
      <c r="H999" s="21"/>
      <c r="I999" s="21"/>
      <c r="J999" s="21"/>
      <c r="K999" s="21"/>
      <c r="L999" s="21"/>
      <c r="M999" s="21"/>
      <c r="N999" s="21"/>
      <c r="O999" s="21"/>
      <c r="P999" s="21"/>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5" width="12.75"/>
    <col customWidth="1" min="9" max="11" width="12.75"/>
  </cols>
  <sheetData>
    <row r="1">
      <c r="A1" s="1" t="s">
        <v>0</v>
      </c>
      <c r="B1" s="20" t="s">
        <v>1</v>
      </c>
      <c r="C1" s="20" t="s">
        <v>2</v>
      </c>
      <c r="D1" s="20" t="s">
        <v>3</v>
      </c>
      <c r="E1" s="20" t="s">
        <v>4</v>
      </c>
      <c r="F1" s="2"/>
      <c r="G1" s="2"/>
      <c r="H1" s="29"/>
      <c r="I1" s="20" t="s">
        <v>5</v>
      </c>
      <c r="J1" s="20" t="s">
        <v>6</v>
      </c>
      <c r="K1" s="20" t="s">
        <v>7</v>
      </c>
      <c r="L1" s="20" t="s">
        <v>4</v>
      </c>
      <c r="M1" s="22"/>
      <c r="N1" s="22"/>
      <c r="O1" s="22"/>
      <c r="P1" s="22"/>
      <c r="Q1" s="2"/>
      <c r="R1" s="2"/>
      <c r="S1" s="2"/>
      <c r="T1" s="2"/>
      <c r="U1" s="2"/>
      <c r="V1" s="2"/>
      <c r="W1" s="2"/>
      <c r="X1" s="2"/>
      <c r="Y1" s="2"/>
      <c r="Z1" s="2"/>
      <c r="AA1" s="2"/>
      <c r="AB1" s="2"/>
    </row>
    <row r="2">
      <c r="A2" s="30">
        <v>1.0</v>
      </c>
      <c r="B2" s="24" t="s">
        <v>851</v>
      </c>
      <c r="C2" s="24" t="s">
        <v>852</v>
      </c>
      <c r="D2" s="24" t="s">
        <v>853</v>
      </c>
      <c r="E2" s="24" t="s">
        <v>854</v>
      </c>
      <c r="F2" s="2"/>
      <c r="G2" s="2"/>
      <c r="H2" s="31"/>
      <c r="I2" s="24" t="str">
        <f>IFERROR(__xludf.DUMMYFUNCTION("GOOGLETRANSLATE(B2, ""en"", ""zh"")"),"在一场职业毽子比赛中，A选手和B选手进行五局三胜制的比赛。如果A选手赢了三局，B选手赢了两局，那么比赛的最终比分是多少？")</f>
        <v>在一场职业毽子比赛中，A选手和B选手进行五局三胜制的比赛。如果A选手赢了三局，B选手赢了两局，那么比赛的最终比分是多少？</v>
      </c>
      <c r="J2" s="24" t="str">
        <f>IFERROR(__xludf.DUMMYFUNCTION("GOOGLETRANSLATE(C2, ""en"", ""zh"")"),"A) A 选手 3-2 获胜，B) B 选手 3-2 获胜，C) 比赛仍在进行中，D) 比赛平局")</f>
        <v>A) A 选手 3-2 获胜，B) B 选手 3-2 获胜，C) 比赛仍在进行中，D) 比赛平局</v>
      </c>
      <c r="K2" s="24" t="str">
        <f>IFERROR(__xludf.DUMMYFUNCTION("GOOGLETRANSLATE(D2, ""en"", ""zh"")"),"A) A 玩家 3-2 获胜")</f>
        <v>A) A 玩家 3-2 获胜</v>
      </c>
      <c r="L2" s="24" t="str">
        <f>IFERROR(__xludf.DUMMYFUNCTION("GOOGLETRANSLATE(E2, ""en"", ""zh"")"),"在五局三胜制的比赛中，先赢得三局的选手获胜。由于A选手赢了三局，B选手赢了两局，所以A选手以3比2获胜。")</f>
        <v>在五局三胜制的比赛中，先赢得三局的选手获胜。由于A选手赢了三局，B选手赢了两局，所以A选手以3比2获胜。</v>
      </c>
      <c r="M2" s="22"/>
      <c r="N2" s="22"/>
      <c r="O2" s="22"/>
      <c r="P2" s="22"/>
      <c r="Q2" s="2"/>
      <c r="R2" s="2"/>
      <c r="S2" s="2"/>
      <c r="T2" s="2"/>
      <c r="U2" s="2"/>
      <c r="V2" s="2"/>
      <c r="W2" s="2"/>
      <c r="X2" s="2"/>
      <c r="Y2" s="2"/>
      <c r="Z2" s="2"/>
      <c r="AA2" s="2"/>
      <c r="AB2" s="2"/>
    </row>
    <row r="3">
      <c r="A3" s="30">
        <v>2.0</v>
      </c>
      <c r="B3" s="24" t="s">
        <v>855</v>
      </c>
      <c r="C3" s="24" t="s">
        <v>856</v>
      </c>
      <c r="D3" s="24" t="s">
        <v>857</v>
      </c>
      <c r="E3" s="24" t="s">
        <v>858</v>
      </c>
      <c r="F3" s="2"/>
      <c r="G3" s="2"/>
      <c r="H3" s="31"/>
      <c r="I3" s="24" t="str">
        <f>IFERROR(__xludf.DUMMYFUNCTION("GOOGLETRANSLATE(B3, ""en"", ""zh"")"),"在毽子比赛中，X选手在空中保持毽子15秒，同时进行一系列的翻转和踢腿动作。根据官方规则，X选手应该被判什么？")</f>
        <v>在毽子比赛中，X选手在空中保持毽子15秒，同时进行一系列的翻转和踢腿动作。根据官方规则，X选手应该被判什么？</v>
      </c>
      <c r="J3" s="24" t="str">
        <f>IFERROR(__xludf.DUMMYFUNCTION("GOOGLETRANSLATE(C3, ""en"", ""zh"")"),"A) 触地犯规，B) 成功一轮，C) 非法动作，D) 超时")</f>
        <v>A) 触地犯规，B) 成功一轮，C) 非法动作，D) 超时</v>
      </c>
      <c r="K3" s="24" t="str">
        <f>IFERROR(__xludf.DUMMYFUNCTION("GOOGLETRANSLATE(D3, ""en"", ""zh"")"),"B) 一轮成功的比赛")</f>
        <v>B) 一轮成功的比赛</v>
      </c>
      <c r="L3" s="24" t="str">
        <f>IFERROR(__xludf.DUMMYFUNCTION("GOOGLETRANSLATE(E3, ""en"", ""zh"")"),"在毽子中，只要技术正确、没有失误，使毽子在空中停留较长时间，就算成功一局。")</f>
        <v>在毽子中，只要技术正确、没有失误，使毽子在空中停留较长时间，就算成功一局。</v>
      </c>
      <c r="M3" s="22"/>
      <c r="N3" s="22"/>
      <c r="O3" s="22"/>
      <c r="P3" s="22"/>
      <c r="Q3" s="2"/>
      <c r="R3" s="2"/>
      <c r="S3" s="2"/>
      <c r="T3" s="2"/>
      <c r="U3" s="2"/>
      <c r="V3" s="2"/>
      <c r="W3" s="2"/>
      <c r="X3" s="2"/>
      <c r="Y3" s="2"/>
      <c r="Z3" s="2"/>
      <c r="AA3" s="2"/>
      <c r="AB3" s="2"/>
    </row>
    <row r="4">
      <c r="A4" s="30">
        <v>3.0</v>
      </c>
      <c r="B4" s="24" t="s">
        <v>859</v>
      </c>
      <c r="C4" s="24" t="s">
        <v>860</v>
      </c>
      <c r="D4" s="24" t="s">
        <v>861</v>
      </c>
      <c r="E4" s="24" t="s">
        <v>862</v>
      </c>
      <c r="F4" s="2"/>
      <c r="G4" s="2"/>
      <c r="H4" s="31"/>
      <c r="I4" s="24" t="str">
        <f>IFERROR(__xludf.DUMMYFUNCTION("GOOGLETRANSLATE(B4, ""en"", ""zh"")"),"A选手在毽子比赛中表演了一系列花哨的技巧，但毽子始终无法在空中停留超过3秒。接下来会发生什么？")</f>
        <v>A选手在毽子比赛中表演了一系列花哨的技巧，但毽子始终无法在空中停留超过3秒。接下来会发生什么？</v>
      </c>
      <c r="J4" s="24" t="str">
        <f>IFERROR(__xludf.DUMMYFUNCTION("GOOGLETRANSLATE(C4, ""en"", ""zh"")"),"A) 玩家 A 赢得该回合，B) 玩家 A 输掉该回合，C) 该回合重赛，D) 玩家 B 赢得该回合")</f>
        <v>A) 玩家 A 赢得该回合，B) 玩家 A 输掉该回合，C) 该回合重赛，D) 玩家 B 赢得该回合</v>
      </c>
      <c r="K4" s="24" t="str">
        <f>IFERROR(__xludf.DUMMYFUNCTION("GOOGLETRANSLATE(D4, ""en"", ""zh"")"),"B) A玩家输掉本轮")</f>
        <v>B) A玩家输掉本轮</v>
      </c>
      <c r="L4" s="24" t="str">
        <f>IFERROR(__xludf.DUMMYFUNCTION("GOOGLETRANSLATE(E4, ""en"", ""zh"")"),"在毽子比赛中，保持毽子在空中停留一段合理的时间至关重要。如果做不到这一点，就会输掉这一局。")</f>
        <v>在毽子比赛中，保持毽子在空中停留一段合理的时间至关重要。如果做不到这一点，就会输掉这一局。</v>
      </c>
      <c r="M4" s="22"/>
      <c r="N4" s="22"/>
      <c r="O4" s="22"/>
      <c r="P4" s="22"/>
      <c r="Q4" s="2"/>
      <c r="R4" s="2"/>
      <c r="S4" s="2"/>
      <c r="T4" s="2"/>
      <c r="U4" s="2"/>
      <c r="V4" s="2"/>
      <c r="W4" s="2"/>
      <c r="X4" s="2"/>
      <c r="Y4" s="2"/>
      <c r="Z4" s="2"/>
      <c r="AA4" s="2"/>
      <c r="AB4" s="2"/>
    </row>
    <row r="5">
      <c r="A5" s="30">
        <v>4.0</v>
      </c>
      <c r="B5" s="24" t="s">
        <v>863</v>
      </c>
      <c r="C5" s="24" t="s">
        <v>864</v>
      </c>
      <c r="D5" s="24" t="s">
        <v>865</v>
      </c>
      <c r="E5" s="24" t="s">
        <v>866</v>
      </c>
      <c r="F5" s="2"/>
      <c r="G5" s="2"/>
      <c r="H5" s="31"/>
      <c r="I5" s="24" t="str">
        <f>IFERROR(__xludf.DUMMYFUNCTION("GOOGLETRANSLATE(B5, ""en"", ""zh"")"),"在一场毽子比赛中，A选手和B选手在整场比赛中实力相当。如果他们在最后一轮打成平手，会发生什么？")</f>
        <v>在一场毽子比赛中，A选手和B选手在整场比赛中实力相当。如果他们在最后一轮打成平手，会发生什么？</v>
      </c>
      <c r="J5" s="24" t="str">
        <f>IFERROR(__xludf.DUMMYFUNCTION("GOOGLETRANSLATE(C5, ""en"", ""zh"")"),"A) 比赛平局，B) 比赛进入加时赛，C) A 选手不战而胜，D) B 选手不战而胜。")</f>
        <v>A) 比赛平局，B) 比赛进入加时赛，C) A 选手不战而胜，D) B 选手不战而胜。</v>
      </c>
      <c r="K5" s="24" t="str">
        <f>IFERROR(__xludf.DUMMYFUNCTION("GOOGLETRANSLATE(D5, ""en"", ""zh"")"),"B) 比赛进入突然死亡阶段")</f>
        <v>B) 比赛进入突然死亡阶段</v>
      </c>
      <c r="L5" s="24" t="str">
        <f>IFERROR(__xludf.DUMMYFUNCTION("GOOGLETRANSLATE(E5, ""en"", ""zh"")"),"在许多竞技剑子比赛中，最后一轮出现平局时，将进行加赛决胜局以决出胜负。")</f>
        <v>在许多竞技剑子比赛中，最后一轮出现平局时，将进行加赛决胜局以决出胜负。</v>
      </c>
      <c r="M5" s="22"/>
      <c r="N5" s="22"/>
      <c r="O5" s="22"/>
      <c r="P5" s="22"/>
      <c r="Q5" s="2"/>
      <c r="R5" s="2"/>
      <c r="S5" s="2"/>
      <c r="T5" s="2"/>
      <c r="U5" s="2"/>
      <c r="V5" s="2"/>
      <c r="W5" s="2"/>
      <c r="X5" s="2"/>
      <c r="Y5" s="2"/>
      <c r="Z5" s="2"/>
      <c r="AA5" s="2"/>
      <c r="AB5" s="2"/>
    </row>
    <row r="6">
      <c r="A6" s="30">
        <v>5.0</v>
      </c>
      <c r="B6" s="24" t="s">
        <v>867</v>
      </c>
      <c r="C6" s="24" t="s">
        <v>868</v>
      </c>
      <c r="D6" s="24" t="s">
        <v>869</v>
      </c>
      <c r="E6" s="24" t="s">
        <v>870</v>
      </c>
      <c r="F6" s="2"/>
      <c r="G6" s="2"/>
      <c r="H6" s="31"/>
      <c r="I6" s="24" t="str">
        <f>IFERROR(__xludf.DUMMYFUNCTION("GOOGLETRANSLATE(B6, ""en"", ""zh"")"),"X选手因在毽子比赛中使用违例物品而被取消比赛资格。X选手最有可能使用了什么物品？")</f>
        <v>X选手因在毽子比赛中使用违例物品而被取消比赛资格。X选手最有可能使用了什么物品？</v>
      </c>
      <c r="J6" s="24" t="str">
        <f>IFERROR(__xludf.DUMMYFUNCTION("GOOGLETRANSLATE(C6, ""en"", ""zh"")"),"A) 软塑料球，B) 加重羽毛球，C) 木棍，D) 石球")</f>
        <v>A) 软塑料球，B) 加重羽毛球，C) 木棍，D) 石球</v>
      </c>
      <c r="K6" s="24" t="str">
        <f>IFERROR(__xludf.DUMMYFUNCTION("GOOGLETRANSLATE(D6, ""en"", ""zh"")"),"B) 加重羽毛球")</f>
        <v>B) 加重羽毛球</v>
      </c>
      <c r="L6" s="24" t="str">
        <f>IFERROR(__xludf.DUMMYFUNCTION("GOOGLETRANSLATE(E6, ""en"", ""zh"")"),"毽子比赛中，球员必须使用标准毽子。使用加重毽子是违规的，因为它会改变毽子的飞行轨迹，影响比赛的公平性。")</f>
        <v>毽子比赛中，球员必须使用标准毽子。使用加重毽子是违规的，因为它会改变毽子的飞行轨迹，影响比赛的公平性。</v>
      </c>
      <c r="M6" s="22"/>
      <c r="N6" s="21"/>
      <c r="O6" s="22"/>
      <c r="P6" s="22"/>
      <c r="Q6" s="2"/>
      <c r="R6" s="2"/>
      <c r="S6" s="2"/>
      <c r="T6" s="2"/>
      <c r="U6" s="2"/>
      <c r="V6" s="2"/>
      <c r="W6" s="2"/>
      <c r="X6" s="2"/>
      <c r="Y6" s="2"/>
      <c r="Z6" s="2"/>
      <c r="AA6" s="2"/>
      <c r="AB6" s="2"/>
    </row>
    <row r="7">
      <c r="A7" s="30">
        <v>6.0</v>
      </c>
      <c r="B7" s="24" t="s">
        <v>871</v>
      </c>
      <c r="C7" s="24" t="s">
        <v>872</v>
      </c>
      <c r="D7" s="24" t="s">
        <v>873</v>
      </c>
      <c r="E7" s="24" t="s">
        <v>874</v>
      </c>
      <c r="F7" s="2"/>
      <c r="G7" s="2"/>
      <c r="H7" s="32"/>
      <c r="I7" s="24" t="str">
        <f>IFERROR(__xludf.DUMMYFUNCTION("GOOGLETRANSLATE(B7, ""en"", ""zh"")"),"如果球员 Y 表演了一个惊人的技巧，他抛接羽毛球并完成多次旋转而不触地，裁判应该主要考虑什么？")</f>
        <v>如果球员 Y 表演了一个惊人的技巧，他抛接羽毛球并完成多次旋转而不触地，裁判应该主要考虑什么？</v>
      </c>
      <c r="J7" s="24" t="str">
        <f>IFERROR(__xludf.DUMMYFUNCTION("GOOGLETRANSLATE(C7, ""en"", ""zh"")"),"A) 技巧的风格和复杂程度，B) 羽毛球是否在空中停留，C) 动作速度，D) 球员服装的外观")</f>
        <v>A) 技巧的风格和复杂程度，B) 羽毛球是否在空中停留，C) 动作速度，D) 球员服装的外观</v>
      </c>
      <c r="K7" s="24" t="str">
        <f>IFERROR(__xludf.DUMMYFUNCTION("GOOGLETRANSLATE(D7, ""en"", ""zh"")"),"B) 羽毛球是否继续在空中飞行")</f>
        <v>B) 羽毛球是否继续在空中飞行</v>
      </c>
      <c r="L7" s="24" t="str">
        <f>IFERROR(__xludf.DUMMYFUNCTION("GOOGLETRANSLATE(E7, ""en"", ""zh"")"),"毽子最重要的在于毽子能否保持在空中。技巧和复杂程度都次于控球的基本能力。")</f>
        <v>毽子最重要的在于毽子能否保持在空中。技巧和复杂程度都次于控球的基本能力。</v>
      </c>
      <c r="M7" s="22"/>
      <c r="N7" s="22"/>
      <c r="O7" s="22"/>
      <c r="P7" s="22"/>
      <c r="Q7" s="2"/>
      <c r="R7" s="2"/>
      <c r="S7" s="2"/>
      <c r="T7" s="2"/>
      <c r="U7" s="2"/>
      <c r="V7" s="2"/>
      <c r="W7" s="2"/>
      <c r="X7" s="2"/>
      <c r="Y7" s="2"/>
      <c r="Z7" s="2"/>
      <c r="AA7" s="2"/>
      <c r="AB7" s="2"/>
    </row>
    <row r="8">
      <c r="A8" s="30">
        <v>7.0</v>
      </c>
      <c r="B8" s="24" t="s">
        <v>875</v>
      </c>
      <c r="C8" s="24" t="s">
        <v>876</v>
      </c>
      <c r="D8" s="24" t="s">
        <v>877</v>
      </c>
      <c r="E8" s="24" t="s">
        <v>878</v>
      </c>
      <c r="F8" s="2"/>
      <c r="G8" s="2"/>
      <c r="H8" s="31"/>
      <c r="I8" s="24" t="str">
        <f>IFERROR(__xludf.DUMMYFUNCTION("GOOGLETRANSLATE(B8, ""en"", ""zh"")"),"在一场竞技毽子比赛中，A选手和B选手在观众面前比赛。当A选手使出一连串踢腿动作时，观众们分神并大声欢呼。在这种情况下，裁判的角色是什么？")</f>
        <v>在一场竞技毽子比赛中，A选手和B选手在观众面前比赛。当A选手使出一连串踢腿动作时，观众们分神并大声欢呼。在这种情况下，裁判的角色是什么？</v>
      </c>
      <c r="J8" s="24" t="str">
        <f>IFERROR(__xludf.DUMMYFUNCTION("GOOGLETRANSLATE(C8, ""en"", ""zh"")"),"A) 暂停比赛，直到观众安静下来；B) 对球员A的干扰行为进行处罚；C) 无视观众，继续比赛；D) 要求重赛。")</f>
        <v>A) 暂停比赛，直到观众安静下来；B) 对球员A的干扰行为进行处罚；C) 无视观众，继续比赛；D) 要求重赛。</v>
      </c>
      <c r="K8" s="24" t="str">
        <f>IFERROR(__xludf.DUMMYFUNCTION("GOOGLETRANSLATE(D8, ""en"", ""zh"")"),"C) 无视观众，继续比赛")</f>
        <v>C) 无视观众，继续比赛</v>
      </c>
      <c r="L8" s="24" t="str">
        <f>IFERROR(__xludf.DUMMYFUNCTION("GOOGLETRANSLATE(E8, ""en"", ""zh"")"),"在竞技毽子比赛中，诸如欢呼声之类的外界干扰不应影响比赛进行。只要遵守规则，裁判就会允许比赛继续进行。")</f>
        <v>在竞技毽子比赛中，诸如欢呼声之类的外界干扰不应影响比赛进行。只要遵守规则，裁判就会允许比赛继续进行。</v>
      </c>
      <c r="M8" s="22"/>
      <c r="N8" s="22"/>
      <c r="O8" s="22"/>
      <c r="P8" s="21"/>
      <c r="Q8" s="2"/>
      <c r="R8" s="2"/>
      <c r="S8" s="2"/>
      <c r="T8" s="2"/>
      <c r="U8" s="2"/>
      <c r="V8" s="2"/>
      <c r="W8" s="2"/>
      <c r="X8" s="2"/>
      <c r="Y8" s="2"/>
      <c r="Z8" s="2"/>
      <c r="AA8" s="2"/>
      <c r="AB8" s="2"/>
    </row>
    <row r="9">
      <c r="A9" s="30">
        <v>8.0</v>
      </c>
      <c r="B9" s="24" t="s">
        <v>879</v>
      </c>
      <c r="C9" s="24" t="s">
        <v>880</v>
      </c>
      <c r="D9" s="24" t="s">
        <v>881</v>
      </c>
      <c r="E9" s="24" t="s">
        <v>882</v>
      </c>
      <c r="F9" s="2"/>
      <c r="G9" s="2"/>
      <c r="H9" s="32"/>
      <c r="I9" s="24" t="str">
        <f>IFERROR(__xludf.DUMMYFUNCTION("GOOGLETRANSLATE(B9, ""en"", ""zh"")"),"在毽子比赛中，A选手和B选手正在比赛。如果A选手用旋转动作踢毽子，毽子正好落在对方半场，比赛结果如何？")</f>
        <v>在毽子比赛中，A选手和B选手正在比赛。如果A选手用旋转动作踢毽子，毽子正好落在对方半场，比赛结果如何？</v>
      </c>
      <c r="J9" s="24" t="str">
        <f>IFERROR(__xludf.DUMMYFUNCTION("GOOGLETRANSLATE(C9, ""en"", ""zh"")"),"A) B玩家赢得该回合，B) A玩家赢得该回合，C) 该回合重赛，D) A玩家收到警告")</f>
        <v>A) B玩家赢得该回合，B) A玩家赢得该回合，C) 该回合重赛，D) A玩家收到警告</v>
      </c>
      <c r="K9" s="24" t="str">
        <f>IFERROR(__xludf.DUMMYFUNCTION("GOOGLETRANSLATE(D9, ""en"", ""zh"")"),"B) A玩家赢得该回合")</f>
        <v>B) A玩家赢得该回合</v>
      </c>
      <c r="L9" s="24" t="str">
        <f>IFERROR(__xludf.DUMMYFUNCTION("GOOGLETRANSLATE(E9, ""en"", ""zh"")"),"在毽子中，如果一名球员将毽子落入对方半场，并且技术正确，则该球员赢得该局。")</f>
        <v>在毽子中，如果一名球员将毽子落入对方半场，并且技术正确，则该球员赢得该局。</v>
      </c>
      <c r="M9" s="22"/>
      <c r="N9" s="22"/>
      <c r="O9" s="22"/>
      <c r="P9" s="22"/>
      <c r="Q9" s="2"/>
      <c r="R9" s="2"/>
      <c r="S9" s="2"/>
      <c r="T9" s="2"/>
      <c r="U9" s="2"/>
      <c r="V9" s="2"/>
      <c r="W9" s="2"/>
      <c r="X9" s="2"/>
      <c r="Y9" s="2"/>
      <c r="Z9" s="2"/>
      <c r="AA9" s="2"/>
      <c r="AB9" s="2"/>
    </row>
    <row r="10">
      <c r="A10" s="30">
        <v>9.0</v>
      </c>
      <c r="B10" s="24" t="s">
        <v>883</v>
      </c>
      <c r="C10" s="24" t="s">
        <v>884</v>
      </c>
      <c r="D10" s="24" t="s">
        <v>885</v>
      </c>
      <c r="E10" s="24" t="s">
        <v>886</v>
      </c>
      <c r="F10" s="2"/>
      <c r="G10" s="2"/>
      <c r="H10" s="31"/>
      <c r="I10" s="24" t="str">
        <f>IFERROR(__xludf.DUMMYFUNCTION("GOOGLETRANSLATE(B10, ""en"", ""zh"")"),"在毽子比赛中，C选手正在进行一系列流畅而有控制的踢球动作，但不小心让毽子落地了。结果如何？")</f>
        <v>在毽子比赛中，C选手正在进行一系列流畅而有控制的踢球动作，但不小心让毽子落地了。结果如何？</v>
      </c>
      <c r="J10" s="24" t="str">
        <f>IFERROR(__xludf.DUMMYFUNCTION("GOOGLETRANSLATE(C10, ""en"", ""zh"")"),"A) C选手输掉该回合，B) C选手赢得该回合，C) 该回合重新开始，D) C选手被取消资格")</f>
        <v>A) C选手输掉该回合，B) C选手赢得该回合，C) 该回合重新开始，D) C选手被取消资格</v>
      </c>
      <c r="K10" s="24" t="str">
        <f>IFERROR(__xludf.DUMMYFUNCTION("GOOGLETRANSLATE(D10, ""en"", ""zh"")"),"A) C玩家输掉本轮")</f>
        <v>A) C玩家输掉本轮</v>
      </c>
      <c r="L10" s="24" t="str">
        <f>IFERROR(__xludf.DUMMYFUNCTION("GOOGLETRANSLATE(E10, ""en"", ""zh"")"),"根据毽子规则，如果毽子触地，该球员自动输掉这一局。")</f>
        <v>根据毽子规则，如果毽子触地，该球员自动输掉这一局。</v>
      </c>
      <c r="M10" s="22"/>
      <c r="N10" s="22"/>
      <c r="O10" s="22"/>
      <c r="P10" s="21"/>
      <c r="Q10" s="2"/>
      <c r="R10" s="2"/>
      <c r="S10" s="2"/>
      <c r="T10" s="2"/>
      <c r="U10" s="2"/>
      <c r="V10" s="2"/>
      <c r="W10" s="2"/>
      <c r="X10" s="2"/>
      <c r="Y10" s="2"/>
      <c r="Z10" s="2"/>
      <c r="AA10" s="2"/>
      <c r="AB10" s="2"/>
    </row>
    <row r="11">
      <c r="A11" s="30">
        <v>10.0</v>
      </c>
      <c r="B11" s="24" t="s">
        <v>887</v>
      </c>
      <c r="C11" s="24" t="s">
        <v>888</v>
      </c>
      <c r="D11" s="24" t="s">
        <v>889</v>
      </c>
      <c r="E11" s="24" t="s">
        <v>890</v>
      </c>
      <c r="F11" s="2"/>
      <c r="G11" s="2"/>
      <c r="H11" s="31"/>
      <c r="I11" s="24" t="str">
        <f>IFERROR(__xludf.DUMMYFUNCTION("GOOGLETRANSLATE(B11, ""en"", ""zh"")"),"D选手正在表演一个花式动作，他不用手就能将羽毛球踢过头顶。根据毽子的规则，这个动作属于什么动作？")</f>
        <v>D选手正在表演一个花式动作，他不用手就能将羽毛球踢过头顶。根据毽子的规则，这个动作属于什么动作？</v>
      </c>
      <c r="J11" s="24" t="str">
        <f>IFERROR(__xludf.DUMMYFUNCTION("GOOGLETRANSLATE(C11, ""en"", ""zh"")"),"A) 有效行为，B) 过错，C) 非法伎俩，D) 取消资格")</f>
        <v>A) 有效行为，B) 过错，C) 非法伎俩，D) 取消资格</v>
      </c>
      <c r="K11" s="24" t="str">
        <f>IFERROR(__xludf.DUMMYFUNCTION("GOOGLETRANSLATE(D11, ""en"", ""zh"")"),"A) 有效行为")</f>
        <v>A) 有效行为</v>
      </c>
      <c r="L11" s="24" t="str">
        <f>IFERROR(__xludf.DUMMYFUNCTION("GOOGLETRANSLATE(E11, ""en"", ""zh"")"),"在毽子中，只要球员不使用手或让毽子触地，用脚将毽子踢过头顶是一种常见且有效的技术。")</f>
        <v>在毽子中，只要球员不使用手或让毽子触地，用脚将毽子踢过头顶是一种常见且有效的技术。</v>
      </c>
      <c r="M11" s="22"/>
      <c r="N11" s="22"/>
      <c r="O11" s="22"/>
      <c r="P11" s="22"/>
      <c r="Q11" s="2"/>
      <c r="R11" s="2"/>
      <c r="S11" s="2"/>
      <c r="T11" s="2"/>
      <c r="U11" s="2"/>
      <c r="V11" s="2"/>
      <c r="W11" s="2"/>
      <c r="X11" s="2"/>
      <c r="Y11" s="2"/>
      <c r="Z11" s="2"/>
      <c r="AA11" s="2"/>
      <c r="AB11" s="2"/>
    </row>
    <row r="12">
      <c r="A12" s="30">
        <v>11.0</v>
      </c>
      <c r="B12" s="24" t="s">
        <v>891</v>
      </c>
      <c r="C12" s="24" t="s">
        <v>892</v>
      </c>
      <c r="D12" s="24" t="s">
        <v>893</v>
      </c>
      <c r="E12" s="24" t="s">
        <v>894</v>
      </c>
      <c r="F12" s="2"/>
      <c r="G12" s="2"/>
      <c r="H12" s="31"/>
      <c r="I12" s="24" t="str">
        <f>IFERROR(__xludf.DUMMYFUNCTION("GOOGLETRANSLATE(B12, ""en"", ""zh"")"),"在一场友谊毽子比赛中，A选手和B选手正在比赛。如果B选手能让毽子在空中连续飞行30秒而不落地，这一局该如何判分？")</f>
        <v>在一场友谊毽子比赛中，A选手和B选手正在比赛。如果B选手能让毽子在空中连续飞行30秒而不落地，这一局该如何判分？</v>
      </c>
      <c r="J12" s="24" t="str">
        <f>IFERROR(__xludf.DUMMYFUNCTION("GOOGLETRANSLATE(C12, ""en"", ""zh"")"),"A) A 玩家获胜，B) B 玩家获胜，C) 平局，D) 该回合无效")</f>
        <v>A) A 玩家获胜，B) B 玩家获胜，C) 平局，D) 该回合无效</v>
      </c>
      <c r="K12" s="24" t="str">
        <f>IFERROR(__xludf.DUMMYFUNCTION("GOOGLETRANSLATE(D12, ""en"", ""zh"")"),"B）玩家B获胜")</f>
        <v>B）玩家B获胜</v>
      </c>
      <c r="L12" s="24" t="str">
        <f>IFERROR(__xludf.DUMMYFUNCTION("GOOGLETRANSLATE(E12, ""en"", ""zh"")"),"在毽子中，如果能让毽子在空中停留较长时间，尤其是30秒，就被认为是一种令人印象深刻的表现，B选手将赢得这一局。")</f>
        <v>在毽子中，如果能让毽子在空中停留较长时间，尤其是30秒，就被认为是一种令人印象深刻的表现，B选手将赢得这一局。</v>
      </c>
      <c r="M12" s="22"/>
      <c r="N12" s="22"/>
      <c r="O12" s="22"/>
      <c r="P12" s="22"/>
      <c r="Q12" s="2"/>
      <c r="R12" s="2"/>
      <c r="S12" s="2"/>
      <c r="T12" s="2"/>
      <c r="U12" s="2"/>
      <c r="V12" s="2"/>
      <c r="W12" s="2"/>
      <c r="X12" s="2"/>
      <c r="Y12" s="2"/>
      <c r="Z12" s="2"/>
      <c r="AA12" s="2"/>
      <c r="AB12" s="2"/>
    </row>
    <row r="13">
      <c r="A13" s="30">
        <v>12.0</v>
      </c>
      <c r="B13" s="24" t="s">
        <v>895</v>
      </c>
      <c r="C13" s="24" t="s">
        <v>896</v>
      </c>
      <c r="D13" s="24" t="s">
        <v>897</v>
      </c>
      <c r="E13" s="24" t="s">
        <v>898</v>
      </c>
      <c r="F13" s="2"/>
      <c r="G13" s="2"/>
      <c r="H13" s="31"/>
      <c r="I13" s="24" t="str">
        <f>IFERROR(__xludf.DUMMYFUNCTION("GOOGLETRANSLATE(B13, ""en"", ""zh"")"),"球员Z正在练习毽子技术，并进行了一系列快速踢击。然而，毽子偏离目标，落在了规定的区域外。接下来应该怎么做？")</f>
        <v>球员Z正在练习毽子技术，并进行了一系列快速踢击。然而，毽子偏离目标，落在了规定的区域外。接下来应该怎么做？</v>
      </c>
      <c r="J13" s="24" t="str">
        <f>IFERROR(__xludf.DUMMYFUNCTION("GOOGLETRANSLATE(C13, ""en"", ""zh"")"),"A) Z 玩家输掉该回合；B) 该回合重新开始；C) Z 玩家受到处罚；D) 比赛继续进行，不进行处罚。")</f>
        <v>A) Z 玩家输掉该回合；B) 该回合重新开始；C) Z 玩家受到处罚；D) 比赛继续进行，不进行处罚。</v>
      </c>
      <c r="K13" s="24" t="str">
        <f>IFERROR(__xludf.DUMMYFUNCTION("GOOGLETRANSLATE(D13, ""en"", ""zh"")"),"A) 玩家 Z 输掉了这一局。")</f>
        <v>A) 玩家 Z 输掉了这一局。</v>
      </c>
      <c r="L13" s="24" t="str">
        <f>IFERROR(__xludf.DUMMYFUNCTION("GOOGLETRANSLATE(E13, ""en"", ""zh"")"),"在毽子中，如果毽子飞出规定的比赛区域，无论技术水平如何，该球员都将输掉这一局。")</f>
        <v>在毽子中，如果毽子飞出规定的比赛区域，无论技术水平如何，该球员都将输掉这一局。</v>
      </c>
      <c r="M13" s="22"/>
      <c r="N13" s="22"/>
      <c r="O13" s="22"/>
      <c r="P13" s="22"/>
      <c r="Q13" s="2"/>
      <c r="R13" s="2"/>
      <c r="S13" s="2"/>
      <c r="T13" s="2"/>
      <c r="U13" s="2"/>
      <c r="V13" s="2"/>
      <c r="W13" s="2"/>
      <c r="X13" s="2"/>
      <c r="Y13" s="2"/>
      <c r="Z13" s="2"/>
      <c r="AA13" s="2"/>
      <c r="AB13" s="2"/>
    </row>
    <row r="14">
      <c r="A14" s="30">
        <v>13.0</v>
      </c>
      <c r="B14" s="24" t="s">
        <v>899</v>
      </c>
      <c r="C14" s="24" t="s">
        <v>900</v>
      </c>
      <c r="D14" s="24" t="s">
        <v>857</v>
      </c>
      <c r="E14" s="24" t="s">
        <v>901</v>
      </c>
      <c r="F14" s="2"/>
      <c r="G14" s="2"/>
      <c r="H14" s="31"/>
      <c r="I14" s="24" t="str">
        <f>IFERROR(__xludf.DUMMYFUNCTION("GOOGLETRANSLATE(B14, ""en"", ""zh"")"),"在一场高阶毽子比赛中，A选手连续踢毽子20次，毽子没有落地。这种表现应该如何评分？")</f>
        <v>在一场高阶毽子比赛中，A选手连续踢毽子20次，毽子没有落地。这种表现应该如何评分？</v>
      </c>
      <c r="J14" s="24" t="str">
        <f>IFERROR(__xludf.DUMMYFUNCTION("GOOGLETRANSLATE(C14, ""en"", ""zh"")"),"A) 完美回合，B) 成功回合，C) 失败回合，D) 无效回合")</f>
        <v>A) 完美回合，B) 成功回合，C) 失败回合，D) 无效回合</v>
      </c>
      <c r="K14" s="24" t="str">
        <f>IFERROR(__xludf.DUMMYFUNCTION("GOOGLETRANSLATE(D14, ""en"", ""zh"")"),"B) 一轮成功的比赛")</f>
        <v>B) 一轮成功的比赛</v>
      </c>
      <c r="L14" s="24" t="str">
        <f>IFERROR(__xludf.DUMMYFUNCTION("GOOGLETRANSLATE(E14, ""en"", ""zh"")"),"连续踢羽毛球 20 次而不让其落地是一项了不起的成就，但只要遵守规则，就只能算作一次成功的回合。")</f>
        <v>连续踢羽毛球 20 次而不让其落地是一项了不起的成就，但只要遵守规则，就只能算作一次成功的回合。</v>
      </c>
      <c r="M14" s="22"/>
      <c r="N14" s="22"/>
      <c r="O14" s="22"/>
      <c r="P14" s="22"/>
      <c r="Q14" s="2"/>
      <c r="R14" s="2"/>
      <c r="S14" s="2"/>
      <c r="T14" s="2"/>
      <c r="U14" s="2"/>
      <c r="V14" s="2"/>
      <c r="W14" s="2"/>
      <c r="X14" s="2"/>
      <c r="Y14" s="2"/>
      <c r="Z14" s="2"/>
      <c r="AA14" s="2"/>
      <c r="AB14" s="2"/>
    </row>
    <row r="15">
      <c r="A15" s="30">
        <v>14.0</v>
      </c>
      <c r="B15" s="24" t="s">
        <v>902</v>
      </c>
      <c r="C15" s="24" t="s">
        <v>903</v>
      </c>
      <c r="D15" s="24" t="s">
        <v>904</v>
      </c>
      <c r="E15" s="24" t="s">
        <v>905</v>
      </c>
      <c r="F15" s="2"/>
      <c r="G15" s="2"/>
      <c r="H15" s="31"/>
      <c r="I15" s="24" t="str">
        <f>IFERROR(__xludf.DUMMYFUNCTION("GOOGLETRANSLATE(B15, ""en"", ""zh"")"),"在毽子比赛中，X选手踢出的毽子在空中快速旋转。毽子轻微触地后，X选手继续踢它，使其保持运动。接下来会发生什么？")</f>
        <v>在毽子比赛中，X选手踢出的毽子在空中快速旋转。毽子轻微触地后，X选手继续踢它，使其保持运动。接下来会发生什么？</v>
      </c>
      <c r="J15" s="24" t="str">
        <f>IFERROR(__xludf.DUMMYFUNCTION("GOOGLETRANSLATE(C15, ""en"", ""zh"")"),"A) X选手被取消资格；B) 该回合重赛；C) X选手输掉该回合；D) X选手赢得该回合。")</f>
        <v>A) X选手被取消资格；B) 该回合重赛；C) X选手输掉该回合；D) X选手赢得该回合。</v>
      </c>
      <c r="K15" s="24" t="str">
        <f>IFERROR(__xludf.DUMMYFUNCTION("GOOGLETRANSLATE(D15, ""en"", ""zh"")"),"C) 玩家 X 输掉本轮")</f>
        <v>C) 玩家 X 输掉本轮</v>
      </c>
      <c r="L15" s="24" t="str">
        <f>IFERROR(__xludf.DUMMYFUNCTION("GOOGLETRANSLATE(E15, ""en"", ""zh"")"),"在毽子中，如果毽子触地，即使球员之后继续踢，该球员也输掉这一局。")</f>
        <v>在毽子中，如果毽子触地，即使球员之后继续踢，该球员也输掉这一局。</v>
      </c>
      <c r="M15" s="22"/>
      <c r="N15" s="22"/>
      <c r="O15" s="22"/>
      <c r="P15" s="22"/>
      <c r="Q15" s="2"/>
      <c r="R15" s="2"/>
      <c r="S15" s="2"/>
      <c r="T15" s="2"/>
      <c r="U15" s="2"/>
      <c r="V15" s="2"/>
      <c r="W15" s="2"/>
      <c r="X15" s="2"/>
      <c r="Y15" s="2"/>
      <c r="Z15" s="2"/>
      <c r="AA15" s="2"/>
      <c r="AB15" s="2"/>
    </row>
    <row r="16">
      <c r="A16" s="30">
        <v>15.0</v>
      </c>
      <c r="B16" s="24" t="s">
        <v>906</v>
      </c>
      <c r="C16" s="24" t="s">
        <v>907</v>
      </c>
      <c r="D16" s="24" t="s">
        <v>908</v>
      </c>
      <c r="E16" s="24" t="s">
        <v>909</v>
      </c>
      <c r="F16" s="2"/>
      <c r="G16" s="2"/>
      <c r="H16" s="32"/>
      <c r="I16" s="24" t="str">
        <f>IFERROR(__xludf.DUMMYFUNCTION("GOOGLETRANSLATE(B16, ""en"", ""zh"")"),"在毽子比赛中，A选手和B选手在裁判面前进行比赛。A选手成功地完成了一个高难度的旋转动作，同时保持毽子在空中飞行。裁判主要看重的是什么？")</f>
        <v>在毽子比赛中，A选手和B选手在裁判面前进行比赛。A选手成功地完成了一个高难度的旋转动作，同时保持毽子在空中飞行。裁判主要看重的是什么？</v>
      </c>
      <c r="J16" s="24" t="str">
        <f>IFERROR(__xludf.DUMMYFUNCTION("GOOGLETRANSLATE(C16, ""en"", ""zh"")"),"A) 动作的难度，B) 动作的速度，C) 羽毛球的飞行时间，D) 踢球的次数")</f>
        <v>A) 动作的难度，B) 动作的速度，C) 羽毛球的飞行时间，D) 踢球的次数</v>
      </c>
      <c r="K16" s="24" t="str">
        <f>IFERROR(__xludf.DUMMYFUNCTION("GOOGLETRANSLATE(D16, ""en"", ""zh"")"),"C) 羽毛球的飞行时间")</f>
        <v>C) 羽毛球的飞行时间</v>
      </c>
      <c r="L16" s="24" t="str">
        <f>IFERROR(__xludf.DUMMYFUNCTION("GOOGLETRANSLATE(E16, ""en"", ""zh"")"),"评判毽子表现的主要因素是毽子在空中停留的时间是否足够长，并且能够得到正确的控制。")</f>
        <v>评判毽子表现的主要因素是毽子在空中停留的时间是否足够长，并且能够得到正确的控制。</v>
      </c>
      <c r="M16" s="22"/>
      <c r="N16" s="22"/>
      <c r="O16" s="22"/>
      <c r="P16" s="21"/>
      <c r="Q16" s="2"/>
      <c r="R16" s="2"/>
      <c r="S16" s="2"/>
      <c r="T16" s="2"/>
      <c r="U16" s="2"/>
      <c r="V16" s="2"/>
      <c r="W16" s="2"/>
      <c r="X16" s="2"/>
      <c r="Y16" s="2"/>
      <c r="Z16" s="2"/>
      <c r="AA16" s="2"/>
      <c r="AB16" s="2"/>
    </row>
    <row r="17">
      <c r="A17" s="30">
        <v>16.0</v>
      </c>
      <c r="B17" s="24" t="s">
        <v>910</v>
      </c>
      <c r="C17" s="24" t="s">
        <v>911</v>
      </c>
      <c r="D17" s="24" t="s">
        <v>912</v>
      </c>
      <c r="E17" s="24" t="s">
        <v>913</v>
      </c>
      <c r="F17" s="2"/>
      <c r="G17" s="2"/>
      <c r="H17" s="31"/>
      <c r="I17" s="24" t="str">
        <f>IFERROR(__xludf.DUMMYFUNCTION("GOOGLETRANSLATE(B17, ""en"", ""zh"")"),"在毽子比赛中，X选手踢出一脚，但不慎踩出了界。接下来会发生什么？")</f>
        <v>在毽子比赛中，X选手踢出一脚，但不慎踩出了界。接下来会发生什么？</v>
      </c>
      <c r="J17" s="24" t="str">
        <f>IFERROR(__xludf.DUMMYFUNCTION("GOOGLETRANSLATE(C17, ""en"", ""zh"")"),"A) 玩家 X 赢得该回合，B) 玩家 X 输掉该回合，C) 该回合重赛，D) 玩家 X 受到处罚但赢得该回合")</f>
        <v>A) 玩家 X 赢得该回合，B) 玩家 X 输掉该回合，C) 该回合重赛，D) 玩家 X 受到处罚但赢得该回合</v>
      </c>
      <c r="K17" s="24" t="str">
        <f>IFERROR(__xludf.DUMMYFUNCTION("GOOGLETRANSLATE(D17, ""en"", ""zh"")"),"B) 玩家 X 输掉本轮")</f>
        <v>B) 玩家 X 输掉本轮</v>
      </c>
      <c r="L17" s="24" t="str">
        <f>IFERROR(__xludf.DUMMYFUNCTION("GOOGLETRANSLATE(E17, ""en"", ""zh"")"),"在剑子中，踢球时踩出界外会导致该回合输掉。")</f>
        <v>在剑子中，踢球时踩出界外会导致该回合输掉。</v>
      </c>
      <c r="M17" s="22"/>
      <c r="N17" s="22"/>
      <c r="O17" s="22"/>
      <c r="P17" s="22"/>
      <c r="Q17" s="2"/>
      <c r="R17" s="2"/>
      <c r="S17" s="2"/>
      <c r="T17" s="2"/>
      <c r="U17" s="2"/>
      <c r="V17" s="2"/>
      <c r="W17" s="2"/>
      <c r="X17" s="2"/>
      <c r="Y17" s="2"/>
      <c r="Z17" s="2"/>
      <c r="AA17" s="2"/>
      <c r="AB17" s="2"/>
    </row>
    <row r="18">
      <c r="A18" s="30">
        <v>17.0</v>
      </c>
      <c r="B18" s="24" t="s">
        <v>914</v>
      </c>
      <c r="C18" s="24" t="s">
        <v>915</v>
      </c>
      <c r="D18" s="24" t="s">
        <v>916</v>
      </c>
      <c r="E18" s="24" t="s">
        <v>917</v>
      </c>
      <c r="F18" s="2"/>
      <c r="G18" s="2"/>
      <c r="H18" s="31"/>
      <c r="I18" s="24" t="str">
        <f>IFERROR(__xludf.DUMMYFUNCTION("GOOGLETRANSLATE(B18, ""en"", ""zh"")"),"A选手和B选手正在进行毽子比赛。A选手连续踢毽子，脚不着地，但B选手不小心踩到了毽子。结果如何？")</f>
        <v>A选手和B选手正在进行毽子比赛。A选手连续踢毽子，脚不着地，但B选手不小心踩到了毽子。结果如何？</v>
      </c>
      <c r="J18" s="24" t="str">
        <f>IFERROR(__xludf.DUMMYFUNCTION("GOOGLETRANSLATE(C18, ""en"", ""zh"")"),"A) 玩家 A 赢得该回合，B) 玩家 B 赢得该回合，C) 该回合无效，D) 该回合重赛")</f>
        <v>A) 玩家 A 赢得该回合，B) 玩家 B 赢得该回合，C) 该回合无效，D) 该回合重赛</v>
      </c>
      <c r="K18" s="24" t="str">
        <f>IFERROR(__xludf.DUMMYFUNCTION("GOOGLETRANSLATE(D18, ""en"", ""zh"")"),"A) 玩家 A 赢得该回合")</f>
        <v>A) 玩家 A 赢得该回合</v>
      </c>
      <c r="L18" s="24" t="str">
        <f>IFERROR(__xludf.DUMMYFUNCTION("GOOGLETRANSLATE(E18, ""en"", ""zh"")"),"如果B选手踩到羽毛球，则输掉该回合。只要A选手表现正确，即可赢得该回合。")</f>
        <v>如果B选手踩到羽毛球，则输掉该回合。只要A选手表现正确，即可赢得该回合。</v>
      </c>
      <c r="M18" s="22"/>
      <c r="N18" s="22"/>
      <c r="O18" s="22"/>
      <c r="P18" s="22"/>
      <c r="Q18" s="2"/>
      <c r="R18" s="2"/>
      <c r="S18" s="2"/>
      <c r="T18" s="2"/>
      <c r="U18" s="2"/>
      <c r="V18" s="2"/>
      <c r="W18" s="2"/>
      <c r="X18" s="2"/>
      <c r="Y18" s="2"/>
      <c r="Z18" s="2"/>
      <c r="AA18" s="2"/>
      <c r="AB18" s="2"/>
    </row>
    <row r="19">
      <c r="A19" s="30">
        <v>18.0</v>
      </c>
      <c r="B19" s="24" t="s">
        <v>918</v>
      </c>
      <c r="C19" s="24" t="s">
        <v>919</v>
      </c>
      <c r="D19" s="24" t="s">
        <v>920</v>
      </c>
      <c r="E19" s="24" t="s">
        <v>921</v>
      </c>
      <c r="F19" s="2"/>
      <c r="G19" s="2"/>
      <c r="H19" s="31"/>
      <c r="I19" s="24" t="str">
        <f>IFERROR(__xludf.DUMMYFUNCTION("GOOGLETRANSLATE(B19, ""en"", ""zh"")"),"在毽子比赛中，C选手用力踢毽子，毽子飞出了规定的比赛区域。接下来会发生什么？")</f>
        <v>在毽子比赛中，C选手用力踢毽子，毽子飞出了规定的比赛区域。接下来会发生什么？</v>
      </c>
      <c r="J19" s="24" t="str">
        <f>IFERROR(__xludf.DUMMYFUNCTION("GOOGLETRANSLATE(C19, ""en"", ""zh"")"),"A) C 玩家赢得该回合，B) C 玩家输掉该回合，C) 该回合重赛，D) C 玩家受到处罚")</f>
        <v>A) C 玩家赢得该回合，B) C 玩家输掉该回合，C) 该回合重赛，D) C 玩家受到处罚</v>
      </c>
      <c r="K19" s="24" t="str">
        <f>IFERROR(__xludf.DUMMYFUNCTION("GOOGLETRANSLATE(D19, ""en"", ""zh"")"),"B) C玩家输掉本轮")</f>
        <v>B) C玩家输掉本轮</v>
      </c>
      <c r="L19" s="24" t="str">
        <f>IFERROR(__xludf.DUMMYFUNCTION("GOOGLETRANSLATE(E19, ""en"", ""zh"")"),"在毽子比赛中，如果毽子飞出比赛区域，则该选手输掉这一局。")</f>
        <v>在毽子比赛中，如果毽子飞出比赛区域，则该选手输掉这一局。</v>
      </c>
      <c r="M19" s="22"/>
      <c r="N19" s="21"/>
      <c r="O19" s="22"/>
      <c r="P19" s="21"/>
      <c r="Q19" s="2"/>
      <c r="R19" s="2"/>
      <c r="S19" s="2"/>
      <c r="T19" s="2"/>
      <c r="U19" s="2"/>
      <c r="V19" s="2"/>
      <c r="W19" s="2"/>
      <c r="X19" s="2"/>
      <c r="Y19" s="2"/>
      <c r="Z19" s="2"/>
      <c r="AA19" s="2"/>
      <c r="AB19" s="2"/>
    </row>
    <row r="20">
      <c r="A20" s="30">
        <v>19.0</v>
      </c>
      <c r="B20" s="24" t="s">
        <v>922</v>
      </c>
      <c r="C20" s="24" t="s">
        <v>923</v>
      </c>
      <c r="D20" s="24" t="s">
        <v>912</v>
      </c>
      <c r="E20" s="24" t="s">
        <v>924</v>
      </c>
      <c r="F20" s="2"/>
      <c r="G20" s="2"/>
      <c r="H20" s="31"/>
      <c r="I20" s="24" t="str">
        <f>IFERROR(__xludf.DUMMYFUNCTION("GOOGLETRANSLATE(B20, ""en"", ""zh"")"),"X 球员已经连续踢了 10 次，每次都让羽毛球保持在空中。但是，X 球员最后一次踢空，羽毛球落地了。接下来会发生什么？")</f>
        <v>X 球员已经连续踢了 10 次，每次都让羽毛球保持在空中。但是，X 球员最后一次踢空，羽毛球落地了。接下来会发生什么？</v>
      </c>
      <c r="J20" s="24" t="str">
        <f>IFERROR(__xludf.DUMMYFUNCTION("GOOGLETRANSLATE(C20, ""en"", ""zh"")"),"A) 玩家 X 赢得该回合，B) 玩家 X 输掉该回合，C) 该回合重新开始，D) 玩家 Y 赢得该回合")</f>
        <v>A) 玩家 X 赢得该回合，B) 玩家 X 输掉该回合，C) 该回合重新开始，D) 玩家 Y 赢得该回合</v>
      </c>
      <c r="K20" s="24" t="str">
        <f>IFERROR(__xludf.DUMMYFUNCTION("GOOGLETRANSLATE(D20, ""en"", ""zh"")"),"B) 玩家 X 输掉本轮")</f>
        <v>B) 玩家 X 输掉本轮</v>
      </c>
      <c r="L20" s="24" t="str">
        <f>IFERROR(__xludf.DUMMYFUNCTION("GOOGLETRANSLATE(E20, ""en"", ""zh"")"),"在毽子比赛中，如果毽子在任何时候触地，则该局失分。")</f>
        <v>在毽子比赛中，如果毽子在任何时候触地，则该局失分。</v>
      </c>
      <c r="M20" s="22"/>
      <c r="N20" s="22"/>
      <c r="O20" s="22"/>
      <c r="P20" s="22"/>
      <c r="Q20" s="2"/>
      <c r="R20" s="2"/>
      <c r="S20" s="2"/>
      <c r="T20" s="2"/>
      <c r="U20" s="2"/>
      <c r="V20" s="2"/>
      <c r="W20" s="2"/>
      <c r="X20" s="2"/>
      <c r="Y20" s="2"/>
      <c r="Z20" s="2"/>
      <c r="AA20" s="2"/>
      <c r="AB20" s="2"/>
    </row>
    <row r="21">
      <c r="A21" s="30">
        <v>20.0</v>
      </c>
      <c r="B21" s="24" t="s">
        <v>925</v>
      </c>
      <c r="C21" s="24" t="s">
        <v>926</v>
      </c>
      <c r="D21" s="24" t="s">
        <v>908</v>
      </c>
      <c r="E21" s="24" t="s">
        <v>927</v>
      </c>
      <c r="F21" s="2"/>
      <c r="G21" s="2"/>
      <c r="H21" s="31"/>
      <c r="I21" s="24" t="str">
        <f>IFERROR(__xludf.DUMMYFUNCTION("GOOGLETRANSLATE(B21, ""en"", ""zh"")"),"在毽子比赛中，A选手连续踢毽子30次，毽子均未落地。评判这项成绩的主要标准是什么？")</f>
        <v>在毽子比赛中，A选手连续踢毽子30次，毽子均未落地。评判这项成绩的主要标准是什么？</v>
      </c>
      <c r="J21" s="24" t="str">
        <f>IFERROR(__xludf.DUMMYFUNCTION("GOOGLETRANSLATE(C21, ""en"", ""zh"")"),"A) 踢球方式，B) 踢球次数，C) 羽毛球飞行时间，D) 花式动作难度")</f>
        <v>A) 踢球方式，B) 踢球次数，C) 羽毛球飞行时间，D) 花式动作难度</v>
      </c>
      <c r="K21" s="24" t="str">
        <f>IFERROR(__xludf.DUMMYFUNCTION("GOOGLETRANSLATE(D21, ""en"", ""zh"")"),"C) 羽毛球的飞行时间")</f>
        <v>C) 羽毛球的飞行时间</v>
      </c>
      <c r="L21" s="24" t="str">
        <f>IFERROR(__xludf.DUMMYFUNCTION("GOOGLETRANSLATE(E21, ""en"", ""zh"")"),"毽子比赛的主要评判标准是毽子在空中停留的时间，而不仅仅是踢球的次数。")</f>
        <v>毽子比赛的主要评判标准是毽子在空中停留的时间，而不仅仅是踢球的次数。</v>
      </c>
      <c r="M21" s="22"/>
      <c r="N21" s="22"/>
      <c r="O21" s="22"/>
      <c r="P21" s="22"/>
      <c r="Q21" s="2"/>
      <c r="R21" s="2"/>
      <c r="S21" s="2"/>
      <c r="T21" s="2"/>
      <c r="U21" s="2"/>
      <c r="V21" s="2"/>
      <c r="W21" s="2"/>
      <c r="X21" s="2"/>
      <c r="Y21" s="2"/>
      <c r="Z21" s="2"/>
      <c r="AA21" s="2"/>
      <c r="AB21" s="2"/>
    </row>
    <row r="22">
      <c r="A22" s="30">
        <v>21.0</v>
      </c>
      <c r="B22" s="24" t="s">
        <v>928</v>
      </c>
      <c r="C22" s="24" t="s">
        <v>929</v>
      </c>
      <c r="D22" s="24" t="s">
        <v>930</v>
      </c>
      <c r="E22" s="24" t="s">
        <v>931</v>
      </c>
      <c r="F22" s="2"/>
      <c r="G22" s="2"/>
      <c r="H22" s="31"/>
      <c r="I22" s="24" t="str">
        <f>IFERROR(__xludf.DUMMYFUNCTION("GOOGLETRANSLATE(B22, ""en"", ""zh"")"),"在毽子比赛中，Y选手成功完成了一系列毽子，但不小心用手碰到了毽子。接下来会发生什么？")</f>
        <v>在毽子比赛中，Y选手成功完成了一系列毽子，但不小心用手碰到了毽子。接下来会发生什么？</v>
      </c>
      <c r="J22" s="24" t="str">
        <f>IFERROR(__xludf.DUMMYFUNCTION("GOOGLETRANSLATE(C22, ""en"", ""zh"")"),"A) 玩家 Y 赢得该回合，B) 玩家 Y 输掉该回合，C) 该回合无效，D) 该回合重新开始。")</f>
        <v>A) 玩家 Y 赢得该回合，B) 玩家 Y 输掉该回合，C) 该回合无效，D) 该回合重新开始。</v>
      </c>
      <c r="K22" s="24" t="str">
        <f>IFERROR(__xludf.DUMMYFUNCTION("GOOGLETRANSLATE(D22, ""en"", ""zh"")"),"B) 玩家 Y 输掉本轮")</f>
        <v>B) 玩家 Y 输掉本轮</v>
      </c>
      <c r="L22" s="24" t="str">
        <f>IFERROR(__xludf.DUMMYFUNCTION("GOOGLETRANSLATE(E22, ""en"", ""zh"")"),"在毽子中，用手触球即判负。")</f>
        <v>在毽子中，用手触球即判负。</v>
      </c>
      <c r="M22" s="22"/>
      <c r="N22" s="22"/>
      <c r="O22" s="22"/>
      <c r="P22" s="22"/>
      <c r="Q22" s="2"/>
      <c r="R22" s="2"/>
      <c r="S22" s="2"/>
      <c r="T22" s="2"/>
      <c r="U22" s="2"/>
      <c r="V22" s="2"/>
      <c r="W22" s="2"/>
      <c r="X22" s="2"/>
      <c r="Y22" s="2"/>
      <c r="Z22" s="2"/>
      <c r="AA22" s="2"/>
      <c r="AB22" s="2"/>
    </row>
    <row r="23">
      <c r="A23" s="30">
        <v>22.0</v>
      </c>
      <c r="B23" s="24" t="s">
        <v>932</v>
      </c>
      <c r="C23" s="24" t="s">
        <v>933</v>
      </c>
      <c r="D23" s="24" t="s">
        <v>916</v>
      </c>
      <c r="E23" s="24" t="s">
        <v>934</v>
      </c>
      <c r="F23" s="2"/>
      <c r="G23" s="2"/>
      <c r="H23" s="31"/>
      <c r="I23" s="24" t="str">
        <f>IFERROR(__xludf.DUMMYFUNCTION("GOOGLETRANSLATE(B23, ""en"", ""zh"")"),"在毽子比赛中，A选手用旋转动作踢毽子，毽子正好落在B选手指定的区域内。比赛结果如何？")</f>
        <v>在毽子比赛中，A选手用旋转动作踢毽子，毽子正好落在B选手指定的区域内。比赛结果如何？</v>
      </c>
      <c r="J23" s="24" t="str">
        <f>IFERROR(__xludf.DUMMYFUNCTION("GOOGLETRANSLATE(C23, ""en"", ""zh"")"),"A) A 玩家赢得该回合，B) B 玩家赢得该回合，C) 该回合为平局，D) 该回合无效")</f>
        <v>A) A 玩家赢得该回合，B) B 玩家赢得该回合，C) 该回合为平局，D) 该回合无效</v>
      </c>
      <c r="K23" s="24" t="str">
        <f>IFERROR(__xludf.DUMMYFUNCTION("GOOGLETRANSLATE(D23, ""en"", ""zh"")"),"A) 玩家 A 赢得该回合")</f>
        <v>A) 玩家 A 赢得该回合</v>
      </c>
      <c r="L23" s="24" t="str">
        <f>IFERROR(__xludf.DUMMYFUNCTION("GOOGLETRANSLATE(E23, ""en"", ""zh"")"),"如果羽毛球无失误地落在对方区域内，则踢球的球员赢得该回合。")</f>
        <v>如果羽毛球无失误地落在对方区域内，则踢球的球员赢得该回合。</v>
      </c>
      <c r="M23" s="22"/>
      <c r="N23" s="22"/>
      <c r="O23" s="22"/>
      <c r="P23" s="22"/>
      <c r="Q23" s="2"/>
      <c r="R23" s="2"/>
      <c r="S23" s="2"/>
      <c r="T23" s="2"/>
      <c r="U23" s="2"/>
      <c r="V23" s="2"/>
      <c r="W23" s="2"/>
      <c r="X23" s="2"/>
      <c r="Y23" s="2"/>
      <c r="Z23" s="2"/>
      <c r="AA23" s="2"/>
      <c r="AB23" s="2"/>
    </row>
    <row r="24">
      <c r="A24" s="30">
        <v>23.0</v>
      </c>
      <c r="B24" s="24" t="s">
        <v>935</v>
      </c>
      <c r="C24" s="24" t="s">
        <v>936</v>
      </c>
      <c r="D24" s="24" t="s">
        <v>937</v>
      </c>
      <c r="E24" s="24" t="s">
        <v>938</v>
      </c>
      <c r="F24" s="2"/>
      <c r="G24" s="2"/>
      <c r="H24" s="32"/>
      <c r="I24" s="24" t="str">
        <f>IFERROR(__xludf.DUMMYFUNCTION("GOOGLETRANSLATE(B24, ""en"", ""zh"")"),"在毽子比赛中，Z选手尝试快速连续踢球。然而，在最后一脚踢球时，毽子出界了。接下来应该怎么做？")</f>
        <v>在毽子比赛中，Z选手尝试快速连续踢球。然而，在最后一脚踢球时，毽子出界了。接下来应该怎么做？</v>
      </c>
      <c r="J24" s="24" t="str">
        <f>IFERROR(__xludf.DUMMYFUNCTION("GOOGLETRANSLATE(C24, ""en"", ""zh"")"),"A) 比赛继续进行，Z 玩家获胜；B) Z 玩家输掉该回合；C) 该回合重新开始；D) Z 玩家受到处罚。")</f>
        <v>A) 比赛继续进行，Z 玩家获胜；B) Z 玩家输掉该回合；C) 该回合重新开始；D) Z 玩家受到处罚。</v>
      </c>
      <c r="K24" s="24" t="str">
        <f>IFERROR(__xludf.DUMMYFUNCTION("GOOGLETRANSLATE(D24, ""en"", ""zh"")"),"B) 玩家 Z 输掉本回合")</f>
        <v>B) 玩家 Z 输掉本回合</v>
      </c>
      <c r="L24" s="24" t="str">
        <f>IFERROR(__xludf.DUMMYFUNCTION("GOOGLETRANSLATE(E24, ""en"", ""zh"")"),"如果羽毛球出界，无论踢球技巧或风格如何，该球员都将自动输掉这一回合。")</f>
        <v>如果羽毛球出界，无论踢球技巧或风格如何，该球员都将自动输掉这一回合。</v>
      </c>
      <c r="M24" s="22"/>
      <c r="N24" s="22"/>
      <c r="O24" s="22"/>
      <c r="P24" s="22"/>
      <c r="Q24" s="2"/>
      <c r="R24" s="2"/>
      <c r="S24" s="2"/>
      <c r="T24" s="2"/>
      <c r="U24" s="2"/>
      <c r="V24" s="2"/>
      <c r="W24" s="2"/>
      <c r="X24" s="2"/>
      <c r="Y24" s="2"/>
      <c r="Z24" s="2"/>
      <c r="AA24" s="2"/>
      <c r="AB24" s="2"/>
    </row>
    <row r="25">
      <c r="A25" s="30">
        <v>24.0</v>
      </c>
      <c r="B25" s="24" t="s">
        <v>939</v>
      </c>
      <c r="C25" s="24" t="s">
        <v>940</v>
      </c>
      <c r="D25" s="24" t="s">
        <v>941</v>
      </c>
      <c r="E25" s="24" t="s">
        <v>942</v>
      </c>
      <c r="F25" s="2"/>
      <c r="G25" s="2"/>
      <c r="H25" s="31"/>
      <c r="I25" s="24" t="str">
        <f>IFERROR(__xludf.DUMMYFUNCTION("GOOGLETRANSLATE(B25, ""en"", ""zh"")"),"在一场友谊毽子比赛中，X选手用一个花式踢法让毽子在空中停留了25秒。裁判主要看重的是什么？")</f>
        <v>在一场友谊毽子比赛中，X选手用一个花式踢法让毽子在空中停留了25秒。裁判主要看重的是什么？</v>
      </c>
      <c r="J25" s="24" t="str">
        <f>IFERROR(__xludf.DUMMYFUNCTION("GOOGLETRANSLATE(C25, ""en"", ""zh"")"),"A) 羽毛球在空中停留的时间，B) 动作速度，C) 花式动作的复杂程度，D) 踢球的精准度")</f>
        <v>A) 羽毛球在空中停留的时间，B) 动作速度，C) 花式动作的复杂程度，D) 踢球的精准度</v>
      </c>
      <c r="K25" s="24" t="str">
        <f>IFERROR(__xludf.DUMMYFUNCTION("GOOGLETRANSLATE(D25, ""en"", ""zh"")"),"A) 羽毛球在空中停留的时间")</f>
        <v>A) 羽毛球在空中停留的时间</v>
      </c>
      <c r="L25" s="24" t="str">
        <f>IFERROR(__xludf.DUMMYFUNCTION("GOOGLETRANSLATE(E25, ""en"", ""zh"")"),"在毽子比赛中，让毽子长时间保持在空中是一项非常重要的比赛项目。")</f>
        <v>在毽子比赛中，让毽子长时间保持在空中是一项非常重要的比赛项目。</v>
      </c>
      <c r="M25" s="22"/>
      <c r="N25" s="22"/>
      <c r="O25" s="22"/>
      <c r="P25" s="22"/>
      <c r="Q25" s="2"/>
      <c r="R25" s="2"/>
      <c r="S25" s="2"/>
      <c r="T25" s="2"/>
      <c r="U25" s="2"/>
      <c r="V25" s="2"/>
      <c r="W25" s="2"/>
      <c r="X25" s="2"/>
      <c r="Y25" s="2"/>
      <c r="Z25" s="2"/>
      <c r="AA25" s="2"/>
      <c r="AB25" s="2"/>
    </row>
    <row r="26">
      <c r="A26" s="30">
        <v>25.0</v>
      </c>
      <c r="B26" s="24" t="s">
        <v>943</v>
      </c>
      <c r="C26" s="24" t="s">
        <v>944</v>
      </c>
      <c r="D26" s="24" t="s">
        <v>861</v>
      </c>
      <c r="E26" s="24" t="s">
        <v>945</v>
      </c>
      <c r="F26" s="2"/>
      <c r="G26" s="2"/>
      <c r="H26" s="31"/>
      <c r="I26" s="24" t="str">
        <f>IFERROR(__xludf.DUMMYFUNCTION("GOOGLETRANSLATE(B26, ""en"", ""zh"")"),"A球员用脚轻踢羽毛球，但羽毛球短暂触地后又弹回空中。裁判应该如何判罚？")</f>
        <v>A球员用脚轻踢羽毛球，但羽毛球短暂触地后又弹回空中。裁判应该如何判罚？</v>
      </c>
      <c r="J26" s="24" t="str">
        <f>IFERROR(__xludf.DUMMYFUNCTION("GOOGLETRANSLATE(C26, ""en"", ""zh"")"),"A) 该回合为平局，B) A 玩家输掉该回合，C) A 玩家赢得该回合，D) 该回合无效")</f>
        <v>A) 该回合为平局，B) A 玩家输掉该回合，C) A 玩家赢得该回合，D) 该回合无效</v>
      </c>
      <c r="K26" s="24" t="str">
        <f>IFERROR(__xludf.DUMMYFUNCTION("GOOGLETRANSLATE(D26, ""en"", ""zh"")"),"B) A玩家输掉本轮")</f>
        <v>B) A玩家输掉本轮</v>
      </c>
      <c r="L26" s="24" t="str">
        <f>IFERROR(__xludf.DUMMYFUNCTION("GOOGLETRANSLATE(E26, ""en"", ""zh"")"),"在毽子比赛中，如果毽子在任何时候触地，该选手就输掉这一局。")</f>
        <v>在毽子比赛中，如果毽子在任何时候触地，该选手就输掉这一局。</v>
      </c>
      <c r="M26" s="22"/>
      <c r="N26" s="22"/>
      <c r="O26" s="22"/>
      <c r="P26" s="21"/>
      <c r="Q26" s="2"/>
      <c r="R26" s="2"/>
      <c r="S26" s="2"/>
      <c r="T26" s="2"/>
      <c r="U26" s="2"/>
      <c r="V26" s="2"/>
      <c r="W26" s="2"/>
      <c r="X26" s="2"/>
      <c r="Y26" s="2"/>
      <c r="Z26" s="2"/>
      <c r="AA26" s="2"/>
      <c r="AB26" s="2"/>
    </row>
    <row r="27">
      <c r="A27" s="30">
        <v>26.0</v>
      </c>
      <c r="B27" s="24" t="s">
        <v>946</v>
      </c>
      <c r="C27" s="24" t="s">
        <v>947</v>
      </c>
      <c r="D27" s="24" t="s">
        <v>948</v>
      </c>
      <c r="E27" s="24" t="s">
        <v>949</v>
      </c>
      <c r="F27" s="2"/>
      <c r="G27" s="2"/>
      <c r="H27" s="31"/>
      <c r="I27" s="24" t="str">
        <f>IFERROR(__xludf.DUMMYFUNCTION("GOOGLETRANSLATE(B27, ""en"", ""zh"")"),"在一场毽子比赛中，B选手踢出的毽子落在了双方场地之间的分界线上。裁判应该如何处理？")</f>
        <v>在一场毽子比赛中，B选手踢出的毽子落在了双方场地之间的分界线上。裁判应该如何处理？</v>
      </c>
      <c r="J27" s="24" t="str">
        <f>IFERROR(__xludf.DUMMYFUNCTION("GOOGLETRANSLATE(C27, ""en"", ""zh"")"),"A) A 玩家赢得该回合，B) B 玩家赢得该回合，C) 该回合为平局，D) 该回合重赛。")</f>
        <v>A) A 玩家赢得该回合，B) B 玩家赢得该回合，C) 该回合为平局，D) 该回合重赛。</v>
      </c>
      <c r="K27" s="24" t="str">
        <f>IFERROR(__xludf.DUMMYFUNCTION("GOOGLETRANSLATE(D27, ""en"", ""zh"")"),"C) 本轮比赛结果为平局")</f>
        <v>C) 本轮比赛结果为平局</v>
      </c>
      <c r="L27" s="24" t="str">
        <f>IFERROR(__xludf.DUMMYFUNCTION("GOOGLETRANSLATE(E27, ""en"", ""zh"")"),"在毽子中，如果毽子正好落在线上，则该局通常被认为是平局。")</f>
        <v>在毽子中，如果毽子正好落在线上，则该局通常被认为是平局。</v>
      </c>
      <c r="M27" s="22"/>
      <c r="N27" s="21"/>
      <c r="O27" s="22"/>
      <c r="P27" s="22"/>
      <c r="Q27" s="2"/>
      <c r="R27" s="2"/>
      <c r="S27" s="2"/>
      <c r="T27" s="2"/>
      <c r="U27" s="2"/>
      <c r="V27" s="2"/>
      <c r="W27" s="2"/>
      <c r="X27" s="2"/>
      <c r="Y27" s="2"/>
      <c r="Z27" s="2"/>
      <c r="AA27" s="2"/>
      <c r="AB27" s="2"/>
    </row>
    <row r="28">
      <c r="A28" s="30">
        <v>27.0</v>
      </c>
      <c r="B28" s="24" t="s">
        <v>950</v>
      </c>
      <c r="C28" s="24" t="s">
        <v>951</v>
      </c>
      <c r="D28" s="24" t="s">
        <v>930</v>
      </c>
      <c r="E28" s="24" t="s">
        <v>952</v>
      </c>
      <c r="F28" s="2"/>
      <c r="G28" s="2"/>
      <c r="H28" s="31"/>
      <c r="I28" s="24" t="str">
        <f>IFERROR(__xludf.DUMMYFUNCTION("GOOGLETRANSLATE(B28, ""en"", ""zh"")"),"Y球员踢出羽毛球，完美地完成了三次翻转。然而，羽毛球最终还是落地了。接下来会发生什么？")</f>
        <v>Y球员踢出羽毛球，完美地完成了三次翻转。然而，羽毛球最终还是落地了。接下来会发生什么？</v>
      </c>
      <c r="J28" s="24" t="str">
        <f>IFERROR(__xludf.DUMMYFUNCTION("GOOGLETRANSLATE(C28, ""en"", ""zh"")"),"A) Y 玩家赢得该回合，B) Y 玩家输掉该回合，C) 该回合重赛，D) 该回合平局。")</f>
        <v>A) Y 玩家赢得该回合，B) Y 玩家输掉该回合，C) 该回合重赛，D) 该回合平局。</v>
      </c>
      <c r="K28" s="24" t="str">
        <f>IFERROR(__xludf.DUMMYFUNCTION("GOOGLETRANSLATE(D28, ""en"", ""zh"")"),"B) 玩家 Y 输掉本轮")</f>
        <v>B) 玩家 Y 输掉本轮</v>
      </c>
      <c r="L28" s="24" t="str">
        <f>IFERROR(__xludf.DUMMYFUNCTION("GOOGLETRANSLATE(E28, ""en"", ""zh"")"),"即使Y选手使出精彩的花式动作，如果羽毛球触地，则该回合输掉。")</f>
        <v>即使Y选手使出精彩的花式动作，如果羽毛球触地，则该回合输掉。</v>
      </c>
      <c r="M28" s="22"/>
      <c r="N28" s="22"/>
      <c r="O28" s="22"/>
      <c r="P28" s="22"/>
      <c r="Q28" s="2"/>
      <c r="R28" s="2"/>
      <c r="S28" s="2"/>
      <c r="T28" s="2"/>
      <c r="U28" s="2"/>
      <c r="V28" s="2"/>
      <c r="W28" s="2"/>
      <c r="X28" s="2"/>
      <c r="Y28" s="2"/>
      <c r="Z28" s="2"/>
      <c r="AA28" s="2"/>
      <c r="AB28" s="2"/>
    </row>
    <row r="29">
      <c r="A29" s="30">
        <v>28.0</v>
      </c>
      <c r="B29" s="24" t="s">
        <v>953</v>
      </c>
      <c r="C29" s="24" t="s">
        <v>954</v>
      </c>
      <c r="D29" s="24" t="s">
        <v>857</v>
      </c>
      <c r="E29" s="24" t="s">
        <v>955</v>
      </c>
      <c r="F29" s="2"/>
      <c r="G29" s="2"/>
      <c r="H29" s="31"/>
      <c r="I29" s="24" t="str">
        <f>IFERROR(__xludf.DUMMYFUNCTION("GOOGLETRANSLATE(B29, ""en"", ""zh"")"),"C选手正在参加毽子比赛，比赛规则是尽可能长时间地让毽子保持在空中。60秒后，毽子落地。这项比赛的成绩应该如何评判？")</f>
        <v>C选手正在参加毽子比赛，比赛规则是尽可能长时间地让毽子保持在空中。60秒后，毽子落地。这项比赛的成绩应该如何评判？</v>
      </c>
      <c r="J29" s="24" t="str">
        <f>IFERROR(__xludf.DUMMYFUNCTION("GOOGLETRANSLATE(C29, ""en"", ""zh"")"),"A) 完美表现，B) 成功一轮，C) 无效表现，D) C 玩家输掉该轮")</f>
        <v>A) 完美表现，B) 成功一轮，C) 无效表现，D) C 玩家输掉该轮</v>
      </c>
      <c r="K29" s="24" t="str">
        <f>IFERROR(__xludf.DUMMYFUNCTION("GOOGLETRANSLATE(D29, ""en"", ""zh"")"),"B) 一轮成功的比赛")</f>
        <v>B) 一轮成功的比赛</v>
      </c>
      <c r="L29" s="24" t="str">
        <f>IFERROR(__xludf.DUMMYFUNCTION("GOOGLETRANSLATE(E29, ""en"", ""zh"")"),"让羽毛球在空中停留 60 秒是一项了不起的成就，这将被视为一次成功的回合。")</f>
        <v>让羽毛球在空中停留 60 秒是一项了不起的成就，这将被视为一次成功的回合。</v>
      </c>
      <c r="M29" s="22"/>
      <c r="N29" s="22"/>
      <c r="O29" s="22"/>
      <c r="P29" s="22"/>
      <c r="Q29" s="2"/>
      <c r="R29" s="2"/>
      <c r="S29" s="2"/>
      <c r="T29" s="2"/>
      <c r="U29" s="2"/>
      <c r="V29" s="2"/>
      <c r="W29" s="2"/>
      <c r="X29" s="2"/>
      <c r="Y29" s="2"/>
      <c r="Z29" s="2"/>
      <c r="AA29" s="2"/>
      <c r="AB29" s="2"/>
    </row>
    <row r="30">
      <c r="A30" s="30">
        <v>29.0</v>
      </c>
      <c r="B30" s="24" t="s">
        <v>956</v>
      </c>
      <c r="C30" s="24" t="s">
        <v>957</v>
      </c>
      <c r="D30" s="24" t="s">
        <v>958</v>
      </c>
      <c r="E30" s="24" t="s">
        <v>959</v>
      </c>
      <c r="F30" s="2"/>
      <c r="G30" s="2"/>
      <c r="H30" s="31"/>
      <c r="I30" s="24" t="str">
        <f>IFERROR(__xludf.DUMMYFUNCTION("GOOGLETRANSLATE(B30, ""en"", ""zh"")"),"在一场友谊毽子比赛中，D选手高高踢起毽子，毽子高高飞起，但落到了场地外。会发生什么？")</f>
        <v>在一场友谊毽子比赛中，D选手高高踢起毽子，毽子高高飞起，但落到了场地外。会发生什么？</v>
      </c>
      <c r="J30" s="24" t="str">
        <f>IFERROR(__xludf.DUMMYFUNCTION("GOOGLETRANSLATE(C30, ""en"", ""zh"")"),"A) D 玩家输掉该回合；B) D 玩家赢得该回合；C) 该回合重赛；D) D 玩家受到处罚。")</f>
        <v>A) D 玩家输掉该回合；B) D 玩家赢得该回合；C) 该回合重赛；D) D 玩家受到处罚。</v>
      </c>
      <c r="K30" s="24" t="str">
        <f>IFERROR(__xludf.DUMMYFUNCTION("GOOGLETRANSLATE(D30, ""en"", ""zh"")"),"A) D 玩家输掉了这一局。")</f>
        <v>A) D 玩家输掉了这一局。</v>
      </c>
      <c r="L30" s="24" t="str">
        <f>IFERROR(__xludf.DUMMYFUNCTION("GOOGLETRANSLATE(E30, ""en"", ""zh"")"),"在毽子中，如果毽子出界，无论踢得多么精彩，该球员都输掉这一局。")</f>
        <v>在毽子中，如果毽子出界，无论踢得多么精彩，该球员都输掉这一局。</v>
      </c>
      <c r="M30" s="22"/>
      <c r="N30" s="22"/>
      <c r="O30" s="22"/>
      <c r="P30" s="22"/>
      <c r="Q30" s="2"/>
      <c r="R30" s="2"/>
      <c r="S30" s="2"/>
      <c r="T30" s="2"/>
      <c r="U30" s="2"/>
      <c r="V30" s="2"/>
      <c r="W30" s="2"/>
      <c r="X30" s="2"/>
      <c r="Y30" s="2"/>
      <c r="Z30" s="2"/>
      <c r="AA30" s="2"/>
      <c r="AB30" s="2"/>
    </row>
    <row r="31">
      <c r="A31" s="30">
        <v>30.0</v>
      </c>
      <c r="B31" s="24" t="s">
        <v>960</v>
      </c>
      <c r="C31" s="24" t="s">
        <v>961</v>
      </c>
      <c r="D31" s="24" t="s">
        <v>861</v>
      </c>
      <c r="E31" s="24" t="s">
        <v>962</v>
      </c>
      <c r="F31" s="2"/>
      <c r="G31" s="2"/>
      <c r="H31" s="31"/>
      <c r="I31" s="24" t="str">
        <f>IFERROR(__xludf.DUMMYFUNCTION("GOOGLETRANSLATE(B31, ""en"", ""zh"")"),"在毽子比赛中，A选手大力旋转毽子，但毽子落地后又迅速返回空中。接下来会发生什么？")</f>
        <v>在毽子比赛中，A选手大力旋转毽子，但毽子落地后又迅速返回空中。接下来会发生什么？</v>
      </c>
      <c r="J31" s="24" t="str">
        <f>IFERROR(__xludf.DUMMYFUNCTION("GOOGLETRANSLATE(C31, ""en"", ""zh"")"),"A) 该轮比赛重赛；B) A 玩家输掉该轮比赛；C) A 玩家赢得该轮比赛；D) 该轮比赛无效。")</f>
        <v>A) 该轮比赛重赛；B) A 玩家输掉该轮比赛；C) A 玩家赢得该轮比赛；D) 该轮比赛无效。</v>
      </c>
      <c r="K31" s="24" t="str">
        <f>IFERROR(__xludf.DUMMYFUNCTION("GOOGLETRANSLATE(D31, ""en"", ""zh"")"),"B) A玩家输掉本轮")</f>
        <v>B) A玩家输掉本轮</v>
      </c>
      <c r="L31" s="24" t="str">
        <f>IFERROR(__xludf.DUMMYFUNCTION("GOOGLETRANSLATE(E31, ""en"", ""zh"")"),"在毽子比赛中，无论球员做了多少花式动作，只要毽子触地，该球员就输掉这一局。")</f>
        <v>在毽子比赛中，无论球员做了多少花式动作，只要毽子触地，该球员就输掉这一局。</v>
      </c>
      <c r="M31" s="22"/>
      <c r="N31" s="22"/>
      <c r="O31" s="22"/>
      <c r="P31" s="22"/>
      <c r="Q31" s="2"/>
      <c r="R31" s="2"/>
      <c r="S31" s="2"/>
      <c r="T31" s="2"/>
      <c r="U31" s="2"/>
      <c r="V31" s="2"/>
      <c r="W31" s="2"/>
      <c r="X31" s="2"/>
      <c r="Y31" s="2"/>
      <c r="Z31" s="2"/>
      <c r="AA31" s="2"/>
      <c r="AB31" s="2"/>
    </row>
    <row r="32">
      <c r="A32" s="30">
        <v>31.0</v>
      </c>
      <c r="B32" s="24" t="s">
        <v>963</v>
      </c>
      <c r="C32" s="24" t="s">
        <v>933</v>
      </c>
      <c r="D32" s="24" t="s">
        <v>916</v>
      </c>
      <c r="E32" s="24" t="s">
        <v>964</v>
      </c>
      <c r="F32" s="2"/>
      <c r="G32" s="2"/>
      <c r="H32" s="31"/>
      <c r="I32" s="24" t="str">
        <f>IFERROR(__xludf.DUMMYFUNCTION("GOOGLETRANSLATE(B32, ""en"", ""zh"")"),"在毽子比赛中，A选手踢出一记精彩的射门，使毽子在空中停留了45秒。这一回合的比分是多少？")</f>
        <v>在毽子比赛中，A选手踢出一记精彩的射门，使毽子在空中停留了45秒。这一回合的比分是多少？</v>
      </c>
      <c r="J32" s="24" t="str">
        <f>IFERROR(__xludf.DUMMYFUNCTION("GOOGLETRANSLATE(C32, ""en"", ""zh"")"),"A) A 玩家赢得该回合，B) B 玩家赢得该回合，C) 该回合为平局，D) 该回合无效")</f>
        <v>A) A 玩家赢得该回合，B) B 玩家赢得该回合，C) 该回合为平局，D) 该回合无效</v>
      </c>
      <c r="K32" s="24" t="str">
        <f>IFERROR(__xludf.DUMMYFUNCTION("GOOGLETRANSLATE(D32, ""en"", ""zh"")"),"A) 玩家 A 赢得该回合")</f>
        <v>A) 玩家 A 赢得该回合</v>
      </c>
      <c r="L32" s="24" t="str">
        <f>IFERROR(__xludf.DUMMYFUNCTION("GOOGLETRANSLATE(E32, ""en"", ""zh"")"),"在毽子中，像长时间让毽子保持在空中这样令人印象深刻的技巧备受推崇。A选手赢得本局。")</f>
        <v>在毽子中，像长时间让毽子保持在空中这样令人印象深刻的技巧备受推崇。A选手赢得本局。</v>
      </c>
      <c r="M32" s="22"/>
      <c r="N32" s="22"/>
      <c r="O32" s="22"/>
      <c r="P32" s="22"/>
      <c r="Q32" s="2"/>
      <c r="R32" s="2"/>
      <c r="S32" s="2"/>
      <c r="T32" s="2"/>
      <c r="U32" s="2"/>
      <c r="V32" s="2"/>
      <c r="W32" s="2"/>
      <c r="X32" s="2"/>
      <c r="Y32" s="2"/>
      <c r="Z32" s="2"/>
      <c r="AA32" s="2"/>
      <c r="AB32" s="2"/>
    </row>
    <row r="33">
      <c r="A33" s="30">
        <v>32.0</v>
      </c>
      <c r="B33" s="24" t="s">
        <v>965</v>
      </c>
      <c r="C33" s="24" t="s">
        <v>966</v>
      </c>
      <c r="D33" s="24" t="s">
        <v>967</v>
      </c>
      <c r="E33" s="24" t="s">
        <v>968</v>
      </c>
      <c r="F33" s="2"/>
      <c r="G33" s="2"/>
      <c r="H33" s="31"/>
      <c r="I33" s="24" t="str">
        <f>IFERROR(__xludf.DUMMYFUNCTION("GOOGLETRANSLATE(B33, ""en"", ""zh"")"),"球员 Z 正在表演花式踢球，但在试图保持羽毛球在空中时，不慎失去平衡，手触地。结果如何？")</f>
        <v>球员 Z 正在表演花式踢球，但在试图保持羽毛球在空中时，不慎失去平衡，手触地。结果如何？</v>
      </c>
      <c r="J33" s="24" t="str">
        <f>IFERROR(__xludf.DUMMYFUNCTION("GOOGLETRANSLATE(C33, ""en"", ""zh"")"),"A) 玩家 Z 赢得该回合，B) 玩家 Z 输掉该回合，C) 该回合重赛，D) 该回合无效")</f>
        <v>A) 玩家 Z 赢得该回合，B) 玩家 Z 输掉该回合，C) 该回合重赛，D) 该回合无效</v>
      </c>
      <c r="K33" s="24" t="str">
        <f>IFERROR(__xludf.DUMMYFUNCTION("GOOGLETRANSLATE(D33, ""en"", ""zh"")"),"B) 玩家 Z 输掉本轮")</f>
        <v>B) 玩家 Z 输掉本轮</v>
      </c>
      <c r="L33" s="24" t="str">
        <f>IFERROR(__xludf.DUMMYFUNCTION("GOOGLETRANSLATE(E33, ""en"", ""zh"")"),"在毽子中，如果球员除脚以外身体的任何部位触地，则该局输掉。")</f>
        <v>在毽子中，如果球员除脚以外身体的任何部位触地，则该局输掉。</v>
      </c>
      <c r="M33" s="22"/>
      <c r="N33" s="22"/>
      <c r="O33" s="22"/>
      <c r="P33" s="22"/>
      <c r="Q33" s="2"/>
      <c r="R33" s="2"/>
      <c r="S33" s="2"/>
      <c r="T33" s="2"/>
      <c r="U33" s="2"/>
      <c r="V33" s="2"/>
      <c r="W33" s="2"/>
      <c r="X33" s="2"/>
      <c r="Y33" s="2"/>
      <c r="Z33" s="2"/>
      <c r="AA33" s="2"/>
      <c r="AB33" s="2"/>
    </row>
    <row r="34">
      <c r="A34" s="30">
        <v>33.0</v>
      </c>
      <c r="B34" s="24" t="s">
        <v>969</v>
      </c>
      <c r="C34" s="24" t="s">
        <v>970</v>
      </c>
      <c r="D34" s="24" t="s">
        <v>916</v>
      </c>
      <c r="E34" s="24" t="s">
        <v>971</v>
      </c>
      <c r="F34" s="2"/>
      <c r="G34" s="2"/>
      <c r="H34" s="31"/>
      <c r="I34" s="24" t="str">
        <f>IFERROR(__xludf.DUMMYFUNCTION("GOOGLETRANSLATE(B34, ""en"", ""zh"")"),"在毽子比赛中，A选手连续毽子在空中停留了50次，B选手只能毽子停留40次。根据他们的表现，谁赢得了这一轮？")</f>
        <v>在毽子比赛中，A选手连续毽子在空中停留了50次，B选手只能毽子停留40次。根据他们的表现，谁赢得了这一轮？</v>
      </c>
      <c r="J34" s="24" t="str">
        <f>IFERROR(__xludf.DUMMYFUNCTION("GOOGLETRANSLATE(C34, ""en"", ""zh"")"),"A) A 玩家赢得本轮比赛，B) B 玩家赢得本轮比赛，C) 本轮比赛平局，D) 本轮比赛未结束")</f>
        <v>A) A 玩家赢得本轮比赛，B) B 玩家赢得本轮比赛，C) 本轮比赛平局，D) 本轮比赛未结束</v>
      </c>
      <c r="K34" s="24" t="str">
        <f>IFERROR(__xludf.DUMMYFUNCTION("GOOGLETRANSLATE(D34, ""en"", ""zh"")"),"A) 玩家 A 赢得该回合")</f>
        <v>A) 玩家 A 赢得该回合</v>
      </c>
      <c r="L34" s="24" t="str">
        <f>IFERROR(__xludf.DUMMYFUNCTION("GOOGLETRANSLATE(E34, ""en"", ""zh"")"),"在毽子比赛中，毽子在空中停留时间越长，踢得越多的选手赢得该局。A选手踢了50次，比B选手的40次多。")</f>
        <v>在毽子比赛中，毽子在空中停留时间越长，踢得越多的选手赢得该局。A选手踢了50次，比B选手的40次多。</v>
      </c>
      <c r="M34" s="22"/>
      <c r="N34" s="22"/>
      <c r="O34" s="22"/>
      <c r="P34" s="22"/>
      <c r="Q34" s="2"/>
      <c r="R34" s="2"/>
      <c r="S34" s="2"/>
      <c r="T34" s="2"/>
      <c r="U34" s="2"/>
      <c r="V34" s="2"/>
      <c r="W34" s="2"/>
      <c r="X34" s="2"/>
      <c r="Y34" s="2"/>
      <c r="Z34" s="2"/>
      <c r="AA34" s="2"/>
      <c r="AB34" s="2"/>
    </row>
    <row r="35">
      <c r="A35" s="30">
        <v>34.0</v>
      </c>
      <c r="B35" s="24" t="s">
        <v>972</v>
      </c>
      <c r="C35" s="24" t="s">
        <v>973</v>
      </c>
      <c r="D35" s="24" t="s">
        <v>974</v>
      </c>
      <c r="E35" s="24" t="s">
        <v>975</v>
      </c>
      <c r="F35" s="2"/>
      <c r="G35" s="2"/>
      <c r="H35" s="31"/>
      <c r="I35" s="24" t="str">
        <f>IFERROR(__xludf.DUMMYFUNCTION("GOOGLETRANSLATE(B35, ""en"", ""zh"")"),"在一场友谊毽子比赛中，X 球员用左脚踢毽子，踢了 15 脚后毽子落地。Y 球员接着用右脚踢毽子，踢了 18 脚后毽子。下列哪个说法是正确的？")</f>
        <v>在一场友谊毽子比赛中，X 球员用左脚踢毽子，踢了 15 脚后毽子落地。Y 球员接着用右脚踢毽子，踢了 18 脚后毽子。下列哪个说法是正确的？</v>
      </c>
      <c r="J35" s="24" t="str">
        <f>IFERROR(__xludf.DUMMYFUNCTION("GOOGLETRANSLATE(C35, ""en"", ""zh"")"),"A) X 玩家赢得了比赛，B) Y 玩家赢得了比赛，C) 比赛打成平局，D) X 玩家比 Y 玩家更有控制力。")</f>
        <v>A) X 玩家赢得了比赛，B) Y 玩家赢得了比赛，C) 比赛打成平局，D) X 玩家比 Y 玩家更有控制力。</v>
      </c>
      <c r="K35" s="24" t="str">
        <f>IFERROR(__xludf.DUMMYFUNCTION("GOOGLETRANSLATE(D35, ""en"", ""zh"")"),"B）Y选手赢得了比赛")</f>
        <v>B）Y选手赢得了比赛</v>
      </c>
      <c r="L35" s="24" t="str">
        <f>IFERROR(__xludf.DUMMYFUNCTION("GOOGLETRANSLATE(E35, ""en"", ""zh"")"),"踢球次数多的选手赢得比赛。Y选手踢了18次羽毛球，比X选手的15次多。")</f>
        <v>踢球次数多的选手赢得比赛。Y选手踢了18次羽毛球，比X选手的15次多。</v>
      </c>
      <c r="M35" s="22"/>
      <c r="N35" s="22"/>
      <c r="O35" s="22"/>
      <c r="P35" s="22"/>
      <c r="Q35" s="2"/>
      <c r="R35" s="2"/>
      <c r="S35" s="2"/>
      <c r="T35" s="2"/>
      <c r="U35" s="2"/>
      <c r="V35" s="2"/>
      <c r="W35" s="2"/>
      <c r="X35" s="2"/>
      <c r="Y35" s="2"/>
      <c r="Z35" s="2"/>
      <c r="AA35" s="2"/>
      <c r="AB35" s="2"/>
    </row>
    <row r="36">
      <c r="A36" s="30">
        <v>35.0</v>
      </c>
      <c r="B36" s="24" t="s">
        <v>976</v>
      </c>
      <c r="C36" s="24" t="s">
        <v>977</v>
      </c>
      <c r="D36" s="24" t="s">
        <v>978</v>
      </c>
      <c r="E36" s="24" t="s">
        <v>979</v>
      </c>
      <c r="F36" s="2"/>
      <c r="G36" s="2"/>
      <c r="H36" s="31"/>
      <c r="I36" s="24" t="str">
        <f>IFERROR(__xludf.DUMMYFUNCTION("GOOGLETRANSLATE(B36, ""en"", ""zh"")"),"在毽子比赛中，A选手用完美的回旋踢击中毽子，B选手试图用同样的方式击球但未成功。这次交锋的结果是什么？")</f>
        <v>在毽子比赛中，A选手用完美的回旋踢击中毽子，B选手试图用同样的方式击球但未成功。这次交锋的结果是什么？</v>
      </c>
      <c r="J36" s="24" t="str">
        <f>IFERROR(__xludf.DUMMYFUNCTION("GOOGLETRANSLATE(C36, ""en"", ""zh"")"),"A) 玩家 A 得分，B) 玩家 B 得分，C) 本轮平局，D) 游戏暂停，重赛。")</f>
        <v>A) 玩家 A 得分，B) 玩家 B 得分，C) 本轮平局，D) 游戏暂停，重赛。</v>
      </c>
      <c r="K36" s="24" t="str">
        <f>IFERROR(__xludf.DUMMYFUNCTION("GOOGLETRANSLATE(D36, ""en"", ""zh"")"),"A) 玩家 A 得分")</f>
        <v>A) 玩家 A 得分</v>
      </c>
      <c r="L36" s="24" t="str">
        <f>IFERROR(__xludf.DUMMYFUNCTION("GOOGLETRANSLATE(E36, ""en"", ""zh"")"),"在毽子比赛中，成功踢出一记能让毽子在空中停留的毽子即可得分。A选手踢出一记完美的回旋踢，而B选手则未能命中。")</f>
        <v>在毽子比赛中，成功踢出一记能让毽子在空中停留的毽子即可得分。A选手踢出一记完美的回旋踢，而B选手则未能命中。</v>
      </c>
      <c r="M36" s="22"/>
      <c r="N36" s="22"/>
      <c r="O36" s="22"/>
      <c r="P36" s="22"/>
      <c r="Q36" s="2"/>
      <c r="R36" s="2"/>
      <c r="S36" s="2"/>
      <c r="T36" s="2"/>
      <c r="U36" s="2"/>
      <c r="V36" s="2"/>
      <c r="W36" s="2"/>
      <c r="X36" s="2"/>
      <c r="Y36" s="2"/>
      <c r="Z36" s="2"/>
      <c r="AA36" s="2"/>
      <c r="AB36" s="2"/>
    </row>
    <row r="37">
      <c r="A37" s="30">
        <v>36.0</v>
      </c>
      <c r="B37" s="24" t="s">
        <v>980</v>
      </c>
      <c r="C37" s="24" t="s">
        <v>981</v>
      </c>
      <c r="D37" s="24" t="s">
        <v>982</v>
      </c>
      <c r="E37" s="24" t="s">
        <v>983</v>
      </c>
      <c r="F37" s="2"/>
      <c r="G37" s="2"/>
      <c r="H37" s="31"/>
      <c r="I37" s="24" t="str">
        <f>IFERROR(__xludf.DUMMYFUNCTION("GOOGLETRANSLATE(B37, ""en"", ""zh"")"),"在毽子表演赛中，一名选手连续踢毽子30次，随后毽子被一阵微风吹落到地上。接下来会发生什么？")</f>
        <v>在毽子表演赛中，一名选手连续踢毽子30次，随后毽子被一阵微风吹落到地上。接下来会发生什么？</v>
      </c>
      <c r="J37" s="24" t="str">
        <f>IFERROR(__xludf.DUMMYFUNCTION("GOOGLETRANSLATE(C37, ""en"", ""zh"")"),"A) 该球员被取消比赛资格；B) 比赛暂停，直到羽毛球重新放置；C) 30次成功踢球后该回合结束；D) 球员捡回羽毛球后继续比赛。")</f>
        <v>A) 该球员被取消比赛资格；B) 比赛暂停，直到羽毛球重新放置；C) 30次成功踢球后该回合结束；D) 球员捡回羽毛球后继续比赛。</v>
      </c>
      <c r="K37" s="24" t="str">
        <f>IFERROR(__xludf.DUMMYFUNCTION("GOOGLETRANSLATE(D37, ""en"", ""zh"")"),"C）该回合以30次成功踢球结束。")</f>
        <v>C）该回合以30次成功踢球结束。</v>
      </c>
      <c r="L37" s="24" t="str">
        <f>IFERROR(__xludf.DUMMYFUNCTION("GOOGLETRANSLATE(E37, ""en"", ""zh"")"),"在毽子比赛中，如果毽子因风等外因素而倒下，则该回合以球员成功踢进的次数结束。")</f>
        <v>在毽子比赛中，如果毽子因风等外因素而倒下，则该回合以球员成功踢进的次数结束。</v>
      </c>
      <c r="M37" s="22"/>
      <c r="N37" s="22"/>
      <c r="O37" s="22"/>
      <c r="P37" s="22"/>
      <c r="Q37" s="2"/>
      <c r="R37" s="2"/>
      <c r="S37" s="2"/>
      <c r="T37" s="2"/>
      <c r="U37" s="2"/>
      <c r="V37" s="2"/>
      <c r="W37" s="2"/>
      <c r="X37" s="2"/>
      <c r="Y37" s="2"/>
      <c r="Z37" s="2"/>
      <c r="AA37" s="2"/>
      <c r="AB37" s="2"/>
    </row>
    <row r="38">
      <c r="A38" s="30">
        <v>37.0</v>
      </c>
      <c r="B38" s="24" t="s">
        <v>984</v>
      </c>
      <c r="C38" s="24" t="s">
        <v>985</v>
      </c>
      <c r="D38" s="24" t="s">
        <v>986</v>
      </c>
      <c r="E38" s="24" t="s">
        <v>987</v>
      </c>
      <c r="F38" s="2"/>
      <c r="G38" s="2"/>
      <c r="H38" s="31"/>
      <c r="I38" s="24" t="str">
        <f>IFERROR(__xludf.DUMMYFUNCTION("GOOGLETRANSLATE(B38, ""en"", ""zh"")"),"在一场职业毽子比赛中，一名选手踢出一记毽子，毽子飞向空中，但落到了自己身后。选手迅速转身，再次将毽子踢回场内。这体现了该选手怎样的技术水平？")</f>
        <v>在一场职业毽子比赛中，一名选手踢出一记毽子，毽子飞向空中，但落到了自己身后。选手迅速转身，再次将毽子踢回场内。这体现了该选手怎样的技术水平？</v>
      </c>
      <c r="J38" s="24" t="str">
        <f>IFERROR(__xludf.DUMMYFUNCTION("GOOGLETRANSLATE(C38, ""en"", ""zh"")"),"A) 该球员反应敏捷；B) 该球员犯了错误；C) 该球员缺乏协调性；D) 该球员因失误被取消比赛资格。")</f>
        <v>A) 该球员反应敏捷；B) 该球员犯了错误；C) 该球员缺乏协调性；D) 该球员因失误被取消比赛资格。</v>
      </c>
      <c r="K38" s="24" t="str">
        <f>IFERROR(__xludf.DUMMYFUNCTION("GOOGLETRANSLATE(D38, ""en"", ""zh"")"),"A) 该球员反应敏捷")</f>
        <v>A) 该球员反应敏捷</v>
      </c>
      <c r="L38" s="24" t="str">
        <f>IFERROR(__xludf.DUMMYFUNCTION("GOOGLETRANSLATE(E38, ""en"", ""zh"")"),"毽子需要极高的协调性和反应能力。球员能够迅速回位并将毽子重新击回场内，体现了高超的技巧。")</f>
        <v>毽子需要极高的协调性和反应能力。球员能够迅速回位并将毽子重新击回场内，体现了高超的技巧。</v>
      </c>
      <c r="M38" s="22"/>
      <c r="N38" s="22"/>
      <c r="O38" s="22"/>
      <c r="P38" s="22"/>
      <c r="Q38" s="2"/>
      <c r="R38" s="2"/>
      <c r="S38" s="2"/>
      <c r="T38" s="2"/>
      <c r="U38" s="2"/>
      <c r="V38" s="2"/>
      <c r="W38" s="2"/>
      <c r="X38" s="2"/>
      <c r="Y38" s="2"/>
      <c r="Z38" s="2"/>
      <c r="AA38" s="2"/>
      <c r="AB38" s="2"/>
    </row>
    <row r="39">
      <c r="A39" s="30">
        <v>38.0</v>
      </c>
      <c r="B39" s="24" t="s">
        <v>988</v>
      </c>
      <c r="C39" s="24" t="s">
        <v>989</v>
      </c>
      <c r="D39" s="24" t="s">
        <v>990</v>
      </c>
      <c r="E39" s="24" t="s">
        <v>991</v>
      </c>
      <c r="F39" s="2"/>
      <c r="G39" s="2"/>
      <c r="H39" s="31"/>
      <c r="I39" s="24" t="str">
        <f>IFERROR(__xludf.DUMMYFUNCTION("GOOGLETRANSLATE(B39, ""en"", ""zh"")"),"在毽子比赛中，A选手和B选手围成一圈打毽子。A选手趁B选手反应不及，将毽子踢过B选手的头顶。A选手可能采用了什么策略？")</f>
        <v>在毽子比赛中，A选手和B选手围成一圈打毽子。A选手趁B选手反应不及，将毽子踢过B选手的头顶。A选手可能采用了什么策略？</v>
      </c>
      <c r="J39" s="24" t="str">
        <f>IFERROR(__xludf.DUMMYFUNCTION("GOOGLETRANSLATE(C39, ""en"", ""zh"")"),"A) 球员A使用了出其不意的倒钩射门，B) 球员A进攻过于激进，C) 球员A出界，D) 球员A犯错")</f>
        <v>A) 球员A使用了出其不意的倒钩射门，B) 球员A进攻过于激进，C) 球员A出界，D) 球员A犯错</v>
      </c>
      <c r="K39" s="24" t="str">
        <f>IFERROR(__xludf.DUMMYFUNCTION("GOOGLETRANSLATE(D39, ""en"", ""zh"")"),"A) 球员A使用了一记出其不意的倒钩射门")</f>
        <v>A) 球员A使用了一记出其不意的倒钩射门</v>
      </c>
      <c r="L39" s="24" t="str">
        <f>IFERROR(__xludf.DUMMYFUNCTION("GOOGLETRANSLATE(E39, ""en"", ""zh"")"),"在剑术中，用出其不意的踢击，例如高位踢，来出其不意地攻击对手，是一种取得优势的有效策略。")</f>
        <v>在剑术中，用出其不意的踢击，例如高位踢，来出其不意地攻击对手，是一种取得优势的有效策略。</v>
      </c>
      <c r="M39" s="22"/>
      <c r="N39" s="22"/>
      <c r="O39" s="22"/>
      <c r="P39" s="22"/>
      <c r="Q39" s="2"/>
      <c r="R39" s="2"/>
      <c r="S39" s="2"/>
      <c r="T39" s="2"/>
      <c r="U39" s="2"/>
      <c r="V39" s="2"/>
      <c r="W39" s="2"/>
      <c r="X39" s="2"/>
      <c r="Y39" s="2"/>
      <c r="Z39" s="2"/>
      <c r="AA39" s="2"/>
      <c r="AB39" s="2"/>
    </row>
    <row r="40">
      <c r="A40" s="30">
        <v>39.0</v>
      </c>
      <c r="B40" s="24" t="s">
        <v>992</v>
      </c>
      <c r="C40" s="24" t="s">
        <v>993</v>
      </c>
      <c r="D40" s="24" t="s">
        <v>994</v>
      </c>
      <c r="E40" s="24" t="s">
        <v>995</v>
      </c>
      <c r="F40" s="2"/>
      <c r="G40" s="2"/>
      <c r="H40" s="31"/>
      <c r="I40" s="24" t="str">
        <f>IFERROR(__xludf.DUMMYFUNCTION("GOOGLETRANSLATE(B40, ""en"", ""zh"")"),"毽子比赛是指两名选手长时间来回踢毽子。如果X选手失误掉球，而Y选手紧接着也掉球，那么谁赢得这一局？")</f>
        <v>毽子比赛是指两名选手长时间来回踢毽子。如果X选手失误掉球，而Y选手紧接着也掉球，那么谁赢得这一局？</v>
      </c>
      <c r="J40" s="24" t="str">
        <f>IFERROR(__xludf.DUMMYFUNCTION("GOOGLETRANSLATE(C40, ""en"", ""zh"")"),"A) X 玩家获胜，B) Y 玩家获胜，C) 本轮平局，D) 比赛继续进行，但仍未分出胜负。")</f>
        <v>A) X 玩家获胜，B) Y 玩家获胜，C) 本轮平局，D) 比赛继续进行，但仍未分出胜负。</v>
      </c>
      <c r="K40" s="24" t="str">
        <f>IFERROR(__xludf.DUMMYFUNCTION("GOOGLETRANSLATE(D40, ""en"", ""zh"")"),"C) 本轮比赛以平局告终")</f>
        <v>C) 本轮比赛以平局告终</v>
      </c>
      <c r="L40" s="24" t="str">
        <f>IFERROR(__xludf.DUMMYFUNCTION("GOOGLETRANSLATE(E40, ""en"", ""zh"")"),"如果双方玩家在同一轮中都出现失误，则该轮判为平局，比赛将继续进行下一轮。")</f>
        <v>如果双方玩家在同一轮中都出现失误，则该轮判为平局，比赛将继续进行下一轮。</v>
      </c>
      <c r="M40" s="22"/>
      <c r="N40" s="21"/>
      <c r="O40" s="22"/>
      <c r="P40" s="21"/>
      <c r="Q40" s="2"/>
      <c r="R40" s="2"/>
      <c r="S40" s="2"/>
      <c r="T40" s="2"/>
      <c r="U40" s="2"/>
      <c r="V40" s="2"/>
      <c r="W40" s="2"/>
      <c r="X40" s="2"/>
      <c r="Y40" s="2"/>
      <c r="Z40" s="2"/>
      <c r="AA40" s="2"/>
      <c r="AB40" s="2"/>
    </row>
    <row r="41">
      <c r="A41" s="30">
        <v>40.0</v>
      </c>
      <c r="B41" s="24" t="s">
        <v>996</v>
      </c>
      <c r="C41" s="24" t="s">
        <v>997</v>
      </c>
      <c r="D41" s="24" t="s">
        <v>998</v>
      </c>
      <c r="E41" s="24" t="s">
        <v>999</v>
      </c>
      <c r="F41" s="2"/>
      <c r="G41" s="2"/>
      <c r="H41" s="31"/>
      <c r="I41" s="24" t="str">
        <f>IFERROR(__xludf.DUMMYFUNCTION("GOOGLETRANSLATE(B41, ""en"", ""zh"")"),"在毽子比赛中，一名选手踢毽子，毽子飞向对方场地，但毽子在到达对方场地前落地。比赛结果如何？")</f>
        <v>在毽子比赛中，一名选手踢毽子，毽子飞向对方场地，但毽子在到达对方场地前落地。比赛结果如何？</v>
      </c>
      <c r="J41" s="24" t="str">
        <f>IFERROR(__xludf.DUMMYFUNCTION("GOOGLETRANSLATE(C41, ""en"", ""zh"")"),"A) 玩家失分，B) 玩家得分，C) 游戏暂停，D) 该回合无效")</f>
        <v>A) 玩家失分，B) 玩家得分，C) 游戏暂停，D) 该回合无效</v>
      </c>
      <c r="K41" s="24" t="str">
        <f>IFERROR(__xludf.DUMMYFUNCTION("GOOGLETRANSLATE(D41, ""en"", ""zh"")"),"A) 该玩家失一分")</f>
        <v>A) 该玩家失一分</v>
      </c>
      <c r="L41" s="24" t="str">
        <f>IFERROR(__xludf.DUMMYFUNCTION("GOOGLETRANSLATE(E41, ""en"", ""zh"")"),"毽子比赛中，毽子必须在空中停留一段时间才能得分。如果毽子在到达对方球员之前落地，则该球员失分。")</f>
        <v>毽子比赛中，毽子必须在空中停留一段时间才能得分。如果毽子在到达对方球员之前落地，则该球员失分。</v>
      </c>
      <c r="M41" s="22"/>
      <c r="N41" s="22"/>
      <c r="O41" s="22"/>
      <c r="P41" s="22"/>
      <c r="Q41" s="2"/>
      <c r="R41" s="2"/>
      <c r="S41" s="2"/>
      <c r="T41" s="2"/>
      <c r="U41" s="2"/>
      <c r="V41" s="2"/>
      <c r="W41" s="2"/>
      <c r="X41" s="2"/>
      <c r="Y41" s="2"/>
      <c r="Z41" s="2"/>
      <c r="AA41" s="2"/>
      <c r="AB41" s="2"/>
    </row>
    <row r="42">
      <c r="A42" s="30">
        <v>41.0</v>
      </c>
      <c r="B42" s="24" t="s">
        <v>1000</v>
      </c>
      <c r="C42" s="24" t="s">
        <v>1001</v>
      </c>
      <c r="D42" s="24" t="s">
        <v>861</v>
      </c>
      <c r="E42" s="24" t="s">
        <v>1002</v>
      </c>
      <c r="F42" s="2"/>
      <c r="G42" s="2"/>
      <c r="H42" s="31"/>
      <c r="I42" s="24" t="str">
        <f>IFERROR(__xludf.DUMMYFUNCTION("GOOGLETRANSLATE(B42, ""en"", ""zh"")"),"在一场毽子友谊赛中，A选手用左脚踢毽子，毽子踢出了圈外。对方选手来不及接球。接下来会发生什么？")</f>
        <v>在一场毽子友谊赛中，A选手用左脚踢毽子，毽子踢出了圈外。对方选手来不及接球。接下来会发生什么？</v>
      </c>
      <c r="J42" s="24" t="str">
        <f>IFERROR(__xludf.DUMMYFUNCTION("GOOGLETRANSLATE(C42, ""en"", ""zh"")"),"A) A 玩家赢得该回合，B) A 玩家输掉该回合，C) 比赛终止，D) B 玩家赢得该回合")</f>
        <v>A) A 玩家赢得该回合，B) A 玩家输掉该回合，C) 比赛终止，D) B 玩家赢得该回合</v>
      </c>
      <c r="K42" s="24" t="str">
        <f>IFERROR(__xludf.DUMMYFUNCTION("GOOGLETRANSLATE(D42, ""en"", ""zh"")"),"B) A玩家输掉本轮")</f>
        <v>B) A玩家输掉本轮</v>
      </c>
      <c r="L42" s="24" t="str">
        <f>IFERROR(__xludf.DUMMYFUNCTION("GOOGLETRANSLATE(E42, ""en"", ""zh"")"),"毽子比赛中，毽子必须留在比赛区域内。如果毽子飞出界外太远，踢毽子的一方输掉这一局。")</f>
        <v>毽子比赛中，毽子必须留在比赛区域内。如果毽子飞出界外太远，踢毽子的一方输掉这一局。</v>
      </c>
      <c r="M42" s="22"/>
      <c r="N42" s="22"/>
      <c r="O42" s="22"/>
      <c r="P42" s="22"/>
      <c r="Q42" s="2"/>
      <c r="R42" s="2"/>
      <c r="S42" s="2"/>
      <c r="T42" s="2"/>
      <c r="U42" s="2"/>
      <c r="V42" s="2"/>
      <c r="W42" s="2"/>
      <c r="X42" s="2"/>
      <c r="Y42" s="2"/>
      <c r="Z42" s="2"/>
      <c r="AA42" s="2"/>
      <c r="AB42" s="2"/>
    </row>
    <row r="43">
      <c r="A43" s="30">
        <v>42.0</v>
      </c>
      <c r="B43" s="24" t="s">
        <v>1003</v>
      </c>
      <c r="C43" s="24" t="s">
        <v>1004</v>
      </c>
      <c r="D43" s="24" t="s">
        <v>1005</v>
      </c>
      <c r="E43" s="24" t="s">
        <v>1006</v>
      </c>
      <c r="F43" s="2"/>
      <c r="G43" s="2"/>
      <c r="H43" s="31"/>
      <c r="I43" s="24" t="str">
        <f>IFERROR(__xludf.DUMMYFUNCTION("GOOGLETRANSLATE(B43, ""en"", ""zh"")"),"在毽子比赛中，X 和 Y 决定进行限时挑战，看谁能让毽子在空中停留的时间最长。X 坚持了 1 分钟，Y 坚持了 2 分钟。谁赢得了挑战？")</f>
        <v>在毽子比赛中，X 和 Y 决定进行限时挑战，看谁能让毽子在空中停留的时间最长。X 坚持了 1 分钟，Y 坚持了 2 分钟。谁赢得了挑战？</v>
      </c>
      <c r="J43" s="24" t="str">
        <f>IFERROR(__xludf.DUMMYFUNCTION("GOOGLETRANSLATE(C43, ""en"", ""zh"")"),"A) X 玩家获胜，B) Y 玩家获胜，C) 比赛平局，D) 挑战无效")</f>
        <v>A) X 玩家获胜，B) Y 玩家获胜，C) 比赛平局，D) 挑战无效</v>
      </c>
      <c r="K43" s="24" t="str">
        <f>IFERROR(__xludf.DUMMYFUNCTION("GOOGLETRANSLATE(D43, ""en"", ""zh"")"),"B) 玩家 Y 获胜")</f>
        <v>B) 玩家 Y 获胜</v>
      </c>
      <c r="L43" s="24" t="str">
        <f>IFERROR(__xludf.DUMMYFUNCTION("GOOGLETRANSLATE(E43, ""en"", ""zh"")"),"在限时挑战赛中，让羽毛球在空中停留时间最长的选手获胜。Y选手坚持了2分钟，比X选手的1分钟长。")</f>
        <v>在限时挑战赛中，让羽毛球在空中停留时间最长的选手获胜。Y选手坚持了2分钟，比X选手的1分钟长。</v>
      </c>
      <c r="M43" s="22"/>
      <c r="N43" s="22"/>
      <c r="O43" s="22"/>
      <c r="P43" s="22"/>
      <c r="Q43" s="2"/>
      <c r="R43" s="2"/>
      <c r="S43" s="2"/>
      <c r="T43" s="2"/>
      <c r="U43" s="2"/>
      <c r="V43" s="2"/>
      <c r="W43" s="2"/>
      <c r="X43" s="2"/>
      <c r="Y43" s="2"/>
      <c r="Z43" s="2"/>
      <c r="AA43" s="2"/>
      <c r="AB43" s="2"/>
    </row>
    <row r="44">
      <c r="A44" s="30">
        <v>43.0</v>
      </c>
      <c r="B44" s="24" t="s">
        <v>1007</v>
      </c>
      <c r="C44" s="24" t="s">
        <v>1008</v>
      </c>
      <c r="D44" s="24" t="s">
        <v>1009</v>
      </c>
      <c r="E44" s="24" t="s">
        <v>1010</v>
      </c>
      <c r="F44" s="2"/>
      <c r="G44" s="2"/>
      <c r="H44" s="31"/>
      <c r="I44" s="24" t="str">
        <f>IFERROR(__xludf.DUMMYFUNCTION("GOOGLETRANSLATE(B44, ""en"", ""zh"")"),"在毽子比赛中，A选手完美地踢出一记弧线完美的毽子，毽子飞向B选手。B选手也用一记漂亮的踢毽子将毽子回击。这说明了他们怎样的技术水平？")</f>
        <v>在毽子比赛中，A选手完美地踢出一记弧线完美的毽子，毽子飞向B选手。B选手也用一记漂亮的踢毽子将毽子回击。这说明了他们怎样的技术水平？</v>
      </c>
      <c r="J44" s="24" t="str">
        <f>IFERROR(__xludf.DUMMYFUNCTION("GOOGLETRANSLATE(C44, ""en"", ""zh"")"),"A) 两名玩家技术都很精湛，B) 玩家A出现失误，C) 玩家B控球不佳，D) 游戏暂停。")</f>
        <v>A) 两名玩家技术都很精湛，B) 玩家A出现失误，C) 玩家B控球不佳，D) 游戏暂停。</v>
      </c>
      <c r="K44" s="24" t="str">
        <f>IFERROR(__xludf.DUMMYFUNCTION("GOOGLETRANSLATE(D44, ""en"", ""zh"")"),"A) 两名球员都具备高超的技能")</f>
        <v>A) 两名球员都具备高超的技能</v>
      </c>
      <c r="L44" s="24" t="str">
        <f>IFERROR(__xludf.DUMMYFUNCTION("GOOGLETRANSLATE(E44, ""en"", ""zh"")"),"两名球员都展现出了精准成功的踢球能力，这表明他们在踢球方面都具备很高的技巧水平。")</f>
        <v>两名球员都展现出了精准成功的踢球能力，这表明他们在踢球方面都具备很高的技巧水平。</v>
      </c>
      <c r="M44" s="22"/>
      <c r="N44" s="22"/>
      <c r="O44" s="22"/>
      <c r="P44" s="22"/>
      <c r="Q44" s="2"/>
      <c r="R44" s="2"/>
      <c r="S44" s="2"/>
      <c r="T44" s="2"/>
      <c r="U44" s="2"/>
      <c r="V44" s="2"/>
      <c r="W44" s="2"/>
      <c r="X44" s="2"/>
      <c r="Y44" s="2"/>
      <c r="Z44" s="2"/>
      <c r="AA44" s="2"/>
      <c r="AB44" s="2"/>
    </row>
    <row r="45">
      <c r="A45" s="30">
        <v>44.0</v>
      </c>
      <c r="B45" s="24" t="s">
        <v>1011</v>
      </c>
      <c r="C45" s="24" t="s">
        <v>1012</v>
      </c>
      <c r="D45" s="24" t="s">
        <v>1013</v>
      </c>
      <c r="E45" s="24" t="s">
        <v>1014</v>
      </c>
      <c r="F45" s="2"/>
      <c r="G45" s="2"/>
      <c r="H45" s="31"/>
      <c r="I45" s="24" t="str">
        <f>IFERROR(__xludf.DUMMYFUNCTION("GOOGLETRANSLATE(B45, ""en"", ""zh"")"),"比赛中，A选手和B选手正在激烈地进行回合。A选手决定在击球时增加一些花式动作，在将球击向B选手之前做了一个旋转。这会对比赛产生什么影响？")</f>
        <v>比赛中，A选手和B选手正在激烈地进行回合。A选手决定在击球时增加一些花式动作，在将球击向B选手之前做了一个旋转。这会对比赛产生什么影响？</v>
      </c>
      <c r="J45" s="24" t="str">
        <f>IFERROR(__xludf.DUMMYFUNCTION("GOOGLETRANSLATE(C45, ""en"", ""zh"")"),"A) 玩家 A 通过一次精彩的操作获得优势；B) 比赛暂停进行重赛；C) 玩家 B 自动获胜；D) 该回合无效。")</f>
        <v>A) 玩家 A 通过一次精彩的操作获得优势；B) 比赛暂停进行重赛；C) 玩家 B 自动获胜；D) 该回合无效。</v>
      </c>
      <c r="K45" s="24" t="str">
        <f>IFERROR(__xludf.DUMMYFUNCTION("GOOGLETRANSLATE(D45, ""en"", ""zh"")"),"A) 玩家 A 通过一次精彩的操作获得优势。")</f>
        <v>A) 玩家 A 通过一次精彩的操作获得优势。</v>
      </c>
      <c r="L45" s="24" t="str">
        <f>IFERROR(__xludf.DUMMYFUNCTION("GOOGLETRANSLATE(E45, ""en"", ""zh"")"),"在毽子中，做出漂亮而高难度的踢球动作，可以展现技巧，使对手更难回击毽子，从而给球员带来优势。")</f>
        <v>在毽子中，做出漂亮而高难度的踢球动作，可以展现技巧，使对手更难回击毽子，从而给球员带来优势。</v>
      </c>
      <c r="M45" s="22"/>
      <c r="N45" s="22"/>
      <c r="O45" s="22"/>
      <c r="P45" s="22"/>
      <c r="Q45" s="2"/>
      <c r="R45" s="2"/>
      <c r="S45" s="2"/>
      <c r="T45" s="2"/>
      <c r="U45" s="2"/>
      <c r="V45" s="2"/>
      <c r="W45" s="2"/>
      <c r="X45" s="2"/>
      <c r="Y45" s="2"/>
      <c r="Z45" s="2"/>
      <c r="AA45" s="2"/>
      <c r="AB45" s="2"/>
    </row>
    <row r="46">
      <c r="A46" s="30">
        <v>45.0</v>
      </c>
      <c r="B46" s="24" t="s">
        <v>1015</v>
      </c>
      <c r="C46" s="24" t="s">
        <v>1016</v>
      </c>
      <c r="D46" s="24" t="s">
        <v>1017</v>
      </c>
      <c r="E46" s="24" t="s">
        <v>1018</v>
      </c>
      <c r="F46" s="2"/>
      <c r="G46" s="2"/>
      <c r="H46" s="31"/>
      <c r="I46" s="24" t="str">
        <f>IFERROR(__xludf.DUMMYFUNCTION("GOOGLETRANSLATE(B46, ""en"", ""zh"")"),"在毽子比赛中，X 选手和 Y 选手在沙地上打毽子。X 选手踢毽子，毽子沉入沙中，Y 选手很难将其捞起。接下来应该怎么办？")</f>
        <v>在毽子比赛中，X 选手和 Y 选手在沙地上打毽子。X 选手踢毽子，毽子沉入沙中，Y 选手很难将其捞起。接下来应该怎么办？</v>
      </c>
      <c r="J46" s="24" t="str">
        <f>IFERROR(__xludf.DUMMYFUNCTION("GOOGLETRANSLATE(C46, ""en"", ""zh"")"),"A) 比赛暂停，直到羽毛球被捡回；B) Y 选手获胜；C) 本轮比赛结束，X 选手获胜；D) X 选手失一分。")</f>
        <v>A) 比赛暂停，直到羽毛球被捡回；B) Y 选手获胜；C) 本轮比赛结束，X 选手获胜；D) X 选手失一分。</v>
      </c>
      <c r="K46" s="24" t="str">
        <f>IFERROR(__xludf.DUMMYFUNCTION("GOOGLETRANSLATE(D46, ""en"", ""zh"")"),"A）比赛暂停，直到羽毛球被捡回。")</f>
        <v>A）比赛暂停，直到羽毛球被捡回。</v>
      </c>
      <c r="L46" s="24" t="str">
        <f>IFERROR(__xludf.DUMMYFUNCTION("GOOGLETRANSLATE(E46, ""en"", ""zh"")"),"如果羽毛球丢失或难以找回，比赛暂停，待羽毛球重新回到比赛中后，球员即可继续比赛。")</f>
        <v>如果羽毛球丢失或难以找回，比赛暂停，待羽毛球重新回到比赛中后，球员即可继续比赛。</v>
      </c>
      <c r="M46" s="22"/>
      <c r="N46" s="22"/>
      <c r="O46" s="22"/>
      <c r="P46" s="22"/>
      <c r="Q46" s="2"/>
      <c r="R46" s="2"/>
      <c r="S46" s="2"/>
      <c r="T46" s="2"/>
      <c r="U46" s="2"/>
      <c r="V46" s="2"/>
      <c r="W46" s="2"/>
      <c r="X46" s="2"/>
      <c r="Y46" s="2"/>
      <c r="Z46" s="2"/>
      <c r="AA46" s="2"/>
      <c r="AB46" s="2"/>
    </row>
    <row r="47">
      <c r="A47" s="30">
        <v>46.0</v>
      </c>
      <c r="B47" s="24" t="s">
        <v>1019</v>
      </c>
      <c r="C47" s="24" t="s">
        <v>1020</v>
      </c>
      <c r="D47" s="24" t="s">
        <v>916</v>
      </c>
      <c r="E47" s="24" t="s">
        <v>1021</v>
      </c>
      <c r="F47" s="2"/>
      <c r="G47" s="2"/>
      <c r="H47" s="31"/>
      <c r="I47" s="24" t="str">
        <f>IFERROR(__xludf.DUMMYFUNCTION("GOOGLETRANSLATE(B47, ""en"", ""zh"")"),"在毽子比赛中，A选手完美地踢出一记毽子，毽子高高飞起。B选手迅速回击，但毽子落出了界外。接下来会发生什么？")</f>
        <v>在毽子比赛中，A选手完美地踢出一记毽子，毽子高高飞起。B选手迅速回击，但毽子落出了界外。接下来会发生什么？</v>
      </c>
      <c r="J47" s="24" t="str">
        <f>IFERROR(__xludf.DUMMYFUNCTION("GOOGLETRANSLATE(C47, ""en"", ""zh"")"),"A) 玩家A赢得本回合，B) 玩家B赢得本回合，C) 本回合平局，D) 游戏暂停，重赛。")</f>
        <v>A) 玩家A赢得本回合，B) 玩家B赢得本回合，C) 本回合平局，D) 游戏暂停，重赛。</v>
      </c>
      <c r="K47" s="24" t="str">
        <f>IFERROR(__xludf.DUMMYFUNCTION("GOOGLETRANSLATE(D47, ""en"", ""zh"")"),"A) 玩家 A 赢得该回合")</f>
        <v>A) 玩家 A 赢得该回合</v>
      </c>
      <c r="L47" s="24" t="str">
        <f>IFERROR(__xludf.DUMMYFUNCTION("GOOGLETRANSLATE(E47, ""en"", ""zh"")"),"在毽子中，如果回球出界，发球方输掉这一局。A 选手获胜，因为 B 选手的回球出界了。")</f>
        <v>在毽子中，如果回球出界，发球方输掉这一局。A 选手获胜，因为 B 选手的回球出界了。</v>
      </c>
      <c r="M47" s="22"/>
      <c r="N47" s="22"/>
      <c r="O47" s="22"/>
      <c r="P47" s="22"/>
      <c r="Q47" s="2"/>
      <c r="R47" s="2"/>
      <c r="S47" s="2"/>
      <c r="T47" s="2"/>
      <c r="U47" s="2"/>
      <c r="V47" s="2"/>
      <c r="W47" s="2"/>
      <c r="X47" s="2"/>
      <c r="Y47" s="2"/>
      <c r="Z47" s="2"/>
      <c r="AA47" s="2"/>
      <c r="AB47" s="2"/>
    </row>
    <row r="48">
      <c r="A48" s="30">
        <v>47.0</v>
      </c>
      <c r="B48" s="24" t="s">
        <v>1022</v>
      </c>
      <c r="C48" s="24" t="s">
        <v>1023</v>
      </c>
      <c r="D48" s="24" t="s">
        <v>1024</v>
      </c>
      <c r="E48" s="24" t="s">
        <v>1025</v>
      </c>
      <c r="F48" s="2"/>
      <c r="G48" s="2"/>
      <c r="H48" s="31"/>
      <c r="I48" s="24" t="str">
        <f>IFERROR(__xludf.DUMMYFUNCTION("GOOGLETRANSLATE(B48, ""en"", ""zh"")"),"在毽子比赛中，X 选手和 Y 选手正在比赛，有观众观看。X 选手连续踢了 45 次毽子，而 Y 选手踢了 50 次。以下哪个说法是正确的？")</f>
        <v>在毽子比赛中，X 选手和 Y 选手正在比赛，有观众观看。X 选手连续踢了 45 次毽子，而 Y 选手踢了 50 次。以下哪个说法是正确的？</v>
      </c>
      <c r="J48" s="24" t="str">
        <f>IFERROR(__xludf.DUMMYFUNCTION("GOOGLETRANSLATE(C48, ""en"", ""zh"")"),"A) X 玩家赢得该回合，B) Y 玩家赢得该回合，C) 该回合以平局结束，D) 比赛暂停。")</f>
        <v>A) X 玩家赢得该回合，B) Y 玩家赢得该回合，C) 该回合以平局结束，D) 比赛暂停。</v>
      </c>
      <c r="K48" s="24" t="str">
        <f>IFERROR(__xludf.DUMMYFUNCTION("GOOGLETRANSLATE(D48, ""en"", ""zh"")"),"B) 玩家 Y 赢得该回合")</f>
        <v>B) 玩家 Y 赢得该回合</v>
      </c>
      <c r="L48" s="24" t="str">
        <f>IFERROR(__xludf.DUMMYFUNCTION("GOOGLETRANSLATE(E48, ""en"", ""zh"")"),"让羽毛球在空中停留时间最长的选手赢得该回合。Y选手踢了50次，比X选手的45次多。")</f>
        <v>让羽毛球在空中停留时间最长的选手赢得该回合。Y选手踢了50次，比X选手的45次多。</v>
      </c>
      <c r="M48" s="22"/>
      <c r="N48" s="22"/>
      <c r="O48" s="22"/>
      <c r="P48" s="22"/>
      <c r="Q48" s="2"/>
      <c r="R48" s="2"/>
      <c r="S48" s="2"/>
      <c r="T48" s="2"/>
      <c r="U48" s="2"/>
      <c r="V48" s="2"/>
      <c r="W48" s="2"/>
      <c r="X48" s="2"/>
      <c r="Y48" s="2"/>
      <c r="Z48" s="2"/>
      <c r="AA48" s="2"/>
      <c r="AB48" s="2"/>
    </row>
    <row r="49">
      <c r="A49" s="30">
        <v>48.0</v>
      </c>
      <c r="B49" s="24" t="s">
        <v>1026</v>
      </c>
      <c r="C49" s="24" t="s">
        <v>1027</v>
      </c>
      <c r="D49" s="24" t="s">
        <v>1028</v>
      </c>
      <c r="E49" s="24" t="s">
        <v>1029</v>
      </c>
      <c r="F49" s="2"/>
      <c r="G49" s="2"/>
      <c r="H49" s="31"/>
      <c r="I49" s="24" t="str">
        <f>IFERROR(__xludf.DUMMYFUNCTION("GOOGLETRANSLATE(B49, ""en"", ""zh"")"),"球员A踢羽毛球，不小心击中了球员B的脸。接下来应该怎么办？")</f>
        <v>球员A踢羽毛球，不小心击中了球员B的脸。接下来应该怎么办？</v>
      </c>
      <c r="J49" s="24" t="str">
        <f>IFERROR(__xludf.DUMMYFUNCTION("GOOGLETRANSLATE(C49, ""en"", ""zh"")"),"A) A选手赢得该回合；B) 该回合暂停，B选手接受医疗救治；C) A选手输掉该回合；D) 比赛继续进行，未受影响。")</f>
        <v>A) A选手赢得该回合；B) 该回合暂停，B选手接受医疗救治；C) A选手输掉该回合；D) 比赛继续进行，未受影响。</v>
      </c>
      <c r="K49" s="24" t="str">
        <f>IFERROR(__xludf.DUMMYFUNCTION("GOOGLETRANSLATE(D49, ""en"", ""zh"")"),"B）比赛暂停，B选手接受医疗救治")</f>
        <v>B）比赛暂停，B选手接受医疗救治</v>
      </c>
      <c r="L49" s="24" t="str">
        <f>IFERROR(__xludf.DUMMYFUNCTION("GOOGLETRANSLATE(E49, ""en"", ""zh"")"),"如果球员受伤，比赛暂停进行医疗救治。该回合不计分，待伤情解决后比赛继续进行。")</f>
        <v>如果球员受伤，比赛暂停进行医疗救治。该回合不计分，待伤情解决后比赛继续进行。</v>
      </c>
      <c r="M49" s="22"/>
      <c r="N49" s="22"/>
      <c r="O49" s="22"/>
      <c r="P49" s="22"/>
      <c r="Q49" s="2"/>
      <c r="R49" s="2"/>
      <c r="S49" s="2"/>
      <c r="T49" s="2"/>
      <c r="U49" s="2"/>
      <c r="V49" s="2"/>
      <c r="W49" s="2"/>
      <c r="X49" s="2"/>
      <c r="Y49" s="2"/>
      <c r="Z49" s="2"/>
      <c r="AA49" s="2"/>
      <c r="AB49" s="2"/>
    </row>
    <row r="50">
      <c r="A50" s="30">
        <v>49.0</v>
      </c>
      <c r="B50" s="24" t="s">
        <v>1030</v>
      </c>
      <c r="C50" s="24" t="s">
        <v>1031</v>
      </c>
      <c r="D50" s="24" t="s">
        <v>1032</v>
      </c>
      <c r="E50" s="24" t="s">
        <v>1033</v>
      </c>
      <c r="F50" s="2"/>
      <c r="G50" s="2"/>
      <c r="H50" s="31"/>
      <c r="I50" s="24" t="str">
        <f>IFERROR(__xludf.DUMMYFUNCTION("GOOGLETRANSLATE(B50, ""en"", ""zh"")"),"A选手和B选手正在进行毽子比赛。A选手高高踢起毽子，毽子擦过B选手的头顶后掉到地上。接下来会发生什么？")</f>
        <v>A选手和B选手正在进行毽子比赛。A选手高高踢起毽子，毽子擦过B选手的头顶后掉到地上。接下来会发生什么？</v>
      </c>
      <c r="J50" s="24" t="str">
        <f>IFERROR(__xludf.DUMMYFUNCTION("GOOGLETRANSLATE(C50, ""en"", ""zh"")"),"A) 玩家 A 输掉本轮比赛，B) 玩家 B 获胜，C) 比赛继续进行，D) 玩家 A 赢得本轮比赛")</f>
        <v>A) 玩家 A 输掉本轮比赛，B) 玩家 B 获胜，C) 比赛继续进行，D) 玩家 A 赢得本轮比赛</v>
      </c>
      <c r="K50" s="24" t="str">
        <f>IFERROR(__xludf.DUMMYFUNCTION("GOOGLETRANSLATE(D50, ""en"", ""zh"")"),"A) 玩家 A 输掉本轮比赛")</f>
        <v>A) 玩家 A 输掉本轮比赛</v>
      </c>
      <c r="L50" s="24" t="str">
        <f>IFERROR(__xludf.DUMMYFUNCTION("GOOGLETRANSLATE(E50, ""en"", ""zh"")"),"在毽子中，如果毽子落地或碰到球员身体，而该球员未能成功回击，则踢毽子的球员输掉这一局。")</f>
        <v>在毽子中，如果毽子落地或碰到球员身体，而该球员未能成功回击，则踢毽子的球员输掉这一局。</v>
      </c>
      <c r="M50" s="22"/>
      <c r="N50" s="22"/>
      <c r="O50" s="22"/>
      <c r="P50" s="22"/>
      <c r="Q50" s="2"/>
      <c r="R50" s="2"/>
      <c r="S50" s="2"/>
      <c r="T50" s="2"/>
      <c r="U50" s="2"/>
      <c r="V50" s="2"/>
      <c r="W50" s="2"/>
      <c r="X50" s="2"/>
      <c r="Y50" s="2"/>
      <c r="Z50" s="2"/>
      <c r="AA50" s="2"/>
      <c r="AB50" s="2"/>
    </row>
    <row r="51">
      <c r="A51" s="30">
        <v>50.0</v>
      </c>
      <c r="B51" s="24" t="s">
        <v>1034</v>
      </c>
      <c r="C51" s="24" t="s">
        <v>1035</v>
      </c>
      <c r="D51" s="24" t="s">
        <v>893</v>
      </c>
      <c r="E51" s="24" t="s">
        <v>1036</v>
      </c>
      <c r="F51" s="2"/>
      <c r="G51" s="2"/>
      <c r="H51" s="31"/>
      <c r="I51" s="24" t="str">
        <f>IFERROR(__xludf.DUMMYFUNCTION("GOOGLETRANSLATE(B51, ""en"", ""zh"")"),"A 球员和 B 球员正在进行一场友谊赛。A 球员连续踢了 25 次羽毛球。B 球员完美地完成了一次双脚踢球，并保持控球踢了 30 次。这一回合的结果是什么？")</f>
        <v>A 球员和 B 球员正在进行一场友谊赛。A 球员连续踢了 25 次羽毛球。B 球员完美地完成了一次双脚踢球，并保持控球踢了 30 次。这一回合的结果是什么？</v>
      </c>
      <c r="J51" s="24" t="str">
        <f>IFERROR(__xludf.DUMMYFUNCTION("GOOGLETRANSLATE(C51, ""en"", ""zh"")"),"A) A选手获胜，B) B选手获胜，C) 本轮比赛平局，D) 比赛中断")</f>
        <v>A) A选手获胜，B) B选手获胜，C) 本轮比赛平局，D) 比赛中断</v>
      </c>
      <c r="K51" s="24" t="str">
        <f>IFERROR(__xludf.DUMMYFUNCTION("GOOGLETRANSLATE(D51, ""en"", ""zh"")"),"B）玩家B获胜")</f>
        <v>B）玩家B获胜</v>
      </c>
      <c r="L51" s="24" t="str">
        <f>IFERROR(__xludf.DUMMYFUNCTION("GOOGLETRANSLATE(E51, ""en"", ""zh"")"),"B 选手赢得该回合，因为他成功地让羽毛球在空中停留了更长时间（30 次踢球，而 A 选手为 25 次）。")</f>
        <v>B 选手赢得该回合，因为他成功地让羽毛球在空中停留了更长时间（30 次踢球，而 A 选手为 25 次）。</v>
      </c>
      <c r="M51" s="22"/>
      <c r="N51" s="22"/>
      <c r="O51" s="22"/>
      <c r="P51" s="22"/>
      <c r="Q51" s="2"/>
      <c r="R51" s="2"/>
      <c r="S51" s="2"/>
      <c r="T51" s="2"/>
      <c r="U51" s="2"/>
      <c r="V51" s="2"/>
      <c r="W51" s="2"/>
      <c r="X51" s="2"/>
      <c r="Y51" s="2"/>
      <c r="Z51" s="2"/>
      <c r="AA51" s="2"/>
      <c r="AB51" s="2"/>
    </row>
    <row r="52">
      <c r="A52" s="30">
        <v>51.0</v>
      </c>
      <c r="B52" s="24" t="s">
        <v>1037</v>
      </c>
      <c r="C52" s="24" t="s">
        <v>1038</v>
      </c>
      <c r="D52" s="24" t="s">
        <v>916</v>
      </c>
      <c r="E52" s="24" t="s">
        <v>1039</v>
      </c>
      <c r="F52" s="2"/>
      <c r="G52" s="2"/>
      <c r="H52" s="31"/>
      <c r="I52" s="24" t="str">
        <f>IFERROR(__xludf.DUMMYFUNCTION("GOOGLETRANSLATE(B52, ""en"", ""zh"")"),"在毽子比赛中，A选手用右脚踢毽子，踢了40次。B选手随后用左脚踢毽子，只踢了35次。这次交锋的结果是什么？")</f>
        <v>在毽子比赛中，A选手用右脚踢毽子，踢了40次。B选手随后用左脚踢毽子，只踢了35次。这次交锋的结果是什么？</v>
      </c>
      <c r="J52" s="24" t="str">
        <f>IFERROR(__xludf.DUMMYFUNCTION("GOOGLETRANSLATE(C52, ""en"", ""zh"")"),"A) A玩家赢得该回合，B) B玩家赢得该回合，C) 该回合为平局，D) 游戏中断。")</f>
        <v>A) A玩家赢得该回合，B) B玩家赢得该回合，C) 该回合为平局，D) 游戏中断。</v>
      </c>
      <c r="K52" s="24" t="str">
        <f>IFERROR(__xludf.DUMMYFUNCTION("GOOGLETRANSLATE(D52, ""en"", ""zh"")"),"A) 玩家 A 赢得该回合")</f>
        <v>A) 玩家 A 赢得该回合</v>
      </c>
      <c r="L52" s="24" t="str">
        <f>IFERROR(__xludf.DUMMYFUNCTION("GOOGLETRANSLATE(E52, ""en"", ""zh"")"),"在毽子比赛中，让毽子在空中停留时间更长的选手赢得该回合。A选手以40次毽子得分，比B选手的35次得分更高。")</f>
        <v>在毽子比赛中，让毽子在空中停留时间更长的选手赢得该回合。A选手以40次毽子得分，比B选手的35次得分更高。</v>
      </c>
      <c r="M52" s="22"/>
      <c r="N52" s="22"/>
      <c r="O52" s="22"/>
      <c r="P52" s="22"/>
      <c r="Q52" s="2"/>
      <c r="R52" s="2"/>
      <c r="S52" s="2"/>
      <c r="T52" s="2"/>
      <c r="U52" s="2"/>
      <c r="V52" s="2"/>
      <c r="W52" s="2"/>
      <c r="X52" s="2"/>
      <c r="Y52" s="2"/>
      <c r="Z52" s="2"/>
      <c r="AA52" s="2"/>
      <c r="AB52" s="2"/>
    </row>
    <row r="53">
      <c r="A53" s="30">
        <v>52.0</v>
      </c>
      <c r="B53" s="24" t="s">
        <v>1040</v>
      </c>
      <c r="C53" s="24" t="s">
        <v>1041</v>
      </c>
      <c r="D53" s="24" t="s">
        <v>861</v>
      </c>
      <c r="E53" s="24" t="s">
        <v>1042</v>
      </c>
      <c r="F53" s="2"/>
      <c r="G53" s="2"/>
      <c r="H53" s="31"/>
      <c r="I53" s="24" t="str">
        <f>IFERROR(__xludf.DUMMYFUNCTION("GOOGLETRANSLATE(B53, ""en"", ""zh"")"),"A 球员大力踢球，将羽毛球高高踢起，但羽毛球飞出了界外。接下来会发生什么？")</f>
        <v>A 球员大力踢球，将羽毛球高高踢起，但羽毛球飞出了界外。接下来会发生什么？</v>
      </c>
      <c r="J53" s="24" t="str">
        <f>IFERROR(__xludf.DUMMYFUNCTION("GOOGLETRANSLATE(C53, ""en"", ""zh"")"),"A) A 玩家赢得该回合，B) A 玩家输掉该回合，C) B 玩家获胜，D) 比赛暂停。")</f>
        <v>A) A 玩家赢得该回合，B) A 玩家输掉该回合，C) B 玩家获胜，D) 比赛暂停。</v>
      </c>
      <c r="K53" s="24" t="str">
        <f>IFERROR(__xludf.DUMMYFUNCTION("GOOGLETRANSLATE(D53, ""en"", ""zh"")"),"B) A玩家输掉本轮")</f>
        <v>B) A玩家输掉本轮</v>
      </c>
      <c r="L53" s="24" t="str">
        <f>IFERROR(__xludf.DUMMYFUNCTION("GOOGLETRANSLATE(E53, ""en"", ""zh"")"),"在毽子中，如果毽子被踢出界外，踢毽子的球员输掉这一局。")</f>
        <v>在毽子中，如果毽子被踢出界外，踢毽子的球员输掉这一局。</v>
      </c>
      <c r="M53" s="22"/>
      <c r="N53" s="22"/>
      <c r="O53" s="22"/>
      <c r="P53" s="22"/>
      <c r="Q53" s="2"/>
      <c r="R53" s="2"/>
      <c r="S53" s="2"/>
      <c r="T53" s="2"/>
      <c r="U53" s="2"/>
      <c r="V53" s="2"/>
      <c r="W53" s="2"/>
      <c r="X53" s="2"/>
      <c r="Y53" s="2"/>
      <c r="Z53" s="2"/>
      <c r="AA53" s="2"/>
      <c r="AB53" s="2"/>
    </row>
    <row r="54">
      <c r="A54" s="30">
        <v>53.0</v>
      </c>
      <c r="B54" s="24" t="s">
        <v>1043</v>
      </c>
      <c r="C54" s="24" t="s">
        <v>1044</v>
      </c>
      <c r="D54" s="24" t="s">
        <v>1045</v>
      </c>
      <c r="E54" s="24" t="s">
        <v>1046</v>
      </c>
      <c r="F54" s="2"/>
      <c r="G54" s="2"/>
      <c r="H54" s="31"/>
      <c r="I54" s="24" t="str">
        <f>IFERROR(__xludf.DUMMYFUNCTION("GOOGLETRANSLATE(B54, ""en"", ""zh"")"),"在一场激烈的毽子比赛中，X 选手和 Y 选手实力相当。如果两人都踢进 50 球，接下来会发生什么？")</f>
        <v>在一场激烈的毽子比赛中，X 选手和 Y 选手实力相当。如果两人都踢进 50 球，接下来会发生什么？</v>
      </c>
      <c r="J54" s="24" t="str">
        <f>IFERROR(__xludf.DUMMYFUNCTION("GOOGLETRANSLATE(C54, ""en"", ""zh"")"),"A) 比赛继续进行，直到一方犯错为止；B) 比赛以平局结束；C) 比赛按积分决出胜负；D) 进行突然死亡赛。")</f>
        <v>A) 比赛继续进行，直到一方犯错为止；B) 比赛以平局结束；C) 比赛按积分决出胜负；D) 进行突然死亡赛。</v>
      </c>
      <c r="K54" s="24" t="str">
        <f>IFERROR(__xludf.DUMMYFUNCTION("GOOGLETRANSLATE(D54, ""en"", ""zh"")"),"B) 本轮比赛以平局结束。")</f>
        <v>B) 本轮比赛以平局结束。</v>
      </c>
      <c r="L54" s="24" t="str">
        <f>IFERROR(__xludf.DUMMYFUNCTION("GOOGLETRANSLATE(E54, ""en"", ""zh"")"),"如果双方球员的成功射门次数相同，则该轮比赛为平局，比赛继续进行下一轮。")</f>
        <v>如果双方球员的成功射门次数相同，则该轮比赛为平局，比赛继续进行下一轮。</v>
      </c>
      <c r="M54" s="22"/>
      <c r="N54" s="22"/>
      <c r="O54" s="22"/>
      <c r="P54" s="22"/>
      <c r="Q54" s="2"/>
      <c r="R54" s="2"/>
      <c r="S54" s="2"/>
      <c r="T54" s="2"/>
      <c r="U54" s="2"/>
      <c r="V54" s="2"/>
      <c r="W54" s="2"/>
      <c r="X54" s="2"/>
      <c r="Y54" s="2"/>
      <c r="Z54" s="2"/>
      <c r="AA54" s="2"/>
      <c r="AB54" s="2"/>
    </row>
    <row r="55">
      <c r="A55" s="30">
        <v>54.0</v>
      </c>
      <c r="B55" s="24" t="s">
        <v>1047</v>
      </c>
      <c r="C55" s="24" t="s">
        <v>1048</v>
      </c>
      <c r="D55" s="24" t="s">
        <v>916</v>
      </c>
      <c r="E55" s="24" t="s">
        <v>1049</v>
      </c>
      <c r="F55" s="2"/>
      <c r="G55" s="2"/>
      <c r="H55" s="31"/>
      <c r="I55" s="24" t="str">
        <f>IFERROR(__xludf.DUMMYFUNCTION("GOOGLETRANSLATE(B55, ""en"", ""zh"")"),"在毽子比赛中，A选手踢毽子，毽子开始旋转。B选手误判了旋转方向，未能回击。会发生什么？")</f>
        <v>在毽子比赛中，A选手踢毽子，毽子开始旋转。B选手误判了旋转方向，未能回击。会发生什么？</v>
      </c>
      <c r="J55" s="24" t="str">
        <f>IFERROR(__xludf.DUMMYFUNCTION("GOOGLETRANSLATE(C55, ""en"", ""zh"")"),"A) A玩家赢得该回合，B) B玩家赢得该回合，C) 该回合为平局，D) 该回合重新开始。")</f>
        <v>A) A玩家赢得该回合，B) B玩家赢得该回合，C) 该回合为平局，D) 该回合重新开始。</v>
      </c>
      <c r="K55" s="24" t="str">
        <f>IFERROR(__xludf.DUMMYFUNCTION("GOOGLETRANSLATE(D55, ""en"", ""zh"")"),"A) 玩家 A 赢得该回合")</f>
        <v>A) 玩家 A 赢得该回合</v>
      </c>
      <c r="L55" s="24" t="str">
        <f>IFERROR(__xludf.DUMMYFUNCTION("GOOGLETRANSLATE(E55, ""en"", ""zh"")"),"在毽子中，如果对方未能回击毽子，踢球者赢得该回合。")</f>
        <v>在毽子中，如果对方未能回击毽子，踢球者赢得该回合。</v>
      </c>
      <c r="M55" s="22"/>
      <c r="N55" s="22"/>
      <c r="O55" s="22"/>
      <c r="P55" s="22"/>
      <c r="Q55" s="2"/>
      <c r="R55" s="2"/>
      <c r="S55" s="2"/>
      <c r="T55" s="2"/>
      <c r="U55" s="2"/>
      <c r="V55" s="2"/>
      <c r="W55" s="2"/>
      <c r="X55" s="2"/>
      <c r="Y55" s="2"/>
      <c r="Z55" s="2"/>
      <c r="AA55" s="2"/>
      <c r="AB55" s="2"/>
    </row>
    <row r="56">
      <c r="A56" s="30">
        <v>55.0</v>
      </c>
      <c r="B56" s="24" t="s">
        <v>1050</v>
      </c>
      <c r="C56" s="24" t="s">
        <v>1051</v>
      </c>
      <c r="D56" s="24" t="s">
        <v>916</v>
      </c>
      <c r="E56" s="24" t="s">
        <v>1052</v>
      </c>
      <c r="F56" s="2"/>
      <c r="G56" s="2"/>
      <c r="H56" s="31"/>
      <c r="I56" s="24" t="str">
        <f>IFERROR(__xludf.DUMMYFUNCTION("GOOGLETRANSLATE(B56, ""en"", ""zh"")"),"在毽子比赛中，A选手使出一记漂亮的旋转踢，B选手试图回击，但没能接住。接下来会发生什么？")</f>
        <v>在毽子比赛中，A选手使出一记漂亮的旋转踢，B选手试图回击，但没能接住。接下来会发生什么？</v>
      </c>
      <c r="J56" s="24" t="str">
        <f>IFERROR(__xludf.DUMMYFUNCTION("GOOGLETRANSLATE(C56, ""en"", ""zh"")"),"A) A选手赢得该回合，B) B选手赢得该回合，C) 该回合为平局，D) A选手被取消资格")</f>
        <v>A) A选手赢得该回合，B) B选手赢得该回合，C) 该回合为平局，D) A选手被取消资格</v>
      </c>
      <c r="K56" s="24" t="str">
        <f>IFERROR(__xludf.DUMMYFUNCTION("GOOGLETRANSLATE(D56, ""en"", ""zh"")"),"A) 玩家 A 赢得该回合")</f>
        <v>A) 玩家 A 赢得该回合</v>
      </c>
      <c r="L56" s="24" t="str">
        <f>IFERROR(__xludf.DUMMYFUNCTION("GOOGLETRANSLATE(E56, ""en"", ""zh"")"),"如果球员 A 成功踢球后，球员 B 没有回球，则球员 A 赢得该回合。")</f>
        <v>如果球员 A 成功踢球后，球员 B 没有回球，则球员 A 赢得该回合。</v>
      </c>
      <c r="M56" s="22"/>
      <c r="N56" s="22"/>
      <c r="O56" s="22"/>
      <c r="P56" s="22"/>
      <c r="Q56" s="2"/>
      <c r="R56" s="2"/>
      <c r="S56" s="2"/>
      <c r="T56" s="2"/>
      <c r="U56" s="2"/>
      <c r="V56" s="2"/>
      <c r="W56" s="2"/>
      <c r="X56" s="2"/>
      <c r="Y56" s="2"/>
      <c r="Z56" s="2"/>
      <c r="AA56" s="2"/>
      <c r="AB56" s="2"/>
    </row>
    <row r="57">
      <c r="A57" s="30">
        <v>56.0</v>
      </c>
      <c r="B57" s="24" t="s">
        <v>1053</v>
      </c>
      <c r="C57" s="24" t="s">
        <v>1054</v>
      </c>
      <c r="D57" s="24" t="s">
        <v>912</v>
      </c>
      <c r="E57" s="24" t="s">
        <v>1055</v>
      </c>
      <c r="F57" s="2"/>
      <c r="G57" s="2"/>
      <c r="H57" s="31"/>
      <c r="I57" s="24" t="str">
        <f>IFERROR(__xludf.DUMMYFUNCTION("GOOGLETRANSLATE(B57, ""en"", ""zh"")"),"在毽子比赛中，X 选手踢毽子，但毽子落在了指定区域外。接下来应该怎么办？")</f>
        <v>在毽子比赛中，X 选手踢毽子，但毽子落在了指定区域外。接下来应该怎么办？</v>
      </c>
      <c r="J57" s="24" t="str">
        <f>IFERROR(__xludf.DUMMYFUNCTION("GOOGLETRANSLATE(C57, ""en"", ""zh"")"),"A) 该回合立即结束，B) X 玩家输掉该回合，C) 该回合继续，D) X 玩家赢得该回合")</f>
        <v>A) 该回合立即结束，B) X 玩家输掉该回合，C) 该回合继续，D) X 玩家赢得该回合</v>
      </c>
      <c r="K57" s="24" t="str">
        <f>IFERROR(__xludf.DUMMYFUNCTION("GOOGLETRANSLATE(D57, ""en"", ""zh"")"),"B) 玩家 X 输掉本轮")</f>
        <v>B) 玩家 X 输掉本轮</v>
      </c>
      <c r="L57" s="24" t="str">
        <f>IFERROR(__xludf.DUMMYFUNCTION("GOOGLETRANSLATE(E57, ""en"", ""zh"")"),"在毽子比赛中，如果毽子落在指定比赛区域外，踢毽子的球员输掉这一局。")</f>
        <v>在毽子比赛中，如果毽子落在指定比赛区域外，踢毽子的球员输掉这一局。</v>
      </c>
      <c r="M57" s="22"/>
      <c r="N57" s="22"/>
      <c r="O57" s="22"/>
      <c r="P57" s="22"/>
      <c r="Q57" s="2"/>
      <c r="R57" s="2"/>
      <c r="S57" s="2"/>
      <c r="T57" s="2"/>
      <c r="U57" s="2"/>
      <c r="V57" s="2"/>
      <c r="W57" s="2"/>
      <c r="X57" s="2"/>
      <c r="Y57" s="2"/>
      <c r="Z57" s="2"/>
      <c r="AA57" s="2"/>
      <c r="AB57" s="2"/>
    </row>
    <row r="58">
      <c r="A58" s="30">
        <v>57.0</v>
      </c>
      <c r="B58" s="24" t="s">
        <v>1056</v>
      </c>
      <c r="C58" s="24" t="s">
        <v>1057</v>
      </c>
      <c r="D58" s="24" t="s">
        <v>1058</v>
      </c>
      <c r="E58" s="24" t="s">
        <v>1059</v>
      </c>
      <c r="F58" s="2"/>
      <c r="G58" s="2"/>
      <c r="H58" s="31"/>
      <c r="I58" s="24" t="str">
        <f>IFERROR(__xludf.DUMMYFUNCTION("GOOGLETRANSLATE(B58, ""en"", ""zh"")"),"在毽子比赛中，A选手和B选手都在试图控制毽子。如果A选手完美地完成了一记高吊球，但B选​​手接住了毽子，会发生什么？")</f>
        <v>在毽子比赛中，A选手和B选手都在试图控制毽子。如果A选手完美地完成了一记高吊球，但B选​​手接住了毽子，会发生什么？</v>
      </c>
      <c r="J58" s="24" t="str">
        <f>IFERROR(__xludf.DUMMYFUNCTION("GOOGLETRANSLATE(C58, ""en"", ""zh"")"),"A) A选手赢得本轮比赛，B) B选手赢得本轮比赛，C) 本轮比赛平局，D) 比赛继续进行。")</f>
        <v>A) A选手赢得本轮比赛，B) B选手赢得本轮比赛，C) 本轮比赛平局，D) 比赛继续进行。</v>
      </c>
      <c r="K58" s="24" t="str">
        <f>IFERROR(__xludf.DUMMYFUNCTION("GOOGLETRANSLATE(D58, ""en"", ""zh"")"),"B) B玩家赢得该回合")</f>
        <v>B) B玩家赢得该回合</v>
      </c>
      <c r="L58" s="24" t="str">
        <f>IFERROR(__xludf.DUMMYFUNCTION("GOOGLETRANSLATE(E58, ""en"", ""zh"")"),"毽子比赛中不允许接球。B方球员应该回击毽子，但如果接球，则该局失分。因此，A方球员获胜。")</f>
        <v>毽子比赛中不允许接球。B方球员应该回击毽子，但如果接球，则该局失分。因此，A方球员获胜。</v>
      </c>
      <c r="M58" s="22"/>
      <c r="N58" s="22"/>
      <c r="O58" s="22"/>
      <c r="P58" s="22"/>
      <c r="Q58" s="2"/>
      <c r="R58" s="2"/>
      <c r="S58" s="2"/>
      <c r="T58" s="2"/>
      <c r="U58" s="2"/>
      <c r="V58" s="2"/>
      <c r="W58" s="2"/>
      <c r="X58" s="2"/>
      <c r="Y58" s="2"/>
      <c r="Z58" s="2"/>
      <c r="AA58" s="2"/>
      <c r="AB58" s="2"/>
    </row>
    <row r="59">
      <c r="A59" s="30">
        <v>58.0</v>
      </c>
      <c r="B59" s="24" t="s">
        <v>1060</v>
      </c>
      <c r="C59" s="24" t="s">
        <v>1061</v>
      </c>
      <c r="D59" s="24" t="s">
        <v>893</v>
      </c>
      <c r="E59" s="24" t="s">
        <v>1062</v>
      </c>
      <c r="F59" s="2"/>
      <c r="G59" s="2"/>
      <c r="H59" s="31"/>
      <c r="I59" s="24" t="str">
        <f>IFERROR(__xludf.DUMMYFUNCTION("GOOGLETRANSLATE(B59, ""en"", ""zh"")"),"在毽子比赛中，A选手和B选手进行长时间的拉锯战。A选手踢了60次毽子，B选手踢了65次。谁赢得了这一局？")</f>
        <v>在毽子比赛中，A选手和B选手进行长时间的拉锯战。A选手踢了60次毽子，B选手踢了65次。谁赢得了这一局？</v>
      </c>
      <c r="J59" s="24" t="str">
        <f>IFERROR(__xludf.DUMMYFUNCTION("GOOGLETRANSLATE(C59, ""en"", ""zh"")"),"A) A选手获胜，B) B选手获胜，C) 本轮比赛平局，D) 比赛暂停。")</f>
        <v>A) A选手获胜，B) B选手获胜，C) 本轮比赛平局，D) 比赛暂停。</v>
      </c>
      <c r="K59" s="24" t="str">
        <f>IFERROR(__xludf.DUMMYFUNCTION("GOOGLETRANSLATE(D59, ""en"", ""zh"")"),"B）玩家B获胜")</f>
        <v>B）玩家B获胜</v>
      </c>
      <c r="L59" s="24" t="str">
        <f>IFERROR(__xludf.DUMMYFUNCTION("GOOGLETRANSLATE(E59, ""en"", ""zh"")"),"B 选手赢得这一局，因为他让羽毛球在空中停留的时间比 A 选手更长。")</f>
        <v>B 选手赢得这一局，因为他让羽毛球在空中停留的时间比 A 选手更长。</v>
      </c>
      <c r="M59" s="22"/>
      <c r="N59" s="22"/>
      <c r="O59" s="22"/>
      <c r="P59" s="22"/>
      <c r="Q59" s="2"/>
      <c r="R59" s="2"/>
      <c r="S59" s="2"/>
      <c r="T59" s="2"/>
      <c r="U59" s="2"/>
      <c r="V59" s="2"/>
      <c r="W59" s="2"/>
      <c r="X59" s="2"/>
      <c r="Y59" s="2"/>
      <c r="Z59" s="2"/>
      <c r="AA59" s="2"/>
      <c r="AB59" s="2"/>
    </row>
    <row r="60">
      <c r="A60" s="30">
        <v>59.0</v>
      </c>
      <c r="B60" s="24" t="s">
        <v>1063</v>
      </c>
      <c r="C60" s="24" t="s">
        <v>1064</v>
      </c>
      <c r="D60" s="24" t="s">
        <v>916</v>
      </c>
      <c r="E60" s="24" t="s">
        <v>1065</v>
      </c>
      <c r="F60" s="2"/>
      <c r="G60" s="2"/>
      <c r="H60" s="31"/>
      <c r="I60" s="24" t="str">
        <f>IFERROR(__xludf.DUMMYFUNCTION("GOOGLETRANSLATE(B60, ""en"", ""zh"")"),"A球员踢出羽毛球，羽毛球开始旋转，在空中停留了30次。B球员成功回击，但只踢了25次。这一回合的结果是什么？")</f>
        <v>A球员踢出羽毛球，羽毛球开始旋转，在空中停留了30次。B球员成功回击，但只踢了25次。这一回合的结果是什么？</v>
      </c>
      <c r="J60" s="24" t="str">
        <f>IFERROR(__xludf.DUMMYFUNCTION("GOOGLETRANSLATE(C60, ""en"", ""zh"")"),"A) A选手赢得该回合，B) B选手赢得该回合，C) 该回合以平局结束，D) 比赛暂停。")</f>
        <v>A) A选手赢得该回合，B) B选手赢得该回合，C) 该回合以平局结束，D) 比赛暂停。</v>
      </c>
      <c r="K60" s="24" t="str">
        <f>IFERROR(__xludf.DUMMYFUNCTION("GOOGLETRANSLATE(D60, ""en"", ""zh"")"),"A) 玩家 A 赢得该回合")</f>
        <v>A) 玩家 A 赢得该回合</v>
      </c>
      <c r="L60" s="24" t="str">
        <f>IFERROR(__xludf.DUMMYFUNCTION("GOOGLETRANSLATE(E60, ""en"", ""zh"")"),"在毽子比赛中，能将羽毛球保持在空中次数最多的选手赢得该回合。A选手将羽毛球保持在空中30次。")</f>
        <v>在毽子比赛中，能将羽毛球保持在空中次数最多的选手赢得该回合。A选手将羽毛球保持在空中30次。</v>
      </c>
      <c r="M60" s="22"/>
      <c r="N60" s="22"/>
      <c r="O60" s="22"/>
      <c r="P60" s="22"/>
      <c r="Q60" s="2"/>
      <c r="R60" s="2"/>
      <c r="S60" s="2"/>
      <c r="T60" s="2"/>
      <c r="U60" s="2"/>
      <c r="V60" s="2"/>
      <c r="W60" s="2"/>
      <c r="X60" s="2"/>
      <c r="Y60" s="2"/>
      <c r="Z60" s="2"/>
      <c r="AA60" s="2"/>
      <c r="AB60" s="2"/>
    </row>
    <row r="61">
      <c r="A61" s="30">
        <v>60.0</v>
      </c>
      <c r="B61" s="24" t="s">
        <v>1066</v>
      </c>
      <c r="C61" s="24" t="s">
        <v>1067</v>
      </c>
      <c r="D61" s="24" t="s">
        <v>1068</v>
      </c>
      <c r="E61" s="24" t="s">
        <v>1069</v>
      </c>
      <c r="F61" s="2"/>
      <c r="G61" s="2"/>
      <c r="H61" s="31"/>
      <c r="I61" s="24" t="str">
        <f>IFERROR(__xludf.DUMMYFUNCTION("GOOGLETRANSLATE(B61, ""en"", ""zh"")"),"在一场溏子比赛中，X 选手和 Y 选手都踢进了 50 个球，比分相同。如果两人在下一次踢球时都失手，会发生什么？")</f>
        <v>在一场溏子比赛中，X 选手和 Y 选手都踢进了 50 个球，比分相同。如果两人在下一次踢球时都失手，会发生什么？</v>
      </c>
      <c r="J61" s="24" t="str">
        <f>IFERROR(__xludf.DUMMYFUNCTION("GOOGLETRANSLATE(C61, ""en"", ""zh"")"),"A) 本轮比赛平局，B) X 选手获胜，C) Y 选手获胜，D) 比赛继续进行。")</f>
        <v>A) 本轮比赛平局，B) X 选手获胜，C) Y 选手获胜，D) 比赛继续进行。</v>
      </c>
      <c r="K61" s="24" t="str">
        <f>IFERROR(__xludf.DUMMYFUNCTION("GOOGLETRANSLATE(D61, ""en"", ""zh"")"),"A）本轮比赛结果为平局。")</f>
        <v>A）本轮比赛结果为平局。</v>
      </c>
      <c r="L61" s="24" t="str">
        <f>IFERROR(__xludf.DUMMYFUNCTION("GOOGLETRANSLATE(E61, ""en"", ""zh"")"),"如果双方球员在下一轮踢球中均未得分，则该轮比赛为平局，比赛继续进行下一轮。")</f>
        <v>如果双方球员在下一轮踢球中均未得分，则该轮比赛为平局，比赛继续进行下一轮。</v>
      </c>
      <c r="M61" s="22"/>
      <c r="N61" s="21"/>
      <c r="O61" s="22"/>
      <c r="P61" s="22"/>
      <c r="Q61" s="2"/>
      <c r="R61" s="2"/>
      <c r="S61" s="2"/>
      <c r="T61" s="2"/>
      <c r="U61" s="2"/>
      <c r="V61" s="2"/>
      <c r="W61" s="2"/>
      <c r="X61" s="2"/>
      <c r="Y61" s="2"/>
      <c r="Z61" s="2"/>
      <c r="AA61" s="2"/>
      <c r="AB61" s="2"/>
    </row>
    <row r="62">
      <c r="A62" s="33">
        <v>61.0</v>
      </c>
      <c r="B62" s="5" t="s">
        <v>1070</v>
      </c>
      <c r="C62" s="5" t="s">
        <v>1071</v>
      </c>
      <c r="D62" s="5" t="s">
        <v>1072</v>
      </c>
      <c r="E62" s="5" t="s">
        <v>1073</v>
      </c>
      <c r="F62" s="2"/>
      <c r="G62" s="2"/>
      <c r="H62" s="31"/>
      <c r="I62" s="24" t="str">
        <f>IFERROR(__xludf.DUMMYFUNCTION("GOOGLETRANSLATE(B62, ""en"", ""zh"")"),"如果球员不小心用手碰到了羽毛球会发生什么？")</f>
        <v>如果球员不小心用手碰到了羽毛球会发生什么？</v>
      </c>
      <c r="J62" s="24" t="str">
        <f>IFERROR(__xludf.DUMMYFUNCTION("GOOGLETRANSLATE(C62, ""en"", ""zh"")"),"A) 无处罚，B) 扣分，C) 重赛，D) 警告")</f>
        <v>A) 无处罚，B) 扣分，C) 重赛，D) 警告</v>
      </c>
      <c r="K62" s="24" t="str">
        <f>IFERROR(__xludf.DUMMYFUNCTION("GOOGLETRANSLATE(D62, ""en"", ""zh"")"),"B）失分")</f>
        <v>B）失分</v>
      </c>
      <c r="L62" s="24" t="str">
        <f>IFERROR(__xludf.DUMMYFUNCTION("GOOGLETRANSLATE(E62, ""en"", ""zh"")"),"用手会立即丢分。")</f>
        <v>用手会立即丢分。</v>
      </c>
      <c r="M62" s="3"/>
      <c r="N62" s="2"/>
      <c r="O62" s="3"/>
      <c r="P62" s="2"/>
      <c r="Q62" s="2"/>
      <c r="R62" s="2"/>
      <c r="S62" s="2"/>
      <c r="T62" s="2"/>
      <c r="U62" s="2"/>
      <c r="V62" s="2"/>
      <c r="W62" s="2"/>
      <c r="X62" s="2"/>
      <c r="Y62" s="2"/>
      <c r="Z62" s="2"/>
      <c r="AA62" s="2"/>
      <c r="AB62" s="2"/>
    </row>
    <row r="63">
      <c r="A63" s="33">
        <v>62.0</v>
      </c>
      <c r="B63" s="5" t="s">
        <v>1074</v>
      </c>
      <c r="C63" s="5" t="s">
        <v>1075</v>
      </c>
      <c r="D63" s="5" t="s">
        <v>1076</v>
      </c>
      <c r="E63" s="5" t="s">
        <v>1077</v>
      </c>
      <c r="F63" s="2"/>
      <c r="G63" s="2"/>
      <c r="H63" s="31"/>
      <c r="I63" s="24" t="str">
        <f>IFERROR(__xludf.DUMMYFUNCTION("GOOGLETRANSLATE(B63, ""en"", ""zh"")"),"如果比赛在规定时间内打成平局，如何决出胜负？")</f>
        <v>如果比赛在规定时间内打成平局，如何决出胜负？</v>
      </c>
      <c r="J63" s="24" t="str">
        <f>IFERROR(__xludf.DUMMYFUNCTION("GOOGLETRANSLATE(C63, ""en"", ""zh"")"),"A) 抛硬币，B) 加赛，C) 突然死亡制，D) 平局")</f>
        <v>A) 抛硬币，B) 加赛，C) 突然死亡制，D) 平局</v>
      </c>
      <c r="K63" s="24" t="str">
        <f>IFERROR(__xludf.DUMMYFUNCTION("GOOGLETRANSLATE(D63, ""en"", ""zh"")"),"C）猝死集会")</f>
        <v>C）猝死集会</v>
      </c>
      <c r="L63" s="24" t="str">
        <f>IFERROR(__xludf.DUMMYFUNCTION("GOOGLETRANSLATE(E63, ""en"", ""zh"")"),"为了打破平局并决出胜负，将进行突然死亡式加赛。")</f>
        <v>为了打破平局并决出胜负，将进行突然死亡式加赛。</v>
      </c>
      <c r="M63" s="3"/>
      <c r="N63" s="3"/>
      <c r="O63" s="3"/>
      <c r="P63" s="3"/>
      <c r="Q63" s="2"/>
      <c r="R63" s="2"/>
      <c r="S63" s="2"/>
      <c r="T63" s="2"/>
      <c r="U63" s="2"/>
      <c r="V63" s="2"/>
      <c r="W63" s="2"/>
      <c r="X63" s="2"/>
      <c r="Y63" s="2"/>
      <c r="Z63" s="2"/>
      <c r="AA63" s="2"/>
      <c r="AB63" s="2"/>
    </row>
    <row r="64">
      <c r="A64" s="33">
        <v>63.0</v>
      </c>
      <c r="B64" s="5" t="s">
        <v>1078</v>
      </c>
      <c r="C64" s="5" t="s">
        <v>1079</v>
      </c>
      <c r="D64" s="5" t="s">
        <v>1080</v>
      </c>
      <c r="E64" s="5" t="s">
        <v>1081</v>
      </c>
      <c r="F64" s="2"/>
      <c r="G64" s="2"/>
      <c r="H64" s="31"/>
      <c r="I64" s="24" t="str">
        <f>IFERROR(__xludf.DUMMYFUNCTION("GOOGLETRANSLATE(B64, ""en"", ""zh"")"),"如果在比赛中羽毛球落在网上会发生什么？")</f>
        <v>如果在比赛中羽毛球落在网上会发生什么？</v>
      </c>
      <c r="J64" s="24" t="str">
        <f>IFERROR(__xludf.DUMMYFUNCTION("GOOGLETRANSLATE(C64, ""en"", ""zh"")"),"A) 得分，B) 回合继续，C) 重赛，D) 失分")</f>
        <v>A) 得分，B) 回合继续，C) 重赛，D) 失分</v>
      </c>
      <c r="K64" s="24" t="str">
        <f>IFERROR(__xludf.DUMMYFUNCTION("GOOGLETRANSLATE(D64, ""en"", ""zh"")"),"C) 重演拉力赛")</f>
        <v>C) 重演拉力赛</v>
      </c>
      <c r="L64" s="24" t="str">
        <f>IFERROR(__xludf.DUMMYFUNCTION("GOOGLETRANSLATE(E64, ""en"", ""zh"")"),"如果羽毛球落网，则该回合重新进行。")</f>
        <v>如果羽毛球落网，则该回合重新进行。</v>
      </c>
      <c r="M64" s="3"/>
      <c r="N64" s="3"/>
      <c r="O64" s="3"/>
      <c r="P64" s="3"/>
      <c r="Q64" s="2"/>
      <c r="R64" s="2"/>
      <c r="S64" s="2"/>
      <c r="T64" s="2"/>
      <c r="U64" s="2"/>
      <c r="V64" s="2"/>
      <c r="W64" s="2"/>
      <c r="X64" s="2"/>
      <c r="Y64" s="2"/>
      <c r="Z64" s="2"/>
      <c r="AA64" s="2"/>
      <c r="AB64" s="2"/>
    </row>
    <row r="65">
      <c r="A65" s="34">
        <v>64.0</v>
      </c>
      <c r="B65" s="12" t="s">
        <v>1082</v>
      </c>
      <c r="C65" s="12" t="s">
        <v>1083</v>
      </c>
      <c r="D65" s="12" t="s">
        <v>1084</v>
      </c>
      <c r="E65" s="27"/>
      <c r="F65" s="2"/>
      <c r="G65" s="2"/>
      <c r="H65" s="35"/>
      <c r="I65" s="24" t="str">
        <f>IFERROR(__xludf.DUMMYFUNCTION("GOOGLETRANSLATE(B65, ""en"", ""zh"")"),"你的队友射门失误了。你应该如何调整自己的位置？")</f>
        <v>你的队友射门失误了。你应该如何调整自己的位置？</v>
      </c>
      <c r="J65" s="24" t="str">
        <f>IFERROR(__xludf.DUMMYFUNCTION("GOOGLETRANSLATE(C65, ""en"", ""zh"")"),"A) 靠近 B) 无视 C) 远离 D) 停止")</f>
        <v>A) 靠近 B) 无视 C) 远离 D) 停止</v>
      </c>
      <c r="K65" s="24" t="str">
        <f>IFERROR(__xludf.DUMMYFUNCTION("GOOGLETRANSLATE(D65, ""en"", ""zh"")"),"A) 靠近")</f>
        <v>A) 靠近</v>
      </c>
      <c r="L65" s="24" t="str">
        <f>IFERROR(__xludf.DUMMYFUNCTION("GOOGLETRANSLATE(E65, ""en"", ""zh"")"),"#VALUE!")</f>
        <v>#VALUE!</v>
      </c>
      <c r="M65" s="21"/>
      <c r="N65" s="21"/>
      <c r="O65" s="21"/>
      <c r="P65" s="21"/>
      <c r="Q65" s="2"/>
      <c r="R65" s="2"/>
      <c r="S65" s="2"/>
      <c r="T65" s="2"/>
      <c r="U65" s="2"/>
      <c r="V65" s="2"/>
      <c r="W65" s="2"/>
      <c r="X65" s="2"/>
      <c r="Y65" s="2"/>
      <c r="Z65" s="2"/>
      <c r="AA65" s="2"/>
      <c r="AB65" s="2"/>
    </row>
    <row r="66">
      <c r="A66" s="34">
        <v>65.0</v>
      </c>
      <c r="B66" s="12" t="s">
        <v>1085</v>
      </c>
      <c r="C66" s="12" t="s">
        <v>1086</v>
      </c>
      <c r="D66" s="12" t="s">
        <v>1087</v>
      </c>
      <c r="E66" s="27"/>
      <c r="F66" s="2"/>
      <c r="G66" s="2"/>
      <c r="H66" s="35"/>
      <c r="I66" s="24" t="str">
        <f>IFERROR(__xludf.DUMMYFUNCTION("GOOGLETRANSLATE(B66, ""en"", ""zh"")"),"球高高飞向对方球员附近。最佳应对措施是什么？")</f>
        <v>球高高飞向对方球员附近。最佳应对措施是什么？</v>
      </c>
      <c r="J66" s="24" t="str">
        <f>IFERROR(__xludf.DUMMYFUNCTION("GOOGLETRANSLATE(C66, ""en"", ""zh"")"),"A) 策略性地踢它 B) 忽略它 C) 让它掉落 D) 随机传递")</f>
        <v>A) 策略性地踢它 B) 忽略它 C) 让它掉落 D) 随机传递</v>
      </c>
      <c r="K66" s="24" t="str">
        <f>IFERROR(__xludf.DUMMYFUNCTION("GOOGLETRANSLATE(D66, ""en"", ""zh"")"),"A) 策略性地踢球")</f>
        <v>A) 策略性地踢球</v>
      </c>
      <c r="L66" s="24" t="str">
        <f>IFERROR(__xludf.DUMMYFUNCTION("GOOGLETRANSLATE(E66, ""en"", ""zh"")"),"#VALUE!")</f>
        <v>#VALUE!</v>
      </c>
      <c r="M66" s="21"/>
      <c r="N66" s="21"/>
      <c r="O66" s="21"/>
      <c r="P66" s="21"/>
      <c r="Q66" s="2"/>
      <c r="R66" s="2"/>
      <c r="S66" s="2"/>
      <c r="T66" s="2"/>
      <c r="U66" s="2"/>
      <c r="V66" s="2"/>
      <c r="W66" s="2"/>
      <c r="X66" s="2"/>
      <c r="Y66" s="2"/>
      <c r="Z66" s="2"/>
      <c r="AA66" s="2"/>
      <c r="AB66" s="2"/>
    </row>
    <row r="67">
      <c r="A67" s="36">
        <v>66.0</v>
      </c>
      <c r="B67" s="12" t="s">
        <v>1088</v>
      </c>
      <c r="C67" s="12" t="s">
        <v>1089</v>
      </c>
      <c r="D67" s="12" t="s">
        <v>1090</v>
      </c>
      <c r="E67" s="27"/>
      <c r="F67" s="2"/>
      <c r="G67" s="2"/>
      <c r="H67" s="35"/>
      <c r="I67" s="24" t="str">
        <f>IFERROR(__xludf.DUMMYFUNCTION("GOOGLETRANSLATE(B67, ""en"", ""zh"")"),"对手在空中拦截了羽毛球。你会如何应对？")</f>
        <v>对手在空中拦截了羽毛球。你会如何应对？</v>
      </c>
      <c r="J67" s="24" t="str">
        <f>IFERROR(__xludf.DUMMYFUNCTION("GOOGLETRANSLATE(C67, ""en"", ""zh"")"),"A) 改变角度踢球 B) 无视 C) 停止 D) 随机传球")</f>
        <v>A) 改变角度踢球 B) 无视 C) 停止 D) 随机传球</v>
      </c>
      <c r="K67" s="24" t="str">
        <f>IFERROR(__xludf.DUMMYFUNCTION("GOOGLETRANSLATE(D67, ""en"", ""zh"")"),"A) 改变角度并踢")</f>
        <v>A) 改变角度并踢</v>
      </c>
      <c r="L67" s="24" t="str">
        <f>IFERROR(__xludf.DUMMYFUNCTION("GOOGLETRANSLATE(E67, ""en"", ""zh"")"),"#VALUE!")</f>
        <v>#VALUE!</v>
      </c>
      <c r="M67" s="21"/>
      <c r="N67" s="21"/>
      <c r="O67" s="21"/>
      <c r="P67" s="21"/>
      <c r="Q67" s="2"/>
      <c r="R67" s="2"/>
      <c r="S67" s="2"/>
      <c r="T67" s="2"/>
      <c r="U67" s="2"/>
      <c r="V67" s="2"/>
      <c r="W67" s="2"/>
      <c r="X67" s="2"/>
      <c r="Y67" s="2"/>
      <c r="Z67" s="2"/>
      <c r="AA67" s="2"/>
      <c r="AB67" s="2"/>
    </row>
    <row r="68">
      <c r="A68" s="36">
        <v>67.0</v>
      </c>
      <c r="B68" s="12" t="s">
        <v>1091</v>
      </c>
      <c r="C68" s="12" t="s">
        <v>1092</v>
      </c>
      <c r="D68" s="12" t="s">
        <v>1093</v>
      </c>
      <c r="E68" s="27"/>
      <c r="F68" s="2"/>
      <c r="G68" s="2"/>
      <c r="H68" s="35"/>
      <c r="I68" s="24" t="str">
        <f>IFERROR(__xludf.DUMMYFUNCTION("GOOGLETRANSLATE(B68, ""en"", ""zh"")"),"你发现你的队伍速度下降了。你应该怎么做？")</f>
        <v>你发现你的队伍速度下降了。你应该怎么做？</v>
      </c>
      <c r="J68" s="24" t="str">
        <f>IFERROR(__xludf.DUMMYFUNCTION("GOOGLETRANSLATE(C68, ""en"", ""zh"")"),"A) 鼓励加快节奏 B) 忽略 C) 放慢速度 D) 停止")</f>
        <v>A) 鼓励加快节奏 B) 忽略 C) 放慢速度 D) 停止</v>
      </c>
      <c r="K68" s="24" t="str">
        <f>IFERROR(__xludf.DUMMYFUNCTION("GOOGLETRANSLATE(D68, ""en"", ""zh"")"),"A) 鼓励加快节奏")</f>
        <v>A) 鼓励加快节奏</v>
      </c>
      <c r="L68" s="24" t="str">
        <f>IFERROR(__xludf.DUMMYFUNCTION("GOOGLETRANSLATE(E68, ""en"", ""zh"")"),"#VALUE!")</f>
        <v>#VALUE!</v>
      </c>
      <c r="M68" s="21"/>
      <c r="N68" s="21"/>
      <c r="O68" s="21"/>
      <c r="P68" s="21"/>
      <c r="Q68" s="2"/>
      <c r="R68" s="2"/>
      <c r="S68" s="2"/>
      <c r="T68" s="2"/>
      <c r="U68" s="2"/>
      <c r="V68" s="2"/>
      <c r="W68" s="2"/>
      <c r="X68" s="2"/>
      <c r="Y68" s="2"/>
      <c r="Z68" s="2"/>
      <c r="AA68" s="2"/>
      <c r="AB68" s="2"/>
    </row>
    <row r="69">
      <c r="A69" s="36">
        <v>68.0</v>
      </c>
      <c r="B69" s="12" t="s">
        <v>1094</v>
      </c>
      <c r="C69" s="12" t="s">
        <v>1095</v>
      </c>
      <c r="D69" s="12" t="s">
        <v>1096</v>
      </c>
      <c r="E69" s="27"/>
      <c r="F69" s="2"/>
      <c r="G69" s="2"/>
      <c r="H69" s="35"/>
      <c r="I69" s="24" t="str">
        <f>IFERROR(__xludf.DUMMYFUNCTION("GOOGLETRANSLATE(B69, ""en"", ""zh"")"),"摆渡车靠近边线。你应该怎么做？")</f>
        <v>摆渡车靠近边线。你应该怎么做？</v>
      </c>
      <c r="J69" s="24" t="str">
        <f>IFERROR(__xludf.DUMMYFUNCTION("GOOGLETRANSLATE(C69, ""en"", ""zh"")"),"A) 将其向内引导 B) 忽略 C) 任其落下 D) 停止")</f>
        <v>A) 将其向内引导 B) 忽略 C) 任其落下 D) 停止</v>
      </c>
      <c r="K69" s="24" t="str">
        <f>IFERROR(__xludf.DUMMYFUNCTION("GOOGLETRANSLATE(D69, ""en"", ""zh"")"),"A) 将其向内引导")</f>
        <v>A) 将其向内引导</v>
      </c>
      <c r="L69" s="24" t="str">
        <f>IFERROR(__xludf.DUMMYFUNCTION("GOOGLETRANSLATE(E69, ""en"", ""zh"")"),"#VALUE!")</f>
        <v>#VALUE!</v>
      </c>
      <c r="M69" s="21"/>
      <c r="N69" s="21"/>
      <c r="O69" s="21"/>
      <c r="P69" s="21"/>
      <c r="Q69" s="2"/>
      <c r="R69" s="2"/>
      <c r="S69" s="2"/>
      <c r="T69" s="2"/>
      <c r="U69" s="2"/>
      <c r="V69" s="2"/>
      <c r="W69" s="2"/>
      <c r="X69" s="2"/>
      <c r="Y69" s="2"/>
      <c r="Z69" s="2"/>
      <c r="AA69" s="2"/>
      <c r="AB69" s="2"/>
    </row>
    <row r="70">
      <c r="A70" s="36">
        <v>69.0</v>
      </c>
      <c r="B70" s="12" t="s">
        <v>1097</v>
      </c>
      <c r="C70" s="12" t="s">
        <v>1098</v>
      </c>
      <c r="D70" s="12" t="s">
        <v>1099</v>
      </c>
      <c r="E70" s="27"/>
      <c r="F70" s="2"/>
      <c r="G70" s="2"/>
      <c r="H70" s="35"/>
      <c r="I70" s="24" t="str">
        <f>IFERROR(__xludf.DUMMYFUNCTION("GOOGLETRANSLATE(B70, ""en"", ""zh"")"),"对手攻击你的弱侧脚，你该如何应对？")</f>
        <v>对手攻击你的弱侧脚，你该如何应对？</v>
      </c>
      <c r="J70" s="24" t="str">
        <f>IFERROR(__xludf.DUMMYFUNCTION("GOOGLETRANSLATE(C70, ""en"", ""zh"")"),"A) 调整站姿 B) 忽略 C) 使用同一只脚 D) 停止")</f>
        <v>A) 调整站姿 B) 忽略 C) 使用同一只脚 D) 停止</v>
      </c>
      <c r="K70" s="24" t="str">
        <f>IFERROR(__xludf.DUMMYFUNCTION("GOOGLETRANSLATE(D70, ""en"", ""zh"")"),"A）调整站姿")</f>
        <v>A）调整站姿</v>
      </c>
      <c r="L70" s="24" t="str">
        <f>IFERROR(__xludf.DUMMYFUNCTION("GOOGLETRANSLATE(E70, ""en"", ""zh"")"),"#VALUE!")</f>
        <v>#VALUE!</v>
      </c>
      <c r="M70" s="21"/>
      <c r="N70" s="21"/>
      <c r="O70" s="21"/>
      <c r="P70" s="21"/>
      <c r="Q70" s="2"/>
      <c r="R70" s="2"/>
      <c r="S70" s="2"/>
      <c r="T70" s="2"/>
      <c r="U70" s="2"/>
      <c r="V70" s="2"/>
      <c r="W70" s="2"/>
      <c r="X70" s="2"/>
      <c r="Y70" s="2"/>
      <c r="Z70" s="2"/>
      <c r="AA70" s="2"/>
      <c r="AB70" s="2"/>
    </row>
    <row r="71">
      <c r="A71" s="36">
        <v>70.0</v>
      </c>
      <c r="B71" s="12" t="s">
        <v>1100</v>
      </c>
      <c r="C71" s="12" t="s">
        <v>1101</v>
      </c>
      <c r="D71" s="12" t="s">
        <v>1102</v>
      </c>
      <c r="E71" s="27"/>
      <c r="F71" s="2"/>
      <c r="G71" s="2"/>
      <c r="H71" s="35"/>
      <c r="I71" s="24" t="str">
        <f>IFERROR(__xludf.DUMMYFUNCTION("GOOGLETRANSLATE(B71, ""en"", ""zh"")"),"你发现有机会打出一套快速连招。你会怎么做？")</f>
        <v>你发现有机会打出一套快速连招。你会怎么做？</v>
      </c>
      <c r="J71" s="24" t="str">
        <f>IFERROR(__xludf.DUMMYFUNCTION("GOOGLETRANSLATE(C71, ""en"", ""zh"")"),"A) 执行连招 B) 忽略 C) 停止 D) 随机传递")</f>
        <v>A) 执行连招 B) 忽略 C) 停止 D) 随机传递</v>
      </c>
      <c r="K71" s="24" t="str">
        <f>IFERROR(__xludf.DUMMYFUNCTION("GOOGLETRANSLATE(D71, ""en"", ""zh"")"),"A) 执行连击")</f>
        <v>A) 执行连击</v>
      </c>
      <c r="L71" s="24" t="str">
        <f>IFERROR(__xludf.DUMMYFUNCTION("GOOGLETRANSLATE(E71, ""en"", ""zh"")"),"#VALUE!")</f>
        <v>#VALUE!</v>
      </c>
      <c r="M71" s="21"/>
      <c r="N71" s="21"/>
      <c r="O71" s="21"/>
      <c r="P71" s="21"/>
      <c r="Q71" s="2"/>
      <c r="R71" s="2"/>
      <c r="S71" s="2"/>
      <c r="T71" s="2"/>
      <c r="U71" s="2"/>
      <c r="V71" s="2"/>
      <c r="W71" s="2"/>
      <c r="X71" s="2"/>
      <c r="Y71" s="2"/>
      <c r="Z71" s="2"/>
      <c r="AA71" s="2"/>
      <c r="AB71" s="2"/>
    </row>
    <row r="72">
      <c r="A72" s="36">
        <v>71.0</v>
      </c>
      <c r="B72" s="12" t="s">
        <v>1103</v>
      </c>
      <c r="C72" s="12" t="s">
        <v>1104</v>
      </c>
      <c r="D72" s="12" t="s">
        <v>1105</v>
      </c>
      <c r="E72" s="27"/>
      <c r="F72" s="2"/>
      <c r="G72" s="2"/>
      <c r="H72" s="35"/>
      <c r="I72" s="24" t="str">
        <f>IFERROR(__xludf.DUMMYFUNCTION("GOOGLETRANSLATE(B72, ""en"", ""zh"")"),"比赛中途，对手对你进行包围，你会怎么做？")</f>
        <v>比赛中途，对手对你进行包围，你会怎么做？</v>
      </c>
      <c r="J72" s="24" t="str">
        <f>IFERROR(__xludf.DUMMYFUNCTION("GOOGLETRANSLATE(C72, ""en"", ""zh"")"),"A) 移至空地 B) 忽略 C) 停止 D) 任其坠落")</f>
        <v>A) 移至空地 B) 忽略 C) 停止 D) 任其坠落</v>
      </c>
      <c r="K72" s="24" t="str">
        <f>IFERROR(__xludf.DUMMYFUNCTION("GOOGLETRANSLATE(D72, ""en"", ""zh"")"),"A) 移至空旷处")</f>
        <v>A) 移至空旷处</v>
      </c>
      <c r="L72" s="24" t="str">
        <f>IFERROR(__xludf.DUMMYFUNCTION("GOOGLETRANSLATE(E72, ""en"", ""zh"")"),"#VALUE!")</f>
        <v>#VALUE!</v>
      </c>
      <c r="M72" s="21"/>
      <c r="N72" s="21"/>
      <c r="O72" s="21"/>
      <c r="P72" s="21"/>
      <c r="Q72" s="2"/>
      <c r="R72" s="2"/>
      <c r="S72" s="2"/>
      <c r="T72" s="2"/>
      <c r="U72" s="2"/>
      <c r="V72" s="2"/>
      <c r="W72" s="2"/>
      <c r="X72" s="2"/>
      <c r="Y72" s="2"/>
      <c r="Z72" s="2"/>
      <c r="AA72" s="2"/>
      <c r="AB72" s="2"/>
    </row>
    <row r="73">
      <c r="A73" s="36">
        <v>72.0</v>
      </c>
      <c r="B73" s="12" t="s">
        <v>1106</v>
      </c>
      <c r="C73" s="12" t="s">
        <v>1107</v>
      </c>
      <c r="D73" s="12" t="s">
        <v>1108</v>
      </c>
      <c r="E73" s="27"/>
      <c r="F73" s="2"/>
      <c r="G73" s="2"/>
      <c r="H73" s="35"/>
      <c r="I73" s="24" t="str">
        <f>IFERROR(__xludf.DUMMYFUNCTION("GOOGLETRANSLATE(B73, ""en"", ""zh"")"),"梭子鱼正快速飞向你的胸部。正确的应对措施是什么？")</f>
        <v>梭子鱼正快速飞向你的胸部。正确的应对措施是什么？</v>
      </c>
      <c r="J73" s="24" t="str">
        <f>IFERROR(__xludf.DUMMYFUNCTION("GOOGLETRANSLATE(C73, ""en"", ""zh"")"),"A) 向上或向侧面踢 B) 无视 C) 让它击中 D) 停止")</f>
        <v>A) 向上或向侧面踢 B) 无视 C) 让它击中 D) 停止</v>
      </c>
      <c r="K73" s="24" t="str">
        <f>IFERROR(__xludf.DUMMYFUNCTION("GOOGLETRANSLATE(D73, ""en"", ""zh"")"),"A) 向上或向侧面踢")</f>
        <v>A) 向上或向侧面踢</v>
      </c>
      <c r="L73" s="24" t="str">
        <f>IFERROR(__xludf.DUMMYFUNCTION("GOOGLETRANSLATE(E73, ""en"", ""zh"")"),"#VALUE!")</f>
        <v>#VALUE!</v>
      </c>
      <c r="M73" s="21"/>
      <c r="N73" s="21"/>
      <c r="O73" s="21"/>
      <c r="P73" s="21"/>
      <c r="Q73" s="2"/>
      <c r="R73" s="2"/>
      <c r="S73" s="2"/>
      <c r="T73" s="2"/>
      <c r="U73" s="2"/>
      <c r="V73" s="2"/>
      <c r="W73" s="2"/>
      <c r="X73" s="2"/>
      <c r="Y73" s="2"/>
      <c r="Z73" s="2"/>
      <c r="AA73" s="2"/>
      <c r="AB73" s="2"/>
    </row>
    <row r="74">
      <c r="A74" s="36">
        <v>73.0</v>
      </c>
      <c r="B74" s="12" t="s">
        <v>1109</v>
      </c>
      <c r="C74" s="12" t="s">
        <v>1110</v>
      </c>
      <c r="D74" s="12" t="s">
        <v>1111</v>
      </c>
      <c r="E74" s="27"/>
      <c r="F74" s="2"/>
      <c r="G74" s="2"/>
      <c r="H74" s="35"/>
      <c r="I74" s="24" t="str">
        <f>IFERROR(__xludf.DUMMYFUNCTION("GOOGLETRANSLATE(B74, ""en"", ""zh"")"),"队友站位失误，你应该怎么做？")</f>
        <v>队友站位失误，你应该怎么做？</v>
      </c>
      <c r="J74" s="24" t="str">
        <f>IFERROR(__xludf.DUMMYFUNCTION("GOOGLETRANSLATE(C74, ""en"", ""zh"")"),"A) 覆盖其区域 B) 忽略 C) 让穿梭机降落 D) 停止")</f>
        <v>A) 覆盖其区域 B) 忽略 C) 让穿梭机降落 D) 停止</v>
      </c>
      <c r="K74" s="24" t="str">
        <f>IFERROR(__xludf.DUMMYFUNCTION("GOOGLETRANSLATE(D74, ""en"", ""zh"")"),"A) 覆盖他们的区域")</f>
        <v>A) 覆盖他们的区域</v>
      </c>
      <c r="L74" s="24" t="str">
        <f>IFERROR(__xludf.DUMMYFUNCTION("GOOGLETRANSLATE(E74, ""en"", ""zh"")"),"#VALUE!")</f>
        <v>#VALUE!</v>
      </c>
      <c r="M74" s="21"/>
      <c r="N74" s="21"/>
      <c r="O74" s="21"/>
      <c r="P74" s="21"/>
      <c r="Q74" s="2"/>
      <c r="R74" s="2"/>
      <c r="S74" s="2"/>
      <c r="T74" s="2"/>
      <c r="U74" s="2"/>
      <c r="V74" s="2"/>
      <c r="W74" s="2"/>
      <c r="X74" s="2"/>
      <c r="Y74" s="2"/>
      <c r="Z74" s="2"/>
      <c r="AA74" s="2"/>
      <c r="AB74" s="2"/>
    </row>
    <row r="75">
      <c r="A75" s="36">
        <v>74.0</v>
      </c>
      <c r="B75" s="12" t="s">
        <v>1112</v>
      </c>
      <c r="C75" s="12" t="s">
        <v>1113</v>
      </c>
      <c r="D75" s="12" t="s">
        <v>1114</v>
      </c>
      <c r="E75" s="27"/>
      <c r="F75" s="2"/>
      <c r="G75" s="2"/>
      <c r="H75" s="35"/>
      <c r="I75" s="24" t="str">
        <f>IFERROR(__xludf.DUMMYFUNCTION("GOOGLETRANSLATE(B75, ""en"", ""zh"")"),"对手使用佯攻，你如何应对？")</f>
        <v>对手使用佯攻，你如何应对？</v>
      </c>
      <c r="J75" s="24" t="str">
        <f>IFERROR(__xludf.DUMMYFUNCTION("GOOGLETRANSLATE(C75, ""en"", ""zh"")"),"A) 密切观察并做出反应 B) 忽略 C) 随意踢 D) 停止")</f>
        <v>A) 密切观察并做出反应 B) 忽略 C) 随意踢 D) 停止</v>
      </c>
      <c r="K75" s="24" t="str">
        <f>IFERROR(__xludf.DUMMYFUNCTION("GOOGLETRANSLATE(D75, ""en"", ""zh"")"),"A) 密切观察并做出反应")</f>
        <v>A) 密切观察并做出反应</v>
      </c>
      <c r="L75" s="24" t="str">
        <f>IFERROR(__xludf.DUMMYFUNCTION("GOOGLETRANSLATE(E75, ""en"", ""zh"")"),"#VALUE!")</f>
        <v>#VALUE!</v>
      </c>
      <c r="M75" s="21"/>
      <c r="N75" s="21"/>
      <c r="O75" s="21"/>
      <c r="P75" s="21"/>
      <c r="Q75" s="2"/>
      <c r="R75" s="2"/>
      <c r="S75" s="2"/>
      <c r="T75" s="2"/>
      <c r="U75" s="2"/>
      <c r="V75" s="2"/>
      <c r="W75" s="2"/>
      <c r="X75" s="2"/>
      <c r="Y75" s="2"/>
      <c r="Z75" s="2"/>
      <c r="AA75" s="2"/>
      <c r="AB75" s="2"/>
    </row>
    <row r="76">
      <c r="A76" s="37">
        <v>75.0</v>
      </c>
      <c r="B76" s="12" t="s">
        <v>1115</v>
      </c>
      <c r="C76" s="12" t="s">
        <v>1116</v>
      </c>
      <c r="D76" s="12" t="s">
        <v>1117</v>
      </c>
      <c r="E76" s="27"/>
      <c r="F76" s="2"/>
      <c r="G76" s="2"/>
      <c r="H76" s="35"/>
      <c r="I76" s="24" t="str">
        <f>IFERROR(__xludf.DUMMYFUNCTION("GOOGLETRANSLATE(B76, ""en"", ""zh"")"),"你发现有机会做一个空中特技。该怎么做？")</f>
        <v>你发现有机会做一个空中特技。该怎么做？</v>
      </c>
      <c r="J76" s="24" t="str">
        <f>IFERROR(__xludf.DUMMYFUNCTION("GOOGLETRANSLATE(C76, ""en"", ""zh"")"),"A) 表演花式踢球 B) 无视 C) 随机通过 D) 停止")</f>
        <v>A) 表演花式踢球 B) 无视 C) 随机通过 D) 停止</v>
      </c>
      <c r="K76" s="24" t="str">
        <f>IFERROR(__xludf.DUMMYFUNCTION("GOOGLETRANSLATE(D76, ""en"", ""zh"")"),"A) 表演花式踢腿")</f>
        <v>A) 表演花式踢腿</v>
      </c>
      <c r="L76" s="24" t="str">
        <f>IFERROR(__xludf.DUMMYFUNCTION("GOOGLETRANSLATE(E76, ""en"", ""zh"")"),"#VALUE!")</f>
        <v>#VALUE!</v>
      </c>
      <c r="M76" s="21"/>
      <c r="N76" s="21"/>
      <c r="O76" s="21"/>
      <c r="P76" s="21"/>
      <c r="Q76" s="2"/>
      <c r="R76" s="2"/>
      <c r="S76" s="2"/>
      <c r="T76" s="2"/>
      <c r="U76" s="2"/>
      <c r="V76" s="2"/>
      <c r="W76" s="2"/>
      <c r="X76" s="2"/>
      <c r="Y76" s="2"/>
      <c r="Z76" s="2"/>
      <c r="AA76" s="2"/>
      <c r="AB76" s="2"/>
    </row>
    <row r="77">
      <c r="A77" s="37">
        <v>76.0</v>
      </c>
      <c r="B77" s="12" t="s">
        <v>1118</v>
      </c>
      <c r="C77" s="12" t="s">
        <v>1119</v>
      </c>
      <c r="D77" s="12" t="s">
        <v>1120</v>
      </c>
      <c r="E77" s="27"/>
      <c r="F77" s="2"/>
      <c r="G77" s="2"/>
      <c r="H77" s="35"/>
      <c r="I77" s="24" t="str">
        <f>IFERROR(__xludf.DUMMYFUNCTION("GOOGLETRANSLATE(B77, ""en"", ""zh"")"),"比赛中途你的脚步移动出了问题。你应该如何补救？")</f>
        <v>比赛中途你的脚步移动出了问题。你应该如何补救？</v>
      </c>
      <c r="J77" s="24" t="str">
        <f>IFERROR(__xludf.DUMMYFUNCTION("GOOGLETRANSLATE(C77, ""en"", ""zh"")"),"A) 重置姿势并集中注意力 B) 忽略 C) 减速 D) 停止")</f>
        <v>A) 重置姿势并集中注意力 B) 忽略 C) 减速 D) 停止</v>
      </c>
      <c r="K77" s="24" t="str">
        <f>IFERROR(__xludf.DUMMYFUNCTION("GOOGLETRANSLATE(D77, ""en"", ""zh"")"),"A) 重新调整姿势并集中注意力")</f>
        <v>A) 重新调整姿势并集中注意力</v>
      </c>
      <c r="L77" s="24" t="str">
        <f>IFERROR(__xludf.DUMMYFUNCTION("GOOGLETRANSLATE(E77, ""en"", ""zh"")"),"#VALUE!")</f>
        <v>#VALUE!</v>
      </c>
      <c r="M77" s="21"/>
      <c r="N77" s="21"/>
      <c r="O77" s="21"/>
      <c r="P77" s="21"/>
      <c r="Q77" s="2"/>
      <c r="R77" s="2"/>
      <c r="S77" s="2"/>
      <c r="T77" s="2"/>
      <c r="U77" s="2"/>
      <c r="V77" s="2"/>
      <c r="W77" s="2"/>
      <c r="X77" s="2"/>
      <c r="Y77" s="2"/>
      <c r="Z77" s="2"/>
      <c r="AA77" s="2"/>
      <c r="AB77" s="2"/>
    </row>
    <row r="78">
      <c r="A78" s="37">
        <v>77.0</v>
      </c>
      <c r="B78" s="12" t="s">
        <v>1121</v>
      </c>
      <c r="C78" s="12" t="s">
        <v>1122</v>
      </c>
      <c r="D78" s="12" t="s">
        <v>1123</v>
      </c>
      <c r="E78" s="27"/>
      <c r="F78" s="2"/>
      <c r="G78" s="2"/>
      <c r="H78" s="35"/>
      <c r="I78" s="24" t="str">
        <f>IFERROR(__xludf.DUMMYFUNCTION("GOOGLETRANSLATE(B78, ""en"", ""zh"")"),"对手向你的后防线施压，你该如何应对？")</f>
        <v>对手向你的后防线施压，你该如何应对？</v>
      </c>
      <c r="J78" s="24" t="str">
        <f>IFERROR(__xludf.DUMMYFUNCTION("GOOGLETRANSLATE(C78, ""en"", ""zh"")"),"A) 采取战略性行动 B) 忽略 C) 停止 D) 任其发展")</f>
        <v>A) 采取战略性行动 B) 忽略 C) 停止 D) 任其发展</v>
      </c>
      <c r="K78" s="24" t="str">
        <f>IFERROR(__xludf.DUMMYFUNCTION("GOOGLETRANSLATE(D78, ""en"", ""zh"")"),"A) 采取战略性行动")</f>
        <v>A) 采取战略性行动</v>
      </c>
      <c r="L78" s="24" t="str">
        <f>IFERROR(__xludf.DUMMYFUNCTION("GOOGLETRANSLATE(E78, ""en"", ""zh"")"),"#VALUE!")</f>
        <v>#VALUE!</v>
      </c>
      <c r="M78" s="21"/>
      <c r="N78" s="21"/>
      <c r="O78" s="21"/>
      <c r="P78" s="21"/>
      <c r="Q78" s="2"/>
      <c r="R78" s="2"/>
      <c r="S78" s="2"/>
      <c r="T78" s="2"/>
      <c r="U78" s="2"/>
      <c r="V78" s="2"/>
      <c r="W78" s="2"/>
      <c r="X78" s="2"/>
      <c r="Y78" s="2"/>
      <c r="Z78" s="2"/>
      <c r="AA78" s="2"/>
      <c r="AB78" s="2"/>
    </row>
    <row r="79">
      <c r="A79" s="37">
        <v>78.0</v>
      </c>
      <c r="B79" s="12" t="s">
        <v>1124</v>
      </c>
      <c r="C79" s="12" t="s">
        <v>1125</v>
      </c>
      <c r="D79" s="12" t="s">
        <v>1126</v>
      </c>
      <c r="E79" s="27"/>
      <c r="F79" s="2"/>
      <c r="G79" s="2"/>
      <c r="H79" s="35"/>
      <c r="I79" s="24" t="str">
        <f>IFERROR(__xludf.DUMMYFUNCTION("GOOGLETRANSLATE(B79, ""en"", ""zh"")"),"球已经接近球网了。你打算怎么做？")</f>
        <v>球已经接近球网了。你打算怎么做？</v>
      </c>
      <c r="J79" s="24" t="str">
        <f>IFERROR(__xludf.DUMMYFUNCTION("GOOGLETRANSLATE(C79, ""en"", ""zh"")"),"A) 踢倒 B) 无视 C) 任其掉落 D) 停止")</f>
        <v>A) 踢倒 B) 无视 C) 任其掉落 D) 停止</v>
      </c>
      <c r="K79" s="24" t="str">
        <f>IFERROR(__xludf.DUMMYFUNCTION("GOOGLETRANSLATE(D79, ""en"", ""zh"")"),"A) 踢过")</f>
        <v>A) 踢过</v>
      </c>
      <c r="L79" s="24" t="str">
        <f>IFERROR(__xludf.DUMMYFUNCTION("GOOGLETRANSLATE(E79, ""en"", ""zh"")"),"#VALUE!")</f>
        <v>#VALUE!</v>
      </c>
      <c r="M79" s="21"/>
      <c r="N79" s="21"/>
      <c r="O79" s="21"/>
      <c r="P79" s="21"/>
      <c r="Q79" s="2"/>
      <c r="R79" s="2"/>
      <c r="S79" s="2"/>
      <c r="T79" s="2"/>
      <c r="U79" s="2"/>
      <c r="V79" s="2"/>
      <c r="W79" s="2"/>
      <c r="X79" s="2"/>
      <c r="Y79" s="2"/>
      <c r="Z79" s="2"/>
      <c r="AA79" s="2"/>
      <c r="AB79" s="2"/>
    </row>
    <row r="80">
      <c r="A80" s="37">
        <v>79.0</v>
      </c>
      <c r="B80" s="12" t="s">
        <v>1127</v>
      </c>
      <c r="C80" s="12" t="s">
        <v>1128</v>
      </c>
      <c r="D80" s="12" t="s">
        <v>1129</v>
      </c>
      <c r="E80" s="27"/>
      <c r="F80" s="2"/>
      <c r="G80" s="2"/>
      <c r="H80" s="35"/>
      <c r="I80" s="24" t="str">
        <f>IFERROR(__xludf.DUMMYFUNCTION("GOOGLETRANSLATE(B80, ""en"", ""zh"")"),"队友错失一次接力机会，可能丢分。你打算怎么做？")</f>
        <v>队友错失一次接力机会，可能丢分。你打算怎么做？</v>
      </c>
      <c r="J80" s="24" t="str">
        <f>IFERROR(__xludf.DUMMYFUNCTION("GOOGLETRANSLATE(C80, ""en"", ""zh"")"),"A) 掩护并保存 B) 忽略 C) 任其掉落 D) 停止")</f>
        <v>A) 掩护并保存 B) 忽略 C) 任其掉落 D) 停止</v>
      </c>
      <c r="K80" s="24" t="str">
        <f>IFERROR(__xludf.DUMMYFUNCTION("GOOGLETRANSLATE(D80, ""en"", ""zh"")"),"A) 盖好并保存")</f>
        <v>A) 盖好并保存</v>
      </c>
      <c r="L80" s="24" t="str">
        <f>IFERROR(__xludf.DUMMYFUNCTION("GOOGLETRANSLATE(E80, ""en"", ""zh"")"),"#VALUE!")</f>
        <v>#VALUE!</v>
      </c>
      <c r="M80" s="21"/>
      <c r="N80" s="21"/>
      <c r="O80" s="21"/>
      <c r="P80" s="21"/>
      <c r="Q80" s="2"/>
      <c r="R80" s="2"/>
      <c r="S80" s="2"/>
      <c r="T80" s="2"/>
      <c r="U80" s="2"/>
      <c r="V80" s="2"/>
      <c r="W80" s="2"/>
      <c r="X80" s="2"/>
      <c r="Y80" s="2"/>
      <c r="Z80" s="2"/>
      <c r="AA80" s="2"/>
      <c r="AB80" s="2"/>
    </row>
    <row r="81">
      <c r="A81" s="37">
        <v>80.0</v>
      </c>
      <c r="B81" s="12" t="s">
        <v>1130</v>
      </c>
      <c r="C81" s="12" t="s">
        <v>1131</v>
      </c>
      <c r="D81" s="12" t="s">
        <v>1132</v>
      </c>
      <c r="E81" s="27"/>
      <c r="F81" s="2"/>
      <c r="G81" s="2"/>
      <c r="H81" s="35"/>
      <c r="I81" s="24" t="str">
        <f>IFERROR(__xludf.DUMMYFUNCTION("GOOGLETRANSLATE(B81, ""en"", ""zh"")"),"对手先低位假动作，然后高位假动作。你如何应对？")</f>
        <v>对手先低位假动作，然后高位假动作。你如何应对？</v>
      </c>
      <c r="J81" s="24" t="str">
        <f>IFERROR(__xludf.DUMMYFUNCTION("GOOGLETRANSLATE(C81, ""en"", ""zh"")"),"A) 调整高度和时机 B) 忽略 C) 随机踢 D) 停止")</f>
        <v>A) 调整高度和时机 B) 忽略 C) 随机踢 D) 停止</v>
      </c>
      <c r="K81" s="24" t="str">
        <f>IFERROR(__xludf.DUMMYFUNCTION("GOOGLETRANSLATE(D81, ""en"", ""zh"")"),"A) 调整高度和时间")</f>
        <v>A) 调整高度和时间</v>
      </c>
      <c r="L81" s="24" t="str">
        <f>IFERROR(__xludf.DUMMYFUNCTION("GOOGLETRANSLATE(E81, ""en"", ""zh"")"),"#VALUE!")</f>
        <v>#VALUE!</v>
      </c>
      <c r="M81" s="21"/>
      <c r="N81" s="21"/>
      <c r="O81" s="21"/>
      <c r="P81" s="21"/>
      <c r="Q81" s="2"/>
      <c r="R81" s="2"/>
      <c r="S81" s="2"/>
      <c r="T81" s="2"/>
      <c r="U81" s="2"/>
      <c r="V81" s="2"/>
      <c r="W81" s="2"/>
      <c r="X81" s="2"/>
      <c r="Y81" s="2"/>
      <c r="Z81" s="2"/>
      <c r="AA81" s="2"/>
      <c r="AB81" s="2"/>
    </row>
    <row r="82">
      <c r="A82" s="37">
        <v>81.0</v>
      </c>
      <c r="B82" s="12" t="s">
        <v>1133</v>
      </c>
      <c r="C82" s="12" t="s">
        <v>1134</v>
      </c>
      <c r="D82" s="12" t="s">
        <v>1135</v>
      </c>
      <c r="E82" s="27"/>
      <c r="F82" s="2"/>
      <c r="G82" s="2"/>
      <c r="H82" s="35"/>
      <c r="I82" s="24" t="str">
        <f>IFERROR(__xludf.DUMMYFUNCTION("GOOGLETRANSLATE(B82, ""en"", ""zh"")"),"比赛中期，你的队伍领先。你应该如何保持领先优势？")</f>
        <v>比赛中期，你的队伍领先。你应该如何保持领先优势？</v>
      </c>
      <c r="J82" s="24" t="str">
        <f>IFERROR(__xludf.DUMMYFUNCTION("GOOGLETRANSLATE(C82, ""en"", ""zh"")"),"A) 谨慎行事 B) 无视 C) 采取激进策略 D) 停止")</f>
        <v>A) 谨慎行事 B) 无视 C) 采取激进策略 D) 停止</v>
      </c>
      <c r="K82" s="24" t="str">
        <f>IFERROR(__xludf.DUMMYFUNCTION("GOOGLETRANSLATE(D82, ""en"", ""zh"")"),"A) 安全谨慎地进行游戏")</f>
        <v>A) 安全谨慎地进行游戏</v>
      </c>
      <c r="L82" s="24" t="str">
        <f>IFERROR(__xludf.DUMMYFUNCTION("GOOGLETRANSLATE(E82, ""en"", ""zh"")"),"#VALUE!")</f>
        <v>#VALUE!</v>
      </c>
      <c r="M82" s="21"/>
      <c r="N82" s="21"/>
      <c r="O82" s="21"/>
      <c r="P82" s="21"/>
      <c r="Q82" s="2"/>
      <c r="R82" s="2"/>
      <c r="S82" s="2"/>
      <c r="T82" s="2"/>
      <c r="U82" s="2"/>
      <c r="V82" s="2"/>
      <c r="W82" s="2"/>
      <c r="X82" s="2"/>
      <c r="Y82" s="2"/>
      <c r="Z82" s="2"/>
      <c r="AA82" s="2"/>
      <c r="AB82" s="2"/>
    </row>
    <row r="83">
      <c r="A83" s="37">
        <v>82.0</v>
      </c>
      <c r="B83" s="12" t="s">
        <v>1136</v>
      </c>
      <c r="C83" s="12" t="s">
        <v>1137</v>
      </c>
      <c r="D83" s="12" t="s">
        <v>1138</v>
      </c>
      <c r="E83" s="27"/>
      <c r="F83" s="2"/>
      <c r="G83" s="2"/>
      <c r="H83" s="35"/>
      <c r="I83" s="24" t="str">
        <f>IFERROR(__xludf.DUMMYFUNCTION("GOOGLETRANSLATE(B83, ""en"", ""zh"")"),"对手行动难以预测，该采取什么策略？")</f>
        <v>对手行动难以预测，该采取什么策略？</v>
      </c>
      <c r="J83" s="24" t="str">
        <f>IFERROR(__xludf.DUMMYFUNCTION("GOOGLETRANSLATE(C83, ""en"", ""zh"")"),"A) 预测模式 B) 忽略 C) 随机踢 D) 停止")</f>
        <v>A) 预测模式 B) 忽略 C) 随机踢 D) 停止</v>
      </c>
      <c r="K83" s="24" t="str">
        <f>IFERROR(__xludf.DUMMYFUNCTION("GOOGLETRANSLATE(D83, ""en"", ""zh"")"),"A) 预测模式")</f>
        <v>A) 预测模式</v>
      </c>
      <c r="L83" s="24" t="str">
        <f>IFERROR(__xludf.DUMMYFUNCTION("GOOGLETRANSLATE(E83, ""en"", ""zh"")"),"#VALUE!")</f>
        <v>#VALUE!</v>
      </c>
      <c r="M83" s="21"/>
      <c r="N83" s="21"/>
      <c r="O83" s="21"/>
      <c r="P83" s="21"/>
      <c r="Q83" s="2"/>
      <c r="R83" s="2"/>
      <c r="S83" s="2"/>
      <c r="T83" s="2"/>
      <c r="U83" s="2"/>
      <c r="V83" s="2"/>
      <c r="W83" s="2"/>
      <c r="X83" s="2"/>
      <c r="Y83" s="2"/>
      <c r="Z83" s="2"/>
      <c r="AA83" s="2"/>
      <c r="AB83" s="2"/>
    </row>
    <row r="84">
      <c r="A84" s="37">
        <v>83.0</v>
      </c>
      <c r="B84" s="12" t="s">
        <v>1139</v>
      </c>
      <c r="C84" s="12" t="s">
        <v>1140</v>
      </c>
      <c r="D84" s="12" t="s">
        <v>1141</v>
      </c>
      <c r="E84" s="27"/>
      <c r="F84" s="2"/>
      <c r="G84" s="2"/>
      <c r="H84" s="35"/>
      <c r="I84" s="24" t="str">
        <f>IFERROR(__xludf.DUMMYFUNCTION("GOOGLETRANSLATE(B84, ""en"", ""zh"")"),"球弹跳到你脚边，你会怎么做？")</f>
        <v>球弹跳到你脚边，你会怎么做？</v>
      </c>
      <c r="J84" s="24" t="str">
        <f>IFERROR(__xludf.DUMMYFUNCTION("GOOGLETRANSLATE(C84, ""en"", ""zh"")"),"A) 快速轻踢 B) 无视 C) 停止 D) 任其落下")</f>
        <v>A) 快速轻踢 B) 无视 C) 停止 D) 任其落下</v>
      </c>
      <c r="K84" s="24" t="str">
        <f>IFERROR(__xludf.DUMMYFUNCTION("GOOGLETRANSLATE(D84, ""en"", ""zh"")"),"A) 快速轻踢")</f>
        <v>A) 快速轻踢</v>
      </c>
      <c r="L84" s="24" t="str">
        <f>IFERROR(__xludf.DUMMYFUNCTION("GOOGLETRANSLATE(E84, ""en"", ""zh"")"),"#VALUE!")</f>
        <v>#VALUE!</v>
      </c>
      <c r="M84" s="21"/>
      <c r="N84" s="21"/>
      <c r="O84" s="21"/>
      <c r="P84" s="21"/>
      <c r="Q84" s="2"/>
      <c r="R84" s="2"/>
      <c r="S84" s="2"/>
      <c r="T84" s="2"/>
      <c r="U84" s="2"/>
      <c r="V84" s="2"/>
      <c r="W84" s="2"/>
      <c r="X84" s="2"/>
      <c r="Y84" s="2"/>
      <c r="Z84" s="2"/>
      <c r="AA84" s="2"/>
      <c r="AB84" s="2"/>
    </row>
    <row r="85">
      <c r="A85" s="37">
        <v>84.0</v>
      </c>
      <c r="B85" s="12" t="s">
        <v>1142</v>
      </c>
      <c r="C85" s="12" t="s">
        <v>1143</v>
      </c>
      <c r="D85" s="12" t="s">
        <v>1144</v>
      </c>
      <c r="E85" s="27"/>
      <c r="F85" s="2"/>
      <c r="G85" s="2"/>
      <c r="H85" s="35"/>
      <c r="I85" s="24" t="str">
        <f>IFERROR(__xludf.DUMMYFUNCTION("GOOGLETRANSLATE(B85, ""en"", ""zh"")"),"队友很疲惫，最好的应对方法是什么？")</f>
        <v>队友很疲惫，最好的应对方法是什么？</v>
      </c>
      <c r="J85" s="24" t="str">
        <f>IFERROR(__xludf.DUMMYFUNCTION("GOOGLETRANSLATE(C85, ""en"", ""zh"")"),"A) 调整位置 B) 忽略 C) 减速 D) 停止")</f>
        <v>A) 调整位置 B) 忽略 C) 减速 D) 停止</v>
      </c>
      <c r="K85" s="24" t="str">
        <f>IFERROR(__xludf.DUMMYFUNCTION("GOOGLETRANSLATE(D85, ""en"", ""zh"")"),"A) 调整位置")</f>
        <v>A) 调整位置</v>
      </c>
      <c r="L85" s="24" t="str">
        <f>IFERROR(__xludf.DUMMYFUNCTION("GOOGLETRANSLATE(E85, ""en"", ""zh"")"),"#VALUE!")</f>
        <v>#VALUE!</v>
      </c>
      <c r="M85" s="21"/>
      <c r="N85" s="21"/>
      <c r="O85" s="21"/>
      <c r="P85" s="21"/>
      <c r="Q85" s="2"/>
      <c r="R85" s="2"/>
      <c r="S85" s="2"/>
      <c r="T85" s="2"/>
      <c r="U85" s="2"/>
      <c r="V85" s="2"/>
      <c r="W85" s="2"/>
      <c r="X85" s="2"/>
      <c r="Y85" s="2"/>
      <c r="Z85" s="2"/>
      <c r="AA85" s="2"/>
      <c r="AB85" s="2"/>
    </row>
    <row r="86">
      <c r="A86" s="37">
        <v>85.0</v>
      </c>
      <c r="B86" s="12" t="s">
        <v>1145</v>
      </c>
      <c r="C86" s="12" t="s">
        <v>1146</v>
      </c>
      <c r="D86" s="12" t="s">
        <v>1147</v>
      </c>
      <c r="E86" s="27"/>
      <c r="F86" s="2"/>
      <c r="G86" s="2"/>
      <c r="H86" s="35"/>
      <c r="I86" s="24" t="str">
        <f>IFERROR(__xludf.DUMMYFUNCTION("GOOGLETRANSLATE(B86, ""en"", ""zh"")"),"对手瞄准你的空档，你该如何应对？")</f>
        <v>对手瞄准你的空档，你该如何应对？</v>
      </c>
      <c r="J86" s="24" t="str">
        <f>IFERROR(__xludf.DUMMYFUNCTION("GOOGLETRANSLATE(C86, ""en"", ""zh"")"),"A) 遮挡空间 B) 忽略 C) 停止 D) 让穿梭机投放")</f>
        <v>A) 遮挡空间 B) 忽略 C) 停止 D) 让穿梭机投放</v>
      </c>
      <c r="K86" s="24" t="str">
        <f>IFERROR(__xludf.DUMMYFUNCTION("GOOGLETRANSLATE(D86, ""en"", ""zh"")"),"A) 覆盖空间")</f>
        <v>A) 覆盖空间</v>
      </c>
      <c r="L86" s="24" t="str">
        <f>IFERROR(__xludf.DUMMYFUNCTION("GOOGLETRANSLATE(E86, ""en"", ""zh"")"),"#VALUE!")</f>
        <v>#VALUE!</v>
      </c>
      <c r="M86" s="21"/>
      <c r="N86" s="21"/>
      <c r="O86" s="21"/>
      <c r="P86" s="21"/>
      <c r="Q86" s="2"/>
      <c r="R86" s="2"/>
      <c r="S86" s="2"/>
      <c r="T86" s="2"/>
      <c r="U86" s="2"/>
      <c r="V86" s="2"/>
      <c r="W86" s="2"/>
      <c r="X86" s="2"/>
      <c r="Y86" s="2"/>
      <c r="Z86" s="2"/>
      <c r="AA86" s="2"/>
      <c r="AB86" s="2"/>
    </row>
    <row r="87">
      <c r="A87" s="37">
        <v>86.0</v>
      </c>
      <c r="B87" s="12" t="s">
        <v>1148</v>
      </c>
      <c r="C87" s="12" t="s">
        <v>1149</v>
      </c>
      <c r="D87" s="12" t="s">
        <v>1150</v>
      </c>
      <c r="E87" s="27"/>
      <c r="F87" s="2"/>
      <c r="G87" s="2"/>
      <c r="H87" s="35"/>
      <c r="I87" s="24" t="str">
        <f>IFERROR(__xludf.DUMMYFUNCTION("GOOGLETRANSLATE(B87, ""en"", ""zh"")"),"比赛中途，球速加快。你如何应对？")</f>
        <v>比赛中途，球速加快。你如何应对？</v>
      </c>
      <c r="J87" s="24" t="str">
        <f>IFERROR(__xludf.DUMMYFUNCTION("GOOGLETRANSLATE(C87, ""en"", ""zh"")"),"A) 预判并加速 B) 忽略 C) 减速 D) 停止")</f>
        <v>A) 预判并加速 B) 忽略 C) 减速 D) 停止</v>
      </c>
      <c r="K87" s="24" t="str">
        <f>IFERROR(__xludf.DUMMYFUNCTION("GOOGLETRANSLATE(D87, ""en"", ""zh"")"),"A) 预判更快并踢球")</f>
        <v>A) 预判更快并踢球</v>
      </c>
      <c r="L87" s="24" t="str">
        <f>IFERROR(__xludf.DUMMYFUNCTION("GOOGLETRANSLATE(E87, ""en"", ""zh"")"),"#VALUE!")</f>
        <v>#VALUE!</v>
      </c>
      <c r="M87" s="21"/>
      <c r="N87" s="21"/>
      <c r="O87" s="21"/>
      <c r="P87" s="21"/>
      <c r="Q87" s="2"/>
      <c r="R87" s="2"/>
      <c r="S87" s="2"/>
      <c r="T87" s="2"/>
      <c r="U87" s="2"/>
      <c r="V87" s="2"/>
      <c r="W87" s="2"/>
      <c r="X87" s="2"/>
      <c r="Y87" s="2"/>
      <c r="Z87" s="2"/>
      <c r="AA87" s="2"/>
      <c r="AB87" s="2"/>
    </row>
    <row r="88">
      <c r="A88" s="37">
        <v>87.0</v>
      </c>
      <c r="B88" s="12" t="s">
        <v>1151</v>
      </c>
      <c r="C88" s="12" t="s">
        <v>1152</v>
      </c>
      <c r="D88" s="12" t="s">
        <v>1153</v>
      </c>
      <c r="E88" s="27"/>
      <c r="F88" s="2"/>
      <c r="G88" s="2"/>
      <c r="H88" s="35"/>
      <c r="I88" s="24" t="str">
        <f>IFERROR(__xludf.DUMMYFUNCTION("GOOGLETRANSLATE(B88, ""en"", ""zh"")"),"你发现有机会进行一次横跨球场的长传。你会怎么做？")</f>
        <v>你发现有机会进行一次横跨球场的长传。你会怎么做？</v>
      </c>
      <c r="J88" s="24" t="str">
        <f>IFERROR(__xludf.DUMMYFUNCTION("GOOGLETRANSLATE(C88, ""en"", ""zh"")"),"A) 执行交叉踢 B) 无视 C) 停止 D) 放任不管")</f>
        <v>A) 执行交叉踢 B) 无视 C) 停止 D) 放任不管</v>
      </c>
      <c r="K88" s="24" t="str">
        <f>IFERROR(__xludf.DUMMYFUNCTION("GOOGLETRANSLATE(D88, ""en"", ""zh"")"),"A) 执行交叉踢")</f>
        <v>A) 执行交叉踢</v>
      </c>
      <c r="L88" s="24" t="str">
        <f>IFERROR(__xludf.DUMMYFUNCTION("GOOGLETRANSLATE(E88, ""en"", ""zh"")"),"#VALUE!")</f>
        <v>#VALUE!</v>
      </c>
      <c r="M88" s="21"/>
      <c r="N88" s="21"/>
      <c r="O88" s="21"/>
      <c r="P88" s="21"/>
      <c r="Q88" s="2"/>
      <c r="R88" s="2"/>
      <c r="S88" s="2"/>
      <c r="T88" s="2"/>
      <c r="U88" s="2"/>
      <c r="V88" s="2"/>
      <c r="W88" s="2"/>
      <c r="X88" s="2"/>
      <c r="Y88" s="2"/>
      <c r="Z88" s="2"/>
      <c r="AA88" s="2"/>
      <c r="AB88" s="2"/>
    </row>
    <row r="89">
      <c r="A89" s="37">
        <v>88.0</v>
      </c>
      <c r="B89" s="12" t="s">
        <v>1154</v>
      </c>
      <c r="C89" s="12" t="s">
        <v>1155</v>
      </c>
      <c r="D89" s="12" t="s">
        <v>1156</v>
      </c>
      <c r="E89" s="27"/>
      <c r="F89" s="2"/>
      <c r="G89" s="2"/>
      <c r="H89" s="35"/>
      <c r="I89" s="24" t="str">
        <f>IFERROR(__xludf.DUMMYFUNCTION("GOOGLETRANSLATE(B89, ""en"", ""zh"")"),"对手空中拦截，威胁得分。你会如何应对？")</f>
        <v>对手空中拦截，威胁得分。你会如何应对？</v>
      </c>
      <c r="J89" s="24" t="str">
        <f>IFERROR(__xludf.DUMMYFUNCTION("GOOGLETRANSLATE(C89, ""en"", ""zh"")"),"A) 改变轨迹 B) 忽略 C) 停止 D) 随机踢")</f>
        <v>A) 改变轨迹 B) 忽略 C) 停止 D) 随机踢</v>
      </c>
      <c r="K89" s="24" t="str">
        <f>IFERROR(__xludf.DUMMYFUNCTION("GOOGLETRANSLATE(D89, ""en"", ""zh"")"),"A) 改变轨迹")</f>
        <v>A) 改变轨迹</v>
      </c>
      <c r="L89" s="24" t="str">
        <f>IFERROR(__xludf.DUMMYFUNCTION("GOOGLETRANSLATE(E89, ""en"", ""zh"")"),"#VALUE!")</f>
        <v>#VALUE!</v>
      </c>
      <c r="M89" s="21"/>
      <c r="N89" s="21"/>
      <c r="O89" s="21"/>
      <c r="P89" s="21"/>
      <c r="Q89" s="2"/>
      <c r="R89" s="2"/>
      <c r="S89" s="2"/>
      <c r="T89" s="2"/>
      <c r="U89" s="2"/>
      <c r="V89" s="2"/>
      <c r="W89" s="2"/>
      <c r="X89" s="2"/>
      <c r="Y89" s="2"/>
      <c r="Z89" s="2"/>
      <c r="AA89" s="2"/>
      <c r="AB89" s="2"/>
    </row>
    <row r="90">
      <c r="A90" s="37">
        <v>89.0</v>
      </c>
      <c r="B90" s="12" t="s">
        <v>1157</v>
      </c>
      <c r="C90" s="12" t="s">
        <v>1158</v>
      </c>
      <c r="D90" s="12" t="s">
        <v>1159</v>
      </c>
      <c r="E90" s="27"/>
      <c r="F90" s="2"/>
      <c r="G90" s="2"/>
      <c r="H90" s="35"/>
      <c r="I90" s="24" t="str">
        <f>IFERROR(__xludf.DUMMYFUNCTION("GOOGLETRANSLATE(B90, ""en"", ""zh"")"),"球飞得很低，靠近你的脚。你最好的应对方法是什么？")</f>
        <v>球飞得很低，靠近你的脚。你最好的应对方法是什么？</v>
      </c>
      <c r="J90" s="24" t="str">
        <f>IFERROR(__xludf.DUMMYFUNCTION("GOOGLETRANSLATE(C90, ""en"", ""zh"")"),"A) 快速低踢 B) 无视 C) 任其自然 D) 停止")</f>
        <v>A) 快速低踢 B) 无视 C) 任其自然 D) 停止</v>
      </c>
      <c r="K90" s="24" t="str">
        <f>IFERROR(__xludf.DUMMYFUNCTION("GOOGLETRANSLATE(D90, ""en"", ""zh"")"),"A) 快速低踢")</f>
        <v>A) 快速低踢</v>
      </c>
      <c r="L90" s="24" t="str">
        <f>IFERROR(__xludf.DUMMYFUNCTION("GOOGLETRANSLATE(E90, ""en"", ""zh"")"),"#VALUE!")</f>
        <v>#VALUE!</v>
      </c>
      <c r="M90" s="21"/>
      <c r="N90" s="21"/>
      <c r="O90" s="21"/>
      <c r="P90" s="21"/>
      <c r="Q90" s="2"/>
      <c r="R90" s="2"/>
      <c r="S90" s="2"/>
      <c r="T90" s="2"/>
      <c r="U90" s="2"/>
      <c r="V90" s="2"/>
      <c r="W90" s="2"/>
      <c r="X90" s="2"/>
      <c r="Y90" s="2"/>
      <c r="Z90" s="2"/>
      <c r="AA90" s="2"/>
      <c r="AB90" s="2"/>
    </row>
    <row r="91">
      <c r="A91" s="37">
        <v>90.0</v>
      </c>
      <c r="B91" s="12" t="s">
        <v>1160</v>
      </c>
      <c r="C91" s="12" t="s">
        <v>1161</v>
      </c>
      <c r="D91" s="12" t="s">
        <v>1162</v>
      </c>
      <c r="E91" s="27"/>
      <c r="F91" s="2"/>
      <c r="G91" s="2"/>
      <c r="H91" s="35"/>
      <c r="I91" s="24" t="str">
        <f>IFERROR(__xludf.DUMMYFUNCTION("GOOGLETRANSLATE(B91, ""en"", ""zh"")"),"比赛中途，你的队友站位失误了。你应该怎么做？")</f>
        <v>比赛中途，你的队友站位失误了。你应该怎么做？</v>
      </c>
      <c r="J91" s="24" t="str">
        <f>IFERROR(__xludf.DUMMYFUNCTION("GOOGLETRANSLATE(C91, ""en"", ""zh"")"),"A) 覆盖他们的区域 B) 无视 C) 减速 D) 停止")</f>
        <v>A) 覆盖他们的区域 B) 无视 C) 减速 D) 停止</v>
      </c>
      <c r="K91" s="24" t="str">
        <f>IFERROR(__xludf.DUMMYFUNCTION("GOOGLETRANSLATE(D91, ""en"", ""zh"")"),"A) 覆盖他们的区域")</f>
        <v>A) 覆盖他们的区域</v>
      </c>
      <c r="L91" s="24" t="str">
        <f>IFERROR(__xludf.DUMMYFUNCTION("GOOGLETRANSLATE(E91, ""en"", ""zh"")"),"#VALUE!")</f>
        <v>#VALUE!</v>
      </c>
      <c r="M91" s="21"/>
      <c r="N91" s="21"/>
      <c r="O91" s="21"/>
      <c r="P91" s="21"/>
      <c r="Q91" s="2"/>
      <c r="R91" s="2"/>
      <c r="S91" s="2"/>
      <c r="T91" s="2"/>
      <c r="U91" s="2"/>
      <c r="V91" s="2"/>
      <c r="W91" s="2"/>
      <c r="X91" s="2"/>
      <c r="Y91" s="2"/>
      <c r="Z91" s="2"/>
      <c r="AA91" s="2"/>
      <c r="AB91" s="2"/>
    </row>
    <row r="92">
      <c r="A92" s="37">
        <v>91.0</v>
      </c>
      <c r="B92" s="12" t="s">
        <v>1163</v>
      </c>
      <c r="C92" s="12" t="s">
        <v>1164</v>
      </c>
      <c r="D92" s="12" t="s">
        <v>1165</v>
      </c>
      <c r="E92" s="27"/>
      <c r="F92" s="2"/>
      <c r="G92" s="2"/>
      <c r="H92" s="35"/>
      <c r="I92" s="24" t="str">
        <f>IFERROR(__xludf.DUMMYFUNCTION("GOOGLETRANSLATE(B92, ""en"", ""zh"")"),"对手先向左虚晃，再向右虚晃。你应该如何应对？")</f>
        <v>对手先向左虚晃，再向右虚晃。你应该如何应对？</v>
      </c>
      <c r="J92" s="24" t="str">
        <f>IFERROR(__xludf.DUMMYFUNCTION("GOOGLETRANSLATE(C92, ""en"", ""zh"")"),"A) 横向调整 B) 忽略 C) 随意踢 D) 停止")</f>
        <v>A) 横向调整 B) 忽略 C) 随意踢 D) 停止</v>
      </c>
      <c r="K92" s="24" t="str">
        <f>IFERROR(__xludf.DUMMYFUNCTION("GOOGLETRANSLATE(D92, ""en"", ""zh"")"),"A) 横向调整")</f>
        <v>A) 横向调整</v>
      </c>
      <c r="L92" s="24" t="str">
        <f>IFERROR(__xludf.DUMMYFUNCTION("GOOGLETRANSLATE(E92, ""en"", ""zh"")"),"#VALUE!")</f>
        <v>#VALUE!</v>
      </c>
      <c r="M92" s="21"/>
      <c r="N92" s="21"/>
      <c r="O92" s="21"/>
      <c r="P92" s="21"/>
      <c r="Q92" s="2"/>
      <c r="R92" s="2"/>
      <c r="S92" s="2"/>
      <c r="T92" s="2"/>
      <c r="U92" s="2"/>
      <c r="V92" s="2"/>
      <c r="W92" s="2"/>
      <c r="X92" s="2"/>
      <c r="Y92" s="2"/>
      <c r="Z92" s="2"/>
      <c r="AA92" s="2"/>
      <c r="AB92" s="2"/>
    </row>
    <row r="93">
      <c r="A93" s="37">
        <v>92.0</v>
      </c>
      <c r="B93" s="12" t="s">
        <v>1166</v>
      </c>
      <c r="C93" s="12" t="s">
        <v>1167</v>
      </c>
      <c r="D93" s="12" t="s">
        <v>1168</v>
      </c>
      <c r="E93" s="27"/>
      <c r="F93" s="2"/>
      <c r="G93" s="2"/>
      <c r="H93" s="35"/>
      <c r="I93" s="24" t="str">
        <f>IFERROR(__xludf.DUMMYFUNCTION("GOOGLETRANSLATE(B93, ""en"", ""zh"")"),"球飞到了你后防线附近很高的地方。你该如何应对？")</f>
        <v>球飞到了你后防线附近很高的地方。你该如何应对？</v>
      </c>
      <c r="J93" s="24" t="str">
        <f>IFERROR(__xludf.DUMMYFUNCTION("GOOGLETRANSLATE(C93, ""en"", ""zh"")"),"A) 策略性地跳踢 B) 无视 C) 停止 D) 任其坠落")</f>
        <v>A) 策略性地跳踢 B) 无视 C) 停止 D) 任其坠落</v>
      </c>
      <c r="K93" s="24" t="str">
        <f>IFERROR(__xludf.DUMMYFUNCTION("GOOGLETRANSLATE(D93, ""en"", ""zh"")"),"A) 策略性地跳踢")</f>
        <v>A) 策略性地跳踢</v>
      </c>
      <c r="L93" s="24" t="str">
        <f>IFERROR(__xludf.DUMMYFUNCTION("GOOGLETRANSLATE(E93, ""en"", ""zh"")"),"#VALUE!")</f>
        <v>#VALUE!</v>
      </c>
      <c r="M93" s="21"/>
      <c r="N93" s="21"/>
      <c r="O93" s="21"/>
      <c r="P93" s="21"/>
      <c r="Q93" s="2"/>
      <c r="R93" s="2"/>
      <c r="S93" s="2"/>
      <c r="T93" s="2"/>
      <c r="U93" s="2"/>
      <c r="V93" s="2"/>
      <c r="W93" s="2"/>
      <c r="X93" s="2"/>
      <c r="Y93" s="2"/>
      <c r="Z93" s="2"/>
      <c r="AA93" s="2"/>
      <c r="AB93" s="2"/>
    </row>
    <row r="94">
      <c r="A94" s="37">
        <v>93.0</v>
      </c>
      <c r="B94" s="12" t="s">
        <v>1169</v>
      </c>
      <c r="C94" s="12" t="s">
        <v>1170</v>
      </c>
      <c r="D94" s="12" t="s">
        <v>1171</v>
      </c>
      <c r="E94" s="27"/>
      <c r="F94" s="2"/>
      <c r="G94" s="2"/>
      <c r="H94" s="35"/>
      <c r="I94" s="24" t="str">
        <f>IFERROR(__xludf.DUMMYFUNCTION("GOOGLETRANSLATE(B94, ""en"", ""zh"")"),"队友注意力分散，最佳应对措施是什么？")</f>
        <v>队友注意力分散，最佳应对措施是什么？</v>
      </c>
      <c r="J94" s="24" t="str">
        <f>IFERROR(__xludf.DUMMYFUNCTION("GOOGLETRANSLATE(C94, ""en"", ""zh"")"),"A) 沟通并掩盖 B) 忽略 C) 停止 D) 任其发生")</f>
        <v>A) 沟通并掩盖 B) 忽略 C) 停止 D) 任其发生</v>
      </c>
      <c r="K94" s="24" t="str">
        <f>IFERROR(__xludf.DUMMYFUNCTION("GOOGLETRANSLATE(D94, ""en"", ""zh"")"),"A) 沟通和覆盖")</f>
        <v>A) 沟通和覆盖</v>
      </c>
      <c r="L94" s="24" t="str">
        <f>IFERROR(__xludf.DUMMYFUNCTION("GOOGLETRANSLATE(E94, ""en"", ""zh"")"),"#VALUE!")</f>
        <v>#VALUE!</v>
      </c>
      <c r="M94" s="21"/>
      <c r="N94" s="21"/>
      <c r="O94" s="21"/>
      <c r="P94" s="21"/>
      <c r="Q94" s="2"/>
      <c r="R94" s="2"/>
      <c r="S94" s="2"/>
      <c r="T94" s="2"/>
      <c r="U94" s="2"/>
      <c r="V94" s="2"/>
      <c r="W94" s="2"/>
      <c r="X94" s="2"/>
      <c r="Y94" s="2"/>
      <c r="Z94" s="2"/>
      <c r="AA94" s="2"/>
      <c r="AB94" s="2"/>
    </row>
    <row r="95">
      <c r="A95" s="37">
        <v>94.0</v>
      </c>
      <c r="B95" s="12" t="s">
        <v>1172</v>
      </c>
      <c r="C95" s="12" t="s">
        <v>1173</v>
      </c>
      <c r="D95" s="12" t="s">
        <v>1174</v>
      </c>
      <c r="E95" s="27"/>
      <c r="F95" s="2"/>
      <c r="G95" s="2"/>
      <c r="H95" s="35"/>
      <c r="I95" s="24" t="str">
        <f>IFERROR(__xludf.DUMMYFUNCTION("GOOGLETRANSLATE(B95, ""en"", ""zh"")"),"对手瞄准中路区域。你如何防守？")</f>
        <v>对手瞄准中路区域。你如何防守？</v>
      </c>
      <c r="J95" s="24" t="str">
        <f>IFERROR(__xludf.DUMMYFUNCTION("GOOGLETRANSLATE(C95, ""en"", ""zh"")"),"A) 采取策略性移动进行阻挡 B) 无视 C) 停止 D) 让球落下")</f>
        <v>A) 采取策略性移动进行阻挡 B) 无视 C) 停止 D) 让球落下</v>
      </c>
      <c r="K95" s="24" t="str">
        <f>IFERROR(__xludf.DUMMYFUNCTION("GOOGLETRANSLATE(D95, ""en"", ""zh"")"),"A) 采取策略性行动进行阻挡")</f>
        <v>A) 采取策略性行动进行阻挡</v>
      </c>
      <c r="L95" s="24" t="str">
        <f>IFERROR(__xludf.DUMMYFUNCTION("GOOGLETRANSLATE(E95, ""en"", ""zh"")"),"#VALUE!")</f>
        <v>#VALUE!</v>
      </c>
      <c r="M95" s="21"/>
      <c r="N95" s="21"/>
      <c r="O95" s="21"/>
      <c r="P95" s="21"/>
      <c r="Q95" s="2"/>
      <c r="R95" s="2"/>
      <c r="S95" s="2"/>
      <c r="T95" s="2"/>
      <c r="U95" s="2"/>
      <c r="V95" s="2"/>
      <c r="W95" s="2"/>
      <c r="X95" s="2"/>
      <c r="Y95" s="2"/>
      <c r="Z95" s="2"/>
      <c r="AA95" s="2"/>
      <c r="AB95" s="2"/>
    </row>
    <row r="96">
      <c r="A96" s="37">
        <v>95.0</v>
      </c>
      <c r="B96" s="12" t="s">
        <v>1175</v>
      </c>
      <c r="C96" s="12" t="s">
        <v>1176</v>
      </c>
      <c r="D96" s="12" t="s">
        <v>1177</v>
      </c>
      <c r="E96" s="27"/>
      <c r="F96" s="2"/>
      <c r="G96" s="2"/>
      <c r="H96" s="35"/>
      <c r="I96" s="24" t="str">
        <f>IFERROR(__xludf.DUMMYFUNCTION("GOOGLETRANSLATE(B96, ""en"", ""zh"")"),"航天飞机正在快速低空接近。接下来该怎么做？")</f>
        <v>航天飞机正在快速低空接近。接下来该怎么做？</v>
      </c>
      <c r="J96" s="24" t="str">
        <f>IFERROR(__xludf.DUMMYFUNCTION("GOOGLETRANSLATE(C96, ""en"", ""zh"")"),"A) 轻踢 B) 无视 C) 停止 D) 任其落下")</f>
        <v>A) 轻踢 B) 无视 C) 停止 D) 任其落下</v>
      </c>
      <c r="K96" s="24" t="str">
        <f>IFERROR(__xludf.DUMMYFUNCTION("GOOGLETRANSLATE(D96, ""en"", ""zh"")"),"A) 轻踢")</f>
        <v>A) 轻踢</v>
      </c>
      <c r="L96" s="24" t="str">
        <f>IFERROR(__xludf.DUMMYFUNCTION("GOOGLETRANSLATE(E96, ""en"", ""zh"")"),"#VALUE!")</f>
        <v>#VALUE!</v>
      </c>
      <c r="M96" s="21"/>
      <c r="N96" s="21"/>
      <c r="O96" s="21"/>
      <c r="P96" s="21"/>
      <c r="Q96" s="2"/>
      <c r="R96" s="2"/>
      <c r="S96" s="2"/>
      <c r="T96" s="2"/>
      <c r="U96" s="2"/>
      <c r="V96" s="2"/>
      <c r="W96" s="2"/>
      <c r="X96" s="2"/>
      <c r="Y96" s="2"/>
      <c r="Z96" s="2"/>
      <c r="AA96" s="2"/>
      <c r="AB96" s="2"/>
    </row>
    <row r="97">
      <c r="A97" s="37">
        <v>96.0</v>
      </c>
      <c r="B97" s="12" t="s">
        <v>1178</v>
      </c>
      <c r="C97" s="12" t="s">
        <v>1179</v>
      </c>
      <c r="D97" s="12" t="s">
        <v>1180</v>
      </c>
      <c r="E97" s="27"/>
      <c r="F97" s="2"/>
      <c r="G97" s="2"/>
      <c r="H97" s="35"/>
      <c r="I97" s="24" t="str">
        <f>IFERROR(__xludf.DUMMYFUNCTION("GOOGLETRANSLATE(B97, ""en"", ""zh"")"),"比赛中途节奏被打乱，该如何恢复？")</f>
        <v>比赛中途节奏被打乱，该如何恢复？</v>
      </c>
      <c r="J97" s="24" t="str">
        <f>IFERROR(__xludf.DUMMYFUNCTION("GOOGLETRANSLATE(C97, ""en"", ""zh"")"),"A) 重新掌握节奏和注意力 B) 忽略 C) 停止 D) 放慢速度")</f>
        <v>A) 重新掌握节奏和注意力 B) 忽略 C) 停止 D) 放慢速度</v>
      </c>
      <c r="K97" s="24" t="str">
        <f>IFERROR(__xludf.DUMMYFUNCTION("GOOGLETRANSLATE(D97, ""en"", ""zh"")"),"A) 重新掌握时机和注意力")</f>
        <v>A) 重新掌握时机和注意力</v>
      </c>
      <c r="L97" s="24" t="str">
        <f>IFERROR(__xludf.DUMMYFUNCTION("GOOGLETRANSLATE(E97, ""en"", ""zh"")"),"#VALUE!")</f>
        <v>#VALUE!</v>
      </c>
      <c r="M97" s="21"/>
      <c r="N97" s="21"/>
      <c r="O97" s="21"/>
      <c r="P97" s="21"/>
      <c r="Q97" s="2"/>
      <c r="R97" s="2"/>
      <c r="S97" s="2"/>
      <c r="T97" s="2"/>
      <c r="U97" s="2"/>
      <c r="V97" s="2"/>
      <c r="W97" s="2"/>
      <c r="X97" s="2"/>
      <c r="Y97" s="2"/>
      <c r="Z97" s="2"/>
      <c r="AA97" s="2"/>
      <c r="AB97" s="2"/>
    </row>
    <row r="98">
      <c r="A98" s="37">
        <v>97.0</v>
      </c>
      <c r="B98" s="12" t="s">
        <v>1181</v>
      </c>
      <c r="C98" s="12" t="s">
        <v>1182</v>
      </c>
      <c r="D98" s="12" t="s">
        <v>1183</v>
      </c>
      <c r="E98" s="27"/>
      <c r="F98" s="2"/>
      <c r="G98" s="2"/>
      <c r="H98" s="35"/>
      <c r="I98" s="24" t="str">
        <f>IFERROR(__xludf.DUMMYFUNCTION("GOOGLETRANSLATE(B98, ""en"", ""zh"")"),"左侧对手施压，你应该如何应对？")</f>
        <v>左侧对手施压，你应该如何应对？</v>
      </c>
      <c r="J98" s="24" t="str">
        <f>IFERROR(__xludf.DUMMYFUNCTION("GOOGLETRANSLATE(C98, ""en"", ""zh"")"),"A) 策略性地向右移动 B) 忽略 C) 停止 D) 让穿梭机掉落")</f>
        <v>A) 策略性地向右移动 B) 忽略 C) 停止 D) 让穿梭机掉落</v>
      </c>
      <c r="K98" s="24" t="str">
        <f>IFERROR(__xludf.DUMMYFUNCTION("GOOGLETRANSLATE(D98, ""en"", ""zh"")"),"A) 战略性地向右移动")</f>
        <v>A) 战略性地向右移动</v>
      </c>
      <c r="L98" s="24" t="str">
        <f>IFERROR(__xludf.DUMMYFUNCTION("GOOGLETRANSLATE(E98, ""en"", ""zh"")"),"#VALUE!")</f>
        <v>#VALUE!</v>
      </c>
      <c r="M98" s="21"/>
      <c r="N98" s="21"/>
      <c r="O98" s="21"/>
      <c r="P98" s="21"/>
      <c r="Q98" s="2"/>
      <c r="R98" s="2"/>
      <c r="S98" s="2"/>
      <c r="T98" s="2"/>
      <c r="U98" s="2"/>
      <c r="V98" s="2"/>
      <c r="W98" s="2"/>
      <c r="X98" s="2"/>
      <c r="Y98" s="2"/>
      <c r="Z98" s="2"/>
      <c r="AA98" s="2"/>
      <c r="AB98" s="2"/>
    </row>
    <row r="99">
      <c r="A99" s="37">
        <v>98.0</v>
      </c>
      <c r="B99" s="12" t="s">
        <v>1184</v>
      </c>
      <c r="C99" s="12" t="s">
        <v>1185</v>
      </c>
      <c r="D99" s="12" t="s">
        <v>1186</v>
      </c>
      <c r="E99" s="27"/>
      <c r="F99" s="2"/>
      <c r="G99" s="2"/>
      <c r="H99" s="35"/>
      <c r="I99" s="24" t="str">
        <f>IFERROR(__xludf.DUMMYFUNCTION("GOOGLETRANSLATE(B99, ""en"", ""zh"")"),"航天飞机弹跳轨迹难以预测。你打算怎么做？")</f>
        <v>航天飞机弹跳轨迹难以预测。你打算怎么做？</v>
      </c>
      <c r="J99" s="24" t="str">
        <f>IFERROR(__xludf.DUMMYFUNCTION("GOOGLETRANSLATE(C99, ""en"", ""zh"")"),"A) 调整站姿和时机 B) 忽略 C) 停止 D) 随意踢")</f>
        <v>A) 调整站姿和时机 B) 忽略 C) 停止 D) 随意踢</v>
      </c>
      <c r="K99" s="24" t="str">
        <f>IFERROR(__xludf.DUMMYFUNCTION("GOOGLETRANSLATE(D99, ""en"", ""zh"")"),"A) 调整站姿和时机")</f>
        <v>A) 调整站姿和时机</v>
      </c>
      <c r="L99" s="24" t="str">
        <f>IFERROR(__xludf.DUMMYFUNCTION("GOOGLETRANSLATE(E99, ""en"", ""zh"")"),"#VALUE!")</f>
        <v>#VALUE!</v>
      </c>
      <c r="M99" s="21"/>
      <c r="N99" s="21"/>
      <c r="O99" s="21"/>
      <c r="P99" s="21"/>
      <c r="Q99" s="2"/>
      <c r="R99" s="2"/>
      <c r="S99" s="2"/>
      <c r="T99" s="2"/>
      <c r="U99" s="2"/>
      <c r="V99" s="2"/>
      <c r="W99" s="2"/>
      <c r="X99" s="2"/>
      <c r="Y99" s="2"/>
      <c r="Z99" s="2"/>
      <c r="AA99" s="2"/>
      <c r="AB99" s="2"/>
    </row>
    <row r="100">
      <c r="A100" s="37">
        <v>99.0</v>
      </c>
      <c r="B100" s="12" t="s">
        <v>1187</v>
      </c>
      <c r="C100" s="12" t="s">
        <v>1188</v>
      </c>
      <c r="D100" s="12" t="s">
        <v>1189</v>
      </c>
      <c r="E100" s="27"/>
      <c r="F100" s="2"/>
      <c r="G100" s="2"/>
      <c r="H100" s="35"/>
      <c r="I100" s="24" t="str">
        <f>IFERROR(__xludf.DUMMYFUNCTION("GOOGLETRANSLATE(B100, ""en"", ""zh"")"),"队友的射门偏出了目标。你会如何反应？")</f>
        <v>队友的射门偏出了目标。你会如何反应？</v>
      </c>
      <c r="J100" s="24" t="str">
        <f>IFERROR(__xludf.DUMMYFUNCTION("GOOGLETRANSLATE(C100, ""en"", ""zh"")"),"A) 掩护并引导 B) 忽略 C) 停止 D) 任其坠落")</f>
        <v>A) 掩护并引导 B) 忽略 C) 停止 D) 任其坠落</v>
      </c>
      <c r="K100" s="24" t="str">
        <f>IFERROR(__xludf.DUMMYFUNCTION("GOOGLETRANSLATE(D100, ""en"", ""zh"")"),"A) 掩护和重定向")</f>
        <v>A) 掩护和重定向</v>
      </c>
      <c r="L100" s="24" t="str">
        <f>IFERROR(__xludf.DUMMYFUNCTION("GOOGLETRANSLATE(E100, ""en"", ""zh"")"),"#VALUE!")</f>
        <v>#VALUE!</v>
      </c>
      <c r="M100" s="21"/>
      <c r="N100" s="21"/>
      <c r="O100" s="21"/>
      <c r="P100" s="21"/>
      <c r="Q100" s="2"/>
      <c r="R100" s="2"/>
      <c r="S100" s="2"/>
      <c r="T100" s="2"/>
      <c r="U100" s="2"/>
      <c r="V100" s="2"/>
      <c r="W100" s="2"/>
      <c r="X100" s="2"/>
      <c r="Y100" s="2"/>
      <c r="Z100" s="2"/>
      <c r="AA100" s="2"/>
      <c r="AB100" s="2"/>
    </row>
    <row r="101">
      <c r="A101" s="37">
        <v>100.0</v>
      </c>
      <c r="B101" s="12" t="s">
        <v>1190</v>
      </c>
      <c r="C101" s="12" t="s">
        <v>1191</v>
      </c>
      <c r="D101" s="12" t="s">
        <v>1192</v>
      </c>
      <c r="E101" s="27"/>
      <c r="F101" s="2"/>
      <c r="G101" s="2"/>
      <c r="H101" s="35"/>
      <c r="I101" s="24" t="str">
        <f>IFERROR(__xludf.DUMMYFUNCTION("GOOGLETRANSLATE(B101, ""en"", ""zh"")"),"比赛中，对手连续快速踢球。你如何应对？")</f>
        <v>比赛中，对手连续快速踢球。你如何应对？</v>
      </c>
      <c r="J101" s="24" t="str">
        <f>IFERROR(__xludf.DUMMYFUNCTION("GOOGLETRANSLATE(C101, ""en"", ""zh"")"),"A) 预判并应对 B) 忽略 C) 停止 D) 放任不管")</f>
        <v>A) 预判并应对 B) 忽略 C) 停止 D) 放任不管</v>
      </c>
      <c r="K101" s="24" t="str">
        <f>IFERROR(__xludf.DUMMYFUNCTION("GOOGLETRANSLATE(D101, ""en"", ""zh"")"),"A) 预判并应对")</f>
        <v>A) 预判并应对</v>
      </c>
      <c r="L101" s="24" t="str">
        <f>IFERROR(__xludf.DUMMYFUNCTION("GOOGLETRANSLATE(E101, ""en"", ""zh"")"),"#VALUE!")</f>
        <v>#VALUE!</v>
      </c>
      <c r="M101" s="21"/>
      <c r="N101" s="21"/>
      <c r="O101" s="21"/>
      <c r="P101" s="21"/>
      <c r="Q101" s="2"/>
      <c r="R101" s="2"/>
      <c r="S101" s="2"/>
      <c r="T101" s="2"/>
      <c r="U101" s="2"/>
      <c r="V101" s="2"/>
      <c r="W101" s="2"/>
      <c r="X101" s="2"/>
      <c r="Y101" s="2"/>
      <c r="Z101" s="2"/>
      <c r="AA101" s="2"/>
      <c r="AB101" s="2"/>
    </row>
    <row r="102">
      <c r="A102" s="37">
        <v>101.0</v>
      </c>
      <c r="B102" s="12" t="s">
        <v>1193</v>
      </c>
      <c r="C102" s="12" t="s">
        <v>1194</v>
      </c>
      <c r="D102" s="12" t="s">
        <v>1195</v>
      </c>
      <c r="E102" s="27"/>
      <c r="F102" s="2"/>
      <c r="G102" s="2"/>
      <c r="H102" s="35"/>
      <c r="I102" s="24" t="str">
        <f>IFERROR(__xludf.DUMMYFUNCTION("GOOGLETRANSLATE(B102, ""en"", ""zh"")"),"球已接近边线，对手已在等待。你会怎么做？")</f>
        <v>球已接近边线，对手已在等待。你会怎么做？</v>
      </c>
      <c r="J102" s="24" t="str">
        <f>IFERROR(__xludf.DUMMYFUNCTION("GOOGLETRANSLATE(C102, ""en"", ""zh"")"),"A) 引导向内 B) 忽略 C) 停止 D) 任其掉落")</f>
        <v>A) 引导向内 B) 忽略 C) 停止 D) 任其掉落</v>
      </c>
      <c r="K102" s="24" t="str">
        <f>IFERROR(__xludf.DUMMYFUNCTION("GOOGLETRANSLATE(D102, ""en"", ""zh"")"),"A) 向内引导")</f>
        <v>A) 向内引导</v>
      </c>
      <c r="L102" s="24" t="str">
        <f>IFERROR(__xludf.DUMMYFUNCTION("GOOGLETRANSLATE(E102, ""en"", ""zh"")"),"#VALUE!")</f>
        <v>#VALUE!</v>
      </c>
      <c r="M102" s="21"/>
      <c r="N102" s="21"/>
      <c r="O102" s="21"/>
      <c r="P102" s="21"/>
      <c r="Q102" s="2"/>
      <c r="R102" s="2"/>
      <c r="S102" s="2"/>
      <c r="T102" s="2"/>
      <c r="U102" s="2"/>
      <c r="V102" s="2"/>
      <c r="W102" s="2"/>
      <c r="X102" s="2"/>
      <c r="Y102" s="2"/>
      <c r="Z102" s="2"/>
      <c r="AA102" s="2"/>
      <c r="AB102" s="2"/>
    </row>
    <row r="103">
      <c r="A103" s="37">
        <v>102.0</v>
      </c>
      <c r="B103" s="12" t="s">
        <v>1196</v>
      </c>
      <c r="C103" s="12" t="s">
        <v>1197</v>
      </c>
      <c r="D103" s="12" t="s">
        <v>1102</v>
      </c>
      <c r="E103" s="27"/>
      <c r="F103" s="2"/>
      <c r="G103" s="2"/>
      <c r="H103" s="35"/>
      <c r="I103" s="24" t="str">
        <f>IFERROR(__xludf.DUMMYFUNCTION("GOOGLETRANSLATE(B103, ""en"", ""zh"")"),"你有机会打出一套战术组合。你的下一步是什么？")</f>
        <v>你有机会打出一套战术组合。你的下一步是什么？</v>
      </c>
      <c r="J103" s="24" t="str">
        <f>IFERROR(__xludf.DUMMYFUNCTION("GOOGLETRANSLATE(C103, ""en"", ""zh"")"),"A) 执行连击 B) 忽略 C) 停止 D) 让它掉落")</f>
        <v>A) 执行连击 B) 忽略 C) 停止 D) 让它掉落</v>
      </c>
      <c r="K103" s="24" t="str">
        <f>IFERROR(__xludf.DUMMYFUNCTION("GOOGLETRANSLATE(D103, ""en"", ""zh"")"),"A) 执行连击")</f>
        <v>A) 执行连击</v>
      </c>
      <c r="L103" s="24" t="str">
        <f>IFERROR(__xludf.DUMMYFUNCTION("GOOGLETRANSLATE(E103, ""en"", ""zh"")"),"#VALUE!")</f>
        <v>#VALUE!</v>
      </c>
      <c r="M103" s="21"/>
      <c r="N103" s="21"/>
      <c r="O103" s="21"/>
      <c r="P103" s="21"/>
      <c r="Q103" s="2"/>
      <c r="R103" s="2"/>
      <c r="S103" s="2"/>
      <c r="T103" s="2"/>
      <c r="U103" s="2"/>
      <c r="V103" s="2"/>
      <c r="W103" s="2"/>
      <c r="X103" s="2"/>
      <c r="Y103" s="2"/>
      <c r="Z103" s="2"/>
      <c r="AA103" s="2"/>
      <c r="AB103" s="2"/>
    </row>
    <row r="104">
      <c r="A104" s="37">
        <v>103.0</v>
      </c>
      <c r="B104" s="12" t="s">
        <v>1198</v>
      </c>
      <c r="C104" s="12" t="s">
        <v>1199</v>
      </c>
      <c r="D104" s="12" t="s">
        <v>1200</v>
      </c>
      <c r="E104" s="27"/>
      <c r="F104" s="2"/>
      <c r="G104" s="2"/>
      <c r="H104" s="35"/>
      <c r="I104" s="24" t="str">
        <f>IFERROR(__xludf.DUMMYFUNCTION("GOOGLETRANSLATE(B104, ""en"", ""zh"")"),"对手试图反复阻挡，你该如何应对？")</f>
        <v>对手试图反复阻挡，你该如何应对？</v>
      </c>
      <c r="J104" s="24" t="str">
        <f>IFERROR(__xludf.DUMMYFUNCTION("GOOGLETRANSLATE(C104, ""en"", ""zh"")"),"A) 改变角度和时机 B) 忽略 C) 停止 D) 随机踢")</f>
        <v>A) 改变角度和时机 B) 忽略 C) 停止 D) 随机踢</v>
      </c>
      <c r="K104" s="24" t="str">
        <f>IFERROR(__xludf.DUMMYFUNCTION("GOOGLETRANSLATE(D104, ""en"", ""zh"")"),"A) 改变角度和时间")</f>
        <v>A) 改变角度和时间</v>
      </c>
      <c r="L104" s="24" t="str">
        <f>IFERROR(__xludf.DUMMYFUNCTION("GOOGLETRANSLATE(E104, ""en"", ""zh"")"),"#VALUE!")</f>
        <v>#VALUE!</v>
      </c>
      <c r="M104" s="21"/>
      <c r="N104" s="21"/>
      <c r="O104" s="21"/>
      <c r="P104" s="21"/>
      <c r="Q104" s="2"/>
      <c r="R104" s="2"/>
      <c r="S104" s="2"/>
      <c r="T104" s="2"/>
      <c r="U104" s="2"/>
      <c r="V104" s="2"/>
      <c r="W104" s="2"/>
      <c r="X104" s="2"/>
      <c r="Y104" s="2"/>
      <c r="Z104" s="2"/>
      <c r="AA104" s="2"/>
      <c r="AB104" s="2"/>
    </row>
    <row r="105">
      <c r="A105" s="37">
        <v>104.0</v>
      </c>
      <c r="B105" s="12" t="s">
        <v>1201</v>
      </c>
      <c r="C105" s="12" t="s">
        <v>1202</v>
      </c>
      <c r="D105" s="12" t="s">
        <v>1203</v>
      </c>
      <c r="E105" s="27"/>
      <c r="F105" s="2"/>
      <c r="G105" s="2"/>
      <c r="H105" s="35"/>
      <c r="I105" s="24" t="str">
        <f>IFERROR(__xludf.DUMMYFUNCTION("GOOGLETRANSLATE(B105, ""en"", ""zh"")"),"比赛中途，你的队伍正在失去控制权。你该如何重新夺回控制权？")</f>
        <v>比赛中途，你的队伍正在失去控制权。你该如何重新夺回控制权？</v>
      </c>
      <c r="J105" s="24" t="str">
        <f>IFERROR(__xludf.DUMMYFUNCTION("GOOGLETRANSLATE(C105, ""en"", ""zh"")"),"A) 调整姿势和节奏 B) 忽略 C) 停止 D) 放慢速度")</f>
        <v>A) 调整姿势和节奏 B) 忽略 C) 停止 D) 放慢速度</v>
      </c>
      <c r="K105" s="24" t="str">
        <f>IFERROR(__xludf.DUMMYFUNCTION("GOOGLETRANSLATE(D105, ""en"", ""zh"")"),"A) 调整姿势和节奏")</f>
        <v>A) 调整姿势和节奏</v>
      </c>
      <c r="L105" s="24" t="str">
        <f>IFERROR(__xludf.DUMMYFUNCTION("GOOGLETRANSLATE(E105, ""en"", ""zh"")"),"#VALUE!")</f>
        <v>#VALUE!</v>
      </c>
      <c r="M105" s="21"/>
      <c r="N105" s="21"/>
      <c r="O105" s="21"/>
      <c r="P105" s="21"/>
      <c r="Q105" s="2"/>
      <c r="R105" s="2"/>
      <c r="S105" s="2"/>
      <c r="T105" s="2"/>
      <c r="U105" s="2"/>
      <c r="V105" s="2"/>
      <c r="W105" s="2"/>
      <c r="X105" s="2"/>
      <c r="Y105" s="2"/>
      <c r="Z105" s="2"/>
      <c r="AA105" s="2"/>
      <c r="AB105" s="2"/>
    </row>
    <row r="106">
      <c r="A106" s="37">
        <v>105.0</v>
      </c>
      <c r="B106" s="12" t="s">
        <v>1204</v>
      </c>
      <c r="C106" s="12" t="s">
        <v>1205</v>
      </c>
      <c r="D106" s="12" t="s">
        <v>1206</v>
      </c>
      <c r="E106" s="27"/>
      <c r="F106" s="2"/>
      <c r="G106" s="2"/>
      <c r="H106" s="35"/>
      <c r="I106" s="24" t="str">
        <f>IFERROR(__xludf.DUMMYFUNCTION("GOOGLETRANSLATE(B106, ""en"", ""zh"")"),"航天飞机弹跳很高，你如何应对？")</f>
        <v>航天飞机弹跳很高，你如何应对？</v>
      </c>
      <c r="J106" s="24" t="str">
        <f>IFERROR(__xludf.DUMMYFUNCTION("GOOGLETRANSLATE(C106, ""en"", ""zh"")"),"A) 跳踢 B) 无视 C) 停止 D) 任其落下")</f>
        <v>A) 跳踢 B) 无视 C) 停止 D) 任其落下</v>
      </c>
      <c r="K106" s="24" t="str">
        <f>IFERROR(__xludf.DUMMYFUNCTION("GOOGLETRANSLATE(D106, ""en"", ""zh"")"),"A) 跳踢")</f>
        <v>A) 跳踢</v>
      </c>
      <c r="L106" s="24" t="str">
        <f>IFERROR(__xludf.DUMMYFUNCTION("GOOGLETRANSLATE(E106, ""en"", ""zh"")"),"#VALUE!")</f>
        <v>#VALUE!</v>
      </c>
      <c r="M106" s="21"/>
      <c r="N106" s="21"/>
      <c r="O106" s="21"/>
      <c r="P106" s="21"/>
      <c r="Q106" s="2"/>
      <c r="R106" s="2"/>
      <c r="S106" s="2"/>
      <c r="T106" s="2"/>
      <c r="U106" s="2"/>
      <c r="V106" s="2"/>
      <c r="W106" s="2"/>
      <c r="X106" s="2"/>
      <c r="Y106" s="2"/>
      <c r="Z106" s="2"/>
      <c r="AA106" s="2"/>
      <c r="AB106" s="2"/>
    </row>
    <row r="107">
      <c r="A107" s="37">
        <v>106.0</v>
      </c>
      <c r="B107" s="12" t="s">
        <v>1207</v>
      </c>
      <c r="C107" s="12" t="s">
        <v>1208</v>
      </c>
      <c r="D107" s="12" t="s">
        <v>1209</v>
      </c>
      <c r="E107" s="27"/>
      <c r="F107" s="2"/>
      <c r="G107" s="2"/>
      <c r="H107" s="35"/>
      <c r="I107" s="24" t="str">
        <f>IFERROR(__xludf.DUMMYFUNCTION("GOOGLETRANSLATE(B107, ""en"", ""zh"")"),"队友移动错误，你应该怎么做？")</f>
        <v>队友移动错误，你应该怎么做？</v>
      </c>
      <c r="J107" s="24" t="str">
        <f>IFERROR(__xludf.DUMMYFUNCTION("GOOGLETRANSLATE(C107, ""en"", ""zh"")"),"A) 覆盖区域 B) 忽略 C) 停止 D) 让穿梭机投放")</f>
        <v>A) 覆盖区域 B) 忽略 C) 停止 D) 让穿梭机投放</v>
      </c>
      <c r="K107" s="24" t="str">
        <f>IFERROR(__xludf.DUMMYFUNCTION("GOOGLETRANSLATE(D107, ""en"", ""zh"")"),"A) 覆盖面积")</f>
        <v>A) 覆盖面积</v>
      </c>
      <c r="L107" s="24" t="str">
        <f>IFERROR(__xludf.DUMMYFUNCTION("GOOGLETRANSLATE(E107, ""en"", ""zh"")"),"#VALUE!")</f>
        <v>#VALUE!</v>
      </c>
      <c r="M107" s="21"/>
      <c r="N107" s="21"/>
      <c r="O107" s="21"/>
      <c r="P107" s="21"/>
      <c r="Q107" s="2"/>
      <c r="R107" s="2"/>
      <c r="S107" s="2"/>
      <c r="T107" s="2"/>
      <c r="U107" s="2"/>
      <c r="V107" s="2"/>
      <c r="W107" s="2"/>
      <c r="X107" s="2"/>
      <c r="Y107" s="2"/>
      <c r="Z107" s="2"/>
      <c r="AA107" s="2"/>
      <c r="AB107" s="2"/>
    </row>
    <row r="108">
      <c r="A108" s="37">
        <v>107.0</v>
      </c>
      <c r="B108" s="12" t="s">
        <v>1210</v>
      </c>
      <c r="C108" s="12" t="s">
        <v>1211</v>
      </c>
      <c r="D108" s="12" t="s">
        <v>1212</v>
      </c>
      <c r="E108" s="27"/>
      <c r="F108" s="2"/>
      <c r="G108" s="2"/>
      <c r="H108" s="35"/>
      <c r="I108" s="24" t="str">
        <f>IFERROR(__xludf.DUMMYFUNCTION("GOOGLETRANSLATE(B108, ""en"", ""zh"")"),"对手多次虚晃，你如何应对？")</f>
        <v>对手多次虚晃，你如何应对？</v>
      </c>
      <c r="J108" s="24" t="str">
        <f>IFERROR(__xludf.DUMMYFUNCTION("GOOGLETRANSLATE(C108, ""en"", ""zh"")"),"A) 预测模式 B) 忽略 C) 停止 D) 随机踢")</f>
        <v>A) 预测模式 B) 忽略 C) 停止 D) 随机踢</v>
      </c>
      <c r="K108" s="24" t="str">
        <f>IFERROR(__xludf.DUMMYFUNCTION("GOOGLETRANSLATE(D108, ""en"", ""zh"")"),"A) 预测模式")</f>
        <v>A) 预测模式</v>
      </c>
      <c r="L108" s="24" t="str">
        <f>IFERROR(__xludf.DUMMYFUNCTION("GOOGLETRANSLATE(E108, ""en"", ""zh"")"),"#VALUE!")</f>
        <v>#VALUE!</v>
      </c>
      <c r="M108" s="21"/>
      <c r="N108" s="21"/>
      <c r="O108" s="21"/>
      <c r="P108" s="21"/>
      <c r="Q108" s="2"/>
      <c r="R108" s="2"/>
      <c r="S108" s="2"/>
      <c r="T108" s="2"/>
      <c r="U108" s="2"/>
      <c r="V108" s="2"/>
      <c r="W108" s="2"/>
      <c r="X108" s="2"/>
      <c r="Y108" s="2"/>
      <c r="Z108" s="2"/>
      <c r="AA108" s="2"/>
      <c r="AB108" s="2"/>
    </row>
    <row r="109">
      <c r="A109" s="37">
        <v>108.0</v>
      </c>
      <c r="B109" s="12" t="s">
        <v>1213</v>
      </c>
      <c r="C109" s="12" t="s">
        <v>1214</v>
      </c>
      <c r="D109" s="12" t="s">
        <v>1215</v>
      </c>
      <c r="E109" s="27"/>
      <c r="F109" s="2"/>
      <c r="G109" s="2"/>
      <c r="H109" s="35"/>
      <c r="I109" s="24" t="str">
        <f>IFERROR(__xludf.DUMMYFUNCTION("GOOGLETRANSLATE(B109, ""en"", ""zh"")"),"比赛中途，疲劳感袭来。如何才能保持专注？")</f>
        <v>比赛中途，疲劳感袭来。如何才能保持专注？</v>
      </c>
      <c r="J109" s="24" t="str">
        <f>IFERROR(__xludf.DUMMYFUNCTION("GOOGLETRANSLATE(C109, ""en"", ""zh"")"),"A) 调整速度和位置 B) 忽略 C) 停止 D) 让球落地")</f>
        <v>A) 调整速度和位置 B) 忽略 C) 停止 D) 让球落地</v>
      </c>
      <c r="K109" s="24" t="str">
        <f>IFERROR(__xludf.DUMMYFUNCTION("GOOGLETRANSLATE(D109, ""en"", ""zh"")"),"A) 调整步伐和姿势")</f>
        <v>A) 调整步伐和姿势</v>
      </c>
      <c r="L109" s="24" t="str">
        <f>IFERROR(__xludf.DUMMYFUNCTION("GOOGLETRANSLATE(E109, ""en"", ""zh"")"),"#VALUE!")</f>
        <v>#VALUE!</v>
      </c>
      <c r="M109" s="21"/>
      <c r="N109" s="21"/>
      <c r="O109" s="21"/>
      <c r="P109" s="21"/>
      <c r="Q109" s="2"/>
      <c r="R109" s="2"/>
      <c r="S109" s="2"/>
      <c r="T109" s="2"/>
      <c r="U109" s="2"/>
      <c r="V109" s="2"/>
      <c r="W109" s="2"/>
      <c r="X109" s="2"/>
      <c r="Y109" s="2"/>
      <c r="Z109" s="2"/>
      <c r="AA109" s="2"/>
      <c r="AB109" s="2"/>
    </row>
    <row r="110">
      <c r="A110" s="37">
        <v>109.0</v>
      </c>
      <c r="B110" s="12" t="s">
        <v>1216</v>
      </c>
      <c r="C110" s="12" t="s">
        <v>1217</v>
      </c>
      <c r="D110" s="12" t="s">
        <v>1218</v>
      </c>
      <c r="E110" s="27"/>
      <c r="F110" s="2"/>
      <c r="G110" s="2"/>
      <c r="H110" s="35"/>
      <c r="I110" s="24" t="str">
        <f>IFERROR(__xludf.DUMMYFUNCTION("GOOGLETRANSLATE(B110, ""en"", ""zh"")"),"接力棒正靠近你较弱的那只脚。最佳姿势是什么？")</f>
        <v>接力棒正靠近你较弱的那只脚。最佳姿势是什么？</v>
      </c>
      <c r="J110" s="24" t="str">
        <f>IFERROR(__xludf.DUMMYFUNCTION("GOOGLETRANSLATE(C110, ""en"", ""zh"")"),"A) 用优势脚进行策略性踢击 B) 忽略 C) 停止 D) 让它掉落")</f>
        <v>A) 用优势脚进行策略性踢击 B) 忽略 C) 停止 D) 让它掉落</v>
      </c>
      <c r="K110" s="24" t="str">
        <f>IFERROR(__xludf.DUMMYFUNCTION("GOOGLETRANSLATE(D110, ""en"", ""zh"")"),"A) 用强侧脚进行有策略的踢球")</f>
        <v>A) 用强侧脚进行有策略的踢球</v>
      </c>
      <c r="L110" s="24" t="str">
        <f>IFERROR(__xludf.DUMMYFUNCTION("GOOGLETRANSLATE(E110, ""en"", ""zh"")"),"#VALUE!")</f>
        <v>#VALUE!</v>
      </c>
      <c r="M110" s="21"/>
      <c r="N110" s="21"/>
      <c r="O110" s="21"/>
      <c r="P110" s="21"/>
      <c r="Q110" s="2"/>
      <c r="R110" s="2"/>
      <c r="S110" s="2"/>
      <c r="T110" s="2"/>
      <c r="U110" s="2"/>
      <c r="V110" s="2"/>
      <c r="W110" s="2"/>
      <c r="X110" s="2"/>
      <c r="Y110" s="2"/>
      <c r="Z110" s="2"/>
      <c r="AA110" s="2"/>
      <c r="AB110" s="2"/>
    </row>
    <row r="111">
      <c r="A111" s="37">
        <v>110.0</v>
      </c>
      <c r="B111" s="12" t="s">
        <v>1219</v>
      </c>
      <c r="C111" s="12" t="s">
        <v>1220</v>
      </c>
      <c r="D111" s="12" t="s">
        <v>1221</v>
      </c>
      <c r="E111" s="27"/>
      <c r="F111" s="2"/>
      <c r="G111" s="2"/>
      <c r="H111" s="35"/>
      <c r="I111" s="24" t="str">
        <f>IFERROR(__xludf.DUMMYFUNCTION("GOOGLETRANSLATE(B111, ""en"", ""zh"")"),"对手尝试远距离空中踢击。你会如何应对？")</f>
        <v>对手尝试远距离空中踢击。你会如何应对？</v>
      </c>
      <c r="J111" s="24" t="str">
        <f>IFERROR(__xludf.DUMMYFUNCTION("GOOGLETRANSLATE(C111, ""en"", ""zh"")"),"A) 调整位置并拦截 B) 忽略 C) 停止 D) 让梭子落下")</f>
        <v>A) 调整位置并拦截 B) 忽略 C) 停止 D) 让梭子落下</v>
      </c>
      <c r="K111" s="24" t="str">
        <f>IFERROR(__xludf.DUMMYFUNCTION("GOOGLETRANSLATE(D111, ""en"", ""zh"")"),"A) 调整位置并拦截")</f>
        <v>A) 调整位置并拦截</v>
      </c>
      <c r="L111" s="24" t="str">
        <f>IFERROR(__xludf.DUMMYFUNCTION("GOOGLETRANSLATE(E111, ""en"", ""zh"")"),"#VALUE!")</f>
        <v>#VALUE!</v>
      </c>
      <c r="M111" s="21"/>
      <c r="N111" s="21"/>
      <c r="O111" s="21"/>
      <c r="P111" s="21"/>
      <c r="Q111" s="2"/>
      <c r="R111" s="2"/>
      <c r="S111" s="2"/>
      <c r="T111" s="2"/>
      <c r="U111" s="2"/>
      <c r="V111" s="2"/>
      <c r="W111" s="2"/>
      <c r="X111" s="2"/>
      <c r="Y111" s="2"/>
      <c r="Z111" s="2"/>
      <c r="AA111" s="2"/>
      <c r="AB111" s="2"/>
    </row>
    <row r="112">
      <c r="A112" s="37">
        <v>111.0</v>
      </c>
      <c r="B112" s="12" t="s">
        <v>1222</v>
      </c>
      <c r="C112" s="12" t="s">
        <v>1223</v>
      </c>
      <c r="D112" s="12" t="s">
        <v>1224</v>
      </c>
      <c r="E112" s="27"/>
      <c r="F112" s="2"/>
      <c r="G112" s="2"/>
      <c r="H112" s="35"/>
      <c r="I112" s="24" t="str">
        <f>IFERROR(__xludf.DUMMYFUNCTION("GOOGLETRANSLATE(B112, ""en"", ""zh"")"),"比赛中途，你的团队配合出现了问题。该如何解决？")</f>
        <v>比赛中途，你的团队配合出现了问题。该如何解决？</v>
      </c>
      <c r="J112" s="24" t="str">
        <f>IFERROR(__xludf.DUMMYFUNCTION("GOOGLETRANSLATE(C112, ""en"", ""zh"")"),"A) 恢复节奏并沟通 B) 忽略 C) 停止 D) 放慢速度")</f>
        <v>A) 恢复节奏并沟通 B) 忽略 C) 停止 D) 放慢速度</v>
      </c>
      <c r="K112" s="24" t="str">
        <f>IFERROR(__xludf.DUMMYFUNCTION("GOOGLETRANSLATE(D112, ""en"", ""zh"")"),"A) 恢复节奏并进行交流")</f>
        <v>A) 恢复节奏并进行交流</v>
      </c>
      <c r="L112" s="24" t="str">
        <f>IFERROR(__xludf.DUMMYFUNCTION("GOOGLETRANSLATE(E112, ""en"", ""zh"")"),"#VALUE!")</f>
        <v>#VALUE!</v>
      </c>
      <c r="M112" s="21"/>
      <c r="N112" s="21"/>
      <c r="O112" s="21"/>
      <c r="P112" s="21"/>
      <c r="Q112" s="2"/>
      <c r="R112" s="2"/>
      <c r="S112" s="2"/>
      <c r="T112" s="2"/>
      <c r="U112" s="2"/>
      <c r="V112" s="2"/>
      <c r="W112" s="2"/>
      <c r="X112" s="2"/>
      <c r="Y112" s="2"/>
      <c r="Z112" s="2"/>
      <c r="AA112" s="2"/>
      <c r="AB112" s="2"/>
    </row>
    <row r="113">
      <c r="A113" s="37">
        <v>112.0</v>
      </c>
      <c r="B113" s="12" t="s">
        <v>1225</v>
      </c>
      <c r="C113" s="12" t="s">
        <v>1226</v>
      </c>
      <c r="D113" s="12" t="s">
        <v>1195</v>
      </c>
      <c r="E113" s="27"/>
      <c r="F113" s="2"/>
      <c r="G113" s="2"/>
      <c r="H113" s="35"/>
      <c r="I113" s="24" t="str">
        <f>IFERROR(__xludf.DUMMYFUNCTION("GOOGLETRANSLATE(B113, ""en"", ""zh"")"),"班车已接近边界。您应该怎么做？")</f>
        <v>班车已接近边界。您应该怎么做？</v>
      </c>
      <c r="J113" s="24" t="str">
        <f>IFERROR(__xludf.DUMMYFUNCTION("GOOGLETRANSLATE(C113, ""en"", ""zh"")"),"A) 向内引导 B) 忽略 C) 停止 D) 任其落下")</f>
        <v>A) 向内引导 B) 忽略 C) 停止 D) 任其落下</v>
      </c>
      <c r="K113" s="24" t="str">
        <f>IFERROR(__xludf.DUMMYFUNCTION("GOOGLETRANSLATE(D113, ""en"", ""zh"")"),"A) 向内引导")</f>
        <v>A) 向内引导</v>
      </c>
      <c r="L113" s="24" t="str">
        <f>IFERROR(__xludf.DUMMYFUNCTION("GOOGLETRANSLATE(E113, ""en"", ""zh"")"),"#VALUE!")</f>
        <v>#VALUE!</v>
      </c>
      <c r="M113" s="21"/>
      <c r="N113" s="21"/>
      <c r="O113" s="21"/>
      <c r="P113" s="21"/>
      <c r="Q113" s="2"/>
      <c r="R113" s="2"/>
      <c r="S113" s="2"/>
      <c r="T113" s="2"/>
      <c r="U113" s="2"/>
      <c r="V113" s="2"/>
      <c r="W113" s="2"/>
      <c r="X113" s="2"/>
      <c r="Y113" s="2"/>
      <c r="Z113" s="2"/>
      <c r="AA113" s="2"/>
      <c r="AB113" s="2"/>
    </row>
    <row r="114">
      <c r="A114" s="37">
        <v>113.0</v>
      </c>
      <c r="B114" s="12" t="s">
        <v>1227</v>
      </c>
      <c r="C114" s="12" t="s">
        <v>1228</v>
      </c>
      <c r="D114" s="12" t="s">
        <v>1229</v>
      </c>
      <c r="E114" s="27"/>
      <c r="F114" s="2"/>
      <c r="G114" s="2"/>
      <c r="H114" s="35"/>
      <c r="I114" s="24" t="str">
        <f>IFERROR(__xludf.DUMMYFUNCTION("GOOGLETRANSLATE(B114, ""en"", ""zh"")"),"队友在连招过程中注意力不集中，你会如何应对？")</f>
        <v>队友在连招过程中注意力不集中，你会如何应对？</v>
      </c>
      <c r="J114" s="24" t="str">
        <f>IFERROR(__xludf.DUMMYFUNCTION("GOOGLETRANSLATE(C114, ""en"", ""zh"")"),"A) 掩护他们的位置 B) 忽略 C) 停止 D) 让穿梭机降落")</f>
        <v>A) 掩护他们的位置 B) 忽略 C) 停止 D) 让穿梭机降落</v>
      </c>
      <c r="K114" s="24" t="str">
        <f>IFERROR(__xludf.DUMMYFUNCTION("GOOGLETRANSLATE(D114, ""en"", ""zh"")"),"A) 掩护他们的位置")</f>
        <v>A) 掩护他们的位置</v>
      </c>
      <c r="L114" s="24" t="str">
        <f>IFERROR(__xludf.DUMMYFUNCTION("GOOGLETRANSLATE(E114, ""en"", ""zh"")"),"#VALUE!")</f>
        <v>#VALUE!</v>
      </c>
      <c r="M114" s="21"/>
      <c r="N114" s="21"/>
      <c r="O114" s="21"/>
      <c r="P114" s="21"/>
      <c r="Q114" s="2"/>
      <c r="R114" s="2"/>
      <c r="S114" s="2"/>
      <c r="T114" s="2"/>
      <c r="U114" s="2"/>
      <c r="V114" s="2"/>
      <c r="W114" s="2"/>
      <c r="X114" s="2"/>
      <c r="Y114" s="2"/>
      <c r="Z114" s="2"/>
      <c r="AA114" s="2"/>
      <c r="AB114" s="2"/>
    </row>
    <row r="115">
      <c r="A115" s="37">
        <v>114.0</v>
      </c>
      <c r="B115" s="12" t="s">
        <v>1230</v>
      </c>
      <c r="C115" s="12" t="s">
        <v>1231</v>
      </c>
      <c r="D115" s="12" t="s">
        <v>1232</v>
      </c>
      <c r="E115" s="27"/>
      <c r="F115" s="2"/>
      <c r="G115" s="2"/>
      <c r="H115" s="35"/>
      <c r="I115" s="24" t="str">
        <f>IFERROR(__xludf.DUMMYFUNCTION("GOOGLETRANSLATE(B115, ""en"", ""zh"")"),"对手步法难以预测，该如何应对？")</f>
        <v>对手步法难以预测，该如何应对？</v>
      </c>
      <c r="J115" s="24" t="str">
        <f>IFERROR(__xludf.DUMMYFUNCTION("GOOGLETRANSLATE(C115, ""en"", ""zh"")"),"A) 预判并调整 B) 忽略 C) 停止 D) 随意踢")</f>
        <v>A) 预判并调整 B) 忽略 C) 停止 D) 随意踢</v>
      </c>
      <c r="K115" s="24" t="str">
        <f>IFERROR(__xludf.DUMMYFUNCTION("GOOGLETRANSLATE(D115, ""en"", ""zh"")"),"A) 预测并调整")</f>
        <v>A) 预测并调整</v>
      </c>
      <c r="L115" s="24" t="str">
        <f>IFERROR(__xludf.DUMMYFUNCTION("GOOGLETRANSLATE(E115, ""en"", ""zh"")"),"#VALUE!")</f>
        <v>#VALUE!</v>
      </c>
      <c r="M115" s="21"/>
      <c r="N115" s="21"/>
      <c r="O115" s="21"/>
      <c r="P115" s="21"/>
      <c r="Q115" s="2"/>
      <c r="R115" s="2"/>
      <c r="S115" s="2"/>
      <c r="T115" s="2"/>
      <c r="U115" s="2"/>
      <c r="V115" s="2"/>
      <c r="W115" s="2"/>
      <c r="X115" s="2"/>
      <c r="Y115" s="2"/>
      <c r="Z115" s="2"/>
      <c r="AA115" s="2"/>
      <c r="AB115" s="2"/>
    </row>
    <row r="116">
      <c r="A116" s="37">
        <v>115.0</v>
      </c>
      <c r="B116" s="12" t="s">
        <v>1233</v>
      </c>
      <c r="C116" s="12" t="s">
        <v>1234</v>
      </c>
      <c r="D116" s="12" t="s">
        <v>1235</v>
      </c>
      <c r="E116" s="27"/>
      <c r="F116" s="2"/>
      <c r="G116" s="2"/>
      <c r="H116" s="35"/>
      <c r="I116" s="24" t="str">
        <f>IFERROR(__xludf.DUMMYFUNCTION("GOOGLETRANSLATE(B116, ""en"", ""zh"")"),"比赛中途，羽毛球速度发生变化。你应该如何应对？")</f>
        <v>比赛中途，羽毛球速度发生变化。你应该如何应对？</v>
      </c>
      <c r="J116" s="24" t="str">
        <f>IFERROR(__xludf.DUMMYFUNCTION("GOOGLETRANSLATE(C116, ""en"", ""zh"")"),"A) 调整时机和姿势 B) 忽略 C) 停止 D) 放任不管")</f>
        <v>A) 调整时机和姿势 B) 忽略 C) 停止 D) 放任不管</v>
      </c>
      <c r="K116" s="24" t="str">
        <f>IFERROR(__xludf.DUMMYFUNCTION("GOOGLETRANSLATE(D116, ""en"", ""zh"")"),"A) 调整时机和姿势")</f>
        <v>A) 调整时机和姿势</v>
      </c>
      <c r="L116" s="24" t="str">
        <f>IFERROR(__xludf.DUMMYFUNCTION("GOOGLETRANSLATE(E116, ""en"", ""zh"")"),"#VALUE!")</f>
        <v>#VALUE!</v>
      </c>
      <c r="M116" s="21"/>
      <c r="N116" s="21"/>
      <c r="O116" s="21"/>
      <c r="P116" s="21"/>
      <c r="Q116" s="2"/>
      <c r="R116" s="2"/>
      <c r="S116" s="2"/>
      <c r="T116" s="2"/>
      <c r="U116" s="2"/>
      <c r="V116" s="2"/>
      <c r="W116" s="2"/>
      <c r="X116" s="2"/>
      <c r="Y116" s="2"/>
      <c r="Z116" s="2"/>
      <c r="AA116" s="2"/>
      <c r="AB116" s="2"/>
    </row>
    <row r="117">
      <c r="A117" s="37">
        <v>116.0</v>
      </c>
      <c r="B117" s="12" t="s">
        <v>1236</v>
      </c>
      <c r="C117" s="12" t="s">
        <v>1237</v>
      </c>
      <c r="D117" s="12" t="s">
        <v>1153</v>
      </c>
      <c r="E117" s="27"/>
      <c r="F117" s="2"/>
      <c r="G117" s="2"/>
      <c r="H117" s="35"/>
      <c r="I117" s="24" t="str">
        <f>IFERROR(__xludf.DUMMYFUNCTION("GOOGLETRANSLATE(B117, ""en"", ""zh"")"),"你有机会踢一个战术性的横传球。你会怎么做？")</f>
        <v>你有机会踢一个战术性的横传球。你会怎么做？</v>
      </c>
      <c r="J117" s="24" t="str">
        <f>IFERROR(__xludf.DUMMYFUNCTION("GOOGLETRANSLATE(C117, ""en"", ""zh"")"),"A) 执行交叉踢球 B) 忽略 C) 停止 D) 让球落下")</f>
        <v>A) 执行交叉踢球 B) 忽略 C) 停止 D) 让球落下</v>
      </c>
      <c r="K117" s="24" t="str">
        <f>IFERROR(__xludf.DUMMYFUNCTION("GOOGLETRANSLATE(D117, ""en"", ""zh"")"),"A) 执行交叉踢")</f>
        <v>A) 执行交叉踢</v>
      </c>
      <c r="L117" s="24" t="str">
        <f>IFERROR(__xludf.DUMMYFUNCTION("GOOGLETRANSLATE(E117, ""en"", ""zh"")"),"#VALUE!")</f>
        <v>#VALUE!</v>
      </c>
      <c r="M117" s="21"/>
      <c r="N117" s="21"/>
      <c r="O117" s="21"/>
      <c r="P117" s="21"/>
      <c r="Q117" s="2"/>
      <c r="R117" s="2"/>
      <c r="S117" s="2"/>
      <c r="T117" s="2"/>
      <c r="U117" s="2"/>
      <c r="V117" s="2"/>
      <c r="W117" s="2"/>
      <c r="X117" s="2"/>
      <c r="Y117" s="2"/>
      <c r="Z117" s="2"/>
      <c r="AA117" s="2"/>
      <c r="AB117" s="2"/>
    </row>
    <row r="118">
      <c r="A118" s="37">
        <v>117.0</v>
      </c>
      <c r="B118" s="12" t="s">
        <v>1238</v>
      </c>
      <c r="C118" s="12" t="s">
        <v>1239</v>
      </c>
      <c r="D118" s="12" t="s">
        <v>1240</v>
      </c>
      <c r="E118" s="27"/>
      <c r="F118" s="2"/>
      <c r="G118" s="2"/>
      <c r="H118" s="35"/>
      <c r="I118" s="24" t="str">
        <f>IFERROR(__xludf.DUMMYFUNCTION("GOOGLETRANSLATE(B118, ""en"", ""zh"")"),"对手瞄准空旷地带。你如何防守？")</f>
        <v>对手瞄准空旷地带。你如何防守？</v>
      </c>
      <c r="J118" s="24" t="str">
        <f>IFERROR(__xludf.DUMMYFUNCTION("GOOGLETRANSLATE(C118, ""en"", ""zh"")"),"A) 移动到障碍物处 B) 忽略 C) 停止 D) 让梭子落下")</f>
        <v>A) 移动到障碍物处 B) 忽略 C) 停止 D) 让梭子落下</v>
      </c>
      <c r="K118" s="24" t="str">
        <f>IFERROR(__xludf.DUMMYFUNCTION("GOOGLETRANSLATE(D118, ""en"", ""zh"")"),"A) 移动到障碍物")</f>
        <v>A) 移动到障碍物</v>
      </c>
      <c r="L118" s="24" t="str">
        <f>IFERROR(__xludf.DUMMYFUNCTION("GOOGLETRANSLATE(E118, ""en"", ""zh"")"),"#VALUE!")</f>
        <v>#VALUE!</v>
      </c>
      <c r="M118" s="21"/>
      <c r="N118" s="21"/>
      <c r="O118" s="21"/>
      <c r="P118" s="21"/>
      <c r="Q118" s="2"/>
      <c r="R118" s="2"/>
      <c r="S118" s="2"/>
      <c r="T118" s="2"/>
      <c r="U118" s="2"/>
      <c r="V118" s="2"/>
      <c r="W118" s="2"/>
      <c r="X118" s="2"/>
      <c r="Y118" s="2"/>
      <c r="Z118" s="2"/>
      <c r="AA118" s="2"/>
      <c r="AB118" s="2"/>
    </row>
    <row r="119">
      <c r="A119" s="37">
        <v>118.0</v>
      </c>
      <c r="B119" s="12" t="s">
        <v>1241</v>
      </c>
      <c r="C119" s="12" t="s">
        <v>1242</v>
      </c>
      <c r="D119" s="12" t="s">
        <v>1243</v>
      </c>
      <c r="E119" s="27"/>
      <c r="F119" s="2"/>
      <c r="G119" s="2"/>
      <c r="H119" s="35"/>
      <c r="I119" s="24" t="str">
        <f>IFERROR(__xludf.DUMMYFUNCTION("GOOGLETRANSLATE(B119, ""en"", ""zh"")"),"比赛中途，你的队伍节奏慢了下来。你该如何重新掌控比赛？")</f>
        <v>比赛中途，你的队伍节奏慢了下来。你该如何重新掌控比赛？</v>
      </c>
      <c r="J119" s="24" t="str">
        <f>IFERROR(__xludf.DUMMYFUNCTION("GOOGLETRANSLATE(C119, ""en"", ""zh"")"),"A) 沟通并调整 B) 忽略 C) 停止 D) 减速")</f>
        <v>A) 沟通并调整 B) 忽略 C) 停止 D) 减速</v>
      </c>
      <c r="K119" s="24" t="str">
        <f>IFERROR(__xludf.DUMMYFUNCTION("GOOGLETRANSLATE(D119, ""en"", ""zh"")"),"A) 沟通与调整")</f>
        <v>A) 沟通与调整</v>
      </c>
      <c r="L119" s="24" t="str">
        <f>IFERROR(__xludf.DUMMYFUNCTION("GOOGLETRANSLATE(E119, ""en"", ""zh"")"),"#VALUE!")</f>
        <v>#VALUE!</v>
      </c>
      <c r="M119" s="21"/>
      <c r="N119" s="21"/>
      <c r="O119" s="21"/>
      <c r="P119" s="21"/>
      <c r="Q119" s="2"/>
      <c r="R119" s="2"/>
      <c r="S119" s="2"/>
      <c r="T119" s="2"/>
      <c r="U119" s="2"/>
      <c r="V119" s="2"/>
      <c r="W119" s="2"/>
      <c r="X119" s="2"/>
      <c r="Y119" s="2"/>
      <c r="Z119" s="2"/>
      <c r="AA119" s="2"/>
      <c r="AB119" s="2"/>
    </row>
    <row r="120">
      <c r="A120" s="37">
        <v>119.0</v>
      </c>
      <c r="B120" s="12" t="s">
        <v>1244</v>
      </c>
      <c r="C120" s="12" t="s">
        <v>1245</v>
      </c>
      <c r="D120" s="12" t="s">
        <v>1246</v>
      </c>
      <c r="E120" s="27"/>
      <c r="F120" s="2"/>
      <c r="G120" s="2"/>
      <c r="H120" s="35"/>
      <c r="I120" s="24" t="str">
        <f>IFERROR(__xludf.DUMMYFUNCTION("GOOGLETRANSLATE(B120, ""en"", ""zh"")"),"航天飞机在脚边剧烈弹跳。你会怎么做？")</f>
        <v>航天飞机在脚边剧烈弹跳。你会怎么做？</v>
      </c>
      <c r="J120" s="24" t="str">
        <f>IFERROR(__xludf.DUMMYFUNCTION("GOOGLETRANSLATE(C120, ""en"", ""zh"")"),"A) 快速调整踢腿 B) 忽略 C) 停止 D) 任其落下")</f>
        <v>A) 快速调整踢腿 B) 忽略 C) 停止 D) 任其落下</v>
      </c>
      <c r="K120" s="24" t="str">
        <f>IFERROR(__xludf.DUMMYFUNCTION("GOOGLETRANSLATE(D120, ""en"", ""zh"")"),"A) 快速调整踢")</f>
        <v>A) 快速调整踢</v>
      </c>
      <c r="L120" s="24" t="str">
        <f>IFERROR(__xludf.DUMMYFUNCTION("GOOGLETRANSLATE(E120, ""en"", ""zh"")"),"#VALUE!")</f>
        <v>#VALUE!</v>
      </c>
      <c r="M120" s="21"/>
      <c r="N120" s="21"/>
      <c r="O120" s="21"/>
      <c r="P120" s="21"/>
      <c r="Q120" s="2"/>
      <c r="R120" s="2"/>
      <c r="S120" s="2"/>
      <c r="T120" s="2"/>
      <c r="U120" s="2"/>
      <c r="V120" s="2"/>
      <c r="W120" s="2"/>
      <c r="X120" s="2"/>
      <c r="Y120" s="2"/>
      <c r="Z120" s="2"/>
      <c r="AA120" s="2"/>
      <c r="AB120" s="2"/>
    </row>
    <row r="121">
      <c r="A121" s="37">
        <v>120.0</v>
      </c>
      <c r="B121" s="12" t="s">
        <v>1247</v>
      </c>
      <c r="C121" s="12" t="s">
        <v>1248</v>
      </c>
      <c r="D121" s="12" t="s">
        <v>1111</v>
      </c>
      <c r="E121" s="27"/>
      <c r="F121" s="2"/>
      <c r="G121" s="2"/>
      <c r="H121" s="35"/>
      <c r="I121" s="24" t="str">
        <f>IFERROR(__xludf.DUMMYFUNCTION("GOOGLETRANSLATE(B121, ""en"", ""zh"")"),"队友脚步移动失误，你会如何应对？")</f>
        <v>队友脚步移动失误，你会如何应对？</v>
      </c>
      <c r="J121" s="24" t="str">
        <f>IFERROR(__xludf.DUMMYFUNCTION("GOOGLETRANSLATE(C121, ""en"", ""zh"")"),"A) 覆盖其区域 B) 忽略 C) 停止 D) 让穿梭机投放")</f>
        <v>A) 覆盖其区域 B) 忽略 C) 停止 D) 让穿梭机投放</v>
      </c>
      <c r="K121" s="24" t="str">
        <f>IFERROR(__xludf.DUMMYFUNCTION("GOOGLETRANSLATE(D121, ""en"", ""zh"")"),"A) 覆盖他们的区域")</f>
        <v>A) 覆盖他们的区域</v>
      </c>
      <c r="L121" s="24" t="str">
        <f>IFERROR(__xludf.DUMMYFUNCTION("GOOGLETRANSLATE(E121, ""en"", ""zh"")"),"#VALUE!")</f>
        <v>#VALUE!</v>
      </c>
      <c r="M121" s="21"/>
      <c r="N121" s="21"/>
      <c r="O121" s="21"/>
      <c r="P121" s="21"/>
      <c r="Q121" s="2"/>
      <c r="R121" s="2"/>
      <c r="S121" s="2"/>
      <c r="T121" s="2"/>
      <c r="U121" s="2"/>
      <c r="V121" s="2"/>
      <c r="W121" s="2"/>
      <c r="X121" s="2"/>
      <c r="Y121" s="2"/>
      <c r="Z121" s="2"/>
      <c r="AA121" s="2"/>
      <c r="AB121" s="2"/>
    </row>
    <row r="122">
      <c r="A122" s="37">
        <v>121.0</v>
      </c>
      <c r="B122" s="12" t="s">
        <v>1249</v>
      </c>
      <c r="C122" s="12" t="s">
        <v>1250</v>
      </c>
      <c r="D122" s="12" t="s">
        <v>1251</v>
      </c>
      <c r="E122" s="27"/>
      <c r="F122" s="2"/>
      <c r="G122" s="2"/>
      <c r="H122" s="35"/>
      <c r="I122" s="24" t="str">
        <f>IFERROR(__xludf.DUMMYFUNCTION("GOOGLETRANSLATE(B122, ""en"", ""zh"")"),"比赛中，对手先高抬腿再低抬腿，你应该如何应对？")</f>
        <v>比赛中，对手先高抬腿再低抬腿，你应该如何应对？</v>
      </c>
      <c r="J122" s="24" t="str">
        <f>IFERROR(__xludf.DUMMYFUNCTION("GOOGLETRANSLATE(C122, ""en"", ""zh"")"),"A) 调整垂直位置 B) 忽略 C) 停止 D) 随机踢")</f>
        <v>A) 调整垂直位置 B) 忽略 C) 停止 D) 随机踢</v>
      </c>
      <c r="K122" s="24" t="str">
        <f>IFERROR(__xludf.DUMMYFUNCTION("GOOGLETRANSLATE(D122, ""en"", ""zh"")"),"A) 调整垂直位置")</f>
        <v>A) 调整垂直位置</v>
      </c>
      <c r="L122" s="24" t="str">
        <f>IFERROR(__xludf.DUMMYFUNCTION("GOOGLETRANSLATE(E122, ""en"", ""zh"")"),"#VALUE!")</f>
        <v>#VALUE!</v>
      </c>
      <c r="M122" s="21"/>
      <c r="N122" s="21"/>
      <c r="O122" s="21"/>
      <c r="P122" s="21"/>
      <c r="Q122" s="2"/>
      <c r="R122" s="2"/>
      <c r="S122" s="2"/>
      <c r="T122" s="2"/>
      <c r="U122" s="2"/>
      <c r="V122" s="2"/>
      <c r="W122" s="2"/>
      <c r="X122" s="2"/>
      <c r="Y122" s="2"/>
      <c r="Z122" s="2"/>
      <c r="AA122" s="2"/>
      <c r="AB122" s="2"/>
    </row>
    <row r="123">
      <c r="A123" s="37">
        <v>122.0</v>
      </c>
      <c r="B123" s="12" t="s">
        <v>1252</v>
      </c>
      <c r="C123" s="12" t="s">
        <v>1253</v>
      </c>
      <c r="D123" s="12" t="s">
        <v>1254</v>
      </c>
      <c r="E123" s="27"/>
      <c r="F123" s="2"/>
      <c r="G123" s="2"/>
      <c r="H123" s="35"/>
      <c r="I123" s="24" t="str">
        <f>IFERROR(__xludf.DUMMYFUNCTION("GOOGLETRANSLATE(B123, ""en"", ""zh"")"),"班车即将到达。你现在应该采取什么行动？")</f>
        <v>班车即将到达。你现在应该采取什么行动？</v>
      </c>
      <c r="J123" s="24" t="str">
        <f>IFERROR(__xludf.DUMMYFUNCTION("GOOGLETRANSLATE(C123, ""en"", ""zh"")"),"A) 快速拦截踢球 B) 无视 C) 停止 D) 任其落下")</f>
        <v>A) 快速拦截踢球 B) 无视 C) 停止 D) 任其落下</v>
      </c>
      <c r="K123" s="24" t="str">
        <f>IFERROR(__xludf.DUMMYFUNCTION("GOOGLETRANSLATE(D123, ""en"", ""zh"")"),"A) 快速拦截踢")</f>
        <v>A) 快速拦截踢</v>
      </c>
      <c r="L123" s="24" t="str">
        <f>IFERROR(__xludf.DUMMYFUNCTION("GOOGLETRANSLATE(E123, ""en"", ""zh"")"),"#VALUE!")</f>
        <v>#VALUE!</v>
      </c>
      <c r="M123" s="21"/>
      <c r="N123" s="21"/>
      <c r="O123" s="21"/>
      <c r="P123" s="21"/>
      <c r="Q123" s="2"/>
      <c r="R123" s="2"/>
      <c r="S123" s="2"/>
      <c r="T123" s="2"/>
      <c r="U123" s="2"/>
      <c r="V123" s="2"/>
      <c r="W123" s="2"/>
      <c r="X123" s="2"/>
      <c r="Y123" s="2"/>
      <c r="Z123" s="2"/>
      <c r="AA123" s="2"/>
      <c r="AB123" s="2"/>
    </row>
    <row r="124">
      <c r="A124" s="37">
        <v>123.0</v>
      </c>
      <c r="B124" s="12" t="s">
        <v>1255</v>
      </c>
      <c r="C124" s="12" t="s">
        <v>1256</v>
      </c>
      <c r="D124" s="12" t="s">
        <v>1224</v>
      </c>
      <c r="E124" s="27"/>
      <c r="F124" s="2"/>
      <c r="G124" s="2"/>
      <c r="H124" s="35"/>
      <c r="I124" s="24" t="str">
        <f>IFERROR(__xludf.DUMMYFUNCTION("GOOGLETRANSLATE(B124, ""en"", ""zh"")"),"你的团队突然落后了。你会如何应对？")</f>
        <v>你的团队突然落后了。你会如何应对？</v>
      </c>
      <c r="J124" s="24" t="str">
        <f>IFERROR(__xludf.DUMMYFUNCTION("GOOGLETRANSLATE(C124, ""en"", ""zh"")"),"A) 恢复节奏并沟通 B) 忽略 C) 放慢速度 D) 停止")</f>
        <v>A) 恢复节奏并沟通 B) 忽略 C) 放慢速度 D) 停止</v>
      </c>
      <c r="K124" s="24" t="str">
        <f>IFERROR(__xludf.DUMMYFUNCTION("GOOGLETRANSLATE(D124, ""en"", ""zh"")"),"A) 恢复节奏并进行交流")</f>
        <v>A) 恢复节奏并进行交流</v>
      </c>
      <c r="L124" s="24" t="str">
        <f>IFERROR(__xludf.DUMMYFUNCTION("GOOGLETRANSLATE(E124, ""en"", ""zh"")"),"#VALUE!")</f>
        <v>#VALUE!</v>
      </c>
      <c r="M124" s="21"/>
      <c r="N124" s="21"/>
      <c r="O124" s="21"/>
      <c r="P124" s="21"/>
      <c r="Q124" s="2"/>
      <c r="R124" s="2"/>
      <c r="S124" s="2"/>
      <c r="T124" s="2"/>
      <c r="U124" s="2"/>
      <c r="V124" s="2"/>
      <c r="W124" s="2"/>
      <c r="X124" s="2"/>
      <c r="Y124" s="2"/>
      <c r="Z124" s="2"/>
      <c r="AA124" s="2"/>
      <c r="AB124" s="2"/>
    </row>
    <row r="125">
      <c r="A125" s="37">
        <v>124.0</v>
      </c>
      <c r="B125" s="12" t="s">
        <v>1257</v>
      </c>
      <c r="C125" s="12" t="s">
        <v>1258</v>
      </c>
      <c r="D125" s="12" t="s">
        <v>1259</v>
      </c>
      <c r="E125" s="27"/>
      <c r="F125" s="2"/>
      <c r="G125" s="2"/>
      <c r="H125" s="35"/>
      <c r="I125" s="24" t="str">
        <f>IFERROR(__xludf.DUMMYFUNCTION("GOOGLETRANSLATE(B125, ""en"", ""zh"")"),"对手将球踢向你的弱侧。你如何应对？")</f>
        <v>对手将球踢向你的弱侧。你如何应对？</v>
      </c>
      <c r="J125" s="24" t="str">
        <f>IFERROR(__xludf.DUMMYFUNCTION("GOOGLETRANSLATE(C125, ""en"", ""zh"")"),"A) 调整站姿，向优势侧靠拢 B) 忽略 C) 停止 D) 让它掉落")</f>
        <v>A) 调整站姿，向优势侧靠拢 B) 忽略 C) 停止 D) 让它掉落</v>
      </c>
      <c r="K125" s="24" t="str">
        <f>IFERROR(__xludf.DUMMYFUNCTION("GOOGLETRANSLATE(D125, ""en"", ""zh"")"),"A) 调整站姿，向优势侧靠拢")</f>
        <v>A) 调整站姿，向优势侧靠拢</v>
      </c>
      <c r="L125" s="24" t="str">
        <f>IFERROR(__xludf.DUMMYFUNCTION("GOOGLETRANSLATE(E125, ""en"", ""zh"")"),"#VALUE!")</f>
        <v>#VALUE!</v>
      </c>
      <c r="M125" s="21"/>
      <c r="N125" s="21"/>
      <c r="O125" s="21"/>
      <c r="P125" s="21"/>
      <c r="Q125" s="2"/>
      <c r="R125" s="2"/>
      <c r="S125" s="2"/>
      <c r="T125" s="2"/>
      <c r="U125" s="2"/>
      <c r="V125" s="2"/>
      <c r="W125" s="2"/>
      <c r="X125" s="2"/>
      <c r="Y125" s="2"/>
      <c r="Z125" s="2"/>
      <c r="AA125" s="2"/>
      <c r="AB125" s="2"/>
    </row>
    <row r="126">
      <c r="A126" s="37">
        <v>125.0</v>
      </c>
      <c r="B126" s="12" t="s">
        <v>1260</v>
      </c>
      <c r="C126" s="12" t="s">
        <v>1261</v>
      </c>
      <c r="D126" s="12" t="s">
        <v>1262</v>
      </c>
      <c r="E126" s="27"/>
      <c r="F126" s="2"/>
      <c r="G126" s="2"/>
      <c r="H126" s="35"/>
      <c r="I126" s="24" t="str">
        <f>IFERROR(__xludf.DUMMYFUNCTION("GOOGLETRANSLATE(B126, ""en"", ""zh"")"),"比赛中途，羽毛球高度突然发生变化。你应该如何应对？")</f>
        <v>比赛中途，羽毛球高度突然发生变化。你应该如何应对？</v>
      </c>
      <c r="J126" s="24" t="str">
        <f>IFERROR(__xludf.DUMMYFUNCTION("GOOGLETRANSLATE(C126, ""en"", ""zh"")"),"A) 调整时机并踢 B) 忽略 C) 停止 D) 让它掉落")</f>
        <v>A) 调整时机并踢 B) 忽略 C) 停止 D) 让它掉落</v>
      </c>
      <c r="K126" s="24" t="str">
        <f>IFERROR(__xludf.DUMMYFUNCTION("GOOGLETRANSLATE(D126, ""en"", ""zh"")"),"A) 调整时机和踢球")</f>
        <v>A) 调整时机和踢球</v>
      </c>
      <c r="L126" s="24" t="str">
        <f>IFERROR(__xludf.DUMMYFUNCTION("GOOGLETRANSLATE(E126, ""en"", ""zh"")"),"#VALUE!")</f>
        <v>#VALUE!</v>
      </c>
      <c r="M126" s="21"/>
      <c r="N126" s="21"/>
      <c r="O126" s="21"/>
      <c r="P126" s="21"/>
      <c r="Q126" s="2"/>
      <c r="R126" s="2"/>
      <c r="S126" s="2"/>
      <c r="T126" s="2"/>
      <c r="U126" s="2"/>
      <c r="V126" s="2"/>
      <c r="W126" s="2"/>
      <c r="X126" s="2"/>
      <c r="Y126" s="2"/>
      <c r="Z126" s="2"/>
      <c r="AA126" s="2"/>
      <c r="AB126" s="2"/>
    </row>
    <row r="127">
      <c r="A127" s="37">
        <v>126.0</v>
      </c>
      <c r="B127" s="12" t="s">
        <v>1263</v>
      </c>
      <c r="C127" s="12" t="s">
        <v>1228</v>
      </c>
      <c r="D127" s="12" t="s">
        <v>1229</v>
      </c>
      <c r="E127" s="27"/>
      <c r="F127" s="2"/>
      <c r="G127" s="2"/>
      <c r="H127" s="35"/>
      <c r="I127" s="24" t="str">
        <f>IFERROR(__xludf.DUMMYFUNCTION("GOOGLETRANSLATE(B127, ""en"", ""zh"")"),"你的队友错过了一次连招。你应该如何调整？")</f>
        <v>你的队友错过了一次连招。你应该如何调整？</v>
      </c>
      <c r="J127" s="24" t="str">
        <f>IFERROR(__xludf.DUMMYFUNCTION("GOOGLETRANSLATE(C127, ""en"", ""zh"")"),"A) 掩护他们的位置 B) 忽略 C) 停止 D) 让穿梭机降落")</f>
        <v>A) 掩护他们的位置 B) 忽略 C) 停止 D) 让穿梭机降落</v>
      </c>
      <c r="K127" s="24" t="str">
        <f>IFERROR(__xludf.DUMMYFUNCTION("GOOGLETRANSLATE(D127, ""en"", ""zh"")"),"A) 掩护他们的位置")</f>
        <v>A) 掩护他们的位置</v>
      </c>
      <c r="L127" s="24" t="str">
        <f>IFERROR(__xludf.DUMMYFUNCTION("GOOGLETRANSLATE(E127, ""en"", ""zh"")"),"#VALUE!")</f>
        <v>#VALUE!</v>
      </c>
      <c r="M127" s="21"/>
      <c r="N127" s="21"/>
      <c r="O127" s="21"/>
      <c r="P127" s="21"/>
      <c r="Q127" s="2"/>
      <c r="R127" s="2"/>
      <c r="S127" s="2"/>
      <c r="T127" s="2"/>
      <c r="U127" s="2"/>
      <c r="V127" s="2"/>
      <c r="W127" s="2"/>
      <c r="X127" s="2"/>
      <c r="Y127" s="2"/>
      <c r="Z127" s="2"/>
      <c r="AA127" s="2"/>
      <c r="AB127" s="2"/>
    </row>
    <row r="128">
      <c r="A128" s="37">
        <v>127.0</v>
      </c>
      <c r="B128" s="12" t="s">
        <v>1264</v>
      </c>
      <c r="C128" s="12" t="s">
        <v>1265</v>
      </c>
      <c r="D128" s="12" t="s">
        <v>1266</v>
      </c>
      <c r="E128" s="27"/>
      <c r="F128" s="2"/>
      <c r="G128" s="2"/>
      <c r="H128" s="35"/>
      <c r="I128" s="24" t="str">
        <f>IFERROR(__xludf.DUMMYFUNCTION("GOOGLETRANSLATE(B128, ""en"", ""zh"")"),"对手行动难以预测，最佳策略是什么？")</f>
        <v>对手行动难以预测，最佳策略是什么？</v>
      </c>
      <c r="J128" s="24" t="str">
        <f>IFERROR(__xludf.DUMMYFUNCTION("GOOGLETRANSLATE(C128, ""en"", ""zh"")"),"A) 预测模式并做出反应 B) 忽略 C) 停止 D) 随机踢")</f>
        <v>A) 预测模式并做出反应 B) 忽略 C) 停止 D) 随机踢</v>
      </c>
      <c r="K128" s="24" t="str">
        <f>IFERROR(__xludf.DUMMYFUNCTION("GOOGLETRANSLATE(D128, ""en"", ""zh"")"),"A) 预测模式并做出反应")</f>
        <v>A) 预测模式并做出反应</v>
      </c>
      <c r="L128" s="24" t="str">
        <f>IFERROR(__xludf.DUMMYFUNCTION("GOOGLETRANSLATE(E128, ""en"", ""zh"")"),"#VALUE!")</f>
        <v>#VALUE!</v>
      </c>
      <c r="M128" s="21"/>
      <c r="N128" s="21"/>
      <c r="O128" s="21"/>
      <c r="P128" s="21"/>
      <c r="Q128" s="2"/>
      <c r="R128" s="2"/>
      <c r="S128" s="2"/>
      <c r="T128" s="2"/>
      <c r="U128" s="2"/>
      <c r="V128" s="2"/>
      <c r="W128" s="2"/>
      <c r="X128" s="2"/>
      <c r="Y128" s="2"/>
      <c r="Z128" s="2"/>
      <c r="AA128" s="2"/>
      <c r="AB128" s="2"/>
    </row>
    <row r="129">
      <c r="A129" s="37">
        <v>128.0</v>
      </c>
      <c r="B129" s="12" t="s">
        <v>1267</v>
      </c>
      <c r="C129" s="12" t="s">
        <v>1268</v>
      </c>
      <c r="D129" s="12" t="s">
        <v>1195</v>
      </c>
      <c r="E129" s="27"/>
      <c r="F129" s="2"/>
      <c r="G129" s="2"/>
      <c r="H129" s="35"/>
      <c r="I129" s="24" t="str">
        <f>IFERROR(__xludf.DUMMYFUNCTION("GOOGLETRANSLATE(B129, ""en"", ""zh"")"),"球在边线附近弹跳。你会怎么做？")</f>
        <v>球在边线附近弹跳。你会怎么做？</v>
      </c>
      <c r="J129" s="24" t="str">
        <f>IFERROR(__xludf.DUMMYFUNCTION("GOOGLETRANSLATE(C129, ""en"", ""zh"")"),"A) 引导向内 B) 忽略 C) 任其掉落 D) 停止")</f>
        <v>A) 引导向内 B) 忽略 C) 任其掉落 D) 停止</v>
      </c>
      <c r="K129" s="24" t="str">
        <f>IFERROR(__xludf.DUMMYFUNCTION("GOOGLETRANSLATE(D129, ""en"", ""zh"")"),"A) 向内引导")</f>
        <v>A) 向内引导</v>
      </c>
      <c r="L129" s="24" t="str">
        <f>IFERROR(__xludf.DUMMYFUNCTION("GOOGLETRANSLATE(E129, ""en"", ""zh"")"),"#VALUE!")</f>
        <v>#VALUE!</v>
      </c>
      <c r="M129" s="21"/>
      <c r="N129" s="21"/>
      <c r="O129" s="21"/>
      <c r="P129" s="21"/>
      <c r="Q129" s="2"/>
      <c r="R129" s="2"/>
      <c r="S129" s="2"/>
      <c r="T129" s="2"/>
      <c r="U129" s="2"/>
      <c r="V129" s="2"/>
      <c r="W129" s="2"/>
      <c r="X129" s="2"/>
      <c r="Y129" s="2"/>
      <c r="Z129" s="2"/>
      <c r="AA129" s="2"/>
      <c r="AB129" s="2"/>
    </row>
    <row r="130">
      <c r="A130" s="37">
        <v>129.0</v>
      </c>
      <c r="B130" s="12" t="s">
        <v>1269</v>
      </c>
      <c r="C130" s="12" t="s">
        <v>1270</v>
      </c>
      <c r="D130" s="12" t="s">
        <v>1271</v>
      </c>
      <c r="E130" s="27"/>
      <c r="F130" s="2"/>
      <c r="G130" s="2"/>
      <c r="H130" s="35"/>
      <c r="I130" s="24" t="str">
        <f>IFERROR(__xludf.DUMMYFUNCTION("GOOGLETRANSLATE(B130, ""en"", ""zh"")"),"比赛中途，你的队伍失去了节奏。你该如何重新掌控比赛？")</f>
        <v>比赛中途，你的队伍失去了节奏。你该如何重新掌控比赛？</v>
      </c>
      <c r="J130" s="24" t="str">
        <f>IFERROR(__xludf.DUMMYFUNCTION("GOOGLETRANSLATE(C130, ""en"", ""zh"")"),"A) 沟通并调整位置 B) 忽略 C) 减速 D) 停止")</f>
        <v>A) 沟通并调整位置 B) 忽略 C) 减速 D) 停止</v>
      </c>
      <c r="K130" s="24" t="str">
        <f>IFERROR(__xludf.DUMMYFUNCTION("GOOGLETRANSLATE(D130, ""en"", ""zh"")"),"A) 沟通并调整立场")</f>
        <v>A) 沟通并调整立场</v>
      </c>
      <c r="L130" s="24" t="str">
        <f>IFERROR(__xludf.DUMMYFUNCTION("GOOGLETRANSLATE(E130, ""en"", ""zh"")"),"#VALUE!")</f>
        <v>#VALUE!</v>
      </c>
      <c r="M130" s="21"/>
      <c r="N130" s="21"/>
      <c r="O130" s="21"/>
      <c r="P130" s="21"/>
      <c r="Q130" s="2"/>
      <c r="R130" s="2"/>
      <c r="S130" s="2"/>
      <c r="T130" s="2"/>
      <c r="U130" s="2"/>
      <c r="V130" s="2"/>
      <c r="W130" s="2"/>
      <c r="X130" s="2"/>
      <c r="Y130" s="2"/>
      <c r="Z130" s="2"/>
      <c r="AA130" s="2"/>
      <c r="AB130" s="2"/>
    </row>
    <row r="131">
      <c r="A131" s="37">
        <v>130.0</v>
      </c>
      <c r="B131" s="12" t="s">
        <v>1272</v>
      </c>
      <c r="C131" s="12" t="s">
        <v>1273</v>
      </c>
      <c r="D131" s="12" t="s">
        <v>1274</v>
      </c>
      <c r="E131" s="27"/>
      <c r="F131" s="2"/>
      <c r="G131" s="2"/>
      <c r="H131" s="35"/>
      <c r="I131" s="24" t="str">
        <f>IFERROR(__xludf.DUMMYFUNCTION("GOOGLETRANSLATE(B131, ""en"", ""zh"")"),"航天飞机正在快速接近。你立即采取什么行动？")</f>
        <v>航天飞机正在快速接近。你立即采取什么行动？</v>
      </c>
      <c r="J131" s="24" t="str">
        <f>IFERROR(__xludf.DUMMYFUNCTION("GOOGLETRANSLATE(C131, ""en"", ""zh"")"),"A) 快速拦截 B) 忽略 C) 停止 D) 任其落下")</f>
        <v>A) 快速拦截 B) 忽略 C) 停止 D) 任其落下</v>
      </c>
      <c r="K131" s="24" t="str">
        <f>IFERROR(__xludf.DUMMYFUNCTION("GOOGLETRANSLATE(D131, ""en"", ""zh"")"),"A) 快速拦截")</f>
        <v>A) 快速拦截</v>
      </c>
      <c r="L131" s="24" t="str">
        <f>IFERROR(__xludf.DUMMYFUNCTION("GOOGLETRANSLATE(E131, ""en"", ""zh"")"),"#VALUE!")</f>
        <v>#VALUE!</v>
      </c>
      <c r="M131" s="21"/>
      <c r="N131" s="21"/>
      <c r="O131" s="21"/>
      <c r="P131" s="21"/>
      <c r="Q131" s="2"/>
      <c r="R131" s="2"/>
      <c r="S131" s="2"/>
      <c r="T131" s="2"/>
      <c r="U131" s="2"/>
      <c r="V131" s="2"/>
      <c r="W131" s="2"/>
      <c r="X131" s="2"/>
      <c r="Y131" s="2"/>
      <c r="Z131" s="2"/>
      <c r="AA131" s="2"/>
      <c r="AB131" s="2"/>
    </row>
    <row r="132">
      <c r="A132" s="37">
        <v>131.0</v>
      </c>
      <c r="B132" s="12" t="s">
        <v>1275</v>
      </c>
      <c r="C132" s="12" t="s">
        <v>1250</v>
      </c>
      <c r="D132" s="12" t="s">
        <v>1251</v>
      </c>
      <c r="E132" s="27"/>
      <c r="F132" s="2"/>
      <c r="G132" s="2"/>
      <c r="H132" s="35"/>
      <c r="I132" s="24" t="str">
        <f>IFERROR(__xludf.DUMMYFUNCTION("GOOGLETRANSLATE(B132, ""en"", ""zh"")"),"对手先低位假动作，再高位假动作。你应该如何应对？")</f>
        <v>对手先低位假动作，再高位假动作。你应该如何应对？</v>
      </c>
      <c r="J132" s="24" t="str">
        <f>IFERROR(__xludf.DUMMYFUNCTION("GOOGLETRANSLATE(C132, ""en"", ""zh"")"),"A) 调整垂直位置 B) 忽略 C) 停止 D) 随机踢")</f>
        <v>A) 调整垂直位置 B) 忽略 C) 停止 D) 随机踢</v>
      </c>
      <c r="K132" s="24" t="str">
        <f>IFERROR(__xludf.DUMMYFUNCTION("GOOGLETRANSLATE(D132, ""en"", ""zh"")"),"A) 调整垂直位置")</f>
        <v>A) 调整垂直位置</v>
      </c>
      <c r="L132" s="24" t="str">
        <f>IFERROR(__xludf.DUMMYFUNCTION("GOOGLETRANSLATE(E132, ""en"", ""zh"")"),"#VALUE!")</f>
        <v>#VALUE!</v>
      </c>
      <c r="M132" s="21"/>
      <c r="N132" s="21"/>
      <c r="O132" s="21"/>
      <c r="P132" s="21"/>
      <c r="Q132" s="2"/>
      <c r="R132" s="2"/>
      <c r="S132" s="2"/>
      <c r="T132" s="2"/>
      <c r="U132" s="2"/>
      <c r="V132" s="2"/>
      <c r="W132" s="2"/>
      <c r="X132" s="2"/>
      <c r="Y132" s="2"/>
      <c r="Z132" s="2"/>
      <c r="AA132" s="2"/>
      <c r="AB132" s="2"/>
    </row>
    <row r="133">
      <c r="A133" s="37">
        <v>132.0</v>
      </c>
      <c r="B133" s="12" t="s">
        <v>1276</v>
      </c>
      <c r="C133" s="12" t="s">
        <v>1248</v>
      </c>
      <c r="D133" s="12" t="s">
        <v>1111</v>
      </c>
      <c r="E133" s="27"/>
      <c r="F133" s="2"/>
      <c r="G133" s="2"/>
      <c r="H133" s="35"/>
      <c r="I133" s="24" t="str">
        <f>IFERROR(__xludf.DUMMYFUNCTION("GOOGLETRANSLATE(B133, ""en"", ""zh"")"),"队友站位失误，该如何帮助他？")</f>
        <v>队友站位失误，该如何帮助他？</v>
      </c>
      <c r="J133" s="24" t="str">
        <f>IFERROR(__xludf.DUMMYFUNCTION("GOOGLETRANSLATE(C133, ""en"", ""zh"")"),"A) 覆盖其区域 B) 忽略 C) 停止 D) 让穿梭机投放")</f>
        <v>A) 覆盖其区域 B) 忽略 C) 停止 D) 让穿梭机投放</v>
      </c>
      <c r="K133" s="24" t="str">
        <f>IFERROR(__xludf.DUMMYFUNCTION("GOOGLETRANSLATE(D133, ""en"", ""zh"")"),"A) 覆盖他们的区域")</f>
        <v>A) 覆盖他们的区域</v>
      </c>
      <c r="L133" s="24" t="str">
        <f>IFERROR(__xludf.DUMMYFUNCTION("GOOGLETRANSLATE(E133, ""en"", ""zh"")"),"#VALUE!")</f>
        <v>#VALUE!</v>
      </c>
      <c r="M133" s="21"/>
      <c r="N133" s="21"/>
      <c r="O133" s="21"/>
      <c r="P133" s="21"/>
      <c r="Q133" s="2"/>
      <c r="R133" s="2"/>
      <c r="S133" s="2"/>
      <c r="T133" s="2"/>
      <c r="U133" s="2"/>
      <c r="V133" s="2"/>
      <c r="W133" s="2"/>
      <c r="X133" s="2"/>
      <c r="Y133" s="2"/>
      <c r="Z133" s="2"/>
      <c r="AA133" s="2"/>
      <c r="AB133" s="2"/>
    </row>
    <row r="134">
      <c r="A134" s="37">
        <v>133.0</v>
      </c>
      <c r="B134" s="12" t="s">
        <v>1277</v>
      </c>
      <c r="C134" s="12" t="s">
        <v>1278</v>
      </c>
      <c r="D134" s="12" t="s">
        <v>1279</v>
      </c>
      <c r="E134" s="27"/>
      <c r="F134" s="2"/>
      <c r="G134" s="2"/>
      <c r="H134" s="35"/>
      <c r="I134" s="24" t="str">
        <f>IFERROR(__xludf.DUMMYFUNCTION("GOOGLETRANSLATE(B134, ""en"", ""zh"")"),"比赛中途，羽毛球速度会发生变化。你如何应对？")</f>
        <v>比赛中途，羽毛球速度会发生变化。你如何应对？</v>
      </c>
      <c r="J134" s="24" t="str">
        <f>IFERROR(__xludf.DUMMYFUNCTION("GOOGLETRANSLATE(C134, ""en"", ""zh"")"),"A) 预判并调整踢腿时机 B) 忽略 C) 停止 D) 让它掉落")</f>
        <v>A) 预判并调整踢腿时机 B) 忽略 C) 停止 D) 让它掉落</v>
      </c>
      <c r="K134" s="24" t="str">
        <f>IFERROR(__xludf.DUMMYFUNCTION("GOOGLETRANSLATE(D134, ""en"", ""zh"")"),"A) 预判并调整踢腿时机")</f>
        <v>A) 预判并调整踢腿时机</v>
      </c>
      <c r="L134" s="24" t="str">
        <f>IFERROR(__xludf.DUMMYFUNCTION("GOOGLETRANSLATE(E134, ""en"", ""zh"")"),"#VALUE!")</f>
        <v>#VALUE!</v>
      </c>
      <c r="M134" s="21"/>
      <c r="N134" s="21"/>
      <c r="O134" s="21"/>
      <c r="P134" s="21"/>
      <c r="Q134" s="2"/>
      <c r="R134" s="2"/>
      <c r="S134" s="2"/>
      <c r="T134" s="2"/>
      <c r="U134" s="2"/>
      <c r="V134" s="2"/>
      <c r="W134" s="2"/>
      <c r="X134" s="2"/>
      <c r="Y134" s="2"/>
      <c r="Z134" s="2"/>
      <c r="AA134" s="2"/>
      <c r="AB134" s="2"/>
    </row>
    <row r="135">
      <c r="A135" s="37">
        <v>134.0</v>
      </c>
      <c r="B135" s="12" t="s">
        <v>1280</v>
      </c>
      <c r="C135" s="12" t="s">
        <v>1226</v>
      </c>
      <c r="D135" s="12" t="s">
        <v>1195</v>
      </c>
      <c r="E135" s="27"/>
      <c r="F135" s="2"/>
      <c r="G135" s="2"/>
      <c r="H135" s="35"/>
      <c r="I135" s="24" t="str">
        <f>IFERROR(__xludf.DUMMYFUNCTION("GOOGLETRANSLATE(B135, ""en"", ""zh"")"),"接力棒已接近边界。最佳应对措施是什么？")</f>
        <v>接力棒已接近边界。最佳应对措施是什么？</v>
      </c>
      <c r="J135" s="24" t="str">
        <f>IFERROR(__xludf.DUMMYFUNCTION("GOOGLETRANSLATE(C135, ""en"", ""zh"")"),"A) 向内引导 B) 忽略 C) 停止 D) 任其落下")</f>
        <v>A) 向内引导 B) 忽略 C) 停止 D) 任其落下</v>
      </c>
      <c r="K135" s="24" t="str">
        <f>IFERROR(__xludf.DUMMYFUNCTION("GOOGLETRANSLATE(D135, ""en"", ""zh"")"),"A) 向内引导")</f>
        <v>A) 向内引导</v>
      </c>
      <c r="L135" s="24" t="str">
        <f>IFERROR(__xludf.DUMMYFUNCTION("GOOGLETRANSLATE(E135, ""en"", ""zh"")"),"#VALUE!")</f>
        <v>#VALUE!</v>
      </c>
      <c r="M135" s="21"/>
      <c r="N135" s="21"/>
      <c r="O135" s="21"/>
      <c r="P135" s="21"/>
      <c r="Q135" s="2"/>
      <c r="R135" s="2"/>
      <c r="S135" s="2"/>
      <c r="T135" s="2"/>
      <c r="U135" s="2"/>
      <c r="V135" s="2"/>
      <c r="W135" s="2"/>
      <c r="X135" s="2"/>
      <c r="Y135" s="2"/>
      <c r="Z135" s="2"/>
      <c r="AA135" s="2"/>
      <c r="AB135" s="2"/>
    </row>
    <row r="136">
      <c r="A136" s="37">
        <v>135.0</v>
      </c>
      <c r="B136" s="12" t="s">
        <v>1281</v>
      </c>
      <c r="C136" s="12" t="s">
        <v>1282</v>
      </c>
      <c r="D136" s="12" t="s">
        <v>1283</v>
      </c>
      <c r="E136" s="27"/>
      <c r="F136" s="2"/>
      <c r="G136" s="2"/>
      <c r="H136" s="35"/>
      <c r="I136" s="24" t="str">
        <f>IFERROR(__xludf.DUMMYFUNCTION("GOOGLETRANSLATE(B136, ""en"", ""zh"")"),"对手向一方施压，你如何应对？")</f>
        <v>对手向一方施压，你如何应对？</v>
      </c>
      <c r="J136" s="24" t="str">
        <f>IFERROR(__xludf.DUMMYFUNCTION("GOOGLETRANSLATE(C136, ""en"", ""zh"")"),"A) 策略性地改变站姿 B) 忽略 C) 停止 D) 让梭子掉落")</f>
        <v>A) 策略性地改变站姿 B) 忽略 C) 停止 D) 让梭子掉落</v>
      </c>
      <c r="K136" s="24" t="str">
        <f>IFERROR(__xludf.DUMMYFUNCTION("GOOGLETRANSLATE(D136, ""en"", ""zh"")"),"A) 策略性地改变站姿")</f>
        <v>A) 策略性地改变站姿</v>
      </c>
      <c r="L136" s="24" t="str">
        <f>IFERROR(__xludf.DUMMYFUNCTION("GOOGLETRANSLATE(E136, ""en"", ""zh"")"),"#VALUE!")</f>
        <v>#VALUE!</v>
      </c>
      <c r="M136" s="21"/>
      <c r="N136" s="21"/>
      <c r="O136" s="21"/>
      <c r="P136" s="21"/>
      <c r="Q136" s="2"/>
      <c r="R136" s="2"/>
      <c r="S136" s="2"/>
      <c r="T136" s="2"/>
      <c r="U136" s="2"/>
      <c r="V136" s="2"/>
      <c r="W136" s="2"/>
      <c r="X136" s="2"/>
      <c r="Y136" s="2"/>
      <c r="Z136" s="2"/>
      <c r="AA136" s="2"/>
      <c r="AB136" s="2"/>
    </row>
    <row r="137">
      <c r="A137" s="38">
        <v>136.0</v>
      </c>
      <c r="B137" s="12" t="s">
        <v>1284</v>
      </c>
      <c r="C137" s="12" t="s">
        <v>1285</v>
      </c>
      <c r="D137" s="12" t="s">
        <v>1171</v>
      </c>
      <c r="E137" s="27"/>
      <c r="F137" s="2"/>
      <c r="G137" s="2"/>
      <c r="H137" s="35"/>
      <c r="I137" s="24" t="str">
        <f>IFERROR(__xludf.DUMMYFUNCTION("GOOGLETRANSLATE(B137, ""en"", ""zh"")"),"比赛中途，队友注意力不集中。你应该怎么做？")</f>
        <v>比赛中途，队友注意力不集中。你应该怎么做？</v>
      </c>
      <c r="J137" s="24" t="str">
        <f>IFERROR(__xludf.DUMMYFUNCTION("GOOGLETRANSLATE(C137, ""en"", ""zh"")"),"A) 沟通并掩盖 B) 忽略 C) 停止 D) 放任不管")</f>
        <v>A) 沟通并掩盖 B) 忽略 C) 停止 D) 放任不管</v>
      </c>
      <c r="K137" s="24" t="str">
        <f>IFERROR(__xludf.DUMMYFUNCTION("GOOGLETRANSLATE(D137, ""en"", ""zh"")"),"A) 沟通和覆盖")</f>
        <v>A) 沟通和覆盖</v>
      </c>
      <c r="L137" s="24" t="str">
        <f>IFERROR(__xludf.DUMMYFUNCTION("GOOGLETRANSLATE(E137, ""en"", ""zh"")"),"#VALUE!")</f>
        <v>#VALUE!</v>
      </c>
      <c r="M137" s="21"/>
      <c r="N137" s="21"/>
      <c r="O137" s="21"/>
      <c r="P137" s="21"/>
      <c r="Q137" s="2"/>
      <c r="R137" s="2"/>
      <c r="S137" s="2"/>
      <c r="T137" s="2"/>
      <c r="U137" s="2"/>
      <c r="V137" s="2"/>
      <c r="W137" s="2"/>
      <c r="X137" s="2"/>
      <c r="Y137" s="2"/>
      <c r="Z137" s="2"/>
      <c r="AA137" s="2"/>
      <c r="AB137" s="2"/>
    </row>
    <row r="138">
      <c r="A138" s="38">
        <v>137.0</v>
      </c>
      <c r="B138" s="12" t="s">
        <v>1286</v>
      </c>
      <c r="C138" s="12" t="s">
        <v>1205</v>
      </c>
      <c r="D138" s="12" t="s">
        <v>1206</v>
      </c>
      <c r="E138" s="27"/>
      <c r="F138" s="2"/>
      <c r="G138" s="2"/>
      <c r="H138" s="35"/>
      <c r="I138" s="24" t="str">
        <f>IFERROR(__xludf.DUMMYFUNCTION("GOOGLETRANSLATE(B138, ""en"", ""zh"")"),"球正高高飞向你的后脚附近。你打算怎么做？")</f>
        <v>球正高高飞向你的后脚附近。你打算怎么做？</v>
      </c>
      <c r="J138" s="24" t="str">
        <f>IFERROR(__xludf.DUMMYFUNCTION("GOOGLETRANSLATE(C138, ""en"", ""zh"")"),"A) 跳踢 B) 无视 C) 停止 D) 任其落下")</f>
        <v>A) 跳踢 B) 无视 C) 停止 D) 任其落下</v>
      </c>
      <c r="K138" s="24" t="str">
        <f>IFERROR(__xludf.DUMMYFUNCTION("GOOGLETRANSLATE(D138, ""en"", ""zh"")"),"A) 跳踢")</f>
        <v>A) 跳踢</v>
      </c>
      <c r="L138" s="24" t="str">
        <f>IFERROR(__xludf.DUMMYFUNCTION("GOOGLETRANSLATE(E138, ""en"", ""zh"")"),"#VALUE!")</f>
        <v>#VALUE!</v>
      </c>
      <c r="M138" s="21"/>
      <c r="N138" s="21"/>
      <c r="O138" s="21"/>
      <c r="P138" s="21"/>
      <c r="Q138" s="2"/>
      <c r="R138" s="2"/>
      <c r="S138" s="2"/>
      <c r="T138" s="2"/>
      <c r="U138" s="2"/>
      <c r="V138" s="2"/>
      <c r="W138" s="2"/>
      <c r="X138" s="2"/>
      <c r="Y138" s="2"/>
      <c r="Z138" s="2"/>
      <c r="AA138" s="2"/>
      <c r="AB138" s="2"/>
    </row>
    <row r="139">
      <c r="A139" s="38">
        <v>138.0</v>
      </c>
      <c r="B139" s="12" t="s">
        <v>1287</v>
      </c>
      <c r="C139" s="12" t="s">
        <v>1288</v>
      </c>
      <c r="D139" s="12" t="s">
        <v>1289</v>
      </c>
      <c r="E139" s="27"/>
      <c r="F139" s="2"/>
      <c r="G139" s="2"/>
      <c r="H139" s="35"/>
      <c r="I139" s="24" t="str">
        <f>IFERROR(__xludf.DUMMYFUNCTION("GOOGLETRANSLATE(B139, ""en"", ""zh"")"),"对手瞄准空旷区域。你应该如何防守？")</f>
        <v>对手瞄准空旷区域。你应该如何防守？</v>
      </c>
      <c r="J139" s="24" t="str">
        <f>IFERROR(__xludf.DUMMYFUNCTION("GOOGLETRANSLATE(C139, ""en"", ""zh"")"),"A) 采取策略性移动进行掩护 B) 忽略 C) 停止 D) 让接力棒投放")</f>
        <v>A) 采取策略性移动进行掩护 B) 忽略 C) 停止 D) 让接力棒投放</v>
      </c>
      <c r="K139" s="24" t="str">
        <f>IFERROR(__xludf.DUMMYFUNCTION("GOOGLETRANSLATE(D139, ""en"", ""zh"")"),"A) 采取策略性移动进行掩护")</f>
        <v>A) 采取策略性移动进行掩护</v>
      </c>
      <c r="L139" s="24" t="str">
        <f>IFERROR(__xludf.DUMMYFUNCTION("GOOGLETRANSLATE(E139, ""en"", ""zh"")"),"#VALUE!")</f>
        <v>#VALUE!</v>
      </c>
      <c r="M139" s="21"/>
      <c r="N139" s="21"/>
      <c r="O139" s="21"/>
      <c r="P139" s="21"/>
      <c r="Q139" s="2"/>
      <c r="R139" s="2"/>
      <c r="S139" s="2"/>
      <c r="T139" s="2"/>
      <c r="U139" s="2"/>
      <c r="V139" s="2"/>
      <c r="W139" s="2"/>
      <c r="X139" s="2"/>
      <c r="Y139" s="2"/>
      <c r="Z139" s="2"/>
      <c r="AA139" s="2"/>
      <c r="AB139" s="2"/>
    </row>
    <row r="140">
      <c r="A140" s="38">
        <v>139.0</v>
      </c>
      <c r="B140" s="12" t="s">
        <v>1290</v>
      </c>
      <c r="C140" s="12" t="s">
        <v>1256</v>
      </c>
      <c r="D140" s="12" t="s">
        <v>1224</v>
      </c>
      <c r="E140" s="27"/>
      <c r="F140" s="2"/>
      <c r="G140" s="2"/>
      <c r="H140" s="35"/>
      <c r="I140" s="24" t="str">
        <f>IFERROR(__xludf.DUMMYFUNCTION("GOOGLETRANSLATE(B140, ""en"", ""zh"")"),"比赛中途，你的队伍节奏慢了下来。最佳应对策略是什么？")</f>
        <v>比赛中途，你的队伍节奏慢了下来。最佳应对策略是什么？</v>
      </c>
      <c r="J140" s="24" t="str">
        <f>IFERROR(__xludf.DUMMYFUNCTION("GOOGLETRANSLATE(C140, ""en"", ""zh"")"),"A) 恢复节奏并沟通 B) 忽略 C) 放慢速度 D) 停止")</f>
        <v>A) 恢复节奏并沟通 B) 忽略 C) 放慢速度 D) 停止</v>
      </c>
      <c r="K140" s="24" t="str">
        <f>IFERROR(__xludf.DUMMYFUNCTION("GOOGLETRANSLATE(D140, ""en"", ""zh"")"),"A) 恢复节奏并进行交流")</f>
        <v>A) 恢复节奏并进行交流</v>
      </c>
      <c r="L140" s="24" t="str">
        <f>IFERROR(__xludf.DUMMYFUNCTION("GOOGLETRANSLATE(E140, ""en"", ""zh"")"),"#VALUE!")</f>
        <v>#VALUE!</v>
      </c>
      <c r="M140" s="21"/>
      <c r="N140" s="21"/>
      <c r="O140" s="21"/>
      <c r="P140" s="21"/>
      <c r="Q140" s="2"/>
      <c r="R140" s="2"/>
      <c r="S140" s="2"/>
      <c r="T140" s="2"/>
      <c r="U140" s="2"/>
      <c r="V140" s="2"/>
      <c r="W140" s="2"/>
      <c r="X140" s="2"/>
      <c r="Y140" s="2"/>
      <c r="Z140" s="2"/>
      <c r="AA140" s="2"/>
      <c r="AB140" s="2"/>
    </row>
    <row r="141">
      <c r="A141" s="38">
        <v>140.0</v>
      </c>
      <c r="B141" s="12" t="s">
        <v>1291</v>
      </c>
      <c r="C141" s="12" t="s">
        <v>1185</v>
      </c>
      <c r="D141" s="12" t="s">
        <v>1186</v>
      </c>
      <c r="E141" s="27"/>
      <c r="F141" s="2"/>
      <c r="G141" s="2"/>
      <c r="H141" s="35"/>
      <c r="I141" s="24" t="str">
        <f>IFERROR(__xludf.DUMMYFUNCTION("GOOGLETRANSLATE(B141, ""en"", ""zh"")"),"梭子鱼弹跳轨迹难以预测，你会如何应对？")</f>
        <v>梭子鱼弹跳轨迹难以预测，你会如何应对？</v>
      </c>
      <c r="J141" s="24" t="str">
        <f>IFERROR(__xludf.DUMMYFUNCTION("GOOGLETRANSLATE(C141, ""en"", ""zh"")"),"A) 调整站姿和时机 B) 忽略 C) 停止 D) 随意踢")</f>
        <v>A) 调整站姿和时机 B) 忽略 C) 停止 D) 随意踢</v>
      </c>
      <c r="K141" s="24" t="str">
        <f>IFERROR(__xludf.DUMMYFUNCTION("GOOGLETRANSLATE(D141, ""en"", ""zh"")"),"A) 调整站姿和时机")</f>
        <v>A) 调整站姿和时机</v>
      </c>
      <c r="L141" s="24" t="str">
        <f>IFERROR(__xludf.DUMMYFUNCTION("GOOGLETRANSLATE(E141, ""en"", ""zh"")"),"#VALUE!")</f>
        <v>#VALUE!</v>
      </c>
      <c r="M141" s="21"/>
      <c r="N141" s="21"/>
      <c r="O141" s="21"/>
      <c r="P141" s="21"/>
      <c r="Q141" s="2"/>
      <c r="R141" s="2"/>
      <c r="S141" s="2"/>
      <c r="T141" s="2"/>
      <c r="U141" s="2"/>
      <c r="V141" s="2"/>
      <c r="W141" s="2"/>
      <c r="X141" s="2"/>
      <c r="Y141" s="2"/>
      <c r="Z141" s="2"/>
      <c r="AA141" s="2"/>
      <c r="AB141" s="2"/>
    </row>
    <row r="142">
      <c r="A142" s="38">
        <v>141.0</v>
      </c>
      <c r="B142" s="12" t="s">
        <v>1292</v>
      </c>
      <c r="C142" s="12" t="s">
        <v>1293</v>
      </c>
      <c r="D142" s="12" t="s">
        <v>1162</v>
      </c>
      <c r="E142" s="27"/>
      <c r="F142" s="2"/>
      <c r="G142" s="2"/>
      <c r="H142" s="35"/>
      <c r="I142" s="24" t="str">
        <f>IFERROR(__xludf.DUMMYFUNCTION("GOOGLETRANSLATE(B142, ""en"", ""zh"")"),"队友步法错误，你会如何应对？")</f>
        <v>队友步法错误，你会如何应对？</v>
      </c>
      <c r="J142" s="24" t="str">
        <f>IFERROR(__xludf.DUMMYFUNCTION("GOOGLETRANSLATE(C142, ""en"", ""zh"")"),"A) 覆盖其区域 B) 忽略 C) 停止 D) 让穿梭机投放")</f>
        <v>A) 覆盖其区域 B) 忽略 C) 停止 D) 让穿梭机投放</v>
      </c>
      <c r="K142" s="24" t="str">
        <f>IFERROR(__xludf.DUMMYFUNCTION("GOOGLETRANSLATE(D142, ""en"", ""zh"")"),"A) 覆盖他们的区域")</f>
        <v>A) 覆盖他们的区域</v>
      </c>
      <c r="L142" s="24" t="str">
        <f>IFERROR(__xludf.DUMMYFUNCTION("GOOGLETRANSLATE(E142, ""en"", ""zh"")"),"#VALUE!")</f>
        <v>#VALUE!</v>
      </c>
      <c r="M142" s="21"/>
      <c r="N142" s="21"/>
      <c r="O142" s="21"/>
      <c r="P142" s="21"/>
      <c r="Q142" s="2"/>
      <c r="R142" s="2"/>
      <c r="S142" s="2"/>
      <c r="T142" s="2"/>
      <c r="U142" s="2"/>
      <c r="V142" s="2"/>
      <c r="W142" s="2"/>
      <c r="X142" s="2"/>
      <c r="Y142" s="2"/>
      <c r="Z142" s="2"/>
      <c r="AA142" s="2"/>
      <c r="AB142" s="2"/>
    </row>
    <row r="143">
      <c r="A143" s="38">
        <v>142.0</v>
      </c>
      <c r="B143" s="12" t="s">
        <v>1294</v>
      </c>
      <c r="C143" s="12" t="s">
        <v>1211</v>
      </c>
      <c r="D143" s="12" t="s">
        <v>1212</v>
      </c>
      <c r="E143" s="27"/>
      <c r="F143" s="2"/>
      <c r="G143" s="2"/>
      <c r="H143" s="35"/>
      <c r="I143" s="24" t="str">
        <f>IFERROR(__xludf.DUMMYFUNCTION("GOOGLETRANSLATE(B143, ""en"", ""zh"")"),"对手多次虚晃。最佳应对策略是什么？")</f>
        <v>对手多次虚晃。最佳应对策略是什么？</v>
      </c>
      <c r="J143" s="24" t="str">
        <f>IFERROR(__xludf.DUMMYFUNCTION("GOOGLETRANSLATE(C143, ""en"", ""zh"")"),"A) 预测模式 B) 忽略 C) 停止 D) 随机踢")</f>
        <v>A) 预测模式 B) 忽略 C) 停止 D) 随机踢</v>
      </c>
      <c r="K143" s="24" t="str">
        <f>IFERROR(__xludf.DUMMYFUNCTION("GOOGLETRANSLATE(D143, ""en"", ""zh"")"),"A) 预测模式")</f>
        <v>A) 预测模式</v>
      </c>
      <c r="L143" s="24" t="str">
        <f>IFERROR(__xludf.DUMMYFUNCTION("GOOGLETRANSLATE(E143, ""en"", ""zh"")"),"#VALUE!")</f>
        <v>#VALUE!</v>
      </c>
      <c r="M143" s="21"/>
      <c r="N143" s="21"/>
      <c r="O143" s="21"/>
      <c r="P143" s="21"/>
      <c r="Q143" s="2"/>
      <c r="R143" s="2"/>
      <c r="S143" s="2"/>
      <c r="T143" s="2"/>
      <c r="U143" s="2"/>
      <c r="V143" s="2"/>
      <c r="W143" s="2"/>
      <c r="X143" s="2"/>
      <c r="Y143" s="2"/>
      <c r="Z143" s="2"/>
      <c r="AA143" s="2"/>
      <c r="AB143" s="2"/>
    </row>
    <row r="144">
      <c r="A144" s="38">
        <v>143.0</v>
      </c>
      <c r="B144" s="12" t="s">
        <v>1295</v>
      </c>
      <c r="C144" s="12" t="s">
        <v>1226</v>
      </c>
      <c r="D144" s="12" t="s">
        <v>1195</v>
      </c>
      <c r="E144" s="27"/>
      <c r="F144" s="2"/>
      <c r="G144" s="2"/>
      <c r="H144" s="35"/>
      <c r="I144" s="24" t="str">
        <f>IFERROR(__xludf.DUMMYFUNCTION("GOOGLETRANSLATE(B144, ""en"", ""zh"")"),"摆渡车快速接近边线。你会怎么做？")</f>
        <v>摆渡车快速接近边线。你会怎么做？</v>
      </c>
      <c r="J144" s="24" t="str">
        <f>IFERROR(__xludf.DUMMYFUNCTION("GOOGLETRANSLATE(C144, ""en"", ""zh"")"),"A) 向内引导 B) 忽略 C) 停止 D) 任其落下")</f>
        <v>A) 向内引导 B) 忽略 C) 停止 D) 任其落下</v>
      </c>
      <c r="K144" s="24" t="str">
        <f>IFERROR(__xludf.DUMMYFUNCTION("GOOGLETRANSLATE(D144, ""en"", ""zh"")"),"A) 向内引导")</f>
        <v>A) 向内引导</v>
      </c>
      <c r="L144" s="24" t="str">
        <f>IFERROR(__xludf.DUMMYFUNCTION("GOOGLETRANSLATE(E144, ""en"", ""zh"")"),"#VALUE!")</f>
        <v>#VALUE!</v>
      </c>
      <c r="M144" s="21"/>
      <c r="N144" s="21"/>
      <c r="O144" s="21"/>
      <c r="P144" s="21"/>
      <c r="Q144" s="2"/>
      <c r="R144" s="2"/>
      <c r="S144" s="2"/>
      <c r="T144" s="2"/>
      <c r="U144" s="2"/>
      <c r="V144" s="2"/>
      <c r="W144" s="2"/>
      <c r="X144" s="2"/>
      <c r="Y144" s="2"/>
      <c r="Z144" s="2"/>
      <c r="AA144" s="2"/>
      <c r="AB144" s="2"/>
    </row>
    <row r="145">
      <c r="A145" s="38">
        <v>144.0</v>
      </c>
      <c r="B145" s="12" t="s">
        <v>1213</v>
      </c>
      <c r="C145" s="12" t="s">
        <v>1214</v>
      </c>
      <c r="D145" s="12" t="s">
        <v>1215</v>
      </c>
      <c r="E145" s="27"/>
      <c r="F145" s="2"/>
      <c r="G145" s="2"/>
      <c r="H145" s="35"/>
      <c r="I145" s="24" t="str">
        <f>IFERROR(__xludf.DUMMYFUNCTION("GOOGLETRANSLATE(B145, ""en"", ""zh"")"),"比赛中途，疲劳感袭来。如何才能保持专注？")</f>
        <v>比赛中途，疲劳感袭来。如何才能保持专注？</v>
      </c>
      <c r="J145" s="24" t="str">
        <f>IFERROR(__xludf.DUMMYFUNCTION("GOOGLETRANSLATE(C145, ""en"", ""zh"")"),"A) 调整速度和位置 B) 忽略 C) 停止 D) 让球落地")</f>
        <v>A) 调整速度和位置 B) 忽略 C) 停止 D) 让球落地</v>
      </c>
      <c r="K145" s="24" t="str">
        <f>IFERROR(__xludf.DUMMYFUNCTION("GOOGLETRANSLATE(D145, ""en"", ""zh"")"),"A) 调整步伐和姿势")</f>
        <v>A) 调整步伐和姿势</v>
      </c>
      <c r="L145" s="24" t="str">
        <f>IFERROR(__xludf.DUMMYFUNCTION("GOOGLETRANSLATE(E145, ""en"", ""zh"")"),"#VALUE!")</f>
        <v>#VALUE!</v>
      </c>
      <c r="M145" s="21"/>
      <c r="N145" s="21"/>
      <c r="O145" s="21"/>
      <c r="P145" s="21"/>
      <c r="Q145" s="2"/>
      <c r="R145" s="2"/>
      <c r="S145" s="2"/>
      <c r="T145" s="2"/>
      <c r="U145" s="2"/>
      <c r="V145" s="2"/>
      <c r="W145" s="2"/>
      <c r="X145" s="2"/>
      <c r="Y145" s="2"/>
      <c r="Z145" s="2"/>
      <c r="AA145" s="2"/>
      <c r="AB145" s="2"/>
    </row>
    <row r="146">
      <c r="A146" s="38">
        <v>145.0</v>
      </c>
      <c r="B146" s="12" t="s">
        <v>1296</v>
      </c>
      <c r="C146" s="12" t="s">
        <v>1297</v>
      </c>
      <c r="D146" s="12" t="s">
        <v>1221</v>
      </c>
      <c r="E146" s="27"/>
      <c r="F146" s="2"/>
      <c r="G146" s="2"/>
      <c r="H146" s="35"/>
      <c r="I146" s="24" t="str">
        <f>IFERROR(__xludf.DUMMYFUNCTION("GOOGLETRANSLATE(B146, ""en"", ""zh"")"),"对手尝试远距离高空踢击。最佳应对策略是什么？")</f>
        <v>对手尝试远距离高空踢击。最佳应对策略是什么？</v>
      </c>
      <c r="J146" s="24" t="str">
        <f>IFERROR(__xludf.DUMMYFUNCTION("GOOGLETRANSLATE(C146, ""en"", ""zh"")"),"A) 调整位置并拦截 B) 忽略 C) 停止 D) 任其掉落")</f>
        <v>A) 调整位置并拦截 B) 忽略 C) 停止 D) 任其掉落</v>
      </c>
      <c r="K146" s="24" t="str">
        <f>IFERROR(__xludf.DUMMYFUNCTION("GOOGLETRANSLATE(D146, ""en"", ""zh"")"),"A) 调整位置并拦截")</f>
        <v>A) 调整位置并拦截</v>
      </c>
      <c r="L146" s="24" t="str">
        <f>IFERROR(__xludf.DUMMYFUNCTION("GOOGLETRANSLATE(E146, ""en"", ""zh"")"),"#VALUE!")</f>
        <v>#VALUE!</v>
      </c>
      <c r="M146" s="21"/>
      <c r="N146" s="21"/>
      <c r="O146" s="21"/>
      <c r="P146" s="21"/>
      <c r="Q146" s="2"/>
      <c r="R146" s="2"/>
      <c r="S146" s="2"/>
      <c r="T146" s="2"/>
      <c r="U146" s="2"/>
      <c r="V146" s="2"/>
      <c r="W146" s="2"/>
      <c r="X146" s="2"/>
      <c r="Y146" s="2"/>
      <c r="Z146" s="2"/>
      <c r="AA146" s="2"/>
      <c r="AB146" s="2"/>
    </row>
    <row r="147">
      <c r="A147" s="28"/>
      <c r="B147" s="21"/>
      <c r="C147" s="21"/>
      <c r="D147" s="21"/>
      <c r="E147" s="21"/>
      <c r="F147" s="2"/>
      <c r="G147" s="2"/>
      <c r="H147" s="35"/>
      <c r="I147" s="21"/>
      <c r="J147" s="21"/>
      <c r="K147" s="21"/>
      <c r="L147" s="21"/>
      <c r="M147" s="21"/>
      <c r="N147" s="21"/>
      <c r="O147" s="21"/>
      <c r="P147" s="21"/>
      <c r="Q147" s="2"/>
      <c r="R147" s="2"/>
      <c r="S147" s="2"/>
      <c r="T147" s="2"/>
      <c r="U147" s="2"/>
      <c r="V147" s="2"/>
      <c r="W147" s="2"/>
      <c r="X147" s="2"/>
      <c r="Y147" s="2"/>
      <c r="Z147" s="2"/>
      <c r="AA147" s="2"/>
      <c r="AB147" s="2"/>
    </row>
    <row r="148">
      <c r="A148" s="22"/>
      <c r="B148" s="21"/>
      <c r="C148" s="21"/>
      <c r="D148" s="21"/>
      <c r="E148" s="21"/>
      <c r="F148" s="2"/>
      <c r="G148" s="2"/>
      <c r="H148" s="35"/>
      <c r="I148" s="21"/>
      <c r="J148" s="21"/>
      <c r="K148" s="21"/>
      <c r="L148" s="21"/>
      <c r="M148" s="21"/>
      <c r="N148" s="21"/>
      <c r="O148" s="21"/>
      <c r="P148" s="21"/>
      <c r="Q148" s="2"/>
      <c r="R148" s="2"/>
      <c r="S148" s="2"/>
      <c r="T148" s="2"/>
      <c r="U148" s="2"/>
      <c r="V148" s="2"/>
      <c r="W148" s="2"/>
      <c r="X148" s="2"/>
      <c r="Y148" s="2"/>
      <c r="Z148" s="2"/>
      <c r="AA148" s="2"/>
      <c r="AB148" s="2"/>
    </row>
    <row r="149">
      <c r="A149" s="2"/>
      <c r="B149" s="21"/>
      <c r="C149" s="21"/>
      <c r="D149" s="21"/>
      <c r="E149" s="21"/>
      <c r="F149" s="2"/>
      <c r="G149" s="2"/>
      <c r="H149" s="35"/>
      <c r="I149" s="21"/>
      <c r="J149" s="21"/>
      <c r="K149" s="21"/>
      <c r="L149" s="21"/>
      <c r="M149" s="21"/>
      <c r="N149" s="21"/>
      <c r="O149" s="21"/>
      <c r="P149" s="21"/>
      <c r="Q149" s="2"/>
      <c r="R149" s="2"/>
      <c r="S149" s="2"/>
      <c r="T149" s="2"/>
      <c r="U149" s="2"/>
      <c r="V149" s="2"/>
      <c r="W149" s="2"/>
      <c r="X149" s="2"/>
      <c r="Y149" s="2"/>
      <c r="Z149" s="2"/>
      <c r="AA149" s="2"/>
      <c r="AB149" s="2"/>
    </row>
    <row r="150">
      <c r="A150" s="2"/>
      <c r="B150" s="21"/>
      <c r="C150" s="21"/>
      <c r="D150" s="21"/>
      <c r="E150" s="21"/>
      <c r="F150" s="2"/>
      <c r="G150" s="2"/>
      <c r="H150" s="35"/>
      <c r="I150" s="21"/>
      <c r="J150" s="21"/>
      <c r="K150" s="21"/>
      <c r="L150" s="21"/>
      <c r="M150" s="21"/>
      <c r="N150" s="21"/>
      <c r="O150" s="21"/>
      <c r="P150" s="21"/>
      <c r="Q150" s="2"/>
      <c r="R150" s="2"/>
      <c r="S150" s="2"/>
      <c r="T150" s="2"/>
      <c r="U150" s="2"/>
      <c r="V150" s="2"/>
      <c r="W150" s="2"/>
      <c r="X150" s="2"/>
      <c r="Y150" s="2"/>
      <c r="Z150" s="2"/>
      <c r="AA150" s="2"/>
      <c r="AB150" s="2"/>
    </row>
    <row r="151">
      <c r="A151" s="2"/>
      <c r="B151" s="21"/>
      <c r="C151" s="21"/>
      <c r="D151" s="21"/>
      <c r="E151" s="21"/>
      <c r="F151" s="2"/>
      <c r="G151" s="2"/>
      <c r="H151" s="35"/>
      <c r="I151" s="21"/>
      <c r="J151" s="21"/>
      <c r="K151" s="21"/>
      <c r="L151" s="21"/>
      <c r="M151" s="21"/>
      <c r="N151" s="21"/>
      <c r="O151" s="21"/>
      <c r="P151" s="21"/>
      <c r="Q151" s="2"/>
      <c r="R151" s="2"/>
      <c r="S151" s="2"/>
      <c r="T151" s="2"/>
      <c r="U151" s="2"/>
      <c r="V151" s="2"/>
      <c r="W151" s="2"/>
      <c r="X151" s="2"/>
      <c r="Y151" s="2"/>
      <c r="Z151" s="2"/>
      <c r="AA151" s="2"/>
      <c r="AB151" s="2"/>
    </row>
    <row r="152">
      <c r="A152" s="2"/>
      <c r="B152" s="21"/>
      <c r="C152" s="21"/>
      <c r="D152" s="21"/>
      <c r="E152" s="21"/>
      <c r="F152" s="2"/>
      <c r="G152" s="2"/>
      <c r="H152" s="35"/>
      <c r="I152" s="21"/>
      <c r="J152" s="21"/>
      <c r="K152" s="21"/>
      <c r="L152" s="21"/>
      <c r="M152" s="21"/>
      <c r="N152" s="21"/>
      <c r="O152" s="21"/>
      <c r="P152" s="21"/>
      <c r="Q152" s="2"/>
      <c r="R152" s="2"/>
      <c r="S152" s="2"/>
      <c r="T152" s="2"/>
      <c r="U152" s="2"/>
      <c r="V152" s="2"/>
      <c r="W152" s="2"/>
      <c r="X152" s="2"/>
      <c r="Y152" s="2"/>
      <c r="Z152" s="2"/>
      <c r="AA152" s="2"/>
      <c r="AB152" s="2"/>
    </row>
    <row r="153">
      <c r="A153" s="2"/>
      <c r="B153" s="21"/>
      <c r="C153" s="21"/>
      <c r="D153" s="21"/>
      <c r="E153" s="21"/>
      <c r="F153" s="2"/>
      <c r="G153" s="2"/>
      <c r="H153" s="35"/>
      <c r="I153" s="21"/>
      <c r="J153" s="21"/>
      <c r="K153" s="21"/>
      <c r="L153" s="21"/>
      <c r="M153" s="21"/>
      <c r="N153" s="21"/>
      <c r="O153" s="21"/>
      <c r="P153" s="21"/>
      <c r="Q153" s="2"/>
      <c r="R153" s="2"/>
      <c r="S153" s="2"/>
      <c r="T153" s="2"/>
      <c r="U153" s="2"/>
      <c r="V153" s="2"/>
      <c r="W153" s="2"/>
      <c r="X153" s="2"/>
      <c r="Y153" s="2"/>
      <c r="Z153" s="2"/>
      <c r="AA153" s="2"/>
      <c r="AB153" s="2"/>
    </row>
    <row r="154">
      <c r="A154" s="2"/>
      <c r="B154" s="21"/>
      <c r="C154" s="21"/>
      <c r="D154" s="21"/>
      <c r="E154" s="21"/>
      <c r="F154" s="2"/>
      <c r="G154" s="2"/>
      <c r="H154" s="35"/>
      <c r="I154" s="21"/>
      <c r="J154" s="21"/>
      <c r="K154" s="21"/>
      <c r="L154" s="21"/>
      <c r="M154" s="21"/>
      <c r="N154" s="21"/>
      <c r="O154" s="21"/>
      <c r="P154" s="21"/>
      <c r="Q154" s="2"/>
      <c r="R154" s="2"/>
      <c r="S154" s="2"/>
      <c r="T154" s="2"/>
      <c r="U154" s="2"/>
      <c r="V154" s="2"/>
      <c r="W154" s="2"/>
      <c r="X154" s="2"/>
      <c r="Y154" s="2"/>
      <c r="Z154" s="2"/>
      <c r="AA154" s="2"/>
      <c r="AB154" s="2"/>
    </row>
    <row r="155">
      <c r="A155" s="2"/>
      <c r="B155" s="21"/>
      <c r="C155" s="21"/>
      <c r="D155" s="21"/>
      <c r="E155" s="21"/>
      <c r="F155" s="2"/>
      <c r="G155" s="2"/>
      <c r="H155" s="35"/>
      <c r="I155" s="21"/>
      <c r="J155" s="21"/>
      <c r="K155" s="21"/>
      <c r="L155" s="21"/>
      <c r="M155" s="21"/>
      <c r="N155" s="21"/>
      <c r="O155" s="21"/>
      <c r="P155" s="21"/>
      <c r="Q155" s="2"/>
      <c r="R155" s="2"/>
      <c r="S155" s="2"/>
      <c r="T155" s="2"/>
      <c r="U155" s="2"/>
      <c r="V155" s="2"/>
      <c r="W155" s="2"/>
      <c r="X155" s="2"/>
      <c r="Y155" s="2"/>
      <c r="Z155" s="2"/>
      <c r="AA155" s="2"/>
      <c r="AB155" s="2"/>
    </row>
    <row r="156">
      <c r="A156" s="2"/>
      <c r="B156" s="21"/>
      <c r="C156" s="21"/>
      <c r="D156" s="21"/>
      <c r="E156" s="21"/>
      <c r="F156" s="2"/>
      <c r="G156" s="2"/>
      <c r="H156" s="35"/>
      <c r="I156" s="21"/>
      <c r="J156" s="21"/>
      <c r="K156" s="21"/>
      <c r="L156" s="21"/>
      <c r="M156" s="21"/>
      <c r="N156" s="21"/>
      <c r="O156" s="21"/>
      <c r="P156" s="21"/>
      <c r="Q156" s="2"/>
      <c r="R156" s="2"/>
      <c r="S156" s="2"/>
      <c r="T156" s="2"/>
      <c r="U156" s="2"/>
      <c r="V156" s="2"/>
      <c r="W156" s="2"/>
      <c r="X156" s="2"/>
      <c r="Y156" s="2"/>
      <c r="Z156" s="2"/>
      <c r="AA156" s="2"/>
      <c r="AB156" s="2"/>
    </row>
    <row r="157">
      <c r="A157" s="2"/>
      <c r="B157" s="21"/>
      <c r="C157" s="21"/>
      <c r="D157" s="21"/>
      <c r="E157" s="21"/>
      <c r="F157" s="2"/>
      <c r="G157" s="2"/>
      <c r="H157" s="35"/>
      <c r="I157" s="21"/>
      <c r="J157" s="21"/>
      <c r="K157" s="21"/>
      <c r="L157" s="21"/>
      <c r="M157" s="21"/>
      <c r="N157" s="21"/>
      <c r="O157" s="21"/>
      <c r="P157" s="21"/>
      <c r="Q157" s="2"/>
      <c r="R157" s="2"/>
      <c r="S157" s="2"/>
      <c r="T157" s="2"/>
      <c r="U157" s="2"/>
      <c r="V157" s="2"/>
      <c r="W157" s="2"/>
      <c r="X157" s="2"/>
      <c r="Y157" s="2"/>
      <c r="Z157" s="2"/>
      <c r="AA157" s="2"/>
      <c r="AB157" s="2"/>
    </row>
    <row r="158">
      <c r="A158" s="2"/>
      <c r="B158" s="21"/>
      <c r="C158" s="21"/>
      <c r="D158" s="21"/>
      <c r="E158" s="21"/>
      <c r="F158" s="2"/>
      <c r="G158" s="2"/>
      <c r="H158" s="35"/>
      <c r="I158" s="21"/>
      <c r="J158" s="21"/>
      <c r="K158" s="21"/>
      <c r="L158" s="21"/>
      <c r="M158" s="21"/>
      <c r="N158" s="21"/>
      <c r="O158" s="21"/>
      <c r="P158" s="21"/>
      <c r="Q158" s="2"/>
      <c r="R158" s="2"/>
      <c r="S158" s="2"/>
      <c r="T158" s="2"/>
      <c r="U158" s="2"/>
      <c r="V158" s="2"/>
      <c r="W158" s="2"/>
      <c r="X158" s="2"/>
      <c r="Y158" s="2"/>
      <c r="Z158" s="2"/>
      <c r="AA158" s="2"/>
      <c r="AB158" s="2"/>
    </row>
    <row r="159">
      <c r="A159" s="2"/>
      <c r="B159" s="21"/>
      <c r="C159" s="21"/>
      <c r="D159" s="21"/>
      <c r="E159" s="21"/>
      <c r="F159" s="2"/>
      <c r="G159" s="2"/>
      <c r="H159" s="35"/>
      <c r="I159" s="21"/>
      <c r="J159" s="21"/>
      <c r="K159" s="21"/>
      <c r="L159" s="21"/>
      <c r="M159" s="21"/>
      <c r="N159" s="21"/>
      <c r="O159" s="21"/>
      <c r="P159" s="21"/>
      <c r="Q159" s="2"/>
      <c r="R159" s="2"/>
      <c r="S159" s="2"/>
      <c r="T159" s="2"/>
      <c r="U159" s="2"/>
      <c r="V159" s="2"/>
      <c r="W159" s="2"/>
      <c r="X159" s="2"/>
      <c r="Y159" s="2"/>
      <c r="Z159" s="2"/>
      <c r="AA159" s="2"/>
      <c r="AB159" s="2"/>
    </row>
    <row r="160">
      <c r="A160" s="2"/>
      <c r="B160" s="21"/>
      <c r="C160" s="21"/>
      <c r="D160" s="21"/>
      <c r="E160" s="21"/>
      <c r="F160" s="2"/>
      <c r="G160" s="2"/>
      <c r="H160" s="35"/>
      <c r="I160" s="21"/>
      <c r="J160" s="21"/>
      <c r="K160" s="21"/>
      <c r="L160" s="21"/>
      <c r="M160" s="21"/>
      <c r="N160" s="21"/>
      <c r="O160" s="21"/>
      <c r="P160" s="21"/>
      <c r="Q160" s="2"/>
      <c r="R160" s="2"/>
      <c r="S160" s="2"/>
      <c r="T160" s="2"/>
      <c r="U160" s="2"/>
      <c r="V160" s="2"/>
      <c r="W160" s="2"/>
      <c r="X160" s="2"/>
      <c r="Y160" s="2"/>
      <c r="Z160" s="2"/>
      <c r="AA160" s="2"/>
      <c r="AB160" s="2"/>
    </row>
    <row r="161">
      <c r="A161" s="2"/>
      <c r="B161" s="21"/>
      <c r="C161" s="21"/>
      <c r="D161" s="21"/>
      <c r="E161" s="21"/>
      <c r="F161" s="2"/>
      <c r="G161" s="2"/>
      <c r="H161" s="35"/>
      <c r="I161" s="21"/>
      <c r="J161" s="21"/>
      <c r="K161" s="21"/>
      <c r="L161" s="21"/>
      <c r="M161" s="21"/>
      <c r="N161" s="21"/>
      <c r="O161" s="21"/>
      <c r="P161" s="21"/>
      <c r="Q161" s="2"/>
      <c r="R161" s="2"/>
      <c r="S161" s="2"/>
      <c r="T161" s="2"/>
      <c r="U161" s="2"/>
      <c r="V161" s="2"/>
      <c r="W161" s="2"/>
      <c r="X161" s="2"/>
      <c r="Y161" s="2"/>
      <c r="Z161" s="2"/>
      <c r="AA161" s="2"/>
      <c r="AB161" s="2"/>
    </row>
    <row r="162">
      <c r="A162" s="2"/>
      <c r="B162" s="21"/>
      <c r="C162" s="21"/>
      <c r="D162" s="21"/>
      <c r="E162" s="21"/>
      <c r="F162" s="2"/>
      <c r="G162" s="2"/>
      <c r="H162" s="35"/>
      <c r="I162" s="21"/>
      <c r="J162" s="21"/>
      <c r="K162" s="21"/>
      <c r="L162" s="21"/>
      <c r="M162" s="21"/>
      <c r="N162" s="21"/>
      <c r="O162" s="21"/>
      <c r="P162" s="21"/>
      <c r="Q162" s="2"/>
      <c r="R162" s="2"/>
      <c r="S162" s="2"/>
      <c r="T162" s="2"/>
      <c r="U162" s="2"/>
      <c r="V162" s="2"/>
      <c r="W162" s="2"/>
      <c r="X162" s="2"/>
      <c r="Y162" s="2"/>
      <c r="Z162" s="2"/>
      <c r="AA162" s="2"/>
      <c r="AB162" s="2"/>
    </row>
    <row r="163">
      <c r="A163" s="2"/>
      <c r="B163" s="21"/>
      <c r="C163" s="21"/>
      <c r="D163" s="21"/>
      <c r="E163" s="21"/>
      <c r="F163" s="2"/>
      <c r="G163" s="2"/>
      <c r="H163" s="35"/>
      <c r="I163" s="21"/>
      <c r="J163" s="21"/>
      <c r="K163" s="21"/>
      <c r="L163" s="21"/>
      <c r="M163" s="21"/>
      <c r="N163" s="21"/>
      <c r="O163" s="21"/>
      <c r="P163" s="21"/>
      <c r="Q163" s="2"/>
      <c r="R163" s="2"/>
      <c r="S163" s="2"/>
      <c r="T163" s="2"/>
      <c r="U163" s="2"/>
      <c r="V163" s="2"/>
      <c r="W163" s="2"/>
      <c r="X163" s="2"/>
      <c r="Y163" s="2"/>
      <c r="Z163" s="2"/>
      <c r="AA163" s="2"/>
      <c r="AB163" s="2"/>
    </row>
    <row r="164">
      <c r="A164" s="2"/>
      <c r="B164" s="21"/>
      <c r="C164" s="21"/>
      <c r="D164" s="21"/>
      <c r="E164" s="21"/>
      <c r="F164" s="2"/>
      <c r="G164" s="2"/>
      <c r="H164" s="35"/>
      <c r="I164" s="21"/>
      <c r="J164" s="21"/>
      <c r="K164" s="21"/>
      <c r="L164" s="21"/>
      <c r="M164" s="21"/>
      <c r="N164" s="21"/>
      <c r="O164" s="21"/>
      <c r="P164" s="21"/>
      <c r="Q164" s="2"/>
      <c r="R164" s="2"/>
      <c r="S164" s="2"/>
      <c r="T164" s="2"/>
      <c r="U164" s="2"/>
      <c r="V164" s="2"/>
      <c r="W164" s="2"/>
      <c r="X164" s="2"/>
      <c r="Y164" s="2"/>
      <c r="Z164" s="2"/>
      <c r="AA164" s="2"/>
      <c r="AB164" s="2"/>
    </row>
    <row r="165">
      <c r="A165" s="2"/>
      <c r="B165" s="21"/>
      <c r="C165" s="21"/>
      <c r="D165" s="21"/>
      <c r="E165" s="21"/>
      <c r="F165" s="2"/>
      <c r="G165" s="2"/>
      <c r="H165" s="35"/>
      <c r="I165" s="21"/>
      <c r="J165" s="21"/>
      <c r="K165" s="21"/>
      <c r="L165" s="21"/>
      <c r="M165" s="21"/>
      <c r="N165" s="21"/>
      <c r="O165" s="21"/>
      <c r="P165" s="21"/>
      <c r="Q165" s="2"/>
      <c r="R165" s="2"/>
      <c r="S165" s="2"/>
      <c r="T165" s="2"/>
      <c r="U165" s="2"/>
      <c r="V165" s="2"/>
      <c r="W165" s="2"/>
      <c r="X165" s="2"/>
      <c r="Y165" s="2"/>
      <c r="Z165" s="2"/>
      <c r="AA165" s="2"/>
      <c r="AB165" s="2"/>
    </row>
    <row r="166">
      <c r="A166" s="2"/>
      <c r="B166" s="21"/>
      <c r="C166" s="21"/>
      <c r="D166" s="21"/>
      <c r="E166" s="21"/>
      <c r="F166" s="2"/>
      <c r="G166" s="2"/>
      <c r="H166" s="35"/>
      <c r="I166" s="21"/>
      <c r="J166" s="21"/>
      <c r="K166" s="21"/>
      <c r="L166" s="21"/>
      <c r="M166" s="21"/>
      <c r="N166" s="21"/>
      <c r="O166" s="21"/>
      <c r="P166" s="21"/>
      <c r="Q166" s="2"/>
      <c r="R166" s="2"/>
      <c r="S166" s="2"/>
      <c r="T166" s="2"/>
      <c r="U166" s="2"/>
      <c r="V166" s="2"/>
      <c r="W166" s="2"/>
      <c r="X166" s="2"/>
      <c r="Y166" s="2"/>
      <c r="Z166" s="2"/>
      <c r="AA166" s="2"/>
      <c r="AB166" s="2"/>
    </row>
    <row r="167">
      <c r="A167" s="2"/>
      <c r="B167" s="21"/>
      <c r="C167" s="21"/>
      <c r="D167" s="21"/>
      <c r="E167" s="21"/>
      <c r="F167" s="2"/>
      <c r="G167" s="2"/>
      <c r="H167" s="35"/>
      <c r="I167" s="21"/>
      <c r="J167" s="21"/>
      <c r="K167" s="21"/>
      <c r="L167" s="21"/>
      <c r="M167" s="21"/>
      <c r="N167" s="21"/>
      <c r="O167" s="21"/>
      <c r="P167" s="21"/>
      <c r="Q167" s="2"/>
      <c r="R167" s="2"/>
      <c r="S167" s="2"/>
      <c r="T167" s="2"/>
      <c r="U167" s="2"/>
      <c r="V167" s="2"/>
      <c r="W167" s="2"/>
      <c r="X167" s="2"/>
      <c r="Y167" s="2"/>
      <c r="Z167" s="2"/>
      <c r="AA167" s="2"/>
      <c r="AB167" s="2"/>
    </row>
    <row r="168">
      <c r="A168" s="2"/>
      <c r="B168" s="21"/>
      <c r="C168" s="21"/>
      <c r="D168" s="21"/>
      <c r="E168" s="21"/>
      <c r="F168" s="2"/>
      <c r="G168" s="2"/>
      <c r="H168" s="35"/>
      <c r="I168" s="21"/>
      <c r="J168" s="21"/>
      <c r="K168" s="21"/>
      <c r="L168" s="21"/>
      <c r="M168" s="21"/>
      <c r="N168" s="21"/>
      <c r="O168" s="21"/>
      <c r="P168" s="21"/>
      <c r="Q168" s="2"/>
      <c r="R168" s="2"/>
      <c r="S168" s="2"/>
      <c r="T168" s="2"/>
      <c r="U168" s="2"/>
      <c r="V168" s="2"/>
      <c r="W168" s="2"/>
      <c r="X168" s="2"/>
      <c r="Y168" s="2"/>
      <c r="Z168" s="2"/>
      <c r="AA168" s="2"/>
      <c r="AB168" s="2"/>
    </row>
    <row r="169">
      <c r="A169" s="2"/>
      <c r="B169" s="21"/>
      <c r="C169" s="21"/>
      <c r="D169" s="21"/>
      <c r="E169" s="21"/>
      <c r="F169" s="2"/>
      <c r="G169" s="2"/>
      <c r="H169" s="35"/>
      <c r="I169" s="21"/>
      <c r="J169" s="21"/>
      <c r="K169" s="21"/>
      <c r="L169" s="21"/>
      <c r="M169" s="21"/>
      <c r="N169" s="21"/>
      <c r="O169" s="21"/>
      <c r="P169" s="21"/>
      <c r="Q169" s="2"/>
      <c r="R169" s="2"/>
      <c r="S169" s="2"/>
      <c r="T169" s="2"/>
      <c r="U169" s="2"/>
      <c r="V169" s="2"/>
      <c r="W169" s="2"/>
      <c r="X169" s="2"/>
      <c r="Y169" s="2"/>
      <c r="Z169" s="2"/>
      <c r="AA169" s="2"/>
      <c r="AB169" s="2"/>
    </row>
    <row r="170">
      <c r="A170" s="2"/>
      <c r="B170" s="21"/>
      <c r="C170" s="21"/>
      <c r="D170" s="21"/>
      <c r="E170" s="21"/>
      <c r="F170" s="2"/>
      <c r="G170" s="2"/>
      <c r="H170" s="35"/>
      <c r="I170" s="21"/>
      <c r="J170" s="21"/>
      <c r="K170" s="21"/>
      <c r="L170" s="21"/>
      <c r="M170" s="21"/>
      <c r="N170" s="21"/>
      <c r="O170" s="21"/>
      <c r="P170" s="21"/>
      <c r="Q170" s="2"/>
      <c r="R170" s="2"/>
      <c r="S170" s="2"/>
      <c r="T170" s="2"/>
      <c r="U170" s="2"/>
      <c r="V170" s="2"/>
      <c r="W170" s="2"/>
      <c r="X170" s="2"/>
      <c r="Y170" s="2"/>
      <c r="Z170" s="2"/>
      <c r="AA170" s="2"/>
      <c r="AB170" s="2"/>
    </row>
    <row r="171">
      <c r="A171" s="2"/>
      <c r="B171" s="21"/>
      <c r="C171" s="21"/>
      <c r="D171" s="21"/>
      <c r="E171" s="21"/>
      <c r="F171" s="2"/>
      <c r="G171" s="2"/>
      <c r="H171" s="35"/>
      <c r="I171" s="21"/>
      <c r="J171" s="21"/>
      <c r="K171" s="21"/>
      <c r="L171" s="21"/>
      <c r="M171" s="21"/>
      <c r="N171" s="21"/>
      <c r="O171" s="21"/>
      <c r="P171" s="21"/>
      <c r="Q171" s="2"/>
      <c r="R171" s="2"/>
      <c r="S171" s="2"/>
      <c r="T171" s="2"/>
      <c r="U171" s="2"/>
      <c r="V171" s="2"/>
      <c r="W171" s="2"/>
      <c r="X171" s="2"/>
      <c r="Y171" s="2"/>
      <c r="Z171" s="2"/>
      <c r="AA171" s="2"/>
      <c r="AB171" s="2"/>
    </row>
    <row r="172">
      <c r="A172" s="2"/>
      <c r="B172" s="21"/>
      <c r="C172" s="21"/>
      <c r="D172" s="21"/>
      <c r="E172" s="21"/>
      <c r="F172" s="2"/>
      <c r="G172" s="2"/>
      <c r="H172" s="35"/>
      <c r="I172" s="21"/>
      <c r="J172" s="21"/>
      <c r="K172" s="21"/>
      <c r="L172" s="21"/>
      <c r="M172" s="21"/>
      <c r="N172" s="21"/>
      <c r="O172" s="21"/>
      <c r="P172" s="21"/>
      <c r="Q172" s="2"/>
      <c r="R172" s="2"/>
      <c r="S172" s="2"/>
      <c r="T172" s="2"/>
      <c r="U172" s="2"/>
      <c r="V172" s="2"/>
      <c r="W172" s="2"/>
      <c r="X172" s="2"/>
      <c r="Y172" s="2"/>
      <c r="Z172" s="2"/>
      <c r="AA172" s="2"/>
      <c r="AB172" s="2"/>
    </row>
    <row r="173">
      <c r="A173" s="2"/>
      <c r="B173" s="21"/>
      <c r="C173" s="21"/>
      <c r="D173" s="21"/>
      <c r="E173" s="21"/>
      <c r="F173" s="2"/>
      <c r="G173" s="2"/>
      <c r="H173" s="35"/>
      <c r="I173" s="21"/>
      <c r="J173" s="21"/>
      <c r="K173" s="21"/>
      <c r="L173" s="21"/>
      <c r="M173" s="21"/>
      <c r="N173" s="21"/>
      <c r="O173" s="21"/>
      <c r="P173" s="21"/>
      <c r="Q173" s="2"/>
      <c r="R173" s="2"/>
      <c r="S173" s="2"/>
      <c r="T173" s="2"/>
      <c r="U173" s="2"/>
      <c r="V173" s="2"/>
      <c r="W173" s="2"/>
      <c r="X173" s="2"/>
      <c r="Y173" s="2"/>
      <c r="Z173" s="2"/>
      <c r="AA173" s="2"/>
      <c r="AB173" s="2"/>
    </row>
    <row r="174">
      <c r="A174" s="2"/>
      <c r="B174" s="21"/>
      <c r="C174" s="21"/>
      <c r="D174" s="21"/>
      <c r="E174" s="21"/>
      <c r="F174" s="2"/>
      <c r="G174" s="2"/>
      <c r="H174" s="35"/>
      <c r="I174" s="21"/>
      <c r="J174" s="21"/>
      <c r="K174" s="21"/>
      <c r="L174" s="21"/>
      <c r="M174" s="21"/>
      <c r="N174" s="21"/>
      <c r="O174" s="21"/>
      <c r="P174" s="21"/>
      <c r="Q174" s="2"/>
      <c r="R174" s="2"/>
      <c r="S174" s="2"/>
      <c r="T174" s="2"/>
      <c r="U174" s="2"/>
      <c r="V174" s="2"/>
      <c r="W174" s="2"/>
      <c r="X174" s="2"/>
      <c r="Y174" s="2"/>
      <c r="Z174" s="2"/>
      <c r="AA174" s="2"/>
      <c r="AB174" s="2"/>
    </row>
    <row r="175">
      <c r="A175" s="2"/>
      <c r="B175" s="21"/>
      <c r="C175" s="21"/>
      <c r="D175" s="21"/>
      <c r="E175" s="21"/>
      <c r="F175" s="2"/>
      <c r="G175" s="2"/>
      <c r="H175" s="35"/>
      <c r="I175" s="21"/>
      <c r="J175" s="21"/>
      <c r="K175" s="21"/>
      <c r="L175" s="21"/>
      <c r="M175" s="21"/>
      <c r="N175" s="21"/>
      <c r="O175" s="21"/>
      <c r="P175" s="21"/>
      <c r="Q175" s="2"/>
      <c r="R175" s="2"/>
      <c r="S175" s="2"/>
      <c r="T175" s="2"/>
      <c r="U175" s="2"/>
      <c r="V175" s="2"/>
      <c r="W175" s="2"/>
      <c r="X175" s="2"/>
      <c r="Y175" s="2"/>
      <c r="Z175" s="2"/>
      <c r="AA175" s="2"/>
      <c r="AB175" s="2"/>
    </row>
    <row r="176">
      <c r="A176" s="2"/>
      <c r="B176" s="21"/>
      <c r="C176" s="21"/>
      <c r="D176" s="21"/>
      <c r="E176" s="21"/>
      <c r="F176" s="2"/>
      <c r="G176" s="2"/>
      <c r="H176" s="35"/>
      <c r="I176" s="21"/>
      <c r="J176" s="21"/>
      <c r="K176" s="21"/>
      <c r="L176" s="21"/>
      <c r="M176" s="21"/>
      <c r="N176" s="21"/>
      <c r="O176" s="21"/>
      <c r="P176" s="21"/>
      <c r="Q176" s="2"/>
      <c r="R176" s="2"/>
      <c r="S176" s="2"/>
      <c r="T176" s="2"/>
      <c r="U176" s="2"/>
      <c r="V176" s="2"/>
      <c r="W176" s="2"/>
      <c r="X176" s="2"/>
      <c r="Y176" s="2"/>
      <c r="Z176" s="2"/>
      <c r="AA176" s="2"/>
      <c r="AB176" s="2"/>
    </row>
    <row r="177">
      <c r="A177" s="2"/>
      <c r="B177" s="21"/>
      <c r="C177" s="21"/>
      <c r="D177" s="21"/>
      <c r="E177" s="21"/>
      <c r="F177" s="2"/>
      <c r="G177" s="2"/>
      <c r="H177" s="35"/>
      <c r="I177" s="21"/>
      <c r="J177" s="21"/>
      <c r="K177" s="21"/>
      <c r="L177" s="21"/>
      <c r="M177" s="21"/>
      <c r="N177" s="21"/>
      <c r="O177" s="21"/>
      <c r="P177" s="21"/>
      <c r="Q177" s="2"/>
      <c r="R177" s="2"/>
      <c r="S177" s="2"/>
      <c r="T177" s="2"/>
      <c r="U177" s="2"/>
      <c r="V177" s="2"/>
      <c r="W177" s="2"/>
      <c r="X177" s="2"/>
      <c r="Y177" s="2"/>
      <c r="Z177" s="2"/>
      <c r="AA177" s="2"/>
      <c r="AB177" s="2"/>
    </row>
    <row r="178">
      <c r="A178" s="2"/>
      <c r="B178" s="21"/>
      <c r="C178" s="21"/>
      <c r="D178" s="21"/>
      <c r="E178" s="21"/>
      <c r="F178" s="2"/>
      <c r="G178" s="2"/>
      <c r="H178" s="35"/>
      <c r="I178" s="21"/>
      <c r="J178" s="21"/>
      <c r="K178" s="21"/>
      <c r="L178" s="21"/>
      <c r="M178" s="21"/>
      <c r="N178" s="21"/>
      <c r="O178" s="21"/>
      <c r="P178" s="21"/>
      <c r="Q178" s="2"/>
      <c r="R178" s="2"/>
      <c r="S178" s="2"/>
      <c r="T178" s="2"/>
      <c r="U178" s="2"/>
      <c r="V178" s="2"/>
      <c r="W178" s="2"/>
      <c r="X178" s="2"/>
      <c r="Y178" s="2"/>
      <c r="Z178" s="2"/>
      <c r="AA178" s="2"/>
      <c r="AB178" s="2"/>
    </row>
    <row r="179">
      <c r="A179" s="2"/>
      <c r="B179" s="21"/>
      <c r="C179" s="21"/>
      <c r="D179" s="21"/>
      <c r="E179" s="21"/>
      <c r="F179" s="2"/>
      <c r="G179" s="2"/>
      <c r="H179" s="35"/>
      <c r="I179" s="21"/>
      <c r="J179" s="21"/>
      <c r="K179" s="21"/>
      <c r="L179" s="21"/>
      <c r="M179" s="21"/>
      <c r="N179" s="21"/>
      <c r="O179" s="21"/>
      <c r="P179" s="21"/>
      <c r="Q179" s="2"/>
      <c r="R179" s="2"/>
      <c r="S179" s="2"/>
      <c r="T179" s="2"/>
      <c r="U179" s="2"/>
      <c r="V179" s="2"/>
      <c r="W179" s="2"/>
      <c r="X179" s="2"/>
      <c r="Y179" s="2"/>
      <c r="Z179" s="2"/>
      <c r="AA179" s="2"/>
      <c r="AB179" s="2"/>
    </row>
    <row r="180">
      <c r="A180" s="2"/>
      <c r="B180" s="21"/>
      <c r="C180" s="21"/>
      <c r="D180" s="21"/>
      <c r="E180" s="21"/>
      <c r="F180" s="2"/>
      <c r="G180" s="2"/>
      <c r="H180" s="35"/>
      <c r="I180" s="21"/>
      <c r="J180" s="21"/>
      <c r="K180" s="21"/>
      <c r="L180" s="21"/>
      <c r="M180" s="21"/>
      <c r="N180" s="21"/>
      <c r="O180" s="21"/>
      <c r="P180" s="21"/>
      <c r="Q180" s="2"/>
      <c r="R180" s="2"/>
      <c r="S180" s="2"/>
      <c r="T180" s="2"/>
      <c r="U180" s="2"/>
      <c r="V180" s="2"/>
      <c r="W180" s="2"/>
      <c r="X180" s="2"/>
      <c r="Y180" s="2"/>
      <c r="Z180" s="2"/>
      <c r="AA180" s="2"/>
      <c r="AB180" s="2"/>
    </row>
    <row r="181">
      <c r="A181" s="2"/>
      <c r="B181" s="21"/>
      <c r="C181" s="21"/>
      <c r="D181" s="21"/>
      <c r="E181" s="21"/>
      <c r="F181" s="2"/>
      <c r="G181" s="2"/>
      <c r="H181" s="35"/>
      <c r="I181" s="21"/>
      <c r="J181" s="21"/>
      <c r="K181" s="21"/>
      <c r="L181" s="21"/>
      <c r="M181" s="21"/>
      <c r="N181" s="21"/>
      <c r="O181" s="21"/>
      <c r="P181" s="21"/>
      <c r="Q181" s="2"/>
      <c r="R181" s="2"/>
      <c r="S181" s="2"/>
      <c r="T181" s="2"/>
      <c r="U181" s="2"/>
      <c r="V181" s="2"/>
      <c r="W181" s="2"/>
      <c r="X181" s="2"/>
      <c r="Y181" s="2"/>
      <c r="Z181" s="2"/>
      <c r="AA181" s="2"/>
      <c r="AB181" s="2"/>
    </row>
    <row r="182">
      <c r="A182" s="2"/>
      <c r="B182" s="21"/>
      <c r="C182" s="21"/>
      <c r="D182" s="21"/>
      <c r="E182" s="21"/>
      <c r="F182" s="2"/>
      <c r="G182" s="2"/>
      <c r="H182" s="35"/>
      <c r="I182" s="21"/>
      <c r="J182" s="21"/>
      <c r="K182" s="21"/>
      <c r="L182" s="21"/>
      <c r="M182" s="21"/>
      <c r="N182" s="21"/>
      <c r="O182" s="21"/>
      <c r="P182" s="21"/>
      <c r="Q182" s="2"/>
      <c r="R182" s="2"/>
      <c r="S182" s="2"/>
      <c r="T182" s="2"/>
      <c r="U182" s="2"/>
      <c r="V182" s="2"/>
      <c r="W182" s="2"/>
      <c r="X182" s="2"/>
      <c r="Y182" s="2"/>
      <c r="Z182" s="2"/>
      <c r="AA182" s="2"/>
      <c r="AB182" s="2"/>
    </row>
    <row r="183">
      <c r="A183" s="2"/>
      <c r="B183" s="21"/>
      <c r="C183" s="21"/>
      <c r="D183" s="21"/>
      <c r="E183" s="21"/>
      <c r="F183" s="2"/>
      <c r="G183" s="2"/>
      <c r="H183" s="35"/>
      <c r="I183" s="21"/>
      <c r="J183" s="21"/>
      <c r="K183" s="21"/>
      <c r="L183" s="21"/>
      <c r="M183" s="21"/>
      <c r="N183" s="21"/>
      <c r="O183" s="21"/>
      <c r="P183" s="21"/>
      <c r="Q183" s="2"/>
      <c r="R183" s="2"/>
      <c r="S183" s="2"/>
      <c r="T183" s="2"/>
      <c r="U183" s="2"/>
      <c r="V183" s="2"/>
      <c r="W183" s="2"/>
      <c r="X183" s="2"/>
      <c r="Y183" s="2"/>
      <c r="Z183" s="2"/>
      <c r="AA183" s="2"/>
      <c r="AB183" s="2"/>
    </row>
    <row r="184">
      <c r="A184" s="2"/>
      <c r="B184" s="21"/>
      <c r="C184" s="21"/>
      <c r="D184" s="21"/>
      <c r="E184" s="21"/>
      <c r="F184" s="2"/>
      <c r="G184" s="2"/>
      <c r="H184" s="35"/>
      <c r="I184" s="21"/>
      <c r="J184" s="21"/>
      <c r="K184" s="21"/>
      <c r="L184" s="21"/>
      <c r="M184" s="21"/>
      <c r="N184" s="21"/>
      <c r="O184" s="21"/>
      <c r="P184" s="21"/>
      <c r="Q184" s="2"/>
      <c r="R184" s="2"/>
      <c r="S184" s="2"/>
      <c r="T184" s="2"/>
      <c r="U184" s="2"/>
      <c r="V184" s="2"/>
      <c r="W184" s="2"/>
      <c r="X184" s="2"/>
      <c r="Y184" s="2"/>
      <c r="Z184" s="2"/>
      <c r="AA184" s="2"/>
      <c r="AB184" s="2"/>
    </row>
    <row r="185">
      <c r="A185" s="2"/>
      <c r="B185" s="21"/>
      <c r="C185" s="21"/>
      <c r="D185" s="21"/>
      <c r="E185" s="21"/>
      <c r="F185" s="2"/>
      <c r="G185" s="2"/>
      <c r="H185" s="35"/>
      <c r="I185" s="21"/>
      <c r="J185" s="21"/>
      <c r="K185" s="21"/>
      <c r="L185" s="21"/>
      <c r="M185" s="21"/>
      <c r="N185" s="21"/>
      <c r="O185" s="21"/>
      <c r="P185" s="21"/>
      <c r="Q185" s="2"/>
      <c r="R185" s="2"/>
      <c r="S185" s="2"/>
      <c r="T185" s="2"/>
      <c r="U185" s="2"/>
      <c r="V185" s="2"/>
      <c r="W185" s="2"/>
      <c r="X185" s="2"/>
      <c r="Y185" s="2"/>
      <c r="Z185" s="2"/>
      <c r="AA185" s="2"/>
      <c r="AB185" s="2"/>
    </row>
    <row r="186">
      <c r="A186" s="2"/>
      <c r="B186" s="21"/>
      <c r="C186" s="21"/>
      <c r="D186" s="21"/>
      <c r="E186" s="21"/>
      <c r="F186" s="2"/>
      <c r="G186" s="2"/>
      <c r="H186" s="35"/>
      <c r="I186" s="21"/>
      <c r="J186" s="21"/>
      <c r="K186" s="21"/>
      <c r="L186" s="21"/>
      <c r="M186" s="21"/>
      <c r="N186" s="21"/>
      <c r="O186" s="21"/>
      <c r="P186" s="21"/>
      <c r="Q186" s="2"/>
      <c r="R186" s="2"/>
      <c r="S186" s="2"/>
      <c r="T186" s="2"/>
      <c r="U186" s="2"/>
      <c r="V186" s="2"/>
      <c r="W186" s="2"/>
      <c r="X186" s="2"/>
      <c r="Y186" s="2"/>
      <c r="Z186" s="2"/>
      <c r="AA186" s="2"/>
      <c r="AB186" s="2"/>
    </row>
    <row r="187">
      <c r="A187" s="2"/>
      <c r="B187" s="21"/>
      <c r="C187" s="21"/>
      <c r="D187" s="21"/>
      <c r="E187" s="21"/>
      <c r="F187" s="2"/>
      <c r="G187" s="2"/>
      <c r="H187" s="35"/>
      <c r="I187" s="21"/>
      <c r="J187" s="21"/>
      <c r="K187" s="21"/>
      <c r="L187" s="21"/>
      <c r="M187" s="21"/>
      <c r="N187" s="21"/>
      <c r="O187" s="21"/>
      <c r="P187" s="21"/>
      <c r="Q187" s="2"/>
      <c r="R187" s="2"/>
      <c r="S187" s="2"/>
      <c r="T187" s="2"/>
      <c r="U187" s="2"/>
      <c r="V187" s="2"/>
      <c r="W187" s="2"/>
      <c r="X187" s="2"/>
      <c r="Y187" s="2"/>
      <c r="Z187" s="2"/>
      <c r="AA187" s="2"/>
      <c r="AB187" s="2"/>
    </row>
    <row r="188">
      <c r="A188" s="2"/>
      <c r="B188" s="21"/>
      <c r="C188" s="21"/>
      <c r="D188" s="21"/>
      <c r="E188" s="21"/>
      <c r="F188" s="2"/>
      <c r="G188" s="2"/>
      <c r="H188" s="35"/>
      <c r="I188" s="21"/>
      <c r="J188" s="21"/>
      <c r="K188" s="21"/>
      <c r="L188" s="21"/>
      <c r="M188" s="21"/>
      <c r="N188" s="21"/>
      <c r="O188" s="21"/>
      <c r="P188" s="21"/>
      <c r="Q188" s="2"/>
      <c r="R188" s="2"/>
      <c r="S188" s="2"/>
      <c r="T188" s="2"/>
      <c r="U188" s="2"/>
      <c r="V188" s="2"/>
      <c r="W188" s="2"/>
      <c r="X188" s="2"/>
      <c r="Y188" s="2"/>
      <c r="Z188" s="2"/>
      <c r="AA188" s="2"/>
      <c r="AB188" s="2"/>
    </row>
    <row r="189">
      <c r="A189" s="2"/>
      <c r="B189" s="21"/>
      <c r="C189" s="21"/>
      <c r="D189" s="21"/>
      <c r="E189" s="21"/>
      <c r="F189" s="2"/>
      <c r="G189" s="2"/>
      <c r="H189" s="35"/>
      <c r="I189" s="21"/>
      <c r="J189" s="21"/>
      <c r="K189" s="21"/>
      <c r="L189" s="21"/>
      <c r="M189" s="21"/>
      <c r="N189" s="21"/>
      <c r="O189" s="21"/>
      <c r="P189" s="21"/>
      <c r="Q189" s="2"/>
      <c r="R189" s="2"/>
      <c r="S189" s="2"/>
      <c r="T189" s="2"/>
      <c r="U189" s="2"/>
      <c r="V189" s="2"/>
      <c r="W189" s="2"/>
      <c r="X189" s="2"/>
      <c r="Y189" s="2"/>
      <c r="Z189" s="2"/>
      <c r="AA189" s="2"/>
      <c r="AB189" s="2"/>
    </row>
    <row r="190">
      <c r="A190" s="2"/>
      <c r="B190" s="21"/>
      <c r="C190" s="21"/>
      <c r="D190" s="21"/>
      <c r="E190" s="21"/>
      <c r="F190" s="2"/>
      <c r="G190" s="2"/>
      <c r="H190" s="35"/>
      <c r="I190" s="21"/>
      <c r="J190" s="21"/>
      <c r="K190" s="21"/>
      <c r="L190" s="21"/>
      <c r="M190" s="21"/>
      <c r="N190" s="21"/>
      <c r="O190" s="21"/>
      <c r="P190" s="21"/>
      <c r="Q190" s="2"/>
      <c r="R190" s="2"/>
      <c r="S190" s="2"/>
      <c r="T190" s="2"/>
      <c r="U190" s="2"/>
      <c r="V190" s="2"/>
      <c r="W190" s="2"/>
      <c r="X190" s="2"/>
      <c r="Y190" s="2"/>
      <c r="Z190" s="2"/>
      <c r="AA190" s="2"/>
      <c r="AB190" s="2"/>
    </row>
    <row r="191">
      <c r="A191" s="2"/>
      <c r="B191" s="21"/>
      <c r="C191" s="21"/>
      <c r="D191" s="21"/>
      <c r="E191" s="21"/>
      <c r="F191" s="2"/>
      <c r="G191" s="2"/>
      <c r="H191" s="35"/>
      <c r="I191" s="21"/>
      <c r="J191" s="21"/>
      <c r="K191" s="21"/>
      <c r="L191" s="21"/>
      <c r="M191" s="21"/>
      <c r="N191" s="21"/>
      <c r="O191" s="21"/>
      <c r="P191" s="21"/>
      <c r="Q191" s="2"/>
      <c r="R191" s="2"/>
      <c r="S191" s="2"/>
      <c r="T191" s="2"/>
      <c r="U191" s="2"/>
      <c r="V191" s="2"/>
      <c r="W191" s="2"/>
      <c r="X191" s="2"/>
      <c r="Y191" s="2"/>
      <c r="Z191" s="2"/>
      <c r="AA191" s="2"/>
      <c r="AB191" s="2"/>
    </row>
    <row r="192">
      <c r="A192" s="2"/>
      <c r="B192" s="21"/>
      <c r="C192" s="21"/>
      <c r="D192" s="21"/>
      <c r="E192" s="21"/>
      <c r="F192" s="2"/>
      <c r="G192" s="2"/>
      <c r="H192" s="35"/>
      <c r="I192" s="21"/>
      <c r="J192" s="21"/>
      <c r="K192" s="21"/>
      <c r="L192" s="21"/>
      <c r="M192" s="21"/>
      <c r="N192" s="21"/>
      <c r="O192" s="21"/>
      <c r="P192" s="21"/>
      <c r="Q192" s="2"/>
      <c r="R192" s="2"/>
      <c r="S192" s="2"/>
      <c r="T192" s="2"/>
      <c r="U192" s="2"/>
      <c r="V192" s="2"/>
      <c r="W192" s="2"/>
      <c r="X192" s="2"/>
      <c r="Y192" s="2"/>
      <c r="Z192" s="2"/>
      <c r="AA192" s="2"/>
      <c r="AB192" s="2"/>
    </row>
    <row r="193">
      <c r="A193" s="2"/>
      <c r="B193" s="21"/>
      <c r="C193" s="21"/>
      <c r="D193" s="21"/>
      <c r="E193" s="21"/>
      <c r="F193" s="2"/>
      <c r="G193" s="2"/>
      <c r="H193" s="35"/>
      <c r="I193" s="21"/>
      <c r="J193" s="21"/>
      <c r="K193" s="21"/>
      <c r="L193" s="21"/>
      <c r="M193" s="21"/>
      <c r="N193" s="21"/>
      <c r="O193" s="21"/>
      <c r="P193" s="21"/>
      <c r="Q193" s="2"/>
      <c r="R193" s="2"/>
      <c r="S193" s="2"/>
      <c r="T193" s="2"/>
      <c r="U193" s="2"/>
      <c r="V193" s="2"/>
      <c r="W193" s="2"/>
      <c r="X193" s="2"/>
      <c r="Y193" s="2"/>
      <c r="Z193" s="2"/>
      <c r="AA193" s="2"/>
      <c r="AB193" s="2"/>
    </row>
    <row r="194">
      <c r="A194" s="2"/>
      <c r="B194" s="21"/>
      <c r="C194" s="21"/>
      <c r="D194" s="21"/>
      <c r="E194" s="21"/>
      <c r="F194" s="2"/>
      <c r="G194" s="2"/>
      <c r="H194" s="35"/>
      <c r="I194" s="21"/>
      <c r="J194" s="21"/>
      <c r="K194" s="21"/>
      <c r="L194" s="21"/>
      <c r="M194" s="21"/>
      <c r="N194" s="21"/>
      <c r="O194" s="21"/>
      <c r="P194" s="21"/>
      <c r="Q194" s="2"/>
      <c r="R194" s="2"/>
      <c r="S194" s="2"/>
      <c r="T194" s="2"/>
      <c r="U194" s="2"/>
      <c r="V194" s="2"/>
      <c r="W194" s="2"/>
      <c r="X194" s="2"/>
      <c r="Y194" s="2"/>
      <c r="Z194" s="2"/>
      <c r="AA194" s="2"/>
      <c r="AB194" s="2"/>
    </row>
    <row r="195">
      <c r="A195" s="2"/>
      <c r="B195" s="21"/>
      <c r="C195" s="21"/>
      <c r="D195" s="21"/>
      <c r="E195" s="21"/>
      <c r="F195" s="2"/>
      <c r="G195" s="2"/>
      <c r="H195" s="35"/>
      <c r="I195" s="21"/>
      <c r="J195" s="21"/>
      <c r="K195" s="21"/>
      <c r="L195" s="21"/>
      <c r="M195" s="21"/>
      <c r="N195" s="21"/>
      <c r="O195" s="21"/>
      <c r="P195" s="21"/>
      <c r="Q195" s="2"/>
      <c r="R195" s="2"/>
      <c r="S195" s="2"/>
      <c r="T195" s="2"/>
      <c r="U195" s="2"/>
      <c r="V195" s="2"/>
      <c r="W195" s="2"/>
      <c r="X195" s="2"/>
      <c r="Y195" s="2"/>
      <c r="Z195" s="2"/>
      <c r="AA195" s="2"/>
      <c r="AB195" s="2"/>
    </row>
    <row r="196">
      <c r="A196" s="2"/>
      <c r="B196" s="21"/>
      <c r="C196" s="21"/>
      <c r="D196" s="21"/>
      <c r="E196" s="21"/>
      <c r="F196" s="2"/>
      <c r="G196" s="2"/>
      <c r="H196" s="35"/>
      <c r="I196" s="21"/>
      <c r="J196" s="21"/>
      <c r="K196" s="21"/>
      <c r="L196" s="21"/>
      <c r="M196" s="21"/>
      <c r="N196" s="21"/>
      <c r="O196" s="21"/>
      <c r="P196" s="21"/>
      <c r="Q196" s="2"/>
      <c r="R196" s="2"/>
      <c r="S196" s="2"/>
      <c r="T196" s="2"/>
      <c r="U196" s="2"/>
      <c r="V196" s="2"/>
      <c r="W196" s="2"/>
      <c r="X196" s="2"/>
      <c r="Y196" s="2"/>
      <c r="Z196" s="2"/>
      <c r="AA196" s="2"/>
      <c r="AB196" s="2"/>
    </row>
    <row r="197">
      <c r="A197" s="2"/>
      <c r="B197" s="21"/>
      <c r="C197" s="21"/>
      <c r="D197" s="21"/>
      <c r="E197" s="21"/>
      <c r="F197" s="2"/>
      <c r="G197" s="2"/>
      <c r="H197" s="35"/>
      <c r="I197" s="21"/>
      <c r="J197" s="21"/>
      <c r="K197" s="21"/>
      <c r="L197" s="21"/>
      <c r="M197" s="21"/>
      <c r="N197" s="21"/>
      <c r="O197" s="21"/>
      <c r="P197" s="21"/>
      <c r="Q197" s="2"/>
      <c r="R197" s="2"/>
      <c r="S197" s="2"/>
      <c r="T197" s="2"/>
      <c r="U197" s="2"/>
      <c r="V197" s="2"/>
      <c r="W197" s="2"/>
      <c r="X197" s="2"/>
      <c r="Y197" s="2"/>
      <c r="Z197" s="2"/>
      <c r="AA197" s="2"/>
      <c r="AB197" s="2"/>
    </row>
    <row r="198">
      <c r="A198" s="2"/>
      <c r="B198" s="21"/>
      <c r="C198" s="21"/>
      <c r="D198" s="21"/>
      <c r="E198" s="21"/>
      <c r="F198" s="2"/>
      <c r="G198" s="2"/>
      <c r="H198" s="35"/>
      <c r="I198" s="21"/>
      <c r="J198" s="21"/>
      <c r="K198" s="21"/>
      <c r="L198" s="21"/>
      <c r="M198" s="21"/>
      <c r="N198" s="21"/>
      <c r="O198" s="21"/>
      <c r="P198" s="21"/>
      <c r="Q198" s="2"/>
      <c r="R198" s="2"/>
      <c r="S198" s="2"/>
      <c r="T198" s="2"/>
      <c r="U198" s="2"/>
      <c r="V198" s="2"/>
      <c r="W198" s="2"/>
      <c r="X198" s="2"/>
      <c r="Y198" s="2"/>
      <c r="Z198" s="2"/>
      <c r="AA198" s="2"/>
      <c r="AB198" s="2"/>
    </row>
    <row r="199">
      <c r="A199" s="2"/>
      <c r="B199" s="21"/>
      <c r="C199" s="21"/>
      <c r="D199" s="21"/>
      <c r="E199" s="21"/>
      <c r="F199" s="2"/>
      <c r="G199" s="2"/>
      <c r="H199" s="35"/>
      <c r="I199" s="21"/>
      <c r="J199" s="21"/>
      <c r="K199" s="21"/>
      <c r="L199" s="21"/>
      <c r="M199" s="21"/>
      <c r="N199" s="21"/>
      <c r="O199" s="21"/>
      <c r="P199" s="21"/>
      <c r="Q199" s="2"/>
      <c r="R199" s="2"/>
      <c r="S199" s="2"/>
      <c r="T199" s="2"/>
      <c r="U199" s="2"/>
      <c r="V199" s="2"/>
      <c r="W199" s="2"/>
      <c r="X199" s="2"/>
      <c r="Y199" s="2"/>
      <c r="Z199" s="2"/>
      <c r="AA199" s="2"/>
      <c r="AB199" s="2"/>
    </row>
    <row r="200">
      <c r="A200" s="2"/>
      <c r="B200" s="21"/>
      <c r="C200" s="21"/>
      <c r="D200" s="21"/>
      <c r="E200" s="21"/>
      <c r="F200" s="2"/>
      <c r="G200" s="2"/>
      <c r="H200" s="35"/>
      <c r="I200" s="21"/>
      <c r="J200" s="21"/>
      <c r="K200" s="21"/>
      <c r="L200" s="21"/>
      <c r="M200" s="21"/>
      <c r="N200" s="21"/>
      <c r="O200" s="21"/>
      <c r="P200" s="21"/>
      <c r="Q200" s="2"/>
      <c r="R200" s="2"/>
      <c r="S200" s="2"/>
      <c r="T200" s="2"/>
      <c r="U200" s="2"/>
      <c r="V200" s="2"/>
      <c r="W200" s="2"/>
      <c r="X200" s="2"/>
      <c r="Y200" s="2"/>
      <c r="Z200" s="2"/>
      <c r="AA200" s="2"/>
      <c r="AB200" s="2"/>
    </row>
    <row r="201">
      <c r="A201" s="2"/>
      <c r="B201" s="21"/>
      <c r="C201" s="21"/>
      <c r="D201" s="21"/>
      <c r="E201" s="21"/>
      <c r="F201" s="2"/>
      <c r="G201" s="2"/>
      <c r="H201" s="35"/>
      <c r="I201" s="21"/>
      <c r="J201" s="21"/>
      <c r="K201" s="21"/>
      <c r="L201" s="21"/>
      <c r="M201" s="21"/>
      <c r="N201" s="21"/>
      <c r="O201" s="21"/>
      <c r="P201" s="21"/>
      <c r="Q201" s="2"/>
      <c r="R201" s="2"/>
      <c r="S201" s="2"/>
      <c r="T201" s="2"/>
      <c r="U201" s="2"/>
      <c r="V201" s="2"/>
      <c r="W201" s="2"/>
      <c r="X201" s="2"/>
      <c r="Y201" s="2"/>
      <c r="Z201" s="2"/>
      <c r="AA201" s="2"/>
      <c r="AB201" s="2"/>
    </row>
    <row r="202">
      <c r="A202" s="2"/>
      <c r="B202" s="21"/>
      <c r="C202" s="21"/>
      <c r="D202" s="21"/>
      <c r="E202" s="21"/>
      <c r="F202" s="2"/>
      <c r="G202" s="2"/>
      <c r="H202" s="35"/>
      <c r="I202" s="21"/>
      <c r="J202" s="21"/>
      <c r="K202" s="21"/>
      <c r="L202" s="21"/>
      <c r="M202" s="21"/>
      <c r="N202" s="21"/>
      <c r="O202" s="21"/>
      <c r="P202" s="21"/>
      <c r="Q202" s="2"/>
      <c r="R202" s="2"/>
      <c r="S202" s="2"/>
      <c r="T202" s="2"/>
      <c r="U202" s="2"/>
      <c r="V202" s="2"/>
      <c r="W202" s="2"/>
      <c r="X202" s="2"/>
      <c r="Y202" s="2"/>
      <c r="Z202" s="2"/>
      <c r="AA202" s="2"/>
      <c r="AB202" s="2"/>
    </row>
    <row r="203">
      <c r="A203" s="2"/>
      <c r="B203" s="21"/>
      <c r="C203" s="21"/>
      <c r="D203" s="21"/>
      <c r="E203" s="21"/>
      <c r="F203" s="2"/>
      <c r="G203" s="2"/>
      <c r="H203" s="35"/>
      <c r="I203" s="21"/>
      <c r="J203" s="21"/>
      <c r="K203" s="21"/>
      <c r="L203" s="21"/>
      <c r="M203" s="21"/>
      <c r="N203" s="21"/>
      <c r="O203" s="21"/>
      <c r="P203" s="21"/>
      <c r="Q203" s="2"/>
      <c r="R203" s="2"/>
      <c r="S203" s="2"/>
      <c r="T203" s="2"/>
      <c r="U203" s="2"/>
      <c r="V203" s="2"/>
      <c r="W203" s="2"/>
      <c r="X203" s="2"/>
      <c r="Y203" s="2"/>
      <c r="Z203" s="2"/>
      <c r="AA203" s="2"/>
      <c r="AB203" s="2"/>
    </row>
    <row r="204">
      <c r="A204" s="2"/>
      <c r="B204" s="21"/>
      <c r="C204" s="21"/>
      <c r="D204" s="21"/>
      <c r="E204" s="21"/>
      <c r="F204" s="2"/>
      <c r="G204" s="2"/>
      <c r="H204" s="35"/>
      <c r="I204" s="21"/>
      <c r="J204" s="21"/>
      <c r="K204" s="21"/>
      <c r="L204" s="21"/>
      <c r="M204" s="21"/>
      <c r="N204" s="21"/>
      <c r="O204" s="21"/>
      <c r="P204" s="21"/>
      <c r="Q204" s="2"/>
      <c r="R204" s="2"/>
      <c r="S204" s="2"/>
      <c r="T204" s="2"/>
      <c r="U204" s="2"/>
      <c r="V204" s="2"/>
      <c r="W204" s="2"/>
      <c r="X204" s="2"/>
      <c r="Y204" s="2"/>
      <c r="Z204" s="2"/>
      <c r="AA204" s="2"/>
      <c r="AB204" s="2"/>
    </row>
    <row r="205">
      <c r="A205" s="2"/>
      <c r="B205" s="21"/>
      <c r="C205" s="21"/>
      <c r="D205" s="21"/>
      <c r="E205" s="21"/>
      <c r="F205" s="2"/>
      <c r="G205" s="2"/>
      <c r="H205" s="35"/>
      <c r="I205" s="21"/>
      <c r="J205" s="21"/>
      <c r="K205" s="21"/>
      <c r="L205" s="21"/>
      <c r="M205" s="21"/>
      <c r="N205" s="21"/>
      <c r="O205" s="21"/>
      <c r="P205" s="21"/>
      <c r="Q205" s="2"/>
      <c r="R205" s="2"/>
      <c r="S205" s="2"/>
      <c r="T205" s="2"/>
      <c r="U205" s="2"/>
      <c r="V205" s="2"/>
      <c r="W205" s="2"/>
      <c r="X205" s="2"/>
      <c r="Y205" s="2"/>
      <c r="Z205" s="2"/>
      <c r="AA205" s="2"/>
      <c r="AB205" s="2"/>
    </row>
    <row r="206">
      <c r="A206" s="2"/>
      <c r="B206" s="21"/>
      <c r="C206" s="21"/>
      <c r="D206" s="21"/>
      <c r="E206" s="21"/>
      <c r="F206" s="2"/>
      <c r="G206" s="2"/>
      <c r="H206" s="35"/>
      <c r="I206" s="21"/>
      <c r="J206" s="21"/>
      <c r="K206" s="21"/>
      <c r="L206" s="21"/>
      <c r="M206" s="21"/>
      <c r="N206" s="21"/>
      <c r="O206" s="21"/>
      <c r="P206" s="21"/>
      <c r="Q206" s="2"/>
      <c r="R206" s="2"/>
      <c r="S206" s="2"/>
      <c r="T206" s="2"/>
      <c r="U206" s="2"/>
      <c r="V206" s="2"/>
      <c r="W206" s="2"/>
      <c r="X206" s="2"/>
      <c r="Y206" s="2"/>
      <c r="Z206" s="2"/>
      <c r="AA206" s="2"/>
      <c r="AB206" s="2"/>
    </row>
    <row r="207">
      <c r="A207" s="2"/>
      <c r="B207" s="21"/>
      <c r="C207" s="21"/>
      <c r="D207" s="21"/>
      <c r="E207" s="21"/>
      <c r="F207" s="2"/>
      <c r="G207" s="2"/>
      <c r="H207" s="35"/>
      <c r="I207" s="21"/>
      <c r="J207" s="21"/>
      <c r="K207" s="21"/>
      <c r="L207" s="21"/>
      <c r="M207" s="21"/>
      <c r="N207" s="21"/>
      <c r="O207" s="21"/>
      <c r="P207" s="21"/>
      <c r="Q207" s="2"/>
      <c r="R207" s="2"/>
      <c r="S207" s="2"/>
      <c r="T207" s="2"/>
      <c r="U207" s="2"/>
      <c r="V207" s="2"/>
      <c r="W207" s="2"/>
      <c r="X207" s="2"/>
      <c r="Y207" s="2"/>
      <c r="Z207" s="2"/>
      <c r="AA207" s="2"/>
      <c r="AB207" s="2"/>
    </row>
    <row r="208">
      <c r="A208" s="2"/>
      <c r="B208" s="21"/>
      <c r="C208" s="21"/>
      <c r="D208" s="21"/>
      <c r="E208" s="21"/>
      <c r="F208" s="2"/>
      <c r="G208" s="2"/>
      <c r="H208" s="35"/>
      <c r="I208" s="21"/>
      <c r="J208" s="21"/>
      <c r="K208" s="21"/>
      <c r="L208" s="21"/>
      <c r="M208" s="21"/>
      <c r="N208" s="21"/>
      <c r="O208" s="21"/>
      <c r="P208" s="21"/>
      <c r="Q208" s="2"/>
      <c r="R208" s="2"/>
      <c r="S208" s="2"/>
      <c r="T208" s="2"/>
      <c r="U208" s="2"/>
      <c r="V208" s="2"/>
      <c r="W208" s="2"/>
      <c r="X208" s="2"/>
      <c r="Y208" s="2"/>
      <c r="Z208" s="2"/>
      <c r="AA208" s="2"/>
      <c r="AB208" s="2"/>
    </row>
    <row r="209">
      <c r="A209" s="2"/>
      <c r="B209" s="21"/>
      <c r="C209" s="21"/>
      <c r="D209" s="21"/>
      <c r="E209" s="21"/>
      <c r="F209" s="2"/>
      <c r="G209" s="2"/>
      <c r="H209" s="35"/>
      <c r="I209" s="21"/>
      <c r="J209" s="21"/>
      <c r="K209" s="21"/>
      <c r="L209" s="21"/>
      <c r="M209" s="21"/>
      <c r="N209" s="21"/>
      <c r="O209" s="21"/>
      <c r="P209" s="21"/>
      <c r="Q209" s="2"/>
      <c r="R209" s="2"/>
      <c r="S209" s="2"/>
      <c r="T209" s="2"/>
      <c r="U209" s="2"/>
      <c r="V209" s="2"/>
      <c r="W209" s="2"/>
      <c r="X209" s="2"/>
      <c r="Y209" s="2"/>
      <c r="Z209" s="2"/>
      <c r="AA209" s="2"/>
      <c r="AB209" s="2"/>
    </row>
    <row r="210">
      <c r="A210" s="2"/>
      <c r="B210" s="21"/>
      <c r="C210" s="21"/>
      <c r="D210" s="21"/>
      <c r="E210" s="21"/>
      <c r="F210" s="2"/>
      <c r="G210" s="2"/>
      <c r="H210" s="35"/>
      <c r="I210" s="21"/>
      <c r="J210" s="21"/>
      <c r="K210" s="21"/>
      <c r="L210" s="21"/>
      <c r="M210" s="21"/>
      <c r="N210" s="21"/>
      <c r="O210" s="21"/>
      <c r="P210" s="21"/>
      <c r="Q210" s="2"/>
      <c r="R210" s="2"/>
      <c r="S210" s="2"/>
      <c r="T210" s="2"/>
      <c r="U210" s="2"/>
      <c r="V210" s="2"/>
      <c r="W210" s="2"/>
      <c r="X210" s="2"/>
      <c r="Y210" s="2"/>
      <c r="Z210" s="2"/>
      <c r="AA210" s="2"/>
      <c r="AB210" s="2"/>
    </row>
    <row r="211">
      <c r="A211" s="2"/>
      <c r="B211" s="21"/>
      <c r="C211" s="21"/>
      <c r="D211" s="21"/>
      <c r="E211" s="21"/>
      <c r="F211" s="2"/>
      <c r="G211" s="2"/>
      <c r="H211" s="35"/>
      <c r="I211" s="21"/>
      <c r="J211" s="21"/>
      <c r="K211" s="21"/>
      <c r="L211" s="21"/>
      <c r="M211" s="21"/>
      <c r="N211" s="21"/>
      <c r="O211" s="21"/>
      <c r="P211" s="21"/>
      <c r="Q211" s="2"/>
      <c r="R211" s="2"/>
      <c r="S211" s="2"/>
      <c r="T211" s="2"/>
      <c r="U211" s="2"/>
      <c r="V211" s="2"/>
      <c r="W211" s="2"/>
      <c r="X211" s="2"/>
      <c r="Y211" s="2"/>
      <c r="Z211" s="2"/>
      <c r="AA211" s="2"/>
      <c r="AB211" s="2"/>
    </row>
    <row r="212">
      <c r="A212" s="2"/>
      <c r="B212" s="21"/>
      <c r="C212" s="21"/>
      <c r="D212" s="21"/>
      <c r="E212" s="21"/>
      <c r="F212" s="2"/>
      <c r="G212" s="2"/>
      <c r="H212" s="35"/>
      <c r="I212" s="21"/>
      <c r="J212" s="21"/>
      <c r="K212" s="21"/>
      <c r="L212" s="21"/>
      <c r="M212" s="21"/>
      <c r="N212" s="21"/>
      <c r="O212" s="21"/>
      <c r="P212" s="21"/>
      <c r="Q212" s="2"/>
      <c r="R212" s="2"/>
      <c r="S212" s="2"/>
      <c r="T212" s="2"/>
      <c r="U212" s="2"/>
      <c r="V212" s="2"/>
      <c r="W212" s="2"/>
      <c r="X212" s="2"/>
      <c r="Y212" s="2"/>
      <c r="Z212" s="2"/>
      <c r="AA212" s="2"/>
      <c r="AB212" s="2"/>
    </row>
    <row r="213">
      <c r="A213" s="2"/>
      <c r="B213" s="21"/>
      <c r="C213" s="21"/>
      <c r="D213" s="21"/>
      <c r="E213" s="21"/>
      <c r="F213" s="2"/>
      <c r="G213" s="2"/>
      <c r="H213" s="35"/>
      <c r="I213" s="21"/>
      <c r="J213" s="21"/>
      <c r="K213" s="21"/>
      <c r="L213" s="21"/>
      <c r="M213" s="21"/>
      <c r="N213" s="21"/>
      <c r="O213" s="21"/>
      <c r="P213" s="21"/>
      <c r="Q213" s="2"/>
      <c r="R213" s="2"/>
      <c r="S213" s="2"/>
      <c r="T213" s="2"/>
      <c r="U213" s="2"/>
      <c r="V213" s="2"/>
      <c r="W213" s="2"/>
      <c r="X213" s="2"/>
      <c r="Y213" s="2"/>
      <c r="Z213" s="2"/>
      <c r="AA213" s="2"/>
      <c r="AB213" s="2"/>
    </row>
    <row r="214">
      <c r="A214" s="2"/>
      <c r="B214" s="21"/>
      <c r="C214" s="21"/>
      <c r="D214" s="21"/>
      <c r="E214" s="21"/>
      <c r="F214" s="2"/>
      <c r="G214" s="2"/>
      <c r="H214" s="35"/>
      <c r="I214" s="21"/>
      <c r="J214" s="21"/>
      <c r="K214" s="21"/>
      <c r="L214" s="21"/>
      <c r="M214" s="21"/>
      <c r="N214" s="21"/>
      <c r="O214" s="21"/>
      <c r="P214" s="21"/>
      <c r="Q214" s="2"/>
      <c r="R214" s="2"/>
      <c r="S214" s="2"/>
      <c r="T214" s="2"/>
      <c r="U214" s="2"/>
      <c r="V214" s="2"/>
      <c r="W214" s="2"/>
      <c r="X214" s="2"/>
      <c r="Y214" s="2"/>
      <c r="Z214" s="2"/>
      <c r="AA214" s="2"/>
      <c r="AB214" s="2"/>
    </row>
    <row r="215">
      <c r="A215" s="2"/>
      <c r="B215" s="21"/>
      <c r="C215" s="21"/>
      <c r="D215" s="21"/>
      <c r="E215" s="21"/>
      <c r="F215" s="2"/>
      <c r="G215" s="2"/>
      <c r="H215" s="35"/>
      <c r="I215" s="21"/>
      <c r="J215" s="21"/>
      <c r="K215" s="21"/>
      <c r="L215" s="21"/>
      <c r="M215" s="21"/>
      <c r="N215" s="21"/>
      <c r="O215" s="21"/>
      <c r="P215" s="21"/>
      <c r="Q215" s="2"/>
      <c r="R215" s="2"/>
      <c r="S215" s="2"/>
      <c r="T215" s="2"/>
      <c r="U215" s="2"/>
      <c r="V215" s="2"/>
      <c r="W215" s="2"/>
      <c r="X215" s="2"/>
      <c r="Y215" s="2"/>
      <c r="Z215" s="2"/>
      <c r="AA215" s="2"/>
      <c r="AB215" s="2"/>
    </row>
    <row r="216">
      <c r="A216" s="2"/>
      <c r="B216" s="21"/>
      <c r="C216" s="21"/>
      <c r="D216" s="21"/>
      <c r="E216" s="21"/>
      <c r="F216" s="2"/>
      <c r="G216" s="2"/>
      <c r="H216" s="35"/>
      <c r="I216" s="21"/>
      <c r="J216" s="21"/>
      <c r="K216" s="21"/>
      <c r="L216" s="21"/>
      <c r="M216" s="21"/>
      <c r="N216" s="21"/>
      <c r="O216" s="21"/>
      <c r="P216" s="21"/>
      <c r="Q216" s="2"/>
      <c r="R216" s="2"/>
      <c r="S216" s="2"/>
      <c r="T216" s="2"/>
      <c r="U216" s="2"/>
      <c r="V216" s="2"/>
      <c r="W216" s="2"/>
      <c r="X216" s="2"/>
      <c r="Y216" s="2"/>
      <c r="Z216" s="2"/>
      <c r="AA216" s="2"/>
      <c r="AB216" s="2"/>
    </row>
    <row r="217">
      <c r="A217" s="2"/>
      <c r="B217" s="21"/>
      <c r="C217" s="21"/>
      <c r="D217" s="21"/>
      <c r="E217" s="21"/>
      <c r="F217" s="2"/>
      <c r="G217" s="2"/>
      <c r="H217" s="35"/>
      <c r="I217" s="21"/>
      <c r="J217" s="21"/>
      <c r="K217" s="21"/>
      <c r="L217" s="21"/>
      <c r="M217" s="21"/>
      <c r="N217" s="21"/>
      <c r="O217" s="21"/>
      <c r="P217" s="21"/>
      <c r="Q217" s="2"/>
      <c r="R217" s="2"/>
      <c r="S217" s="2"/>
      <c r="T217" s="2"/>
      <c r="U217" s="2"/>
      <c r="V217" s="2"/>
      <c r="W217" s="2"/>
      <c r="X217" s="2"/>
      <c r="Y217" s="2"/>
      <c r="Z217" s="2"/>
      <c r="AA217" s="2"/>
      <c r="AB217" s="2"/>
    </row>
    <row r="218">
      <c r="A218" s="2"/>
      <c r="B218" s="21"/>
      <c r="C218" s="21"/>
      <c r="D218" s="21"/>
      <c r="E218" s="21"/>
      <c r="F218" s="2"/>
      <c r="G218" s="2"/>
      <c r="H218" s="35"/>
      <c r="I218" s="21"/>
      <c r="J218" s="21"/>
      <c r="K218" s="21"/>
      <c r="L218" s="21"/>
      <c r="M218" s="21"/>
      <c r="N218" s="21"/>
      <c r="O218" s="21"/>
      <c r="P218" s="21"/>
      <c r="Q218" s="2"/>
      <c r="R218" s="2"/>
      <c r="S218" s="2"/>
      <c r="T218" s="2"/>
      <c r="U218" s="2"/>
      <c r="V218" s="2"/>
      <c r="W218" s="2"/>
      <c r="X218" s="2"/>
      <c r="Y218" s="2"/>
      <c r="Z218" s="2"/>
      <c r="AA218" s="2"/>
      <c r="AB218" s="2"/>
    </row>
    <row r="219">
      <c r="A219" s="2"/>
      <c r="B219" s="21"/>
      <c r="C219" s="21"/>
      <c r="D219" s="21"/>
      <c r="E219" s="21"/>
      <c r="F219" s="2"/>
      <c r="G219" s="2"/>
      <c r="H219" s="35"/>
      <c r="I219" s="21"/>
      <c r="J219" s="21"/>
      <c r="K219" s="21"/>
      <c r="L219" s="21"/>
      <c r="M219" s="21"/>
      <c r="N219" s="21"/>
      <c r="O219" s="21"/>
      <c r="P219" s="21"/>
      <c r="Q219" s="2"/>
      <c r="R219" s="2"/>
      <c r="S219" s="2"/>
      <c r="T219" s="2"/>
      <c r="U219" s="2"/>
      <c r="V219" s="2"/>
      <c r="W219" s="2"/>
      <c r="X219" s="2"/>
      <c r="Y219" s="2"/>
      <c r="Z219" s="2"/>
      <c r="AA219" s="2"/>
      <c r="AB219" s="2"/>
    </row>
    <row r="220">
      <c r="A220" s="2"/>
      <c r="B220" s="21"/>
      <c r="C220" s="21"/>
      <c r="D220" s="21"/>
      <c r="E220" s="21"/>
      <c r="F220" s="2"/>
      <c r="G220" s="2"/>
      <c r="H220" s="35"/>
      <c r="I220" s="21"/>
      <c r="J220" s="21"/>
      <c r="K220" s="21"/>
      <c r="L220" s="21"/>
      <c r="M220" s="21"/>
      <c r="N220" s="21"/>
      <c r="O220" s="21"/>
      <c r="P220" s="21"/>
      <c r="Q220" s="2"/>
      <c r="R220" s="2"/>
      <c r="S220" s="2"/>
      <c r="T220" s="2"/>
      <c r="U220" s="2"/>
      <c r="V220" s="2"/>
      <c r="W220" s="2"/>
      <c r="X220" s="2"/>
      <c r="Y220" s="2"/>
      <c r="Z220" s="2"/>
      <c r="AA220" s="2"/>
      <c r="AB220" s="2"/>
    </row>
    <row r="221">
      <c r="A221" s="2"/>
      <c r="B221" s="21"/>
      <c r="C221" s="21"/>
      <c r="D221" s="21"/>
      <c r="E221" s="21"/>
      <c r="F221" s="2"/>
      <c r="G221" s="2"/>
      <c r="H221" s="35"/>
      <c r="I221" s="21"/>
      <c r="J221" s="21"/>
      <c r="K221" s="21"/>
      <c r="L221" s="21"/>
      <c r="M221" s="21"/>
      <c r="N221" s="21"/>
      <c r="O221" s="21"/>
      <c r="P221" s="21"/>
      <c r="Q221" s="2"/>
      <c r="R221" s="2"/>
      <c r="S221" s="2"/>
      <c r="T221" s="2"/>
      <c r="U221" s="2"/>
      <c r="V221" s="2"/>
      <c r="W221" s="2"/>
      <c r="X221" s="2"/>
      <c r="Y221" s="2"/>
      <c r="Z221" s="2"/>
      <c r="AA221" s="2"/>
      <c r="AB221" s="2"/>
    </row>
    <row r="222">
      <c r="A222" s="2"/>
      <c r="B222" s="21"/>
      <c r="C222" s="21"/>
      <c r="D222" s="21"/>
      <c r="E222" s="21"/>
      <c r="F222" s="2"/>
      <c r="G222" s="2"/>
      <c r="H222" s="35"/>
      <c r="I222" s="21"/>
      <c r="J222" s="21"/>
      <c r="K222" s="21"/>
      <c r="L222" s="21"/>
      <c r="M222" s="21"/>
      <c r="N222" s="21"/>
      <c r="O222" s="21"/>
      <c r="P222" s="21"/>
      <c r="Q222" s="2"/>
      <c r="R222" s="2"/>
      <c r="S222" s="2"/>
      <c r="T222" s="2"/>
      <c r="U222" s="2"/>
      <c r="V222" s="2"/>
      <c r="W222" s="2"/>
      <c r="X222" s="2"/>
      <c r="Y222" s="2"/>
      <c r="Z222" s="2"/>
      <c r="AA222" s="2"/>
      <c r="AB222" s="2"/>
    </row>
    <row r="223">
      <c r="A223" s="2"/>
      <c r="B223" s="21"/>
      <c r="C223" s="21"/>
      <c r="D223" s="21"/>
      <c r="E223" s="21"/>
      <c r="F223" s="2"/>
      <c r="G223" s="2"/>
      <c r="H223" s="35"/>
      <c r="I223" s="21"/>
      <c r="J223" s="21"/>
      <c r="K223" s="21"/>
      <c r="L223" s="21"/>
      <c r="M223" s="21"/>
      <c r="N223" s="21"/>
      <c r="O223" s="21"/>
      <c r="P223" s="21"/>
      <c r="Q223" s="2"/>
      <c r="R223" s="2"/>
      <c r="S223" s="2"/>
      <c r="T223" s="2"/>
      <c r="U223" s="2"/>
      <c r="V223" s="2"/>
      <c r="W223" s="2"/>
      <c r="X223" s="2"/>
      <c r="Y223" s="2"/>
      <c r="Z223" s="2"/>
      <c r="AA223" s="2"/>
      <c r="AB223" s="2"/>
    </row>
    <row r="224">
      <c r="A224" s="2"/>
      <c r="B224" s="21"/>
      <c r="C224" s="21"/>
      <c r="D224" s="21"/>
      <c r="E224" s="21"/>
      <c r="F224" s="2"/>
      <c r="G224" s="2"/>
      <c r="H224" s="35"/>
      <c r="I224" s="21"/>
      <c r="J224" s="21"/>
      <c r="K224" s="21"/>
      <c r="L224" s="21"/>
      <c r="M224" s="21"/>
      <c r="N224" s="21"/>
      <c r="O224" s="21"/>
      <c r="P224" s="21"/>
      <c r="Q224" s="2"/>
      <c r="R224" s="2"/>
      <c r="S224" s="2"/>
      <c r="T224" s="2"/>
      <c r="U224" s="2"/>
      <c r="V224" s="2"/>
      <c r="W224" s="2"/>
      <c r="X224" s="2"/>
      <c r="Y224" s="2"/>
      <c r="Z224" s="2"/>
      <c r="AA224" s="2"/>
      <c r="AB224" s="2"/>
    </row>
    <row r="225">
      <c r="A225" s="2"/>
      <c r="B225" s="21"/>
      <c r="C225" s="21"/>
      <c r="D225" s="21"/>
      <c r="E225" s="21"/>
      <c r="F225" s="2"/>
      <c r="G225" s="2"/>
      <c r="H225" s="35"/>
      <c r="I225" s="21"/>
      <c r="J225" s="21"/>
      <c r="K225" s="21"/>
      <c r="L225" s="21"/>
      <c r="M225" s="21"/>
      <c r="N225" s="21"/>
      <c r="O225" s="21"/>
      <c r="P225" s="21"/>
      <c r="Q225" s="2"/>
      <c r="R225" s="2"/>
      <c r="S225" s="2"/>
      <c r="T225" s="2"/>
      <c r="U225" s="2"/>
      <c r="V225" s="2"/>
      <c r="W225" s="2"/>
      <c r="X225" s="2"/>
      <c r="Y225" s="2"/>
      <c r="Z225" s="2"/>
      <c r="AA225" s="2"/>
      <c r="AB225" s="2"/>
    </row>
    <row r="226">
      <c r="A226" s="2"/>
      <c r="B226" s="21"/>
      <c r="C226" s="21"/>
      <c r="D226" s="21"/>
      <c r="E226" s="21"/>
      <c r="F226" s="2"/>
      <c r="G226" s="2"/>
      <c r="H226" s="35"/>
      <c r="I226" s="21"/>
      <c r="J226" s="21"/>
      <c r="K226" s="21"/>
      <c r="L226" s="21"/>
      <c r="M226" s="21"/>
      <c r="N226" s="21"/>
      <c r="O226" s="21"/>
      <c r="P226" s="21"/>
      <c r="Q226" s="2"/>
      <c r="R226" s="2"/>
      <c r="S226" s="2"/>
      <c r="T226" s="2"/>
      <c r="U226" s="2"/>
      <c r="V226" s="2"/>
      <c r="W226" s="2"/>
      <c r="X226" s="2"/>
      <c r="Y226" s="2"/>
      <c r="Z226" s="2"/>
      <c r="AA226" s="2"/>
      <c r="AB226" s="2"/>
    </row>
    <row r="227">
      <c r="A227" s="2"/>
      <c r="B227" s="21"/>
      <c r="C227" s="21"/>
      <c r="D227" s="21"/>
      <c r="E227" s="21"/>
      <c r="F227" s="2"/>
      <c r="G227" s="2"/>
      <c r="H227" s="35"/>
      <c r="I227" s="21"/>
      <c r="J227" s="21"/>
      <c r="K227" s="21"/>
      <c r="L227" s="21"/>
      <c r="M227" s="21"/>
      <c r="N227" s="21"/>
      <c r="O227" s="21"/>
      <c r="P227" s="21"/>
      <c r="Q227" s="2"/>
      <c r="R227" s="2"/>
      <c r="S227" s="2"/>
      <c r="T227" s="2"/>
      <c r="U227" s="2"/>
      <c r="V227" s="2"/>
      <c r="W227" s="2"/>
      <c r="X227" s="2"/>
      <c r="Y227" s="2"/>
      <c r="Z227" s="2"/>
      <c r="AA227" s="2"/>
      <c r="AB227" s="2"/>
    </row>
    <row r="228">
      <c r="A228" s="2"/>
      <c r="B228" s="21"/>
      <c r="C228" s="21"/>
      <c r="D228" s="21"/>
      <c r="E228" s="21"/>
      <c r="F228" s="2"/>
      <c r="G228" s="2"/>
      <c r="H228" s="35"/>
      <c r="I228" s="21"/>
      <c r="J228" s="21"/>
      <c r="K228" s="21"/>
      <c r="L228" s="21"/>
      <c r="M228" s="21"/>
      <c r="N228" s="21"/>
      <c r="O228" s="21"/>
      <c r="P228" s="21"/>
      <c r="Q228" s="2"/>
      <c r="R228" s="2"/>
      <c r="S228" s="2"/>
      <c r="T228" s="2"/>
      <c r="U228" s="2"/>
      <c r="V228" s="2"/>
      <c r="W228" s="2"/>
      <c r="X228" s="2"/>
      <c r="Y228" s="2"/>
      <c r="Z228" s="2"/>
      <c r="AA228" s="2"/>
      <c r="AB228" s="2"/>
    </row>
    <row r="229">
      <c r="A229" s="2"/>
      <c r="B229" s="21"/>
      <c r="C229" s="21"/>
      <c r="D229" s="21"/>
      <c r="E229" s="21"/>
      <c r="F229" s="2"/>
      <c r="G229" s="2"/>
      <c r="H229" s="35"/>
      <c r="I229" s="21"/>
      <c r="J229" s="21"/>
      <c r="K229" s="21"/>
      <c r="L229" s="21"/>
      <c r="M229" s="21"/>
      <c r="N229" s="21"/>
      <c r="O229" s="21"/>
      <c r="P229" s="21"/>
      <c r="Q229" s="2"/>
      <c r="R229" s="2"/>
      <c r="S229" s="2"/>
      <c r="T229" s="2"/>
      <c r="U229" s="2"/>
      <c r="V229" s="2"/>
      <c r="W229" s="2"/>
      <c r="X229" s="2"/>
      <c r="Y229" s="2"/>
      <c r="Z229" s="2"/>
      <c r="AA229" s="2"/>
      <c r="AB229" s="2"/>
    </row>
    <row r="230">
      <c r="A230" s="2"/>
      <c r="B230" s="21"/>
      <c r="C230" s="21"/>
      <c r="D230" s="21"/>
      <c r="E230" s="21"/>
      <c r="F230" s="2"/>
      <c r="G230" s="2"/>
      <c r="H230" s="35"/>
      <c r="I230" s="21"/>
      <c r="J230" s="21"/>
      <c r="K230" s="21"/>
      <c r="L230" s="21"/>
      <c r="M230" s="21"/>
      <c r="N230" s="21"/>
      <c r="O230" s="21"/>
      <c r="P230" s="21"/>
      <c r="Q230" s="2"/>
      <c r="R230" s="2"/>
      <c r="S230" s="2"/>
      <c r="T230" s="2"/>
      <c r="U230" s="2"/>
      <c r="V230" s="2"/>
      <c r="W230" s="2"/>
      <c r="X230" s="2"/>
      <c r="Y230" s="2"/>
      <c r="Z230" s="2"/>
      <c r="AA230" s="2"/>
      <c r="AB230" s="2"/>
    </row>
    <row r="231">
      <c r="A231" s="2"/>
      <c r="B231" s="21"/>
      <c r="C231" s="21"/>
      <c r="D231" s="21"/>
      <c r="E231" s="21"/>
      <c r="F231" s="2"/>
      <c r="G231" s="2"/>
      <c r="H231" s="35"/>
      <c r="I231" s="21"/>
      <c r="J231" s="21"/>
      <c r="K231" s="21"/>
      <c r="L231" s="21"/>
      <c r="M231" s="21"/>
      <c r="N231" s="21"/>
      <c r="O231" s="21"/>
      <c r="P231" s="21"/>
      <c r="Q231" s="2"/>
      <c r="R231" s="2"/>
      <c r="S231" s="2"/>
      <c r="T231" s="2"/>
      <c r="U231" s="2"/>
      <c r="V231" s="2"/>
      <c r="W231" s="2"/>
      <c r="X231" s="2"/>
      <c r="Y231" s="2"/>
      <c r="Z231" s="2"/>
      <c r="AA231" s="2"/>
      <c r="AB231" s="2"/>
    </row>
    <row r="232">
      <c r="A232" s="2"/>
      <c r="B232" s="21"/>
      <c r="C232" s="21"/>
      <c r="D232" s="21"/>
      <c r="E232" s="21"/>
      <c r="F232" s="2"/>
      <c r="G232" s="2"/>
      <c r="H232" s="35"/>
      <c r="I232" s="21"/>
      <c r="J232" s="21"/>
      <c r="K232" s="21"/>
      <c r="L232" s="21"/>
      <c r="M232" s="21"/>
      <c r="N232" s="21"/>
      <c r="O232" s="21"/>
      <c r="P232" s="21"/>
      <c r="Q232" s="2"/>
      <c r="R232" s="2"/>
      <c r="S232" s="2"/>
      <c r="T232" s="2"/>
      <c r="U232" s="2"/>
      <c r="V232" s="2"/>
      <c r="W232" s="2"/>
      <c r="X232" s="2"/>
      <c r="Y232" s="2"/>
      <c r="Z232" s="2"/>
      <c r="AA232" s="2"/>
      <c r="AB232" s="2"/>
    </row>
    <row r="233">
      <c r="A233" s="2"/>
      <c r="B233" s="21"/>
      <c r="C233" s="21"/>
      <c r="D233" s="21"/>
      <c r="E233" s="21"/>
      <c r="F233" s="2"/>
      <c r="G233" s="2"/>
      <c r="H233" s="35"/>
      <c r="I233" s="21"/>
      <c r="J233" s="21"/>
      <c r="K233" s="21"/>
      <c r="L233" s="21"/>
      <c r="M233" s="21"/>
      <c r="N233" s="21"/>
      <c r="O233" s="21"/>
      <c r="P233" s="21"/>
      <c r="Q233" s="2"/>
      <c r="R233" s="2"/>
      <c r="S233" s="2"/>
      <c r="T233" s="2"/>
      <c r="U233" s="2"/>
      <c r="V233" s="2"/>
      <c r="W233" s="2"/>
      <c r="X233" s="2"/>
      <c r="Y233" s="2"/>
      <c r="Z233" s="2"/>
      <c r="AA233" s="2"/>
      <c r="AB233" s="2"/>
    </row>
    <row r="234">
      <c r="A234" s="2"/>
      <c r="B234" s="21"/>
      <c r="C234" s="21"/>
      <c r="D234" s="21"/>
      <c r="E234" s="21"/>
      <c r="F234" s="2"/>
      <c r="G234" s="2"/>
      <c r="H234" s="35"/>
      <c r="I234" s="21"/>
      <c r="J234" s="21"/>
      <c r="K234" s="21"/>
      <c r="L234" s="21"/>
      <c r="M234" s="21"/>
      <c r="N234" s="21"/>
      <c r="O234" s="21"/>
      <c r="P234" s="21"/>
      <c r="Q234" s="2"/>
      <c r="R234" s="2"/>
      <c r="S234" s="2"/>
      <c r="T234" s="2"/>
      <c r="U234" s="2"/>
      <c r="V234" s="2"/>
      <c r="W234" s="2"/>
      <c r="X234" s="2"/>
      <c r="Y234" s="2"/>
      <c r="Z234" s="2"/>
      <c r="AA234" s="2"/>
      <c r="AB234" s="2"/>
    </row>
    <row r="235">
      <c r="A235" s="2"/>
      <c r="B235" s="21"/>
      <c r="C235" s="21"/>
      <c r="D235" s="21"/>
      <c r="E235" s="21"/>
      <c r="F235" s="2"/>
      <c r="G235" s="2"/>
      <c r="H235" s="35"/>
      <c r="I235" s="21"/>
      <c r="J235" s="21"/>
      <c r="K235" s="21"/>
      <c r="L235" s="21"/>
      <c r="M235" s="21"/>
      <c r="N235" s="21"/>
      <c r="O235" s="21"/>
      <c r="P235" s="21"/>
      <c r="Q235" s="2"/>
      <c r="R235" s="2"/>
      <c r="S235" s="2"/>
      <c r="T235" s="2"/>
      <c r="U235" s="2"/>
      <c r="V235" s="2"/>
      <c r="W235" s="2"/>
      <c r="X235" s="2"/>
      <c r="Y235" s="2"/>
      <c r="Z235" s="2"/>
      <c r="AA235" s="2"/>
      <c r="AB235" s="2"/>
    </row>
    <row r="236">
      <c r="A236" s="2"/>
      <c r="B236" s="21"/>
      <c r="C236" s="21"/>
      <c r="D236" s="21"/>
      <c r="E236" s="21"/>
      <c r="F236" s="2"/>
      <c r="G236" s="2"/>
      <c r="H236" s="35"/>
      <c r="I236" s="21"/>
      <c r="J236" s="21"/>
      <c r="K236" s="21"/>
      <c r="L236" s="21"/>
      <c r="M236" s="21"/>
      <c r="N236" s="21"/>
      <c r="O236" s="21"/>
      <c r="P236" s="21"/>
      <c r="Q236" s="2"/>
      <c r="R236" s="2"/>
      <c r="S236" s="2"/>
      <c r="T236" s="2"/>
      <c r="U236" s="2"/>
      <c r="V236" s="2"/>
      <c r="W236" s="2"/>
      <c r="X236" s="2"/>
      <c r="Y236" s="2"/>
      <c r="Z236" s="2"/>
      <c r="AA236" s="2"/>
      <c r="AB236" s="2"/>
    </row>
    <row r="237">
      <c r="A237" s="2"/>
      <c r="B237" s="21"/>
      <c r="C237" s="21"/>
      <c r="D237" s="21"/>
      <c r="E237" s="21"/>
      <c r="F237" s="2"/>
      <c r="G237" s="2"/>
      <c r="H237" s="35"/>
      <c r="I237" s="21"/>
      <c r="J237" s="21"/>
      <c r="K237" s="21"/>
      <c r="L237" s="21"/>
      <c r="M237" s="21"/>
      <c r="N237" s="21"/>
      <c r="O237" s="21"/>
      <c r="P237" s="21"/>
      <c r="Q237" s="2"/>
      <c r="R237" s="2"/>
      <c r="S237" s="2"/>
      <c r="T237" s="2"/>
      <c r="U237" s="2"/>
      <c r="V237" s="2"/>
      <c r="W237" s="2"/>
      <c r="X237" s="2"/>
      <c r="Y237" s="2"/>
      <c r="Z237" s="2"/>
      <c r="AA237" s="2"/>
      <c r="AB237" s="2"/>
    </row>
    <row r="238">
      <c r="A238" s="2"/>
      <c r="B238" s="21"/>
      <c r="C238" s="21"/>
      <c r="D238" s="21"/>
      <c r="E238" s="21"/>
      <c r="F238" s="2"/>
      <c r="G238" s="2"/>
      <c r="H238" s="35"/>
      <c r="I238" s="21"/>
      <c r="J238" s="21"/>
      <c r="K238" s="21"/>
      <c r="L238" s="21"/>
      <c r="M238" s="21"/>
      <c r="N238" s="21"/>
      <c r="O238" s="21"/>
      <c r="P238" s="21"/>
      <c r="Q238" s="2"/>
      <c r="R238" s="2"/>
      <c r="S238" s="2"/>
      <c r="T238" s="2"/>
      <c r="U238" s="2"/>
      <c r="V238" s="2"/>
      <c r="W238" s="2"/>
      <c r="X238" s="2"/>
      <c r="Y238" s="2"/>
      <c r="Z238" s="2"/>
      <c r="AA238" s="2"/>
      <c r="AB238" s="2"/>
    </row>
    <row r="239">
      <c r="A239" s="2"/>
      <c r="B239" s="21"/>
      <c r="C239" s="21"/>
      <c r="D239" s="21"/>
      <c r="E239" s="21"/>
      <c r="F239" s="2"/>
      <c r="G239" s="2"/>
      <c r="H239" s="35"/>
      <c r="I239" s="21"/>
      <c r="J239" s="21"/>
      <c r="K239" s="21"/>
      <c r="L239" s="21"/>
      <c r="M239" s="21"/>
      <c r="N239" s="21"/>
      <c r="O239" s="21"/>
      <c r="P239" s="21"/>
      <c r="Q239" s="2"/>
      <c r="R239" s="2"/>
      <c r="S239" s="2"/>
      <c r="T239" s="2"/>
      <c r="U239" s="2"/>
      <c r="V239" s="2"/>
      <c r="W239" s="2"/>
      <c r="X239" s="2"/>
      <c r="Y239" s="2"/>
      <c r="Z239" s="2"/>
      <c r="AA239" s="2"/>
      <c r="AB239" s="2"/>
    </row>
    <row r="240">
      <c r="A240" s="2"/>
      <c r="B240" s="21"/>
      <c r="C240" s="21"/>
      <c r="D240" s="21"/>
      <c r="E240" s="21"/>
      <c r="F240" s="2"/>
      <c r="G240" s="2"/>
      <c r="H240" s="35"/>
      <c r="I240" s="21"/>
      <c r="J240" s="21"/>
      <c r="K240" s="21"/>
      <c r="L240" s="21"/>
      <c r="M240" s="21"/>
      <c r="N240" s="21"/>
      <c r="O240" s="21"/>
      <c r="P240" s="21"/>
      <c r="Q240" s="2"/>
      <c r="R240" s="2"/>
      <c r="S240" s="2"/>
      <c r="T240" s="2"/>
      <c r="U240" s="2"/>
      <c r="V240" s="2"/>
      <c r="W240" s="2"/>
      <c r="X240" s="2"/>
      <c r="Y240" s="2"/>
      <c r="Z240" s="2"/>
      <c r="AA240" s="2"/>
      <c r="AB240" s="2"/>
    </row>
    <row r="241">
      <c r="A241" s="2"/>
      <c r="B241" s="21"/>
      <c r="C241" s="21"/>
      <c r="D241" s="21"/>
      <c r="E241" s="21"/>
      <c r="F241" s="2"/>
      <c r="G241" s="2"/>
      <c r="H241" s="35"/>
      <c r="I241" s="21"/>
      <c r="J241" s="21"/>
      <c r="K241" s="21"/>
      <c r="L241" s="21"/>
      <c r="M241" s="21"/>
      <c r="N241" s="21"/>
      <c r="O241" s="21"/>
      <c r="P241" s="21"/>
      <c r="Q241" s="2"/>
      <c r="R241" s="2"/>
      <c r="S241" s="2"/>
      <c r="T241" s="2"/>
      <c r="U241" s="2"/>
      <c r="V241" s="2"/>
      <c r="W241" s="2"/>
      <c r="X241" s="2"/>
      <c r="Y241" s="2"/>
      <c r="Z241" s="2"/>
      <c r="AA241" s="2"/>
      <c r="AB241" s="2"/>
    </row>
    <row r="242">
      <c r="A242" s="2"/>
      <c r="B242" s="21"/>
      <c r="C242" s="21"/>
      <c r="D242" s="21"/>
      <c r="E242" s="21"/>
      <c r="F242" s="2"/>
      <c r="G242" s="2"/>
      <c r="H242" s="35"/>
      <c r="I242" s="21"/>
      <c r="J242" s="21"/>
      <c r="K242" s="21"/>
      <c r="L242" s="21"/>
      <c r="M242" s="21"/>
      <c r="N242" s="21"/>
      <c r="O242" s="21"/>
      <c r="P242" s="21"/>
      <c r="Q242" s="2"/>
      <c r="R242" s="2"/>
      <c r="S242" s="2"/>
      <c r="T242" s="2"/>
      <c r="U242" s="2"/>
      <c r="V242" s="2"/>
      <c r="W242" s="2"/>
      <c r="X242" s="2"/>
      <c r="Y242" s="2"/>
      <c r="Z242" s="2"/>
      <c r="AA242" s="2"/>
      <c r="AB242" s="2"/>
    </row>
    <row r="243">
      <c r="A243" s="2"/>
      <c r="B243" s="21"/>
      <c r="C243" s="21"/>
      <c r="D243" s="21"/>
      <c r="E243" s="21"/>
      <c r="F243" s="2"/>
      <c r="G243" s="2"/>
      <c r="H243" s="35"/>
      <c r="I243" s="21"/>
      <c r="J243" s="21"/>
      <c r="K243" s="21"/>
      <c r="L243" s="21"/>
      <c r="M243" s="21"/>
      <c r="N243" s="21"/>
      <c r="O243" s="21"/>
      <c r="P243" s="21"/>
      <c r="Q243" s="2"/>
      <c r="R243" s="2"/>
      <c r="S243" s="2"/>
      <c r="T243" s="2"/>
      <c r="U243" s="2"/>
      <c r="V243" s="2"/>
      <c r="W243" s="2"/>
      <c r="X243" s="2"/>
      <c r="Y243" s="2"/>
      <c r="Z243" s="2"/>
      <c r="AA243" s="2"/>
      <c r="AB243" s="2"/>
    </row>
    <row r="244">
      <c r="A244" s="2"/>
      <c r="B244" s="21"/>
      <c r="C244" s="21"/>
      <c r="D244" s="21"/>
      <c r="E244" s="21"/>
      <c r="F244" s="2"/>
      <c r="G244" s="2"/>
      <c r="H244" s="35"/>
      <c r="I244" s="21"/>
      <c r="J244" s="21"/>
      <c r="K244" s="21"/>
      <c r="L244" s="21"/>
      <c r="M244" s="21"/>
      <c r="N244" s="21"/>
      <c r="O244" s="21"/>
      <c r="P244" s="21"/>
      <c r="Q244" s="2"/>
      <c r="R244" s="2"/>
      <c r="S244" s="2"/>
      <c r="T244" s="2"/>
      <c r="U244" s="2"/>
      <c r="V244" s="2"/>
      <c r="W244" s="2"/>
      <c r="X244" s="2"/>
      <c r="Y244" s="2"/>
      <c r="Z244" s="2"/>
      <c r="AA244" s="2"/>
      <c r="AB244" s="2"/>
    </row>
    <row r="245">
      <c r="A245" s="2"/>
      <c r="B245" s="21"/>
      <c r="C245" s="21"/>
      <c r="D245" s="21"/>
      <c r="E245" s="21"/>
      <c r="F245" s="2"/>
      <c r="G245" s="2"/>
      <c r="H245" s="35"/>
      <c r="I245" s="21"/>
      <c r="J245" s="21"/>
      <c r="K245" s="21"/>
      <c r="L245" s="21"/>
      <c r="M245" s="21"/>
      <c r="N245" s="21"/>
      <c r="O245" s="21"/>
      <c r="P245" s="21"/>
      <c r="Q245" s="2"/>
      <c r="R245" s="2"/>
      <c r="S245" s="2"/>
      <c r="T245" s="2"/>
      <c r="U245" s="2"/>
      <c r="V245" s="2"/>
      <c r="W245" s="2"/>
      <c r="X245" s="2"/>
      <c r="Y245" s="2"/>
      <c r="Z245" s="2"/>
      <c r="AA245" s="2"/>
      <c r="AB245" s="2"/>
    </row>
    <row r="246">
      <c r="A246" s="2"/>
      <c r="B246" s="21"/>
      <c r="C246" s="21"/>
      <c r="D246" s="21"/>
      <c r="E246" s="21"/>
      <c r="F246" s="2"/>
      <c r="G246" s="2"/>
      <c r="H246" s="35"/>
      <c r="I246" s="21"/>
      <c r="J246" s="21"/>
      <c r="K246" s="21"/>
      <c r="L246" s="21"/>
      <c r="M246" s="21"/>
      <c r="N246" s="21"/>
      <c r="O246" s="21"/>
      <c r="P246" s="21"/>
      <c r="Q246" s="2"/>
      <c r="R246" s="2"/>
      <c r="S246" s="2"/>
      <c r="T246" s="2"/>
      <c r="U246" s="2"/>
      <c r="V246" s="2"/>
      <c r="W246" s="2"/>
      <c r="X246" s="2"/>
      <c r="Y246" s="2"/>
      <c r="Z246" s="2"/>
      <c r="AA246" s="2"/>
      <c r="AB246" s="2"/>
    </row>
    <row r="247">
      <c r="A247" s="2"/>
      <c r="B247" s="21"/>
      <c r="C247" s="21"/>
      <c r="D247" s="21"/>
      <c r="E247" s="21"/>
      <c r="F247" s="2"/>
      <c r="G247" s="2"/>
      <c r="H247" s="35"/>
      <c r="I247" s="21"/>
      <c r="J247" s="21"/>
      <c r="K247" s="21"/>
      <c r="L247" s="21"/>
      <c r="M247" s="21"/>
      <c r="N247" s="21"/>
      <c r="O247" s="21"/>
      <c r="P247" s="21"/>
      <c r="Q247" s="2"/>
      <c r="R247" s="2"/>
      <c r="S247" s="2"/>
      <c r="T247" s="2"/>
      <c r="U247" s="2"/>
      <c r="V247" s="2"/>
      <c r="W247" s="2"/>
      <c r="X247" s="2"/>
      <c r="Y247" s="2"/>
      <c r="Z247" s="2"/>
      <c r="AA247" s="2"/>
      <c r="AB247" s="2"/>
    </row>
    <row r="248">
      <c r="A248" s="2"/>
      <c r="B248" s="21"/>
      <c r="C248" s="21"/>
      <c r="D248" s="21"/>
      <c r="E248" s="21"/>
      <c r="F248" s="2"/>
      <c r="G248" s="2"/>
      <c r="H248" s="35"/>
      <c r="I248" s="21"/>
      <c r="J248" s="21"/>
      <c r="K248" s="21"/>
      <c r="L248" s="21"/>
      <c r="M248" s="21"/>
      <c r="N248" s="21"/>
      <c r="O248" s="21"/>
      <c r="P248" s="21"/>
      <c r="Q248" s="2"/>
      <c r="R248" s="2"/>
      <c r="S248" s="2"/>
      <c r="T248" s="2"/>
      <c r="U248" s="2"/>
      <c r="V248" s="2"/>
      <c r="W248" s="2"/>
      <c r="X248" s="2"/>
      <c r="Y248" s="2"/>
      <c r="Z248" s="2"/>
      <c r="AA248" s="2"/>
      <c r="AB248" s="2"/>
    </row>
    <row r="249">
      <c r="A249" s="2"/>
      <c r="B249" s="21"/>
      <c r="C249" s="21"/>
      <c r="D249" s="21"/>
      <c r="E249" s="21"/>
      <c r="F249" s="2"/>
      <c r="G249" s="2"/>
      <c r="H249" s="35"/>
      <c r="I249" s="21"/>
      <c r="J249" s="21"/>
      <c r="K249" s="21"/>
      <c r="L249" s="21"/>
      <c r="M249" s="21"/>
      <c r="N249" s="21"/>
      <c r="O249" s="21"/>
      <c r="P249" s="21"/>
      <c r="Q249" s="2"/>
      <c r="R249" s="2"/>
      <c r="S249" s="2"/>
      <c r="T249" s="2"/>
      <c r="U249" s="2"/>
      <c r="V249" s="2"/>
      <c r="W249" s="2"/>
      <c r="X249" s="2"/>
      <c r="Y249" s="2"/>
      <c r="Z249" s="2"/>
      <c r="AA249" s="2"/>
      <c r="AB249" s="2"/>
    </row>
    <row r="250">
      <c r="A250" s="2"/>
      <c r="B250" s="21"/>
      <c r="C250" s="21"/>
      <c r="D250" s="21"/>
      <c r="E250" s="21"/>
      <c r="F250" s="2"/>
      <c r="G250" s="2"/>
      <c r="H250" s="35"/>
      <c r="I250" s="21"/>
      <c r="J250" s="21"/>
      <c r="K250" s="21"/>
      <c r="L250" s="21"/>
      <c r="M250" s="21"/>
      <c r="N250" s="21"/>
      <c r="O250" s="21"/>
      <c r="P250" s="21"/>
      <c r="Q250" s="2"/>
      <c r="R250" s="2"/>
      <c r="S250" s="2"/>
      <c r="T250" s="2"/>
      <c r="U250" s="2"/>
      <c r="V250" s="2"/>
      <c r="W250" s="2"/>
      <c r="X250" s="2"/>
      <c r="Y250" s="2"/>
      <c r="Z250" s="2"/>
      <c r="AA250" s="2"/>
      <c r="AB250" s="2"/>
    </row>
    <row r="251">
      <c r="A251" s="2"/>
      <c r="B251" s="21"/>
      <c r="C251" s="21"/>
      <c r="D251" s="21"/>
      <c r="E251" s="21"/>
      <c r="F251" s="2"/>
      <c r="G251" s="2"/>
      <c r="H251" s="35"/>
      <c r="I251" s="21"/>
      <c r="J251" s="21"/>
      <c r="K251" s="21"/>
      <c r="L251" s="21"/>
      <c r="M251" s="21"/>
      <c r="N251" s="21"/>
      <c r="O251" s="21"/>
      <c r="P251" s="21"/>
      <c r="Q251" s="2"/>
      <c r="R251" s="2"/>
      <c r="S251" s="2"/>
      <c r="T251" s="2"/>
      <c r="U251" s="2"/>
      <c r="V251" s="2"/>
      <c r="W251" s="2"/>
      <c r="X251" s="2"/>
      <c r="Y251" s="2"/>
      <c r="Z251" s="2"/>
      <c r="AA251" s="2"/>
      <c r="AB251" s="2"/>
    </row>
    <row r="252">
      <c r="A252" s="2"/>
      <c r="B252" s="21"/>
      <c r="C252" s="21"/>
      <c r="D252" s="21"/>
      <c r="E252" s="21"/>
      <c r="F252" s="2"/>
      <c r="G252" s="2"/>
      <c r="H252" s="35"/>
      <c r="I252" s="21"/>
      <c r="J252" s="21"/>
      <c r="K252" s="21"/>
      <c r="L252" s="21"/>
      <c r="M252" s="21"/>
      <c r="N252" s="21"/>
      <c r="O252" s="21"/>
      <c r="P252" s="21"/>
      <c r="Q252" s="2"/>
      <c r="R252" s="2"/>
      <c r="S252" s="2"/>
      <c r="T252" s="2"/>
      <c r="U252" s="2"/>
      <c r="V252" s="2"/>
      <c r="W252" s="2"/>
      <c r="X252" s="2"/>
      <c r="Y252" s="2"/>
      <c r="Z252" s="2"/>
      <c r="AA252" s="2"/>
      <c r="AB252" s="2"/>
    </row>
    <row r="253">
      <c r="A253" s="2"/>
      <c r="B253" s="21"/>
      <c r="C253" s="21"/>
      <c r="D253" s="21"/>
      <c r="E253" s="21"/>
      <c r="F253" s="2"/>
      <c r="G253" s="2"/>
      <c r="H253" s="35"/>
      <c r="I253" s="21"/>
      <c r="J253" s="21"/>
      <c r="K253" s="21"/>
      <c r="L253" s="21"/>
      <c r="M253" s="21"/>
      <c r="N253" s="21"/>
      <c r="O253" s="21"/>
      <c r="P253" s="21"/>
      <c r="Q253" s="2"/>
      <c r="R253" s="2"/>
      <c r="S253" s="2"/>
      <c r="T253" s="2"/>
      <c r="U253" s="2"/>
      <c r="V253" s="2"/>
      <c r="W253" s="2"/>
      <c r="X253" s="2"/>
      <c r="Y253" s="2"/>
      <c r="Z253" s="2"/>
      <c r="AA253" s="2"/>
      <c r="AB253" s="2"/>
    </row>
    <row r="254">
      <c r="A254" s="2"/>
      <c r="B254" s="21"/>
      <c r="C254" s="21"/>
      <c r="D254" s="21"/>
      <c r="E254" s="21"/>
      <c r="F254" s="2"/>
      <c r="G254" s="2"/>
      <c r="H254" s="35"/>
      <c r="I254" s="21"/>
      <c r="J254" s="21"/>
      <c r="K254" s="21"/>
      <c r="L254" s="21"/>
      <c r="M254" s="21"/>
      <c r="N254" s="21"/>
      <c r="O254" s="21"/>
      <c r="P254" s="21"/>
      <c r="Q254" s="2"/>
      <c r="R254" s="2"/>
      <c r="S254" s="2"/>
      <c r="T254" s="2"/>
      <c r="U254" s="2"/>
      <c r="V254" s="2"/>
      <c r="W254" s="2"/>
      <c r="X254" s="2"/>
      <c r="Y254" s="2"/>
      <c r="Z254" s="2"/>
      <c r="AA254" s="2"/>
      <c r="AB254" s="2"/>
    </row>
    <row r="255">
      <c r="A255" s="2"/>
      <c r="B255" s="21"/>
      <c r="C255" s="21"/>
      <c r="D255" s="21"/>
      <c r="E255" s="21"/>
      <c r="F255" s="2"/>
      <c r="G255" s="2"/>
      <c r="H255" s="35"/>
      <c r="I255" s="21"/>
      <c r="J255" s="21"/>
      <c r="K255" s="21"/>
      <c r="L255" s="21"/>
      <c r="M255" s="21"/>
      <c r="N255" s="21"/>
      <c r="O255" s="21"/>
      <c r="P255" s="21"/>
      <c r="Q255" s="2"/>
      <c r="R255" s="2"/>
      <c r="S255" s="2"/>
      <c r="T255" s="2"/>
      <c r="U255" s="2"/>
      <c r="V255" s="2"/>
      <c r="W255" s="2"/>
      <c r="X255" s="2"/>
      <c r="Y255" s="2"/>
      <c r="Z255" s="2"/>
      <c r="AA255" s="2"/>
      <c r="AB255" s="2"/>
    </row>
    <row r="256">
      <c r="A256" s="2"/>
      <c r="B256" s="21"/>
      <c r="C256" s="21"/>
      <c r="D256" s="21"/>
      <c r="E256" s="21"/>
      <c r="F256" s="2"/>
      <c r="G256" s="2"/>
      <c r="H256" s="35"/>
      <c r="I256" s="21"/>
      <c r="J256" s="21"/>
      <c r="K256" s="21"/>
      <c r="L256" s="21"/>
      <c r="M256" s="21"/>
      <c r="N256" s="21"/>
      <c r="O256" s="21"/>
      <c r="P256" s="21"/>
      <c r="Q256" s="2"/>
      <c r="R256" s="2"/>
      <c r="S256" s="2"/>
      <c r="T256" s="2"/>
      <c r="U256" s="2"/>
      <c r="V256" s="2"/>
      <c r="W256" s="2"/>
      <c r="X256" s="2"/>
      <c r="Y256" s="2"/>
      <c r="Z256" s="2"/>
      <c r="AA256" s="2"/>
      <c r="AB256" s="2"/>
    </row>
    <row r="257">
      <c r="A257" s="2"/>
      <c r="B257" s="21"/>
      <c r="C257" s="21"/>
      <c r="D257" s="21"/>
      <c r="E257" s="21"/>
      <c r="F257" s="2"/>
      <c r="G257" s="2"/>
      <c r="H257" s="35"/>
      <c r="I257" s="21"/>
      <c r="J257" s="21"/>
      <c r="K257" s="21"/>
      <c r="L257" s="21"/>
      <c r="M257" s="21"/>
      <c r="N257" s="21"/>
      <c r="O257" s="21"/>
      <c r="P257" s="21"/>
      <c r="Q257" s="2"/>
      <c r="R257" s="2"/>
      <c r="S257" s="2"/>
      <c r="T257" s="2"/>
      <c r="U257" s="2"/>
      <c r="V257" s="2"/>
      <c r="W257" s="2"/>
      <c r="X257" s="2"/>
      <c r="Y257" s="2"/>
      <c r="Z257" s="2"/>
      <c r="AA257" s="2"/>
      <c r="AB257" s="2"/>
    </row>
    <row r="258">
      <c r="A258" s="2"/>
      <c r="B258" s="21"/>
      <c r="C258" s="21"/>
      <c r="D258" s="21"/>
      <c r="E258" s="21"/>
      <c r="F258" s="2"/>
      <c r="G258" s="2"/>
      <c r="H258" s="35"/>
      <c r="I258" s="21"/>
      <c r="J258" s="21"/>
      <c r="K258" s="21"/>
      <c r="L258" s="21"/>
      <c r="M258" s="21"/>
      <c r="N258" s="21"/>
      <c r="O258" s="21"/>
      <c r="P258" s="21"/>
      <c r="Q258" s="2"/>
      <c r="R258" s="2"/>
      <c r="S258" s="2"/>
      <c r="T258" s="2"/>
      <c r="U258" s="2"/>
      <c r="V258" s="2"/>
      <c r="W258" s="2"/>
      <c r="X258" s="2"/>
      <c r="Y258" s="2"/>
      <c r="Z258" s="2"/>
      <c r="AA258" s="2"/>
      <c r="AB258" s="2"/>
    </row>
    <row r="259">
      <c r="A259" s="2"/>
      <c r="B259" s="21"/>
      <c r="C259" s="21"/>
      <c r="D259" s="21"/>
      <c r="E259" s="21"/>
      <c r="F259" s="2"/>
      <c r="G259" s="2"/>
      <c r="H259" s="35"/>
      <c r="I259" s="21"/>
      <c r="J259" s="21"/>
      <c r="K259" s="21"/>
      <c r="L259" s="21"/>
      <c r="M259" s="21"/>
      <c r="N259" s="21"/>
      <c r="O259" s="21"/>
      <c r="P259" s="21"/>
      <c r="Q259" s="2"/>
      <c r="R259" s="2"/>
      <c r="S259" s="2"/>
      <c r="T259" s="2"/>
      <c r="U259" s="2"/>
      <c r="V259" s="2"/>
      <c r="W259" s="2"/>
      <c r="X259" s="2"/>
      <c r="Y259" s="2"/>
      <c r="Z259" s="2"/>
      <c r="AA259" s="2"/>
      <c r="AB259" s="2"/>
    </row>
    <row r="260">
      <c r="A260" s="2"/>
      <c r="B260" s="21"/>
      <c r="C260" s="21"/>
      <c r="D260" s="21"/>
      <c r="E260" s="21"/>
      <c r="F260" s="2"/>
      <c r="G260" s="2"/>
      <c r="H260" s="35"/>
      <c r="I260" s="21"/>
      <c r="J260" s="21"/>
      <c r="K260" s="21"/>
      <c r="L260" s="21"/>
      <c r="M260" s="21"/>
      <c r="N260" s="21"/>
      <c r="O260" s="21"/>
      <c r="P260" s="21"/>
      <c r="Q260" s="2"/>
      <c r="R260" s="2"/>
      <c r="S260" s="2"/>
      <c r="T260" s="2"/>
      <c r="U260" s="2"/>
      <c r="V260" s="2"/>
      <c r="W260" s="2"/>
      <c r="X260" s="2"/>
      <c r="Y260" s="2"/>
      <c r="Z260" s="2"/>
      <c r="AA260" s="2"/>
      <c r="AB260" s="2"/>
    </row>
    <row r="261">
      <c r="A261" s="2"/>
      <c r="B261" s="21"/>
      <c r="C261" s="21"/>
      <c r="D261" s="21"/>
      <c r="E261" s="21"/>
      <c r="F261" s="2"/>
      <c r="G261" s="2"/>
      <c r="H261" s="35"/>
      <c r="I261" s="21"/>
      <c r="J261" s="21"/>
      <c r="K261" s="21"/>
      <c r="L261" s="21"/>
      <c r="M261" s="21"/>
      <c r="N261" s="21"/>
      <c r="O261" s="21"/>
      <c r="P261" s="21"/>
      <c r="Q261" s="2"/>
      <c r="R261" s="2"/>
      <c r="S261" s="2"/>
      <c r="T261" s="2"/>
      <c r="U261" s="2"/>
      <c r="V261" s="2"/>
      <c r="W261" s="2"/>
      <c r="X261" s="2"/>
      <c r="Y261" s="2"/>
      <c r="Z261" s="2"/>
      <c r="AA261" s="2"/>
      <c r="AB261" s="2"/>
    </row>
    <row r="262">
      <c r="A262" s="2"/>
      <c r="B262" s="21"/>
      <c r="C262" s="21"/>
      <c r="D262" s="21"/>
      <c r="E262" s="21"/>
      <c r="F262" s="2"/>
      <c r="G262" s="2"/>
      <c r="H262" s="35"/>
      <c r="I262" s="21"/>
      <c r="J262" s="21"/>
      <c r="K262" s="21"/>
      <c r="L262" s="21"/>
      <c r="M262" s="21"/>
      <c r="N262" s="21"/>
      <c r="O262" s="21"/>
      <c r="P262" s="21"/>
      <c r="Q262" s="2"/>
      <c r="R262" s="2"/>
      <c r="S262" s="2"/>
      <c r="T262" s="2"/>
      <c r="U262" s="2"/>
      <c r="V262" s="2"/>
      <c r="W262" s="2"/>
      <c r="X262" s="2"/>
      <c r="Y262" s="2"/>
      <c r="Z262" s="2"/>
      <c r="AA262" s="2"/>
      <c r="AB262" s="2"/>
    </row>
    <row r="263">
      <c r="A263" s="2"/>
      <c r="B263" s="21"/>
      <c r="C263" s="21"/>
      <c r="D263" s="21"/>
      <c r="E263" s="21"/>
      <c r="F263" s="2"/>
      <c r="G263" s="2"/>
      <c r="H263" s="35"/>
      <c r="I263" s="21"/>
      <c r="J263" s="21"/>
      <c r="K263" s="21"/>
      <c r="L263" s="21"/>
      <c r="M263" s="21"/>
      <c r="N263" s="21"/>
      <c r="O263" s="21"/>
      <c r="P263" s="21"/>
      <c r="Q263" s="2"/>
      <c r="R263" s="2"/>
      <c r="S263" s="2"/>
      <c r="T263" s="2"/>
      <c r="U263" s="2"/>
      <c r="V263" s="2"/>
      <c r="W263" s="2"/>
      <c r="X263" s="2"/>
      <c r="Y263" s="2"/>
      <c r="Z263" s="2"/>
      <c r="AA263" s="2"/>
      <c r="AB263" s="2"/>
    </row>
    <row r="264">
      <c r="A264" s="2"/>
      <c r="B264" s="21"/>
      <c r="C264" s="21"/>
      <c r="D264" s="21"/>
      <c r="E264" s="21"/>
      <c r="F264" s="2"/>
      <c r="G264" s="2"/>
      <c r="H264" s="35"/>
      <c r="I264" s="21"/>
      <c r="J264" s="21"/>
      <c r="K264" s="21"/>
      <c r="L264" s="21"/>
      <c r="M264" s="21"/>
      <c r="N264" s="21"/>
      <c r="O264" s="21"/>
      <c r="P264" s="21"/>
      <c r="Q264" s="2"/>
      <c r="R264" s="2"/>
      <c r="S264" s="2"/>
      <c r="T264" s="2"/>
      <c r="U264" s="2"/>
      <c r="V264" s="2"/>
      <c r="W264" s="2"/>
      <c r="X264" s="2"/>
      <c r="Y264" s="2"/>
      <c r="Z264" s="2"/>
      <c r="AA264" s="2"/>
      <c r="AB264" s="2"/>
    </row>
    <row r="265">
      <c r="A265" s="2"/>
      <c r="B265" s="21"/>
      <c r="C265" s="21"/>
      <c r="D265" s="21"/>
      <c r="E265" s="21"/>
      <c r="F265" s="2"/>
      <c r="G265" s="2"/>
      <c r="H265" s="35"/>
      <c r="I265" s="21"/>
      <c r="J265" s="21"/>
      <c r="K265" s="21"/>
      <c r="L265" s="21"/>
      <c r="M265" s="21"/>
      <c r="N265" s="21"/>
      <c r="O265" s="21"/>
      <c r="P265" s="21"/>
      <c r="Q265" s="2"/>
      <c r="R265" s="2"/>
      <c r="S265" s="2"/>
      <c r="T265" s="2"/>
      <c r="U265" s="2"/>
      <c r="V265" s="2"/>
      <c r="W265" s="2"/>
      <c r="X265" s="2"/>
      <c r="Y265" s="2"/>
      <c r="Z265" s="2"/>
      <c r="AA265" s="2"/>
      <c r="AB265" s="2"/>
    </row>
    <row r="266">
      <c r="A266" s="2"/>
      <c r="B266" s="21"/>
      <c r="C266" s="21"/>
      <c r="D266" s="21"/>
      <c r="E266" s="21"/>
      <c r="F266" s="2"/>
      <c r="G266" s="2"/>
      <c r="H266" s="35"/>
      <c r="I266" s="21"/>
      <c r="J266" s="21"/>
      <c r="K266" s="21"/>
      <c r="L266" s="21"/>
      <c r="M266" s="21"/>
      <c r="N266" s="21"/>
      <c r="O266" s="21"/>
      <c r="P266" s="21"/>
      <c r="Q266" s="2"/>
      <c r="R266" s="2"/>
      <c r="S266" s="2"/>
      <c r="T266" s="2"/>
      <c r="U266" s="2"/>
      <c r="V266" s="2"/>
      <c r="W266" s="2"/>
      <c r="X266" s="2"/>
      <c r="Y266" s="2"/>
      <c r="Z266" s="2"/>
      <c r="AA266" s="2"/>
      <c r="AB266" s="2"/>
    </row>
    <row r="267">
      <c r="A267" s="2"/>
      <c r="B267" s="21"/>
      <c r="C267" s="21"/>
      <c r="D267" s="21"/>
      <c r="E267" s="21"/>
      <c r="F267" s="2"/>
      <c r="G267" s="2"/>
      <c r="H267" s="35"/>
      <c r="I267" s="21"/>
      <c r="J267" s="21"/>
      <c r="K267" s="21"/>
      <c r="L267" s="21"/>
      <c r="M267" s="21"/>
      <c r="N267" s="21"/>
      <c r="O267" s="21"/>
      <c r="P267" s="21"/>
      <c r="Q267" s="2"/>
      <c r="R267" s="2"/>
      <c r="S267" s="2"/>
      <c r="T267" s="2"/>
      <c r="U267" s="2"/>
      <c r="V267" s="2"/>
      <c r="W267" s="2"/>
      <c r="X267" s="2"/>
      <c r="Y267" s="2"/>
      <c r="Z267" s="2"/>
      <c r="AA267" s="2"/>
      <c r="AB267" s="2"/>
    </row>
    <row r="268">
      <c r="A268" s="2"/>
      <c r="B268" s="21"/>
      <c r="C268" s="21"/>
      <c r="D268" s="21"/>
      <c r="E268" s="21"/>
      <c r="F268" s="2"/>
      <c r="G268" s="2"/>
      <c r="H268" s="35"/>
      <c r="I268" s="21"/>
      <c r="J268" s="21"/>
      <c r="K268" s="21"/>
      <c r="L268" s="21"/>
      <c r="M268" s="21"/>
      <c r="N268" s="21"/>
      <c r="O268" s="21"/>
      <c r="P268" s="21"/>
      <c r="Q268" s="2"/>
      <c r="R268" s="2"/>
      <c r="S268" s="2"/>
      <c r="T268" s="2"/>
      <c r="U268" s="2"/>
      <c r="V268" s="2"/>
      <c r="W268" s="2"/>
      <c r="X268" s="2"/>
      <c r="Y268" s="2"/>
      <c r="Z268" s="2"/>
      <c r="AA268" s="2"/>
      <c r="AB268" s="2"/>
    </row>
    <row r="269">
      <c r="A269" s="2"/>
      <c r="B269" s="21"/>
      <c r="C269" s="21"/>
      <c r="D269" s="21"/>
      <c r="E269" s="21"/>
      <c r="F269" s="2"/>
      <c r="G269" s="2"/>
      <c r="H269" s="35"/>
      <c r="I269" s="21"/>
      <c r="J269" s="21"/>
      <c r="K269" s="21"/>
      <c r="L269" s="21"/>
      <c r="M269" s="21"/>
      <c r="N269" s="21"/>
      <c r="O269" s="21"/>
      <c r="P269" s="21"/>
      <c r="Q269" s="2"/>
      <c r="R269" s="2"/>
      <c r="S269" s="2"/>
      <c r="T269" s="2"/>
      <c r="U269" s="2"/>
      <c r="V269" s="2"/>
      <c r="W269" s="2"/>
      <c r="X269" s="2"/>
      <c r="Y269" s="2"/>
      <c r="Z269" s="2"/>
      <c r="AA269" s="2"/>
      <c r="AB269" s="2"/>
    </row>
    <row r="270">
      <c r="A270" s="2"/>
      <c r="B270" s="21"/>
      <c r="C270" s="21"/>
      <c r="D270" s="21"/>
      <c r="E270" s="21"/>
      <c r="F270" s="2"/>
      <c r="G270" s="2"/>
      <c r="H270" s="35"/>
      <c r="I270" s="21"/>
      <c r="J270" s="21"/>
      <c r="K270" s="21"/>
      <c r="L270" s="21"/>
      <c r="M270" s="21"/>
      <c r="N270" s="21"/>
      <c r="O270" s="21"/>
      <c r="P270" s="21"/>
      <c r="Q270" s="2"/>
      <c r="R270" s="2"/>
      <c r="S270" s="2"/>
      <c r="T270" s="2"/>
      <c r="U270" s="2"/>
      <c r="V270" s="2"/>
      <c r="W270" s="2"/>
      <c r="X270" s="2"/>
      <c r="Y270" s="2"/>
      <c r="Z270" s="2"/>
      <c r="AA270" s="2"/>
      <c r="AB270" s="2"/>
    </row>
    <row r="271">
      <c r="A271" s="2"/>
      <c r="B271" s="21"/>
      <c r="C271" s="21"/>
      <c r="D271" s="21"/>
      <c r="E271" s="21"/>
      <c r="F271" s="2"/>
      <c r="G271" s="2"/>
      <c r="H271" s="35"/>
      <c r="I271" s="21"/>
      <c r="J271" s="21"/>
      <c r="K271" s="21"/>
      <c r="L271" s="21"/>
      <c r="M271" s="21"/>
      <c r="N271" s="21"/>
      <c r="O271" s="21"/>
      <c r="P271" s="21"/>
      <c r="Q271" s="2"/>
      <c r="R271" s="2"/>
      <c r="S271" s="2"/>
      <c r="T271" s="2"/>
      <c r="U271" s="2"/>
      <c r="V271" s="2"/>
      <c r="W271" s="2"/>
      <c r="X271" s="2"/>
      <c r="Y271" s="2"/>
      <c r="Z271" s="2"/>
      <c r="AA271" s="2"/>
      <c r="AB271" s="2"/>
    </row>
    <row r="272">
      <c r="A272" s="2"/>
      <c r="B272" s="21"/>
      <c r="C272" s="21"/>
      <c r="D272" s="21"/>
      <c r="E272" s="21"/>
      <c r="F272" s="2"/>
      <c r="G272" s="2"/>
      <c r="H272" s="35"/>
      <c r="I272" s="21"/>
      <c r="J272" s="21"/>
      <c r="K272" s="21"/>
      <c r="L272" s="21"/>
      <c r="M272" s="21"/>
      <c r="N272" s="21"/>
      <c r="O272" s="21"/>
      <c r="P272" s="21"/>
      <c r="Q272" s="2"/>
      <c r="R272" s="2"/>
      <c r="S272" s="2"/>
      <c r="T272" s="2"/>
      <c r="U272" s="2"/>
      <c r="V272" s="2"/>
      <c r="W272" s="2"/>
      <c r="X272" s="2"/>
      <c r="Y272" s="2"/>
      <c r="Z272" s="2"/>
      <c r="AA272" s="2"/>
      <c r="AB272" s="2"/>
    </row>
    <row r="273">
      <c r="A273" s="2"/>
      <c r="B273" s="21"/>
      <c r="C273" s="21"/>
      <c r="D273" s="21"/>
      <c r="E273" s="21"/>
      <c r="F273" s="2"/>
      <c r="G273" s="2"/>
      <c r="H273" s="35"/>
      <c r="I273" s="21"/>
      <c r="J273" s="21"/>
      <c r="K273" s="21"/>
      <c r="L273" s="21"/>
      <c r="M273" s="21"/>
      <c r="N273" s="21"/>
      <c r="O273" s="21"/>
      <c r="P273" s="21"/>
      <c r="Q273" s="2"/>
      <c r="R273" s="2"/>
      <c r="S273" s="2"/>
      <c r="T273" s="2"/>
      <c r="U273" s="2"/>
      <c r="V273" s="2"/>
      <c r="W273" s="2"/>
      <c r="X273" s="2"/>
      <c r="Y273" s="2"/>
      <c r="Z273" s="2"/>
      <c r="AA273" s="2"/>
      <c r="AB273" s="2"/>
    </row>
    <row r="274">
      <c r="A274" s="2"/>
      <c r="B274" s="21"/>
      <c r="C274" s="21"/>
      <c r="D274" s="21"/>
      <c r="E274" s="21"/>
      <c r="F274" s="2"/>
      <c r="G274" s="2"/>
      <c r="H274" s="35"/>
      <c r="I274" s="21"/>
      <c r="J274" s="21"/>
      <c r="K274" s="21"/>
      <c r="L274" s="21"/>
      <c r="M274" s="21"/>
      <c r="N274" s="21"/>
      <c r="O274" s="21"/>
      <c r="P274" s="21"/>
      <c r="Q274" s="2"/>
      <c r="R274" s="2"/>
      <c r="S274" s="2"/>
      <c r="T274" s="2"/>
      <c r="U274" s="2"/>
      <c r="V274" s="2"/>
      <c r="W274" s="2"/>
      <c r="X274" s="2"/>
      <c r="Y274" s="2"/>
      <c r="Z274" s="2"/>
      <c r="AA274" s="2"/>
      <c r="AB274" s="2"/>
    </row>
    <row r="275">
      <c r="A275" s="2"/>
      <c r="B275" s="21"/>
      <c r="C275" s="21"/>
      <c r="D275" s="21"/>
      <c r="E275" s="21"/>
      <c r="F275" s="2"/>
      <c r="G275" s="2"/>
      <c r="H275" s="35"/>
      <c r="I275" s="21"/>
      <c r="J275" s="21"/>
      <c r="K275" s="21"/>
      <c r="L275" s="21"/>
      <c r="M275" s="21"/>
      <c r="N275" s="21"/>
      <c r="O275" s="21"/>
      <c r="P275" s="21"/>
      <c r="Q275" s="2"/>
      <c r="R275" s="2"/>
      <c r="S275" s="2"/>
      <c r="T275" s="2"/>
      <c r="U275" s="2"/>
      <c r="V275" s="2"/>
      <c r="W275" s="2"/>
      <c r="X275" s="2"/>
      <c r="Y275" s="2"/>
      <c r="Z275" s="2"/>
      <c r="AA275" s="2"/>
      <c r="AB275" s="2"/>
    </row>
    <row r="276">
      <c r="A276" s="2"/>
      <c r="B276" s="21"/>
      <c r="C276" s="21"/>
      <c r="D276" s="21"/>
      <c r="E276" s="21"/>
      <c r="F276" s="2"/>
      <c r="G276" s="2"/>
      <c r="H276" s="35"/>
      <c r="I276" s="21"/>
      <c r="J276" s="21"/>
      <c r="K276" s="21"/>
      <c r="L276" s="21"/>
      <c r="M276" s="21"/>
      <c r="N276" s="21"/>
      <c r="O276" s="21"/>
      <c r="P276" s="21"/>
      <c r="Q276" s="2"/>
      <c r="R276" s="2"/>
      <c r="S276" s="2"/>
      <c r="T276" s="2"/>
      <c r="U276" s="2"/>
      <c r="V276" s="2"/>
      <c r="W276" s="2"/>
      <c r="X276" s="2"/>
      <c r="Y276" s="2"/>
      <c r="Z276" s="2"/>
      <c r="AA276" s="2"/>
      <c r="AB276" s="2"/>
    </row>
    <row r="277">
      <c r="A277" s="2"/>
      <c r="B277" s="21"/>
      <c r="C277" s="21"/>
      <c r="D277" s="21"/>
      <c r="E277" s="21"/>
      <c r="F277" s="2"/>
      <c r="G277" s="2"/>
      <c r="H277" s="35"/>
      <c r="I277" s="21"/>
      <c r="J277" s="21"/>
      <c r="K277" s="21"/>
      <c r="L277" s="21"/>
      <c r="M277" s="21"/>
      <c r="N277" s="21"/>
      <c r="O277" s="21"/>
      <c r="P277" s="21"/>
      <c r="Q277" s="2"/>
      <c r="R277" s="2"/>
      <c r="S277" s="2"/>
      <c r="T277" s="2"/>
      <c r="U277" s="2"/>
      <c r="V277" s="2"/>
      <c r="W277" s="2"/>
      <c r="X277" s="2"/>
      <c r="Y277" s="2"/>
      <c r="Z277" s="2"/>
      <c r="AA277" s="2"/>
      <c r="AB277" s="2"/>
    </row>
    <row r="278">
      <c r="A278" s="2"/>
      <c r="B278" s="21"/>
      <c r="C278" s="21"/>
      <c r="D278" s="21"/>
      <c r="E278" s="21"/>
      <c r="F278" s="2"/>
      <c r="G278" s="2"/>
      <c r="H278" s="35"/>
      <c r="I278" s="21"/>
      <c r="J278" s="21"/>
      <c r="K278" s="21"/>
      <c r="L278" s="21"/>
      <c r="M278" s="21"/>
      <c r="N278" s="21"/>
      <c r="O278" s="21"/>
      <c r="P278" s="21"/>
      <c r="Q278" s="2"/>
      <c r="R278" s="2"/>
      <c r="S278" s="2"/>
      <c r="T278" s="2"/>
      <c r="U278" s="2"/>
      <c r="V278" s="2"/>
      <c r="W278" s="2"/>
      <c r="X278" s="2"/>
      <c r="Y278" s="2"/>
      <c r="Z278" s="2"/>
      <c r="AA278" s="2"/>
      <c r="AB278" s="2"/>
    </row>
    <row r="279">
      <c r="A279" s="2"/>
      <c r="B279" s="21"/>
      <c r="C279" s="21"/>
      <c r="D279" s="21"/>
      <c r="E279" s="21"/>
      <c r="F279" s="2"/>
      <c r="G279" s="2"/>
      <c r="H279" s="35"/>
      <c r="I279" s="21"/>
      <c r="J279" s="21"/>
      <c r="K279" s="21"/>
      <c r="L279" s="21"/>
      <c r="M279" s="21"/>
      <c r="N279" s="21"/>
      <c r="O279" s="21"/>
      <c r="P279" s="21"/>
      <c r="Q279" s="2"/>
      <c r="R279" s="2"/>
      <c r="S279" s="2"/>
      <c r="T279" s="2"/>
      <c r="U279" s="2"/>
      <c r="V279" s="2"/>
      <c r="W279" s="2"/>
      <c r="X279" s="2"/>
      <c r="Y279" s="2"/>
      <c r="Z279" s="2"/>
      <c r="AA279" s="2"/>
      <c r="AB279" s="2"/>
    </row>
    <row r="280">
      <c r="A280" s="2"/>
      <c r="B280" s="21"/>
      <c r="C280" s="21"/>
      <c r="D280" s="21"/>
      <c r="E280" s="21"/>
      <c r="F280" s="2"/>
      <c r="G280" s="2"/>
      <c r="H280" s="35"/>
      <c r="I280" s="21"/>
      <c r="J280" s="21"/>
      <c r="K280" s="21"/>
      <c r="L280" s="21"/>
      <c r="M280" s="21"/>
      <c r="N280" s="21"/>
      <c r="O280" s="21"/>
      <c r="P280" s="21"/>
      <c r="Q280" s="2"/>
      <c r="R280" s="2"/>
      <c r="S280" s="2"/>
      <c r="T280" s="2"/>
      <c r="U280" s="2"/>
      <c r="V280" s="2"/>
      <c r="W280" s="2"/>
      <c r="X280" s="2"/>
      <c r="Y280" s="2"/>
      <c r="Z280" s="2"/>
      <c r="AA280" s="2"/>
      <c r="AB280" s="2"/>
    </row>
    <row r="281">
      <c r="A281" s="2"/>
      <c r="B281" s="21"/>
      <c r="C281" s="21"/>
      <c r="D281" s="21"/>
      <c r="E281" s="21"/>
      <c r="F281" s="2"/>
      <c r="G281" s="2"/>
      <c r="H281" s="35"/>
      <c r="I281" s="21"/>
      <c r="J281" s="21"/>
      <c r="K281" s="21"/>
      <c r="L281" s="21"/>
      <c r="M281" s="21"/>
      <c r="N281" s="21"/>
      <c r="O281" s="21"/>
      <c r="P281" s="21"/>
      <c r="Q281" s="2"/>
      <c r="R281" s="2"/>
      <c r="S281" s="2"/>
      <c r="T281" s="2"/>
      <c r="U281" s="2"/>
      <c r="V281" s="2"/>
      <c r="W281" s="2"/>
      <c r="X281" s="2"/>
      <c r="Y281" s="2"/>
      <c r="Z281" s="2"/>
      <c r="AA281" s="2"/>
      <c r="AB281" s="2"/>
    </row>
    <row r="282">
      <c r="A282" s="2"/>
      <c r="B282" s="21"/>
      <c r="C282" s="21"/>
      <c r="D282" s="21"/>
      <c r="E282" s="21"/>
      <c r="F282" s="2"/>
      <c r="G282" s="2"/>
      <c r="H282" s="35"/>
      <c r="I282" s="21"/>
      <c r="J282" s="21"/>
      <c r="K282" s="21"/>
      <c r="L282" s="21"/>
      <c r="M282" s="21"/>
      <c r="N282" s="21"/>
      <c r="O282" s="21"/>
      <c r="P282" s="21"/>
      <c r="Q282" s="2"/>
      <c r="R282" s="2"/>
      <c r="S282" s="2"/>
      <c r="T282" s="2"/>
      <c r="U282" s="2"/>
      <c r="V282" s="2"/>
      <c r="W282" s="2"/>
      <c r="X282" s="2"/>
      <c r="Y282" s="2"/>
      <c r="Z282" s="2"/>
      <c r="AA282" s="2"/>
      <c r="AB282" s="2"/>
    </row>
    <row r="283">
      <c r="A283" s="2"/>
      <c r="B283" s="21"/>
      <c r="C283" s="21"/>
      <c r="D283" s="21"/>
      <c r="E283" s="21"/>
      <c r="F283" s="2"/>
      <c r="G283" s="2"/>
      <c r="H283" s="35"/>
      <c r="I283" s="21"/>
      <c r="J283" s="21"/>
      <c r="K283" s="21"/>
      <c r="L283" s="21"/>
      <c r="M283" s="21"/>
      <c r="N283" s="21"/>
      <c r="O283" s="21"/>
      <c r="P283" s="21"/>
      <c r="Q283" s="2"/>
      <c r="R283" s="2"/>
      <c r="S283" s="2"/>
      <c r="T283" s="2"/>
      <c r="U283" s="2"/>
      <c r="V283" s="2"/>
      <c r="W283" s="2"/>
      <c r="X283" s="2"/>
      <c r="Y283" s="2"/>
      <c r="Z283" s="2"/>
      <c r="AA283" s="2"/>
      <c r="AB283" s="2"/>
    </row>
    <row r="284">
      <c r="A284" s="2"/>
      <c r="B284" s="21"/>
      <c r="C284" s="21"/>
      <c r="D284" s="21"/>
      <c r="E284" s="21"/>
      <c r="F284" s="2"/>
      <c r="G284" s="2"/>
      <c r="H284" s="35"/>
      <c r="I284" s="21"/>
      <c r="J284" s="21"/>
      <c r="K284" s="21"/>
      <c r="L284" s="21"/>
      <c r="M284" s="21"/>
      <c r="N284" s="21"/>
      <c r="O284" s="21"/>
      <c r="P284" s="21"/>
      <c r="Q284" s="2"/>
      <c r="R284" s="2"/>
      <c r="S284" s="2"/>
      <c r="T284" s="2"/>
      <c r="U284" s="2"/>
      <c r="V284" s="2"/>
      <c r="W284" s="2"/>
      <c r="X284" s="2"/>
      <c r="Y284" s="2"/>
      <c r="Z284" s="2"/>
      <c r="AA284" s="2"/>
      <c r="AB284" s="2"/>
    </row>
    <row r="285">
      <c r="A285" s="2"/>
      <c r="B285" s="21"/>
      <c r="C285" s="21"/>
      <c r="D285" s="21"/>
      <c r="E285" s="21"/>
      <c r="F285" s="2"/>
      <c r="G285" s="2"/>
      <c r="H285" s="35"/>
      <c r="I285" s="21"/>
      <c r="J285" s="21"/>
      <c r="K285" s="21"/>
      <c r="L285" s="21"/>
      <c r="M285" s="21"/>
      <c r="N285" s="21"/>
      <c r="O285" s="21"/>
      <c r="P285" s="21"/>
      <c r="Q285" s="2"/>
      <c r="R285" s="2"/>
      <c r="S285" s="2"/>
      <c r="T285" s="2"/>
      <c r="U285" s="2"/>
      <c r="V285" s="2"/>
      <c r="W285" s="2"/>
      <c r="X285" s="2"/>
      <c r="Y285" s="2"/>
      <c r="Z285" s="2"/>
      <c r="AA285" s="2"/>
      <c r="AB285" s="2"/>
    </row>
    <row r="286">
      <c r="A286" s="2"/>
      <c r="B286" s="21"/>
      <c r="C286" s="21"/>
      <c r="D286" s="21"/>
      <c r="E286" s="21"/>
      <c r="F286" s="2"/>
      <c r="G286" s="2"/>
      <c r="H286" s="35"/>
      <c r="I286" s="21"/>
      <c r="J286" s="21"/>
      <c r="K286" s="21"/>
      <c r="L286" s="21"/>
      <c r="M286" s="21"/>
      <c r="N286" s="21"/>
      <c r="O286" s="21"/>
      <c r="P286" s="21"/>
      <c r="Q286" s="2"/>
      <c r="R286" s="2"/>
      <c r="S286" s="2"/>
      <c r="T286" s="2"/>
      <c r="U286" s="2"/>
      <c r="V286" s="2"/>
      <c r="W286" s="2"/>
      <c r="X286" s="2"/>
      <c r="Y286" s="2"/>
      <c r="Z286" s="2"/>
      <c r="AA286" s="2"/>
      <c r="AB286" s="2"/>
    </row>
    <row r="287">
      <c r="A287" s="2"/>
      <c r="B287" s="21"/>
      <c r="C287" s="21"/>
      <c r="D287" s="21"/>
      <c r="E287" s="21"/>
      <c r="F287" s="2"/>
      <c r="G287" s="2"/>
      <c r="H287" s="35"/>
      <c r="I287" s="21"/>
      <c r="J287" s="21"/>
      <c r="K287" s="21"/>
      <c r="L287" s="21"/>
      <c r="M287" s="21"/>
      <c r="N287" s="21"/>
      <c r="O287" s="21"/>
      <c r="P287" s="21"/>
      <c r="Q287" s="2"/>
      <c r="R287" s="2"/>
      <c r="S287" s="2"/>
      <c r="T287" s="2"/>
      <c r="U287" s="2"/>
      <c r="V287" s="2"/>
      <c r="W287" s="2"/>
      <c r="X287" s="2"/>
      <c r="Y287" s="2"/>
      <c r="Z287" s="2"/>
      <c r="AA287" s="2"/>
      <c r="AB287" s="2"/>
    </row>
    <row r="288">
      <c r="A288" s="2"/>
      <c r="B288" s="21"/>
      <c r="C288" s="21"/>
      <c r="D288" s="21"/>
      <c r="E288" s="21"/>
      <c r="F288" s="2"/>
      <c r="G288" s="2"/>
      <c r="H288" s="35"/>
      <c r="I288" s="21"/>
      <c r="J288" s="21"/>
      <c r="K288" s="21"/>
      <c r="L288" s="21"/>
      <c r="M288" s="21"/>
      <c r="N288" s="21"/>
      <c r="O288" s="21"/>
      <c r="P288" s="21"/>
      <c r="Q288" s="2"/>
      <c r="R288" s="2"/>
      <c r="S288" s="2"/>
      <c r="T288" s="2"/>
      <c r="U288" s="2"/>
      <c r="V288" s="2"/>
      <c r="W288" s="2"/>
      <c r="X288" s="2"/>
      <c r="Y288" s="2"/>
      <c r="Z288" s="2"/>
      <c r="AA288" s="2"/>
      <c r="AB288" s="2"/>
    </row>
    <row r="289">
      <c r="A289" s="2"/>
      <c r="B289" s="21"/>
      <c r="C289" s="21"/>
      <c r="D289" s="21"/>
      <c r="E289" s="21"/>
      <c r="F289" s="2"/>
      <c r="G289" s="2"/>
      <c r="H289" s="35"/>
      <c r="I289" s="21"/>
      <c r="J289" s="21"/>
      <c r="K289" s="21"/>
      <c r="L289" s="21"/>
      <c r="M289" s="21"/>
      <c r="N289" s="21"/>
      <c r="O289" s="21"/>
      <c r="P289" s="21"/>
      <c r="Q289" s="2"/>
      <c r="R289" s="2"/>
      <c r="S289" s="2"/>
      <c r="T289" s="2"/>
      <c r="U289" s="2"/>
      <c r="V289" s="2"/>
      <c r="W289" s="2"/>
      <c r="X289" s="2"/>
      <c r="Y289" s="2"/>
      <c r="Z289" s="2"/>
      <c r="AA289" s="2"/>
      <c r="AB289" s="2"/>
    </row>
    <row r="290">
      <c r="A290" s="2"/>
      <c r="B290" s="21"/>
      <c r="C290" s="21"/>
      <c r="D290" s="21"/>
      <c r="E290" s="21"/>
      <c r="F290" s="2"/>
      <c r="G290" s="2"/>
      <c r="H290" s="35"/>
      <c r="I290" s="21"/>
      <c r="J290" s="21"/>
      <c r="K290" s="21"/>
      <c r="L290" s="21"/>
      <c r="M290" s="21"/>
      <c r="N290" s="21"/>
      <c r="O290" s="21"/>
      <c r="P290" s="21"/>
      <c r="Q290" s="2"/>
      <c r="R290" s="2"/>
      <c r="S290" s="2"/>
      <c r="T290" s="2"/>
      <c r="U290" s="2"/>
      <c r="V290" s="2"/>
      <c r="W290" s="2"/>
      <c r="X290" s="2"/>
      <c r="Y290" s="2"/>
      <c r="Z290" s="2"/>
      <c r="AA290" s="2"/>
      <c r="AB290" s="2"/>
    </row>
    <row r="291">
      <c r="A291" s="2"/>
      <c r="B291" s="21"/>
      <c r="C291" s="21"/>
      <c r="D291" s="21"/>
      <c r="E291" s="21"/>
      <c r="F291" s="2"/>
      <c r="G291" s="2"/>
      <c r="H291" s="35"/>
      <c r="I291" s="21"/>
      <c r="J291" s="21"/>
      <c r="K291" s="21"/>
      <c r="L291" s="21"/>
      <c r="M291" s="21"/>
      <c r="N291" s="21"/>
      <c r="O291" s="21"/>
      <c r="P291" s="21"/>
      <c r="Q291" s="2"/>
      <c r="R291" s="2"/>
      <c r="S291" s="2"/>
      <c r="T291" s="2"/>
      <c r="U291" s="2"/>
      <c r="V291" s="2"/>
      <c r="W291" s="2"/>
      <c r="X291" s="2"/>
      <c r="Y291" s="2"/>
      <c r="Z291" s="2"/>
      <c r="AA291" s="2"/>
      <c r="AB291" s="2"/>
    </row>
    <row r="292">
      <c r="A292" s="2"/>
      <c r="B292" s="21"/>
      <c r="C292" s="21"/>
      <c r="D292" s="21"/>
      <c r="E292" s="21"/>
      <c r="F292" s="2"/>
      <c r="G292" s="2"/>
      <c r="H292" s="35"/>
      <c r="I292" s="21"/>
      <c r="J292" s="21"/>
      <c r="K292" s="21"/>
      <c r="L292" s="21"/>
      <c r="M292" s="21"/>
      <c r="N292" s="21"/>
      <c r="O292" s="21"/>
      <c r="P292" s="21"/>
      <c r="Q292" s="2"/>
      <c r="R292" s="2"/>
      <c r="S292" s="2"/>
      <c r="T292" s="2"/>
      <c r="U292" s="2"/>
      <c r="V292" s="2"/>
      <c r="W292" s="2"/>
      <c r="X292" s="2"/>
      <c r="Y292" s="2"/>
      <c r="Z292" s="2"/>
      <c r="AA292" s="2"/>
      <c r="AB292" s="2"/>
    </row>
    <row r="293">
      <c r="A293" s="2"/>
      <c r="B293" s="21"/>
      <c r="C293" s="21"/>
      <c r="D293" s="21"/>
      <c r="E293" s="21"/>
      <c r="F293" s="2"/>
      <c r="G293" s="2"/>
      <c r="H293" s="35"/>
      <c r="I293" s="21"/>
      <c r="J293" s="21"/>
      <c r="K293" s="21"/>
      <c r="L293" s="21"/>
      <c r="M293" s="21"/>
      <c r="N293" s="21"/>
      <c r="O293" s="21"/>
      <c r="P293" s="21"/>
      <c r="Q293" s="2"/>
      <c r="R293" s="2"/>
      <c r="S293" s="2"/>
      <c r="T293" s="2"/>
      <c r="U293" s="2"/>
      <c r="V293" s="2"/>
      <c r="W293" s="2"/>
      <c r="X293" s="2"/>
      <c r="Y293" s="2"/>
      <c r="Z293" s="2"/>
      <c r="AA293" s="2"/>
      <c r="AB293" s="2"/>
    </row>
    <row r="294">
      <c r="A294" s="2"/>
      <c r="B294" s="21"/>
      <c r="C294" s="21"/>
      <c r="D294" s="21"/>
      <c r="E294" s="21"/>
      <c r="F294" s="2"/>
      <c r="G294" s="2"/>
      <c r="H294" s="35"/>
      <c r="I294" s="21"/>
      <c r="J294" s="21"/>
      <c r="K294" s="21"/>
      <c r="L294" s="21"/>
      <c r="M294" s="21"/>
      <c r="N294" s="21"/>
      <c r="O294" s="21"/>
      <c r="P294" s="21"/>
      <c r="Q294" s="2"/>
      <c r="R294" s="2"/>
      <c r="S294" s="2"/>
      <c r="T294" s="2"/>
      <c r="U294" s="2"/>
      <c r="V294" s="2"/>
      <c r="W294" s="2"/>
      <c r="X294" s="2"/>
      <c r="Y294" s="2"/>
      <c r="Z294" s="2"/>
      <c r="AA294" s="2"/>
      <c r="AB294" s="2"/>
    </row>
    <row r="295">
      <c r="A295" s="2"/>
      <c r="B295" s="21"/>
      <c r="C295" s="21"/>
      <c r="D295" s="21"/>
      <c r="E295" s="21"/>
      <c r="F295" s="2"/>
      <c r="G295" s="2"/>
      <c r="H295" s="35"/>
      <c r="I295" s="21"/>
      <c r="J295" s="21"/>
      <c r="K295" s="21"/>
      <c r="L295" s="21"/>
      <c r="M295" s="21"/>
      <c r="N295" s="21"/>
      <c r="O295" s="21"/>
      <c r="P295" s="21"/>
      <c r="Q295" s="2"/>
      <c r="R295" s="2"/>
      <c r="S295" s="2"/>
      <c r="T295" s="2"/>
      <c r="U295" s="2"/>
      <c r="V295" s="2"/>
      <c r="W295" s="2"/>
      <c r="X295" s="2"/>
      <c r="Y295" s="2"/>
      <c r="Z295" s="2"/>
      <c r="AA295" s="2"/>
      <c r="AB295" s="2"/>
    </row>
    <row r="296">
      <c r="A296" s="2"/>
      <c r="B296" s="21"/>
      <c r="C296" s="21"/>
      <c r="D296" s="21"/>
      <c r="E296" s="21"/>
      <c r="F296" s="2"/>
      <c r="G296" s="2"/>
      <c r="H296" s="35"/>
      <c r="I296" s="21"/>
      <c r="J296" s="21"/>
      <c r="K296" s="21"/>
      <c r="L296" s="21"/>
      <c r="M296" s="21"/>
      <c r="N296" s="21"/>
      <c r="O296" s="21"/>
      <c r="P296" s="21"/>
      <c r="Q296" s="2"/>
      <c r="R296" s="2"/>
      <c r="S296" s="2"/>
      <c r="T296" s="2"/>
      <c r="U296" s="2"/>
      <c r="V296" s="2"/>
      <c r="W296" s="2"/>
      <c r="X296" s="2"/>
      <c r="Y296" s="2"/>
      <c r="Z296" s="2"/>
      <c r="AA296" s="2"/>
      <c r="AB296" s="2"/>
    </row>
    <row r="297">
      <c r="A297" s="2"/>
      <c r="B297" s="21"/>
      <c r="C297" s="21"/>
      <c r="D297" s="21"/>
      <c r="E297" s="21"/>
      <c r="F297" s="2"/>
      <c r="G297" s="2"/>
      <c r="H297" s="35"/>
      <c r="I297" s="21"/>
      <c r="J297" s="21"/>
      <c r="K297" s="21"/>
      <c r="L297" s="21"/>
      <c r="M297" s="21"/>
      <c r="N297" s="21"/>
      <c r="O297" s="21"/>
      <c r="P297" s="21"/>
      <c r="Q297" s="2"/>
      <c r="R297" s="2"/>
      <c r="S297" s="2"/>
      <c r="T297" s="2"/>
      <c r="U297" s="2"/>
      <c r="V297" s="2"/>
      <c r="W297" s="2"/>
      <c r="X297" s="2"/>
      <c r="Y297" s="2"/>
      <c r="Z297" s="2"/>
      <c r="AA297" s="2"/>
      <c r="AB297" s="2"/>
    </row>
    <row r="298">
      <c r="A298" s="2"/>
      <c r="B298" s="21"/>
      <c r="C298" s="21"/>
      <c r="D298" s="21"/>
      <c r="E298" s="21"/>
      <c r="F298" s="2"/>
      <c r="G298" s="2"/>
      <c r="H298" s="35"/>
      <c r="I298" s="21"/>
      <c r="J298" s="21"/>
      <c r="K298" s="21"/>
      <c r="L298" s="21"/>
      <c r="M298" s="21"/>
      <c r="N298" s="21"/>
      <c r="O298" s="21"/>
      <c r="P298" s="21"/>
      <c r="Q298" s="2"/>
      <c r="R298" s="2"/>
      <c r="S298" s="2"/>
      <c r="T298" s="2"/>
      <c r="U298" s="2"/>
      <c r="V298" s="2"/>
      <c r="W298" s="2"/>
      <c r="X298" s="2"/>
      <c r="Y298" s="2"/>
      <c r="Z298" s="2"/>
      <c r="AA298" s="2"/>
      <c r="AB298" s="2"/>
    </row>
    <row r="299">
      <c r="A299" s="2"/>
      <c r="B299" s="21"/>
      <c r="C299" s="21"/>
      <c r="D299" s="21"/>
      <c r="E299" s="21"/>
      <c r="F299" s="2"/>
      <c r="G299" s="2"/>
      <c r="H299" s="35"/>
      <c r="I299" s="21"/>
      <c r="J299" s="21"/>
      <c r="K299" s="21"/>
      <c r="L299" s="21"/>
      <c r="M299" s="21"/>
      <c r="N299" s="21"/>
      <c r="O299" s="21"/>
      <c r="P299" s="21"/>
      <c r="Q299" s="2"/>
      <c r="R299" s="2"/>
      <c r="S299" s="2"/>
      <c r="T299" s="2"/>
      <c r="U299" s="2"/>
      <c r="V299" s="2"/>
      <c r="W299" s="2"/>
      <c r="X299" s="2"/>
      <c r="Y299" s="2"/>
      <c r="Z299" s="2"/>
      <c r="AA299" s="2"/>
      <c r="AB299" s="2"/>
    </row>
    <row r="300">
      <c r="A300" s="2"/>
      <c r="B300" s="21"/>
      <c r="C300" s="21"/>
      <c r="D300" s="21"/>
      <c r="E300" s="21"/>
      <c r="F300" s="2"/>
      <c r="G300" s="2"/>
      <c r="H300" s="35"/>
      <c r="I300" s="21"/>
      <c r="J300" s="21"/>
      <c r="K300" s="21"/>
      <c r="L300" s="21"/>
      <c r="M300" s="21"/>
      <c r="N300" s="21"/>
      <c r="O300" s="21"/>
      <c r="P300" s="21"/>
      <c r="Q300" s="2"/>
      <c r="R300" s="2"/>
      <c r="S300" s="2"/>
      <c r="T300" s="2"/>
      <c r="U300" s="2"/>
      <c r="V300" s="2"/>
      <c r="W300" s="2"/>
      <c r="X300" s="2"/>
      <c r="Y300" s="2"/>
      <c r="Z300" s="2"/>
      <c r="AA300" s="2"/>
      <c r="AB300" s="2"/>
    </row>
    <row r="301">
      <c r="A301" s="2"/>
      <c r="B301" s="21"/>
      <c r="C301" s="21"/>
      <c r="D301" s="21"/>
      <c r="E301" s="21"/>
      <c r="F301" s="2"/>
      <c r="G301" s="2"/>
      <c r="H301" s="35"/>
      <c r="I301" s="21"/>
      <c r="J301" s="21"/>
      <c r="K301" s="21"/>
      <c r="L301" s="21"/>
      <c r="M301" s="21"/>
      <c r="N301" s="21"/>
      <c r="O301" s="21"/>
      <c r="P301" s="21"/>
      <c r="Q301" s="2"/>
      <c r="R301" s="2"/>
      <c r="S301" s="2"/>
      <c r="T301" s="2"/>
      <c r="U301" s="2"/>
      <c r="V301" s="2"/>
      <c r="W301" s="2"/>
      <c r="X301" s="2"/>
      <c r="Y301" s="2"/>
      <c r="Z301" s="2"/>
      <c r="AA301" s="2"/>
      <c r="AB301" s="2"/>
    </row>
    <row r="302">
      <c r="A302" s="2"/>
      <c r="B302" s="21"/>
      <c r="C302" s="21"/>
      <c r="D302" s="21"/>
      <c r="E302" s="21"/>
      <c r="F302" s="2"/>
      <c r="G302" s="2"/>
      <c r="H302" s="35"/>
      <c r="I302" s="21"/>
      <c r="J302" s="21"/>
      <c r="K302" s="21"/>
      <c r="L302" s="21"/>
      <c r="M302" s="21"/>
      <c r="N302" s="21"/>
      <c r="O302" s="21"/>
      <c r="P302" s="21"/>
      <c r="Q302" s="2"/>
      <c r="R302" s="2"/>
      <c r="S302" s="2"/>
      <c r="T302" s="2"/>
      <c r="U302" s="2"/>
      <c r="V302" s="2"/>
      <c r="W302" s="2"/>
      <c r="X302" s="2"/>
      <c r="Y302" s="2"/>
      <c r="Z302" s="2"/>
      <c r="AA302" s="2"/>
      <c r="AB302" s="2"/>
    </row>
    <row r="303">
      <c r="A303" s="2"/>
      <c r="B303" s="21"/>
      <c r="C303" s="21"/>
      <c r="D303" s="21"/>
      <c r="E303" s="21"/>
      <c r="F303" s="2"/>
      <c r="G303" s="2"/>
      <c r="H303" s="35"/>
      <c r="I303" s="21"/>
      <c r="J303" s="21"/>
      <c r="K303" s="21"/>
      <c r="L303" s="21"/>
      <c r="M303" s="21"/>
      <c r="N303" s="21"/>
      <c r="O303" s="21"/>
      <c r="P303" s="21"/>
      <c r="Q303" s="2"/>
      <c r="R303" s="2"/>
      <c r="S303" s="2"/>
      <c r="T303" s="2"/>
      <c r="U303" s="2"/>
      <c r="V303" s="2"/>
      <c r="W303" s="2"/>
      <c r="X303" s="2"/>
      <c r="Y303" s="2"/>
      <c r="Z303" s="2"/>
      <c r="AA303" s="2"/>
      <c r="AB303" s="2"/>
    </row>
    <row r="304">
      <c r="A304" s="2"/>
      <c r="B304" s="21"/>
      <c r="C304" s="21"/>
      <c r="D304" s="21"/>
      <c r="E304" s="21"/>
      <c r="F304" s="2"/>
      <c r="G304" s="2"/>
      <c r="H304" s="35"/>
      <c r="I304" s="21"/>
      <c r="J304" s="21"/>
      <c r="K304" s="21"/>
      <c r="L304" s="21"/>
      <c r="M304" s="21"/>
      <c r="N304" s="21"/>
      <c r="O304" s="21"/>
      <c r="P304" s="21"/>
      <c r="Q304" s="2"/>
      <c r="R304" s="2"/>
      <c r="S304" s="2"/>
      <c r="T304" s="2"/>
      <c r="U304" s="2"/>
      <c r="V304" s="2"/>
      <c r="W304" s="2"/>
      <c r="X304" s="2"/>
      <c r="Y304" s="2"/>
      <c r="Z304" s="2"/>
      <c r="AA304" s="2"/>
      <c r="AB304" s="2"/>
    </row>
    <row r="305">
      <c r="A305" s="2"/>
      <c r="B305" s="21"/>
      <c r="C305" s="21"/>
      <c r="D305" s="21"/>
      <c r="E305" s="21"/>
      <c r="F305" s="2"/>
      <c r="G305" s="2"/>
      <c r="H305" s="35"/>
      <c r="I305" s="21"/>
      <c r="J305" s="21"/>
      <c r="K305" s="21"/>
      <c r="L305" s="21"/>
      <c r="M305" s="21"/>
      <c r="N305" s="21"/>
      <c r="O305" s="21"/>
      <c r="P305" s="21"/>
      <c r="Q305" s="2"/>
      <c r="R305" s="2"/>
      <c r="S305" s="2"/>
      <c r="T305" s="2"/>
      <c r="U305" s="2"/>
      <c r="V305" s="2"/>
      <c r="W305" s="2"/>
      <c r="X305" s="2"/>
      <c r="Y305" s="2"/>
      <c r="Z305" s="2"/>
      <c r="AA305" s="2"/>
      <c r="AB305" s="2"/>
    </row>
    <row r="306">
      <c r="A306" s="2"/>
      <c r="B306" s="21"/>
      <c r="C306" s="21"/>
      <c r="D306" s="21"/>
      <c r="E306" s="21"/>
      <c r="F306" s="2"/>
      <c r="G306" s="2"/>
      <c r="H306" s="35"/>
      <c r="I306" s="21"/>
      <c r="J306" s="21"/>
      <c r="K306" s="21"/>
      <c r="L306" s="21"/>
      <c r="M306" s="21"/>
      <c r="N306" s="21"/>
      <c r="O306" s="21"/>
      <c r="P306" s="21"/>
      <c r="Q306" s="2"/>
      <c r="R306" s="2"/>
      <c r="S306" s="2"/>
      <c r="T306" s="2"/>
      <c r="U306" s="2"/>
      <c r="V306" s="2"/>
      <c r="W306" s="2"/>
      <c r="X306" s="2"/>
      <c r="Y306" s="2"/>
      <c r="Z306" s="2"/>
      <c r="AA306" s="2"/>
      <c r="AB306" s="2"/>
    </row>
    <row r="307">
      <c r="A307" s="2"/>
      <c r="B307" s="21"/>
      <c r="C307" s="21"/>
      <c r="D307" s="21"/>
      <c r="E307" s="21"/>
      <c r="F307" s="2"/>
      <c r="G307" s="2"/>
      <c r="H307" s="35"/>
      <c r="I307" s="21"/>
      <c r="J307" s="21"/>
      <c r="K307" s="21"/>
      <c r="L307" s="21"/>
      <c r="M307" s="21"/>
      <c r="N307" s="21"/>
      <c r="O307" s="21"/>
      <c r="P307" s="21"/>
      <c r="Q307" s="2"/>
      <c r="R307" s="2"/>
      <c r="S307" s="2"/>
      <c r="T307" s="2"/>
      <c r="U307" s="2"/>
      <c r="V307" s="2"/>
      <c r="W307" s="2"/>
      <c r="X307" s="2"/>
      <c r="Y307" s="2"/>
      <c r="Z307" s="2"/>
      <c r="AA307" s="2"/>
      <c r="AB307" s="2"/>
    </row>
    <row r="308">
      <c r="A308" s="2"/>
      <c r="B308" s="21"/>
      <c r="C308" s="21"/>
      <c r="D308" s="21"/>
      <c r="E308" s="21"/>
      <c r="F308" s="2"/>
      <c r="G308" s="2"/>
      <c r="H308" s="35"/>
      <c r="I308" s="21"/>
      <c r="J308" s="21"/>
      <c r="K308" s="21"/>
      <c r="L308" s="21"/>
      <c r="M308" s="21"/>
      <c r="N308" s="21"/>
      <c r="O308" s="21"/>
      <c r="P308" s="21"/>
      <c r="Q308" s="2"/>
      <c r="R308" s="2"/>
      <c r="S308" s="2"/>
      <c r="T308" s="2"/>
      <c r="U308" s="2"/>
      <c r="V308" s="2"/>
      <c r="W308" s="2"/>
      <c r="X308" s="2"/>
      <c r="Y308" s="2"/>
      <c r="Z308" s="2"/>
      <c r="AA308" s="2"/>
      <c r="AB308" s="2"/>
    </row>
    <row r="309">
      <c r="A309" s="2"/>
      <c r="B309" s="21"/>
      <c r="C309" s="21"/>
      <c r="D309" s="21"/>
      <c r="E309" s="21"/>
      <c r="F309" s="2"/>
      <c r="G309" s="2"/>
      <c r="H309" s="35"/>
      <c r="I309" s="21"/>
      <c r="J309" s="21"/>
      <c r="K309" s="21"/>
      <c r="L309" s="21"/>
      <c r="M309" s="21"/>
      <c r="N309" s="21"/>
      <c r="O309" s="21"/>
      <c r="P309" s="21"/>
      <c r="Q309" s="2"/>
      <c r="R309" s="2"/>
      <c r="S309" s="2"/>
      <c r="T309" s="2"/>
      <c r="U309" s="2"/>
      <c r="V309" s="2"/>
      <c r="W309" s="2"/>
      <c r="X309" s="2"/>
      <c r="Y309" s="2"/>
      <c r="Z309" s="2"/>
      <c r="AA309" s="2"/>
      <c r="AB309" s="2"/>
    </row>
    <row r="310">
      <c r="A310" s="2"/>
      <c r="B310" s="21"/>
      <c r="C310" s="21"/>
      <c r="D310" s="21"/>
      <c r="E310" s="21"/>
      <c r="F310" s="2"/>
      <c r="G310" s="2"/>
      <c r="H310" s="35"/>
      <c r="I310" s="21"/>
      <c r="J310" s="21"/>
      <c r="K310" s="21"/>
      <c r="L310" s="21"/>
      <c r="M310" s="21"/>
      <c r="N310" s="21"/>
      <c r="O310" s="21"/>
      <c r="P310" s="21"/>
      <c r="Q310" s="2"/>
      <c r="R310" s="2"/>
      <c r="S310" s="2"/>
      <c r="T310" s="2"/>
      <c r="U310" s="2"/>
      <c r="V310" s="2"/>
      <c r="W310" s="2"/>
      <c r="X310" s="2"/>
      <c r="Y310" s="2"/>
      <c r="Z310" s="2"/>
      <c r="AA310" s="2"/>
      <c r="AB310" s="2"/>
    </row>
    <row r="311">
      <c r="A311" s="2"/>
      <c r="B311" s="21"/>
      <c r="C311" s="21"/>
      <c r="D311" s="21"/>
      <c r="E311" s="21"/>
      <c r="F311" s="2"/>
      <c r="G311" s="2"/>
      <c r="H311" s="35"/>
      <c r="I311" s="21"/>
      <c r="J311" s="21"/>
      <c r="K311" s="21"/>
      <c r="L311" s="21"/>
      <c r="M311" s="21"/>
      <c r="N311" s="21"/>
      <c r="O311" s="21"/>
      <c r="P311" s="21"/>
      <c r="Q311" s="2"/>
      <c r="R311" s="2"/>
      <c r="S311" s="2"/>
      <c r="T311" s="2"/>
      <c r="U311" s="2"/>
      <c r="V311" s="2"/>
      <c r="W311" s="2"/>
      <c r="X311" s="2"/>
      <c r="Y311" s="2"/>
      <c r="Z311" s="2"/>
      <c r="AA311" s="2"/>
      <c r="AB311" s="2"/>
    </row>
    <row r="312">
      <c r="A312" s="2"/>
      <c r="B312" s="21"/>
      <c r="C312" s="21"/>
      <c r="D312" s="21"/>
      <c r="E312" s="21"/>
      <c r="F312" s="2"/>
      <c r="G312" s="2"/>
      <c r="H312" s="35"/>
      <c r="I312" s="21"/>
      <c r="J312" s="21"/>
      <c r="K312" s="21"/>
      <c r="L312" s="21"/>
      <c r="M312" s="21"/>
      <c r="N312" s="21"/>
      <c r="O312" s="21"/>
      <c r="P312" s="21"/>
      <c r="Q312" s="2"/>
      <c r="R312" s="2"/>
      <c r="S312" s="2"/>
      <c r="T312" s="2"/>
      <c r="U312" s="2"/>
      <c r="V312" s="2"/>
      <c r="W312" s="2"/>
      <c r="X312" s="2"/>
      <c r="Y312" s="2"/>
      <c r="Z312" s="2"/>
      <c r="AA312" s="2"/>
      <c r="AB312" s="2"/>
    </row>
    <row r="313">
      <c r="A313" s="2"/>
      <c r="B313" s="21"/>
      <c r="C313" s="21"/>
      <c r="D313" s="21"/>
      <c r="E313" s="21"/>
      <c r="F313" s="2"/>
      <c r="G313" s="2"/>
      <c r="H313" s="35"/>
      <c r="I313" s="21"/>
      <c r="J313" s="21"/>
      <c r="K313" s="21"/>
      <c r="L313" s="21"/>
      <c r="M313" s="21"/>
      <c r="N313" s="21"/>
      <c r="O313" s="21"/>
      <c r="P313" s="21"/>
      <c r="Q313" s="2"/>
      <c r="R313" s="2"/>
      <c r="S313" s="2"/>
      <c r="T313" s="2"/>
      <c r="U313" s="2"/>
      <c r="V313" s="2"/>
      <c r="W313" s="2"/>
      <c r="X313" s="2"/>
      <c r="Y313" s="2"/>
      <c r="Z313" s="2"/>
      <c r="AA313" s="2"/>
      <c r="AB313" s="2"/>
    </row>
    <row r="314">
      <c r="A314" s="2"/>
      <c r="B314" s="21"/>
      <c r="C314" s="21"/>
      <c r="D314" s="21"/>
      <c r="E314" s="21"/>
      <c r="F314" s="2"/>
      <c r="G314" s="2"/>
      <c r="H314" s="35"/>
      <c r="I314" s="21"/>
      <c r="J314" s="21"/>
      <c r="K314" s="21"/>
      <c r="L314" s="21"/>
      <c r="M314" s="21"/>
      <c r="N314" s="21"/>
      <c r="O314" s="21"/>
      <c r="P314" s="21"/>
      <c r="Q314" s="2"/>
      <c r="R314" s="2"/>
      <c r="S314" s="2"/>
      <c r="T314" s="2"/>
      <c r="U314" s="2"/>
      <c r="V314" s="2"/>
      <c r="W314" s="2"/>
      <c r="X314" s="2"/>
      <c r="Y314" s="2"/>
      <c r="Z314" s="2"/>
      <c r="AA314" s="2"/>
      <c r="AB314" s="2"/>
    </row>
    <row r="315">
      <c r="A315" s="2"/>
      <c r="B315" s="21"/>
      <c r="C315" s="21"/>
      <c r="D315" s="21"/>
      <c r="E315" s="21"/>
      <c r="F315" s="2"/>
      <c r="G315" s="2"/>
      <c r="H315" s="35"/>
      <c r="I315" s="21"/>
      <c r="J315" s="21"/>
      <c r="K315" s="21"/>
      <c r="L315" s="21"/>
      <c r="M315" s="21"/>
      <c r="N315" s="21"/>
      <c r="O315" s="21"/>
      <c r="P315" s="21"/>
      <c r="Q315" s="2"/>
      <c r="R315" s="2"/>
      <c r="S315" s="2"/>
      <c r="T315" s="2"/>
      <c r="U315" s="2"/>
      <c r="V315" s="2"/>
      <c r="W315" s="2"/>
      <c r="X315" s="2"/>
      <c r="Y315" s="2"/>
      <c r="Z315" s="2"/>
      <c r="AA315" s="2"/>
      <c r="AB315" s="2"/>
    </row>
    <row r="316">
      <c r="A316" s="2"/>
      <c r="B316" s="21"/>
      <c r="C316" s="21"/>
      <c r="D316" s="21"/>
      <c r="E316" s="21"/>
      <c r="F316" s="2"/>
      <c r="G316" s="2"/>
      <c r="H316" s="35"/>
      <c r="I316" s="21"/>
      <c r="J316" s="21"/>
      <c r="K316" s="21"/>
      <c r="L316" s="21"/>
      <c r="M316" s="21"/>
      <c r="N316" s="21"/>
      <c r="O316" s="21"/>
      <c r="P316" s="21"/>
      <c r="Q316" s="2"/>
      <c r="R316" s="2"/>
      <c r="S316" s="2"/>
      <c r="T316" s="2"/>
      <c r="U316" s="2"/>
      <c r="V316" s="2"/>
      <c r="W316" s="2"/>
      <c r="X316" s="2"/>
      <c r="Y316" s="2"/>
      <c r="Z316" s="2"/>
      <c r="AA316" s="2"/>
      <c r="AB316" s="2"/>
    </row>
    <row r="317">
      <c r="A317" s="2"/>
      <c r="B317" s="21"/>
      <c r="C317" s="21"/>
      <c r="D317" s="21"/>
      <c r="E317" s="21"/>
      <c r="F317" s="2"/>
      <c r="G317" s="2"/>
      <c r="H317" s="35"/>
      <c r="I317" s="21"/>
      <c r="J317" s="21"/>
      <c r="K317" s="21"/>
      <c r="L317" s="21"/>
      <c r="M317" s="21"/>
      <c r="N317" s="21"/>
      <c r="O317" s="21"/>
      <c r="P317" s="21"/>
      <c r="Q317" s="2"/>
      <c r="R317" s="2"/>
      <c r="S317" s="2"/>
      <c r="T317" s="2"/>
      <c r="U317" s="2"/>
      <c r="V317" s="2"/>
      <c r="W317" s="2"/>
      <c r="X317" s="2"/>
      <c r="Y317" s="2"/>
      <c r="Z317" s="2"/>
      <c r="AA317" s="2"/>
      <c r="AB317" s="2"/>
    </row>
    <row r="318">
      <c r="A318" s="2"/>
      <c r="B318" s="21"/>
      <c r="C318" s="21"/>
      <c r="D318" s="21"/>
      <c r="E318" s="21"/>
      <c r="F318" s="2"/>
      <c r="G318" s="2"/>
      <c r="H318" s="35"/>
      <c r="I318" s="21"/>
      <c r="J318" s="21"/>
      <c r="K318" s="21"/>
      <c r="L318" s="21"/>
      <c r="M318" s="21"/>
      <c r="N318" s="21"/>
      <c r="O318" s="21"/>
      <c r="P318" s="21"/>
      <c r="Q318" s="2"/>
      <c r="R318" s="2"/>
      <c r="S318" s="2"/>
      <c r="T318" s="2"/>
      <c r="U318" s="2"/>
      <c r="V318" s="2"/>
      <c r="W318" s="2"/>
      <c r="X318" s="2"/>
      <c r="Y318" s="2"/>
      <c r="Z318" s="2"/>
      <c r="AA318" s="2"/>
      <c r="AB318" s="2"/>
    </row>
    <row r="319">
      <c r="A319" s="2"/>
      <c r="B319" s="21"/>
      <c r="C319" s="21"/>
      <c r="D319" s="21"/>
      <c r="E319" s="21"/>
      <c r="F319" s="2"/>
      <c r="G319" s="2"/>
      <c r="H319" s="35"/>
      <c r="I319" s="21"/>
      <c r="J319" s="21"/>
      <c r="K319" s="21"/>
      <c r="L319" s="21"/>
      <c r="M319" s="21"/>
      <c r="N319" s="21"/>
      <c r="O319" s="21"/>
      <c r="P319" s="21"/>
      <c r="Q319" s="2"/>
      <c r="R319" s="2"/>
      <c r="S319" s="2"/>
      <c r="T319" s="2"/>
      <c r="U319" s="2"/>
      <c r="V319" s="2"/>
      <c r="W319" s="2"/>
      <c r="X319" s="2"/>
      <c r="Y319" s="2"/>
      <c r="Z319" s="2"/>
      <c r="AA319" s="2"/>
      <c r="AB319" s="2"/>
    </row>
    <row r="320">
      <c r="A320" s="2"/>
      <c r="B320" s="21"/>
      <c r="C320" s="21"/>
      <c r="D320" s="21"/>
      <c r="E320" s="21"/>
      <c r="F320" s="2"/>
      <c r="G320" s="2"/>
      <c r="H320" s="35"/>
      <c r="I320" s="21"/>
      <c r="J320" s="21"/>
      <c r="K320" s="21"/>
      <c r="L320" s="21"/>
      <c r="M320" s="21"/>
      <c r="N320" s="21"/>
      <c r="O320" s="21"/>
      <c r="P320" s="21"/>
      <c r="Q320" s="2"/>
      <c r="R320" s="2"/>
      <c r="S320" s="2"/>
      <c r="T320" s="2"/>
      <c r="U320" s="2"/>
      <c r="V320" s="2"/>
      <c r="W320" s="2"/>
      <c r="X320" s="2"/>
      <c r="Y320" s="2"/>
      <c r="Z320" s="2"/>
      <c r="AA320" s="2"/>
      <c r="AB320" s="2"/>
    </row>
    <row r="321">
      <c r="A321" s="2"/>
      <c r="B321" s="21"/>
      <c r="C321" s="21"/>
      <c r="D321" s="21"/>
      <c r="E321" s="21"/>
      <c r="F321" s="2"/>
      <c r="G321" s="2"/>
      <c r="H321" s="35"/>
      <c r="I321" s="21"/>
      <c r="J321" s="21"/>
      <c r="K321" s="21"/>
      <c r="L321" s="21"/>
      <c r="M321" s="21"/>
      <c r="N321" s="21"/>
      <c r="O321" s="21"/>
      <c r="P321" s="21"/>
      <c r="Q321" s="2"/>
      <c r="R321" s="2"/>
      <c r="S321" s="2"/>
      <c r="T321" s="2"/>
      <c r="U321" s="2"/>
      <c r="V321" s="2"/>
      <c r="W321" s="2"/>
      <c r="X321" s="2"/>
      <c r="Y321" s="2"/>
      <c r="Z321" s="2"/>
      <c r="AA321" s="2"/>
      <c r="AB321" s="2"/>
    </row>
    <row r="322">
      <c r="A322" s="2"/>
      <c r="B322" s="21"/>
      <c r="C322" s="21"/>
      <c r="D322" s="21"/>
      <c r="E322" s="21"/>
      <c r="F322" s="2"/>
      <c r="G322" s="2"/>
      <c r="H322" s="35"/>
      <c r="I322" s="21"/>
      <c r="J322" s="21"/>
      <c r="K322" s="21"/>
      <c r="L322" s="21"/>
      <c r="M322" s="21"/>
      <c r="N322" s="21"/>
      <c r="O322" s="21"/>
      <c r="P322" s="21"/>
      <c r="Q322" s="2"/>
      <c r="R322" s="2"/>
      <c r="S322" s="2"/>
      <c r="T322" s="2"/>
      <c r="U322" s="2"/>
      <c r="V322" s="2"/>
      <c r="W322" s="2"/>
      <c r="X322" s="2"/>
      <c r="Y322" s="2"/>
      <c r="Z322" s="2"/>
      <c r="AA322" s="2"/>
      <c r="AB322" s="2"/>
    </row>
    <row r="323">
      <c r="A323" s="2"/>
      <c r="B323" s="21"/>
      <c r="C323" s="21"/>
      <c r="D323" s="21"/>
      <c r="E323" s="21"/>
      <c r="F323" s="2"/>
      <c r="G323" s="2"/>
      <c r="H323" s="35"/>
      <c r="I323" s="21"/>
      <c r="J323" s="21"/>
      <c r="K323" s="21"/>
      <c r="L323" s="21"/>
      <c r="M323" s="21"/>
      <c r="N323" s="21"/>
      <c r="O323" s="21"/>
      <c r="P323" s="21"/>
      <c r="Q323" s="2"/>
      <c r="R323" s="2"/>
      <c r="S323" s="2"/>
      <c r="T323" s="2"/>
      <c r="U323" s="2"/>
      <c r="V323" s="2"/>
      <c r="W323" s="2"/>
      <c r="X323" s="2"/>
      <c r="Y323" s="2"/>
      <c r="Z323" s="2"/>
      <c r="AA323" s="2"/>
      <c r="AB323" s="2"/>
    </row>
    <row r="324">
      <c r="A324" s="2"/>
      <c r="B324" s="21"/>
      <c r="C324" s="21"/>
      <c r="D324" s="21"/>
      <c r="E324" s="21"/>
      <c r="F324" s="2"/>
      <c r="G324" s="2"/>
      <c r="H324" s="35"/>
      <c r="I324" s="21"/>
      <c r="J324" s="21"/>
      <c r="K324" s="21"/>
      <c r="L324" s="21"/>
      <c r="M324" s="21"/>
      <c r="N324" s="21"/>
      <c r="O324" s="21"/>
      <c r="P324" s="21"/>
      <c r="Q324" s="2"/>
      <c r="R324" s="2"/>
      <c r="S324" s="2"/>
      <c r="T324" s="2"/>
      <c r="U324" s="2"/>
      <c r="V324" s="2"/>
      <c r="W324" s="2"/>
      <c r="X324" s="2"/>
      <c r="Y324" s="2"/>
      <c r="Z324" s="2"/>
      <c r="AA324" s="2"/>
      <c r="AB324" s="2"/>
    </row>
    <row r="325">
      <c r="A325" s="2"/>
      <c r="B325" s="21"/>
      <c r="C325" s="21"/>
      <c r="D325" s="21"/>
      <c r="E325" s="21"/>
      <c r="F325" s="2"/>
      <c r="G325" s="2"/>
      <c r="H325" s="35"/>
      <c r="I325" s="21"/>
      <c r="J325" s="21"/>
      <c r="K325" s="21"/>
      <c r="L325" s="21"/>
      <c r="M325" s="21"/>
      <c r="N325" s="21"/>
      <c r="O325" s="21"/>
      <c r="P325" s="21"/>
      <c r="Q325" s="2"/>
      <c r="R325" s="2"/>
      <c r="S325" s="2"/>
      <c r="T325" s="2"/>
      <c r="U325" s="2"/>
      <c r="V325" s="2"/>
      <c r="W325" s="2"/>
      <c r="X325" s="2"/>
      <c r="Y325" s="2"/>
      <c r="Z325" s="2"/>
      <c r="AA325" s="2"/>
      <c r="AB325" s="2"/>
    </row>
    <row r="326">
      <c r="A326" s="2"/>
      <c r="B326" s="21"/>
      <c r="C326" s="21"/>
      <c r="D326" s="21"/>
      <c r="E326" s="21"/>
      <c r="F326" s="2"/>
      <c r="G326" s="2"/>
      <c r="H326" s="35"/>
      <c r="I326" s="21"/>
      <c r="J326" s="21"/>
      <c r="K326" s="21"/>
      <c r="L326" s="21"/>
      <c r="M326" s="21"/>
      <c r="N326" s="21"/>
      <c r="O326" s="21"/>
      <c r="P326" s="21"/>
      <c r="Q326" s="2"/>
      <c r="R326" s="2"/>
      <c r="S326" s="2"/>
      <c r="T326" s="2"/>
      <c r="U326" s="2"/>
      <c r="V326" s="2"/>
      <c r="W326" s="2"/>
      <c r="X326" s="2"/>
      <c r="Y326" s="2"/>
      <c r="Z326" s="2"/>
      <c r="AA326" s="2"/>
      <c r="AB326" s="2"/>
    </row>
    <row r="327">
      <c r="A327" s="2"/>
      <c r="B327" s="21"/>
      <c r="C327" s="21"/>
      <c r="D327" s="21"/>
      <c r="E327" s="21"/>
      <c r="F327" s="2"/>
      <c r="G327" s="2"/>
      <c r="H327" s="35"/>
      <c r="I327" s="21"/>
      <c r="J327" s="21"/>
      <c r="K327" s="21"/>
      <c r="L327" s="21"/>
      <c r="M327" s="21"/>
      <c r="N327" s="21"/>
      <c r="O327" s="21"/>
      <c r="P327" s="21"/>
      <c r="Q327" s="2"/>
      <c r="R327" s="2"/>
      <c r="S327" s="2"/>
      <c r="T327" s="2"/>
      <c r="U327" s="2"/>
      <c r="V327" s="2"/>
      <c r="W327" s="2"/>
      <c r="X327" s="2"/>
      <c r="Y327" s="2"/>
      <c r="Z327" s="2"/>
      <c r="AA327" s="2"/>
      <c r="AB327" s="2"/>
    </row>
    <row r="328">
      <c r="A328" s="2"/>
      <c r="B328" s="21"/>
      <c r="C328" s="21"/>
      <c r="D328" s="21"/>
      <c r="E328" s="21"/>
      <c r="F328" s="2"/>
      <c r="G328" s="2"/>
      <c r="H328" s="35"/>
      <c r="I328" s="21"/>
      <c r="J328" s="21"/>
      <c r="K328" s="21"/>
      <c r="L328" s="21"/>
      <c r="M328" s="21"/>
      <c r="N328" s="21"/>
      <c r="O328" s="21"/>
      <c r="P328" s="21"/>
      <c r="Q328" s="2"/>
      <c r="R328" s="2"/>
      <c r="S328" s="2"/>
      <c r="T328" s="2"/>
      <c r="U328" s="2"/>
      <c r="V328" s="2"/>
      <c r="W328" s="2"/>
      <c r="X328" s="2"/>
      <c r="Y328" s="2"/>
      <c r="Z328" s="2"/>
      <c r="AA328" s="2"/>
      <c r="AB328" s="2"/>
    </row>
    <row r="329">
      <c r="A329" s="2"/>
      <c r="B329" s="21"/>
      <c r="C329" s="21"/>
      <c r="D329" s="21"/>
      <c r="E329" s="21"/>
      <c r="F329" s="2"/>
      <c r="G329" s="2"/>
      <c r="H329" s="35"/>
      <c r="I329" s="21"/>
      <c r="J329" s="21"/>
      <c r="K329" s="21"/>
      <c r="L329" s="21"/>
      <c r="M329" s="21"/>
      <c r="N329" s="21"/>
      <c r="O329" s="21"/>
      <c r="P329" s="21"/>
      <c r="Q329" s="2"/>
      <c r="R329" s="2"/>
      <c r="S329" s="2"/>
      <c r="T329" s="2"/>
      <c r="U329" s="2"/>
      <c r="V329" s="2"/>
      <c r="W329" s="2"/>
      <c r="X329" s="2"/>
      <c r="Y329" s="2"/>
      <c r="Z329" s="2"/>
      <c r="AA329" s="2"/>
      <c r="AB329" s="2"/>
    </row>
    <row r="330">
      <c r="A330" s="2"/>
      <c r="B330" s="21"/>
      <c r="C330" s="21"/>
      <c r="D330" s="21"/>
      <c r="E330" s="21"/>
      <c r="F330" s="2"/>
      <c r="G330" s="2"/>
      <c r="H330" s="35"/>
      <c r="I330" s="21"/>
      <c r="J330" s="21"/>
      <c r="K330" s="21"/>
      <c r="L330" s="21"/>
      <c r="M330" s="21"/>
      <c r="N330" s="21"/>
      <c r="O330" s="21"/>
      <c r="P330" s="21"/>
      <c r="Q330" s="2"/>
      <c r="R330" s="2"/>
      <c r="S330" s="2"/>
      <c r="T330" s="2"/>
      <c r="U330" s="2"/>
      <c r="V330" s="2"/>
      <c r="W330" s="2"/>
      <c r="X330" s="2"/>
      <c r="Y330" s="2"/>
      <c r="Z330" s="2"/>
      <c r="AA330" s="2"/>
      <c r="AB330" s="2"/>
    </row>
    <row r="331">
      <c r="A331" s="2"/>
      <c r="B331" s="21"/>
      <c r="C331" s="21"/>
      <c r="D331" s="21"/>
      <c r="E331" s="21"/>
      <c r="F331" s="2"/>
      <c r="G331" s="2"/>
      <c r="H331" s="35"/>
      <c r="I331" s="21"/>
      <c r="J331" s="21"/>
      <c r="K331" s="21"/>
      <c r="L331" s="21"/>
      <c r="M331" s="21"/>
      <c r="N331" s="21"/>
      <c r="O331" s="21"/>
      <c r="P331" s="21"/>
      <c r="Q331" s="2"/>
      <c r="R331" s="2"/>
      <c r="S331" s="2"/>
      <c r="T331" s="2"/>
      <c r="U331" s="2"/>
      <c r="V331" s="2"/>
      <c r="W331" s="2"/>
      <c r="X331" s="2"/>
      <c r="Y331" s="2"/>
      <c r="Z331" s="2"/>
      <c r="AA331" s="2"/>
      <c r="AB331" s="2"/>
    </row>
    <row r="332">
      <c r="A332" s="2"/>
      <c r="B332" s="21"/>
      <c r="C332" s="21"/>
      <c r="D332" s="21"/>
      <c r="E332" s="21"/>
      <c r="F332" s="2"/>
      <c r="G332" s="2"/>
      <c r="H332" s="35"/>
      <c r="I332" s="21"/>
      <c r="J332" s="21"/>
      <c r="K332" s="21"/>
      <c r="L332" s="21"/>
      <c r="M332" s="21"/>
      <c r="N332" s="21"/>
      <c r="O332" s="21"/>
      <c r="P332" s="21"/>
      <c r="Q332" s="2"/>
      <c r="R332" s="2"/>
      <c r="S332" s="2"/>
      <c r="T332" s="2"/>
      <c r="U332" s="2"/>
      <c r="V332" s="2"/>
      <c r="W332" s="2"/>
      <c r="X332" s="2"/>
      <c r="Y332" s="2"/>
      <c r="Z332" s="2"/>
      <c r="AA332" s="2"/>
      <c r="AB332" s="2"/>
    </row>
    <row r="333">
      <c r="A333" s="2"/>
      <c r="B333" s="21"/>
      <c r="C333" s="21"/>
      <c r="D333" s="21"/>
      <c r="E333" s="21"/>
      <c r="F333" s="2"/>
      <c r="G333" s="2"/>
      <c r="H333" s="35"/>
      <c r="I333" s="21"/>
      <c r="J333" s="21"/>
      <c r="K333" s="21"/>
      <c r="L333" s="21"/>
      <c r="M333" s="21"/>
      <c r="N333" s="21"/>
      <c r="O333" s="21"/>
      <c r="P333" s="21"/>
      <c r="Q333" s="2"/>
      <c r="R333" s="2"/>
      <c r="S333" s="2"/>
      <c r="T333" s="2"/>
      <c r="U333" s="2"/>
      <c r="V333" s="2"/>
      <c r="W333" s="2"/>
      <c r="X333" s="2"/>
      <c r="Y333" s="2"/>
      <c r="Z333" s="2"/>
      <c r="AA333" s="2"/>
      <c r="AB333" s="2"/>
    </row>
    <row r="334">
      <c r="A334" s="2"/>
      <c r="B334" s="21"/>
      <c r="C334" s="21"/>
      <c r="D334" s="21"/>
      <c r="E334" s="21"/>
      <c r="F334" s="2"/>
      <c r="G334" s="2"/>
      <c r="H334" s="35"/>
      <c r="I334" s="21"/>
      <c r="J334" s="21"/>
      <c r="K334" s="21"/>
      <c r="L334" s="21"/>
      <c r="M334" s="21"/>
      <c r="N334" s="21"/>
      <c r="O334" s="21"/>
      <c r="P334" s="21"/>
      <c r="Q334" s="2"/>
      <c r="R334" s="2"/>
      <c r="S334" s="2"/>
      <c r="T334" s="2"/>
      <c r="U334" s="2"/>
      <c r="V334" s="2"/>
      <c r="W334" s="2"/>
      <c r="X334" s="2"/>
      <c r="Y334" s="2"/>
      <c r="Z334" s="2"/>
      <c r="AA334" s="2"/>
      <c r="AB334" s="2"/>
    </row>
    <row r="335">
      <c r="A335" s="2"/>
      <c r="B335" s="21"/>
      <c r="C335" s="21"/>
      <c r="D335" s="21"/>
      <c r="E335" s="21"/>
      <c r="F335" s="2"/>
      <c r="G335" s="2"/>
      <c r="H335" s="35"/>
      <c r="I335" s="21"/>
      <c r="J335" s="21"/>
      <c r="K335" s="21"/>
      <c r="L335" s="21"/>
      <c r="M335" s="21"/>
      <c r="N335" s="21"/>
      <c r="O335" s="21"/>
      <c r="P335" s="21"/>
      <c r="Q335" s="2"/>
      <c r="R335" s="2"/>
      <c r="S335" s="2"/>
      <c r="T335" s="2"/>
      <c r="U335" s="2"/>
      <c r="V335" s="2"/>
      <c r="W335" s="2"/>
      <c r="X335" s="2"/>
      <c r="Y335" s="2"/>
      <c r="Z335" s="2"/>
      <c r="AA335" s="2"/>
      <c r="AB335" s="2"/>
    </row>
    <row r="336">
      <c r="A336" s="2"/>
      <c r="B336" s="21"/>
      <c r="C336" s="21"/>
      <c r="D336" s="21"/>
      <c r="E336" s="21"/>
      <c r="F336" s="2"/>
      <c r="G336" s="2"/>
      <c r="H336" s="35"/>
      <c r="I336" s="21"/>
      <c r="J336" s="21"/>
      <c r="K336" s="21"/>
      <c r="L336" s="21"/>
      <c r="M336" s="21"/>
      <c r="N336" s="21"/>
      <c r="O336" s="21"/>
      <c r="P336" s="21"/>
      <c r="Q336" s="2"/>
      <c r="R336" s="2"/>
      <c r="S336" s="2"/>
      <c r="T336" s="2"/>
      <c r="U336" s="2"/>
      <c r="V336" s="2"/>
      <c r="W336" s="2"/>
      <c r="X336" s="2"/>
      <c r="Y336" s="2"/>
      <c r="Z336" s="2"/>
      <c r="AA336" s="2"/>
      <c r="AB336" s="2"/>
    </row>
    <row r="337">
      <c r="A337" s="2"/>
      <c r="B337" s="21"/>
      <c r="C337" s="21"/>
      <c r="D337" s="21"/>
      <c r="E337" s="21"/>
      <c r="F337" s="2"/>
      <c r="G337" s="2"/>
      <c r="H337" s="35"/>
      <c r="I337" s="21"/>
      <c r="J337" s="21"/>
      <c r="K337" s="21"/>
      <c r="L337" s="21"/>
      <c r="M337" s="21"/>
      <c r="N337" s="21"/>
      <c r="O337" s="21"/>
      <c r="P337" s="21"/>
      <c r="Q337" s="2"/>
      <c r="R337" s="2"/>
      <c r="S337" s="2"/>
      <c r="T337" s="2"/>
      <c r="U337" s="2"/>
      <c r="V337" s="2"/>
      <c r="W337" s="2"/>
      <c r="X337" s="2"/>
      <c r="Y337" s="2"/>
      <c r="Z337" s="2"/>
      <c r="AA337" s="2"/>
      <c r="AB337" s="2"/>
    </row>
    <row r="338">
      <c r="A338" s="2"/>
      <c r="B338" s="21"/>
      <c r="C338" s="21"/>
      <c r="D338" s="21"/>
      <c r="E338" s="21"/>
      <c r="F338" s="2"/>
      <c r="G338" s="2"/>
      <c r="H338" s="35"/>
      <c r="I338" s="21"/>
      <c r="J338" s="21"/>
      <c r="K338" s="21"/>
      <c r="L338" s="21"/>
      <c r="M338" s="21"/>
      <c r="N338" s="21"/>
      <c r="O338" s="21"/>
      <c r="P338" s="21"/>
      <c r="Q338" s="2"/>
      <c r="R338" s="2"/>
      <c r="S338" s="2"/>
      <c r="T338" s="2"/>
      <c r="U338" s="2"/>
      <c r="V338" s="2"/>
      <c r="W338" s="2"/>
      <c r="X338" s="2"/>
      <c r="Y338" s="2"/>
      <c r="Z338" s="2"/>
      <c r="AA338" s="2"/>
      <c r="AB338" s="2"/>
    </row>
    <row r="339">
      <c r="A339" s="2"/>
      <c r="B339" s="21"/>
      <c r="C339" s="21"/>
      <c r="D339" s="21"/>
      <c r="E339" s="21"/>
      <c r="F339" s="2"/>
      <c r="G339" s="2"/>
      <c r="H339" s="35"/>
      <c r="I339" s="21"/>
      <c r="J339" s="21"/>
      <c r="K339" s="21"/>
      <c r="L339" s="21"/>
      <c r="M339" s="21"/>
      <c r="N339" s="21"/>
      <c r="O339" s="21"/>
      <c r="P339" s="21"/>
      <c r="Q339" s="2"/>
      <c r="R339" s="2"/>
      <c r="S339" s="2"/>
      <c r="T339" s="2"/>
      <c r="U339" s="2"/>
      <c r="V339" s="2"/>
      <c r="W339" s="2"/>
      <c r="X339" s="2"/>
      <c r="Y339" s="2"/>
      <c r="Z339" s="2"/>
      <c r="AA339" s="2"/>
      <c r="AB339" s="2"/>
    </row>
    <row r="340">
      <c r="A340" s="2"/>
      <c r="B340" s="21"/>
      <c r="C340" s="21"/>
      <c r="D340" s="21"/>
      <c r="E340" s="21"/>
      <c r="F340" s="2"/>
      <c r="G340" s="2"/>
      <c r="H340" s="35"/>
      <c r="I340" s="21"/>
      <c r="J340" s="21"/>
      <c r="K340" s="21"/>
      <c r="L340" s="21"/>
      <c r="M340" s="21"/>
      <c r="N340" s="21"/>
      <c r="O340" s="21"/>
      <c r="P340" s="21"/>
      <c r="Q340" s="2"/>
      <c r="R340" s="2"/>
      <c r="S340" s="2"/>
      <c r="T340" s="2"/>
      <c r="U340" s="2"/>
      <c r="V340" s="2"/>
      <c r="W340" s="2"/>
      <c r="X340" s="2"/>
      <c r="Y340" s="2"/>
      <c r="Z340" s="2"/>
      <c r="AA340" s="2"/>
      <c r="AB340" s="2"/>
    </row>
    <row r="341">
      <c r="A341" s="2"/>
      <c r="B341" s="21"/>
      <c r="C341" s="21"/>
      <c r="D341" s="21"/>
      <c r="E341" s="21"/>
      <c r="F341" s="2"/>
      <c r="G341" s="2"/>
      <c r="H341" s="35"/>
      <c r="I341" s="21"/>
      <c r="J341" s="21"/>
      <c r="K341" s="21"/>
      <c r="L341" s="21"/>
      <c r="M341" s="21"/>
      <c r="N341" s="21"/>
      <c r="O341" s="21"/>
      <c r="P341" s="21"/>
      <c r="Q341" s="2"/>
      <c r="R341" s="2"/>
      <c r="S341" s="2"/>
      <c r="T341" s="2"/>
      <c r="U341" s="2"/>
      <c r="V341" s="2"/>
      <c r="W341" s="2"/>
      <c r="X341" s="2"/>
      <c r="Y341" s="2"/>
      <c r="Z341" s="2"/>
      <c r="AA341" s="2"/>
      <c r="AB341" s="2"/>
    </row>
    <row r="342">
      <c r="A342" s="2"/>
      <c r="B342" s="21"/>
      <c r="C342" s="21"/>
      <c r="D342" s="21"/>
      <c r="E342" s="21"/>
      <c r="F342" s="2"/>
      <c r="G342" s="2"/>
      <c r="H342" s="35"/>
      <c r="I342" s="21"/>
      <c r="J342" s="21"/>
      <c r="K342" s="21"/>
      <c r="L342" s="21"/>
      <c r="M342" s="21"/>
      <c r="N342" s="21"/>
      <c r="O342" s="21"/>
      <c r="P342" s="21"/>
      <c r="Q342" s="2"/>
      <c r="R342" s="2"/>
      <c r="S342" s="2"/>
      <c r="T342" s="2"/>
      <c r="U342" s="2"/>
      <c r="V342" s="2"/>
      <c r="W342" s="2"/>
      <c r="X342" s="2"/>
      <c r="Y342" s="2"/>
      <c r="Z342" s="2"/>
      <c r="AA342" s="2"/>
      <c r="AB342" s="2"/>
    </row>
    <row r="343">
      <c r="A343" s="2"/>
      <c r="B343" s="21"/>
      <c r="C343" s="21"/>
      <c r="D343" s="21"/>
      <c r="E343" s="21"/>
      <c r="F343" s="2"/>
      <c r="G343" s="2"/>
      <c r="H343" s="35"/>
      <c r="I343" s="21"/>
      <c r="J343" s="21"/>
      <c r="K343" s="21"/>
      <c r="L343" s="21"/>
      <c r="M343" s="21"/>
      <c r="N343" s="21"/>
      <c r="O343" s="21"/>
      <c r="P343" s="21"/>
      <c r="Q343" s="2"/>
      <c r="R343" s="2"/>
      <c r="S343" s="2"/>
      <c r="T343" s="2"/>
      <c r="U343" s="2"/>
      <c r="V343" s="2"/>
      <c r="W343" s="2"/>
      <c r="X343" s="2"/>
      <c r="Y343" s="2"/>
      <c r="Z343" s="2"/>
      <c r="AA343" s="2"/>
      <c r="AB343" s="2"/>
    </row>
    <row r="344">
      <c r="A344" s="2"/>
      <c r="B344" s="21"/>
      <c r="C344" s="21"/>
      <c r="D344" s="21"/>
      <c r="E344" s="21"/>
      <c r="F344" s="2"/>
      <c r="G344" s="2"/>
      <c r="H344" s="35"/>
      <c r="I344" s="21"/>
      <c r="J344" s="21"/>
      <c r="K344" s="21"/>
      <c r="L344" s="21"/>
      <c r="M344" s="21"/>
      <c r="N344" s="21"/>
      <c r="O344" s="21"/>
      <c r="P344" s="21"/>
      <c r="Q344" s="2"/>
      <c r="R344" s="2"/>
      <c r="S344" s="2"/>
      <c r="T344" s="2"/>
      <c r="U344" s="2"/>
      <c r="V344" s="2"/>
      <c r="W344" s="2"/>
      <c r="X344" s="2"/>
      <c r="Y344" s="2"/>
      <c r="Z344" s="2"/>
      <c r="AA344" s="2"/>
      <c r="AB344" s="2"/>
    </row>
    <row r="345">
      <c r="A345" s="2"/>
      <c r="B345" s="21"/>
      <c r="C345" s="21"/>
      <c r="D345" s="21"/>
      <c r="E345" s="21"/>
      <c r="F345" s="2"/>
      <c r="G345" s="2"/>
      <c r="H345" s="35"/>
      <c r="I345" s="21"/>
      <c r="J345" s="21"/>
      <c r="K345" s="21"/>
      <c r="L345" s="21"/>
      <c r="M345" s="21"/>
      <c r="N345" s="21"/>
      <c r="O345" s="21"/>
      <c r="P345" s="21"/>
      <c r="Q345" s="2"/>
      <c r="R345" s="2"/>
      <c r="S345" s="2"/>
      <c r="T345" s="2"/>
      <c r="U345" s="2"/>
      <c r="V345" s="2"/>
      <c r="W345" s="2"/>
      <c r="X345" s="2"/>
      <c r="Y345" s="2"/>
      <c r="Z345" s="2"/>
      <c r="AA345" s="2"/>
      <c r="AB345" s="2"/>
    </row>
    <row r="346">
      <c r="A346" s="2"/>
      <c r="B346" s="21"/>
      <c r="C346" s="21"/>
      <c r="D346" s="21"/>
      <c r="E346" s="21"/>
      <c r="F346" s="2"/>
      <c r="G346" s="2"/>
      <c r="H346" s="35"/>
      <c r="I346" s="21"/>
      <c r="J346" s="21"/>
      <c r="K346" s="21"/>
      <c r="L346" s="21"/>
      <c r="M346" s="21"/>
      <c r="N346" s="21"/>
      <c r="O346" s="21"/>
      <c r="P346" s="21"/>
      <c r="Q346" s="2"/>
      <c r="R346" s="2"/>
      <c r="S346" s="2"/>
      <c r="T346" s="2"/>
      <c r="U346" s="2"/>
      <c r="V346" s="2"/>
      <c r="W346" s="2"/>
      <c r="X346" s="2"/>
      <c r="Y346" s="2"/>
      <c r="Z346" s="2"/>
      <c r="AA346" s="2"/>
      <c r="AB346" s="2"/>
    </row>
    <row r="347">
      <c r="A347" s="2"/>
      <c r="B347" s="21"/>
      <c r="C347" s="21"/>
      <c r="D347" s="21"/>
      <c r="E347" s="21"/>
      <c r="F347" s="2"/>
      <c r="G347" s="2"/>
      <c r="H347" s="35"/>
      <c r="I347" s="21"/>
      <c r="J347" s="21"/>
      <c r="K347" s="21"/>
      <c r="L347" s="21"/>
      <c r="M347" s="21"/>
      <c r="N347" s="21"/>
      <c r="O347" s="21"/>
      <c r="P347" s="21"/>
      <c r="Q347" s="2"/>
      <c r="R347" s="2"/>
      <c r="S347" s="2"/>
      <c r="T347" s="2"/>
      <c r="U347" s="2"/>
      <c r="V347" s="2"/>
      <c r="W347" s="2"/>
      <c r="X347" s="2"/>
      <c r="Y347" s="2"/>
      <c r="Z347" s="2"/>
      <c r="AA347" s="2"/>
      <c r="AB347" s="2"/>
    </row>
    <row r="348">
      <c r="A348" s="2"/>
      <c r="B348" s="21"/>
      <c r="C348" s="21"/>
      <c r="D348" s="21"/>
      <c r="E348" s="21"/>
      <c r="F348" s="2"/>
      <c r="G348" s="2"/>
      <c r="H348" s="35"/>
      <c r="I348" s="21"/>
      <c r="J348" s="21"/>
      <c r="K348" s="21"/>
      <c r="L348" s="21"/>
      <c r="M348" s="21"/>
      <c r="N348" s="21"/>
      <c r="O348" s="21"/>
      <c r="P348" s="21"/>
      <c r="Q348" s="2"/>
      <c r="R348" s="2"/>
      <c r="S348" s="2"/>
      <c r="T348" s="2"/>
      <c r="U348" s="2"/>
      <c r="V348" s="2"/>
      <c r="W348" s="2"/>
      <c r="X348" s="2"/>
      <c r="Y348" s="2"/>
      <c r="Z348" s="2"/>
      <c r="AA348" s="2"/>
      <c r="AB348" s="2"/>
    </row>
    <row r="349">
      <c r="A349" s="2"/>
      <c r="B349" s="21"/>
      <c r="C349" s="21"/>
      <c r="D349" s="21"/>
      <c r="E349" s="21"/>
      <c r="F349" s="2"/>
      <c r="G349" s="2"/>
      <c r="H349" s="35"/>
      <c r="I349" s="21"/>
      <c r="J349" s="21"/>
      <c r="K349" s="21"/>
      <c r="L349" s="21"/>
      <c r="M349" s="21"/>
      <c r="N349" s="21"/>
      <c r="O349" s="21"/>
      <c r="P349" s="21"/>
      <c r="Q349" s="2"/>
      <c r="R349" s="2"/>
      <c r="S349" s="2"/>
      <c r="T349" s="2"/>
      <c r="U349" s="2"/>
      <c r="V349" s="2"/>
      <c r="W349" s="2"/>
      <c r="X349" s="2"/>
      <c r="Y349" s="2"/>
      <c r="Z349" s="2"/>
      <c r="AA349" s="2"/>
      <c r="AB349" s="2"/>
    </row>
    <row r="350">
      <c r="A350" s="2"/>
      <c r="B350" s="21"/>
      <c r="C350" s="21"/>
      <c r="D350" s="21"/>
      <c r="E350" s="21"/>
      <c r="F350" s="2"/>
      <c r="G350" s="2"/>
      <c r="H350" s="35"/>
      <c r="I350" s="21"/>
      <c r="J350" s="21"/>
      <c r="K350" s="21"/>
      <c r="L350" s="21"/>
      <c r="M350" s="21"/>
      <c r="N350" s="21"/>
      <c r="O350" s="21"/>
      <c r="P350" s="21"/>
      <c r="Q350" s="2"/>
      <c r="R350" s="2"/>
      <c r="S350" s="2"/>
      <c r="T350" s="2"/>
      <c r="U350" s="2"/>
      <c r="V350" s="2"/>
      <c r="W350" s="2"/>
      <c r="X350" s="2"/>
      <c r="Y350" s="2"/>
      <c r="Z350" s="2"/>
      <c r="AA350" s="2"/>
      <c r="AB350" s="2"/>
    </row>
    <row r="351">
      <c r="A351" s="2"/>
      <c r="B351" s="21"/>
      <c r="C351" s="21"/>
      <c r="D351" s="21"/>
      <c r="E351" s="21"/>
      <c r="F351" s="2"/>
      <c r="G351" s="2"/>
      <c r="H351" s="35"/>
      <c r="I351" s="21"/>
      <c r="J351" s="21"/>
      <c r="K351" s="21"/>
      <c r="L351" s="21"/>
      <c r="M351" s="21"/>
      <c r="N351" s="21"/>
      <c r="O351" s="21"/>
      <c r="P351" s="21"/>
      <c r="Q351" s="2"/>
      <c r="R351" s="2"/>
      <c r="S351" s="2"/>
      <c r="T351" s="2"/>
      <c r="U351" s="2"/>
      <c r="V351" s="2"/>
      <c r="W351" s="2"/>
      <c r="X351" s="2"/>
      <c r="Y351" s="2"/>
      <c r="Z351" s="2"/>
      <c r="AA351" s="2"/>
      <c r="AB351" s="2"/>
    </row>
    <row r="352">
      <c r="A352" s="2"/>
      <c r="B352" s="21"/>
      <c r="C352" s="21"/>
      <c r="D352" s="21"/>
      <c r="E352" s="21"/>
      <c r="F352" s="2"/>
      <c r="G352" s="2"/>
      <c r="H352" s="35"/>
      <c r="I352" s="21"/>
      <c r="J352" s="21"/>
      <c r="K352" s="21"/>
      <c r="L352" s="21"/>
      <c r="M352" s="21"/>
      <c r="N352" s="21"/>
      <c r="O352" s="21"/>
      <c r="P352" s="21"/>
      <c r="Q352" s="2"/>
      <c r="R352" s="2"/>
      <c r="S352" s="2"/>
      <c r="T352" s="2"/>
      <c r="U352" s="2"/>
      <c r="V352" s="2"/>
      <c r="W352" s="2"/>
      <c r="X352" s="2"/>
      <c r="Y352" s="2"/>
      <c r="Z352" s="2"/>
      <c r="AA352" s="2"/>
      <c r="AB352" s="2"/>
    </row>
    <row r="353">
      <c r="A353" s="2"/>
      <c r="B353" s="21"/>
      <c r="C353" s="21"/>
      <c r="D353" s="21"/>
      <c r="E353" s="21"/>
      <c r="F353" s="2"/>
      <c r="G353" s="2"/>
      <c r="H353" s="35"/>
      <c r="I353" s="21"/>
      <c r="J353" s="21"/>
      <c r="K353" s="21"/>
      <c r="L353" s="21"/>
      <c r="M353" s="21"/>
      <c r="N353" s="21"/>
      <c r="O353" s="21"/>
      <c r="P353" s="21"/>
      <c r="Q353" s="2"/>
      <c r="R353" s="2"/>
      <c r="S353" s="2"/>
      <c r="T353" s="2"/>
      <c r="U353" s="2"/>
      <c r="V353" s="2"/>
      <c r="W353" s="2"/>
      <c r="X353" s="2"/>
      <c r="Y353" s="2"/>
      <c r="Z353" s="2"/>
      <c r="AA353" s="2"/>
      <c r="AB353" s="2"/>
    </row>
    <row r="354">
      <c r="A354" s="2"/>
      <c r="B354" s="21"/>
      <c r="C354" s="21"/>
      <c r="D354" s="21"/>
      <c r="E354" s="21"/>
      <c r="F354" s="2"/>
      <c r="G354" s="2"/>
      <c r="H354" s="35"/>
      <c r="I354" s="21"/>
      <c r="J354" s="21"/>
      <c r="K354" s="21"/>
      <c r="L354" s="21"/>
      <c r="M354" s="21"/>
      <c r="N354" s="21"/>
      <c r="O354" s="21"/>
      <c r="P354" s="21"/>
      <c r="Q354" s="2"/>
      <c r="R354" s="2"/>
      <c r="S354" s="2"/>
      <c r="T354" s="2"/>
      <c r="U354" s="2"/>
      <c r="V354" s="2"/>
      <c r="W354" s="2"/>
      <c r="X354" s="2"/>
      <c r="Y354" s="2"/>
      <c r="Z354" s="2"/>
      <c r="AA354" s="2"/>
      <c r="AB354" s="2"/>
    </row>
    <row r="355">
      <c r="A355" s="2"/>
      <c r="B355" s="21"/>
      <c r="C355" s="21"/>
      <c r="D355" s="21"/>
      <c r="E355" s="21"/>
      <c r="F355" s="2"/>
      <c r="G355" s="2"/>
      <c r="H355" s="35"/>
      <c r="I355" s="21"/>
      <c r="J355" s="21"/>
      <c r="K355" s="21"/>
      <c r="L355" s="21"/>
      <c r="M355" s="21"/>
      <c r="N355" s="21"/>
      <c r="O355" s="21"/>
      <c r="P355" s="21"/>
      <c r="Q355" s="2"/>
      <c r="R355" s="2"/>
      <c r="S355" s="2"/>
      <c r="T355" s="2"/>
      <c r="U355" s="2"/>
      <c r="V355" s="2"/>
      <c r="W355" s="2"/>
      <c r="X355" s="2"/>
      <c r="Y355" s="2"/>
      <c r="Z355" s="2"/>
      <c r="AA355" s="2"/>
      <c r="AB355" s="2"/>
    </row>
    <row r="356">
      <c r="A356" s="2"/>
      <c r="B356" s="21"/>
      <c r="C356" s="21"/>
      <c r="D356" s="21"/>
      <c r="E356" s="21"/>
      <c r="F356" s="2"/>
      <c r="G356" s="2"/>
      <c r="H356" s="35"/>
      <c r="I356" s="21"/>
      <c r="J356" s="21"/>
      <c r="K356" s="21"/>
      <c r="L356" s="21"/>
      <c r="M356" s="21"/>
      <c r="N356" s="21"/>
      <c r="O356" s="21"/>
      <c r="P356" s="21"/>
      <c r="Q356" s="2"/>
      <c r="R356" s="2"/>
      <c r="S356" s="2"/>
      <c r="T356" s="2"/>
      <c r="U356" s="2"/>
      <c r="V356" s="2"/>
      <c r="W356" s="2"/>
      <c r="X356" s="2"/>
      <c r="Y356" s="2"/>
      <c r="Z356" s="2"/>
      <c r="AA356" s="2"/>
      <c r="AB356" s="2"/>
    </row>
    <row r="357">
      <c r="A357" s="2"/>
      <c r="B357" s="21"/>
      <c r="C357" s="21"/>
      <c r="D357" s="21"/>
      <c r="E357" s="21"/>
      <c r="F357" s="2"/>
      <c r="G357" s="2"/>
      <c r="H357" s="35"/>
      <c r="I357" s="21"/>
      <c r="J357" s="21"/>
      <c r="K357" s="21"/>
      <c r="L357" s="21"/>
      <c r="M357" s="21"/>
      <c r="N357" s="21"/>
      <c r="O357" s="21"/>
      <c r="P357" s="21"/>
      <c r="Q357" s="2"/>
      <c r="R357" s="2"/>
      <c r="S357" s="2"/>
      <c r="T357" s="2"/>
      <c r="U357" s="2"/>
      <c r="V357" s="2"/>
      <c r="W357" s="2"/>
      <c r="X357" s="2"/>
      <c r="Y357" s="2"/>
      <c r="Z357" s="2"/>
      <c r="AA357" s="2"/>
      <c r="AB357" s="2"/>
    </row>
    <row r="358">
      <c r="A358" s="2"/>
      <c r="B358" s="21"/>
      <c r="C358" s="21"/>
      <c r="D358" s="21"/>
      <c r="E358" s="21"/>
      <c r="F358" s="2"/>
      <c r="G358" s="2"/>
      <c r="H358" s="35"/>
      <c r="I358" s="21"/>
      <c r="J358" s="21"/>
      <c r="K358" s="21"/>
      <c r="L358" s="21"/>
      <c r="M358" s="21"/>
      <c r="N358" s="21"/>
      <c r="O358" s="21"/>
      <c r="P358" s="21"/>
      <c r="Q358" s="2"/>
      <c r="R358" s="2"/>
      <c r="S358" s="2"/>
      <c r="T358" s="2"/>
      <c r="U358" s="2"/>
      <c r="V358" s="2"/>
      <c r="W358" s="2"/>
      <c r="X358" s="2"/>
      <c r="Y358" s="2"/>
      <c r="Z358" s="2"/>
      <c r="AA358" s="2"/>
      <c r="AB358" s="2"/>
    </row>
    <row r="359">
      <c r="A359" s="2"/>
      <c r="B359" s="21"/>
      <c r="C359" s="21"/>
      <c r="D359" s="21"/>
      <c r="E359" s="21"/>
      <c r="F359" s="2"/>
      <c r="G359" s="2"/>
      <c r="H359" s="35"/>
      <c r="I359" s="21"/>
      <c r="J359" s="21"/>
      <c r="K359" s="21"/>
      <c r="L359" s="21"/>
      <c r="M359" s="21"/>
      <c r="N359" s="21"/>
      <c r="O359" s="21"/>
      <c r="P359" s="21"/>
      <c r="Q359" s="2"/>
      <c r="R359" s="2"/>
      <c r="S359" s="2"/>
      <c r="T359" s="2"/>
      <c r="U359" s="2"/>
      <c r="V359" s="2"/>
      <c r="W359" s="2"/>
      <c r="X359" s="2"/>
      <c r="Y359" s="2"/>
      <c r="Z359" s="2"/>
      <c r="AA359" s="2"/>
      <c r="AB359" s="2"/>
    </row>
    <row r="360">
      <c r="A360" s="2"/>
      <c r="B360" s="21"/>
      <c r="C360" s="21"/>
      <c r="D360" s="21"/>
      <c r="E360" s="21"/>
      <c r="F360" s="2"/>
      <c r="G360" s="2"/>
      <c r="H360" s="35"/>
      <c r="I360" s="21"/>
      <c r="J360" s="21"/>
      <c r="K360" s="21"/>
      <c r="L360" s="21"/>
      <c r="M360" s="21"/>
      <c r="N360" s="21"/>
      <c r="O360" s="21"/>
      <c r="P360" s="21"/>
      <c r="Q360" s="2"/>
      <c r="R360" s="2"/>
      <c r="S360" s="2"/>
      <c r="T360" s="2"/>
      <c r="U360" s="2"/>
      <c r="V360" s="2"/>
      <c r="W360" s="2"/>
      <c r="X360" s="2"/>
      <c r="Y360" s="2"/>
      <c r="Z360" s="2"/>
      <c r="AA360" s="2"/>
      <c r="AB360" s="2"/>
    </row>
    <row r="361">
      <c r="A361" s="2"/>
      <c r="B361" s="21"/>
      <c r="C361" s="21"/>
      <c r="D361" s="21"/>
      <c r="E361" s="21"/>
      <c r="F361" s="2"/>
      <c r="G361" s="2"/>
      <c r="H361" s="35"/>
      <c r="I361" s="21"/>
      <c r="J361" s="21"/>
      <c r="K361" s="21"/>
      <c r="L361" s="21"/>
      <c r="M361" s="21"/>
      <c r="N361" s="21"/>
      <c r="O361" s="21"/>
      <c r="P361" s="21"/>
      <c r="Q361" s="2"/>
      <c r="R361" s="2"/>
      <c r="S361" s="2"/>
      <c r="T361" s="2"/>
      <c r="U361" s="2"/>
      <c r="V361" s="2"/>
      <c r="W361" s="2"/>
      <c r="X361" s="2"/>
      <c r="Y361" s="2"/>
      <c r="Z361" s="2"/>
      <c r="AA361" s="2"/>
      <c r="AB361" s="2"/>
    </row>
    <row r="362">
      <c r="A362" s="2"/>
      <c r="B362" s="21"/>
      <c r="C362" s="21"/>
      <c r="D362" s="21"/>
      <c r="E362" s="21"/>
      <c r="F362" s="2"/>
      <c r="G362" s="2"/>
      <c r="H362" s="35"/>
      <c r="I362" s="21"/>
      <c r="J362" s="21"/>
      <c r="K362" s="21"/>
      <c r="L362" s="21"/>
      <c r="M362" s="21"/>
      <c r="N362" s="21"/>
      <c r="O362" s="21"/>
      <c r="P362" s="21"/>
      <c r="Q362" s="2"/>
      <c r="R362" s="2"/>
      <c r="S362" s="2"/>
      <c r="T362" s="2"/>
      <c r="U362" s="2"/>
      <c r="V362" s="2"/>
      <c r="W362" s="2"/>
      <c r="X362" s="2"/>
      <c r="Y362" s="2"/>
      <c r="Z362" s="2"/>
      <c r="AA362" s="2"/>
      <c r="AB362" s="2"/>
    </row>
    <row r="363">
      <c r="A363" s="2"/>
      <c r="B363" s="21"/>
      <c r="C363" s="21"/>
      <c r="D363" s="21"/>
      <c r="E363" s="21"/>
      <c r="F363" s="2"/>
      <c r="G363" s="2"/>
      <c r="H363" s="35"/>
      <c r="I363" s="21"/>
      <c r="J363" s="21"/>
      <c r="K363" s="21"/>
      <c r="L363" s="21"/>
      <c r="M363" s="21"/>
      <c r="N363" s="21"/>
      <c r="O363" s="21"/>
      <c r="P363" s="21"/>
      <c r="Q363" s="2"/>
      <c r="R363" s="2"/>
      <c r="S363" s="2"/>
      <c r="T363" s="2"/>
      <c r="U363" s="2"/>
      <c r="V363" s="2"/>
      <c r="W363" s="2"/>
      <c r="X363" s="2"/>
      <c r="Y363" s="2"/>
      <c r="Z363" s="2"/>
      <c r="AA363" s="2"/>
      <c r="AB363" s="2"/>
    </row>
    <row r="364">
      <c r="A364" s="2"/>
      <c r="B364" s="21"/>
      <c r="C364" s="21"/>
      <c r="D364" s="21"/>
      <c r="E364" s="21"/>
      <c r="F364" s="2"/>
      <c r="G364" s="2"/>
      <c r="H364" s="35"/>
      <c r="I364" s="21"/>
      <c r="J364" s="21"/>
      <c r="K364" s="21"/>
      <c r="L364" s="21"/>
      <c r="M364" s="21"/>
      <c r="N364" s="21"/>
      <c r="O364" s="21"/>
      <c r="P364" s="21"/>
      <c r="Q364" s="2"/>
      <c r="R364" s="2"/>
      <c r="S364" s="2"/>
      <c r="T364" s="2"/>
      <c r="U364" s="2"/>
      <c r="V364" s="2"/>
      <c r="W364" s="2"/>
      <c r="X364" s="2"/>
      <c r="Y364" s="2"/>
      <c r="Z364" s="2"/>
      <c r="AA364" s="2"/>
      <c r="AB364" s="2"/>
    </row>
    <row r="365">
      <c r="A365" s="2"/>
      <c r="B365" s="21"/>
      <c r="C365" s="21"/>
      <c r="D365" s="21"/>
      <c r="E365" s="21"/>
      <c r="F365" s="2"/>
      <c r="G365" s="2"/>
      <c r="H365" s="35"/>
      <c r="I365" s="21"/>
      <c r="J365" s="21"/>
      <c r="K365" s="21"/>
      <c r="L365" s="21"/>
      <c r="M365" s="21"/>
      <c r="N365" s="21"/>
      <c r="O365" s="21"/>
      <c r="P365" s="21"/>
      <c r="Q365" s="2"/>
      <c r="R365" s="2"/>
      <c r="S365" s="2"/>
      <c r="T365" s="2"/>
      <c r="U365" s="2"/>
      <c r="V365" s="2"/>
      <c r="W365" s="2"/>
      <c r="X365" s="2"/>
      <c r="Y365" s="2"/>
      <c r="Z365" s="2"/>
      <c r="AA365" s="2"/>
      <c r="AB365" s="2"/>
    </row>
    <row r="366">
      <c r="A366" s="2"/>
      <c r="B366" s="21"/>
      <c r="C366" s="21"/>
      <c r="D366" s="21"/>
      <c r="E366" s="21"/>
      <c r="F366" s="2"/>
      <c r="G366" s="2"/>
      <c r="H366" s="35"/>
      <c r="I366" s="21"/>
      <c r="J366" s="21"/>
      <c r="K366" s="21"/>
      <c r="L366" s="21"/>
      <c r="M366" s="21"/>
      <c r="N366" s="21"/>
      <c r="O366" s="21"/>
      <c r="P366" s="21"/>
      <c r="Q366" s="2"/>
      <c r="R366" s="2"/>
      <c r="S366" s="2"/>
      <c r="T366" s="2"/>
      <c r="U366" s="2"/>
      <c r="V366" s="2"/>
      <c r="W366" s="2"/>
      <c r="X366" s="2"/>
      <c r="Y366" s="2"/>
      <c r="Z366" s="2"/>
      <c r="AA366" s="2"/>
      <c r="AB366" s="2"/>
    </row>
    <row r="367">
      <c r="A367" s="2"/>
      <c r="B367" s="21"/>
      <c r="C367" s="21"/>
      <c r="D367" s="21"/>
      <c r="E367" s="21"/>
      <c r="F367" s="2"/>
      <c r="G367" s="2"/>
      <c r="H367" s="35"/>
      <c r="I367" s="21"/>
      <c r="J367" s="21"/>
      <c r="K367" s="21"/>
      <c r="L367" s="21"/>
      <c r="M367" s="21"/>
      <c r="N367" s="21"/>
      <c r="O367" s="21"/>
      <c r="P367" s="21"/>
      <c r="Q367" s="2"/>
      <c r="R367" s="2"/>
      <c r="S367" s="2"/>
      <c r="T367" s="2"/>
      <c r="U367" s="2"/>
      <c r="V367" s="2"/>
      <c r="W367" s="2"/>
      <c r="X367" s="2"/>
      <c r="Y367" s="2"/>
      <c r="Z367" s="2"/>
      <c r="AA367" s="2"/>
      <c r="AB367" s="2"/>
    </row>
    <row r="368">
      <c r="A368" s="2"/>
      <c r="B368" s="21"/>
      <c r="C368" s="21"/>
      <c r="D368" s="21"/>
      <c r="E368" s="21"/>
      <c r="F368" s="2"/>
      <c r="G368" s="2"/>
      <c r="H368" s="35"/>
      <c r="I368" s="21"/>
      <c r="J368" s="21"/>
      <c r="K368" s="21"/>
      <c r="L368" s="21"/>
      <c r="M368" s="21"/>
      <c r="N368" s="21"/>
      <c r="O368" s="21"/>
      <c r="P368" s="21"/>
      <c r="Q368" s="2"/>
      <c r="R368" s="2"/>
      <c r="S368" s="2"/>
      <c r="T368" s="2"/>
      <c r="U368" s="2"/>
      <c r="V368" s="2"/>
      <c r="W368" s="2"/>
      <c r="X368" s="2"/>
      <c r="Y368" s="2"/>
      <c r="Z368" s="2"/>
      <c r="AA368" s="2"/>
      <c r="AB368" s="2"/>
    </row>
    <row r="369">
      <c r="A369" s="2"/>
      <c r="B369" s="21"/>
      <c r="C369" s="21"/>
      <c r="D369" s="21"/>
      <c r="E369" s="21"/>
      <c r="F369" s="2"/>
      <c r="G369" s="2"/>
      <c r="H369" s="35"/>
      <c r="I369" s="21"/>
      <c r="J369" s="21"/>
      <c r="K369" s="21"/>
      <c r="L369" s="21"/>
      <c r="M369" s="21"/>
      <c r="N369" s="21"/>
      <c r="O369" s="21"/>
      <c r="P369" s="21"/>
      <c r="Q369" s="2"/>
      <c r="R369" s="2"/>
      <c r="S369" s="2"/>
      <c r="T369" s="2"/>
      <c r="U369" s="2"/>
      <c r="V369" s="2"/>
      <c r="W369" s="2"/>
      <c r="X369" s="2"/>
      <c r="Y369" s="2"/>
      <c r="Z369" s="2"/>
      <c r="AA369" s="2"/>
      <c r="AB369" s="2"/>
    </row>
    <row r="370">
      <c r="A370" s="2"/>
      <c r="B370" s="21"/>
      <c r="C370" s="21"/>
      <c r="D370" s="21"/>
      <c r="E370" s="21"/>
      <c r="F370" s="2"/>
      <c r="G370" s="2"/>
      <c r="H370" s="35"/>
      <c r="I370" s="21"/>
      <c r="J370" s="21"/>
      <c r="K370" s="21"/>
      <c r="L370" s="21"/>
      <c r="M370" s="21"/>
      <c r="N370" s="21"/>
      <c r="O370" s="21"/>
      <c r="P370" s="21"/>
      <c r="Q370" s="2"/>
      <c r="R370" s="2"/>
      <c r="S370" s="2"/>
      <c r="T370" s="2"/>
      <c r="U370" s="2"/>
      <c r="V370" s="2"/>
      <c r="W370" s="2"/>
      <c r="X370" s="2"/>
      <c r="Y370" s="2"/>
      <c r="Z370" s="2"/>
      <c r="AA370" s="2"/>
      <c r="AB370" s="2"/>
    </row>
    <row r="371">
      <c r="A371" s="2"/>
      <c r="B371" s="21"/>
      <c r="C371" s="21"/>
      <c r="D371" s="21"/>
      <c r="E371" s="21"/>
      <c r="F371" s="2"/>
      <c r="G371" s="2"/>
      <c r="H371" s="35"/>
      <c r="I371" s="21"/>
      <c r="J371" s="21"/>
      <c r="K371" s="21"/>
      <c r="L371" s="21"/>
      <c r="M371" s="21"/>
      <c r="N371" s="21"/>
      <c r="O371" s="21"/>
      <c r="P371" s="21"/>
      <c r="Q371" s="2"/>
      <c r="R371" s="2"/>
      <c r="S371" s="2"/>
      <c r="T371" s="2"/>
      <c r="U371" s="2"/>
      <c r="V371" s="2"/>
      <c r="W371" s="2"/>
      <c r="X371" s="2"/>
      <c r="Y371" s="2"/>
      <c r="Z371" s="2"/>
      <c r="AA371" s="2"/>
      <c r="AB371" s="2"/>
    </row>
    <row r="372">
      <c r="A372" s="2"/>
      <c r="B372" s="21"/>
      <c r="C372" s="21"/>
      <c r="D372" s="21"/>
      <c r="E372" s="21"/>
      <c r="F372" s="2"/>
      <c r="G372" s="2"/>
      <c r="H372" s="35"/>
      <c r="I372" s="21"/>
      <c r="J372" s="21"/>
      <c r="K372" s="21"/>
      <c r="L372" s="21"/>
      <c r="M372" s="21"/>
      <c r="N372" s="21"/>
      <c r="O372" s="21"/>
      <c r="P372" s="21"/>
      <c r="Q372" s="2"/>
      <c r="R372" s="2"/>
      <c r="S372" s="2"/>
      <c r="T372" s="2"/>
      <c r="U372" s="2"/>
      <c r="V372" s="2"/>
      <c r="W372" s="2"/>
      <c r="X372" s="2"/>
      <c r="Y372" s="2"/>
      <c r="Z372" s="2"/>
      <c r="AA372" s="2"/>
      <c r="AB372" s="2"/>
    </row>
    <row r="373">
      <c r="A373" s="2"/>
      <c r="B373" s="21"/>
      <c r="C373" s="21"/>
      <c r="D373" s="21"/>
      <c r="E373" s="21"/>
      <c r="F373" s="2"/>
      <c r="G373" s="2"/>
      <c r="H373" s="35"/>
      <c r="I373" s="21"/>
      <c r="J373" s="21"/>
      <c r="K373" s="21"/>
      <c r="L373" s="21"/>
      <c r="M373" s="21"/>
      <c r="N373" s="21"/>
      <c r="O373" s="21"/>
      <c r="P373" s="21"/>
      <c r="Q373" s="2"/>
      <c r="R373" s="2"/>
      <c r="S373" s="2"/>
      <c r="T373" s="2"/>
      <c r="U373" s="2"/>
      <c r="V373" s="2"/>
      <c r="W373" s="2"/>
      <c r="X373" s="2"/>
      <c r="Y373" s="2"/>
      <c r="Z373" s="2"/>
      <c r="AA373" s="2"/>
      <c r="AB373" s="2"/>
    </row>
    <row r="374">
      <c r="A374" s="2"/>
      <c r="B374" s="21"/>
      <c r="C374" s="21"/>
      <c r="D374" s="21"/>
      <c r="E374" s="21"/>
      <c r="F374" s="2"/>
      <c r="G374" s="2"/>
      <c r="H374" s="35"/>
      <c r="I374" s="21"/>
      <c r="J374" s="21"/>
      <c r="K374" s="21"/>
      <c r="L374" s="21"/>
      <c r="M374" s="21"/>
      <c r="N374" s="21"/>
      <c r="O374" s="21"/>
      <c r="P374" s="21"/>
      <c r="Q374" s="2"/>
      <c r="R374" s="2"/>
      <c r="S374" s="2"/>
      <c r="T374" s="2"/>
      <c r="U374" s="2"/>
      <c r="V374" s="2"/>
      <c r="W374" s="2"/>
      <c r="X374" s="2"/>
      <c r="Y374" s="2"/>
      <c r="Z374" s="2"/>
      <c r="AA374" s="2"/>
      <c r="AB374" s="2"/>
    </row>
    <row r="375">
      <c r="A375" s="2"/>
      <c r="B375" s="21"/>
      <c r="C375" s="21"/>
      <c r="D375" s="21"/>
      <c r="E375" s="21"/>
      <c r="F375" s="2"/>
      <c r="G375" s="2"/>
      <c r="H375" s="35"/>
      <c r="I375" s="21"/>
      <c r="J375" s="21"/>
      <c r="K375" s="21"/>
      <c r="L375" s="21"/>
      <c r="M375" s="21"/>
      <c r="N375" s="21"/>
      <c r="O375" s="21"/>
      <c r="P375" s="21"/>
      <c r="Q375" s="2"/>
      <c r="R375" s="2"/>
      <c r="S375" s="2"/>
      <c r="T375" s="2"/>
      <c r="U375" s="2"/>
      <c r="V375" s="2"/>
      <c r="W375" s="2"/>
      <c r="X375" s="2"/>
      <c r="Y375" s="2"/>
      <c r="Z375" s="2"/>
      <c r="AA375" s="2"/>
      <c r="AB375" s="2"/>
    </row>
    <row r="376">
      <c r="A376" s="2"/>
      <c r="B376" s="21"/>
      <c r="C376" s="21"/>
      <c r="D376" s="21"/>
      <c r="E376" s="21"/>
      <c r="F376" s="2"/>
      <c r="G376" s="2"/>
      <c r="H376" s="35"/>
      <c r="I376" s="21"/>
      <c r="J376" s="21"/>
      <c r="K376" s="21"/>
      <c r="L376" s="21"/>
      <c r="M376" s="21"/>
      <c r="N376" s="21"/>
      <c r="O376" s="21"/>
      <c r="P376" s="21"/>
      <c r="Q376" s="2"/>
      <c r="R376" s="2"/>
      <c r="S376" s="2"/>
      <c r="T376" s="2"/>
      <c r="U376" s="2"/>
      <c r="V376" s="2"/>
      <c r="W376" s="2"/>
      <c r="X376" s="2"/>
      <c r="Y376" s="2"/>
      <c r="Z376" s="2"/>
      <c r="AA376" s="2"/>
      <c r="AB376" s="2"/>
    </row>
    <row r="377">
      <c r="A377" s="2"/>
      <c r="B377" s="21"/>
      <c r="C377" s="21"/>
      <c r="D377" s="21"/>
      <c r="E377" s="21"/>
      <c r="F377" s="2"/>
      <c r="G377" s="2"/>
      <c r="H377" s="35"/>
      <c r="I377" s="21"/>
      <c r="J377" s="21"/>
      <c r="K377" s="21"/>
      <c r="L377" s="21"/>
      <c r="M377" s="21"/>
      <c r="N377" s="21"/>
      <c r="O377" s="21"/>
      <c r="P377" s="21"/>
      <c r="Q377" s="2"/>
      <c r="R377" s="2"/>
      <c r="S377" s="2"/>
      <c r="T377" s="2"/>
      <c r="U377" s="2"/>
      <c r="V377" s="2"/>
      <c r="W377" s="2"/>
      <c r="X377" s="2"/>
      <c r="Y377" s="2"/>
      <c r="Z377" s="2"/>
      <c r="AA377" s="2"/>
      <c r="AB377" s="2"/>
    </row>
    <row r="378">
      <c r="A378" s="2"/>
      <c r="B378" s="21"/>
      <c r="C378" s="21"/>
      <c r="D378" s="21"/>
      <c r="E378" s="21"/>
      <c r="F378" s="2"/>
      <c r="G378" s="2"/>
      <c r="H378" s="35"/>
      <c r="I378" s="21"/>
      <c r="J378" s="21"/>
      <c r="K378" s="21"/>
      <c r="L378" s="21"/>
      <c r="M378" s="21"/>
      <c r="N378" s="21"/>
      <c r="O378" s="21"/>
      <c r="P378" s="21"/>
      <c r="Q378" s="2"/>
      <c r="R378" s="2"/>
      <c r="S378" s="2"/>
      <c r="T378" s="2"/>
      <c r="U378" s="2"/>
      <c r="V378" s="2"/>
      <c r="W378" s="2"/>
      <c r="X378" s="2"/>
      <c r="Y378" s="2"/>
      <c r="Z378" s="2"/>
      <c r="AA378" s="2"/>
      <c r="AB378" s="2"/>
    </row>
    <row r="379">
      <c r="A379" s="2"/>
      <c r="B379" s="21"/>
      <c r="C379" s="21"/>
      <c r="D379" s="21"/>
      <c r="E379" s="21"/>
      <c r="F379" s="2"/>
      <c r="G379" s="2"/>
      <c r="H379" s="35"/>
      <c r="I379" s="21"/>
      <c r="J379" s="21"/>
      <c r="K379" s="21"/>
      <c r="L379" s="21"/>
      <c r="M379" s="21"/>
      <c r="N379" s="21"/>
      <c r="O379" s="21"/>
      <c r="P379" s="21"/>
      <c r="Q379" s="2"/>
      <c r="R379" s="2"/>
      <c r="S379" s="2"/>
      <c r="T379" s="2"/>
      <c r="U379" s="2"/>
      <c r="V379" s="2"/>
      <c r="W379" s="2"/>
      <c r="X379" s="2"/>
      <c r="Y379" s="2"/>
      <c r="Z379" s="2"/>
      <c r="AA379" s="2"/>
      <c r="AB379" s="2"/>
    </row>
    <row r="380">
      <c r="A380" s="2"/>
      <c r="B380" s="21"/>
      <c r="C380" s="21"/>
      <c r="D380" s="21"/>
      <c r="E380" s="21"/>
      <c r="F380" s="2"/>
      <c r="G380" s="2"/>
      <c r="H380" s="35"/>
      <c r="I380" s="21"/>
      <c r="J380" s="21"/>
      <c r="K380" s="21"/>
      <c r="L380" s="21"/>
      <c r="M380" s="21"/>
      <c r="N380" s="21"/>
      <c r="O380" s="21"/>
      <c r="P380" s="21"/>
      <c r="Q380" s="2"/>
      <c r="R380" s="2"/>
      <c r="S380" s="2"/>
      <c r="T380" s="2"/>
      <c r="U380" s="2"/>
      <c r="V380" s="2"/>
      <c r="W380" s="2"/>
      <c r="X380" s="2"/>
      <c r="Y380" s="2"/>
      <c r="Z380" s="2"/>
      <c r="AA380" s="2"/>
      <c r="AB380" s="2"/>
    </row>
    <row r="381">
      <c r="A381" s="2"/>
      <c r="B381" s="21"/>
      <c r="C381" s="21"/>
      <c r="D381" s="21"/>
      <c r="E381" s="21"/>
      <c r="F381" s="2"/>
      <c r="G381" s="2"/>
      <c r="H381" s="35"/>
      <c r="I381" s="21"/>
      <c r="J381" s="21"/>
      <c r="K381" s="21"/>
      <c r="L381" s="21"/>
      <c r="M381" s="21"/>
      <c r="N381" s="21"/>
      <c r="O381" s="21"/>
      <c r="P381" s="21"/>
      <c r="Q381" s="2"/>
      <c r="R381" s="2"/>
      <c r="S381" s="2"/>
      <c r="T381" s="2"/>
      <c r="U381" s="2"/>
      <c r="V381" s="2"/>
      <c r="W381" s="2"/>
      <c r="X381" s="2"/>
      <c r="Y381" s="2"/>
      <c r="Z381" s="2"/>
      <c r="AA381" s="2"/>
      <c r="AB381" s="2"/>
    </row>
    <row r="382">
      <c r="A382" s="2"/>
      <c r="B382" s="21"/>
      <c r="C382" s="21"/>
      <c r="D382" s="21"/>
      <c r="E382" s="21"/>
      <c r="F382" s="2"/>
      <c r="G382" s="2"/>
      <c r="H382" s="35"/>
      <c r="I382" s="21"/>
      <c r="J382" s="21"/>
      <c r="K382" s="21"/>
      <c r="L382" s="21"/>
      <c r="M382" s="21"/>
      <c r="N382" s="21"/>
      <c r="O382" s="21"/>
      <c r="P382" s="21"/>
      <c r="Q382" s="2"/>
      <c r="R382" s="2"/>
      <c r="S382" s="2"/>
      <c r="T382" s="2"/>
      <c r="U382" s="2"/>
      <c r="V382" s="2"/>
      <c r="W382" s="2"/>
      <c r="X382" s="2"/>
      <c r="Y382" s="2"/>
      <c r="Z382" s="2"/>
      <c r="AA382" s="2"/>
      <c r="AB382" s="2"/>
    </row>
    <row r="383">
      <c r="A383" s="2"/>
      <c r="B383" s="21"/>
      <c r="C383" s="21"/>
      <c r="D383" s="21"/>
      <c r="E383" s="21"/>
      <c r="F383" s="2"/>
      <c r="G383" s="2"/>
      <c r="H383" s="35"/>
      <c r="I383" s="21"/>
      <c r="J383" s="21"/>
      <c r="K383" s="21"/>
      <c r="L383" s="21"/>
      <c r="M383" s="21"/>
      <c r="N383" s="21"/>
      <c r="O383" s="21"/>
      <c r="P383" s="21"/>
      <c r="Q383" s="2"/>
      <c r="R383" s="2"/>
      <c r="S383" s="2"/>
      <c r="T383" s="2"/>
      <c r="U383" s="2"/>
      <c r="V383" s="2"/>
      <c r="W383" s="2"/>
      <c r="X383" s="2"/>
      <c r="Y383" s="2"/>
      <c r="Z383" s="2"/>
      <c r="AA383" s="2"/>
      <c r="AB383" s="2"/>
    </row>
    <row r="384">
      <c r="A384" s="2"/>
      <c r="B384" s="21"/>
      <c r="C384" s="21"/>
      <c r="D384" s="21"/>
      <c r="E384" s="21"/>
      <c r="F384" s="2"/>
      <c r="G384" s="2"/>
      <c r="H384" s="35"/>
      <c r="I384" s="21"/>
      <c r="J384" s="21"/>
      <c r="K384" s="21"/>
      <c r="L384" s="21"/>
      <c r="M384" s="21"/>
      <c r="N384" s="21"/>
      <c r="O384" s="21"/>
      <c r="P384" s="21"/>
      <c r="Q384" s="2"/>
      <c r="R384" s="2"/>
      <c r="S384" s="2"/>
      <c r="T384" s="2"/>
      <c r="U384" s="2"/>
      <c r="V384" s="2"/>
      <c r="W384" s="2"/>
      <c r="X384" s="2"/>
      <c r="Y384" s="2"/>
      <c r="Z384" s="2"/>
      <c r="AA384" s="2"/>
      <c r="AB384" s="2"/>
    </row>
    <row r="385">
      <c r="A385" s="2"/>
      <c r="B385" s="21"/>
      <c r="C385" s="21"/>
      <c r="D385" s="21"/>
      <c r="E385" s="21"/>
      <c r="F385" s="2"/>
      <c r="G385" s="2"/>
      <c r="H385" s="35"/>
      <c r="I385" s="21"/>
      <c r="J385" s="21"/>
      <c r="K385" s="21"/>
      <c r="L385" s="21"/>
      <c r="M385" s="21"/>
      <c r="N385" s="21"/>
      <c r="O385" s="21"/>
      <c r="P385" s="21"/>
      <c r="Q385" s="2"/>
      <c r="R385" s="2"/>
      <c r="S385" s="2"/>
      <c r="T385" s="2"/>
      <c r="U385" s="2"/>
      <c r="V385" s="2"/>
      <c r="W385" s="2"/>
      <c r="X385" s="2"/>
      <c r="Y385" s="2"/>
      <c r="Z385" s="2"/>
      <c r="AA385" s="2"/>
      <c r="AB385" s="2"/>
    </row>
    <row r="386">
      <c r="A386" s="2"/>
      <c r="B386" s="21"/>
      <c r="C386" s="21"/>
      <c r="D386" s="21"/>
      <c r="E386" s="21"/>
      <c r="F386" s="2"/>
      <c r="G386" s="2"/>
      <c r="H386" s="35"/>
      <c r="I386" s="21"/>
      <c r="J386" s="21"/>
      <c r="K386" s="21"/>
      <c r="L386" s="21"/>
      <c r="M386" s="21"/>
      <c r="N386" s="21"/>
      <c r="O386" s="21"/>
      <c r="P386" s="21"/>
      <c r="Q386" s="2"/>
      <c r="R386" s="2"/>
      <c r="S386" s="2"/>
      <c r="T386" s="2"/>
      <c r="U386" s="2"/>
      <c r="V386" s="2"/>
      <c r="W386" s="2"/>
      <c r="X386" s="2"/>
      <c r="Y386" s="2"/>
      <c r="Z386" s="2"/>
      <c r="AA386" s="2"/>
      <c r="AB386" s="2"/>
    </row>
    <row r="387">
      <c r="A387" s="2"/>
      <c r="B387" s="21"/>
      <c r="C387" s="21"/>
      <c r="D387" s="21"/>
      <c r="E387" s="21"/>
      <c r="F387" s="2"/>
      <c r="G387" s="2"/>
      <c r="H387" s="35"/>
      <c r="I387" s="21"/>
      <c r="J387" s="21"/>
      <c r="K387" s="21"/>
      <c r="L387" s="21"/>
      <c r="M387" s="21"/>
      <c r="N387" s="21"/>
      <c r="O387" s="21"/>
      <c r="P387" s="21"/>
      <c r="Q387" s="2"/>
      <c r="R387" s="2"/>
      <c r="S387" s="2"/>
      <c r="T387" s="2"/>
      <c r="U387" s="2"/>
      <c r="V387" s="2"/>
      <c r="W387" s="2"/>
      <c r="X387" s="2"/>
      <c r="Y387" s="2"/>
      <c r="Z387" s="2"/>
      <c r="AA387" s="2"/>
      <c r="AB387" s="2"/>
    </row>
    <row r="388">
      <c r="A388" s="2"/>
      <c r="B388" s="21"/>
      <c r="C388" s="21"/>
      <c r="D388" s="21"/>
      <c r="E388" s="21"/>
      <c r="F388" s="2"/>
      <c r="G388" s="2"/>
      <c r="H388" s="35"/>
      <c r="I388" s="21"/>
      <c r="J388" s="21"/>
      <c r="K388" s="21"/>
      <c r="L388" s="21"/>
      <c r="M388" s="21"/>
      <c r="N388" s="21"/>
      <c r="O388" s="21"/>
      <c r="P388" s="21"/>
      <c r="Q388" s="2"/>
      <c r="R388" s="2"/>
      <c r="S388" s="2"/>
      <c r="T388" s="2"/>
      <c r="U388" s="2"/>
      <c r="V388" s="2"/>
      <c r="W388" s="2"/>
      <c r="X388" s="2"/>
      <c r="Y388" s="2"/>
      <c r="Z388" s="2"/>
      <c r="AA388" s="2"/>
      <c r="AB388" s="2"/>
    </row>
    <row r="389">
      <c r="A389" s="2"/>
      <c r="B389" s="21"/>
      <c r="C389" s="21"/>
      <c r="D389" s="21"/>
      <c r="E389" s="21"/>
      <c r="F389" s="2"/>
      <c r="G389" s="2"/>
      <c r="H389" s="35"/>
      <c r="I389" s="21"/>
      <c r="J389" s="21"/>
      <c r="K389" s="21"/>
      <c r="L389" s="21"/>
      <c r="M389" s="21"/>
      <c r="N389" s="21"/>
      <c r="O389" s="21"/>
      <c r="P389" s="21"/>
      <c r="Q389" s="2"/>
      <c r="R389" s="2"/>
      <c r="S389" s="2"/>
      <c r="T389" s="2"/>
      <c r="U389" s="2"/>
      <c r="V389" s="2"/>
      <c r="W389" s="2"/>
      <c r="X389" s="2"/>
      <c r="Y389" s="2"/>
      <c r="Z389" s="2"/>
      <c r="AA389" s="2"/>
      <c r="AB389" s="2"/>
    </row>
    <row r="390">
      <c r="A390" s="2"/>
      <c r="B390" s="21"/>
      <c r="C390" s="21"/>
      <c r="D390" s="21"/>
      <c r="E390" s="21"/>
      <c r="F390" s="2"/>
      <c r="G390" s="2"/>
      <c r="H390" s="35"/>
      <c r="I390" s="21"/>
      <c r="J390" s="21"/>
      <c r="K390" s="21"/>
      <c r="L390" s="21"/>
      <c r="M390" s="21"/>
      <c r="N390" s="21"/>
      <c r="O390" s="21"/>
      <c r="P390" s="21"/>
      <c r="Q390" s="2"/>
      <c r="R390" s="2"/>
      <c r="S390" s="2"/>
      <c r="T390" s="2"/>
      <c r="U390" s="2"/>
      <c r="V390" s="2"/>
      <c r="W390" s="2"/>
      <c r="X390" s="2"/>
      <c r="Y390" s="2"/>
      <c r="Z390" s="2"/>
      <c r="AA390" s="2"/>
      <c r="AB390" s="2"/>
    </row>
    <row r="391">
      <c r="A391" s="2"/>
      <c r="B391" s="21"/>
      <c r="C391" s="21"/>
      <c r="D391" s="21"/>
      <c r="E391" s="21"/>
      <c r="F391" s="2"/>
      <c r="G391" s="2"/>
      <c r="H391" s="35"/>
      <c r="I391" s="21"/>
      <c r="J391" s="21"/>
      <c r="K391" s="21"/>
      <c r="L391" s="21"/>
      <c r="M391" s="21"/>
      <c r="N391" s="21"/>
      <c r="O391" s="21"/>
      <c r="P391" s="21"/>
      <c r="Q391" s="2"/>
      <c r="R391" s="2"/>
      <c r="S391" s="2"/>
      <c r="T391" s="2"/>
      <c r="U391" s="2"/>
      <c r="V391" s="2"/>
      <c r="W391" s="2"/>
      <c r="X391" s="2"/>
      <c r="Y391" s="2"/>
      <c r="Z391" s="2"/>
      <c r="AA391" s="2"/>
      <c r="AB391" s="2"/>
    </row>
    <row r="392">
      <c r="A392" s="2"/>
      <c r="B392" s="21"/>
      <c r="C392" s="21"/>
      <c r="D392" s="21"/>
      <c r="E392" s="21"/>
      <c r="F392" s="2"/>
      <c r="G392" s="2"/>
      <c r="H392" s="35"/>
      <c r="I392" s="21"/>
      <c r="J392" s="21"/>
      <c r="K392" s="21"/>
      <c r="L392" s="21"/>
      <c r="M392" s="21"/>
      <c r="N392" s="21"/>
      <c r="O392" s="21"/>
      <c r="P392" s="21"/>
      <c r="Q392" s="2"/>
      <c r="R392" s="2"/>
      <c r="S392" s="2"/>
      <c r="T392" s="2"/>
      <c r="U392" s="2"/>
      <c r="V392" s="2"/>
      <c r="W392" s="2"/>
      <c r="X392" s="2"/>
      <c r="Y392" s="2"/>
      <c r="Z392" s="2"/>
      <c r="AA392" s="2"/>
      <c r="AB392" s="2"/>
    </row>
    <row r="393">
      <c r="A393" s="2"/>
      <c r="B393" s="21"/>
      <c r="C393" s="21"/>
      <c r="D393" s="21"/>
      <c r="E393" s="21"/>
      <c r="F393" s="2"/>
      <c r="G393" s="2"/>
      <c r="H393" s="35"/>
      <c r="I393" s="21"/>
      <c r="J393" s="21"/>
      <c r="K393" s="21"/>
      <c r="L393" s="21"/>
      <c r="M393" s="21"/>
      <c r="N393" s="21"/>
      <c r="O393" s="21"/>
      <c r="P393" s="21"/>
      <c r="Q393" s="2"/>
      <c r="R393" s="2"/>
      <c r="S393" s="2"/>
      <c r="T393" s="2"/>
      <c r="U393" s="2"/>
      <c r="V393" s="2"/>
      <c r="W393" s="2"/>
      <c r="X393" s="2"/>
      <c r="Y393" s="2"/>
      <c r="Z393" s="2"/>
      <c r="AA393" s="2"/>
      <c r="AB393" s="2"/>
    </row>
    <row r="394">
      <c r="A394" s="2"/>
      <c r="B394" s="21"/>
      <c r="C394" s="21"/>
      <c r="D394" s="21"/>
      <c r="E394" s="21"/>
      <c r="F394" s="2"/>
      <c r="G394" s="2"/>
      <c r="H394" s="35"/>
      <c r="I394" s="21"/>
      <c r="J394" s="21"/>
      <c r="K394" s="21"/>
      <c r="L394" s="21"/>
      <c r="M394" s="21"/>
      <c r="N394" s="21"/>
      <c r="O394" s="21"/>
      <c r="P394" s="21"/>
      <c r="Q394" s="2"/>
      <c r="R394" s="2"/>
      <c r="S394" s="2"/>
      <c r="T394" s="2"/>
      <c r="U394" s="2"/>
      <c r="V394" s="2"/>
      <c r="W394" s="2"/>
      <c r="X394" s="2"/>
      <c r="Y394" s="2"/>
      <c r="Z394" s="2"/>
      <c r="AA394" s="2"/>
      <c r="AB394" s="2"/>
    </row>
    <row r="395">
      <c r="A395" s="2"/>
      <c r="B395" s="21"/>
      <c r="C395" s="21"/>
      <c r="D395" s="21"/>
      <c r="E395" s="21"/>
      <c r="F395" s="2"/>
      <c r="G395" s="2"/>
      <c r="H395" s="35"/>
      <c r="I395" s="21"/>
      <c r="J395" s="21"/>
      <c r="K395" s="21"/>
      <c r="L395" s="21"/>
      <c r="M395" s="21"/>
      <c r="N395" s="21"/>
      <c r="O395" s="21"/>
      <c r="P395" s="21"/>
      <c r="Q395" s="2"/>
      <c r="R395" s="2"/>
      <c r="S395" s="2"/>
      <c r="T395" s="2"/>
      <c r="U395" s="2"/>
      <c r="V395" s="2"/>
      <c r="W395" s="2"/>
      <c r="X395" s="2"/>
      <c r="Y395" s="2"/>
      <c r="Z395" s="2"/>
      <c r="AA395" s="2"/>
      <c r="AB395" s="2"/>
    </row>
    <row r="396">
      <c r="A396" s="2"/>
      <c r="B396" s="21"/>
      <c r="C396" s="21"/>
      <c r="D396" s="21"/>
      <c r="E396" s="21"/>
      <c r="F396" s="2"/>
      <c r="G396" s="2"/>
      <c r="H396" s="35"/>
      <c r="I396" s="21"/>
      <c r="J396" s="21"/>
      <c r="K396" s="21"/>
      <c r="L396" s="21"/>
      <c r="M396" s="21"/>
      <c r="N396" s="21"/>
      <c r="O396" s="21"/>
      <c r="P396" s="21"/>
      <c r="Q396" s="2"/>
      <c r="R396" s="2"/>
      <c r="S396" s="2"/>
      <c r="T396" s="2"/>
      <c r="U396" s="2"/>
      <c r="V396" s="2"/>
      <c r="W396" s="2"/>
      <c r="X396" s="2"/>
      <c r="Y396" s="2"/>
      <c r="Z396" s="2"/>
      <c r="AA396" s="2"/>
      <c r="AB396" s="2"/>
    </row>
    <row r="397">
      <c r="A397" s="2"/>
      <c r="B397" s="21"/>
      <c r="C397" s="21"/>
      <c r="D397" s="21"/>
      <c r="E397" s="21"/>
      <c r="F397" s="2"/>
      <c r="G397" s="2"/>
      <c r="H397" s="35"/>
      <c r="I397" s="21"/>
      <c r="J397" s="21"/>
      <c r="K397" s="21"/>
      <c r="L397" s="21"/>
      <c r="M397" s="21"/>
      <c r="N397" s="21"/>
      <c r="O397" s="21"/>
      <c r="P397" s="21"/>
      <c r="Q397" s="2"/>
      <c r="R397" s="2"/>
      <c r="S397" s="2"/>
      <c r="T397" s="2"/>
      <c r="U397" s="2"/>
      <c r="V397" s="2"/>
      <c r="W397" s="2"/>
      <c r="X397" s="2"/>
      <c r="Y397" s="2"/>
      <c r="Z397" s="2"/>
      <c r="AA397" s="2"/>
      <c r="AB397" s="2"/>
    </row>
    <row r="398">
      <c r="A398" s="2"/>
      <c r="B398" s="21"/>
      <c r="C398" s="21"/>
      <c r="D398" s="21"/>
      <c r="E398" s="21"/>
      <c r="F398" s="2"/>
      <c r="G398" s="2"/>
      <c r="H398" s="35"/>
      <c r="I398" s="21"/>
      <c r="J398" s="21"/>
      <c r="K398" s="21"/>
      <c r="L398" s="21"/>
      <c r="M398" s="21"/>
      <c r="N398" s="21"/>
      <c r="O398" s="21"/>
      <c r="P398" s="21"/>
      <c r="Q398" s="2"/>
      <c r="R398" s="2"/>
      <c r="S398" s="2"/>
      <c r="T398" s="2"/>
      <c r="U398" s="2"/>
      <c r="V398" s="2"/>
      <c r="W398" s="2"/>
      <c r="X398" s="2"/>
      <c r="Y398" s="2"/>
      <c r="Z398" s="2"/>
      <c r="AA398" s="2"/>
      <c r="AB398" s="2"/>
    </row>
    <row r="399">
      <c r="A399" s="2"/>
      <c r="B399" s="21"/>
      <c r="C399" s="21"/>
      <c r="D399" s="21"/>
      <c r="E399" s="21"/>
      <c r="F399" s="2"/>
      <c r="G399" s="2"/>
      <c r="H399" s="35"/>
      <c r="I399" s="21"/>
      <c r="J399" s="21"/>
      <c r="K399" s="21"/>
      <c r="L399" s="21"/>
      <c r="M399" s="21"/>
      <c r="N399" s="21"/>
      <c r="O399" s="21"/>
      <c r="P399" s="21"/>
      <c r="Q399" s="2"/>
      <c r="R399" s="2"/>
      <c r="S399" s="2"/>
      <c r="T399" s="2"/>
      <c r="U399" s="2"/>
      <c r="V399" s="2"/>
      <c r="W399" s="2"/>
      <c r="X399" s="2"/>
      <c r="Y399" s="2"/>
      <c r="Z399" s="2"/>
      <c r="AA399" s="2"/>
      <c r="AB399" s="2"/>
    </row>
    <row r="400">
      <c r="A400" s="2"/>
      <c r="B400" s="21"/>
      <c r="C400" s="21"/>
      <c r="D400" s="21"/>
      <c r="E400" s="21"/>
      <c r="F400" s="2"/>
      <c r="G400" s="2"/>
      <c r="H400" s="35"/>
      <c r="I400" s="21"/>
      <c r="J400" s="21"/>
      <c r="K400" s="21"/>
      <c r="L400" s="21"/>
      <c r="M400" s="21"/>
      <c r="N400" s="21"/>
      <c r="O400" s="21"/>
      <c r="P400" s="21"/>
      <c r="Q400" s="2"/>
      <c r="R400" s="2"/>
      <c r="S400" s="2"/>
      <c r="T400" s="2"/>
      <c r="U400" s="2"/>
      <c r="V400" s="2"/>
      <c r="W400" s="2"/>
      <c r="X400" s="2"/>
      <c r="Y400" s="2"/>
      <c r="Z400" s="2"/>
      <c r="AA400" s="2"/>
      <c r="AB400" s="2"/>
    </row>
    <row r="401">
      <c r="A401" s="2"/>
      <c r="B401" s="21"/>
      <c r="C401" s="21"/>
      <c r="D401" s="21"/>
      <c r="E401" s="21"/>
      <c r="F401" s="2"/>
      <c r="G401" s="2"/>
      <c r="H401" s="35"/>
      <c r="I401" s="21"/>
      <c r="J401" s="21"/>
      <c r="K401" s="21"/>
      <c r="L401" s="21"/>
      <c r="M401" s="21"/>
      <c r="N401" s="21"/>
      <c r="O401" s="21"/>
      <c r="P401" s="21"/>
      <c r="Q401" s="2"/>
      <c r="R401" s="2"/>
      <c r="S401" s="2"/>
      <c r="T401" s="2"/>
      <c r="U401" s="2"/>
      <c r="V401" s="2"/>
      <c r="W401" s="2"/>
      <c r="X401" s="2"/>
      <c r="Y401" s="2"/>
      <c r="Z401" s="2"/>
      <c r="AA401" s="2"/>
      <c r="AB401" s="2"/>
    </row>
    <row r="402">
      <c r="A402" s="2"/>
      <c r="B402" s="21"/>
      <c r="C402" s="21"/>
      <c r="D402" s="21"/>
      <c r="E402" s="21"/>
      <c r="F402" s="2"/>
      <c r="G402" s="2"/>
      <c r="H402" s="35"/>
      <c r="I402" s="21"/>
      <c r="J402" s="21"/>
      <c r="K402" s="21"/>
      <c r="L402" s="21"/>
      <c r="M402" s="21"/>
      <c r="N402" s="21"/>
      <c r="O402" s="21"/>
      <c r="P402" s="21"/>
      <c r="Q402" s="2"/>
      <c r="R402" s="2"/>
      <c r="S402" s="2"/>
      <c r="T402" s="2"/>
      <c r="U402" s="2"/>
      <c r="V402" s="2"/>
      <c r="W402" s="2"/>
      <c r="X402" s="2"/>
      <c r="Y402" s="2"/>
      <c r="Z402" s="2"/>
      <c r="AA402" s="2"/>
      <c r="AB402" s="2"/>
    </row>
    <row r="403">
      <c r="A403" s="2"/>
      <c r="B403" s="21"/>
      <c r="C403" s="21"/>
      <c r="D403" s="21"/>
      <c r="E403" s="21"/>
      <c r="F403" s="2"/>
      <c r="G403" s="2"/>
      <c r="H403" s="35"/>
      <c r="I403" s="21"/>
      <c r="J403" s="21"/>
      <c r="K403" s="21"/>
      <c r="L403" s="21"/>
      <c r="M403" s="21"/>
      <c r="N403" s="21"/>
      <c r="O403" s="21"/>
      <c r="P403" s="21"/>
      <c r="Q403" s="2"/>
      <c r="R403" s="2"/>
      <c r="S403" s="2"/>
      <c r="T403" s="2"/>
      <c r="U403" s="2"/>
      <c r="V403" s="2"/>
      <c r="W403" s="2"/>
      <c r="X403" s="2"/>
      <c r="Y403" s="2"/>
      <c r="Z403" s="2"/>
      <c r="AA403" s="2"/>
      <c r="AB403" s="2"/>
    </row>
    <row r="404">
      <c r="A404" s="2"/>
      <c r="B404" s="21"/>
      <c r="C404" s="21"/>
      <c r="D404" s="21"/>
      <c r="E404" s="21"/>
      <c r="F404" s="2"/>
      <c r="G404" s="2"/>
      <c r="H404" s="35"/>
      <c r="I404" s="21"/>
      <c r="J404" s="21"/>
      <c r="K404" s="21"/>
      <c r="L404" s="21"/>
      <c r="M404" s="21"/>
      <c r="N404" s="21"/>
      <c r="O404" s="21"/>
      <c r="P404" s="21"/>
      <c r="Q404" s="2"/>
      <c r="R404" s="2"/>
      <c r="S404" s="2"/>
      <c r="T404" s="2"/>
      <c r="U404" s="2"/>
      <c r="V404" s="2"/>
      <c r="W404" s="2"/>
      <c r="X404" s="2"/>
      <c r="Y404" s="2"/>
      <c r="Z404" s="2"/>
      <c r="AA404" s="2"/>
      <c r="AB404" s="2"/>
    </row>
    <row r="405">
      <c r="A405" s="2"/>
      <c r="B405" s="21"/>
      <c r="C405" s="21"/>
      <c r="D405" s="21"/>
      <c r="E405" s="21"/>
      <c r="F405" s="2"/>
      <c r="G405" s="2"/>
      <c r="H405" s="35"/>
      <c r="I405" s="21"/>
      <c r="J405" s="21"/>
      <c r="K405" s="21"/>
      <c r="L405" s="21"/>
      <c r="M405" s="21"/>
      <c r="N405" s="21"/>
      <c r="O405" s="21"/>
      <c r="P405" s="21"/>
      <c r="Q405" s="2"/>
      <c r="R405" s="2"/>
      <c r="S405" s="2"/>
      <c r="T405" s="2"/>
      <c r="U405" s="2"/>
      <c r="V405" s="2"/>
      <c r="W405" s="2"/>
      <c r="X405" s="2"/>
      <c r="Y405" s="2"/>
      <c r="Z405" s="2"/>
      <c r="AA405" s="2"/>
      <c r="AB405" s="2"/>
    </row>
    <row r="406">
      <c r="A406" s="2"/>
      <c r="B406" s="21"/>
      <c r="C406" s="21"/>
      <c r="D406" s="21"/>
      <c r="E406" s="21"/>
      <c r="F406" s="2"/>
      <c r="G406" s="2"/>
      <c r="H406" s="35"/>
      <c r="I406" s="21"/>
      <c r="J406" s="21"/>
      <c r="K406" s="21"/>
      <c r="L406" s="21"/>
      <c r="M406" s="21"/>
      <c r="N406" s="21"/>
      <c r="O406" s="21"/>
      <c r="P406" s="21"/>
      <c r="Q406" s="2"/>
      <c r="R406" s="2"/>
      <c r="S406" s="2"/>
      <c r="T406" s="2"/>
      <c r="U406" s="2"/>
      <c r="V406" s="2"/>
      <c r="W406" s="2"/>
      <c r="X406" s="2"/>
      <c r="Y406" s="2"/>
      <c r="Z406" s="2"/>
      <c r="AA406" s="2"/>
      <c r="AB406" s="2"/>
    </row>
    <row r="407">
      <c r="A407" s="2"/>
      <c r="B407" s="21"/>
      <c r="C407" s="21"/>
      <c r="D407" s="21"/>
      <c r="E407" s="21"/>
      <c r="F407" s="2"/>
      <c r="G407" s="2"/>
      <c r="H407" s="35"/>
      <c r="I407" s="21"/>
      <c r="J407" s="21"/>
      <c r="K407" s="21"/>
      <c r="L407" s="21"/>
      <c r="M407" s="21"/>
      <c r="N407" s="21"/>
      <c r="O407" s="21"/>
      <c r="P407" s="21"/>
      <c r="Q407" s="2"/>
      <c r="R407" s="2"/>
      <c r="S407" s="2"/>
      <c r="T407" s="2"/>
      <c r="U407" s="2"/>
      <c r="V407" s="2"/>
      <c r="W407" s="2"/>
      <c r="X407" s="2"/>
      <c r="Y407" s="2"/>
      <c r="Z407" s="2"/>
      <c r="AA407" s="2"/>
      <c r="AB407" s="2"/>
    </row>
    <row r="408">
      <c r="A408" s="2"/>
      <c r="B408" s="21"/>
      <c r="C408" s="21"/>
      <c r="D408" s="21"/>
      <c r="E408" s="21"/>
      <c r="F408" s="2"/>
      <c r="G408" s="2"/>
      <c r="H408" s="35"/>
      <c r="I408" s="21"/>
      <c r="J408" s="21"/>
      <c r="K408" s="21"/>
      <c r="L408" s="21"/>
      <c r="M408" s="21"/>
      <c r="N408" s="21"/>
      <c r="O408" s="21"/>
      <c r="P408" s="21"/>
      <c r="Q408" s="2"/>
      <c r="R408" s="2"/>
      <c r="S408" s="2"/>
      <c r="T408" s="2"/>
      <c r="U408" s="2"/>
      <c r="V408" s="2"/>
      <c r="W408" s="2"/>
      <c r="X408" s="2"/>
      <c r="Y408" s="2"/>
      <c r="Z408" s="2"/>
      <c r="AA408" s="2"/>
      <c r="AB408" s="2"/>
    </row>
    <row r="409">
      <c r="A409" s="2"/>
      <c r="B409" s="21"/>
      <c r="C409" s="21"/>
      <c r="D409" s="21"/>
      <c r="E409" s="21"/>
      <c r="F409" s="2"/>
      <c r="G409" s="2"/>
      <c r="H409" s="35"/>
      <c r="I409" s="21"/>
      <c r="J409" s="21"/>
      <c r="K409" s="21"/>
      <c r="L409" s="21"/>
      <c r="M409" s="21"/>
      <c r="N409" s="21"/>
      <c r="O409" s="21"/>
      <c r="P409" s="21"/>
      <c r="Q409" s="2"/>
      <c r="R409" s="2"/>
      <c r="S409" s="2"/>
      <c r="T409" s="2"/>
      <c r="U409" s="2"/>
      <c r="V409" s="2"/>
      <c r="W409" s="2"/>
      <c r="X409" s="2"/>
      <c r="Y409" s="2"/>
      <c r="Z409" s="2"/>
      <c r="AA409" s="2"/>
      <c r="AB409" s="2"/>
    </row>
    <row r="410">
      <c r="A410" s="2"/>
      <c r="B410" s="21"/>
      <c r="C410" s="21"/>
      <c r="D410" s="21"/>
      <c r="E410" s="21"/>
      <c r="F410" s="2"/>
      <c r="G410" s="2"/>
      <c r="H410" s="35"/>
      <c r="I410" s="21"/>
      <c r="J410" s="21"/>
      <c r="K410" s="21"/>
      <c r="L410" s="21"/>
      <c r="M410" s="21"/>
      <c r="N410" s="21"/>
      <c r="O410" s="21"/>
      <c r="P410" s="21"/>
      <c r="Q410" s="2"/>
      <c r="R410" s="2"/>
      <c r="S410" s="2"/>
      <c r="T410" s="2"/>
      <c r="U410" s="2"/>
      <c r="V410" s="2"/>
      <c r="W410" s="2"/>
      <c r="X410" s="2"/>
      <c r="Y410" s="2"/>
      <c r="Z410" s="2"/>
      <c r="AA410" s="2"/>
      <c r="AB410" s="2"/>
    </row>
    <row r="411">
      <c r="A411" s="2"/>
      <c r="B411" s="21"/>
      <c r="C411" s="21"/>
      <c r="D411" s="21"/>
      <c r="E411" s="21"/>
      <c r="F411" s="2"/>
      <c r="G411" s="2"/>
      <c r="H411" s="35"/>
      <c r="I411" s="21"/>
      <c r="J411" s="21"/>
      <c r="K411" s="21"/>
      <c r="L411" s="21"/>
      <c r="M411" s="21"/>
      <c r="N411" s="21"/>
      <c r="O411" s="21"/>
      <c r="P411" s="21"/>
      <c r="Q411" s="2"/>
      <c r="R411" s="2"/>
      <c r="S411" s="2"/>
      <c r="T411" s="2"/>
      <c r="U411" s="2"/>
      <c r="V411" s="2"/>
      <c r="W411" s="2"/>
      <c r="X411" s="2"/>
      <c r="Y411" s="2"/>
      <c r="Z411" s="2"/>
      <c r="AA411" s="2"/>
      <c r="AB411" s="2"/>
    </row>
    <row r="412">
      <c r="A412" s="2"/>
      <c r="B412" s="21"/>
      <c r="C412" s="21"/>
      <c r="D412" s="21"/>
      <c r="E412" s="21"/>
      <c r="F412" s="2"/>
      <c r="G412" s="2"/>
      <c r="H412" s="35"/>
      <c r="I412" s="21"/>
      <c r="J412" s="21"/>
      <c r="K412" s="21"/>
      <c r="L412" s="21"/>
      <c r="M412" s="21"/>
      <c r="N412" s="21"/>
      <c r="O412" s="21"/>
      <c r="P412" s="21"/>
      <c r="Q412" s="2"/>
      <c r="R412" s="2"/>
      <c r="S412" s="2"/>
      <c r="T412" s="2"/>
      <c r="U412" s="2"/>
      <c r="V412" s="2"/>
      <c r="W412" s="2"/>
      <c r="X412" s="2"/>
      <c r="Y412" s="2"/>
      <c r="Z412" s="2"/>
      <c r="AA412" s="2"/>
      <c r="AB412" s="2"/>
    </row>
    <row r="413">
      <c r="A413" s="2"/>
      <c r="B413" s="21"/>
      <c r="C413" s="21"/>
      <c r="D413" s="21"/>
      <c r="E413" s="21"/>
      <c r="F413" s="2"/>
      <c r="G413" s="2"/>
      <c r="H413" s="35"/>
      <c r="I413" s="21"/>
      <c r="J413" s="21"/>
      <c r="K413" s="21"/>
      <c r="L413" s="21"/>
      <c r="M413" s="21"/>
      <c r="N413" s="21"/>
      <c r="O413" s="21"/>
      <c r="P413" s="21"/>
      <c r="Q413" s="2"/>
      <c r="R413" s="2"/>
      <c r="S413" s="2"/>
      <c r="T413" s="2"/>
      <c r="U413" s="2"/>
      <c r="V413" s="2"/>
      <c r="W413" s="2"/>
      <c r="X413" s="2"/>
      <c r="Y413" s="2"/>
      <c r="Z413" s="2"/>
      <c r="AA413" s="2"/>
      <c r="AB413" s="2"/>
    </row>
    <row r="414">
      <c r="A414" s="2"/>
      <c r="B414" s="21"/>
      <c r="C414" s="21"/>
      <c r="D414" s="21"/>
      <c r="E414" s="21"/>
      <c r="F414" s="2"/>
      <c r="G414" s="2"/>
      <c r="H414" s="35"/>
      <c r="I414" s="21"/>
      <c r="J414" s="21"/>
      <c r="K414" s="21"/>
      <c r="L414" s="21"/>
      <c r="M414" s="21"/>
      <c r="N414" s="21"/>
      <c r="O414" s="21"/>
      <c r="P414" s="21"/>
      <c r="Q414" s="2"/>
      <c r="R414" s="2"/>
      <c r="S414" s="2"/>
      <c r="T414" s="2"/>
      <c r="U414" s="2"/>
      <c r="V414" s="2"/>
      <c r="W414" s="2"/>
      <c r="X414" s="2"/>
      <c r="Y414" s="2"/>
      <c r="Z414" s="2"/>
      <c r="AA414" s="2"/>
      <c r="AB414" s="2"/>
    </row>
    <row r="415">
      <c r="A415" s="2"/>
      <c r="B415" s="21"/>
      <c r="C415" s="21"/>
      <c r="D415" s="21"/>
      <c r="E415" s="21"/>
      <c r="F415" s="2"/>
      <c r="G415" s="2"/>
      <c r="H415" s="35"/>
      <c r="I415" s="21"/>
      <c r="J415" s="21"/>
      <c r="K415" s="21"/>
      <c r="L415" s="21"/>
      <c r="M415" s="21"/>
      <c r="N415" s="21"/>
      <c r="O415" s="21"/>
      <c r="P415" s="21"/>
      <c r="Q415" s="2"/>
      <c r="R415" s="2"/>
      <c r="S415" s="2"/>
      <c r="T415" s="2"/>
      <c r="U415" s="2"/>
      <c r="V415" s="2"/>
      <c r="W415" s="2"/>
      <c r="X415" s="2"/>
      <c r="Y415" s="2"/>
      <c r="Z415" s="2"/>
      <c r="AA415" s="2"/>
      <c r="AB415" s="2"/>
    </row>
    <row r="416">
      <c r="A416" s="2"/>
      <c r="B416" s="21"/>
      <c r="C416" s="21"/>
      <c r="D416" s="21"/>
      <c r="E416" s="21"/>
      <c r="F416" s="2"/>
      <c r="G416" s="2"/>
      <c r="H416" s="35"/>
      <c r="I416" s="21"/>
      <c r="J416" s="21"/>
      <c r="K416" s="21"/>
      <c r="L416" s="21"/>
      <c r="M416" s="21"/>
      <c r="N416" s="21"/>
      <c r="O416" s="21"/>
      <c r="P416" s="21"/>
      <c r="Q416" s="2"/>
      <c r="R416" s="2"/>
      <c r="S416" s="2"/>
      <c r="T416" s="2"/>
      <c r="U416" s="2"/>
      <c r="V416" s="2"/>
      <c r="W416" s="2"/>
      <c r="X416" s="2"/>
      <c r="Y416" s="2"/>
      <c r="Z416" s="2"/>
      <c r="AA416" s="2"/>
      <c r="AB416" s="2"/>
    </row>
    <row r="417">
      <c r="A417" s="2"/>
      <c r="B417" s="21"/>
      <c r="C417" s="21"/>
      <c r="D417" s="21"/>
      <c r="E417" s="21"/>
      <c r="F417" s="2"/>
      <c r="G417" s="2"/>
      <c r="H417" s="35"/>
      <c r="I417" s="21"/>
      <c r="J417" s="21"/>
      <c r="K417" s="21"/>
      <c r="L417" s="21"/>
      <c r="M417" s="21"/>
      <c r="N417" s="21"/>
      <c r="O417" s="21"/>
      <c r="P417" s="21"/>
      <c r="Q417" s="2"/>
      <c r="R417" s="2"/>
      <c r="S417" s="2"/>
      <c r="T417" s="2"/>
      <c r="U417" s="2"/>
      <c r="V417" s="2"/>
      <c r="W417" s="2"/>
      <c r="X417" s="2"/>
      <c r="Y417" s="2"/>
      <c r="Z417" s="2"/>
      <c r="AA417" s="2"/>
      <c r="AB417" s="2"/>
    </row>
    <row r="418">
      <c r="A418" s="2"/>
      <c r="B418" s="21"/>
      <c r="C418" s="21"/>
      <c r="D418" s="21"/>
      <c r="E418" s="21"/>
      <c r="F418" s="2"/>
      <c r="G418" s="2"/>
      <c r="H418" s="35"/>
      <c r="I418" s="21"/>
      <c r="J418" s="21"/>
      <c r="K418" s="21"/>
      <c r="L418" s="21"/>
      <c r="M418" s="21"/>
      <c r="N418" s="21"/>
      <c r="O418" s="21"/>
      <c r="P418" s="21"/>
      <c r="Q418" s="2"/>
      <c r="R418" s="2"/>
      <c r="S418" s="2"/>
      <c r="T418" s="2"/>
      <c r="U418" s="2"/>
      <c r="V418" s="2"/>
      <c r="W418" s="2"/>
      <c r="X418" s="2"/>
      <c r="Y418" s="2"/>
      <c r="Z418" s="2"/>
      <c r="AA418" s="2"/>
      <c r="AB418" s="2"/>
    </row>
    <row r="419">
      <c r="A419" s="2"/>
      <c r="B419" s="21"/>
      <c r="C419" s="21"/>
      <c r="D419" s="21"/>
      <c r="E419" s="21"/>
      <c r="F419" s="2"/>
      <c r="G419" s="2"/>
      <c r="H419" s="35"/>
      <c r="I419" s="21"/>
      <c r="J419" s="21"/>
      <c r="K419" s="21"/>
      <c r="L419" s="21"/>
      <c r="M419" s="21"/>
      <c r="N419" s="21"/>
      <c r="O419" s="21"/>
      <c r="P419" s="21"/>
      <c r="Q419" s="2"/>
      <c r="R419" s="2"/>
      <c r="S419" s="2"/>
      <c r="T419" s="2"/>
      <c r="U419" s="2"/>
      <c r="V419" s="2"/>
      <c r="W419" s="2"/>
      <c r="X419" s="2"/>
      <c r="Y419" s="2"/>
      <c r="Z419" s="2"/>
      <c r="AA419" s="2"/>
      <c r="AB419" s="2"/>
    </row>
    <row r="420">
      <c r="A420" s="2"/>
      <c r="B420" s="21"/>
      <c r="C420" s="21"/>
      <c r="D420" s="21"/>
      <c r="E420" s="21"/>
      <c r="F420" s="2"/>
      <c r="G420" s="2"/>
      <c r="H420" s="35"/>
      <c r="I420" s="21"/>
      <c r="J420" s="21"/>
      <c r="K420" s="21"/>
      <c r="L420" s="21"/>
      <c r="M420" s="21"/>
      <c r="N420" s="21"/>
      <c r="O420" s="21"/>
      <c r="P420" s="21"/>
      <c r="Q420" s="2"/>
      <c r="R420" s="2"/>
      <c r="S420" s="2"/>
      <c r="T420" s="2"/>
      <c r="U420" s="2"/>
      <c r="V420" s="2"/>
      <c r="W420" s="2"/>
      <c r="X420" s="2"/>
      <c r="Y420" s="2"/>
      <c r="Z420" s="2"/>
      <c r="AA420" s="2"/>
      <c r="AB420" s="2"/>
    </row>
    <row r="421">
      <c r="A421" s="2"/>
      <c r="B421" s="21"/>
      <c r="C421" s="21"/>
      <c r="D421" s="21"/>
      <c r="E421" s="21"/>
      <c r="F421" s="2"/>
      <c r="G421" s="2"/>
      <c r="H421" s="35"/>
      <c r="I421" s="21"/>
      <c r="J421" s="21"/>
      <c r="K421" s="21"/>
      <c r="L421" s="21"/>
      <c r="M421" s="21"/>
      <c r="N421" s="21"/>
      <c r="O421" s="21"/>
      <c r="P421" s="21"/>
      <c r="Q421" s="2"/>
      <c r="R421" s="2"/>
      <c r="S421" s="2"/>
      <c r="T421" s="2"/>
      <c r="U421" s="2"/>
      <c r="V421" s="2"/>
      <c r="W421" s="2"/>
      <c r="X421" s="2"/>
      <c r="Y421" s="2"/>
      <c r="Z421" s="2"/>
      <c r="AA421" s="2"/>
      <c r="AB421" s="2"/>
    </row>
    <row r="422">
      <c r="A422" s="2"/>
      <c r="B422" s="21"/>
      <c r="C422" s="21"/>
      <c r="D422" s="21"/>
      <c r="E422" s="21"/>
      <c r="F422" s="2"/>
      <c r="G422" s="2"/>
      <c r="H422" s="35"/>
      <c r="I422" s="21"/>
      <c r="J422" s="21"/>
      <c r="K422" s="21"/>
      <c r="L422" s="21"/>
      <c r="M422" s="21"/>
      <c r="N422" s="21"/>
      <c r="O422" s="21"/>
      <c r="P422" s="21"/>
      <c r="Q422" s="2"/>
      <c r="R422" s="2"/>
      <c r="S422" s="2"/>
      <c r="T422" s="2"/>
      <c r="U422" s="2"/>
      <c r="V422" s="2"/>
      <c r="W422" s="2"/>
      <c r="X422" s="2"/>
      <c r="Y422" s="2"/>
      <c r="Z422" s="2"/>
      <c r="AA422" s="2"/>
      <c r="AB422" s="2"/>
    </row>
    <row r="423">
      <c r="A423" s="2"/>
      <c r="B423" s="21"/>
      <c r="C423" s="21"/>
      <c r="D423" s="21"/>
      <c r="E423" s="21"/>
      <c r="F423" s="2"/>
      <c r="G423" s="2"/>
      <c r="H423" s="35"/>
      <c r="I423" s="21"/>
      <c r="J423" s="21"/>
      <c r="K423" s="21"/>
      <c r="L423" s="21"/>
      <c r="M423" s="21"/>
      <c r="N423" s="21"/>
      <c r="O423" s="21"/>
      <c r="P423" s="21"/>
      <c r="Q423" s="2"/>
      <c r="R423" s="2"/>
      <c r="S423" s="2"/>
      <c r="T423" s="2"/>
      <c r="U423" s="2"/>
      <c r="V423" s="2"/>
      <c r="W423" s="2"/>
      <c r="X423" s="2"/>
      <c r="Y423" s="2"/>
      <c r="Z423" s="2"/>
      <c r="AA423" s="2"/>
      <c r="AB423" s="2"/>
    </row>
    <row r="424">
      <c r="A424" s="2"/>
      <c r="B424" s="21"/>
      <c r="C424" s="21"/>
      <c r="D424" s="21"/>
      <c r="E424" s="21"/>
      <c r="F424" s="2"/>
      <c r="G424" s="2"/>
      <c r="H424" s="35"/>
      <c r="I424" s="21"/>
      <c r="J424" s="21"/>
      <c r="K424" s="21"/>
      <c r="L424" s="21"/>
      <c r="M424" s="21"/>
      <c r="N424" s="21"/>
      <c r="O424" s="21"/>
      <c r="P424" s="21"/>
      <c r="Q424" s="2"/>
      <c r="R424" s="2"/>
      <c r="S424" s="2"/>
      <c r="T424" s="2"/>
      <c r="U424" s="2"/>
      <c r="V424" s="2"/>
      <c r="W424" s="2"/>
      <c r="X424" s="2"/>
      <c r="Y424" s="2"/>
      <c r="Z424" s="2"/>
      <c r="AA424" s="2"/>
      <c r="AB424" s="2"/>
    </row>
    <row r="425">
      <c r="A425" s="2"/>
      <c r="B425" s="21"/>
      <c r="C425" s="21"/>
      <c r="D425" s="21"/>
      <c r="E425" s="21"/>
      <c r="F425" s="2"/>
      <c r="G425" s="2"/>
      <c r="H425" s="35"/>
      <c r="I425" s="21"/>
      <c r="J425" s="21"/>
      <c r="K425" s="21"/>
      <c r="L425" s="21"/>
      <c r="M425" s="21"/>
      <c r="N425" s="21"/>
      <c r="O425" s="21"/>
      <c r="P425" s="21"/>
      <c r="Q425" s="2"/>
      <c r="R425" s="2"/>
      <c r="S425" s="2"/>
      <c r="T425" s="2"/>
      <c r="U425" s="2"/>
      <c r="V425" s="2"/>
      <c r="W425" s="2"/>
      <c r="X425" s="2"/>
      <c r="Y425" s="2"/>
      <c r="Z425" s="2"/>
      <c r="AA425" s="2"/>
      <c r="AB425" s="2"/>
    </row>
    <row r="426">
      <c r="A426" s="2"/>
      <c r="B426" s="21"/>
      <c r="C426" s="21"/>
      <c r="D426" s="21"/>
      <c r="E426" s="21"/>
      <c r="F426" s="2"/>
      <c r="G426" s="2"/>
      <c r="H426" s="35"/>
      <c r="I426" s="21"/>
      <c r="J426" s="21"/>
      <c r="K426" s="21"/>
      <c r="L426" s="21"/>
      <c r="M426" s="21"/>
      <c r="N426" s="21"/>
      <c r="O426" s="21"/>
      <c r="P426" s="21"/>
      <c r="Q426" s="2"/>
      <c r="R426" s="2"/>
      <c r="S426" s="2"/>
      <c r="T426" s="2"/>
      <c r="U426" s="2"/>
      <c r="V426" s="2"/>
      <c r="W426" s="2"/>
      <c r="X426" s="2"/>
      <c r="Y426" s="2"/>
      <c r="Z426" s="2"/>
      <c r="AA426" s="2"/>
      <c r="AB426" s="2"/>
    </row>
    <row r="427">
      <c r="A427" s="2"/>
      <c r="B427" s="21"/>
      <c r="C427" s="21"/>
      <c r="D427" s="21"/>
      <c r="E427" s="21"/>
      <c r="F427" s="2"/>
      <c r="G427" s="2"/>
      <c r="H427" s="35"/>
      <c r="I427" s="21"/>
      <c r="J427" s="21"/>
      <c r="K427" s="21"/>
      <c r="L427" s="21"/>
      <c r="M427" s="21"/>
      <c r="N427" s="21"/>
      <c r="O427" s="21"/>
      <c r="P427" s="21"/>
      <c r="Q427" s="2"/>
      <c r="R427" s="2"/>
      <c r="S427" s="2"/>
      <c r="T427" s="2"/>
      <c r="U427" s="2"/>
      <c r="V427" s="2"/>
      <c r="W427" s="2"/>
      <c r="X427" s="2"/>
      <c r="Y427" s="2"/>
      <c r="Z427" s="2"/>
      <c r="AA427" s="2"/>
      <c r="AB427" s="2"/>
    </row>
    <row r="428">
      <c r="A428" s="2"/>
      <c r="B428" s="21"/>
      <c r="C428" s="21"/>
      <c r="D428" s="21"/>
      <c r="E428" s="21"/>
      <c r="F428" s="2"/>
      <c r="G428" s="2"/>
      <c r="H428" s="35"/>
      <c r="I428" s="21"/>
      <c r="J428" s="21"/>
      <c r="K428" s="21"/>
      <c r="L428" s="21"/>
      <c r="M428" s="21"/>
      <c r="N428" s="21"/>
      <c r="O428" s="21"/>
      <c r="P428" s="21"/>
      <c r="Q428" s="2"/>
      <c r="R428" s="2"/>
      <c r="S428" s="2"/>
      <c r="T428" s="2"/>
      <c r="U428" s="2"/>
      <c r="V428" s="2"/>
      <c r="W428" s="2"/>
      <c r="X428" s="2"/>
      <c r="Y428" s="2"/>
      <c r="Z428" s="2"/>
      <c r="AA428" s="2"/>
      <c r="AB428" s="2"/>
    </row>
    <row r="429">
      <c r="A429" s="2"/>
      <c r="B429" s="21"/>
      <c r="C429" s="21"/>
      <c r="D429" s="21"/>
      <c r="E429" s="21"/>
      <c r="F429" s="2"/>
      <c r="G429" s="2"/>
      <c r="H429" s="35"/>
      <c r="I429" s="21"/>
      <c r="J429" s="21"/>
      <c r="K429" s="21"/>
      <c r="L429" s="21"/>
      <c r="M429" s="21"/>
      <c r="N429" s="21"/>
      <c r="O429" s="21"/>
      <c r="P429" s="21"/>
      <c r="Q429" s="2"/>
      <c r="R429" s="2"/>
      <c r="S429" s="2"/>
      <c r="T429" s="2"/>
      <c r="U429" s="2"/>
      <c r="V429" s="2"/>
      <c r="W429" s="2"/>
      <c r="X429" s="2"/>
      <c r="Y429" s="2"/>
      <c r="Z429" s="2"/>
      <c r="AA429" s="2"/>
      <c r="AB429" s="2"/>
    </row>
    <row r="430">
      <c r="A430" s="2"/>
      <c r="B430" s="21"/>
      <c r="C430" s="21"/>
      <c r="D430" s="21"/>
      <c r="E430" s="21"/>
      <c r="F430" s="2"/>
      <c r="G430" s="2"/>
      <c r="H430" s="35"/>
      <c r="I430" s="21"/>
      <c r="J430" s="21"/>
      <c r="K430" s="21"/>
      <c r="L430" s="21"/>
      <c r="M430" s="21"/>
      <c r="N430" s="21"/>
      <c r="O430" s="21"/>
      <c r="P430" s="21"/>
      <c r="Q430" s="2"/>
      <c r="R430" s="2"/>
      <c r="S430" s="2"/>
      <c r="T430" s="2"/>
      <c r="U430" s="2"/>
      <c r="V430" s="2"/>
      <c r="W430" s="2"/>
      <c r="X430" s="2"/>
      <c r="Y430" s="2"/>
      <c r="Z430" s="2"/>
      <c r="AA430" s="2"/>
      <c r="AB430" s="2"/>
    </row>
    <row r="431">
      <c r="A431" s="2"/>
      <c r="B431" s="21"/>
      <c r="C431" s="21"/>
      <c r="D431" s="21"/>
      <c r="E431" s="21"/>
      <c r="F431" s="2"/>
      <c r="G431" s="2"/>
      <c r="H431" s="35"/>
      <c r="I431" s="21"/>
      <c r="J431" s="21"/>
      <c r="K431" s="21"/>
      <c r="L431" s="21"/>
      <c r="M431" s="21"/>
      <c r="N431" s="21"/>
      <c r="O431" s="21"/>
      <c r="P431" s="21"/>
      <c r="Q431" s="2"/>
      <c r="R431" s="2"/>
      <c r="S431" s="2"/>
      <c r="T431" s="2"/>
      <c r="U431" s="2"/>
      <c r="V431" s="2"/>
      <c r="W431" s="2"/>
      <c r="X431" s="2"/>
      <c r="Y431" s="2"/>
      <c r="Z431" s="2"/>
      <c r="AA431" s="2"/>
      <c r="AB431" s="2"/>
    </row>
    <row r="432">
      <c r="A432" s="2"/>
      <c r="B432" s="21"/>
      <c r="C432" s="21"/>
      <c r="D432" s="21"/>
      <c r="E432" s="21"/>
      <c r="F432" s="2"/>
      <c r="G432" s="2"/>
      <c r="H432" s="35"/>
      <c r="I432" s="21"/>
      <c r="J432" s="21"/>
      <c r="K432" s="21"/>
      <c r="L432" s="21"/>
      <c r="M432" s="21"/>
      <c r="N432" s="21"/>
      <c r="O432" s="21"/>
      <c r="P432" s="21"/>
      <c r="Q432" s="2"/>
      <c r="R432" s="2"/>
      <c r="S432" s="2"/>
      <c r="T432" s="2"/>
      <c r="U432" s="2"/>
      <c r="V432" s="2"/>
      <c r="W432" s="2"/>
      <c r="X432" s="2"/>
      <c r="Y432" s="2"/>
      <c r="Z432" s="2"/>
      <c r="AA432" s="2"/>
      <c r="AB432" s="2"/>
    </row>
    <row r="433">
      <c r="A433" s="2"/>
      <c r="B433" s="21"/>
      <c r="C433" s="21"/>
      <c r="D433" s="21"/>
      <c r="E433" s="21"/>
      <c r="F433" s="2"/>
      <c r="G433" s="2"/>
      <c r="H433" s="35"/>
      <c r="I433" s="21"/>
      <c r="J433" s="21"/>
      <c r="K433" s="21"/>
      <c r="L433" s="21"/>
      <c r="M433" s="21"/>
      <c r="N433" s="21"/>
      <c r="O433" s="21"/>
      <c r="P433" s="21"/>
      <c r="Q433" s="2"/>
      <c r="R433" s="2"/>
      <c r="S433" s="2"/>
      <c r="T433" s="2"/>
      <c r="U433" s="2"/>
      <c r="V433" s="2"/>
      <c r="W433" s="2"/>
      <c r="X433" s="2"/>
      <c r="Y433" s="2"/>
      <c r="Z433" s="2"/>
      <c r="AA433" s="2"/>
      <c r="AB433" s="2"/>
    </row>
    <row r="434">
      <c r="A434" s="2"/>
      <c r="B434" s="21"/>
      <c r="C434" s="21"/>
      <c r="D434" s="21"/>
      <c r="E434" s="21"/>
      <c r="F434" s="2"/>
      <c r="G434" s="2"/>
      <c r="H434" s="35"/>
      <c r="I434" s="21"/>
      <c r="J434" s="21"/>
      <c r="K434" s="21"/>
      <c r="L434" s="21"/>
      <c r="M434" s="21"/>
      <c r="N434" s="21"/>
      <c r="O434" s="21"/>
      <c r="P434" s="21"/>
      <c r="Q434" s="2"/>
      <c r="R434" s="2"/>
      <c r="S434" s="2"/>
      <c r="T434" s="2"/>
      <c r="U434" s="2"/>
      <c r="V434" s="2"/>
      <c r="W434" s="2"/>
      <c r="X434" s="2"/>
      <c r="Y434" s="2"/>
      <c r="Z434" s="2"/>
      <c r="AA434" s="2"/>
      <c r="AB434" s="2"/>
    </row>
    <row r="435">
      <c r="A435" s="2"/>
      <c r="B435" s="21"/>
      <c r="C435" s="21"/>
      <c r="D435" s="21"/>
      <c r="E435" s="21"/>
      <c r="F435" s="2"/>
      <c r="G435" s="2"/>
      <c r="H435" s="35"/>
      <c r="I435" s="21"/>
      <c r="J435" s="21"/>
      <c r="K435" s="21"/>
      <c r="L435" s="21"/>
      <c r="M435" s="21"/>
      <c r="N435" s="21"/>
      <c r="O435" s="21"/>
      <c r="P435" s="21"/>
      <c r="Q435" s="2"/>
      <c r="R435" s="2"/>
      <c r="S435" s="2"/>
      <c r="T435" s="2"/>
      <c r="U435" s="2"/>
      <c r="V435" s="2"/>
      <c r="W435" s="2"/>
      <c r="X435" s="2"/>
      <c r="Y435" s="2"/>
      <c r="Z435" s="2"/>
      <c r="AA435" s="2"/>
      <c r="AB435" s="2"/>
    </row>
    <row r="436">
      <c r="A436" s="2"/>
      <c r="B436" s="21"/>
      <c r="C436" s="21"/>
      <c r="D436" s="21"/>
      <c r="E436" s="21"/>
      <c r="F436" s="2"/>
      <c r="G436" s="2"/>
      <c r="H436" s="35"/>
      <c r="I436" s="21"/>
      <c r="J436" s="21"/>
      <c r="K436" s="21"/>
      <c r="L436" s="21"/>
      <c r="M436" s="21"/>
      <c r="N436" s="21"/>
      <c r="O436" s="21"/>
      <c r="P436" s="21"/>
      <c r="Q436" s="2"/>
      <c r="R436" s="2"/>
      <c r="S436" s="2"/>
      <c r="T436" s="2"/>
      <c r="U436" s="2"/>
      <c r="V436" s="2"/>
      <c r="W436" s="2"/>
      <c r="X436" s="2"/>
      <c r="Y436" s="2"/>
      <c r="Z436" s="2"/>
      <c r="AA436" s="2"/>
      <c r="AB436" s="2"/>
    </row>
    <row r="437">
      <c r="A437" s="2"/>
      <c r="B437" s="21"/>
      <c r="C437" s="21"/>
      <c r="D437" s="21"/>
      <c r="E437" s="21"/>
      <c r="F437" s="2"/>
      <c r="G437" s="2"/>
      <c r="H437" s="35"/>
      <c r="I437" s="21"/>
      <c r="J437" s="21"/>
      <c r="K437" s="21"/>
      <c r="L437" s="21"/>
      <c r="M437" s="21"/>
      <c r="N437" s="21"/>
      <c r="O437" s="21"/>
      <c r="P437" s="21"/>
      <c r="Q437" s="2"/>
      <c r="R437" s="2"/>
      <c r="S437" s="2"/>
      <c r="T437" s="2"/>
      <c r="U437" s="2"/>
      <c r="V437" s="2"/>
      <c r="W437" s="2"/>
      <c r="X437" s="2"/>
      <c r="Y437" s="2"/>
      <c r="Z437" s="2"/>
      <c r="AA437" s="2"/>
      <c r="AB437" s="2"/>
    </row>
    <row r="438">
      <c r="A438" s="2"/>
      <c r="B438" s="21"/>
      <c r="C438" s="21"/>
      <c r="D438" s="21"/>
      <c r="E438" s="21"/>
      <c r="F438" s="2"/>
      <c r="G438" s="2"/>
      <c r="H438" s="35"/>
      <c r="I438" s="21"/>
      <c r="J438" s="21"/>
      <c r="K438" s="21"/>
      <c r="L438" s="21"/>
      <c r="M438" s="21"/>
      <c r="N438" s="21"/>
      <c r="O438" s="21"/>
      <c r="P438" s="21"/>
      <c r="Q438" s="2"/>
      <c r="R438" s="2"/>
      <c r="S438" s="2"/>
      <c r="T438" s="2"/>
      <c r="U438" s="2"/>
      <c r="V438" s="2"/>
      <c r="W438" s="2"/>
      <c r="X438" s="2"/>
      <c r="Y438" s="2"/>
      <c r="Z438" s="2"/>
      <c r="AA438" s="2"/>
      <c r="AB438" s="2"/>
    </row>
    <row r="439">
      <c r="A439" s="2"/>
      <c r="B439" s="21"/>
      <c r="C439" s="21"/>
      <c r="D439" s="21"/>
      <c r="E439" s="21"/>
      <c r="F439" s="2"/>
      <c r="G439" s="2"/>
      <c r="H439" s="35"/>
      <c r="I439" s="21"/>
      <c r="J439" s="21"/>
      <c r="K439" s="21"/>
      <c r="L439" s="21"/>
      <c r="M439" s="21"/>
      <c r="N439" s="21"/>
      <c r="O439" s="21"/>
      <c r="P439" s="21"/>
      <c r="Q439" s="2"/>
      <c r="R439" s="2"/>
      <c r="S439" s="2"/>
      <c r="T439" s="2"/>
      <c r="U439" s="2"/>
      <c r="V439" s="2"/>
      <c r="W439" s="2"/>
      <c r="X439" s="2"/>
      <c r="Y439" s="2"/>
      <c r="Z439" s="2"/>
      <c r="AA439" s="2"/>
      <c r="AB439" s="2"/>
    </row>
    <row r="440">
      <c r="A440" s="2"/>
      <c r="B440" s="21"/>
      <c r="C440" s="21"/>
      <c r="D440" s="21"/>
      <c r="E440" s="21"/>
      <c r="F440" s="2"/>
      <c r="G440" s="2"/>
      <c r="H440" s="35"/>
      <c r="I440" s="21"/>
      <c r="J440" s="21"/>
      <c r="K440" s="21"/>
      <c r="L440" s="21"/>
      <c r="M440" s="21"/>
      <c r="N440" s="21"/>
      <c r="O440" s="21"/>
      <c r="P440" s="21"/>
      <c r="Q440" s="2"/>
      <c r="R440" s="2"/>
      <c r="S440" s="2"/>
      <c r="T440" s="2"/>
      <c r="U440" s="2"/>
      <c r="V440" s="2"/>
      <c r="W440" s="2"/>
      <c r="X440" s="2"/>
      <c r="Y440" s="2"/>
      <c r="Z440" s="2"/>
      <c r="AA440" s="2"/>
      <c r="AB440" s="2"/>
    </row>
    <row r="441">
      <c r="A441" s="2"/>
      <c r="B441" s="21"/>
      <c r="C441" s="21"/>
      <c r="D441" s="21"/>
      <c r="E441" s="21"/>
      <c r="F441" s="2"/>
      <c r="G441" s="2"/>
      <c r="H441" s="35"/>
      <c r="I441" s="21"/>
      <c r="J441" s="21"/>
      <c r="K441" s="21"/>
      <c r="L441" s="21"/>
      <c r="M441" s="21"/>
      <c r="N441" s="21"/>
      <c r="O441" s="21"/>
      <c r="P441" s="21"/>
      <c r="Q441" s="2"/>
      <c r="R441" s="2"/>
      <c r="S441" s="2"/>
      <c r="T441" s="2"/>
      <c r="U441" s="2"/>
      <c r="V441" s="2"/>
      <c r="W441" s="2"/>
      <c r="X441" s="2"/>
      <c r="Y441" s="2"/>
      <c r="Z441" s="2"/>
      <c r="AA441" s="2"/>
      <c r="AB441" s="2"/>
    </row>
    <row r="442">
      <c r="A442" s="2"/>
      <c r="B442" s="21"/>
      <c r="C442" s="21"/>
      <c r="D442" s="21"/>
      <c r="E442" s="21"/>
      <c r="F442" s="2"/>
      <c r="G442" s="2"/>
      <c r="H442" s="35"/>
      <c r="I442" s="21"/>
      <c r="J442" s="21"/>
      <c r="K442" s="21"/>
      <c r="L442" s="21"/>
      <c r="M442" s="21"/>
      <c r="N442" s="21"/>
      <c r="O442" s="21"/>
      <c r="P442" s="21"/>
      <c r="Q442" s="2"/>
      <c r="R442" s="2"/>
      <c r="S442" s="2"/>
      <c r="T442" s="2"/>
      <c r="U442" s="2"/>
      <c r="V442" s="2"/>
      <c r="W442" s="2"/>
      <c r="X442" s="2"/>
      <c r="Y442" s="2"/>
      <c r="Z442" s="2"/>
      <c r="AA442" s="2"/>
      <c r="AB442" s="2"/>
    </row>
    <row r="443">
      <c r="A443" s="2"/>
      <c r="B443" s="21"/>
      <c r="C443" s="21"/>
      <c r="D443" s="21"/>
      <c r="E443" s="21"/>
      <c r="F443" s="2"/>
      <c r="G443" s="2"/>
      <c r="H443" s="35"/>
      <c r="I443" s="21"/>
      <c r="J443" s="21"/>
      <c r="K443" s="21"/>
      <c r="L443" s="21"/>
      <c r="M443" s="21"/>
      <c r="N443" s="21"/>
      <c r="O443" s="21"/>
      <c r="P443" s="21"/>
      <c r="Q443" s="2"/>
      <c r="R443" s="2"/>
      <c r="S443" s="2"/>
      <c r="T443" s="2"/>
      <c r="U443" s="2"/>
      <c r="V443" s="2"/>
      <c r="W443" s="2"/>
      <c r="X443" s="2"/>
      <c r="Y443" s="2"/>
      <c r="Z443" s="2"/>
      <c r="AA443" s="2"/>
      <c r="AB443" s="2"/>
    </row>
    <row r="444">
      <c r="A444" s="2"/>
      <c r="B444" s="21"/>
      <c r="C444" s="21"/>
      <c r="D444" s="21"/>
      <c r="E444" s="21"/>
      <c r="F444" s="2"/>
      <c r="G444" s="2"/>
      <c r="H444" s="35"/>
      <c r="I444" s="21"/>
      <c r="J444" s="21"/>
      <c r="K444" s="21"/>
      <c r="L444" s="21"/>
      <c r="M444" s="21"/>
      <c r="N444" s="21"/>
      <c r="O444" s="21"/>
      <c r="P444" s="21"/>
      <c r="Q444" s="2"/>
      <c r="R444" s="2"/>
      <c r="S444" s="2"/>
      <c r="T444" s="2"/>
      <c r="U444" s="2"/>
      <c r="V444" s="2"/>
      <c r="W444" s="2"/>
      <c r="X444" s="2"/>
      <c r="Y444" s="2"/>
      <c r="Z444" s="2"/>
      <c r="AA444" s="2"/>
      <c r="AB444" s="2"/>
    </row>
    <row r="445">
      <c r="A445" s="2"/>
      <c r="B445" s="21"/>
      <c r="C445" s="21"/>
      <c r="D445" s="21"/>
      <c r="E445" s="21"/>
      <c r="F445" s="2"/>
      <c r="G445" s="2"/>
      <c r="H445" s="35"/>
      <c r="I445" s="21"/>
      <c r="J445" s="21"/>
      <c r="K445" s="21"/>
      <c r="L445" s="21"/>
      <c r="M445" s="21"/>
      <c r="N445" s="21"/>
      <c r="O445" s="21"/>
      <c r="P445" s="21"/>
      <c r="Q445" s="2"/>
      <c r="R445" s="2"/>
      <c r="S445" s="2"/>
      <c r="T445" s="2"/>
      <c r="U445" s="2"/>
      <c r="V445" s="2"/>
      <c r="W445" s="2"/>
      <c r="X445" s="2"/>
      <c r="Y445" s="2"/>
      <c r="Z445" s="2"/>
      <c r="AA445" s="2"/>
      <c r="AB445" s="2"/>
    </row>
    <row r="446">
      <c r="A446" s="2"/>
      <c r="B446" s="21"/>
      <c r="C446" s="21"/>
      <c r="D446" s="21"/>
      <c r="E446" s="21"/>
      <c r="F446" s="2"/>
      <c r="G446" s="2"/>
      <c r="H446" s="35"/>
      <c r="I446" s="21"/>
      <c r="J446" s="21"/>
      <c r="K446" s="21"/>
      <c r="L446" s="21"/>
      <c r="M446" s="21"/>
      <c r="N446" s="21"/>
      <c r="O446" s="21"/>
      <c r="P446" s="21"/>
      <c r="Q446" s="2"/>
      <c r="R446" s="2"/>
      <c r="S446" s="2"/>
      <c r="T446" s="2"/>
      <c r="U446" s="2"/>
      <c r="V446" s="2"/>
      <c r="W446" s="2"/>
      <c r="X446" s="2"/>
      <c r="Y446" s="2"/>
      <c r="Z446" s="2"/>
      <c r="AA446" s="2"/>
      <c r="AB446" s="2"/>
    </row>
    <row r="447">
      <c r="A447" s="2"/>
      <c r="B447" s="21"/>
      <c r="C447" s="21"/>
      <c r="D447" s="21"/>
      <c r="E447" s="21"/>
      <c r="F447" s="2"/>
      <c r="G447" s="2"/>
      <c r="H447" s="35"/>
      <c r="I447" s="21"/>
      <c r="J447" s="21"/>
      <c r="K447" s="21"/>
      <c r="L447" s="21"/>
      <c r="M447" s="21"/>
      <c r="N447" s="21"/>
      <c r="O447" s="21"/>
      <c r="P447" s="21"/>
      <c r="Q447" s="2"/>
      <c r="R447" s="2"/>
      <c r="S447" s="2"/>
      <c r="T447" s="2"/>
      <c r="U447" s="2"/>
      <c r="V447" s="2"/>
      <c r="W447" s="2"/>
      <c r="X447" s="2"/>
      <c r="Y447" s="2"/>
      <c r="Z447" s="2"/>
      <c r="AA447" s="2"/>
      <c r="AB447" s="2"/>
    </row>
    <row r="448">
      <c r="A448" s="2"/>
      <c r="B448" s="21"/>
      <c r="C448" s="21"/>
      <c r="D448" s="21"/>
      <c r="E448" s="21"/>
      <c r="F448" s="2"/>
      <c r="G448" s="2"/>
      <c r="H448" s="35"/>
      <c r="I448" s="21"/>
      <c r="J448" s="21"/>
      <c r="K448" s="21"/>
      <c r="L448" s="21"/>
      <c r="M448" s="21"/>
      <c r="N448" s="21"/>
      <c r="O448" s="21"/>
      <c r="P448" s="21"/>
      <c r="Q448" s="2"/>
      <c r="R448" s="2"/>
      <c r="S448" s="2"/>
      <c r="T448" s="2"/>
      <c r="U448" s="2"/>
      <c r="V448" s="2"/>
      <c r="W448" s="2"/>
      <c r="X448" s="2"/>
      <c r="Y448" s="2"/>
      <c r="Z448" s="2"/>
      <c r="AA448" s="2"/>
      <c r="AB448" s="2"/>
    </row>
    <row r="449">
      <c r="A449" s="2"/>
      <c r="B449" s="21"/>
      <c r="C449" s="21"/>
      <c r="D449" s="21"/>
      <c r="E449" s="21"/>
      <c r="F449" s="2"/>
      <c r="G449" s="2"/>
      <c r="H449" s="35"/>
      <c r="I449" s="21"/>
      <c r="J449" s="21"/>
      <c r="K449" s="21"/>
      <c r="L449" s="21"/>
      <c r="M449" s="21"/>
      <c r="N449" s="21"/>
      <c r="O449" s="21"/>
      <c r="P449" s="21"/>
      <c r="Q449" s="2"/>
      <c r="R449" s="2"/>
      <c r="S449" s="2"/>
      <c r="T449" s="2"/>
      <c r="U449" s="2"/>
      <c r="V449" s="2"/>
      <c r="W449" s="2"/>
      <c r="X449" s="2"/>
      <c r="Y449" s="2"/>
      <c r="Z449" s="2"/>
      <c r="AA449" s="2"/>
      <c r="AB449" s="2"/>
    </row>
    <row r="450">
      <c r="A450" s="2"/>
      <c r="B450" s="21"/>
      <c r="C450" s="21"/>
      <c r="D450" s="21"/>
      <c r="E450" s="21"/>
      <c r="F450" s="2"/>
      <c r="G450" s="2"/>
      <c r="H450" s="35"/>
      <c r="I450" s="21"/>
      <c r="J450" s="21"/>
      <c r="K450" s="21"/>
      <c r="L450" s="21"/>
      <c r="M450" s="21"/>
      <c r="N450" s="21"/>
      <c r="O450" s="21"/>
      <c r="P450" s="21"/>
      <c r="Q450" s="2"/>
      <c r="R450" s="2"/>
      <c r="S450" s="2"/>
      <c r="T450" s="2"/>
      <c r="U450" s="2"/>
      <c r="V450" s="2"/>
      <c r="W450" s="2"/>
      <c r="X450" s="2"/>
      <c r="Y450" s="2"/>
      <c r="Z450" s="2"/>
      <c r="AA450" s="2"/>
      <c r="AB450" s="2"/>
    </row>
    <row r="451">
      <c r="A451" s="2"/>
      <c r="B451" s="21"/>
      <c r="C451" s="21"/>
      <c r="D451" s="21"/>
      <c r="E451" s="21"/>
      <c r="F451" s="2"/>
      <c r="G451" s="2"/>
      <c r="H451" s="35"/>
      <c r="I451" s="21"/>
      <c r="J451" s="21"/>
      <c r="K451" s="21"/>
      <c r="L451" s="21"/>
      <c r="M451" s="21"/>
      <c r="N451" s="21"/>
      <c r="O451" s="21"/>
      <c r="P451" s="21"/>
      <c r="Q451" s="2"/>
      <c r="R451" s="2"/>
      <c r="S451" s="2"/>
      <c r="T451" s="2"/>
      <c r="U451" s="2"/>
      <c r="V451" s="2"/>
      <c r="W451" s="2"/>
      <c r="X451" s="2"/>
      <c r="Y451" s="2"/>
      <c r="Z451" s="2"/>
      <c r="AA451" s="2"/>
      <c r="AB451" s="2"/>
    </row>
    <row r="452">
      <c r="A452" s="2"/>
      <c r="B452" s="21"/>
      <c r="C452" s="21"/>
      <c r="D452" s="21"/>
      <c r="E452" s="21"/>
      <c r="F452" s="2"/>
      <c r="G452" s="2"/>
      <c r="H452" s="35"/>
      <c r="I452" s="21"/>
      <c r="J452" s="21"/>
      <c r="K452" s="21"/>
      <c r="L452" s="21"/>
      <c r="M452" s="21"/>
      <c r="N452" s="21"/>
      <c r="O452" s="21"/>
      <c r="P452" s="21"/>
      <c r="Q452" s="2"/>
      <c r="R452" s="2"/>
      <c r="S452" s="2"/>
      <c r="T452" s="2"/>
      <c r="U452" s="2"/>
      <c r="V452" s="2"/>
      <c r="W452" s="2"/>
      <c r="X452" s="2"/>
      <c r="Y452" s="2"/>
      <c r="Z452" s="2"/>
      <c r="AA452" s="2"/>
      <c r="AB452" s="2"/>
    </row>
    <row r="453">
      <c r="A453" s="2"/>
      <c r="B453" s="21"/>
      <c r="C453" s="21"/>
      <c r="D453" s="21"/>
      <c r="E453" s="21"/>
      <c r="F453" s="2"/>
      <c r="G453" s="2"/>
      <c r="H453" s="35"/>
      <c r="I453" s="21"/>
      <c r="J453" s="21"/>
      <c r="K453" s="21"/>
      <c r="L453" s="21"/>
      <c r="M453" s="21"/>
      <c r="N453" s="21"/>
      <c r="O453" s="21"/>
      <c r="P453" s="21"/>
      <c r="Q453" s="2"/>
      <c r="R453" s="2"/>
      <c r="S453" s="2"/>
      <c r="T453" s="2"/>
      <c r="U453" s="2"/>
      <c r="V453" s="2"/>
      <c r="W453" s="2"/>
      <c r="X453" s="2"/>
      <c r="Y453" s="2"/>
      <c r="Z453" s="2"/>
      <c r="AA453" s="2"/>
      <c r="AB453" s="2"/>
    </row>
    <row r="454">
      <c r="A454" s="2"/>
      <c r="B454" s="21"/>
      <c r="C454" s="21"/>
      <c r="D454" s="21"/>
      <c r="E454" s="21"/>
      <c r="F454" s="2"/>
      <c r="G454" s="2"/>
      <c r="H454" s="35"/>
      <c r="I454" s="21"/>
      <c r="J454" s="21"/>
      <c r="K454" s="21"/>
      <c r="L454" s="21"/>
      <c r="M454" s="21"/>
      <c r="N454" s="21"/>
      <c r="O454" s="21"/>
      <c r="P454" s="21"/>
      <c r="Q454" s="2"/>
      <c r="R454" s="2"/>
      <c r="S454" s="2"/>
      <c r="T454" s="2"/>
      <c r="U454" s="2"/>
      <c r="V454" s="2"/>
      <c r="W454" s="2"/>
      <c r="X454" s="2"/>
      <c r="Y454" s="2"/>
      <c r="Z454" s="2"/>
      <c r="AA454" s="2"/>
      <c r="AB454" s="2"/>
    </row>
    <row r="455">
      <c r="A455" s="2"/>
      <c r="B455" s="21"/>
      <c r="C455" s="21"/>
      <c r="D455" s="21"/>
      <c r="E455" s="21"/>
      <c r="F455" s="2"/>
      <c r="G455" s="2"/>
      <c r="H455" s="35"/>
      <c r="I455" s="21"/>
      <c r="J455" s="21"/>
      <c r="K455" s="21"/>
      <c r="L455" s="21"/>
      <c r="M455" s="21"/>
      <c r="N455" s="21"/>
      <c r="O455" s="21"/>
      <c r="P455" s="21"/>
      <c r="Q455" s="2"/>
      <c r="R455" s="2"/>
      <c r="S455" s="2"/>
      <c r="T455" s="2"/>
      <c r="U455" s="2"/>
      <c r="V455" s="2"/>
      <c r="W455" s="2"/>
      <c r="X455" s="2"/>
      <c r="Y455" s="2"/>
      <c r="Z455" s="2"/>
      <c r="AA455" s="2"/>
      <c r="AB455" s="2"/>
    </row>
    <row r="456">
      <c r="A456" s="2"/>
      <c r="B456" s="21"/>
      <c r="C456" s="21"/>
      <c r="D456" s="21"/>
      <c r="E456" s="21"/>
      <c r="F456" s="2"/>
      <c r="G456" s="2"/>
      <c r="H456" s="35"/>
      <c r="I456" s="21"/>
      <c r="J456" s="21"/>
      <c r="K456" s="21"/>
      <c r="L456" s="21"/>
      <c r="M456" s="21"/>
      <c r="N456" s="21"/>
      <c r="O456" s="21"/>
      <c r="P456" s="21"/>
      <c r="Q456" s="2"/>
      <c r="R456" s="2"/>
      <c r="S456" s="2"/>
      <c r="T456" s="2"/>
      <c r="U456" s="2"/>
      <c r="V456" s="2"/>
      <c r="W456" s="2"/>
      <c r="X456" s="2"/>
      <c r="Y456" s="2"/>
      <c r="Z456" s="2"/>
      <c r="AA456" s="2"/>
      <c r="AB456" s="2"/>
    </row>
    <row r="457">
      <c r="A457" s="2"/>
      <c r="B457" s="21"/>
      <c r="C457" s="21"/>
      <c r="D457" s="21"/>
      <c r="E457" s="21"/>
      <c r="F457" s="2"/>
      <c r="G457" s="2"/>
      <c r="H457" s="35"/>
      <c r="I457" s="21"/>
      <c r="J457" s="21"/>
      <c r="K457" s="21"/>
      <c r="L457" s="21"/>
      <c r="M457" s="21"/>
      <c r="N457" s="21"/>
      <c r="O457" s="21"/>
      <c r="P457" s="21"/>
      <c r="Q457" s="2"/>
      <c r="R457" s="2"/>
      <c r="S457" s="2"/>
      <c r="T457" s="2"/>
      <c r="U457" s="2"/>
      <c r="V457" s="2"/>
      <c r="W457" s="2"/>
      <c r="X457" s="2"/>
      <c r="Y457" s="2"/>
      <c r="Z457" s="2"/>
      <c r="AA457" s="2"/>
      <c r="AB457" s="2"/>
    </row>
    <row r="458">
      <c r="A458" s="2"/>
      <c r="B458" s="21"/>
      <c r="C458" s="21"/>
      <c r="D458" s="21"/>
      <c r="E458" s="21"/>
      <c r="F458" s="2"/>
      <c r="G458" s="2"/>
      <c r="H458" s="35"/>
      <c r="I458" s="21"/>
      <c r="J458" s="21"/>
      <c r="K458" s="21"/>
      <c r="L458" s="21"/>
      <c r="M458" s="21"/>
      <c r="N458" s="21"/>
      <c r="O458" s="21"/>
      <c r="P458" s="21"/>
      <c r="Q458" s="2"/>
      <c r="R458" s="2"/>
      <c r="S458" s="2"/>
      <c r="T458" s="2"/>
      <c r="U458" s="2"/>
      <c r="V458" s="2"/>
      <c r="W458" s="2"/>
      <c r="X458" s="2"/>
      <c r="Y458" s="2"/>
      <c r="Z458" s="2"/>
      <c r="AA458" s="2"/>
      <c r="AB458" s="2"/>
    </row>
    <row r="459">
      <c r="A459" s="2"/>
      <c r="B459" s="21"/>
      <c r="C459" s="21"/>
      <c r="D459" s="21"/>
      <c r="E459" s="21"/>
      <c r="F459" s="2"/>
      <c r="G459" s="2"/>
      <c r="H459" s="35"/>
      <c r="I459" s="21"/>
      <c r="J459" s="21"/>
      <c r="K459" s="21"/>
      <c r="L459" s="21"/>
      <c r="M459" s="21"/>
      <c r="N459" s="21"/>
      <c r="O459" s="21"/>
      <c r="P459" s="21"/>
      <c r="Q459" s="2"/>
      <c r="R459" s="2"/>
      <c r="S459" s="2"/>
      <c r="T459" s="2"/>
      <c r="U459" s="2"/>
      <c r="V459" s="2"/>
      <c r="W459" s="2"/>
      <c r="X459" s="2"/>
      <c r="Y459" s="2"/>
      <c r="Z459" s="2"/>
      <c r="AA459" s="2"/>
      <c r="AB459" s="2"/>
    </row>
    <row r="460">
      <c r="A460" s="2"/>
      <c r="B460" s="21"/>
      <c r="C460" s="21"/>
      <c r="D460" s="21"/>
      <c r="E460" s="21"/>
      <c r="F460" s="2"/>
      <c r="G460" s="2"/>
      <c r="H460" s="35"/>
      <c r="I460" s="21"/>
      <c r="J460" s="21"/>
      <c r="K460" s="21"/>
      <c r="L460" s="21"/>
      <c r="M460" s="21"/>
      <c r="N460" s="21"/>
      <c r="O460" s="21"/>
      <c r="P460" s="21"/>
      <c r="Q460" s="2"/>
      <c r="R460" s="2"/>
      <c r="S460" s="2"/>
      <c r="T460" s="2"/>
      <c r="U460" s="2"/>
      <c r="V460" s="2"/>
      <c r="W460" s="2"/>
      <c r="X460" s="2"/>
      <c r="Y460" s="2"/>
      <c r="Z460" s="2"/>
      <c r="AA460" s="2"/>
      <c r="AB460" s="2"/>
    </row>
    <row r="461">
      <c r="A461" s="2"/>
      <c r="B461" s="21"/>
      <c r="C461" s="21"/>
      <c r="D461" s="21"/>
      <c r="E461" s="21"/>
      <c r="F461" s="2"/>
      <c r="G461" s="2"/>
      <c r="H461" s="35"/>
      <c r="I461" s="21"/>
      <c r="J461" s="21"/>
      <c r="K461" s="21"/>
      <c r="L461" s="21"/>
      <c r="M461" s="21"/>
      <c r="N461" s="21"/>
      <c r="O461" s="21"/>
      <c r="P461" s="21"/>
      <c r="Q461" s="2"/>
      <c r="R461" s="2"/>
      <c r="S461" s="2"/>
      <c r="T461" s="2"/>
      <c r="U461" s="2"/>
      <c r="V461" s="2"/>
      <c r="W461" s="2"/>
      <c r="X461" s="2"/>
      <c r="Y461" s="2"/>
      <c r="Z461" s="2"/>
      <c r="AA461" s="2"/>
      <c r="AB461" s="2"/>
    </row>
    <row r="462">
      <c r="A462" s="2"/>
      <c r="B462" s="21"/>
      <c r="C462" s="21"/>
      <c r="D462" s="21"/>
      <c r="E462" s="21"/>
      <c r="F462" s="2"/>
      <c r="G462" s="2"/>
      <c r="H462" s="35"/>
      <c r="I462" s="21"/>
      <c r="J462" s="21"/>
      <c r="K462" s="21"/>
      <c r="L462" s="21"/>
      <c r="M462" s="21"/>
      <c r="N462" s="21"/>
      <c r="O462" s="21"/>
      <c r="P462" s="21"/>
      <c r="Q462" s="2"/>
      <c r="R462" s="2"/>
      <c r="S462" s="2"/>
      <c r="T462" s="2"/>
      <c r="U462" s="2"/>
      <c r="V462" s="2"/>
      <c r="W462" s="2"/>
      <c r="X462" s="2"/>
      <c r="Y462" s="2"/>
      <c r="Z462" s="2"/>
      <c r="AA462" s="2"/>
      <c r="AB462" s="2"/>
    </row>
    <row r="463">
      <c r="A463" s="2"/>
      <c r="B463" s="21"/>
      <c r="C463" s="21"/>
      <c r="D463" s="21"/>
      <c r="E463" s="21"/>
      <c r="F463" s="2"/>
      <c r="G463" s="2"/>
      <c r="H463" s="35"/>
      <c r="I463" s="21"/>
      <c r="J463" s="21"/>
      <c r="K463" s="21"/>
      <c r="L463" s="21"/>
      <c r="M463" s="21"/>
      <c r="N463" s="21"/>
      <c r="O463" s="21"/>
      <c r="P463" s="21"/>
      <c r="Q463" s="2"/>
      <c r="R463" s="2"/>
      <c r="S463" s="2"/>
      <c r="T463" s="2"/>
      <c r="U463" s="2"/>
      <c r="V463" s="2"/>
      <c r="W463" s="2"/>
      <c r="X463" s="2"/>
      <c r="Y463" s="2"/>
      <c r="Z463" s="2"/>
      <c r="AA463" s="2"/>
      <c r="AB463" s="2"/>
    </row>
    <row r="464">
      <c r="A464" s="2"/>
      <c r="B464" s="21"/>
      <c r="C464" s="21"/>
      <c r="D464" s="21"/>
      <c r="E464" s="21"/>
      <c r="F464" s="2"/>
      <c r="G464" s="2"/>
      <c r="H464" s="35"/>
      <c r="I464" s="21"/>
      <c r="J464" s="21"/>
      <c r="K464" s="21"/>
      <c r="L464" s="21"/>
      <c r="M464" s="21"/>
      <c r="N464" s="21"/>
      <c r="O464" s="21"/>
      <c r="P464" s="21"/>
      <c r="Q464" s="2"/>
      <c r="R464" s="2"/>
      <c r="S464" s="2"/>
      <c r="T464" s="2"/>
      <c r="U464" s="2"/>
      <c r="V464" s="2"/>
      <c r="W464" s="2"/>
      <c r="X464" s="2"/>
      <c r="Y464" s="2"/>
      <c r="Z464" s="2"/>
      <c r="AA464" s="2"/>
      <c r="AB464" s="2"/>
    </row>
    <row r="465">
      <c r="A465" s="2"/>
      <c r="B465" s="21"/>
      <c r="C465" s="21"/>
      <c r="D465" s="21"/>
      <c r="E465" s="21"/>
      <c r="F465" s="2"/>
      <c r="G465" s="2"/>
      <c r="H465" s="35"/>
      <c r="I465" s="21"/>
      <c r="J465" s="21"/>
      <c r="K465" s="21"/>
      <c r="L465" s="21"/>
      <c r="M465" s="21"/>
      <c r="N465" s="21"/>
      <c r="O465" s="21"/>
      <c r="P465" s="21"/>
      <c r="Q465" s="2"/>
      <c r="R465" s="2"/>
      <c r="S465" s="2"/>
      <c r="T465" s="2"/>
      <c r="U465" s="2"/>
      <c r="V465" s="2"/>
      <c r="W465" s="2"/>
      <c r="X465" s="2"/>
      <c r="Y465" s="2"/>
      <c r="Z465" s="2"/>
      <c r="AA465" s="2"/>
      <c r="AB465" s="2"/>
    </row>
    <row r="466">
      <c r="A466" s="2"/>
      <c r="B466" s="21"/>
      <c r="C466" s="21"/>
      <c r="D466" s="21"/>
      <c r="E466" s="21"/>
      <c r="F466" s="2"/>
      <c r="G466" s="2"/>
      <c r="H466" s="35"/>
      <c r="I466" s="21"/>
      <c r="J466" s="21"/>
      <c r="K466" s="21"/>
      <c r="L466" s="21"/>
      <c r="M466" s="21"/>
      <c r="N466" s="21"/>
      <c r="O466" s="21"/>
      <c r="P466" s="21"/>
      <c r="Q466" s="2"/>
      <c r="R466" s="2"/>
      <c r="S466" s="2"/>
      <c r="T466" s="2"/>
      <c r="U466" s="2"/>
      <c r="V466" s="2"/>
      <c r="W466" s="2"/>
      <c r="X466" s="2"/>
      <c r="Y466" s="2"/>
      <c r="Z466" s="2"/>
      <c r="AA466" s="2"/>
      <c r="AB466" s="2"/>
    </row>
    <row r="467">
      <c r="A467" s="2"/>
      <c r="B467" s="21"/>
      <c r="C467" s="21"/>
      <c r="D467" s="21"/>
      <c r="E467" s="21"/>
      <c r="F467" s="2"/>
      <c r="G467" s="2"/>
      <c r="H467" s="35"/>
      <c r="I467" s="21"/>
      <c r="J467" s="21"/>
      <c r="K467" s="21"/>
      <c r="L467" s="21"/>
      <c r="M467" s="21"/>
      <c r="N467" s="21"/>
      <c r="O467" s="21"/>
      <c r="P467" s="21"/>
      <c r="Q467" s="2"/>
      <c r="R467" s="2"/>
      <c r="S467" s="2"/>
      <c r="T467" s="2"/>
      <c r="U467" s="2"/>
      <c r="V467" s="2"/>
      <c r="W467" s="2"/>
      <c r="X467" s="2"/>
      <c r="Y467" s="2"/>
      <c r="Z467" s="2"/>
      <c r="AA467" s="2"/>
      <c r="AB467" s="2"/>
    </row>
    <row r="468">
      <c r="A468" s="2"/>
      <c r="B468" s="21"/>
      <c r="C468" s="21"/>
      <c r="D468" s="21"/>
      <c r="E468" s="21"/>
      <c r="F468" s="2"/>
      <c r="G468" s="2"/>
      <c r="H468" s="35"/>
      <c r="I468" s="21"/>
      <c r="J468" s="21"/>
      <c r="K468" s="21"/>
      <c r="L468" s="21"/>
      <c r="M468" s="21"/>
      <c r="N468" s="21"/>
      <c r="O468" s="21"/>
      <c r="P468" s="21"/>
      <c r="Q468" s="2"/>
      <c r="R468" s="2"/>
      <c r="S468" s="2"/>
      <c r="T468" s="2"/>
      <c r="U468" s="2"/>
      <c r="V468" s="2"/>
      <c r="W468" s="2"/>
      <c r="X468" s="2"/>
      <c r="Y468" s="2"/>
      <c r="Z468" s="2"/>
      <c r="AA468" s="2"/>
      <c r="AB468" s="2"/>
    </row>
    <row r="469">
      <c r="A469" s="2"/>
      <c r="B469" s="21"/>
      <c r="C469" s="21"/>
      <c r="D469" s="21"/>
      <c r="E469" s="21"/>
      <c r="F469" s="2"/>
      <c r="G469" s="2"/>
      <c r="H469" s="35"/>
      <c r="I469" s="21"/>
      <c r="J469" s="21"/>
      <c r="K469" s="21"/>
      <c r="L469" s="21"/>
      <c r="M469" s="21"/>
      <c r="N469" s="21"/>
      <c r="O469" s="21"/>
      <c r="P469" s="21"/>
      <c r="Q469" s="2"/>
      <c r="R469" s="2"/>
      <c r="S469" s="2"/>
      <c r="T469" s="2"/>
      <c r="U469" s="2"/>
      <c r="V469" s="2"/>
      <c r="W469" s="2"/>
      <c r="X469" s="2"/>
      <c r="Y469" s="2"/>
      <c r="Z469" s="2"/>
      <c r="AA469" s="2"/>
      <c r="AB469" s="2"/>
    </row>
    <row r="470">
      <c r="A470" s="2"/>
      <c r="B470" s="21"/>
      <c r="C470" s="21"/>
      <c r="D470" s="21"/>
      <c r="E470" s="21"/>
      <c r="F470" s="2"/>
      <c r="G470" s="2"/>
      <c r="H470" s="35"/>
      <c r="I470" s="21"/>
      <c r="J470" s="21"/>
      <c r="K470" s="21"/>
      <c r="L470" s="21"/>
      <c r="M470" s="21"/>
      <c r="N470" s="21"/>
      <c r="O470" s="21"/>
      <c r="P470" s="21"/>
      <c r="Q470" s="2"/>
      <c r="R470" s="2"/>
      <c r="S470" s="2"/>
      <c r="T470" s="2"/>
      <c r="U470" s="2"/>
      <c r="V470" s="2"/>
      <c r="W470" s="2"/>
      <c r="X470" s="2"/>
      <c r="Y470" s="2"/>
      <c r="Z470" s="2"/>
      <c r="AA470" s="2"/>
      <c r="AB470" s="2"/>
    </row>
    <row r="471">
      <c r="A471" s="2"/>
      <c r="B471" s="21"/>
      <c r="C471" s="21"/>
      <c r="D471" s="21"/>
      <c r="E471" s="21"/>
      <c r="F471" s="2"/>
      <c r="G471" s="2"/>
      <c r="H471" s="35"/>
      <c r="I471" s="21"/>
      <c r="J471" s="21"/>
      <c r="K471" s="21"/>
      <c r="L471" s="21"/>
      <c r="M471" s="21"/>
      <c r="N471" s="21"/>
      <c r="O471" s="21"/>
      <c r="P471" s="21"/>
      <c r="Q471" s="2"/>
      <c r="R471" s="2"/>
      <c r="S471" s="2"/>
      <c r="T471" s="2"/>
      <c r="U471" s="2"/>
      <c r="V471" s="2"/>
      <c r="W471" s="2"/>
      <c r="X471" s="2"/>
      <c r="Y471" s="2"/>
      <c r="Z471" s="2"/>
      <c r="AA471" s="2"/>
      <c r="AB471" s="2"/>
    </row>
    <row r="472">
      <c r="A472" s="2"/>
      <c r="B472" s="21"/>
      <c r="C472" s="21"/>
      <c r="D472" s="21"/>
      <c r="E472" s="21"/>
      <c r="F472" s="2"/>
      <c r="G472" s="2"/>
      <c r="H472" s="35"/>
      <c r="I472" s="21"/>
      <c r="J472" s="21"/>
      <c r="K472" s="21"/>
      <c r="L472" s="21"/>
      <c r="M472" s="21"/>
      <c r="N472" s="21"/>
      <c r="O472" s="21"/>
      <c r="P472" s="21"/>
      <c r="Q472" s="2"/>
      <c r="R472" s="2"/>
      <c r="S472" s="2"/>
      <c r="T472" s="2"/>
      <c r="U472" s="2"/>
      <c r="V472" s="2"/>
      <c r="W472" s="2"/>
      <c r="X472" s="2"/>
      <c r="Y472" s="2"/>
      <c r="Z472" s="2"/>
      <c r="AA472" s="2"/>
      <c r="AB472" s="2"/>
    </row>
    <row r="473">
      <c r="A473" s="2"/>
      <c r="B473" s="21"/>
      <c r="C473" s="21"/>
      <c r="D473" s="21"/>
      <c r="E473" s="21"/>
      <c r="F473" s="2"/>
      <c r="G473" s="2"/>
      <c r="H473" s="35"/>
      <c r="I473" s="21"/>
      <c r="J473" s="21"/>
      <c r="K473" s="21"/>
      <c r="L473" s="21"/>
      <c r="M473" s="21"/>
      <c r="N473" s="21"/>
      <c r="O473" s="21"/>
      <c r="P473" s="21"/>
      <c r="Q473" s="2"/>
      <c r="R473" s="2"/>
      <c r="S473" s="2"/>
      <c r="T473" s="2"/>
      <c r="U473" s="2"/>
      <c r="V473" s="2"/>
      <c r="W473" s="2"/>
      <c r="X473" s="2"/>
      <c r="Y473" s="2"/>
      <c r="Z473" s="2"/>
      <c r="AA473" s="2"/>
      <c r="AB473" s="2"/>
    </row>
    <row r="474">
      <c r="A474" s="2"/>
      <c r="B474" s="21"/>
      <c r="C474" s="21"/>
      <c r="D474" s="21"/>
      <c r="E474" s="21"/>
      <c r="F474" s="2"/>
      <c r="G474" s="2"/>
      <c r="H474" s="35"/>
      <c r="I474" s="21"/>
      <c r="J474" s="21"/>
      <c r="K474" s="21"/>
      <c r="L474" s="21"/>
      <c r="M474" s="21"/>
      <c r="N474" s="21"/>
      <c r="O474" s="21"/>
      <c r="P474" s="21"/>
      <c r="Q474" s="2"/>
      <c r="R474" s="2"/>
      <c r="S474" s="2"/>
      <c r="T474" s="2"/>
      <c r="U474" s="2"/>
      <c r="V474" s="2"/>
      <c r="W474" s="2"/>
      <c r="X474" s="2"/>
      <c r="Y474" s="2"/>
      <c r="Z474" s="2"/>
      <c r="AA474" s="2"/>
      <c r="AB474" s="2"/>
    </row>
    <row r="475">
      <c r="A475" s="2"/>
      <c r="B475" s="21"/>
      <c r="C475" s="21"/>
      <c r="D475" s="21"/>
      <c r="E475" s="21"/>
      <c r="F475" s="2"/>
      <c r="G475" s="2"/>
      <c r="H475" s="35"/>
      <c r="I475" s="21"/>
      <c r="J475" s="21"/>
      <c r="K475" s="21"/>
      <c r="L475" s="21"/>
      <c r="M475" s="21"/>
      <c r="N475" s="21"/>
      <c r="O475" s="21"/>
      <c r="P475" s="21"/>
      <c r="Q475" s="2"/>
      <c r="R475" s="2"/>
      <c r="S475" s="2"/>
      <c r="T475" s="2"/>
      <c r="U475" s="2"/>
      <c r="V475" s="2"/>
      <c r="W475" s="2"/>
      <c r="X475" s="2"/>
      <c r="Y475" s="2"/>
      <c r="Z475" s="2"/>
      <c r="AA475" s="2"/>
      <c r="AB475" s="2"/>
    </row>
    <row r="476">
      <c r="A476" s="2"/>
      <c r="B476" s="21"/>
      <c r="C476" s="21"/>
      <c r="D476" s="21"/>
      <c r="E476" s="21"/>
      <c r="F476" s="2"/>
      <c r="G476" s="2"/>
      <c r="H476" s="35"/>
      <c r="I476" s="21"/>
      <c r="J476" s="21"/>
      <c r="K476" s="21"/>
      <c r="L476" s="21"/>
      <c r="M476" s="21"/>
      <c r="N476" s="21"/>
      <c r="O476" s="21"/>
      <c r="P476" s="21"/>
      <c r="Q476" s="2"/>
      <c r="R476" s="2"/>
      <c r="S476" s="2"/>
      <c r="T476" s="2"/>
      <c r="U476" s="2"/>
      <c r="V476" s="2"/>
      <c r="W476" s="2"/>
      <c r="X476" s="2"/>
      <c r="Y476" s="2"/>
      <c r="Z476" s="2"/>
      <c r="AA476" s="2"/>
      <c r="AB476" s="2"/>
    </row>
    <row r="477">
      <c r="A477" s="2"/>
      <c r="B477" s="21"/>
      <c r="C477" s="21"/>
      <c r="D477" s="21"/>
      <c r="E477" s="21"/>
      <c r="F477" s="2"/>
      <c r="G477" s="2"/>
      <c r="H477" s="35"/>
      <c r="I477" s="21"/>
      <c r="J477" s="21"/>
      <c r="K477" s="21"/>
      <c r="L477" s="21"/>
      <c r="M477" s="21"/>
      <c r="N477" s="21"/>
      <c r="O477" s="21"/>
      <c r="P477" s="21"/>
      <c r="Q477" s="2"/>
      <c r="R477" s="2"/>
      <c r="S477" s="2"/>
      <c r="T477" s="2"/>
      <c r="U477" s="2"/>
      <c r="V477" s="2"/>
      <c r="W477" s="2"/>
      <c r="X477" s="2"/>
      <c r="Y477" s="2"/>
      <c r="Z477" s="2"/>
      <c r="AA477" s="2"/>
      <c r="AB477" s="2"/>
    </row>
    <row r="478">
      <c r="A478" s="2"/>
      <c r="B478" s="21"/>
      <c r="C478" s="21"/>
      <c r="D478" s="21"/>
      <c r="E478" s="21"/>
      <c r="F478" s="2"/>
      <c r="G478" s="2"/>
      <c r="H478" s="35"/>
      <c r="I478" s="21"/>
      <c r="J478" s="21"/>
      <c r="K478" s="21"/>
      <c r="L478" s="21"/>
      <c r="M478" s="21"/>
      <c r="N478" s="21"/>
      <c r="O478" s="21"/>
      <c r="P478" s="21"/>
      <c r="Q478" s="2"/>
      <c r="R478" s="2"/>
      <c r="S478" s="2"/>
      <c r="T478" s="2"/>
      <c r="U478" s="2"/>
      <c r="V478" s="2"/>
      <c r="W478" s="2"/>
      <c r="X478" s="2"/>
      <c r="Y478" s="2"/>
      <c r="Z478" s="2"/>
      <c r="AA478" s="2"/>
      <c r="AB478" s="2"/>
    </row>
    <row r="479">
      <c r="A479" s="2"/>
      <c r="B479" s="21"/>
      <c r="C479" s="21"/>
      <c r="D479" s="21"/>
      <c r="E479" s="21"/>
      <c r="F479" s="2"/>
      <c r="G479" s="2"/>
      <c r="H479" s="35"/>
      <c r="I479" s="21"/>
      <c r="J479" s="21"/>
      <c r="K479" s="21"/>
      <c r="L479" s="21"/>
      <c r="M479" s="21"/>
      <c r="N479" s="21"/>
      <c r="O479" s="21"/>
      <c r="P479" s="21"/>
      <c r="Q479" s="2"/>
      <c r="R479" s="2"/>
      <c r="S479" s="2"/>
      <c r="T479" s="2"/>
      <c r="U479" s="2"/>
      <c r="V479" s="2"/>
      <c r="W479" s="2"/>
      <c r="X479" s="2"/>
      <c r="Y479" s="2"/>
      <c r="Z479" s="2"/>
      <c r="AA479" s="2"/>
      <c r="AB479" s="2"/>
    </row>
    <row r="480">
      <c r="A480" s="2"/>
      <c r="B480" s="21"/>
      <c r="C480" s="21"/>
      <c r="D480" s="21"/>
      <c r="E480" s="21"/>
      <c r="F480" s="2"/>
      <c r="G480" s="2"/>
      <c r="H480" s="35"/>
      <c r="I480" s="21"/>
      <c r="J480" s="21"/>
      <c r="K480" s="21"/>
      <c r="L480" s="21"/>
      <c r="M480" s="21"/>
      <c r="N480" s="21"/>
      <c r="O480" s="21"/>
      <c r="P480" s="21"/>
      <c r="Q480" s="2"/>
      <c r="R480" s="2"/>
      <c r="S480" s="2"/>
      <c r="T480" s="2"/>
      <c r="U480" s="2"/>
      <c r="V480" s="2"/>
      <c r="W480" s="2"/>
      <c r="X480" s="2"/>
      <c r="Y480" s="2"/>
      <c r="Z480" s="2"/>
      <c r="AA480" s="2"/>
      <c r="AB480" s="2"/>
    </row>
    <row r="481">
      <c r="A481" s="2"/>
      <c r="B481" s="21"/>
      <c r="C481" s="21"/>
      <c r="D481" s="21"/>
      <c r="E481" s="21"/>
      <c r="F481" s="2"/>
      <c r="G481" s="2"/>
      <c r="H481" s="35"/>
      <c r="I481" s="21"/>
      <c r="J481" s="21"/>
      <c r="K481" s="21"/>
      <c r="L481" s="21"/>
      <c r="M481" s="21"/>
      <c r="N481" s="21"/>
      <c r="O481" s="21"/>
      <c r="P481" s="21"/>
      <c r="Q481" s="2"/>
      <c r="R481" s="2"/>
      <c r="S481" s="2"/>
      <c r="T481" s="2"/>
      <c r="U481" s="2"/>
      <c r="V481" s="2"/>
      <c r="W481" s="2"/>
      <c r="X481" s="2"/>
      <c r="Y481" s="2"/>
      <c r="Z481" s="2"/>
      <c r="AA481" s="2"/>
      <c r="AB481" s="2"/>
    </row>
    <row r="482">
      <c r="A482" s="2"/>
      <c r="B482" s="21"/>
      <c r="C482" s="21"/>
      <c r="D482" s="21"/>
      <c r="E482" s="21"/>
      <c r="F482" s="2"/>
      <c r="G482" s="2"/>
      <c r="H482" s="35"/>
      <c r="I482" s="21"/>
      <c r="J482" s="21"/>
      <c r="K482" s="21"/>
      <c r="L482" s="21"/>
      <c r="M482" s="21"/>
      <c r="N482" s="21"/>
      <c r="O482" s="21"/>
      <c r="P482" s="21"/>
      <c r="Q482" s="2"/>
      <c r="R482" s="2"/>
      <c r="S482" s="2"/>
      <c r="T482" s="2"/>
      <c r="U482" s="2"/>
      <c r="V482" s="2"/>
      <c r="W482" s="2"/>
      <c r="X482" s="2"/>
      <c r="Y482" s="2"/>
      <c r="Z482" s="2"/>
      <c r="AA482" s="2"/>
      <c r="AB482" s="2"/>
    </row>
    <row r="483">
      <c r="A483" s="2"/>
      <c r="B483" s="21"/>
      <c r="C483" s="21"/>
      <c r="D483" s="21"/>
      <c r="E483" s="21"/>
      <c r="F483" s="2"/>
      <c r="G483" s="2"/>
      <c r="H483" s="35"/>
      <c r="I483" s="21"/>
      <c r="J483" s="21"/>
      <c r="K483" s="21"/>
      <c r="L483" s="21"/>
      <c r="M483" s="21"/>
      <c r="N483" s="21"/>
      <c r="O483" s="21"/>
      <c r="P483" s="21"/>
      <c r="Q483" s="2"/>
      <c r="R483" s="2"/>
      <c r="S483" s="2"/>
      <c r="T483" s="2"/>
      <c r="U483" s="2"/>
      <c r="V483" s="2"/>
      <c r="W483" s="2"/>
      <c r="X483" s="2"/>
      <c r="Y483" s="2"/>
      <c r="Z483" s="2"/>
      <c r="AA483" s="2"/>
      <c r="AB483" s="2"/>
    </row>
    <row r="484">
      <c r="A484" s="2"/>
      <c r="B484" s="21"/>
      <c r="C484" s="21"/>
      <c r="D484" s="21"/>
      <c r="E484" s="21"/>
      <c r="F484" s="2"/>
      <c r="G484" s="2"/>
      <c r="H484" s="35"/>
      <c r="I484" s="21"/>
      <c r="J484" s="21"/>
      <c r="K484" s="21"/>
      <c r="L484" s="21"/>
      <c r="M484" s="21"/>
      <c r="N484" s="21"/>
      <c r="O484" s="21"/>
      <c r="P484" s="21"/>
      <c r="Q484" s="2"/>
      <c r="R484" s="2"/>
      <c r="S484" s="2"/>
      <c r="T484" s="2"/>
      <c r="U484" s="2"/>
      <c r="V484" s="2"/>
      <c r="W484" s="2"/>
      <c r="X484" s="2"/>
      <c r="Y484" s="2"/>
      <c r="Z484" s="2"/>
      <c r="AA484" s="2"/>
      <c r="AB484" s="2"/>
    </row>
    <row r="485">
      <c r="A485" s="2"/>
      <c r="B485" s="21"/>
      <c r="C485" s="21"/>
      <c r="D485" s="21"/>
      <c r="E485" s="21"/>
      <c r="F485" s="2"/>
      <c r="G485" s="2"/>
      <c r="H485" s="35"/>
      <c r="I485" s="21"/>
      <c r="J485" s="21"/>
      <c r="K485" s="21"/>
      <c r="L485" s="21"/>
      <c r="M485" s="21"/>
      <c r="N485" s="21"/>
      <c r="O485" s="21"/>
      <c r="P485" s="21"/>
      <c r="Q485" s="2"/>
      <c r="R485" s="2"/>
      <c r="S485" s="2"/>
      <c r="T485" s="2"/>
      <c r="U485" s="2"/>
      <c r="V485" s="2"/>
      <c r="W485" s="2"/>
      <c r="X485" s="2"/>
      <c r="Y485" s="2"/>
      <c r="Z485" s="2"/>
      <c r="AA485" s="2"/>
      <c r="AB485" s="2"/>
    </row>
    <row r="486">
      <c r="A486" s="2"/>
      <c r="B486" s="21"/>
      <c r="C486" s="21"/>
      <c r="D486" s="21"/>
      <c r="E486" s="21"/>
      <c r="F486" s="2"/>
      <c r="G486" s="2"/>
      <c r="H486" s="35"/>
      <c r="I486" s="21"/>
      <c r="J486" s="21"/>
      <c r="K486" s="21"/>
      <c r="L486" s="21"/>
      <c r="M486" s="21"/>
      <c r="N486" s="21"/>
      <c r="O486" s="21"/>
      <c r="P486" s="21"/>
      <c r="Q486" s="2"/>
      <c r="R486" s="2"/>
      <c r="S486" s="2"/>
      <c r="T486" s="2"/>
      <c r="U486" s="2"/>
      <c r="V486" s="2"/>
      <c r="W486" s="2"/>
      <c r="X486" s="2"/>
      <c r="Y486" s="2"/>
      <c r="Z486" s="2"/>
      <c r="AA486" s="2"/>
      <c r="AB486" s="2"/>
    </row>
    <row r="487">
      <c r="A487" s="2"/>
      <c r="B487" s="21"/>
      <c r="C487" s="21"/>
      <c r="D487" s="21"/>
      <c r="E487" s="21"/>
      <c r="F487" s="2"/>
      <c r="G487" s="2"/>
      <c r="H487" s="35"/>
      <c r="I487" s="21"/>
      <c r="J487" s="21"/>
      <c r="K487" s="21"/>
      <c r="L487" s="21"/>
      <c r="M487" s="21"/>
      <c r="N487" s="21"/>
      <c r="O487" s="21"/>
      <c r="P487" s="21"/>
      <c r="Q487" s="2"/>
      <c r="R487" s="2"/>
      <c r="S487" s="2"/>
      <c r="T487" s="2"/>
      <c r="U487" s="2"/>
      <c r="V487" s="2"/>
      <c r="W487" s="2"/>
      <c r="X487" s="2"/>
      <c r="Y487" s="2"/>
      <c r="Z487" s="2"/>
      <c r="AA487" s="2"/>
      <c r="AB487" s="2"/>
    </row>
    <row r="488">
      <c r="A488" s="2"/>
      <c r="B488" s="21"/>
      <c r="C488" s="21"/>
      <c r="D488" s="21"/>
      <c r="E488" s="21"/>
      <c r="F488" s="2"/>
      <c r="G488" s="2"/>
      <c r="H488" s="35"/>
      <c r="I488" s="21"/>
      <c r="J488" s="21"/>
      <c r="K488" s="21"/>
      <c r="L488" s="21"/>
      <c r="M488" s="21"/>
      <c r="N488" s="21"/>
      <c r="O488" s="21"/>
      <c r="P488" s="21"/>
      <c r="Q488" s="2"/>
      <c r="R488" s="2"/>
      <c r="S488" s="2"/>
      <c r="T488" s="2"/>
      <c r="U488" s="2"/>
      <c r="V488" s="2"/>
      <c r="W488" s="2"/>
      <c r="X488" s="2"/>
      <c r="Y488" s="2"/>
      <c r="Z488" s="2"/>
      <c r="AA488" s="2"/>
      <c r="AB488" s="2"/>
    </row>
    <row r="489">
      <c r="A489" s="2"/>
      <c r="B489" s="21"/>
      <c r="C489" s="21"/>
      <c r="D489" s="21"/>
      <c r="E489" s="21"/>
      <c r="F489" s="2"/>
      <c r="G489" s="2"/>
      <c r="H489" s="35"/>
      <c r="I489" s="21"/>
      <c r="J489" s="21"/>
      <c r="K489" s="21"/>
      <c r="L489" s="21"/>
      <c r="M489" s="21"/>
      <c r="N489" s="21"/>
      <c r="O489" s="21"/>
      <c r="P489" s="21"/>
      <c r="Q489" s="2"/>
      <c r="R489" s="2"/>
      <c r="S489" s="2"/>
      <c r="T489" s="2"/>
      <c r="U489" s="2"/>
      <c r="V489" s="2"/>
      <c r="W489" s="2"/>
      <c r="X489" s="2"/>
      <c r="Y489" s="2"/>
      <c r="Z489" s="2"/>
      <c r="AA489" s="2"/>
      <c r="AB489" s="2"/>
    </row>
    <row r="490">
      <c r="A490" s="2"/>
      <c r="B490" s="21"/>
      <c r="C490" s="21"/>
      <c r="D490" s="21"/>
      <c r="E490" s="21"/>
      <c r="F490" s="2"/>
      <c r="G490" s="2"/>
      <c r="H490" s="35"/>
      <c r="I490" s="21"/>
      <c r="J490" s="21"/>
      <c r="K490" s="21"/>
      <c r="L490" s="21"/>
      <c r="M490" s="21"/>
      <c r="N490" s="21"/>
      <c r="O490" s="21"/>
      <c r="P490" s="21"/>
      <c r="Q490" s="2"/>
      <c r="R490" s="2"/>
      <c r="S490" s="2"/>
      <c r="T490" s="2"/>
      <c r="U490" s="2"/>
      <c r="V490" s="2"/>
      <c r="W490" s="2"/>
      <c r="X490" s="2"/>
      <c r="Y490" s="2"/>
      <c r="Z490" s="2"/>
      <c r="AA490" s="2"/>
      <c r="AB490" s="2"/>
    </row>
    <row r="491">
      <c r="A491" s="2"/>
      <c r="B491" s="21"/>
      <c r="C491" s="21"/>
      <c r="D491" s="21"/>
      <c r="E491" s="21"/>
      <c r="F491" s="2"/>
      <c r="G491" s="2"/>
      <c r="H491" s="35"/>
      <c r="I491" s="21"/>
      <c r="J491" s="21"/>
      <c r="K491" s="21"/>
      <c r="L491" s="21"/>
      <c r="M491" s="21"/>
      <c r="N491" s="21"/>
      <c r="O491" s="21"/>
      <c r="P491" s="21"/>
      <c r="Q491" s="2"/>
      <c r="R491" s="2"/>
      <c r="S491" s="2"/>
      <c r="T491" s="2"/>
      <c r="U491" s="2"/>
      <c r="V491" s="2"/>
      <c r="W491" s="2"/>
      <c r="X491" s="2"/>
      <c r="Y491" s="2"/>
      <c r="Z491" s="2"/>
      <c r="AA491" s="2"/>
      <c r="AB491" s="2"/>
    </row>
    <row r="492">
      <c r="A492" s="2"/>
      <c r="B492" s="21"/>
      <c r="C492" s="21"/>
      <c r="D492" s="21"/>
      <c r="E492" s="21"/>
      <c r="F492" s="2"/>
      <c r="G492" s="2"/>
      <c r="H492" s="35"/>
      <c r="I492" s="21"/>
      <c r="J492" s="21"/>
      <c r="K492" s="21"/>
      <c r="L492" s="21"/>
      <c r="M492" s="21"/>
      <c r="N492" s="21"/>
      <c r="O492" s="21"/>
      <c r="P492" s="21"/>
      <c r="Q492" s="2"/>
      <c r="R492" s="2"/>
      <c r="S492" s="2"/>
      <c r="T492" s="2"/>
      <c r="U492" s="2"/>
      <c r="V492" s="2"/>
      <c r="W492" s="2"/>
      <c r="X492" s="2"/>
      <c r="Y492" s="2"/>
      <c r="Z492" s="2"/>
      <c r="AA492" s="2"/>
      <c r="AB492" s="2"/>
    </row>
    <row r="493">
      <c r="A493" s="2"/>
      <c r="B493" s="21"/>
      <c r="C493" s="21"/>
      <c r="D493" s="21"/>
      <c r="E493" s="21"/>
      <c r="F493" s="2"/>
      <c r="G493" s="2"/>
      <c r="H493" s="35"/>
      <c r="I493" s="21"/>
      <c r="J493" s="21"/>
      <c r="K493" s="21"/>
      <c r="L493" s="21"/>
      <c r="M493" s="21"/>
      <c r="N493" s="21"/>
      <c r="O493" s="21"/>
      <c r="P493" s="21"/>
      <c r="Q493" s="2"/>
      <c r="R493" s="2"/>
      <c r="S493" s="2"/>
      <c r="T493" s="2"/>
      <c r="U493" s="2"/>
      <c r="V493" s="2"/>
      <c r="W493" s="2"/>
      <c r="X493" s="2"/>
      <c r="Y493" s="2"/>
      <c r="Z493" s="2"/>
      <c r="AA493" s="2"/>
      <c r="AB493" s="2"/>
    </row>
    <row r="494">
      <c r="A494" s="2"/>
      <c r="B494" s="21"/>
      <c r="C494" s="21"/>
      <c r="D494" s="21"/>
      <c r="E494" s="21"/>
      <c r="F494" s="2"/>
      <c r="G494" s="2"/>
      <c r="H494" s="35"/>
      <c r="I494" s="21"/>
      <c r="J494" s="21"/>
      <c r="K494" s="21"/>
      <c r="L494" s="21"/>
      <c r="M494" s="21"/>
      <c r="N494" s="21"/>
      <c r="O494" s="21"/>
      <c r="P494" s="21"/>
      <c r="Q494" s="2"/>
      <c r="R494" s="2"/>
      <c r="S494" s="2"/>
      <c r="T494" s="2"/>
      <c r="U494" s="2"/>
      <c r="V494" s="2"/>
      <c r="W494" s="2"/>
      <c r="X494" s="2"/>
      <c r="Y494" s="2"/>
      <c r="Z494" s="2"/>
      <c r="AA494" s="2"/>
      <c r="AB494" s="2"/>
    </row>
    <row r="495">
      <c r="A495" s="2"/>
      <c r="B495" s="21"/>
      <c r="C495" s="21"/>
      <c r="D495" s="21"/>
      <c r="E495" s="21"/>
      <c r="F495" s="2"/>
      <c r="G495" s="2"/>
      <c r="H495" s="35"/>
      <c r="I495" s="21"/>
      <c r="J495" s="21"/>
      <c r="K495" s="21"/>
      <c r="L495" s="21"/>
      <c r="M495" s="21"/>
      <c r="N495" s="21"/>
      <c r="O495" s="21"/>
      <c r="P495" s="21"/>
      <c r="Q495" s="2"/>
      <c r="R495" s="2"/>
      <c r="S495" s="2"/>
      <c r="T495" s="2"/>
      <c r="U495" s="2"/>
      <c r="V495" s="2"/>
      <c r="W495" s="2"/>
      <c r="X495" s="2"/>
      <c r="Y495" s="2"/>
      <c r="Z495" s="2"/>
      <c r="AA495" s="2"/>
      <c r="AB495" s="2"/>
    </row>
    <row r="496">
      <c r="A496" s="2"/>
      <c r="B496" s="21"/>
      <c r="C496" s="21"/>
      <c r="D496" s="21"/>
      <c r="E496" s="21"/>
      <c r="F496" s="2"/>
      <c r="G496" s="2"/>
      <c r="H496" s="35"/>
      <c r="I496" s="21"/>
      <c r="J496" s="21"/>
      <c r="K496" s="21"/>
      <c r="L496" s="21"/>
      <c r="M496" s="21"/>
      <c r="N496" s="21"/>
      <c r="O496" s="21"/>
      <c r="P496" s="21"/>
      <c r="Q496" s="2"/>
      <c r="R496" s="2"/>
      <c r="S496" s="2"/>
      <c r="T496" s="2"/>
      <c r="U496" s="2"/>
      <c r="V496" s="2"/>
      <c r="W496" s="2"/>
      <c r="X496" s="2"/>
      <c r="Y496" s="2"/>
      <c r="Z496" s="2"/>
      <c r="AA496" s="2"/>
      <c r="AB496" s="2"/>
    </row>
    <row r="497">
      <c r="A497" s="2"/>
      <c r="B497" s="21"/>
      <c r="C497" s="21"/>
      <c r="D497" s="21"/>
      <c r="E497" s="21"/>
      <c r="F497" s="2"/>
      <c r="G497" s="2"/>
      <c r="H497" s="35"/>
      <c r="I497" s="21"/>
      <c r="J497" s="21"/>
      <c r="K497" s="21"/>
      <c r="L497" s="21"/>
      <c r="M497" s="21"/>
      <c r="N497" s="21"/>
      <c r="O497" s="21"/>
      <c r="P497" s="21"/>
      <c r="Q497" s="2"/>
      <c r="R497" s="2"/>
      <c r="S497" s="2"/>
      <c r="T497" s="2"/>
      <c r="U497" s="2"/>
      <c r="V497" s="2"/>
      <c r="W497" s="2"/>
      <c r="X497" s="2"/>
      <c r="Y497" s="2"/>
      <c r="Z497" s="2"/>
      <c r="AA497" s="2"/>
      <c r="AB497" s="2"/>
    </row>
    <row r="498">
      <c r="A498" s="2"/>
      <c r="B498" s="21"/>
      <c r="C498" s="21"/>
      <c r="D498" s="21"/>
      <c r="E498" s="21"/>
      <c r="F498" s="2"/>
      <c r="G498" s="2"/>
      <c r="H498" s="35"/>
      <c r="I498" s="21"/>
      <c r="J498" s="21"/>
      <c r="K498" s="21"/>
      <c r="L498" s="21"/>
      <c r="M498" s="21"/>
      <c r="N498" s="21"/>
      <c r="O498" s="21"/>
      <c r="P498" s="21"/>
      <c r="Q498" s="2"/>
      <c r="R498" s="2"/>
      <c r="S498" s="2"/>
      <c r="T498" s="2"/>
      <c r="U498" s="2"/>
      <c r="V498" s="2"/>
      <c r="W498" s="2"/>
      <c r="X498" s="2"/>
      <c r="Y498" s="2"/>
      <c r="Z498" s="2"/>
      <c r="AA498" s="2"/>
      <c r="AB498" s="2"/>
    </row>
    <row r="499">
      <c r="A499" s="2"/>
      <c r="B499" s="21"/>
      <c r="C499" s="21"/>
      <c r="D499" s="21"/>
      <c r="E499" s="21"/>
      <c r="F499" s="2"/>
      <c r="G499" s="2"/>
      <c r="H499" s="35"/>
      <c r="I499" s="21"/>
      <c r="J499" s="21"/>
      <c r="K499" s="21"/>
      <c r="L499" s="21"/>
      <c r="M499" s="21"/>
      <c r="N499" s="21"/>
      <c r="O499" s="21"/>
      <c r="P499" s="21"/>
      <c r="Q499" s="2"/>
      <c r="R499" s="2"/>
      <c r="S499" s="2"/>
      <c r="T499" s="2"/>
      <c r="U499" s="2"/>
      <c r="V499" s="2"/>
      <c r="W499" s="2"/>
      <c r="X499" s="2"/>
      <c r="Y499" s="2"/>
      <c r="Z499" s="2"/>
      <c r="AA499" s="2"/>
      <c r="AB499" s="2"/>
    </row>
    <row r="500">
      <c r="A500" s="2"/>
      <c r="B500" s="21"/>
      <c r="C500" s="21"/>
      <c r="D500" s="21"/>
      <c r="E500" s="21"/>
      <c r="F500" s="2"/>
      <c r="G500" s="2"/>
      <c r="H500" s="35"/>
      <c r="I500" s="21"/>
      <c r="J500" s="21"/>
      <c r="K500" s="21"/>
      <c r="L500" s="21"/>
      <c r="M500" s="21"/>
      <c r="N500" s="21"/>
      <c r="O500" s="21"/>
      <c r="P500" s="21"/>
      <c r="Q500" s="2"/>
      <c r="R500" s="2"/>
      <c r="S500" s="2"/>
      <c r="T500" s="2"/>
      <c r="U500" s="2"/>
      <c r="V500" s="2"/>
      <c r="W500" s="2"/>
      <c r="X500" s="2"/>
      <c r="Y500" s="2"/>
      <c r="Z500" s="2"/>
      <c r="AA500" s="2"/>
      <c r="AB500" s="2"/>
    </row>
    <row r="501">
      <c r="A501" s="2"/>
      <c r="B501" s="21"/>
      <c r="C501" s="21"/>
      <c r="D501" s="21"/>
      <c r="E501" s="21"/>
      <c r="F501" s="2"/>
      <c r="G501" s="2"/>
      <c r="H501" s="35"/>
      <c r="I501" s="21"/>
      <c r="J501" s="21"/>
      <c r="K501" s="21"/>
      <c r="L501" s="21"/>
      <c r="M501" s="21"/>
      <c r="N501" s="21"/>
      <c r="O501" s="21"/>
      <c r="P501" s="21"/>
      <c r="Q501" s="2"/>
      <c r="R501" s="2"/>
      <c r="S501" s="2"/>
      <c r="T501" s="2"/>
      <c r="U501" s="2"/>
      <c r="V501" s="2"/>
      <c r="W501" s="2"/>
      <c r="X501" s="2"/>
      <c r="Y501" s="2"/>
      <c r="Z501" s="2"/>
      <c r="AA501" s="2"/>
      <c r="AB501" s="2"/>
    </row>
    <row r="502">
      <c r="A502" s="2"/>
      <c r="B502" s="21"/>
      <c r="C502" s="21"/>
      <c r="D502" s="21"/>
      <c r="E502" s="21"/>
      <c r="F502" s="2"/>
      <c r="G502" s="2"/>
      <c r="H502" s="35"/>
      <c r="I502" s="21"/>
      <c r="J502" s="21"/>
      <c r="K502" s="21"/>
      <c r="L502" s="21"/>
      <c r="M502" s="21"/>
      <c r="N502" s="21"/>
      <c r="O502" s="21"/>
      <c r="P502" s="21"/>
      <c r="Q502" s="2"/>
      <c r="R502" s="2"/>
      <c r="S502" s="2"/>
      <c r="T502" s="2"/>
      <c r="U502" s="2"/>
      <c r="V502" s="2"/>
      <c r="W502" s="2"/>
      <c r="X502" s="2"/>
      <c r="Y502" s="2"/>
      <c r="Z502" s="2"/>
      <c r="AA502" s="2"/>
      <c r="AB502" s="2"/>
    </row>
    <row r="503">
      <c r="A503" s="2"/>
      <c r="B503" s="21"/>
      <c r="C503" s="21"/>
      <c r="D503" s="21"/>
      <c r="E503" s="21"/>
      <c r="F503" s="2"/>
      <c r="G503" s="2"/>
      <c r="H503" s="35"/>
      <c r="I503" s="21"/>
      <c r="J503" s="21"/>
      <c r="K503" s="21"/>
      <c r="L503" s="21"/>
      <c r="M503" s="21"/>
      <c r="N503" s="21"/>
      <c r="O503" s="21"/>
      <c r="P503" s="21"/>
      <c r="Q503" s="2"/>
      <c r="R503" s="2"/>
      <c r="S503" s="2"/>
      <c r="T503" s="2"/>
      <c r="U503" s="2"/>
      <c r="V503" s="2"/>
      <c r="W503" s="2"/>
      <c r="X503" s="2"/>
      <c r="Y503" s="2"/>
      <c r="Z503" s="2"/>
      <c r="AA503" s="2"/>
      <c r="AB503" s="2"/>
    </row>
    <row r="504">
      <c r="A504" s="2"/>
      <c r="B504" s="21"/>
      <c r="C504" s="21"/>
      <c r="D504" s="21"/>
      <c r="E504" s="21"/>
      <c r="F504" s="2"/>
      <c r="G504" s="2"/>
      <c r="H504" s="35"/>
      <c r="I504" s="21"/>
      <c r="J504" s="21"/>
      <c r="K504" s="21"/>
      <c r="L504" s="21"/>
      <c r="M504" s="21"/>
      <c r="N504" s="21"/>
      <c r="O504" s="21"/>
      <c r="P504" s="21"/>
      <c r="Q504" s="2"/>
      <c r="R504" s="2"/>
      <c r="S504" s="2"/>
      <c r="T504" s="2"/>
      <c r="U504" s="2"/>
      <c r="V504" s="2"/>
      <c r="W504" s="2"/>
      <c r="X504" s="2"/>
      <c r="Y504" s="2"/>
      <c r="Z504" s="2"/>
      <c r="AA504" s="2"/>
      <c r="AB504" s="2"/>
    </row>
    <row r="505">
      <c r="A505" s="2"/>
      <c r="B505" s="21"/>
      <c r="C505" s="21"/>
      <c r="D505" s="21"/>
      <c r="E505" s="21"/>
      <c r="F505" s="2"/>
      <c r="G505" s="2"/>
      <c r="H505" s="35"/>
      <c r="I505" s="21"/>
      <c r="J505" s="21"/>
      <c r="K505" s="21"/>
      <c r="L505" s="21"/>
      <c r="M505" s="21"/>
      <c r="N505" s="21"/>
      <c r="O505" s="21"/>
      <c r="P505" s="21"/>
      <c r="Q505" s="2"/>
      <c r="R505" s="2"/>
      <c r="S505" s="2"/>
      <c r="T505" s="2"/>
      <c r="U505" s="2"/>
      <c r="V505" s="2"/>
      <c r="W505" s="2"/>
      <c r="X505" s="2"/>
      <c r="Y505" s="2"/>
      <c r="Z505" s="2"/>
      <c r="AA505" s="2"/>
      <c r="AB505" s="2"/>
    </row>
    <row r="506">
      <c r="A506" s="2"/>
      <c r="B506" s="21"/>
      <c r="C506" s="21"/>
      <c r="D506" s="21"/>
      <c r="E506" s="21"/>
      <c r="F506" s="2"/>
      <c r="G506" s="2"/>
      <c r="H506" s="35"/>
      <c r="I506" s="21"/>
      <c r="J506" s="21"/>
      <c r="K506" s="21"/>
      <c r="L506" s="21"/>
      <c r="M506" s="21"/>
      <c r="N506" s="21"/>
      <c r="O506" s="21"/>
      <c r="P506" s="21"/>
      <c r="Q506" s="2"/>
      <c r="R506" s="2"/>
      <c r="S506" s="2"/>
      <c r="T506" s="2"/>
      <c r="U506" s="2"/>
      <c r="V506" s="2"/>
      <c r="W506" s="2"/>
      <c r="X506" s="2"/>
      <c r="Y506" s="2"/>
      <c r="Z506" s="2"/>
      <c r="AA506" s="2"/>
      <c r="AB506" s="2"/>
    </row>
    <row r="507">
      <c r="A507" s="2"/>
      <c r="B507" s="21"/>
      <c r="C507" s="21"/>
      <c r="D507" s="21"/>
      <c r="E507" s="21"/>
      <c r="F507" s="2"/>
      <c r="G507" s="2"/>
      <c r="H507" s="35"/>
      <c r="I507" s="21"/>
      <c r="J507" s="21"/>
      <c r="K507" s="21"/>
      <c r="L507" s="21"/>
      <c r="M507" s="21"/>
      <c r="N507" s="21"/>
      <c r="O507" s="21"/>
      <c r="P507" s="21"/>
      <c r="Q507" s="2"/>
      <c r="R507" s="2"/>
      <c r="S507" s="2"/>
      <c r="T507" s="2"/>
      <c r="U507" s="2"/>
      <c r="V507" s="2"/>
      <c r="W507" s="2"/>
      <c r="X507" s="2"/>
      <c r="Y507" s="2"/>
      <c r="Z507" s="2"/>
      <c r="AA507" s="2"/>
      <c r="AB507" s="2"/>
    </row>
    <row r="508">
      <c r="A508" s="2"/>
      <c r="B508" s="21"/>
      <c r="C508" s="21"/>
      <c r="D508" s="21"/>
      <c r="E508" s="21"/>
      <c r="F508" s="2"/>
      <c r="G508" s="2"/>
      <c r="H508" s="35"/>
      <c r="I508" s="21"/>
      <c r="J508" s="21"/>
      <c r="K508" s="21"/>
      <c r="L508" s="21"/>
      <c r="M508" s="21"/>
      <c r="N508" s="21"/>
      <c r="O508" s="21"/>
      <c r="P508" s="21"/>
      <c r="Q508" s="2"/>
      <c r="R508" s="2"/>
      <c r="S508" s="2"/>
      <c r="T508" s="2"/>
      <c r="U508" s="2"/>
      <c r="V508" s="2"/>
      <c r="W508" s="2"/>
      <c r="X508" s="2"/>
      <c r="Y508" s="2"/>
      <c r="Z508" s="2"/>
      <c r="AA508" s="2"/>
      <c r="AB508" s="2"/>
    </row>
    <row r="509">
      <c r="A509" s="2"/>
      <c r="B509" s="21"/>
      <c r="C509" s="21"/>
      <c r="D509" s="21"/>
      <c r="E509" s="21"/>
      <c r="F509" s="2"/>
      <c r="G509" s="2"/>
      <c r="H509" s="35"/>
      <c r="I509" s="21"/>
      <c r="J509" s="21"/>
      <c r="K509" s="21"/>
      <c r="L509" s="21"/>
      <c r="M509" s="21"/>
      <c r="N509" s="21"/>
      <c r="O509" s="21"/>
      <c r="P509" s="21"/>
      <c r="Q509" s="2"/>
      <c r="R509" s="2"/>
      <c r="S509" s="2"/>
      <c r="T509" s="2"/>
      <c r="U509" s="2"/>
      <c r="V509" s="2"/>
      <c r="W509" s="2"/>
      <c r="X509" s="2"/>
      <c r="Y509" s="2"/>
      <c r="Z509" s="2"/>
      <c r="AA509" s="2"/>
      <c r="AB509" s="2"/>
    </row>
    <row r="510">
      <c r="A510" s="2"/>
      <c r="B510" s="21"/>
      <c r="C510" s="21"/>
      <c r="D510" s="21"/>
      <c r="E510" s="21"/>
      <c r="F510" s="2"/>
      <c r="G510" s="2"/>
      <c r="H510" s="35"/>
      <c r="I510" s="21"/>
      <c r="J510" s="21"/>
      <c r="K510" s="21"/>
      <c r="L510" s="21"/>
      <c r="M510" s="21"/>
      <c r="N510" s="21"/>
      <c r="O510" s="21"/>
      <c r="P510" s="21"/>
      <c r="Q510" s="2"/>
      <c r="R510" s="2"/>
      <c r="S510" s="2"/>
      <c r="T510" s="2"/>
      <c r="U510" s="2"/>
      <c r="V510" s="2"/>
      <c r="W510" s="2"/>
      <c r="X510" s="2"/>
      <c r="Y510" s="2"/>
      <c r="Z510" s="2"/>
      <c r="AA510" s="2"/>
      <c r="AB510" s="2"/>
    </row>
    <row r="511">
      <c r="A511" s="2"/>
      <c r="B511" s="21"/>
      <c r="C511" s="21"/>
      <c r="D511" s="21"/>
      <c r="E511" s="21"/>
      <c r="F511" s="2"/>
      <c r="G511" s="2"/>
      <c r="H511" s="35"/>
      <c r="I511" s="21"/>
      <c r="J511" s="21"/>
      <c r="K511" s="21"/>
      <c r="L511" s="21"/>
      <c r="M511" s="21"/>
      <c r="N511" s="21"/>
      <c r="O511" s="21"/>
      <c r="P511" s="21"/>
      <c r="Q511" s="2"/>
      <c r="R511" s="2"/>
      <c r="S511" s="2"/>
      <c r="T511" s="2"/>
      <c r="U511" s="2"/>
      <c r="V511" s="2"/>
      <c r="W511" s="2"/>
      <c r="X511" s="2"/>
      <c r="Y511" s="2"/>
      <c r="Z511" s="2"/>
      <c r="AA511" s="2"/>
      <c r="AB511" s="2"/>
    </row>
    <row r="512">
      <c r="A512" s="2"/>
      <c r="B512" s="21"/>
      <c r="C512" s="21"/>
      <c r="D512" s="21"/>
      <c r="E512" s="21"/>
      <c r="F512" s="2"/>
      <c r="G512" s="2"/>
      <c r="H512" s="35"/>
      <c r="I512" s="21"/>
      <c r="J512" s="21"/>
      <c r="K512" s="21"/>
      <c r="L512" s="21"/>
      <c r="M512" s="21"/>
      <c r="N512" s="21"/>
      <c r="O512" s="21"/>
      <c r="P512" s="21"/>
      <c r="Q512" s="2"/>
      <c r="R512" s="2"/>
      <c r="S512" s="2"/>
      <c r="T512" s="2"/>
      <c r="U512" s="2"/>
      <c r="V512" s="2"/>
      <c r="W512" s="2"/>
      <c r="X512" s="2"/>
      <c r="Y512" s="2"/>
      <c r="Z512" s="2"/>
      <c r="AA512" s="2"/>
      <c r="AB512" s="2"/>
    </row>
    <row r="513">
      <c r="A513" s="2"/>
      <c r="B513" s="21"/>
      <c r="C513" s="21"/>
      <c r="D513" s="21"/>
      <c r="E513" s="21"/>
      <c r="F513" s="2"/>
      <c r="G513" s="2"/>
      <c r="H513" s="35"/>
      <c r="I513" s="21"/>
      <c r="J513" s="21"/>
      <c r="K513" s="21"/>
      <c r="L513" s="21"/>
      <c r="M513" s="21"/>
      <c r="N513" s="21"/>
      <c r="O513" s="21"/>
      <c r="P513" s="21"/>
      <c r="Q513" s="2"/>
      <c r="R513" s="2"/>
      <c r="S513" s="2"/>
      <c r="T513" s="2"/>
      <c r="U513" s="2"/>
      <c r="V513" s="2"/>
      <c r="W513" s="2"/>
      <c r="X513" s="2"/>
      <c r="Y513" s="2"/>
      <c r="Z513" s="2"/>
      <c r="AA513" s="2"/>
      <c r="AB513" s="2"/>
    </row>
    <row r="514">
      <c r="A514" s="2"/>
      <c r="B514" s="21"/>
      <c r="C514" s="21"/>
      <c r="D514" s="21"/>
      <c r="E514" s="21"/>
      <c r="F514" s="2"/>
      <c r="G514" s="2"/>
      <c r="H514" s="35"/>
      <c r="I514" s="21"/>
      <c r="J514" s="21"/>
      <c r="K514" s="21"/>
      <c r="L514" s="21"/>
      <c r="M514" s="21"/>
      <c r="N514" s="21"/>
      <c r="O514" s="21"/>
      <c r="P514" s="21"/>
      <c r="Q514" s="2"/>
      <c r="R514" s="2"/>
      <c r="S514" s="2"/>
      <c r="T514" s="2"/>
      <c r="U514" s="2"/>
      <c r="V514" s="2"/>
      <c r="W514" s="2"/>
      <c r="X514" s="2"/>
      <c r="Y514" s="2"/>
      <c r="Z514" s="2"/>
      <c r="AA514" s="2"/>
      <c r="AB514" s="2"/>
    </row>
    <row r="515">
      <c r="A515" s="2"/>
      <c r="B515" s="21"/>
      <c r="C515" s="21"/>
      <c r="D515" s="21"/>
      <c r="E515" s="21"/>
      <c r="F515" s="2"/>
      <c r="G515" s="2"/>
      <c r="H515" s="35"/>
      <c r="I515" s="21"/>
      <c r="J515" s="21"/>
      <c r="K515" s="21"/>
      <c r="L515" s="21"/>
      <c r="M515" s="21"/>
      <c r="N515" s="21"/>
      <c r="O515" s="21"/>
      <c r="P515" s="21"/>
      <c r="Q515" s="2"/>
      <c r="R515" s="2"/>
      <c r="S515" s="2"/>
      <c r="T515" s="2"/>
      <c r="U515" s="2"/>
      <c r="V515" s="2"/>
      <c r="W515" s="2"/>
      <c r="X515" s="2"/>
      <c r="Y515" s="2"/>
      <c r="Z515" s="2"/>
      <c r="AA515" s="2"/>
      <c r="AB515" s="2"/>
    </row>
    <row r="516">
      <c r="A516" s="2"/>
      <c r="B516" s="21"/>
      <c r="C516" s="21"/>
      <c r="D516" s="21"/>
      <c r="E516" s="21"/>
      <c r="F516" s="2"/>
      <c r="G516" s="2"/>
      <c r="H516" s="35"/>
      <c r="I516" s="21"/>
      <c r="J516" s="21"/>
      <c r="K516" s="21"/>
      <c r="L516" s="21"/>
      <c r="M516" s="21"/>
      <c r="N516" s="21"/>
      <c r="O516" s="21"/>
      <c r="P516" s="21"/>
      <c r="Q516" s="2"/>
      <c r="R516" s="2"/>
      <c r="S516" s="2"/>
      <c r="T516" s="2"/>
      <c r="U516" s="2"/>
      <c r="V516" s="2"/>
      <c r="W516" s="2"/>
      <c r="X516" s="2"/>
      <c r="Y516" s="2"/>
      <c r="Z516" s="2"/>
      <c r="AA516" s="2"/>
      <c r="AB516" s="2"/>
    </row>
    <row r="517">
      <c r="A517" s="2"/>
      <c r="B517" s="21"/>
      <c r="C517" s="21"/>
      <c r="D517" s="21"/>
      <c r="E517" s="21"/>
      <c r="F517" s="2"/>
      <c r="G517" s="2"/>
      <c r="H517" s="35"/>
      <c r="I517" s="21"/>
      <c r="J517" s="21"/>
      <c r="K517" s="21"/>
      <c r="L517" s="21"/>
      <c r="M517" s="21"/>
      <c r="N517" s="21"/>
      <c r="O517" s="21"/>
      <c r="P517" s="21"/>
      <c r="Q517" s="2"/>
      <c r="R517" s="2"/>
      <c r="S517" s="2"/>
      <c r="T517" s="2"/>
      <c r="U517" s="2"/>
      <c r="V517" s="2"/>
      <c r="W517" s="2"/>
      <c r="X517" s="2"/>
      <c r="Y517" s="2"/>
      <c r="Z517" s="2"/>
      <c r="AA517" s="2"/>
      <c r="AB517" s="2"/>
    </row>
    <row r="518">
      <c r="A518" s="2"/>
      <c r="B518" s="21"/>
      <c r="C518" s="21"/>
      <c r="D518" s="21"/>
      <c r="E518" s="21"/>
      <c r="F518" s="2"/>
      <c r="G518" s="2"/>
      <c r="H518" s="35"/>
      <c r="I518" s="21"/>
      <c r="J518" s="21"/>
      <c r="K518" s="21"/>
      <c r="L518" s="21"/>
      <c r="M518" s="21"/>
      <c r="N518" s="21"/>
      <c r="O518" s="21"/>
      <c r="P518" s="21"/>
      <c r="Q518" s="2"/>
      <c r="R518" s="2"/>
      <c r="S518" s="2"/>
      <c r="T518" s="2"/>
      <c r="U518" s="2"/>
      <c r="V518" s="2"/>
      <c r="W518" s="2"/>
      <c r="X518" s="2"/>
      <c r="Y518" s="2"/>
      <c r="Z518" s="2"/>
      <c r="AA518" s="2"/>
      <c r="AB518" s="2"/>
    </row>
    <row r="519">
      <c r="A519" s="2"/>
      <c r="B519" s="21"/>
      <c r="C519" s="21"/>
      <c r="D519" s="21"/>
      <c r="E519" s="21"/>
      <c r="F519" s="2"/>
      <c r="G519" s="2"/>
      <c r="H519" s="35"/>
      <c r="I519" s="21"/>
      <c r="J519" s="21"/>
      <c r="K519" s="21"/>
      <c r="L519" s="21"/>
      <c r="M519" s="21"/>
      <c r="N519" s="21"/>
      <c r="O519" s="21"/>
      <c r="P519" s="21"/>
      <c r="Q519" s="2"/>
      <c r="R519" s="2"/>
      <c r="S519" s="2"/>
      <c r="T519" s="2"/>
      <c r="U519" s="2"/>
      <c r="V519" s="2"/>
      <c r="W519" s="2"/>
      <c r="X519" s="2"/>
      <c r="Y519" s="2"/>
      <c r="Z519" s="2"/>
      <c r="AA519" s="2"/>
      <c r="AB519" s="2"/>
    </row>
    <row r="520">
      <c r="A520" s="2"/>
      <c r="B520" s="21"/>
      <c r="C520" s="21"/>
      <c r="D520" s="21"/>
      <c r="E520" s="21"/>
      <c r="F520" s="2"/>
      <c r="G520" s="2"/>
      <c r="H520" s="35"/>
      <c r="I520" s="21"/>
      <c r="J520" s="21"/>
      <c r="K520" s="21"/>
      <c r="L520" s="21"/>
      <c r="M520" s="21"/>
      <c r="N520" s="21"/>
      <c r="O520" s="21"/>
      <c r="P520" s="21"/>
      <c r="Q520" s="2"/>
      <c r="R520" s="2"/>
      <c r="S520" s="2"/>
      <c r="T520" s="2"/>
      <c r="U520" s="2"/>
      <c r="V520" s="2"/>
      <c r="W520" s="2"/>
      <c r="X520" s="2"/>
      <c r="Y520" s="2"/>
      <c r="Z520" s="2"/>
      <c r="AA520" s="2"/>
      <c r="AB520" s="2"/>
    </row>
    <row r="521">
      <c r="A521" s="2"/>
      <c r="B521" s="21"/>
      <c r="C521" s="21"/>
      <c r="D521" s="21"/>
      <c r="E521" s="21"/>
      <c r="F521" s="2"/>
      <c r="G521" s="2"/>
      <c r="H521" s="35"/>
      <c r="I521" s="21"/>
      <c r="J521" s="21"/>
      <c r="K521" s="21"/>
      <c r="L521" s="21"/>
      <c r="M521" s="21"/>
      <c r="N521" s="21"/>
      <c r="O521" s="21"/>
      <c r="P521" s="21"/>
      <c r="Q521" s="2"/>
      <c r="R521" s="2"/>
      <c r="S521" s="2"/>
      <c r="T521" s="2"/>
      <c r="U521" s="2"/>
      <c r="V521" s="2"/>
      <c r="W521" s="2"/>
      <c r="X521" s="2"/>
      <c r="Y521" s="2"/>
      <c r="Z521" s="2"/>
      <c r="AA521" s="2"/>
      <c r="AB521" s="2"/>
    </row>
    <row r="522">
      <c r="A522" s="2"/>
      <c r="B522" s="21"/>
      <c r="C522" s="21"/>
      <c r="D522" s="21"/>
      <c r="E522" s="21"/>
      <c r="F522" s="2"/>
      <c r="G522" s="2"/>
      <c r="H522" s="35"/>
      <c r="I522" s="21"/>
      <c r="J522" s="21"/>
      <c r="K522" s="21"/>
      <c r="L522" s="21"/>
      <c r="M522" s="21"/>
      <c r="N522" s="21"/>
      <c r="O522" s="21"/>
      <c r="P522" s="21"/>
      <c r="Q522" s="2"/>
      <c r="R522" s="2"/>
      <c r="S522" s="2"/>
      <c r="T522" s="2"/>
      <c r="U522" s="2"/>
      <c r="V522" s="2"/>
      <c r="W522" s="2"/>
      <c r="X522" s="2"/>
      <c r="Y522" s="2"/>
      <c r="Z522" s="2"/>
      <c r="AA522" s="2"/>
      <c r="AB522" s="2"/>
    </row>
    <row r="523">
      <c r="A523" s="2"/>
      <c r="B523" s="21"/>
      <c r="C523" s="21"/>
      <c r="D523" s="21"/>
      <c r="E523" s="21"/>
      <c r="F523" s="2"/>
      <c r="G523" s="2"/>
      <c r="H523" s="35"/>
      <c r="I523" s="21"/>
      <c r="J523" s="21"/>
      <c r="K523" s="21"/>
      <c r="L523" s="21"/>
      <c r="M523" s="21"/>
      <c r="N523" s="21"/>
      <c r="O523" s="21"/>
      <c r="P523" s="21"/>
      <c r="Q523" s="2"/>
      <c r="R523" s="2"/>
      <c r="S523" s="2"/>
      <c r="T523" s="2"/>
      <c r="U523" s="2"/>
      <c r="V523" s="2"/>
      <c r="W523" s="2"/>
      <c r="X523" s="2"/>
      <c r="Y523" s="2"/>
      <c r="Z523" s="2"/>
      <c r="AA523" s="2"/>
      <c r="AB523" s="2"/>
    </row>
    <row r="524">
      <c r="A524" s="2"/>
      <c r="B524" s="21"/>
      <c r="C524" s="21"/>
      <c r="D524" s="21"/>
      <c r="E524" s="21"/>
      <c r="F524" s="2"/>
      <c r="G524" s="2"/>
      <c r="H524" s="35"/>
      <c r="I524" s="21"/>
      <c r="J524" s="21"/>
      <c r="K524" s="21"/>
      <c r="L524" s="21"/>
      <c r="M524" s="21"/>
      <c r="N524" s="21"/>
      <c r="O524" s="21"/>
      <c r="P524" s="21"/>
      <c r="Q524" s="2"/>
      <c r="R524" s="2"/>
      <c r="S524" s="2"/>
      <c r="T524" s="2"/>
      <c r="U524" s="2"/>
      <c r="V524" s="2"/>
      <c r="W524" s="2"/>
      <c r="X524" s="2"/>
      <c r="Y524" s="2"/>
      <c r="Z524" s="2"/>
      <c r="AA524" s="2"/>
      <c r="AB524" s="2"/>
    </row>
    <row r="525">
      <c r="A525" s="2"/>
      <c r="B525" s="21"/>
      <c r="C525" s="21"/>
      <c r="D525" s="21"/>
      <c r="E525" s="21"/>
      <c r="F525" s="2"/>
      <c r="G525" s="2"/>
      <c r="H525" s="35"/>
      <c r="I525" s="21"/>
      <c r="J525" s="21"/>
      <c r="K525" s="21"/>
      <c r="L525" s="21"/>
      <c r="M525" s="21"/>
      <c r="N525" s="21"/>
      <c r="O525" s="21"/>
      <c r="P525" s="21"/>
      <c r="Q525" s="2"/>
      <c r="R525" s="2"/>
      <c r="S525" s="2"/>
      <c r="T525" s="2"/>
      <c r="U525" s="2"/>
      <c r="V525" s="2"/>
      <c r="W525" s="2"/>
      <c r="X525" s="2"/>
      <c r="Y525" s="2"/>
      <c r="Z525" s="2"/>
      <c r="AA525" s="2"/>
      <c r="AB525" s="2"/>
    </row>
    <row r="526">
      <c r="A526" s="2"/>
      <c r="B526" s="21"/>
      <c r="C526" s="21"/>
      <c r="D526" s="21"/>
      <c r="E526" s="21"/>
      <c r="F526" s="2"/>
      <c r="G526" s="2"/>
      <c r="H526" s="35"/>
      <c r="I526" s="21"/>
      <c r="J526" s="21"/>
      <c r="K526" s="21"/>
      <c r="L526" s="21"/>
      <c r="M526" s="21"/>
      <c r="N526" s="21"/>
      <c r="O526" s="21"/>
      <c r="P526" s="21"/>
      <c r="Q526" s="2"/>
      <c r="R526" s="2"/>
      <c r="S526" s="2"/>
      <c r="T526" s="2"/>
      <c r="U526" s="2"/>
      <c r="V526" s="2"/>
      <c r="W526" s="2"/>
      <c r="X526" s="2"/>
      <c r="Y526" s="2"/>
      <c r="Z526" s="2"/>
      <c r="AA526" s="2"/>
      <c r="AB526" s="2"/>
    </row>
    <row r="527">
      <c r="A527" s="2"/>
      <c r="B527" s="21"/>
      <c r="C527" s="21"/>
      <c r="D527" s="21"/>
      <c r="E527" s="21"/>
      <c r="F527" s="2"/>
      <c r="G527" s="2"/>
      <c r="H527" s="35"/>
      <c r="I527" s="21"/>
      <c r="J527" s="21"/>
      <c r="K527" s="21"/>
      <c r="L527" s="21"/>
      <c r="M527" s="21"/>
      <c r="N527" s="21"/>
      <c r="O527" s="21"/>
      <c r="P527" s="21"/>
      <c r="Q527" s="2"/>
      <c r="R527" s="2"/>
      <c r="S527" s="2"/>
      <c r="T527" s="2"/>
      <c r="U527" s="2"/>
      <c r="V527" s="2"/>
      <c r="W527" s="2"/>
      <c r="X527" s="2"/>
      <c r="Y527" s="2"/>
      <c r="Z527" s="2"/>
      <c r="AA527" s="2"/>
      <c r="AB527" s="2"/>
    </row>
    <row r="528">
      <c r="A528" s="2"/>
      <c r="B528" s="21"/>
      <c r="C528" s="21"/>
      <c r="D528" s="21"/>
      <c r="E528" s="21"/>
      <c r="F528" s="2"/>
      <c r="G528" s="2"/>
      <c r="H528" s="35"/>
      <c r="I528" s="21"/>
      <c r="J528" s="21"/>
      <c r="K528" s="21"/>
      <c r="L528" s="21"/>
      <c r="M528" s="21"/>
      <c r="N528" s="21"/>
      <c r="O528" s="21"/>
      <c r="P528" s="21"/>
      <c r="Q528" s="2"/>
      <c r="R528" s="2"/>
      <c r="S528" s="2"/>
      <c r="T528" s="2"/>
      <c r="U528" s="2"/>
      <c r="V528" s="2"/>
      <c r="W528" s="2"/>
      <c r="X528" s="2"/>
      <c r="Y528" s="2"/>
      <c r="Z528" s="2"/>
      <c r="AA528" s="2"/>
      <c r="AB528" s="2"/>
    </row>
    <row r="529">
      <c r="A529" s="2"/>
      <c r="B529" s="21"/>
      <c r="C529" s="21"/>
      <c r="D529" s="21"/>
      <c r="E529" s="21"/>
      <c r="F529" s="2"/>
      <c r="G529" s="2"/>
      <c r="H529" s="35"/>
      <c r="I529" s="21"/>
      <c r="J529" s="21"/>
      <c r="K529" s="21"/>
      <c r="L529" s="21"/>
      <c r="M529" s="21"/>
      <c r="N529" s="21"/>
      <c r="O529" s="21"/>
      <c r="P529" s="21"/>
      <c r="Q529" s="2"/>
      <c r="R529" s="2"/>
      <c r="S529" s="2"/>
      <c r="T529" s="2"/>
      <c r="U529" s="2"/>
      <c r="V529" s="2"/>
      <c r="W529" s="2"/>
      <c r="X529" s="2"/>
      <c r="Y529" s="2"/>
      <c r="Z529" s="2"/>
      <c r="AA529" s="2"/>
      <c r="AB529" s="2"/>
    </row>
    <row r="530">
      <c r="A530" s="2"/>
      <c r="B530" s="21"/>
      <c r="C530" s="21"/>
      <c r="D530" s="21"/>
      <c r="E530" s="21"/>
      <c r="F530" s="2"/>
      <c r="G530" s="2"/>
      <c r="H530" s="35"/>
      <c r="I530" s="21"/>
      <c r="J530" s="21"/>
      <c r="K530" s="21"/>
      <c r="L530" s="21"/>
      <c r="M530" s="21"/>
      <c r="N530" s="21"/>
      <c r="O530" s="21"/>
      <c r="P530" s="21"/>
      <c r="Q530" s="2"/>
      <c r="R530" s="2"/>
      <c r="S530" s="2"/>
      <c r="T530" s="2"/>
      <c r="U530" s="2"/>
      <c r="V530" s="2"/>
      <c r="W530" s="2"/>
      <c r="X530" s="2"/>
      <c r="Y530" s="2"/>
      <c r="Z530" s="2"/>
      <c r="AA530" s="2"/>
      <c r="AB530" s="2"/>
    </row>
    <row r="531">
      <c r="A531" s="2"/>
      <c r="B531" s="21"/>
      <c r="C531" s="21"/>
      <c r="D531" s="21"/>
      <c r="E531" s="21"/>
      <c r="F531" s="2"/>
      <c r="G531" s="2"/>
      <c r="H531" s="35"/>
      <c r="I531" s="21"/>
      <c r="J531" s="21"/>
      <c r="K531" s="21"/>
      <c r="L531" s="21"/>
      <c r="M531" s="21"/>
      <c r="N531" s="21"/>
      <c r="O531" s="21"/>
      <c r="P531" s="21"/>
      <c r="Q531" s="2"/>
      <c r="R531" s="2"/>
      <c r="S531" s="2"/>
      <c r="T531" s="2"/>
      <c r="U531" s="2"/>
      <c r="V531" s="2"/>
      <c r="W531" s="2"/>
      <c r="X531" s="2"/>
      <c r="Y531" s="2"/>
      <c r="Z531" s="2"/>
      <c r="AA531" s="2"/>
      <c r="AB531" s="2"/>
    </row>
    <row r="532">
      <c r="A532" s="2"/>
      <c r="B532" s="21"/>
      <c r="C532" s="21"/>
      <c r="D532" s="21"/>
      <c r="E532" s="21"/>
      <c r="F532" s="2"/>
      <c r="G532" s="2"/>
      <c r="H532" s="35"/>
      <c r="I532" s="21"/>
      <c r="J532" s="21"/>
      <c r="K532" s="21"/>
      <c r="L532" s="21"/>
      <c r="M532" s="21"/>
      <c r="N532" s="21"/>
      <c r="O532" s="21"/>
      <c r="P532" s="21"/>
      <c r="Q532" s="2"/>
      <c r="R532" s="2"/>
      <c r="S532" s="2"/>
      <c r="T532" s="2"/>
      <c r="U532" s="2"/>
      <c r="V532" s="2"/>
      <c r="W532" s="2"/>
      <c r="X532" s="2"/>
      <c r="Y532" s="2"/>
      <c r="Z532" s="2"/>
      <c r="AA532" s="2"/>
      <c r="AB532" s="2"/>
    </row>
    <row r="533">
      <c r="A533" s="2"/>
      <c r="B533" s="21"/>
      <c r="C533" s="21"/>
      <c r="D533" s="21"/>
      <c r="E533" s="21"/>
      <c r="F533" s="2"/>
      <c r="G533" s="2"/>
      <c r="H533" s="35"/>
      <c r="I533" s="21"/>
      <c r="J533" s="21"/>
      <c r="K533" s="21"/>
      <c r="L533" s="21"/>
      <c r="M533" s="21"/>
      <c r="N533" s="21"/>
      <c r="O533" s="21"/>
      <c r="P533" s="21"/>
      <c r="Q533" s="2"/>
      <c r="R533" s="2"/>
      <c r="S533" s="2"/>
      <c r="T533" s="2"/>
      <c r="U533" s="2"/>
      <c r="V533" s="2"/>
      <c r="W533" s="2"/>
      <c r="X533" s="2"/>
      <c r="Y533" s="2"/>
      <c r="Z533" s="2"/>
      <c r="AA533" s="2"/>
      <c r="AB533" s="2"/>
    </row>
    <row r="534">
      <c r="A534" s="2"/>
      <c r="B534" s="21"/>
      <c r="C534" s="21"/>
      <c r="D534" s="21"/>
      <c r="E534" s="21"/>
      <c r="F534" s="2"/>
      <c r="G534" s="2"/>
      <c r="H534" s="35"/>
      <c r="I534" s="21"/>
      <c r="J534" s="21"/>
      <c r="K534" s="21"/>
      <c r="L534" s="21"/>
      <c r="M534" s="21"/>
      <c r="N534" s="21"/>
      <c r="O534" s="21"/>
      <c r="P534" s="21"/>
      <c r="Q534" s="2"/>
      <c r="R534" s="2"/>
      <c r="S534" s="2"/>
      <c r="T534" s="2"/>
      <c r="U534" s="2"/>
      <c r="V534" s="2"/>
      <c r="W534" s="2"/>
      <c r="X534" s="2"/>
      <c r="Y534" s="2"/>
      <c r="Z534" s="2"/>
      <c r="AA534" s="2"/>
      <c r="AB534" s="2"/>
    </row>
    <row r="535">
      <c r="A535" s="2"/>
      <c r="B535" s="21"/>
      <c r="C535" s="21"/>
      <c r="D535" s="21"/>
      <c r="E535" s="21"/>
      <c r="F535" s="2"/>
      <c r="G535" s="2"/>
      <c r="H535" s="35"/>
      <c r="I535" s="21"/>
      <c r="J535" s="21"/>
      <c r="K535" s="21"/>
      <c r="L535" s="21"/>
      <c r="M535" s="21"/>
      <c r="N535" s="21"/>
      <c r="O535" s="21"/>
      <c r="P535" s="21"/>
      <c r="Q535" s="2"/>
      <c r="R535" s="2"/>
      <c r="S535" s="2"/>
      <c r="T535" s="2"/>
      <c r="U535" s="2"/>
      <c r="V535" s="2"/>
      <c r="W535" s="2"/>
      <c r="X535" s="2"/>
      <c r="Y535" s="2"/>
      <c r="Z535" s="2"/>
      <c r="AA535" s="2"/>
      <c r="AB535" s="2"/>
    </row>
    <row r="536">
      <c r="A536" s="2"/>
      <c r="B536" s="21"/>
      <c r="C536" s="21"/>
      <c r="D536" s="21"/>
      <c r="E536" s="21"/>
      <c r="F536" s="2"/>
      <c r="G536" s="2"/>
      <c r="H536" s="35"/>
      <c r="I536" s="21"/>
      <c r="J536" s="21"/>
      <c r="K536" s="21"/>
      <c r="L536" s="21"/>
      <c r="M536" s="21"/>
      <c r="N536" s="21"/>
      <c r="O536" s="21"/>
      <c r="P536" s="21"/>
      <c r="Q536" s="2"/>
      <c r="R536" s="2"/>
      <c r="S536" s="2"/>
      <c r="T536" s="2"/>
      <c r="U536" s="2"/>
      <c r="V536" s="2"/>
      <c r="W536" s="2"/>
      <c r="X536" s="2"/>
      <c r="Y536" s="2"/>
      <c r="Z536" s="2"/>
      <c r="AA536" s="2"/>
      <c r="AB536" s="2"/>
    </row>
    <row r="537">
      <c r="A537" s="2"/>
      <c r="B537" s="21"/>
      <c r="C537" s="21"/>
      <c r="D537" s="21"/>
      <c r="E537" s="21"/>
      <c r="F537" s="2"/>
      <c r="G537" s="2"/>
      <c r="H537" s="35"/>
      <c r="I537" s="21"/>
      <c r="J537" s="21"/>
      <c r="K537" s="21"/>
      <c r="L537" s="21"/>
      <c r="M537" s="21"/>
      <c r="N537" s="21"/>
      <c r="O537" s="21"/>
      <c r="P537" s="21"/>
      <c r="Q537" s="2"/>
      <c r="R537" s="2"/>
      <c r="S537" s="2"/>
      <c r="T537" s="2"/>
      <c r="U537" s="2"/>
      <c r="V537" s="2"/>
      <c r="W537" s="2"/>
      <c r="X537" s="2"/>
      <c r="Y537" s="2"/>
      <c r="Z537" s="2"/>
      <c r="AA537" s="2"/>
      <c r="AB537" s="2"/>
    </row>
    <row r="538">
      <c r="A538" s="2"/>
      <c r="B538" s="21"/>
      <c r="C538" s="21"/>
      <c r="D538" s="21"/>
      <c r="E538" s="21"/>
      <c r="F538" s="2"/>
      <c r="G538" s="2"/>
      <c r="H538" s="35"/>
      <c r="I538" s="21"/>
      <c r="J538" s="21"/>
      <c r="K538" s="21"/>
      <c r="L538" s="21"/>
      <c r="M538" s="21"/>
      <c r="N538" s="21"/>
      <c r="O538" s="21"/>
      <c r="P538" s="21"/>
      <c r="Q538" s="2"/>
      <c r="R538" s="2"/>
      <c r="S538" s="2"/>
      <c r="T538" s="2"/>
      <c r="U538" s="2"/>
      <c r="V538" s="2"/>
      <c r="W538" s="2"/>
      <c r="X538" s="2"/>
      <c r="Y538" s="2"/>
      <c r="Z538" s="2"/>
      <c r="AA538" s="2"/>
      <c r="AB538" s="2"/>
    </row>
    <row r="539">
      <c r="A539" s="2"/>
      <c r="B539" s="21"/>
      <c r="C539" s="21"/>
      <c r="D539" s="21"/>
      <c r="E539" s="21"/>
      <c r="F539" s="2"/>
      <c r="G539" s="2"/>
      <c r="H539" s="35"/>
      <c r="I539" s="21"/>
      <c r="J539" s="21"/>
      <c r="K539" s="21"/>
      <c r="L539" s="21"/>
      <c r="M539" s="21"/>
      <c r="N539" s="21"/>
      <c r="O539" s="21"/>
      <c r="P539" s="21"/>
      <c r="Q539" s="2"/>
      <c r="R539" s="2"/>
      <c r="S539" s="2"/>
      <c r="T539" s="2"/>
      <c r="U539" s="2"/>
      <c r="V539" s="2"/>
      <c r="W539" s="2"/>
      <c r="X539" s="2"/>
      <c r="Y539" s="2"/>
      <c r="Z539" s="2"/>
      <c r="AA539" s="2"/>
      <c r="AB539" s="2"/>
    </row>
    <row r="540">
      <c r="A540" s="2"/>
      <c r="B540" s="21"/>
      <c r="C540" s="21"/>
      <c r="D540" s="21"/>
      <c r="E540" s="21"/>
      <c r="F540" s="2"/>
      <c r="G540" s="2"/>
      <c r="H540" s="35"/>
      <c r="I540" s="21"/>
      <c r="J540" s="21"/>
      <c r="K540" s="21"/>
      <c r="L540" s="21"/>
      <c r="M540" s="21"/>
      <c r="N540" s="21"/>
      <c r="O540" s="21"/>
      <c r="P540" s="21"/>
      <c r="Q540" s="2"/>
      <c r="R540" s="2"/>
      <c r="S540" s="2"/>
      <c r="T540" s="2"/>
      <c r="U540" s="2"/>
      <c r="V540" s="2"/>
      <c r="W540" s="2"/>
      <c r="X540" s="2"/>
      <c r="Y540" s="2"/>
      <c r="Z540" s="2"/>
      <c r="AA540" s="2"/>
      <c r="AB540" s="2"/>
    </row>
    <row r="541">
      <c r="A541" s="2"/>
      <c r="B541" s="21"/>
      <c r="C541" s="21"/>
      <c r="D541" s="21"/>
      <c r="E541" s="21"/>
      <c r="F541" s="2"/>
      <c r="G541" s="2"/>
      <c r="H541" s="35"/>
      <c r="I541" s="21"/>
      <c r="J541" s="21"/>
      <c r="K541" s="21"/>
      <c r="L541" s="21"/>
      <c r="M541" s="21"/>
      <c r="N541" s="21"/>
      <c r="O541" s="21"/>
      <c r="P541" s="21"/>
      <c r="Q541" s="2"/>
      <c r="R541" s="2"/>
      <c r="S541" s="2"/>
      <c r="T541" s="2"/>
      <c r="U541" s="2"/>
      <c r="V541" s="2"/>
      <c r="W541" s="2"/>
      <c r="X541" s="2"/>
      <c r="Y541" s="2"/>
      <c r="Z541" s="2"/>
      <c r="AA541" s="2"/>
      <c r="AB541" s="2"/>
    </row>
    <row r="542">
      <c r="A542" s="2"/>
      <c r="B542" s="21"/>
      <c r="C542" s="21"/>
      <c r="D542" s="21"/>
      <c r="E542" s="21"/>
      <c r="F542" s="2"/>
      <c r="G542" s="2"/>
      <c r="H542" s="35"/>
      <c r="I542" s="21"/>
      <c r="J542" s="21"/>
      <c r="K542" s="21"/>
      <c r="L542" s="21"/>
      <c r="M542" s="21"/>
      <c r="N542" s="21"/>
      <c r="O542" s="21"/>
      <c r="P542" s="21"/>
      <c r="Q542" s="2"/>
      <c r="R542" s="2"/>
      <c r="S542" s="2"/>
      <c r="T542" s="2"/>
      <c r="U542" s="2"/>
      <c r="V542" s="2"/>
      <c r="W542" s="2"/>
      <c r="X542" s="2"/>
      <c r="Y542" s="2"/>
      <c r="Z542" s="2"/>
      <c r="AA542" s="2"/>
      <c r="AB542" s="2"/>
    </row>
    <row r="543">
      <c r="A543" s="2"/>
      <c r="B543" s="21"/>
      <c r="C543" s="21"/>
      <c r="D543" s="21"/>
      <c r="E543" s="21"/>
      <c r="F543" s="2"/>
      <c r="G543" s="2"/>
      <c r="H543" s="35"/>
      <c r="I543" s="21"/>
      <c r="J543" s="21"/>
      <c r="K543" s="21"/>
      <c r="L543" s="21"/>
      <c r="M543" s="21"/>
      <c r="N543" s="21"/>
      <c r="O543" s="21"/>
      <c r="P543" s="21"/>
      <c r="Q543" s="2"/>
      <c r="R543" s="2"/>
      <c r="S543" s="2"/>
      <c r="T543" s="2"/>
      <c r="U543" s="2"/>
      <c r="V543" s="2"/>
      <c r="W543" s="2"/>
      <c r="X543" s="2"/>
      <c r="Y543" s="2"/>
      <c r="Z543" s="2"/>
      <c r="AA543" s="2"/>
      <c r="AB543" s="2"/>
    </row>
    <row r="544">
      <c r="A544" s="2"/>
      <c r="B544" s="21"/>
      <c r="C544" s="21"/>
      <c r="D544" s="21"/>
      <c r="E544" s="21"/>
      <c r="F544" s="2"/>
      <c r="G544" s="2"/>
      <c r="H544" s="35"/>
      <c r="I544" s="21"/>
      <c r="J544" s="21"/>
      <c r="K544" s="21"/>
      <c r="L544" s="21"/>
      <c r="M544" s="21"/>
      <c r="N544" s="21"/>
      <c r="O544" s="21"/>
      <c r="P544" s="21"/>
      <c r="Q544" s="2"/>
      <c r="R544" s="2"/>
      <c r="S544" s="2"/>
      <c r="T544" s="2"/>
      <c r="U544" s="2"/>
      <c r="V544" s="2"/>
      <c r="W544" s="2"/>
      <c r="X544" s="2"/>
      <c r="Y544" s="2"/>
      <c r="Z544" s="2"/>
      <c r="AA544" s="2"/>
      <c r="AB544" s="2"/>
    </row>
    <row r="545">
      <c r="A545" s="2"/>
      <c r="B545" s="21"/>
      <c r="C545" s="21"/>
      <c r="D545" s="21"/>
      <c r="E545" s="21"/>
      <c r="F545" s="2"/>
      <c r="G545" s="2"/>
      <c r="H545" s="35"/>
      <c r="I545" s="21"/>
      <c r="J545" s="21"/>
      <c r="K545" s="21"/>
      <c r="L545" s="21"/>
      <c r="M545" s="21"/>
      <c r="N545" s="21"/>
      <c r="O545" s="21"/>
      <c r="P545" s="21"/>
      <c r="Q545" s="2"/>
      <c r="R545" s="2"/>
      <c r="S545" s="2"/>
      <c r="T545" s="2"/>
      <c r="U545" s="2"/>
      <c r="V545" s="2"/>
      <c r="W545" s="2"/>
      <c r="X545" s="2"/>
      <c r="Y545" s="2"/>
      <c r="Z545" s="2"/>
      <c r="AA545" s="2"/>
      <c r="AB545" s="2"/>
    </row>
    <row r="546">
      <c r="A546" s="2"/>
      <c r="B546" s="21"/>
      <c r="C546" s="21"/>
      <c r="D546" s="21"/>
      <c r="E546" s="21"/>
      <c r="F546" s="2"/>
      <c r="G546" s="2"/>
      <c r="H546" s="35"/>
      <c r="I546" s="21"/>
      <c r="J546" s="21"/>
      <c r="K546" s="21"/>
      <c r="L546" s="21"/>
      <c r="M546" s="21"/>
      <c r="N546" s="21"/>
      <c r="O546" s="21"/>
      <c r="P546" s="21"/>
      <c r="Q546" s="2"/>
      <c r="R546" s="2"/>
      <c r="S546" s="2"/>
      <c r="T546" s="2"/>
      <c r="U546" s="2"/>
      <c r="V546" s="2"/>
      <c r="W546" s="2"/>
      <c r="X546" s="2"/>
      <c r="Y546" s="2"/>
      <c r="Z546" s="2"/>
      <c r="AA546" s="2"/>
      <c r="AB546" s="2"/>
    </row>
    <row r="547">
      <c r="A547" s="2"/>
      <c r="B547" s="21"/>
      <c r="C547" s="21"/>
      <c r="D547" s="21"/>
      <c r="E547" s="21"/>
      <c r="F547" s="2"/>
      <c r="G547" s="2"/>
      <c r="H547" s="35"/>
      <c r="I547" s="21"/>
      <c r="J547" s="21"/>
      <c r="K547" s="21"/>
      <c r="L547" s="21"/>
      <c r="M547" s="21"/>
      <c r="N547" s="21"/>
      <c r="O547" s="21"/>
      <c r="P547" s="21"/>
      <c r="Q547" s="2"/>
      <c r="R547" s="2"/>
      <c r="S547" s="2"/>
      <c r="T547" s="2"/>
      <c r="U547" s="2"/>
      <c r="V547" s="2"/>
      <c r="W547" s="2"/>
      <c r="X547" s="2"/>
      <c r="Y547" s="2"/>
      <c r="Z547" s="2"/>
      <c r="AA547" s="2"/>
      <c r="AB547" s="2"/>
    </row>
    <row r="548">
      <c r="A548" s="2"/>
      <c r="B548" s="21"/>
      <c r="C548" s="21"/>
      <c r="D548" s="21"/>
      <c r="E548" s="21"/>
      <c r="F548" s="2"/>
      <c r="G548" s="2"/>
      <c r="H548" s="35"/>
      <c r="I548" s="21"/>
      <c r="J548" s="21"/>
      <c r="K548" s="21"/>
      <c r="L548" s="21"/>
      <c r="M548" s="21"/>
      <c r="N548" s="21"/>
      <c r="O548" s="21"/>
      <c r="P548" s="21"/>
      <c r="Q548" s="2"/>
      <c r="R548" s="2"/>
      <c r="S548" s="2"/>
      <c r="T548" s="2"/>
      <c r="U548" s="2"/>
      <c r="V548" s="2"/>
      <c r="W548" s="2"/>
      <c r="X548" s="2"/>
      <c r="Y548" s="2"/>
      <c r="Z548" s="2"/>
      <c r="AA548" s="2"/>
      <c r="AB548" s="2"/>
    </row>
    <row r="549">
      <c r="A549" s="2"/>
      <c r="B549" s="21"/>
      <c r="C549" s="21"/>
      <c r="D549" s="21"/>
      <c r="E549" s="21"/>
      <c r="F549" s="2"/>
      <c r="G549" s="2"/>
      <c r="H549" s="35"/>
      <c r="I549" s="21"/>
      <c r="J549" s="21"/>
      <c r="K549" s="21"/>
      <c r="L549" s="21"/>
      <c r="M549" s="21"/>
      <c r="N549" s="21"/>
      <c r="O549" s="21"/>
      <c r="P549" s="21"/>
      <c r="Q549" s="2"/>
      <c r="R549" s="2"/>
      <c r="S549" s="2"/>
      <c r="T549" s="2"/>
      <c r="U549" s="2"/>
      <c r="V549" s="2"/>
      <c r="W549" s="2"/>
      <c r="X549" s="2"/>
      <c r="Y549" s="2"/>
      <c r="Z549" s="2"/>
      <c r="AA549" s="2"/>
      <c r="AB549" s="2"/>
    </row>
    <row r="550">
      <c r="A550" s="2"/>
      <c r="B550" s="21"/>
      <c r="C550" s="21"/>
      <c r="D550" s="21"/>
      <c r="E550" s="21"/>
      <c r="F550" s="2"/>
      <c r="G550" s="2"/>
      <c r="H550" s="35"/>
      <c r="I550" s="21"/>
      <c r="J550" s="21"/>
      <c r="K550" s="21"/>
      <c r="L550" s="21"/>
      <c r="M550" s="21"/>
      <c r="N550" s="21"/>
      <c r="O550" s="21"/>
      <c r="P550" s="21"/>
      <c r="Q550" s="2"/>
      <c r="R550" s="2"/>
      <c r="S550" s="2"/>
      <c r="T550" s="2"/>
      <c r="U550" s="2"/>
      <c r="V550" s="2"/>
      <c r="W550" s="2"/>
      <c r="X550" s="2"/>
      <c r="Y550" s="2"/>
      <c r="Z550" s="2"/>
      <c r="AA550" s="2"/>
      <c r="AB550" s="2"/>
    </row>
    <row r="551">
      <c r="A551" s="2"/>
      <c r="B551" s="21"/>
      <c r="C551" s="21"/>
      <c r="D551" s="21"/>
      <c r="E551" s="21"/>
      <c r="F551" s="2"/>
      <c r="G551" s="2"/>
      <c r="H551" s="35"/>
      <c r="I551" s="21"/>
      <c r="J551" s="21"/>
      <c r="K551" s="21"/>
      <c r="L551" s="21"/>
      <c r="M551" s="21"/>
      <c r="N551" s="21"/>
      <c r="O551" s="21"/>
      <c r="P551" s="21"/>
      <c r="Q551" s="2"/>
      <c r="R551" s="2"/>
      <c r="S551" s="2"/>
      <c r="T551" s="2"/>
      <c r="U551" s="2"/>
      <c r="V551" s="2"/>
      <c r="W551" s="2"/>
      <c r="X551" s="2"/>
      <c r="Y551" s="2"/>
      <c r="Z551" s="2"/>
      <c r="AA551" s="2"/>
      <c r="AB551" s="2"/>
    </row>
    <row r="552">
      <c r="A552" s="2"/>
      <c r="B552" s="21"/>
      <c r="C552" s="21"/>
      <c r="D552" s="21"/>
      <c r="E552" s="21"/>
      <c r="F552" s="2"/>
      <c r="G552" s="2"/>
      <c r="H552" s="35"/>
      <c r="I552" s="21"/>
      <c r="J552" s="21"/>
      <c r="K552" s="21"/>
      <c r="L552" s="21"/>
      <c r="M552" s="21"/>
      <c r="N552" s="21"/>
      <c r="O552" s="21"/>
      <c r="P552" s="21"/>
      <c r="Q552" s="2"/>
      <c r="R552" s="2"/>
      <c r="S552" s="2"/>
      <c r="T552" s="2"/>
      <c r="U552" s="2"/>
      <c r="V552" s="2"/>
      <c r="W552" s="2"/>
      <c r="X552" s="2"/>
      <c r="Y552" s="2"/>
      <c r="Z552" s="2"/>
      <c r="AA552" s="2"/>
      <c r="AB552" s="2"/>
    </row>
    <row r="553">
      <c r="A553" s="2"/>
      <c r="B553" s="21"/>
      <c r="C553" s="21"/>
      <c r="D553" s="21"/>
      <c r="E553" s="21"/>
      <c r="F553" s="2"/>
      <c r="G553" s="2"/>
      <c r="H553" s="35"/>
      <c r="I553" s="21"/>
      <c r="J553" s="21"/>
      <c r="K553" s="21"/>
      <c r="L553" s="21"/>
      <c r="M553" s="21"/>
      <c r="N553" s="21"/>
      <c r="O553" s="21"/>
      <c r="P553" s="21"/>
      <c r="Q553" s="2"/>
      <c r="R553" s="2"/>
      <c r="S553" s="2"/>
      <c r="T553" s="2"/>
      <c r="U553" s="2"/>
      <c r="V553" s="2"/>
      <c r="W553" s="2"/>
      <c r="X553" s="2"/>
      <c r="Y553" s="2"/>
      <c r="Z553" s="2"/>
      <c r="AA553" s="2"/>
      <c r="AB553" s="2"/>
    </row>
    <row r="554">
      <c r="A554" s="2"/>
      <c r="B554" s="21"/>
      <c r="C554" s="21"/>
      <c r="D554" s="21"/>
      <c r="E554" s="21"/>
      <c r="F554" s="2"/>
      <c r="G554" s="2"/>
      <c r="H554" s="35"/>
      <c r="I554" s="21"/>
      <c r="J554" s="21"/>
      <c r="K554" s="21"/>
      <c r="L554" s="21"/>
      <c r="M554" s="21"/>
      <c r="N554" s="21"/>
      <c r="O554" s="21"/>
      <c r="P554" s="21"/>
      <c r="Q554" s="2"/>
      <c r="R554" s="2"/>
      <c r="S554" s="2"/>
      <c r="T554" s="2"/>
      <c r="U554" s="2"/>
      <c r="V554" s="2"/>
      <c r="W554" s="2"/>
      <c r="X554" s="2"/>
      <c r="Y554" s="2"/>
      <c r="Z554" s="2"/>
      <c r="AA554" s="2"/>
      <c r="AB554" s="2"/>
    </row>
    <row r="555">
      <c r="A555" s="2"/>
      <c r="B555" s="21"/>
      <c r="C555" s="21"/>
      <c r="D555" s="21"/>
      <c r="E555" s="21"/>
      <c r="F555" s="2"/>
      <c r="G555" s="2"/>
      <c r="H555" s="35"/>
      <c r="I555" s="21"/>
      <c r="J555" s="21"/>
      <c r="K555" s="21"/>
      <c r="L555" s="21"/>
      <c r="M555" s="21"/>
      <c r="N555" s="21"/>
      <c r="O555" s="21"/>
      <c r="P555" s="21"/>
      <c r="Q555" s="2"/>
      <c r="R555" s="2"/>
      <c r="S555" s="2"/>
      <c r="T555" s="2"/>
      <c r="U555" s="2"/>
      <c r="V555" s="2"/>
      <c r="W555" s="2"/>
      <c r="X555" s="2"/>
      <c r="Y555" s="2"/>
      <c r="Z555" s="2"/>
      <c r="AA555" s="2"/>
      <c r="AB555" s="2"/>
    </row>
    <row r="556">
      <c r="A556" s="2"/>
      <c r="B556" s="21"/>
      <c r="C556" s="21"/>
      <c r="D556" s="21"/>
      <c r="E556" s="21"/>
      <c r="F556" s="2"/>
      <c r="G556" s="2"/>
      <c r="H556" s="35"/>
      <c r="I556" s="21"/>
      <c r="J556" s="21"/>
      <c r="K556" s="21"/>
      <c r="L556" s="21"/>
      <c r="M556" s="21"/>
      <c r="N556" s="21"/>
      <c r="O556" s="21"/>
      <c r="P556" s="21"/>
      <c r="Q556" s="2"/>
      <c r="R556" s="2"/>
      <c r="S556" s="2"/>
      <c r="T556" s="2"/>
      <c r="U556" s="2"/>
      <c r="V556" s="2"/>
      <c r="W556" s="2"/>
      <c r="X556" s="2"/>
      <c r="Y556" s="2"/>
      <c r="Z556" s="2"/>
      <c r="AA556" s="2"/>
      <c r="AB556" s="2"/>
    </row>
    <row r="557">
      <c r="A557" s="2"/>
      <c r="B557" s="21"/>
      <c r="C557" s="21"/>
      <c r="D557" s="21"/>
      <c r="E557" s="21"/>
      <c r="F557" s="2"/>
      <c r="G557" s="2"/>
      <c r="H557" s="35"/>
      <c r="I557" s="21"/>
      <c r="J557" s="21"/>
      <c r="K557" s="21"/>
      <c r="L557" s="21"/>
      <c r="M557" s="21"/>
      <c r="N557" s="21"/>
      <c r="O557" s="21"/>
      <c r="P557" s="21"/>
      <c r="Q557" s="2"/>
      <c r="R557" s="2"/>
      <c r="S557" s="2"/>
      <c r="T557" s="2"/>
      <c r="U557" s="2"/>
      <c r="V557" s="2"/>
      <c r="W557" s="2"/>
      <c r="X557" s="2"/>
      <c r="Y557" s="2"/>
      <c r="Z557" s="2"/>
      <c r="AA557" s="2"/>
      <c r="AB557" s="2"/>
    </row>
    <row r="558">
      <c r="A558" s="2"/>
      <c r="B558" s="21"/>
      <c r="C558" s="21"/>
      <c r="D558" s="21"/>
      <c r="E558" s="21"/>
      <c r="F558" s="2"/>
      <c r="G558" s="2"/>
      <c r="H558" s="35"/>
      <c r="I558" s="21"/>
      <c r="J558" s="21"/>
      <c r="K558" s="21"/>
      <c r="L558" s="21"/>
      <c r="M558" s="21"/>
      <c r="N558" s="21"/>
      <c r="O558" s="21"/>
      <c r="P558" s="21"/>
      <c r="Q558" s="2"/>
      <c r="R558" s="2"/>
      <c r="S558" s="2"/>
      <c r="T558" s="2"/>
      <c r="U558" s="2"/>
      <c r="V558" s="2"/>
      <c r="W558" s="2"/>
      <c r="X558" s="2"/>
      <c r="Y558" s="2"/>
      <c r="Z558" s="2"/>
      <c r="AA558" s="2"/>
      <c r="AB558" s="2"/>
    </row>
    <row r="559">
      <c r="A559" s="2"/>
      <c r="B559" s="21"/>
      <c r="C559" s="21"/>
      <c r="D559" s="21"/>
      <c r="E559" s="21"/>
      <c r="F559" s="2"/>
      <c r="G559" s="2"/>
      <c r="H559" s="35"/>
      <c r="I559" s="21"/>
      <c r="J559" s="21"/>
      <c r="K559" s="21"/>
      <c r="L559" s="21"/>
      <c r="M559" s="21"/>
      <c r="N559" s="21"/>
      <c r="O559" s="21"/>
      <c r="P559" s="21"/>
      <c r="Q559" s="2"/>
      <c r="R559" s="2"/>
      <c r="S559" s="2"/>
      <c r="T559" s="2"/>
      <c r="U559" s="2"/>
      <c r="V559" s="2"/>
      <c r="W559" s="2"/>
      <c r="X559" s="2"/>
      <c r="Y559" s="2"/>
      <c r="Z559" s="2"/>
      <c r="AA559" s="2"/>
      <c r="AB559" s="2"/>
    </row>
    <row r="560">
      <c r="A560" s="2"/>
      <c r="B560" s="21"/>
      <c r="C560" s="21"/>
      <c r="D560" s="21"/>
      <c r="E560" s="21"/>
      <c r="F560" s="2"/>
      <c r="G560" s="2"/>
      <c r="H560" s="35"/>
      <c r="I560" s="21"/>
      <c r="J560" s="21"/>
      <c r="K560" s="21"/>
      <c r="L560" s="21"/>
      <c r="M560" s="21"/>
      <c r="N560" s="21"/>
      <c r="O560" s="21"/>
      <c r="P560" s="21"/>
      <c r="Q560" s="2"/>
      <c r="R560" s="2"/>
      <c r="S560" s="2"/>
      <c r="T560" s="2"/>
      <c r="U560" s="2"/>
      <c r="V560" s="2"/>
      <c r="W560" s="2"/>
      <c r="X560" s="2"/>
      <c r="Y560" s="2"/>
      <c r="Z560" s="2"/>
      <c r="AA560" s="2"/>
      <c r="AB560" s="2"/>
    </row>
    <row r="561">
      <c r="A561" s="2"/>
      <c r="B561" s="21"/>
      <c r="C561" s="21"/>
      <c r="D561" s="21"/>
      <c r="E561" s="21"/>
      <c r="F561" s="2"/>
      <c r="G561" s="2"/>
      <c r="H561" s="35"/>
      <c r="I561" s="21"/>
      <c r="J561" s="21"/>
      <c r="K561" s="21"/>
      <c r="L561" s="21"/>
      <c r="M561" s="21"/>
      <c r="N561" s="21"/>
      <c r="O561" s="21"/>
      <c r="P561" s="21"/>
      <c r="Q561" s="2"/>
      <c r="R561" s="2"/>
      <c r="S561" s="2"/>
      <c r="T561" s="2"/>
      <c r="U561" s="2"/>
      <c r="V561" s="2"/>
      <c r="W561" s="2"/>
      <c r="X561" s="2"/>
      <c r="Y561" s="2"/>
      <c r="Z561" s="2"/>
      <c r="AA561" s="2"/>
      <c r="AB561" s="2"/>
    </row>
    <row r="562">
      <c r="A562" s="2"/>
      <c r="B562" s="21"/>
      <c r="C562" s="21"/>
      <c r="D562" s="21"/>
      <c r="E562" s="21"/>
      <c r="F562" s="2"/>
      <c r="G562" s="2"/>
      <c r="H562" s="35"/>
      <c r="I562" s="21"/>
      <c r="J562" s="21"/>
      <c r="K562" s="21"/>
      <c r="L562" s="21"/>
      <c r="M562" s="21"/>
      <c r="N562" s="21"/>
      <c r="O562" s="21"/>
      <c r="P562" s="21"/>
      <c r="Q562" s="2"/>
      <c r="R562" s="2"/>
      <c r="S562" s="2"/>
      <c r="T562" s="2"/>
      <c r="U562" s="2"/>
      <c r="V562" s="2"/>
      <c r="W562" s="2"/>
      <c r="X562" s="2"/>
      <c r="Y562" s="2"/>
      <c r="Z562" s="2"/>
      <c r="AA562" s="2"/>
      <c r="AB562" s="2"/>
    </row>
    <row r="563">
      <c r="A563" s="2"/>
      <c r="B563" s="21"/>
      <c r="C563" s="21"/>
      <c r="D563" s="21"/>
      <c r="E563" s="21"/>
      <c r="F563" s="2"/>
      <c r="G563" s="2"/>
      <c r="H563" s="35"/>
      <c r="I563" s="21"/>
      <c r="J563" s="21"/>
      <c r="K563" s="21"/>
      <c r="L563" s="21"/>
      <c r="M563" s="21"/>
      <c r="N563" s="21"/>
      <c r="O563" s="21"/>
      <c r="P563" s="21"/>
      <c r="Q563" s="2"/>
      <c r="R563" s="2"/>
      <c r="S563" s="2"/>
      <c r="T563" s="2"/>
      <c r="U563" s="2"/>
      <c r="V563" s="2"/>
      <c r="W563" s="2"/>
      <c r="X563" s="2"/>
      <c r="Y563" s="2"/>
      <c r="Z563" s="2"/>
      <c r="AA563" s="2"/>
      <c r="AB563" s="2"/>
    </row>
    <row r="564">
      <c r="A564" s="2"/>
      <c r="B564" s="21"/>
      <c r="C564" s="21"/>
      <c r="D564" s="21"/>
      <c r="E564" s="21"/>
      <c r="F564" s="2"/>
      <c r="G564" s="2"/>
      <c r="H564" s="35"/>
      <c r="I564" s="21"/>
      <c r="J564" s="21"/>
      <c r="K564" s="21"/>
      <c r="L564" s="21"/>
      <c r="M564" s="21"/>
      <c r="N564" s="21"/>
      <c r="O564" s="21"/>
      <c r="P564" s="21"/>
      <c r="Q564" s="2"/>
      <c r="R564" s="2"/>
      <c r="S564" s="2"/>
      <c r="T564" s="2"/>
      <c r="U564" s="2"/>
      <c r="V564" s="2"/>
      <c r="W564" s="2"/>
      <c r="X564" s="2"/>
      <c r="Y564" s="2"/>
      <c r="Z564" s="2"/>
      <c r="AA564" s="2"/>
      <c r="AB564" s="2"/>
    </row>
    <row r="565">
      <c r="A565" s="2"/>
      <c r="B565" s="21"/>
      <c r="C565" s="21"/>
      <c r="D565" s="21"/>
      <c r="E565" s="21"/>
      <c r="F565" s="2"/>
      <c r="G565" s="2"/>
      <c r="H565" s="35"/>
      <c r="I565" s="21"/>
      <c r="J565" s="21"/>
      <c r="K565" s="21"/>
      <c r="L565" s="21"/>
      <c r="M565" s="21"/>
      <c r="N565" s="21"/>
      <c r="O565" s="21"/>
      <c r="P565" s="21"/>
      <c r="Q565" s="2"/>
      <c r="R565" s="2"/>
      <c r="S565" s="2"/>
      <c r="T565" s="2"/>
      <c r="U565" s="2"/>
      <c r="V565" s="2"/>
      <c r="W565" s="2"/>
      <c r="X565" s="2"/>
      <c r="Y565" s="2"/>
      <c r="Z565" s="2"/>
      <c r="AA565" s="2"/>
      <c r="AB565" s="2"/>
    </row>
    <row r="566">
      <c r="A566" s="2"/>
      <c r="B566" s="21"/>
      <c r="C566" s="21"/>
      <c r="D566" s="21"/>
      <c r="E566" s="21"/>
      <c r="F566" s="2"/>
      <c r="G566" s="2"/>
      <c r="H566" s="35"/>
      <c r="I566" s="21"/>
      <c r="J566" s="21"/>
      <c r="K566" s="21"/>
      <c r="L566" s="21"/>
      <c r="M566" s="21"/>
      <c r="N566" s="21"/>
      <c r="O566" s="21"/>
      <c r="P566" s="21"/>
      <c r="Q566" s="2"/>
      <c r="R566" s="2"/>
      <c r="S566" s="2"/>
      <c r="T566" s="2"/>
      <c r="U566" s="2"/>
      <c r="V566" s="2"/>
      <c r="W566" s="2"/>
      <c r="X566" s="2"/>
      <c r="Y566" s="2"/>
      <c r="Z566" s="2"/>
      <c r="AA566" s="2"/>
      <c r="AB566" s="2"/>
    </row>
    <row r="567">
      <c r="A567" s="2"/>
      <c r="B567" s="21"/>
      <c r="C567" s="21"/>
      <c r="D567" s="21"/>
      <c r="E567" s="21"/>
      <c r="F567" s="2"/>
      <c r="G567" s="2"/>
      <c r="H567" s="35"/>
      <c r="I567" s="21"/>
      <c r="J567" s="21"/>
      <c r="K567" s="21"/>
      <c r="L567" s="21"/>
      <c r="M567" s="21"/>
      <c r="N567" s="21"/>
      <c r="O567" s="21"/>
      <c r="P567" s="21"/>
      <c r="Q567" s="2"/>
      <c r="R567" s="2"/>
      <c r="S567" s="2"/>
      <c r="T567" s="2"/>
      <c r="U567" s="2"/>
      <c r="V567" s="2"/>
      <c r="W567" s="2"/>
      <c r="X567" s="2"/>
      <c r="Y567" s="2"/>
      <c r="Z567" s="2"/>
      <c r="AA567" s="2"/>
      <c r="AB567" s="2"/>
    </row>
    <row r="568">
      <c r="A568" s="2"/>
      <c r="B568" s="21"/>
      <c r="C568" s="21"/>
      <c r="D568" s="21"/>
      <c r="E568" s="21"/>
      <c r="F568" s="2"/>
      <c r="G568" s="2"/>
      <c r="H568" s="35"/>
      <c r="I568" s="21"/>
      <c r="J568" s="21"/>
      <c r="K568" s="21"/>
      <c r="L568" s="21"/>
      <c r="M568" s="21"/>
      <c r="N568" s="21"/>
      <c r="O568" s="21"/>
      <c r="P568" s="21"/>
      <c r="Q568" s="2"/>
      <c r="R568" s="2"/>
      <c r="S568" s="2"/>
      <c r="T568" s="2"/>
      <c r="U568" s="2"/>
      <c r="V568" s="2"/>
      <c r="W568" s="2"/>
      <c r="X568" s="2"/>
      <c r="Y568" s="2"/>
      <c r="Z568" s="2"/>
      <c r="AA568" s="2"/>
      <c r="AB568" s="2"/>
    </row>
    <row r="569">
      <c r="A569" s="2"/>
      <c r="B569" s="21"/>
      <c r="C569" s="21"/>
      <c r="D569" s="21"/>
      <c r="E569" s="21"/>
      <c r="F569" s="2"/>
      <c r="G569" s="2"/>
      <c r="H569" s="35"/>
      <c r="I569" s="21"/>
      <c r="J569" s="21"/>
      <c r="K569" s="21"/>
      <c r="L569" s="21"/>
      <c r="M569" s="21"/>
      <c r="N569" s="21"/>
      <c r="O569" s="21"/>
      <c r="P569" s="21"/>
      <c r="Q569" s="2"/>
      <c r="R569" s="2"/>
      <c r="S569" s="2"/>
      <c r="T569" s="2"/>
      <c r="U569" s="2"/>
      <c r="V569" s="2"/>
      <c r="W569" s="2"/>
      <c r="X569" s="2"/>
      <c r="Y569" s="2"/>
      <c r="Z569" s="2"/>
      <c r="AA569" s="2"/>
      <c r="AB569" s="2"/>
    </row>
    <row r="570">
      <c r="A570" s="2"/>
      <c r="B570" s="21"/>
      <c r="C570" s="21"/>
      <c r="D570" s="21"/>
      <c r="E570" s="21"/>
      <c r="F570" s="2"/>
      <c r="G570" s="2"/>
      <c r="H570" s="35"/>
      <c r="I570" s="21"/>
      <c r="J570" s="21"/>
      <c r="K570" s="21"/>
      <c r="L570" s="21"/>
      <c r="M570" s="21"/>
      <c r="N570" s="21"/>
      <c r="O570" s="21"/>
      <c r="P570" s="21"/>
      <c r="Q570" s="2"/>
      <c r="R570" s="2"/>
      <c r="S570" s="2"/>
      <c r="T570" s="2"/>
      <c r="U570" s="2"/>
      <c r="V570" s="2"/>
      <c r="W570" s="2"/>
      <c r="X570" s="2"/>
      <c r="Y570" s="2"/>
      <c r="Z570" s="2"/>
      <c r="AA570" s="2"/>
      <c r="AB570" s="2"/>
    </row>
    <row r="571">
      <c r="A571" s="2"/>
      <c r="B571" s="21"/>
      <c r="C571" s="21"/>
      <c r="D571" s="21"/>
      <c r="E571" s="21"/>
      <c r="F571" s="2"/>
      <c r="G571" s="2"/>
      <c r="H571" s="35"/>
      <c r="I571" s="21"/>
      <c r="J571" s="21"/>
      <c r="K571" s="21"/>
      <c r="L571" s="21"/>
      <c r="M571" s="21"/>
      <c r="N571" s="21"/>
      <c r="O571" s="21"/>
      <c r="P571" s="21"/>
      <c r="Q571" s="2"/>
      <c r="R571" s="2"/>
      <c r="S571" s="2"/>
      <c r="T571" s="2"/>
      <c r="U571" s="2"/>
      <c r="V571" s="2"/>
      <c r="W571" s="2"/>
      <c r="X571" s="2"/>
      <c r="Y571" s="2"/>
      <c r="Z571" s="2"/>
      <c r="AA571" s="2"/>
      <c r="AB571" s="2"/>
    </row>
    <row r="572">
      <c r="A572" s="2"/>
      <c r="B572" s="21"/>
      <c r="C572" s="21"/>
      <c r="D572" s="21"/>
      <c r="E572" s="21"/>
      <c r="F572" s="2"/>
      <c r="G572" s="2"/>
      <c r="H572" s="35"/>
      <c r="I572" s="21"/>
      <c r="J572" s="21"/>
      <c r="K572" s="21"/>
      <c r="L572" s="21"/>
      <c r="M572" s="21"/>
      <c r="N572" s="21"/>
      <c r="O572" s="21"/>
      <c r="P572" s="21"/>
      <c r="Q572" s="2"/>
      <c r="R572" s="2"/>
      <c r="S572" s="2"/>
      <c r="T572" s="2"/>
      <c r="U572" s="2"/>
      <c r="V572" s="2"/>
      <c r="W572" s="2"/>
      <c r="X572" s="2"/>
      <c r="Y572" s="2"/>
      <c r="Z572" s="2"/>
      <c r="AA572" s="2"/>
      <c r="AB572" s="2"/>
    </row>
    <row r="573">
      <c r="A573" s="2"/>
      <c r="B573" s="21"/>
      <c r="C573" s="21"/>
      <c r="D573" s="21"/>
      <c r="E573" s="21"/>
      <c r="F573" s="2"/>
      <c r="G573" s="2"/>
      <c r="H573" s="35"/>
      <c r="I573" s="21"/>
      <c r="J573" s="21"/>
      <c r="K573" s="21"/>
      <c r="L573" s="21"/>
      <c r="M573" s="21"/>
      <c r="N573" s="21"/>
      <c r="O573" s="21"/>
      <c r="P573" s="21"/>
      <c r="Q573" s="2"/>
      <c r="R573" s="2"/>
      <c r="S573" s="2"/>
      <c r="T573" s="2"/>
      <c r="U573" s="2"/>
      <c r="V573" s="2"/>
      <c r="W573" s="2"/>
      <c r="X573" s="2"/>
      <c r="Y573" s="2"/>
      <c r="Z573" s="2"/>
      <c r="AA573" s="2"/>
      <c r="AB573" s="2"/>
    </row>
    <row r="574">
      <c r="A574" s="2"/>
      <c r="B574" s="21"/>
      <c r="C574" s="21"/>
      <c r="D574" s="21"/>
      <c r="E574" s="21"/>
      <c r="F574" s="2"/>
      <c r="G574" s="2"/>
      <c r="H574" s="35"/>
      <c r="I574" s="21"/>
      <c r="J574" s="21"/>
      <c r="K574" s="21"/>
      <c r="L574" s="21"/>
      <c r="M574" s="21"/>
      <c r="N574" s="21"/>
      <c r="O574" s="21"/>
      <c r="P574" s="21"/>
      <c r="Q574" s="2"/>
      <c r="R574" s="2"/>
      <c r="S574" s="2"/>
      <c r="T574" s="2"/>
      <c r="U574" s="2"/>
      <c r="V574" s="2"/>
      <c r="W574" s="2"/>
      <c r="X574" s="2"/>
      <c r="Y574" s="2"/>
      <c r="Z574" s="2"/>
      <c r="AA574" s="2"/>
      <c r="AB574" s="2"/>
    </row>
    <row r="575">
      <c r="A575" s="2"/>
      <c r="B575" s="21"/>
      <c r="C575" s="21"/>
      <c r="D575" s="21"/>
      <c r="E575" s="21"/>
      <c r="F575" s="2"/>
      <c r="G575" s="2"/>
      <c r="H575" s="35"/>
      <c r="I575" s="21"/>
      <c r="J575" s="21"/>
      <c r="K575" s="21"/>
      <c r="L575" s="21"/>
      <c r="M575" s="21"/>
      <c r="N575" s="21"/>
      <c r="O575" s="21"/>
      <c r="P575" s="21"/>
      <c r="Q575" s="2"/>
      <c r="R575" s="2"/>
      <c r="S575" s="2"/>
      <c r="T575" s="2"/>
      <c r="U575" s="2"/>
      <c r="V575" s="2"/>
      <c r="W575" s="2"/>
      <c r="X575" s="2"/>
      <c r="Y575" s="2"/>
      <c r="Z575" s="2"/>
      <c r="AA575" s="2"/>
      <c r="AB575" s="2"/>
    </row>
    <row r="576">
      <c r="A576" s="2"/>
      <c r="B576" s="21"/>
      <c r="C576" s="21"/>
      <c r="D576" s="21"/>
      <c r="E576" s="21"/>
      <c r="F576" s="2"/>
      <c r="G576" s="2"/>
      <c r="H576" s="35"/>
      <c r="I576" s="21"/>
      <c r="J576" s="21"/>
      <c r="K576" s="21"/>
      <c r="L576" s="21"/>
      <c r="M576" s="21"/>
      <c r="N576" s="21"/>
      <c r="O576" s="21"/>
      <c r="P576" s="21"/>
      <c r="Q576" s="2"/>
      <c r="R576" s="2"/>
      <c r="S576" s="2"/>
      <c r="T576" s="2"/>
      <c r="U576" s="2"/>
      <c r="V576" s="2"/>
      <c r="W576" s="2"/>
      <c r="X576" s="2"/>
      <c r="Y576" s="2"/>
      <c r="Z576" s="2"/>
      <c r="AA576" s="2"/>
      <c r="AB576" s="2"/>
    </row>
    <row r="577">
      <c r="A577" s="2"/>
      <c r="B577" s="21"/>
      <c r="C577" s="21"/>
      <c r="D577" s="21"/>
      <c r="E577" s="21"/>
      <c r="F577" s="2"/>
      <c r="G577" s="2"/>
      <c r="H577" s="35"/>
      <c r="I577" s="21"/>
      <c r="J577" s="21"/>
      <c r="K577" s="21"/>
      <c r="L577" s="21"/>
      <c r="M577" s="21"/>
      <c r="N577" s="21"/>
      <c r="O577" s="21"/>
      <c r="P577" s="21"/>
      <c r="Q577" s="2"/>
      <c r="R577" s="2"/>
      <c r="S577" s="2"/>
      <c r="T577" s="2"/>
      <c r="U577" s="2"/>
      <c r="V577" s="2"/>
      <c r="W577" s="2"/>
      <c r="X577" s="2"/>
      <c r="Y577" s="2"/>
      <c r="Z577" s="2"/>
      <c r="AA577" s="2"/>
      <c r="AB577" s="2"/>
    </row>
    <row r="578">
      <c r="A578" s="2"/>
      <c r="B578" s="21"/>
      <c r="C578" s="21"/>
      <c r="D578" s="21"/>
      <c r="E578" s="21"/>
      <c r="F578" s="2"/>
      <c r="G578" s="2"/>
      <c r="H578" s="35"/>
      <c r="I578" s="21"/>
      <c r="J578" s="21"/>
      <c r="K578" s="21"/>
      <c r="L578" s="21"/>
      <c r="M578" s="21"/>
      <c r="N578" s="21"/>
      <c r="O578" s="21"/>
      <c r="P578" s="21"/>
      <c r="Q578" s="2"/>
      <c r="R578" s="2"/>
      <c r="S578" s="2"/>
      <c r="T578" s="2"/>
      <c r="U578" s="2"/>
      <c r="V578" s="2"/>
      <c r="W578" s="2"/>
      <c r="X578" s="2"/>
      <c r="Y578" s="2"/>
      <c r="Z578" s="2"/>
      <c r="AA578" s="2"/>
      <c r="AB578" s="2"/>
    </row>
    <row r="579">
      <c r="A579" s="2"/>
      <c r="B579" s="21"/>
      <c r="C579" s="21"/>
      <c r="D579" s="21"/>
      <c r="E579" s="21"/>
      <c r="F579" s="2"/>
      <c r="G579" s="2"/>
      <c r="H579" s="35"/>
      <c r="I579" s="21"/>
      <c r="J579" s="21"/>
      <c r="K579" s="21"/>
      <c r="L579" s="21"/>
      <c r="M579" s="21"/>
      <c r="N579" s="21"/>
      <c r="O579" s="21"/>
      <c r="P579" s="21"/>
      <c r="Q579" s="2"/>
      <c r="R579" s="2"/>
      <c r="S579" s="2"/>
      <c r="T579" s="2"/>
      <c r="U579" s="2"/>
      <c r="V579" s="2"/>
      <c r="W579" s="2"/>
      <c r="X579" s="2"/>
      <c r="Y579" s="2"/>
      <c r="Z579" s="2"/>
      <c r="AA579" s="2"/>
      <c r="AB579" s="2"/>
    </row>
    <row r="580">
      <c r="A580" s="2"/>
      <c r="B580" s="21"/>
      <c r="C580" s="21"/>
      <c r="D580" s="21"/>
      <c r="E580" s="21"/>
      <c r="F580" s="2"/>
      <c r="G580" s="2"/>
      <c r="H580" s="35"/>
      <c r="I580" s="21"/>
      <c r="J580" s="21"/>
      <c r="K580" s="21"/>
      <c r="L580" s="21"/>
      <c r="M580" s="21"/>
      <c r="N580" s="21"/>
      <c r="O580" s="21"/>
      <c r="P580" s="21"/>
      <c r="Q580" s="2"/>
      <c r="R580" s="2"/>
      <c r="S580" s="2"/>
      <c r="T580" s="2"/>
      <c r="U580" s="2"/>
      <c r="V580" s="2"/>
      <c r="W580" s="2"/>
      <c r="X580" s="2"/>
      <c r="Y580" s="2"/>
      <c r="Z580" s="2"/>
      <c r="AA580" s="2"/>
      <c r="AB580" s="2"/>
    </row>
    <row r="581">
      <c r="A581" s="2"/>
      <c r="B581" s="21"/>
      <c r="C581" s="21"/>
      <c r="D581" s="21"/>
      <c r="E581" s="21"/>
      <c r="F581" s="2"/>
      <c r="G581" s="2"/>
      <c r="H581" s="35"/>
      <c r="I581" s="21"/>
      <c r="J581" s="21"/>
      <c r="K581" s="21"/>
      <c r="L581" s="21"/>
      <c r="M581" s="21"/>
      <c r="N581" s="21"/>
      <c r="O581" s="21"/>
      <c r="P581" s="21"/>
      <c r="Q581" s="2"/>
      <c r="R581" s="2"/>
      <c r="S581" s="2"/>
      <c r="T581" s="2"/>
      <c r="U581" s="2"/>
      <c r="V581" s="2"/>
      <c r="W581" s="2"/>
      <c r="X581" s="2"/>
      <c r="Y581" s="2"/>
      <c r="Z581" s="2"/>
      <c r="AA581" s="2"/>
      <c r="AB581" s="2"/>
    </row>
    <row r="582">
      <c r="A582" s="2"/>
      <c r="B582" s="21"/>
      <c r="C582" s="21"/>
      <c r="D582" s="21"/>
      <c r="E582" s="21"/>
      <c r="F582" s="2"/>
      <c r="G582" s="2"/>
      <c r="H582" s="35"/>
      <c r="I582" s="21"/>
      <c r="J582" s="21"/>
      <c r="K582" s="21"/>
      <c r="L582" s="21"/>
      <c r="M582" s="21"/>
      <c r="N582" s="21"/>
      <c r="O582" s="21"/>
      <c r="P582" s="21"/>
      <c r="Q582" s="2"/>
      <c r="R582" s="2"/>
      <c r="S582" s="2"/>
      <c r="T582" s="2"/>
      <c r="U582" s="2"/>
      <c r="V582" s="2"/>
      <c r="W582" s="2"/>
      <c r="X582" s="2"/>
      <c r="Y582" s="2"/>
      <c r="Z582" s="2"/>
      <c r="AA582" s="2"/>
      <c r="AB582" s="2"/>
    </row>
    <row r="583">
      <c r="A583" s="2"/>
      <c r="B583" s="21"/>
      <c r="C583" s="21"/>
      <c r="D583" s="21"/>
      <c r="E583" s="21"/>
      <c r="F583" s="2"/>
      <c r="G583" s="2"/>
      <c r="H583" s="35"/>
      <c r="I583" s="21"/>
      <c r="J583" s="21"/>
      <c r="K583" s="21"/>
      <c r="L583" s="21"/>
      <c r="M583" s="21"/>
      <c r="N583" s="21"/>
      <c r="O583" s="21"/>
      <c r="P583" s="21"/>
      <c r="Q583" s="2"/>
      <c r="R583" s="2"/>
      <c r="S583" s="2"/>
      <c r="T583" s="2"/>
      <c r="U583" s="2"/>
      <c r="V583" s="2"/>
      <c r="W583" s="2"/>
      <c r="X583" s="2"/>
      <c r="Y583" s="2"/>
      <c r="Z583" s="2"/>
      <c r="AA583" s="2"/>
      <c r="AB583" s="2"/>
    </row>
    <row r="584">
      <c r="A584" s="2"/>
      <c r="B584" s="21"/>
      <c r="C584" s="21"/>
      <c r="D584" s="21"/>
      <c r="E584" s="21"/>
      <c r="F584" s="2"/>
      <c r="G584" s="2"/>
      <c r="H584" s="35"/>
      <c r="I584" s="21"/>
      <c r="J584" s="21"/>
      <c r="K584" s="21"/>
      <c r="L584" s="21"/>
      <c r="M584" s="21"/>
      <c r="N584" s="21"/>
      <c r="O584" s="21"/>
      <c r="P584" s="21"/>
      <c r="Q584" s="2"/>
      <c r="R584" s="2"/>
      <c r="S584" s="2"/>
      <c r="T584" s="2"/>
      <c r="U584" s="2"/>
      <c r="V584" s="2"/>
      <c r="W584" s="2"/>
      <c r="X584" s="2"/>
      <c r="Y584" s="2"/>
      <c r="Z584" s="2"/>
      <c r="AA584" s="2"/>
      <c r="AB584" s="2"/>
    </row>
    <row r="585">
      <c r="A585" s="2"/>
      <c r="B585" s="21"/>
      <c r="C585" s="21"/>
      <c r="D585" s="21"/>
      <c r="E585" s="21"/>
      <c r="F585" s="2"/>
      <c r="G585" s="2"/>
      <c r="H585" s="35"/>
      <c r="I585" s="21"/>
      <c r="J585" s="21"/>
      <c r="K585" s="21"/>
      <c r="L585" s="21"/>
      <c r="M585" s="21"/>
      <c r="N585" s="21"/>
      <c r="O585" s="21"/>
      <c r="P585" s="21"/>
      <c r="Q585" s="2"/>
      <c r="R585" s="2"/>
      <c r="S585" s="2"/>
      <c r="T585" s="2"/>
      <c r="U585" s="2"/>
      <c r="V585" s="2"/>
      <c r="W585" s="2"/>
      <c r="X585" s="2"/>
      <c r="Y585" s="2"/>
      <c r="Z585" s="2"/>
      <c r="AA585" s="2"/>
      <c r="AB585" s="2"/>
    </row>
    <row r="586">
      <c r="A586" s="2"/>
      <c r="B586" s="21"/>
      <c r="C586" s="21"/>
      <c r="D586" s="21"/>
      <c r="E586" s="21"/>
      <c r="F586" s="2"/>
      <c r="G586" s="2"/>
      <c r="H586" s="35"/>
      <c r="I586" s="21"/>
      <c r="J586" s="21"/>
      <c r="K586" s="21"/>
      <c r="L586" s="21"/>
      <c r="M586" s="21"/>
      <c r="N586" s="21"/>
      <c r="O586" s="21"/>
      <c r="P586" s="21"/>
      <c r="Q586" s="2"/>
      <c r="R586" s="2"/>
      <c r="S586" s="2"/>
      <c r="T586" s="2"/>
      <c r="U586" s="2"/>
      <c r="V586" s="2"/>
      <c r="W586" s="2"/>
      <c r="X586" s="2"/>
      <c r="Y586" s="2"/>
      <c r="Z586" s="2"/>
      <c r="AA586" s="2"/>
      <c r="AB586" s="2"/>
    </row>
    <row r="587">
      <c r="A587" s="2"/>
      <c r="B587" s="21"/>
      <c r="C587" s="21"/>
      <c r="D587" s="21"/>
      <c r="E587" s="21"/>
      <c r="F587" s="2"/>
      <c r="G587" s="2"/>
      <c r="H587" s="35"/>
      <c r="I587" s="21"/>
      <c r="J587" s="21"/>
      <c r="K587" s="21"/>
      <c r="L587" s="21"/>
      <c r="M587" s="21"/>
      <c r="N587" s="21"/>
      <c r="O587" s="21"/>
      <c r="P587" s="21"/>
      <c r="Q587" s="2"/>
      <c r="R587" s="2"/>
      <c r="S587" s="2"/>
      <c r="T587" s="2"/>
      <c r="U587" s="2"/>
      <c r="V587" s="2"/>
      <c r="W587" s="2"/>
      <c r="X587" s="2"/>
      <c r="Y587" s="2"/>
      <c r="Z587" s="2"/>
      <c r="AA587" s="2"/>
      <c r="AB587" s="2"/>
    </row>
    <row r="588">
      <c r="A588" s="2"/>
      <c r="B588" s="21"/>
      <c r="C588" s="21"/>
      <c r="D588" s="21"/>
      <c r="E588" s="21"/>
      <c r="F588" s="2"/>
      <c r="G588" s="2"/>
      <c r="H588" s="35"/>
      <c r="I588" s="21"/>
      <c r="J588" s="21"/>
      <c r="K588" s="21"/>
      <c r="L588" s="21"/>
      <c r="M588" s="21"/>
      <c r="N588" s="21"/>
      <c r="O588" s="21"/>
      <c r="P588" s="21"/>
      <c r="Q588" s="2"/>
      <c r="R588" s="2"/>
      <c r="S588" s="2"/>
      <c r="T588" s="2"/>
      <c r="U588" s="2"/>
      <c r="V588" s="2"/>
      <c r="W588" s="2"/>
      <c r="X588" s="2"/>
      <c r="Y588" s="2"/>
      <c r="Z588" s="2"/>
      <c r="AA588" s="2"/>
      <c r="AB588" s="2"/>
    </row>
    <row r="589">
      <c r="A589" s="2"/>
      <c r="B589" s="21"/>
      <c r="C589" s="21"/>
      <c r="D589" s="21"/>
      <c r="E589" s="21"/>
      <c r="F589" s="2"/>
      <c r="G589" s="2"/>
      <c r="H589" s="35"/>
      <c r="I589" s="21"/>
      <c r="J589" s="21"/>
      <c r="K589" s="21"/>
      <c r="L589" s="21"/>
      <c r="M589" s="21"/>
      <c r="N589" s="21"/>
      <c r="O589" s="21"/>
      <c r="P589" s="21"/>
      <c r="Q589" s="2"/>
      <c r="R589" s="2"/>
      <c r="S589" s="2"/>
      <c r="T589" s="2"/>
      <c r="U589" s="2"/>
      <c r="V589" s="2"/>
      <c r="W589" s="2"/>
      <c r="X589" s="2"/>
      <c r="Y589" s="2"/>
      <c r="Z589" s="2"/>
      <c r="AA589" s="2"/>
      <c r="AB589" s="2"/>
    </row>
    <row r="590">
      <c r="A590" s="2"/>
      <c r="B590" s="21"/>
      <c r="C590" s="21"/>
      <c r="D590" s="21"/>
      <c r="E590" s="21"/>
      <c r="F590" s="2"/>
      <c r="G590" s="2"/>
      <c r="H590" s="35"/>
      <c r="I590" s="21"/>
      <c r="J590" s="21"/>
      <c r="K590" s="21"/>
      <c r="L590" s="21"/>
      <c r="M590" s="21"/>
      <c r="N590" s="21"/>
      <c r="O590" s="21"/>
      <c r="P590" s="21"/>
      <c r="Q590" s="2"/>
      <c r="R590" s="2"/>
      <c r="S590" s="2"/>
      <c r="T590" s="2"/>
      <c r="U590" s="2"/>
      <c r="V590" s="2"/>
      <c r="W590" s="2"/>
      <c r="X590" s="2"/>
      <c r="Y590" s="2"/>
      <c r="Z590" s="2"/>
      <c r="AA590" s="2"/>
      <c r="AB590" s="2"/>
    </row>
    <row r="591">
      <c r="A591" s="2"/>
      <c r="B591" s="21"/>
      <c r="C591" s="21"/>
      <c r="D591" s="21"/>
      <c r="E591" s="21"/>
      <c r="F591" s="2"/>
      <c r="G591" s="2"/>
      <c r="H591" s="35"/>
      <c r="I591" s="21"/>
      <c r="J591" s="21"/>
      <c r="K591" s="21"/>
      <c r="L591" s="21"/>
      <c r="M591" s="21"/>
      <c r="N591" s="21"/>
      <c r="O591" s="21"/>
      <c r="P591" s="21"/>
      <c r="Q591" s="2"/>
      <c r="R591" s="2"/>
      <c r="S591" s="2"/>
      <c r="T591" s="2"/>
      <c r="U591" s="2"/>
      <c r="V591" s="2"/>
      <c r="W591" s="2"/>
      <c r="X591" s="2"/>
      <c r="Y591" s="2"/>
      <c r="Z591" s="2"/>
      <c r="AA591" s="2"/>
      <c r="AB591" s="2"/>
    </row>
    <row r="592">
      <c r="A592" s="2"/>
      <c r="B592" s="21"/>
      <c r="C592" s="21"/>
      <c r="D592" s="21"/>
      <c r="E592" s="21"/>
      <c r="F592" s="2"/>
      <c r="G592" s="2"/>
      <c r="H592" s="35"/>
      <c r="I592" s="21"/>
      <c r="J592" s="21"/>
      <c r="K592" s="21"/>
      <c r="L592" s="21"/>
      <c r="M592" s="21"/>
      <c r="N592" s="21"/>
      <c r="O592" s="21"/>
      <c r="P592" s="21"/>
      <c r="Q592" s="2"/>
      <c r="R592" s="2"/>
      <c r="S592" s="2"/>
      <c r="T592" s="2"/>
      <c r="U592" s="2"/>
      <c r="V592" s="2"/>
      <c r="W592" s="2"/>
      <c r="X592" s="2"/>
      <c r="Y592" s="2"/>
      <c r="Z592" s="2"/>
      <c r="AA592" s="2"/>
      <c r="AB592" s="2"/>
    </row>
    <row r="593">
      <c r="A593" s="2"/>
      <c r="B593" s="21"/>
      <c r="C593" s="21"/>
      <c r="D593" s="21"/>
      <c r="E593" s="21"/>
      <c r="F593" s="2"/>
      <c r="G593" s="2"/>
      <c r="H593" s="35"/>
      <c r="I593" s="21"/>
      <c r="J593" s="21"/>
      <c r="K593" s="21"/>
      <c r="L593" s="21"/>
      <c r="M593" s="21"/>
      <c r="N593" s="21"/>
      <c r="O593" s="21"/>
      <c r="P593" s="21"/>
      <c r="Q593" s="2"/>
      <c r="R593" s="2"/>
      <c r="S593" s="2"/>
      <c r="T593" s="2"/>
      <c r="U593" s="2"/>
      <c r="V593" s="2"/>
      <c r="W593" s="2"/>
      <c r="X593" s="2"/>
      <c r="Y593" s="2"/>
      <c r="Z593" s="2"/>
      <c r="AA593" s="2"/>
      <c r="AB593" s="2"/>
    </row>
    <row r="594">
      <c r="A594" s="2"/>
      <c r="B594" s="21"/>
      <c r="C594" s="21"/>
      <c r="D594" s="21"/>
      <c r="E594" s="21"/>
      <c r="F594" s="2"/>
      <c r="G594" s="2"/>
      <c r="H594" s="35"/>
      <c r="I594" s="21"/>
      <c r="J594" s="21"/>
      <c r="K594" s="21"/>
      <c r="L594" s="21"/>
      <c r="M594" s="21"/>
      <c r="N594" s="21"/>
      <c r="O594" s="21"/>
      <c r="P594" s="21"/>
      <c r="Q594" s="2"/>
      <c r="R594" s="2"/>
      <c r="S594" s="2"/>
      <c r="T594" s="2"/>
      <c r="U594" s="2"/>
      <c r="V594" s="2"/>
      <c r="W594" s="2"/>
      <c r="X594" s="2"/>
      <c r="Y594" s="2"/>
      <c r="Z594" s="2"/>
      <c r="AA594" s="2"/>
      <c r="AB594" s="2"/>
    </row>
    <row r="595">
      <c r="A595" s="2"/>
      <c r="B595" s="21"/>
      <c r="C595" s="21"/>
      <c r="D595" s="21"/>
      <c r="E595" s="21"/>
      <c r="F595" s="2"/>
      <c r="G595" s="2"/>
      <c r="H595" s="35"/>
      <c r="I595" s="21"/>
      <c r="J595" s="21"/>
      <c r="K595" s="21"/>
      <c r="L595" s="21"/>
      <c r="M595" s="21"/>
      <c r="N595" s="21"/>
      <c r="O595" s="21"/>
      <c r="P595" s="21"/>
      <c r="Q595" s="2"/>
      <c r="R595" s="2"/>
      <c r="S595" s="2"/>
      <c r="T595" s="2"/>
      <c r="U595" s="2"/>
      <c r="V595" s="2"/>
      <c r="W595" s="2"/>
      <c r="X595" s="2"/>
      <c r="Y595" s="2"/>
      <c r="Z595" s="2"/>
      <c r="AA595" s="2"/>
      <c r="AB595" s="2"/>
    </row>
    <row r="596">
      <c r="A596" s="2"/>
      <c r="B596" s="21"/>
      <c r="C596" s="21"/>
      <c r="D596" s="21"/>
      <c r="E596" s="21"/>
      <c r="F596" s="2"/>
      <c r="G596" s="2"/>
      <c r="H596" s="35"/>
      <c r="I596" s="21"/>
      <c r="J596" s="21"/>
      <c r="K596" s="21"/>
      <c r="L596" s="21"/>
      <c r="M596" s="21"/>
      <c r="N596" s="21"/>
      <c r="O596" s="21"/>
      <c r="P596" s="21"/>
      <c r="Q596" s="2"/>
      <c r="R596" s="2"/>
      <c r="S596" s="2"/>
      <c r="T596" s="2"/>
      <c r="U596" s="2"/>
      <c r="V596" s="2"/>
      <c r="W596" s="2"/>
      <c r="X596" s="2"/>
      <c r="Y596" s="2"/>
      <c r="Z596" s="2"/>
      <c r="AA596" s="2"/>
      <c r="AB596" s="2"/>
    </row>
    <row r="597">
      <c r="A597" s="2"/>
      <c r="B597" s="21"/>
      <c r="C597" s="21"/>
      <c r="D597" s="21"/>
      <c r="E597" s="21"/>
      <c r="F597" s="2"/>
      <c r="G597" s="2"/>
      <c r="H597" s="35"/>
      <c r="I597" s="21"/>
      <c r="J597" s="21"/>
      <c r="K597" s="21"/>
      <c r="L597" s="21"/>
      <c r="M597" s="21"/>
      <c r="N597" s="21"/>
      <c r="O597" s="21"/>
      <c r="P597" s="21"/>
      <c r="Q597" s="2"/>
      <c r="R597" s="2"/>
      <c r="S597" s="2"/>
      <c r="T597" s="2"/>
      <c r="U597" s="2"/>
      <c r="V597" s="2"/>
      <c r="W597" s="2"/>
      <c r="X597" s="2"/>
      <c r="Y597" s="2"/>
      <c r="Z597" s="2"/>
      <c r="AA597" s="2"/>
      <c r="AB597" s="2"/>
    </row>
    <row r="598">
      <c r="A598" s="2"/>
      <c r="B598" s="21"/>
      <c r="C598" s="21"/>
      <c r="D598" s="21"/>
      <c r="E598" s="21"/>
      <c r="F598" s="2"/>
      <c r="G598" s="2"/>
      <c r="H598" s="35"/>
      <c r="I598" s="21"/>
      <c r="J598" s="21"/>
      <c r="K598" s="21"/>
      <c r="L598" s="21"/>
      <c r="M598" s="21"/>
      <c r="N598" s="21"/>
      <c r="O598" s="21"/>
      <c r="P598" s="21"/>
      <c r="Q598" s="2"/>
      <c r="R598" s="2"/>
      <c r="S598" s="2"/>
      <c r="T598" s="2"/>
      <c r="U598" s="2"/>
      <c r="V598" s="2"/>
      <c r="W598" s="2"/>
      <c r="X598" s="2"/>
      <c r="Y598" s="2"/>
      <c r="Z598" s="2"/>
      <c r="AA598" s="2"/>
      <c r="AB598" s="2"/>
    </row>
    <row r="599">
      <c r="A599" s="2"/>
      <c r="B599" s="21"/>
      <c r="C599" s="21"/>
      <c r="D599" s="21"/>
      <c r="E599" s="21"/>
      <c r="F599" s="2"/>
      <c r="G599" s="2"/>
      <c r="H599" s="35"/>
      <c r="I599" s="21"/>
      <c r="J599" s="21"/>
      <c r="K599" s="21"/>
      <c r="L599" s="21"/>
      <c r="M599" s="21"/>
      <c r="N599" s="21"/>
      <c r="O599" s="21"/>
      <c r="P599" s="21"/>
      <c r="Q599" s="2"/>
      <c r="R599" s="2"/>
      <c r="S599" s="2"/>
      <c r="T599" s="2"/>
      <c r="U599" s="2"/>
      <c r="V599" s="2"/>
      <c r="W599" s="2"/>
      <c r="X599" s="2"/>
      <c r="Y599" s="2"/>
      <c r="Z599" s="2"/>
      <c r="AA599" s="2"/>
      <c r="AB599" s="2"/>
    </row>
    <row r="600">
      <c r="A600" s="2"/>
      <c r="B600" s="21"/>
      <c r="C600" s="21"/>
      <c r="D600" s="21"/>
      <c r="E600" s="21"/>
      <c r="F600" s="2"/>
      <c r="G600" s="2"/>
      <c r="H600" s="35"/>
      <c r="I600" s="21"/>
      <c r="J600" s="21"/>
      <c r="K600" s="21"/>
      <c r="L600" s="21"/>
      <c r="M600" s="21"/>
      <c r="N600" s="21"/>
      <c r="O600" s="21"/>
      <c r="P600" s="21"/>
      <c r="Q600" s="2"/>
      <c r="R600" s="2"/>
      <c r="S600" s="2"/>
      <c r="T600" s="2"/>
      <c r="U600" s="2"/>
      <c r="V600" s="2"/>
      <c r="W600" s="2"/>
      <c r="X600" s="2"/>
      <c r="Y600" s="2"/>
      <c r="Z600" s="2"/>
      <c r="AA600" s="2"/>
      <c r="AB600" s="2"/>
    </row>
    <row r="601">
      <c r="A601" s="2"/>
      <c r="B601" s="21"/>
      <c r="C601" s="21"/>
      <c r="D601" s="21"/>
      <c r="E601" s="21"/>
      <c r="F601" s="2"/>
      <c r="G601" s="2"/>
      <c r="H601" s="35"/>
      <c r="I601" s="21"/>
      <c r="J601" s="21"/>
      <c r="K601" s="21"/>
      <c r="L601" s="21"/>
      <c r="M601" s="21"/>
      <c r="N601" s="21"/>
      <c r="O601" s="21"/>
      <c r="P601" s="21"/>
      <c r="Q601" s="2"/>
      <c r="R601" s="2"/>
      <c r="S601" s="2"/>
      <c r="T601" s="2"/>
      <c r="U601" s="2"/>
      <c r="V601" s="2"/>
      <c r="W601" s="2"/>
      <c r="X601" s="2"/>
      <c r="Y601" s="2"/>
      <c r="Z601" s="2"/>
      <c r="AA601" s="2"/>
      <c r="AB601" s="2"/>
    </row>
    <row r="602">
      <c r="A602" s="2"/>
      <c r="B602" s="21"/>
      <c r="C602" s="21"/>
      <c r="D602" s="21"/>
      <c r="E602" s="21"/>
      <c r="F602" s="2"/>
      <c r="G602" s="2"/>
      <c r="H602" s="35"/>
      <c r="I602" s="21"/>
      <c r="J602" s="21"/>
      <c r="K602" s="21"/>
      <c r="L602" s="21"/>
      <c r="M602" s="21"/>
      <c r="N602" s="21"/>
      <c r="O602" s="21"/>
      <c r="P602" s="21"/>
      <c r="Q602" s="2"/>
      <c r="R602" s="2"/>
      <c r="S602" s="2"/>
      <c r="T602" s="2"/>
      <c r="U602" s="2"/>
      <c r="V602" s="2"/>
      <c r="W602" s="2"/>
      <c r="X602" s="2"/>
      <c r="Y602" s="2"/>
      <c r="Z602" s="2"/>
      <c r="AA602" s="2"/>
      <c r="AB602" s="2"/>
    </row>
    <row r="603">
      <c r="A603" s="2"/>
      <c r="B603" s="21"/>
      <c r="C603" s="21"/>
      <c r="D603" s="21"/>
      <c r="E603" s="21"/>
      <c r="F603" s="2"/>
      <c r="G603" s="2"/>
      <c r="H603" s="35"/>
      <c r="I603" s="21"/>
      <c r="J603" s="21"/>
      <c r="K603" s="21"/>
      <c r="L603" s="21"/>
      <c r="M603" s="21"/>
      <c r="N603" s="21"/>
      <c r="O603" s="21"/>
      <c r="P603" s="21"/>
      <c r="Q603" s="2"/>
      <c r="R603" s="2"/>
      <c r="S603" s="2"/>
      <c r="T603" s="2"/>
      <c r="U603" s="2"/>
      <c r="V603" s="2"/>
      <c r="W603" s="2"/>
      <c r="X603" s="2"/>
      <c r="Y603" s="2"/>
      <c r="Z603" s="2"/>
      <c r="AA603" s="2"/>
      <c r="AB603" s="2"/>
    </row>
    <row r="604">
      <c r="A604" s="2"/>
      <c r="B604" s="21"/>
      <c r="C604" s="21"/>
      <c r="D604" s="21"/>
      <c r="E604" s="21"/>
      <c r="F604" s="2"/>
      <c r="G604" s="2"/>
      <c r="H604" s="35"/>
      <c r="I604" s="21"/>
      <c r="J604" s="21"/>
      <c r="K604" s="21"/>
      <c r="L604" s="21"/>
      <c r="M604" s="21"/>
      <c r="N604" s="21"/>
      <c r="O604" s="21"/>
      <c r="P604" s="21"/>
      <c r="Q604" s="2"/>
      <c r="R604" s="2"/>
      <c r="S604" s="2"/>
      <c r="T604" s="2"/>
      <c r="U604" s="2"/>
      <c r="V604" s="2"/>
      <c r="W604" s="2"/>
      <c r="X604" s="2"/>
      <c r="Y604" s="2"/>
      <c r="Z604" s="2"/>
      <c r="AA604" s="2"/>
      <c r="AB604" s="2"/>
    </row>
    <row r="605">
      <c r="A605" s="2"/>
      <c r="B605" s="21"/>
      <c r="C605" s="21"/>
      <c r="D605" s="21"/>
      <c r="E605" s="21"/>
      <c r="F605" s="2"/>
      <c r="G605" s="2"/>
      <c r="H605" s="35"/>
      <c r="I605" s="21"/>
      <c r="J605" s="21"/>
      <c r="K605" s="21"/>
      <c r="L605" s="21"/>
      <c r="M605" s="21"/>
      <c r="N605" s="21"/>
      <c r="O605" s="21"/>
      <c r="P605" s="21"/>
      <c r="Q605" s="2"/>
      <c r="R605" s="2"/>
      <c r="S605" s="2"/>
      <c r="T605" s="2"/>
      <c r="U605" s="2"/>
      <c r="V605" s="2"/>
      <c r="W605" s="2"/>
      <c r="X605" s="2"/>
      <c r="Y605" s="2"/>
      <c r="Z605" s="2"/>
      <c r="AA605" s="2"/>
      <c r="AB605" s="2"/>
    </row>
    <row r="606">
      <c r="A606" s="2"/>
      <c r="B606" s="21"/>
      <c r="C606" s="21"/>
      <c r="D606" s="21"/>
      <c r="E606" s="21"/>
      <c r="F606" s="2"/>
      <c r="G606" s="2"/>
      <c r="H606" s="35"/>
      <c r="I606" s="21"/>
      <c r="J606" s="21"/>
      <c r="K606" s="21"/>
      <c r="L606" s="21"/>
      <c r="M606" s="21"/>
      <c r="N606" s="21"/>
      <c r="O606" s="21"/>
      <c r="P606" s="21"/>
      <c r="Q606" s="2"/>
      <c r="R606" s="2"/>
      <c r="S606" s="2"/>
      <c r="T606" s="2"/>
      <c r="U606" s="2"/>
      <c r="V606" s="2"/>
      <c r="W606" s="2"/>
      <c r="X606" s="2"/>
      <c r="Y606" s="2"/>
      <c r="Z606" s="2"/>
      <c r="AA606" s="2"/>
      <c r="AB606" s="2"/>
    </row>
    <row r="607">
      <c r="A607" s="2"/>
      <c r="B607" s="21"/>
      <c r="C607" s="21"/>
      <c r="D607" s="21"/>
      <c r="E607" s="21"/>
      <c r="F607" s="2"/>
      <c r="G607" s="2"/>
      <c r="H607" s="35"/>
      <c r="I607" s="21"/>
      <c r="J607" s="21"/>
      <c r="K607" s="21"/>
      <c r="L607" s="21"/>
      <c r="M607" s="21"/>
      <c r="N607" s="21"/>
      <c r="O607" s="21"/>
      <c r="P607" s="21"/>
      <c r="Q607" s="2"/>
      <c r="R607" s="2"/>
      <c r="S607" s="2"/>
      <c r="T607" s="2"/>
      <c r="U607" s="2"/>
      <c r="V607" s="2"/>
      <c r="W607" s="2"/>
      <c r="X607" s="2"/>
      <c r="Y607" s="2"/>
      <c r="Z607" s="2"/>
      <c r="AA607" s="2"/>
      <c r="AB607" s="2"/>
    </row>
    <row r="608">
      <c r="A608" s="2"/>
      <c r="B608" s="21"/>
      <c r="C608" s="21"/>
      <c r="D608" s="21"/>
      <c r="E608" s="21"/>
      <c r="F608" s="2"/>
      <c r="G608" s="2"/>
      <c r="H608" s="35"/>
      <c r="I608" s="21"/>
      <c r="J608" s="21"/>
      <c r="K608" s="21"/>
      <c r="L608" s="21"/>
      <c r="M608" s="21"/>
      <c r="N608" s="21"/>
      <c r="O608" s="21"/>
      <c r="P608" s="21"/>
      <c r="Q608" s="2"/>
      <c r="R608" s="2"/>
      <c r="S608" s="2"/>
      <c r="T608" s="2"/>
      <c r="U608" s="2"/>
      <c r="V608" s="2"/>
      <c r="W608" s="2"/>
      <c r="X608" s="2"/>
      <c r="Y608" s="2"/>
      <c r="Z608" s="2"/>
      <c r="AA608" s="2"/>
      <c r="AB608" s="2"/>
    </row>
    <row r="609">
      <c r="A609" s="2"/>
      <c r="B609" s="21"/>
      <c r="C609" s="21"/>
      <c r="D609" s="21"/>
      <c r="E609" s="21"/>
      <c r="F609" s="2"/>
      <c r="G609" s="2"/>
      <c r="H609" s="35"/>
      <c r="I609" s="21"/>
      <c r="J609" s="21"/>
      <c r="K609" s="21"/>
      <c r="L609" s="21"/>
      <c r="M609" s="21"/>
      <c r="N609" s="21"/>
      <c r="O609" s="21"/>
      <c r="P609" s="21"/>
      <c r="Q609" s="2"/>
      <c r="R609" s="2"/>
      <c r="S609" s="2"/>
      <c r="T609" s="2"/>
      <c r="U609" s="2"/>
      <c r="V609" s="2"/>
      <c r="W609" s="2"/>
      <c r="X609" s="2"/>
      <c r="Y609" s="2"/>
      <c r="Z609" s="2"/>
      <c r="AA609" s="2"/>
      <c r="AB609" s="2"/>
    </row>
    <row r="610">
      <c r="A610" s="2"/>
      <c r="B610" s="21"/>
      <c r="C610" s="21"/>
      <c r="D610" s="21"/>
      <c r="E610" s="21"/>
      <c r="F610" s="2"/>
      <c r="G610" s="2"/>
      <c r="H610" s="35"/>
      <c r="I610" s="21"/>
      <c r="J610" s="21"/>
      <c r="K610" s="21"/>
      <c r="L610" s="21"/>
      <c r="M610" s="21"/>
      <c r="N610" s="21"/>
      <c r="O610" s="21"/>
      <c r="P610" s="21"/>
      <c r="Q610" s="2"/>
      <c r="R610" s="2"/>
      <c r="S610" s="2"/>
      <c r="T610" s="2"/>
      <c r="U610" s="2"/>
      <c r="V610" s="2"/>
      <c r="W610" s="2"/>
      <c r="X610" s="2"/>
      <c r="Y610" s="2"/>
      <c r="Z610" s="2"/>
      <c r="AA610" s="2"/>
      <c r="AB610" s="2"/>
    </row>
    <row r="611">
      <c r="A611" s="2"/>
      <c r="B611" s="21"/>
      <c r="C611" s="21"/>
      <c r="D611" s="21"/>
      <c r="E611" s="21"/>
      <c r="F611" s="2"/>
      <c r="G611" s="2"/>
      <c r="H611" s="35"/>
      <c r="I611" s="21"/>
      <c r="J611" s="21"/>
      <c r="K611" s="21"/>
      <c r="L611" s="21"/>
      <c r="M611" s="21"/>
      <c r="N611" s="21"/>
      <c r="O611" s="21"/>
      <c r="P611" s="21"/>
      <c r="Q611" s="2"/>
      <c r="R611" s="2"/>
      <c r="S611" s="2"/>
      <c r="T611" s="2"/>
      <c r="U611" s="2"/>
      <c r="V611" s="2"/>
      <c r="W611" s="2"/>
      <c r="X611" s="2"/>
      <c r="Y611" s="2"/>
      <c r="Z611" s="2"/>
      <c r="AA611" s="2"/>
      <c r="AB611" s="2"/>
    </row>
    <row r="612">
      <c r="A612" s="2"/>
      <c r="B612" s="21"/>
      <c r="C612" s="21"/>
      <c r="D612" s="21"/>
      <c r="E612" s="21"/>
      <c r="F612" s="2"/>
      <c r="G612" s="2"/>
      <c r="H612" s="35"/>
      <c r="I612" s="21"/>
      <c r="J612" s="21"/>
      <c r="K612" s="21"/>
      <c r="L612" s="21"/>
      <c r="M612" s="21"/>
      <c r="N612" s="21"/>
      <c r="O612" s="21"/>
      <c r="P612" s="21"/>
      <c r="Q612" s="2"/>
      <c r="R612" s="2"/>
      <c r="S612" s="2"/>
      <c r="T612" s="2"/>
      <c r="U612" s="2"/>
      <c r="V612" s="2"/>
      <c r="W612" s="2"/>
      <c r="X612" s="2"/>
      <c r="Y612" s="2"/>
      <c r="Z612" s="2"/>
      <c r="AA612" s="2"/>
      <c r="AB612" s="2"/>
    </row>
    <row r="613">
      <c r="A613" s="2"/>
      <c r="B613" s="21"/>
      <c r="C613" s="21"/>
      <c r="D613" s="21"/>
      <c r="E613" s="21"/>
      <c r="F613" s="2"/>
      <c r="G613" s="2"/>
      <c r="H613" s="35"/>
      <c r="I613" s="21"/>
      <c r="J613" s="21"/>
      <c r="K613" s="21"/>
      <c r="L613" s="21"/>
      <c r="M613" s="21"/>
      <c r="N613" s="21"/>
      <c r="O613" s="21"/>
      <c r="P613" s="21"/>
      <c r="Q613" s="2"/>
      <c r="R613" s="2"/>
      <c r="S613" s="2"/>
      <c r="T613" s="2"/>
      <c r="U613" s="2"/>
      <c r="V613" s="2"/>
      <c r="W613" s="2"/>
      <c r="X613" s="2"/>
      <c r="Y613" s="2"/>
      <c r="Z613" s="2"/>
      <c r="AA613" s="2"/>
      <c r="AB613" s="2"/>
    </row>
    <row r="614">
      <c r="A614" s="2"/>
      <c r="B614" s="21"/>
      <c r="C614" s="21"/>
      <c r="D614" s="21"/>
      <c r="E614" s="21"/>
      <c r="F614" s="2"/>
      <c r="G614" s="2"/>
      <c r="H614" s="35"/>
      <c r="I614" s="21"/>
      <c r="J614" s="21"/>
      <c r="K614" s="21"/>
      <c r="L614" s="21"/>
      <c r="M614" s="21"/>
      <c r="N614" s="21"/>
      <c r="O614" s="21"/>
      <c r="P614" s="21"/>
      <c r="Q614" s="2"/>
      <c r="R614" s="2"/>
      <c r="S614" s="2"/>
      <c r="T614" s="2"/>
      <c r="U614" s="2"/>
      <c r="V614" s="2"/>
      <c r="W614" s="2"/>
      <c r="X614" s="2"/>
      <c r="Y614" s="2"/>
      <c r="Z614" s="2"/>
      <c r="AA614" s="2"/>
      <c r="AB614" s="2"/>
    </row>
    <row r="615">
      <c r="A615" s="2"/>
      <c r="B615" s="21"/>
      <c r="C615" s="21"/>
      <c r="D615" s="21"/>
      <c r="E615" s="21"/>
      <c r="F615" s="2"/>
      <c r="G615" s="2"/>
      <c r="H615" s="35"/>
      <c r="I615" s="21"/>
      <c r="J615" s="21"/>
      <c r="K615" s="21"/>
      <c r="L615" s="21"/>
      <c r="M615" s="21"/>
      <c r="N615" s="21"/>
      <c r="O615" s="21"/>
      <c r="P615" s="21"/>
      <c r="Q615" s="2"/>
      <c r="R615" s="2"/>
      <c r="S615" s="2"/>
      <c r="T615" s="2"/>
      <c r="U615" s="2"/>
      <c r="V615" s="2"/>
      <c r="W615" s="2"/>
      <c r="X615" s="2"/>
      <c r="Y615" s="2"/>
      <c r="Z615" s="2"/>
      <c r="AA615" s="2"/>
      <c r="AB615" s="2"/>
    </row>
    <row r="616">
      <c r="A616" s="2"/>
      <c r="B616" s="21"/>
      <c r="C616" s="21"/>
      <c r="D616" s="21"/>
      <c r="E616" s="21"/>
      <c r="F616" s="2"/>
      <c r="G616" s="2"/>
      <c r="H616" s="35"/>
      <c r="I616" s="21"/>
      <c r="J616" s="21"/>
      <c r="K616" s="21"/>
      <c r="L616" s="21"/>
      <c r="M616" s="21"/>
      <c r="N616" s="21"/>
      <c r="O616" s="21"/>
      <c r="P616" s="21"/>
      <c r="Q616" s="2"/>
      <c r="R616" s="2"/>
      <c r="S616" s="2"/>
      <c r="T616" s="2"/>
      <c r="U616" s="2"/>
      <c r="V616" s="2"/>
      <c r="W616" s="2"/>
      <c r="X616" s="2"/>
      <c r="Y616" s="2"/>
      <c r="Z616" s="2"/>
      <c r="AA616" s="2"/>
      <c r="AB616" s="2"/>
    </row>
    <row r="617">
      <c r="A617" s="2"/>
      <c r="B617" s="21"/>
      <c r="C617" s="21"/>
      <c r="D617" s="21"/>
      <c r="E617" s="21"/>
      <c r="F617" s="2"/>
      <c r="G617" s="2"/>
      <c r="H617" s="35"/>
      <c r="I617" s="21"/>
      <c r="J617" s="21"/>
      <c r="K617" s="21"/>
      <c r="L617" s="21"/>
      <c r="M617" s="21"/>
      <c r="N617" s="21"/>
      <c r="O617" s="21"/>
      <c r="P617" s="21"/>
      <c r="Q617" s="2"/>
      <c r="R617" s="2"/>
      <c r="S617" s="2"/>
      <c r="T617" s="2"/>
      <c r="U617" s="2"/>
      <c r="V617" s="2"/>
      <c r="W617" s="2"/>
      <c r="X617" s="2"/>
      <c r="Y617" s="2"/>
      <c r="Z617" s="2"/>
      <c r="AA617" s="2"/>
      <c r="AB617" s="2"/>
    </row>
    <row r="618">
      <c r="A618" s="2"/>
      <c r="B618" s="21"/>
      <c r="C618" s="21"/>
      <c r="D618" s="21"/>
      <c r="E618" s="21"/>
      <c r="F618" s="2"/>
      <c r="G618" s="2"/>
      <c r="H618" s="35"/>
      <c r="I618" s="21"/>
      <c r="J618" s="21"/>
      <c r="K618" s="21"/>
      <c r="L618" s="21"/>
      <c r="M618" s="21"/>
      <c r="N618" s="21"/>
      <c r="O618" s="21"/>
      <c r="P618" s="21"/>
      <c r="Q618" s="2"/>
      <c r="R618" s="2"/>
      <c r="S618" s="2"/>
      <c r="T618" s="2"/>
      <c r="U618" s="2"/>
      <c r="V618" s="2"/>
      <c r="W618" s="2"/>
      <c r="X618" s="2"/>
      <c r="Y618" s="2"/>
      <c r="Z618" s="2"/>
      <c r="AA618" s="2"/>
      <c r="AB618" s="2"/>
    </row>
    <row r="619">
      <c r="A619" s="2"/>
      <c r="B619" s="21"/>
      <c r="C619" s="21"/>
      <c r="D619" s="21"/>
      <c r="E619" s="21"/>
      <c r="F619" s="2"/>
      <c r="G619" s="2"/>
      <c r="H619" s="35"/>
      <c r="I619" s="21"/>
      <c r="J619" s="21"/>
      <c r="K619" s="21"/>
      <c r="L619" s="21"/>
      <c r="M619" s="21"/>
      <c r="N619" s="21"/>
      <c r="O619" s="21"/>
      <c r="P619" s="21"/>
      <c r="Q619" s="2"/>
      <c r="R619" s="2"/>
      <c r="S619" s="2"/>
      <c r="T619" s="2"/>
      <c r="U619" s="2"/>
      <c r="V619" s="2"/>
      <c r="W619" s="2"/>
      <c r="X619" s="2"/>
      <c r="Y619" s="2"/>
      <c r="Z619" s="2"/>
      <c r="AA619" s="2"/>
      <c r="AB619" s="2"/>
    </row>
    <row r="620">
      <c r="A620" s="2"/>
      <c r="B620" s="21"/>
      <c r="C620" s="21"/>
      <c r="D620" s="21"/>
      <c r="E620" s="21"/>
      <c r="F620" s="2"/>
      <c r="G620" s="2"/>
      <c r="H620" s="35"/>
      <c r="I620" s="21"/>
      <c r="J620" s="21"/>
      <c r="K620" s="21"/>
      <c r="L620" s="21"/>
      <c r="M620" s="21"/>
      <c r="N620" s="21"/>
      <c r="O620" s="21"/>
      <c r="P620" s="21"/>
      <c r="Q620" s="2"/>
      <c r="R620" s="2"/>
      <c r="S620" s="2"/>
      <c r="T620" s="2"/>
      <c r="U620" s="2"/>
      <c r="V620" s="2"/>
      <c r="W620" s="2"/>
      <c r="X620" s="2"/>
      <c r="Y620" s="2"/>
      <c r="Z620" s="2"/>
      <c r="AA620" s="2"/>
      <c r="AB620" s="2"/>
    </row>
    <row r="621">
      <c r="A621" s="2"/>
      <c r="B621" s="21"/>
      <c r="C621" s="21"/>
      <c r="D621" s="21"/>
      <c r="E621" s="21"/>
      <c r="F621" s="2"/>
      <c r="G621" s="2"/>
      <c r="H621" s="35"/>
      <c r="I621" s="21"/>
      <c r="J621" s="21"/>
      <c r="K621" s="21"/>
      <c r="L621" s="21"/>
      <c r="M621" s="21"/>
      <c r="N621" s="21"/>
      <c r="O621" s="21"/>
      <c r="P621" s="21"/>
      <c r="Q621" s="2"/>
      <c r="R621" s="2"/>
      <c r="S621" s="2"/>
      <c r="T621" s="2"/>
      <c r="U621" s="2"/>
      <c r="V621" s="2"/>
      <c r="W621" s="2"/>
      <c r="X621" s="2"/>
      <c r="Y621" s="2"/>
      <c r="Z621" s="2"/>
      <c r="AA621" s="2"/>
      <c r="AB621" s="2"/>
    </row>
    <row r="622">
      <c r="A622" s="2"/>
      <c r="B622" s="21"/>
      <c r="C622" s="21"/>
      <c r="D622" s="21"/>
      <c r="E622" s="21"/>
      <c r="F622" s="2"/>
      <c r="G622" s="2"/>
      <c r="H622" s="35"/>
      <c r="I622" s="21"/>
      <c r="J622" s="21"/>
      <c r="K622" s="21"/>
      <c r="L622" s="21"/>
      <c r="M622" s="21"/>
      <c r="N622" s="21"/>
      <c r="O622" s="21"/>
      <c r="P622" s="21"/>
      <c r="Q622" s="2"/>
      <c r="R622" s="2"/>
      <c r="S622" s="2"/>
      <c r="T622" s="2"/>
      <c r="U622" s="2"/>
      <c r="V622" s="2"/>
      <c r="W622" s="2"/>
      <c r="X622" s="2"/>
      <c r="Y622" s="2"/>
      <c r="Z622" s="2"/>
      <c r="AA622" s="2"/>
      <c r="AB622" s="2"/>
    </row>
    <row r="623">
      <c r="A623" s="2"/>
      <c r="B623" s="21"/>
      <c r="C623" s="21"/>
      <c r="D623" s="21"/>
      <c r="E623" s="21"/>
      <c r="F623" s="2"/>
      <c r="G623" s="2"/>
      <c r="H623" s="35"/>
      <c r="I623" s="21"/>
      <c r="J623" s="21"/>
      <c r="K623" s="21"/>
      <c r="L623" s="21"/>
      <c r="M623" s="21"/>
      <c r="N623" s="21"/>
      <c r="O623" s="21"/>
      <c r="P623" s="21"/>
      <c r="Q623" s="2"/>
      <c r="R623" s="2"/>
      <c r="S623" s="2"/>
      <c r="T623" s="2"/>
      <c r="U623" s="2"/>
      <c r="V623" s="2"/>
      <c r="W623" s="2"/>
      <c r="X623" s="2"/>
      <c r="Y623" s="2"/>
      <c r="Z623" s="2"/>
      <c r="AA623" s="2"/>
      <c r="AB623" s="2"/>
    </row>
    <row r="624">
      <c r="A624" s="2"/>
      <c r="B624" s="21"/>
      <c r="C624" s="21"/>
      <c r="D624" s="21"/>
      <c r="E624" s="21"/>
      <c r="F624" s="2"/>
      <c r="G624" s="2"/>
      <c r="H624" s="35"/>
      <c r="I624" s="21"/>
      <c r="J624" s="21"/>
      <c r="K624" s="21"/>
      <c r="L624" s="21"/>
      <c r="M624" s="21"/>
      <c r="N624" s="21"/>
      <c r="O624" s="21"/>
      <c r="P624" s="21"/>
      <c r="Q624" s="2"/>
      <c r="R624" s="2"/>
      <c r="S624" s="2"/>
      <c r="T624" s="2"/>
      <c r="U624" s="2"/>
      <c r="V624" s="2"/>
      <c r="W624" s="2"/>
      <c r="X624" s="2"/>
      <c r="Y624" s="2"/>
      <c r="Z624" s="2"/>
      <c r="AA624" s="2"/>
      <c r="AB624" s="2"/>
    </row>
    <row r="625">
      <c r="A625" s="2"/>
      <c r="B625" s="21"/>
      <c r="C625" s="21"/>
      <c r="D625" s="21"/>
      <c r="E625" s="21"/>
      <c r="F625" s="2"/>
      <c r="G625" s="2"/>
      <c r="H625" s="35"/>
      <c r="I625" s="21"/>
      <c r="J625" s="21"/>
      <c r="K625" s="21"/>
      <c r="L625" s="21"/>
      <c r="M625" s="21"/>
      <c r="N625" s="21"/>
      <c r="O625" s="21"/>
      <c r="P625" s="21"/>
      <c r="Q625" s="2"/>
      <c r="R625" s="2"/>
      <c r="S625" s="2"/>
      <c r="T625" s="2"/>
      <c r="U625" s="2"/>
      <c r="V625" s="2"/>
      <c r="W625" s="2"/>
      <c r="X625" s="2"/>
      <c r="Y625" s="2"/>
      <c r="Z625" s="2"/>
      <c r="AA625" s="2"/>
      <c r="AB625" s="2"/>
    </row>
    <row r="626">
      <c r="A626" s="2"/>
      <c r="B626" s="21"/>
      <c r="C626" s="21"/>
      <c r="D626" s="21"/>
      <c r="E626" s="21"/>
      <c r="F626" s="2"/>
      <c r="G626" s="2"/>
      <c r="H626" s="35"/>
      <c r="I626" s="21"/>
      <c r="J626" s="21"/>
      <c r="K626" s="21"/>
      <c r="L626" s="21"/>
      <c r="M626" s="21"/>
      <c r="N626" s="21"/>
      <c r="O626" s="21"/>
      <c r="P626" s="21"/>
      <c r="Q626" s="2"/>
      <c r="R626" s="2"/>
      <c r="S626" s="2"/>
      <c r="T626" s="2"/>
      <c r="U626" s="2"/>
      <c r="V626" s="2"/>
      <c r="W626" s="2"/>
      <c r="X626" s="2"/>
      <c r="Y626" s="2"/>
      <c r="Z626" s="2"/>
      <c r="AA626" s="2"/>
      <c r="AB626" s="2"/>
    </row>
    <row r="627">
      <c r="A627" s="2"/>
      <c r="B627" s="21"/>
      <c r="C627" s="21"/>
      <c r="D627" s="21"/>
      <c r="E627" s="21"/>
      <c r="F627" s="2"/>
      <c r="G627" s="2"/>
      <c r="H627" s="35"/>
      <c r="I627" s="21"/>
      <c r="J627" s="21"/>
      <c r="K627" s="21"/>
      <c r="L627" s="21"/>
      <c r="M627" s="21"/>
      <c r="N627" s="21"/>
      <c r="O627" s="21"/>
      <c r="P627" s="21"/>
      <c r="Q627" s="2"/>
      <c r="R627" s="2"/>
      <c r="S627" s="2"/>
      <c r="T627" s="2"/>
      <c r="U627" s="2"/>
      <c r="V627" s="2"/>
      <c r="W627" s="2"/>
      <c r="X627" s="2"/>
      <c r="Y627" s="2"/>
      <c r="Z627" s="2"/>
      <c r="AA627" s="2"/>
      <c r="AB627" s="2"/>
    </row>
    <row r="628">
      <c r="A628" s="2"/>
      <c r="B628" s="21"/>
      <c r="C628" s="21"/>
      <c r="D628" s="21"/>
      <c r="E628" s="21"/>
      <c r="F628" s="2"/>
      <c r="G628" s="2"/>
      <c r="H628" s="35"/>
      <c r="I628" s="21"/>
      <c r="J628" s="21"/>
      <c r="K628" s="21"/>
      <c r="L628" s="21"/>
      <c r="M628" s="21"/>
      <c r="N628" s="21"/>
      <c r="O628" s="21"/>
      <c r="P628" s="21"/>
      <c r="Q628" s="2"/>
      <c r="R628" s="2"/>
      <c r="S628" s="2"/>
      <c r="T628" s="2"/>
      <c r="U628" s="2"/>
      <c r="V628" s="2"/>
      <c r="W628" s="2"/>
      <c r="X628" s="2"/>
      <c r="Y628" s="2"/>
      <c r="Z628" s="2"/>
      <c r="AA628" s="2"/>
      <c r="AB628" s="2"/>
    </row>
    <row r="629">
      <c r="A629" s="2"/>
      <c r="B629" s="21"/>
      <c r="C629" s="21"/>
      <c r="D629" s="21"/>
      <c r="E629" s="21"/>
      <c r="F629" s="2"/>
      <c r="G629" s="2"/>
      <c r="H629" s="35"/>
      <c r="I629" s="21"/>
      <c r="J629" s="21"/>
      <c r="K629" s="21"/>
      <c r="L629" s="21"/>
      <c r="M629" s="21"/>
      <c r="N629" s="21"/>
      <c r="O629" s="21"/>
      <c r="P629" s="21"/>
      <c r="Q629" s="2"/>
      <c r="R629" s="2"/>
      <c r="S629" s="2"/>
      <c r="T629" s="2"/>
      <c r="U629" s="2"/>
      <c r="V629" s="2"/>
      <c r="W629" s="2"/>
      <c r="X629" s="2"/>
      <c r="Y629" s="2"/>
      <c r="Z629" s="2"/>
      <c r="AA629" s="2"/>
      <c r="AB629" s="2"/>
    </row>
    <row r="630">
      <c r="A630" s="2"/>
      <c r="B630" s="21"/>
      <c r="C630" s="21"/>
      <c r="D630" s="21"/>
      <c r="E630" s="21"/>
      <c r="F630" s="2"/>
      <c r="G630" s="2"/>
      <c r="H630" s="35"/>
      <c r="I630" s="21"/>
      <c r="J630" s="21"/>
      <c r="K630" s="21"/>
      <c r="L630" s="21"/>
      <c r="M630" s="21"/>
      <c r="N630" s="21"/>
      <c r="O630" s="21"/>
      <c r="P630" s="21"/>
      <c r="Q630" s="2"/>
      <c r="R630" s="2"/>
      <c r="S630" s="2"/>
      <c r="T630" s="2"/>
      <c r="U630" s="2"/>
      <c r="V630" s="2"/>
      <c r="W630" s="2"/>
      <c r="X630" s="2"/>
      <c r="Y630" s="2"/>
      <c r="Z630" s="2"/>
      <c r="AA630" s="2"/>
      <c r="AB630" s="2"/>
    </row>
    <row r="631">
      <c r="A631" s="2"/>
      <c r="B631" s="21"/>
      <c r="C631" s="21"/>
      <c r="D631" s="21"/>
      <c r="E631" s="21"/>
      <c r="F631" s="2"/>
      <c r="G631" s="2"/>
      <c r="H631" s="35"/>
      <c r="I631" s="21"/>
      <c r="J631" s="21"/>
      <c r="K631" s="21"/>
      <c r="L631" s="21"/>
      <c r="M631" s="21"/>
      <c r="N631" s="21"/>
      <c r="O631" s="21"/>
      <c r="P631" s="21"/>
      <c r="Q631" s="2"/>
      <c r="R631" s="2"/>
      <c r="S631" s="2"/>
      <c r="T631" s="2"/>
      <c r="U631" s="2"/>
      <c r="V631" s="2"/>
      <c r="W631" s="2"/>
      <c r="X631" s="2"/>
      <c r="Y631" s="2"/>
      <c r="Z631" s="2"/>
      <c r="AA631" s="2"/>
      <c r="AB631" s="2"/>
    </row>
    <row r="632">
      <c r="A632" s="2"/>
      <c r="B632" s="21"/>
      <c r="C632" s="21"/>
      <c r="D632" s="21"/>
      <c r="E632" s="21"/>
      <c r="F632" s="2"/>
      <c r="G632" s="2"/>
      <c r="H632" s="35"/>
      <c r="I632" s="21"/>
      <c r="J632" s="21"/>
      <c r="K632" s="21"/>
      <c r="L632" s="21"/>
      <c r="M632" s="21"/>
      <c r="N632" s="21"/>
      <c r="O632" s="21"/>
      <c r="P632" s="21"/>
      <c r="Q632" s="2"/>
      <c r="R632" s="2"/>
      <c r="S632" s="2"/>
      <c r="T632" s="2"/>
      <c r="U632" s="2"/>
      <c r="V632" s="2"/>
      <c r="W632" s="2"/>
      <c r="X632" s="2"/>
      <c r="Y632" s="2"/>
      <c r="Z632" s="2"/>
      <c r="AA632" s="2"/>
      <c r="AB632" s="2"/>
    </row>
    <row r="633">
      <c r="A633" s="2"/>
      <c r="B633" s="21"/>
      <c r="C633" s="21"/>
      <c r="D633" s="21"/>
      <c r="E633" s="21"/>
      <c r="F633" s="2"/>
      <c r="G633" s="2"/>
      <c r="H633" s="35"/>
      <c r="I633" s="21"/>
      <c r="J633" s="21"/>
      <c r="K633" s="21"/>
      <c r="L633" s="21"/>
      <c r="M633" s="21"/>
      <c r="N633" s="21"/>
      <c r="O633" s="21"/>
      <c r="P633" s="21"/>
      <c r="Q633" s="2"/>
      <c r="R633" s="2"/>
      <c r="S633" s="2"/>
      <c r="T633" s="2"/>
      <c r="U633" s="2"/>
      <c r="V633" s="2"/>
      <c r="W633" s="2"/>
      <c r="X633" s="2"/>
      <c r="Y633" s="2"/>
      <c r="Z633" s="2"/>
      <c r="AA633" s="2"/>
      <c r="AB633" s="2"/>
    </row>
    <row r="634">
      <c r="A634" s="2"/>
      <c r="B634" s="21"/>
      <c r="C634" s="21"/>
      <c r="D634" s="21"/>
      <c r="E634" s="21"/>
      <c r="F634" s="2"/>
      <c r="G634" s="2"/>
      <c r="H634" s="35"/>
      <c r="I634" s="21"/>
      <c r="J634" s="21"/>
      <c r="K634" s="21"/>
      <c r="L634" s="21"/>
      <c r="M634" s="21"/>
      <c r="N634" s="21"/>
      <c r="O634" s="21"/>
      <c r="P634" s="21"/>
      <c r="Q634" s="2"/>
      <c r="R634" s="2"/>
      <c r="S634" s="2"/>
      <c r="T634" s="2"/>
      <c r="U634" s="2"/>
      <c r="V634" s="2"/>
      <c r="W634" s="2"/>
      <c r="X634" s="2"/>
      <c r="Y634" s="2"/>
      <c r="Z634" s="2"/>
      <c r="AA634" s="2"/>
      <c r="AB634" s="2"/>
    </row>
    <row r="635">
      <c r="A635" s="2"/>
      <c r="B635" s="21"/>
      <c r="C635" s="21"/>
      <c r="D635" s="21"/>
      <c r="E635" s="21"/>
      <c r="F635" s="2"/>
      <c r="G635" s="2"/>
      <c r="H635" s="35"/>
      <c r="I635" s="21"/>
      <c r="J635" s="21"/>
      <c r="K635" s="21"/>
      <c r="L635" s="21"/>
      <c r="M635" s="21"/>
      <c r="N635" s="21"/>
      <c r="O635" s="21"/>
      <c r="P635" s="21"/>
      <c r="Q635" s="2"/>
      <c r="R635" s="2"/>
      <c r="S635" s="2"/>
      <c r="T635" s="2"/>
      <c r="U635" s="2"/>
      <c r="V635" s="2"/>
      <c r="W635" s="2"/>
      <c r="X635" s="2"/>
      <c r="Y635" s="2"/>
      <c r="Z635" s="2"/>
      <c r="AA635" s="2"/>
      <c r="AB635" s="2"/>
    </row>
    <row r="636">
      <c r="A636" s="2"/>
      <c r="B636" s="21"/>
      <c r="C636" s="21"/>
      <c r="D636" s="21"/>
      <c r="E636" s="21"/>
      <c r="F636" s="2"/>
      <c r="G636" s="2"/>
      <c r="H636" s="35"/>
      <c r="I636" s="21"/>
      <c r="J636" s="21"/>
      <c r="K636" s="21"/>
      <c r="L636" s="21"/>
      <c r="M636" s="21"/>
      <c r="N636" s="21"/>
      <c r="O636" s="21"/>
      <c r="P636" s="21"/>
      <c r="Q636" s="2"/>
      <c r="R636" s="2"/>
      <c r="S636" s="2"/>
      <c r="T636" s="2"/>
      <c r="U636" s="2"/>
      <c r="V636" s="2"/>
      <c r="W636" s="2"/>
      <c r="X636" s="2"/>
      <c r="Y636" s="2"/>
      <c r="Z636" s="2"/>
      <c r="AA636" s="2"/>
      <c r="AB636" s="2"/>
    </row>
    <row r="637">
      <c r="A637" s="2"/>
      <c r="B637" s="21"/>
      <c r="C637" s="21"/>
      <c r="D637" s="21"/>
      <c r="E637" s="21"/>
      <c r="F637" s="2"/>
      <c r="G637" s="2"/>
      <c r="H637" s="35"/>
      <c r="I637" s="21"/>
      <c r="J637" s="21"/>
      <c r="K637" s="21"/>
      <c r="L637" s="21"/>
      <c r="M637" s="21"/>
      <c r="N637" s="21"/>
      <c r="O637" s="21"/>
      <c r="P637" s="21"/>
      <c r="Q637" s="2"/>
      <c r="R637" s="2"/>
      <c r="S637" s="2"/>
      <c r="T637" s="2"/>
      <c r="U637" s="2"/>
      <c r="V637" s="2"/>
      <c r="W637" s="2"/>
      <c r="X637" s="2"/>
      <c r="Y637" s="2"/>
      <c r="Z637" s="2"/>
      <c r="AA637" s="2"/>
      <c r="AB637" s="2"/>
    </row>
    <row r="638">
      <c r="A638" s="2"/>
      <c r="B638" s="21"/>
      <c r="C638" s="21"/>
      <c r="D638" s="21"/>
      <c r="E638" s="21"/>
      <c r="F638" s="2"/>
      <c r="G638" s="2"/>
      <c r="H638" s="35"/>
      <c r="I638" s="21"/>
      <c r="J638" s="21"/>
      <c r="K638" s="21"/>
      <c r="L638" s="21"/>
      <c r="M638" s="21"/>
      <c r="N638" s="21"/>
      <c r="O638" s="21"/>
      <c r="P638" s="21"/>
      <c r="Q638" s="2"/>
      <c r="R638" s="2"/>
      <c r="S638" s="2"/>
      <c r="T638" s="2"/>
      <c r="U638" s="2"/>
      <c r="V638" s="2"/>
      <c r="W638" s="2"/>
      <c r="X638" s="2"/>
      <c r="Y638" s="2"/>
      <c r="Z638" s="2"/>
      <c r="AA638" s="2"/>
      <c r="AB638" s="2"/>
    </row>
    <row r="639">
      <c r="A639" s="2"/>
      <c r="B639" s="21"/>
      <c r="C639" s="21"/>
      <c r="D639" s="21"/>
      <c r="E639" s="21"/>
      <c r="F639" s="2"/>
      <c r="G639" s="2"/>
      <c r="H639" s="35"/>
      <c r="I639" s="21"/>
      <c r="J639" s="21"/>
      <c r="K639" s="21"/>
      <c r="L639" s="21"/>
      <c r="M639" s="21"/>
      <c r="N639" s="21"/>
      <c r="O639" s="21"/>
      <c r="P639" s="21"/>
      <c r="Q639" s="2"/>
      <c r="R639" s="2"/>
      <c r="S639" s="2"/>
      <c r="T639" s="2"/>
      <c r="U639" s="2"/>
      <c r="V639" s="2"/>
      <c r="W639" s="2"/>
      <c r="X639" s="2"/>
      <c r="Y639" s="2"/>
      <c r="Z639" s="2"/>
      <c r="AA639" s="2"/>
      <c r="AB639" s="2"/>
    </row>
    <row r="640">
      <c r="A640" s="2"/>
      <c r="B640" s="21"/>
      <c r="C640" s="21"/>
      <c r="D640" s="21"/>
      <c r="E640" s="21"/>
      <c r="F640" s="2"/>
      <c r="G640" s="2"/>
      <c r="H640" s="35"/>
      <c r="I640" s="21"/>
      <c r="J640" s="21"/>
      <c r="K640" s="21"/>
      <c r="L640" s="21"/>
      <c r="M640" s="21"/>
      <c r="N640" s="21"/>
      <c r="O640" s="21"/>
      <c r="P640" s="21"/>
      <c r="Q640" s="2"/>
      <c r="R640" s="2"/>
      <c r="S640" s="2"/>
      <c r="T640" s="2"/>
      <c r="U640" s="2"/>
      <c r="V640" s="2"/>
      <c r="W640" s="2"/>
      <c r="X640" s="2"/>
      <c r="Y640" s="2"/>
      <c r="Z640" s="2"/>
      <c r="AA640" s="2"/>
      <c r="AB640" s="2"/>
    </row>
    <row r="641">
      <c r="A641" s="2"/>
      <c r="B641" s="21"/>
      <c r="C641" s="21"/>
      <c r="D641" s="21"/>
      <c r="E641" s="21"/>
      <c r="F641" s="2"/>
      <c r="G641" s="2"/>
      <c r="H641" s="35"/>
      <c r="I641" s="21"/>
      <c r="J641" s="21"/>
      <c r="K641" s="21"/>
      <c r="L641" s="21"/>
      <c r="M641" s="21"/>
      <c r="N641" s="21"/>
      <c r="O641" s="21"/>
      <c r="P641" s="21"/>
      <c r="Q641" s="2"/>
      <c r="R641" s="2"/>
      <c r="S641" s="2"/>
      <c r="T641" s="2"/>
      <c r="U641" s="2"/>
      <c r="V641" s="2"/>
      <c r="W641" s="2"/>
      <c r="X641" s="2"/>
      <c r="Y641" s="2"/>
      <c r="Z641" s="2"/>
      <c r="AA641" s="2"/>
      <c r="AB641" s="2"/>
    </row>
    <row r="642">
      <c r="A642" s="2"/>
      <c r="B642" s="21"/>
      <c r="C642" s="21"/>
      <c r="D642" s="21"/>
      <c r="E642" s="21"/>
      <c r="F642" s="2"/>
      <c r="G642" s="2"/>
      <c r="H642" s="35"/>
      <c r="I642" s="21"/>
      <c r="J642" s="21"/>
      <c r="K642" s="21"/>
      <c r="L642" s="21"/>
      <c r="M642" s="21"/>
      <c r="N642" s="21"/>
      <c r="O642" s="21"/>
      <c r="P642" s="21"/>
      <c r="Q642" s="2"/>
      <c r="R642" s="2"/>
      <c r="S642" s="2"/>
      <c r="T642" s="2"/>
      <c r="U642" s="2"/>
      <c r="V642" s="2"/>
      <c r="W642" s="2"/>
      <c r="X642" s="2"/>
      <c r="Y642" s="2"/>
      <c r="Z642" s="2"/>
      <c r="AA642" s="2"/>
      <c r="AB642" s="2"/>
    </row>
    <row r="643">
      <c r="A643" s="2"/>
      <c r="B643" s="21"/>
      <c r="C643" s="21"/>
      <c r="D643" s="21"/>
      <c r="E643" s="21"/>
      <c r="F643" s="2"/>
      <c r="G643" s="2"/>
      <c r="H643" s="35"/>
      <c r="I643" s="21"/>
      <c r="J643" s="21"/>
      <c r="K643" s="21"/>
      <c r="L643" s="21"/>
      <c r="M643" s="21"/>
      <c r="N643" s="21"/>
      <c r="O643" s="21"/>
      <c r="P643" s="21"/>
      <c r="Q643" s="2"/>
      <c r="R643" s="2"/>
      <c r="S643" s="2"/>
      <c r="T643" s="2"/>
      <c r="U643" s="2"/>
      <c r="V643" s="2"/>
      <c r="W643" s="2"/>
      <c r="X643" s="2"/>
      <c r="Y643" s="2"/>
      <c r="Z643" s="2"/>
      <c r="AA643" s="2"/>
      <c r="AB643" s="2"/>
    </row>
    <row r="644">
      <c r="A644" s="2"/>
      <c r="B644" s="21"/>
      <c r="C644" s="21"/>
      <c r="D644" s="21"/>
      <c r="E644" s="21"/>
      <c r="F644" s="2"/>
      <c r="G644" s="2"/>
      <c r="H644" s="35"/>
      <c r="I644" s="21"/>
      <c r="J644" s="21"/>
      <c r="K644" s="21"/>
      <c r="L644" s="21"/>
      <c r="M644" s="21"/>
      <c r="N644" s="21"/>
      <c r="O644" s="21"/>
      <c r="P644" s="21"/>
      <c r="Q644" s="2"/>
      <c r="R644" s="2"/>
      <c r="S644" s="2"/>
      <c r="T644" s="2"/>
      <c r="U644" s="2"/>
      <c r="V644" s="2"/>
      <c r="W644" s="2"/>
      <c r="X644" s="2"/>
      <c r="Y644" s="2"/>
      <c r="Z644" s="2"/>
      <c r="AA644" s="2"/>
      <c r="AB644" s="2"/>
    </row>
    <row r="645">
      <c r="A645" s="2"/>
      <c r="B645" s="21"/>
      <c r="C645" s="21"/>
      <c r="D645" s="21"/>
      <c r="E645" s="21"/>
      <c r="F645" s="2"/>
      <c r="G645" s="2"/>
      <c r="H645" s="35"/>
      <c r="I645" s="21"/>
      <c r="J645" s="21"/>
      <c r="K645" s="21"/>
      <c r="L645" s="21"/>
      <c r="M645" s="21"/>
      <c r="N645" s="21"/>
      <c r="O645" s="21"/>
      <c r="P645" s="21"/>
      <c r="Q645" s="2"/>
      <c r="R645" s="2"/>
      <c r="S645" s="2"/>
      <c r="T645" s="2"/>
      <c r="U645" s="2"/>
      <c r="V645" s="2"/>
      <c r="W645" s="2"/>
      <c r="X645" s="2"/>
      <c r="Y645" s="2"/>
      <c r="Z645" s="2"/>
      <c r="AA645" s="2"/>
      <c r="AB645" s="2"/>
    </row>
    <row r="646">
      <c r="A646" s="2"/>
      <c r="B646" s="21"/>
      <c r="C646" s="21"/>
      <c r="D646" s="21"/>
      <c r="E646" s="21"/>
      <c r="F646" s="2"/>
      <c r="G646" s="2"/>
      <c r="H646" s="35"/>
      <c r="I646" s="21"/>
      <c r="J646" s="21"/>
      <c r="K646" s="21"/>
      <c r="L646" s="21"/>
      <c r="M646" s="21"/>
      <c r="N646" s="21"/>
      <c r="O646" s="21"/>
      <c r="P646" s="21"/>
      <c r="Q646" s="2"/>
      <c r="R646" s="2"/>
      <c r="S646" s="2"/>
      <c r="T646" s="2"/>
      <c r="U646" s="2"/>
      <c r="V646" s="2"/>
      <c r="W646" s="2"/>
      <c r="X646" s="2"/>
      <c r="Y646" s="2"/>
      <c r="Z646" s="2"/>
      <c r="AA646" s="2"/>
      <c r="AB646" s="2"/>
    </row>
    <row r="647">
      <c r="A647" s="2"/>
      <c r="B647" s="21"/>
      <c r="C647" s="21"/>
      <c r="D647" s="21"/>
      <c r="E647" s="21"/>
      <c r="F647" s="2"/>
      <c r="G647" s="2"/>
      <c r="H647" s="35"/>
      <c r="I647" s="21"/>
      <c r="J647" s="21"/>
      <c r="K647" s="21"/>
      <c r="L647" s="21"/>
      <c r="M647" s="21"/>
      <c r="N647" s="21"/>
      <c r="O647" s="21"/>
      <c r="P647" s="21"/>
      <c r="Q647" s="2"/>
      <c r="R647" s="2"/>
      <c r="S647" s="2"/>
      <c r="T647" s="2"/>
      <c r="U647" s="2"/>
      <c r="V647" s="2"/>
      <c r="W647" s="2"/>
      <c r="X647" s="2"/>
      <c r="Y647" s="2"/>
      <c r="Z647" s="2"/>
      <c r="AA647" s="2"/>
      <c r="AB647" s="2"/>
    </row>
    <row r="648">
      <c r="A648" s="2"/>
      <c r="B648" s="21"/>
      <c r="C648" s="21"/>
      <c r="D648" s="21"/>
      <c r="E648" s="21"/>
      <c r="F648" s="2"/>
      <c r="G648" s="2"/>
      <c r="H648" s="35"/>
      <c r="I648" s="21"/>
      <c r="J648" s="21"/>
      <c r="K648" s="21"/>
      <c r="L648" s="21"/>
      <c r="M648" s="21"/>
      <c r="N648" s="21"/>
      <c r="O648" s="21"/>
      <c r="P648" s="21"/>
      <c r="Q648" s="2"/>
      <c r="R648" s="2"/>
      <c r="S648" s="2"/>
      <c r="T648" s="2"/>
      <c r="U648" s="2"/>
      <c r="V648" s="2"/>
      <c r="W648" s="2"/>
      <c r="X648" s="2"/>
      <c r="Y648" s="2"/>
      <c r="Z648" s="2"/>
      <c r="AA648" s="2"/>
      <c r="AB648" s="2"/>
    </row>
    <row r="649">
      <c r="A649" s="2"/>
      <c r="B649" s="21"/>
      <c r="C649" s="21"/>
      <c r="D649" s="21"/>
      <c r="E649" s="21"/>
      <c r="F649" s="2"/>
      <c r="G649" s="2"/>
      <c r="H649" s="35"/>
      <c r="I649" s="21"/>
      <c r="J649" s="21"/>
      <c r="K649" s="21"/>
      <c r="L649" s="21"/>
      <c r="M649" s="21"/>
      <c r="N649" s="21"/>
      <c r="O649" s="21"/>
      <c r="P649" s="21"/>
      <c r="Q649" s="2"/>
      <c r="R649" s="2"/>
      <c r="S649" s="2"/>
      <c r="T649" s="2"/>
      <c r="U649" s="2"/>
      <c r="V649" s="2"/>
      <c r="W649" s="2"/>
      <c r="X649" s="2"/>
      <c r="Y649" s="2"/>
      <c r="Z649" s="2"/>
      <c r="AA649" s="2"/>
      <c r="AB649" s="2"/>
    </row>
    <row r="650">
      <c r="A650" s="2"/>
      <c r="B650" s="21"/>
      <c r="C650" s="21"/>
      <c r="D650" s="21"/>
      <c r="E650" s="21"/>
      <c r="F650" s="2"/>
      <c r="G650" s="2"/>
      <c r="H650" s="35"/>
      <c r="I650" s="21"/>
      <c r="J650" s="21"/>
      <c r="K650" s="21"/>
      <c r="L650" s="21"/>
      <c r="M650" s="21"/>
      <c r="N650" s="21"/>
      <c r="O650" s="21"/>
      <c r="P650" s="21"/>
      <c r="Q650" s="2"/>
      <c r="R650" s="2"/>
      <c r="S650" s="2"/>
      <c r="T650" s="2"/>
      <c r="U650" s="2"/>
      <c r="V650" s="2"/>
      <c r="W650" s="2"/>
      <c r="X650" s="2"/>
      <c r="Y650" s="2"/>
      <c r="Z650" s="2"/>
      <c r="AA650" s="2"/>
      <c r="AB650" s="2"/>
    </row>
    <row r="651">
      <c r="A651" s="2"/>
      <c r="B651" s="21"/>
      <c r="C651" s="21"/>
      <c r="D651" s="21"/>
      <c r="E651" s="21"/>
      <c r="F651" s="2"/>
      <c r="G651" s="2"/>
      <c r="H651" s="35"/>
      <c r="I651" s="21"/>
      <c r="J651" s="21"/>
      <c r="K651" s="21"/>
      <c r="L651" s="21"/>
      <c r="M651" s="21"/>
      <c r="N651" s="21"/>
      <c r="O651" s="21"/>
      <c r="P651" s="21"/>
      <c r="Q651" s="2"/>
      <c r="R651" s="2"/>
      <c r="S651" s="2"/>
      <c r="T651" s="2"/>
      <c r="U651" s="2"/>
      <c r="V651" s="2"/>
      <c r="W651" s="2"/>
      <c r="X651" s="2"/>
      <c r="Y651" s="2"/>
      <c r="Z651" s="2"/>
      <c r="AA651" s="2"/>
      <c r="AB651" s="2"/>
    </row>
    <row r="652">
      <c r="A652" s="2"/>
      <c r="B652" s="21"/>
      <c r="C652" s="21"/>
      <c r="D652" s="21"/>
      <c r="E652" s="21"/>
      <c r="F652" s="2"/>
      <c r="G652" s="2"/>
      <c r="H652" s="35"/>
      <c r="I652" s="21"/>
      <c r="J652" s="21"/>
      <c r="K652" s="21"/>
      <c r="L652" s="21"/>
      <c r="M652" s="21"/>
      <c r="N652" s="21"/>
      <c r="O652" s="21"/>
      <c r="P652" s="21"/>
      <c r="Q652" s="2"/>
      <c r="R652" s="2"/>
      <c r="S652" s="2"/>
      <c r="T652" s="2"/>
      <c r="U652" s="2"/>
      <c r="V652" s="2"/>
      <c r="W652" s="2"/>
      <c r="X652" s="2"/>
      <c r="Y652" s="2"/>
      <c r="Z652" s="2"/>
      <c r="AA652" s="2"/>
      <c r="AB652" s="2"/>
    </row>
    <row r="653">
      <c r="A653" s="2"/>
      <c r="B653" s="21"/>
      <c r="C653" s="21"/>
      <c r="D653" s="21"/>
      <c r="E653" s="21"/>
      <c r="F653" s="2"/>
      <c r="G653" s="2"/>
      <c r="H653" s="35"/>
      <c r="I653" s="21"/>
      <c r="J653" s="21"/>
      <c r="K653" s="21"/>
      <c r="L653" s="21"/>
      <c r="M653" s="21"/>
      <c r="N653" s="21"/>
      <c r="O653" s="21"/>
      <c r="P653" s="21"/>
      <c r="Q653" s="2"/>
      <c r="R653" s="2"/>
      <c r="S653" s="2"/>
      <c r="T653" s="2"/>
      <c r="U653" s="2"/>
      <c r="V653" s="2"/>
      <c r="W653" s="2"/>
      <c r="X653" s="2"/>
      <c r="Y653" s="2"/>
      <c r="Z653" s="2"/>
      <c r="AA653" s="2"/>
      <c r="AB653" s="2"/>
    </row>
    <row r="654">
      <c r="A654" s="2"/>
      <c r="B654" s="21"/>
      <c r="C654" s="21"/>
      <c r="D654" s="21"/>
      <c r="E654" s="21"/>
      <c r="F654" s="2"/>
      <c r="G654" s="2"/>
      <c r="H654" s="35"/>
      <c r="I654" s="21"/>
      <c r="J654" s="21"/>
      <c r="K654" s="21"/>
      <c r="L654" s="21"/>
      <c r="M654" s="21"/>
      <c r="N654" s="21"/>
      <c r="O654" s="21"/>
      <c r="P654" s="21"/>
      <c r="Q654" s="2"/>
      <c r="R654" s="2"/>
      <c r="S654" s="2"/>
      <c r="T654" s="2"/>
      <c r="U654" s="2"/>
      <c r="V654" s="2"/>
      <c r="W654" s="2"/>
      <c r="X654" s="2"/>
      <c r="Y654" s="2"/>
      <c r="Z654" s="2"/>
      <c r="AA654" s="2"/>
      <c r="AB654" s="2"/>
    </row>
    <row r="655">
      <c r="A655" s="2"/>
      <c r="B655" s="21"/>
      <c r="C655" s="21"/>
      <c r="D655" s="21"/>
      <c r="E655" s="21"/>
      <c r="F655" s="2"/>
      <c r="G655" s="2"/>
      <c r="H655" s="35"/>
      <c r="I655" s="21"/>
      <c r="J655" s="21"/>
      <c r="K655" s="21"/>
      <c r="L655" s="21"/>
      <c r="M655" s="21"/>
      <c r="N655" s="21"/>
      <c r="O655" s="21"/>
      <c r="P655" s="21"/>
      <c r="Q655" s="2"/>
      <c r="R655" s="2"/>
      <c r="S655" s="2"/>
      <c r="T655" s="2"/>
      <c r="U655" s="2"/>
      <c r="V655" s="2"/>
      <c r="W655" s="2"/>
      <c r="X655" s="2"/>
      <c r="Y655" s="2"/>
      <c r="Z655" s="2"/>
      <c r="AA655" s="2"/>
      <c r="AB655" s="2"/>
    </row>
    <row r="656">
      <c r="A656" s="2"/>
      <c r="B656" s="21"/>
      <c r="C656" s="21"/>
      <c r="D656" s="21"/>
      <c r="E656" s="21"/>
      <c r="F656" s="2"/>
      <c r="G656" s="2"/>
      <c r="H656" s="35"/>
      <c r="I656" s="21"/>
      <c r="J656" s="21"/>
      <c r="K656" s="21"/>
      <c r="L656" s="21"/>
      <c r="M656" s="21"/>
      <c r="N656" s="21"/>
      <c r="O656" s="21"/>
      <c r="P656" s="21"/>
      <c r="Q656" s="2"/>
      <c r="R656" s="2"/>
      <c r="S656" s="2"/>
      <c r="T656" s="2"/>
      <c r="U656" s="2"/>
      <c r="V656" s="2"/>
      <c r="W656" s="2"/>
      <c r="X656" s="2"/>
      <c r="Y656" s="2"/>
      <c r="Z656" s="2"/>
      <c r="AA656" s="2"/>
      <c r="AB656" s="2"/>
    </row>
    <row r="657">
      <c r="A657" s="2"/>
      <c r="B657" s="21"/>
      <c r="C657" s="21"/>
      <c r="D657" s="21"/>
      <c r="E657" s="21"/>
      <c r="F657" s="2"/>
      <c r="G657" s="2"/>
      <c r="H657" s="35"/>
      <c r="I657" s="21"/>
      <c r="J657" s="21"/>
      <c r="K657" s="21"/>
      <c r="L657" s="21"/>
      <c r="M657" s="21"/>
      <c r="N657" s="21"/>
      <c r="O657" s="21"/>
      <c r="P657" s="21"/>
      <c r="Q657" s="2"/>
      <c r="R657" s="2"/>
      <c r="S657" s="2"/>
      <c r="T657" s="2"/>
      <c r="U657" s="2"/>
      <c r="V657" s="2"/>
      <c r="W657" s="2"/>
      <c r="X657" s="2"/>
      <c r="Y657" s="2"/>
      <c r="Z657" s="2"/>
      <c r="AA657" s="2"/>
      <c r="AB657" s="2"/>
    </row>
    <row r="658">
      <c r="A658" s="2"/>
      <c r="B658" s="21"/>
      <c r="C658" s="21"/>
      <c r="D658" s="21"/>
      <c r="E658" s="21"/>
      <c r="F658" s="2"/>
      <c r="G658" s="2"/>
      <c r="H658" s="35"/>
      <c r="I658" s="21"/>
      <c r="J658" s="21"/>
      <c r="K658" s="21"/>
      <c r="L658" s="21"/>
      <c r="M658" s="21"/>
      <c r="N658" s="21"/>
      <c r="O658" s="21"/>
      <c r="P658" s="21"/>
      <c r="Q658" s="2"/>
      <c r="R658" s="2"/>
      <c r="S658" s="2"/>
      <c r="T658" s="2"/>
      <c r="U658" s="2"/>
      <c r="V658" s="2"/>
      <c r="W658" s="2"/>
      <c r="X658" s="2"/>
      <c r="Y658" s="2"/>
      <c r="Z658" s="2"/>
      <c r="AA658" s="2"/>
      <c r="AB658" s="2"/>
    </row>
    <row r="659">
      <c r="A659" s="2"/>
      <c r="B659" s="21"/>
      <c r="C659" s="21"/>
      <c r="D659" s="21"/>
      <c r="E659" s="21"/>
      <c r="F659" s="2"/>
      <c r="G659" s="2"/>
      <c r="H659" s="35"/>
      <c r="I659" s="21"/>
      <c r="J659" s="21"/>
      <c r="K659" s="21"/>
      <c r="L659" s="21"/>
      <c r="M659" s="21"/>
      <c r="N659" s="21"/>
      <c r="O659" s="21"/>
      <c r="P659" s="21"/>
      <c r="Q659" s="2"/>
      <c r="R659" s="2"/>
      <c r="S659" s="2"/>
      <c r="T659" s="2"/>
      <c r="U659" s="2"/>
      <c r="V659" s="2"/>
      <c r="W659" s="2"/>
      <c r="X659" s="2"/>
      <c r="Y659" s="2"/>
      <c r="Z659" s="2"/>
      <c r="AA659" s="2"/>
      <c r="AB659" s="2"/>
    </row>
    <row r="660">
      <c r="A660" s="2"/>
      <c r="B660" s="21"/>
      <c r="C660" s="21"/>
      <c r="D660" s="21"/>
      <c r="E660" s="21"/>
      <c r="F660" s="2"/>
      <c r="G660" s="2"/>
      <c r="H660" s="35"/>
      <c r="I660" s="21"/>
      <c r="J660" s="21"/>
      <c r="K660" s="21"/>
      <c r="L660" s="21"/>
      <c r="M660" s="21"/>
      <c r="N660" s="21"/>
      <c r="O660" s="21"/>
      <c r="P660" s="21"/>
      <c r="Q660" s="2"/>
      <c r="R660" s="2"/>
      <c r="S660" s="2"/>
      <c r="T660" s="2"/>
      <c r="U660" s="2"/>
      <c r="V660" s="2"/>
      <c r="W660" s="2"/>
      <c r="X660" s="2"/>
      <c r="Y660" s="2"/>
      <c r="Z660" s="2"/>
      <c r="AA660" s="2"/>
      <c r="AB660" s="2"/>
    </row>
    <row r="661">
      <c r="A661" s="2"/>
      <c r="B661" s="21"/>
      <c r="C661" s="21"/>
      <c r="D661" s="21"/>
      <c r="E661" s="21"/>
      <c r="F661" s="2"/>
      <c r="G661" s="2"/>
      <c r="H661" s="35"/>
      <c r="I661" s="21"/>
      <c r="J661" s="21"/>
      <c r="K661" s="21"/>
      <c r="L661" s="21"/>
      <c r="M661" s="21"/>
      <c r="N661" s="21"/>
      <c r="O661" s="21"/>
      <c r="P661" s="21"/>
      <c r="Q661" s="2"/>
      <c r="R661" s="2"/>
      <c r="S661" s="2"/>
      <c r="T661" s="2"/>
      <c r="U661" s="2"/>
      <c r="V661" s="2"/>
      <c r="W661" s="2"/>
      <c r="X661" s="2"/>
      <c r="Y661" s="2"/>
      <c r="Z661" s="2"/>
      <c r="AA661" s="2"/>
      <c r="AB661" s="2"/>
    </row>
    <row r="662">
      <c r="A662" s="2"/>
      <c r="B662" s="21"/>
      <c r="C662" s="21"/>
      <c r="D662" s="21"/>
      <c r="E662" s="21"/>
      <c r="F662" s="2"/>
      <c r="G662" s="2"/>
      <c r="H662" s="35"/>
      <c r="I662" s="21"/>
      <c r="J662" s="21"/>
      <c r="K662" s="21"/>
      <c r="L662" s="21"/>
      <c r="M662" s="21"/>
      <c r="N662" s="21"/>
      <c r="O662" s="21"/>
      <c r="P662" s="21"/>
      <c r="Q662" s="2"/>
      <c r="R662" s="2"/>
      <c r="S662" s="2"/>
      <c r="T662" s="2"/>
      <c r="U662" s="2"/>
      <c r="V662" s="2"/>
      <c r="W662" s="2"/>
      <c r="X662" s="2"/>
      <c r="Y662" s="2"/>
      <c r="Z662" s="2"/>
      <c r="AA662" s="2"/>
      <c r="AB662" s="2"/>
    </row>
    <row r="663">
      <c r="A663" s="2"/>
      <c r="B663" s="21"/>
      <c r="C663" s="21"/>
      <c r="D663" s="21"/>
      <c r="E663" s="21"/>
      <c r="F663" s="2"/>
      <c r="G663" s="2"/>
      <c r="H663" s="35"/>
      <c r="I663" s="21"/>
      <c r="J663" s="21"/>
      <c r="K663" s="21"/>
      <c r="L663" s="21"/>
      <c r="M663" s="21"/>
      <c r="N663" s="21"/>
      <c r="O663" s="21"/>
      <c r="P663" s="21"/>
      <c r="Q663" s="2"/>
      <c r="R663" s="2"/>
      <c r="S663" s="2"/>
      <c r="T663" s="2"/>
      <c r="U663" s="2"/>
      <c r="V663" s="2"/>
      <c r="W663" s="2"/>
      <c r="X663" s="2"/>
      <c r="Y663" s="2"/>
      <c r="Z663" s="2"/>
      <c r="AA663" s="2"/>
      <c r="AB663" s="2"/>
    </row>
    <row r="664">
      <c r="A664" s="2"/>
      <c r="B664" s="21"/>
      <c r="C664" s="21"/>
      <c r="D664" s="21"/>
      <c r="E664" s="21"/>
      <c r="F664" s="2"/>
      <c r="G664" s="2"/>
      <c r="H664" s="35"/>
      <c r="I664" s="21"/>
      <c r="J664" s="21"/>
      <c r="K664" s="21"/>
      <c r="L664" s="21"/>
      <c r="M664" s="21"/>
      <c r="N664" s="21"/>
      <c r="O664" s="21"/>
      <c r="P664" s="21"/>
      <c r="Q664" s="2"/>
      <c r="R664" s="2"/>
      <c r="S664" s="2"/>
      <c r="T664" s="2"/>
      <c r="U664" s="2"/>
      <c r="V664" s="2"/>
      <c r="W664" s="2"/>
      <c r="X664" s="2"/>
      <c r="Y664" s="2"/>
      <c r="Z664" s="2"/>
      <c r="AA664" s="2"/>
      <c r="AB664" s="2"/>
    </row>
    <row r="665">
      <c r="A665" s="2"/>
      <c r="B665" s="21"/>
      <c r="C665" s="21"/>
      <c r="D665" s="21"/>
      <c r="E665" s="21"/>
      <c r="F665" s="2"/>
      <c r="G665" s="2"/>
      <c r="H665" s="35"/>
      <c r="I665" s="21"/>
      <c r="J665" s="21"/>
      <c r="K665" s="21"/>
      <c r="L665" s="21"/>
      <c r="M665" s="21"/>
      <c r="N665" s="21"/>
      <c r="O665" s="21"/>
      <c r="P665" s="21"/>
      <c r="Q665" s="2"/>
      <c r="R665" s="2"/>
      <c r="S665" s="2"/>
      <c r="T665" s="2"/>
      <c r="U665" s="2"/>
      <c r="V665" s="2"/>
      <c r="W665" s="2"/>
      <c r="X665" s="2"/>
      <c r="Y665" s="2"/>
      <c r="Z665" s="2"/>
      <c r="AA665" s="2"/>
      <c r="AB665" s="2"/>
    </row>
    <row r="666">
      <c r="A666" s="2"/>
      <c r="B666" s="21"/>
      <c r="C666" s="21"/>
      <c r="D666" s="21"/>
      <c r="E666" s="21"/>
      <c r="F666" s="2"/>
      <c r="G666" s="2"/>
      <c r="H666" s="35"/>
      <c r="I666" s="21"/>
      <c r="J666" s="21"/>
      <c r="K666" s="21"/>
      <c r="L666" s="21"/>
      <c r="M666" s="21"/>
      <c r="N666" s="21"/>
      <c r="O666" s="21"/>
      <c r="P666" s="21"/>
      <c r="Q666" s="2"/>
      <c r="R666" s="2"/>
      <c r="S666" s="2"/>
      <c r="T666" s="2"/>
      <c r="U666" s="2"/>
      <c r="V666" s="2"/>
      <c r="W666" s="2"/>
      <c r="X666" s="2"/>
      <c r="Y666" s="2"/>
      <c r="Z666" s="2"/>
      <c r="AA666" s="2"/>
      <c r="AB666" s="2"/>
    </row>
    <row r="667">
      <c r="A667" s="2"/>
      <c r="B667" s="21"/>
      <c r="C667" s="21"/>
      <c r="D667" s="21"/>
      <c r="E667" s="21"/>
      <c r="F667" s="2"/>
      <c r="G667" s="2"/>
      <c r="H667" s="35"/>
      <c r="I667" s="21"/>
      <c r="J667" s="21"/>
      <c r="K667" s="21"/>
      <c r="L667" s="21"/>
      <c r="M667" s="21"/>
      <c r="N667" s="21"/>
      <c r="O667" s="21"/>
      <c r="P667" s="21"/>
      <c r="Q667" s="2"/>
      <c r="R667" s="2"/>
      <c r="S667" s="2"/>
      <c r="T667" s="2"/>
      <c r="U667" s="2"/>
      <c r="V667" s="2"/>
      <c r="W667" s="2"/>
      <c r="X667" s="2"/>
      <c r="Y667" s="2"/>
      <c r="Z667" s="2"/>
      <c r="AA667" s="2"/>
      <c r="AB667" s="2"/>
    </row>
    <row r="668">
      <c r="A668" s="2"/>
      <c r="B668" s="21"/>
      <c r="C668" s="21"/>
      <c r="D668" s="21"/>
      <c r="E668" s="21"/>
      <c r="F668" s="2"/>
      <c r="G668" s="2"/>
      <c r="H668" s="35"/>
      <c r="I668" s="21"/>
      <c r="J668" s="21"/>
      <c r="K668" s="21"/>
      <c r="L668" s="21"/>
      <c r="M668" s="21"/>
      <c r="N668" s="21"/>
      <c r="O668" s="21"/>
      <c r="P668" s="21"/>
      <c r="Q668" s="2"/>
      <c r="R668" s="2"/>
      <c r="S668" s="2"/>
      <c r="T668" s="2"/>
      <c r="U668" s="2"/>
      <c r="V668" s="2"/>
      <c r="W668" s="2"/>
      <c r="X668" s="2"/>
      <c r="Y668" s="2"/>
      <c r="Z668" s="2"/>
      <c r="AA668" s="2"/>
      <c r="AB668" s="2"/>
    </row>
    <row r="669">
      <c r="A669" s="2"/>
      <c r="B669" s="21"/>
      <c r="C669" s="21"/>
      <c r="D669" s="21"/>
      <c r="E669" s="21"/>
      <c r="F669" s="2"/>
      <c r="G669" s="2"/>
      <c r="H669" s="35"/>
      <c r="I669" s="21"/>
      <c r="J669" s="21"/>
      <c r="K669" s="21"/>
      <c r="L669" s="21"/>
      <c r="M669" s="21"/>
      <c r="N669" s="21"/>
      <c r="O669" s="21"/>
      <c r="P669" s="21"/>
      <c r="Q669" s="2"/>
      <c r="R669" s="2"/>
      <c r="S669" s="2"/>
      <c r="T669" s="2"/>
      <c r="U669" s="2"/>
      <c r="V669" s="2"/>
      <c r="W669" s="2"/>
      <c r="X669" s="2"/>
      <c r="Y669" s="2"/>
      <c r="Z669" s="2"/>
      <c r="AA669" s="2"/>
      <c r="AB669" s="2"/>
    </row>
    <row r="670">
      <c r="A670" s="2"/>
      <c r="B670" s="21"/>
      <c r="C670" s="21"/>
      <c r="D670" s="21"/>
      <c r="E670" s="21"/>
      <c r="F670" s="2"/>
      <c r="G670" s="2"/>
      <c r="H670" s="35"/>
      <c r="I670" s="21"/>
      <c r="J670" s="21"/>
      <c r="K670" s="21"/>
      <c r="L670" s="21"/>
      <c r="M670" s="21"/>
      <c r="N670" s="21"/>
      <c r="O670" s="21"/>
      <c r="P670" s="21"/>
      <c r="Q670" s="2"/>
      <c r="R670" s="2"/>
      <c r="S670" s="2"/>
      <c r="T670" s="2"/>
      <c r="U670" s="2"/>
      <c r="V670" s="2"/>
      <c r="W670" s="2"/>
      <c r="X670" s="2"/>
      <c r="Y670" s="2"/>
      <c r="Z670" s="2"/>
      <c r="AA670" s="2"/>
      <c r="AB670" s="2"/>
    </row>
    <row r="671">
      <c r="A671" s="2"/>
      <c r="B671" s="21"/>
      <c r="C671" s="21"/>
      <c r="D671" s="21"/>
      <c r="E671" s="21"/>
      <c r="F671" s="2"/>
      <c r="G671" s="2"/>
      <c r="H671" s="35"/>
      <c r="I671" s="21"/>
      <c r="J671" s="21"/>
      <c r="K671" s="21"/>
      <c r="L671" s="21"/>
      <c r="M671" s="21"/>
      <c r="N671" s="21"/>
      <c r="O671" s="21"/>
      <c r="P671" s="21"/>
      <c r="Q671" s="2"/>
      <c r="R671" s="2"/>
      <c r="S671" s="2"/>
      <c r="T671" s="2"/>
      <c r="U671" s="2"/>
      <c r="V671" s="2"/>
      <c r="W671" s="2"/>
      <c r="X671" s="2"/>
      <c r="Y671" s="2"/>
      <c r="Z671" s="2"/>
      <c r="AA671" s="2"/>
      <c r="AB671" s="2"/>
    </row>
    <row r="672">
      <c r="A672" s="2"/>
      <c r="B672" s="21"/>
      <c r="C672" s="21"/>
      <c r="D672" s="21"/>
      <c r="E672" s="21"/>
      <c r="F672" s="2"/>
      <c r="G672" s="2"/>
      <c r="H672" s="35"/>
      <c r="I672" s="21"/>
      <c r="J672" s="21"/>
      <c r="K672" s="21"/>
      <c r="L672" s="21"/>
      <c r="M672" s="21"/>
      <c r="N672" s="21"/>
      <c r="O672" s="21"/>
      <c r="P672" s="21"/>
      <c r="Q672" s="2"/>
      <c r="R672" s="2"/>
      <c r="S672" s="2"/>
      <c r="T672" s="2"/>
      <c r="U672" s="2"/>
      <c r="V672" s="2"/>
      <c r="W672" s="2"/>
      <c r="X672" s="2"/>
      <c r="Y672" s="2"/>
      <c r="Z672" s="2"/>
      <c r="AA672" s="2"/>
      <c r="AB672" s="2"/>
    </row>
    <row r="673">
      <c r="A673" s="2"/>
      <c r="B673" s="21"/>
      <c r="C673" s="21"/>
      <c r="D673" s="21"/>
      <c r="E673" s="21"/>
      <c r="F673" s="2"/>
      <c r="G673" s="2"/>
      <c r="H673" s="35"/>
      <c r="I673" s="21"/>
      <c r="J673" s="21"/>
      <c r="K673" s="21"/>
      <c r="L673" s="21"/>
      <c r="M673" s="21"/>
      <c r="N673" s="21"/>
      <c r="O673" s="21"/>
      <c r="P673" s="21"/>
      <c r="Q673" s="2"/>
      <c r="R673" s="2"/>
      <c r="S673" s="2"/>
      <c r="T673" s="2"/>
      <c r="U673" s="2"/>
      <c r="V673" s="2"/>
      <c r="W673" s="2"/>
      <c r="X673" s="2"/>
      <c r="Y673" s="2"/>
      <c r="Z673" s="2"/>
      <c r="AA673" s="2"/>
      <c r="AB673" s="2"/>
    </row>
    <row r="674">
      <c r="A674" s="2"/>
      <c r="B674" s="21"/>
      <c r="C674" s="21"/>
      <c r="D674" s="21"/>
      <c r="E674" s="21"/>
      <c r="F674" s="2"/>
      <c r="G674" s="2"/>
      <c r="H674" s="35"/>
      <c r="I674" s="21"/>
      <c r="J674" s="21"/>
      <c r="K674" s="21"/>
      <c r="L674" s="21"/>
      <c r="M674" s="21"/>
      <c r="N674" s="21"/>
      <c r="O674" s="21"/>
      <c r="P674" s="21"/>
      <c r="Q674" s="2"/>
      <c r="R674" s="2"/>
      <c r="S674" s="2"/>
      <c r="T674" s="2"/>
      <c r="U674" s="2"/>
      <c r="V674" s="2"/>
      <c r="W674" s="2"/>
      <c r="X674" s="2"/>
      <c r="Y674" s="2"/>
      <c r="Z674" s="2"/>
      <c r="AA674" s="2"/>
      <c r="AB674" s="2"/>
    </row>
    <row r="675">
      <c r="A675" s="2"/>
      <c r="B675" s="21"/>
      <c r="C675" s="21"/>
      <c r="D675" s="21"/>
      <c r="E675" s="21"/>
      <c r="F675" s="2"/>
      <c r="G675" s="2"/>
      <c r="H675" s="35"/>
      <c r="I675" s="21"/>
      <c r="J675" s="21"/>
      <c r="K675" s="21"/>
      <c r="L675" s="21"/>
      <c r="M675" s="21"/>
      <c r="N675" s="21"/>
      <c r="O675" s="21"/>
      <c r="P675" s="21"/>
      <c r="Q675" s="2"/>
      <c r="R675" s="2"/>
      <c r="S675" s="2"/>
      <c r="T675" s="2"/>
      <c r="U675" s="2"/>
      <c r="V675" s="2"/>
      <c r="W675" s="2"/>
      <c r="X675" s="2"/>
      <c r="Y675" s="2"/>
      <c r="Z675" s="2"/>
      <c r="AA675" s="2"/>
      <c r="AB675" s="2"/>
    </row>
    <row r="676">
      <c r="A676" s="2"/>
      <c r="B676" s="21"/>
      <c r="C676" s="21"/>
      <c r="D676" s="21"/>
      <c r="E676" s="21"/>
      <c r="F676" s="2"/>
      <c r="G676" s="2"/>
      <c r="H676" s="35"/>
      <c r="I676" s="21"/>
      <c r="J676" s="21"/>
      <c r="K676" s="21"/>
      <c r="L676" s="21"/>
      <c r="M676" s="21"/>
      <c r="N676" s="21"/>
      <c r="O676" s="21"/>
      <c r="P676" s="21"/>
      <c r="Q676" s="2"/>
      <c r="R676" s="2"/>
      <c r="S676" s="2"/>
      <c r="T676" s="2"/>
      <c r="U676" s="2"/>
      <c r="V676" s="2"/>
      <c r="W676" s="2"/>
      <c r="X676" s="2"/>
      <c r="Y676" s="2"/>
      <c r="Z676" s="2"/>
      <c r="AA676" s="2"/>
      <c r="AB676" s="2"/>
    </row>
    <row r="677">
      <c r="A677" s="2"/>
      <c r="B677" s="21"/>
      <c r="C677" s="21"/>
      <c r="D677" s="21"/>
      <c r="E677" s="21"/>
      <c r="F677" s="2"/>
      <c r="G677" s="2"/>
      <c r="H677" s="35"/>
      <c r="I677" s="21"/>
      <c r="J677" s="21"/>
      <c r="K677" s="21"/>
      <c r="L677" s="21"/>
      <c r="M677" s="21"/>
      <c r="N677" s="21"/>
      <c r="O677" s="21"/>
      <c r="P677" s="21"/>
      <c r="Q677" s="2"/>
      <c r="R677" s="2"/>
      <c r="S677" s="2"/>
      <c r="T677" s="2"/>
      <c r="U677" s="2"/>
      <c r="V677" s="2"/>
      <c r="W677" s="2"/>
      <c r="X677" s="2"/>
      <c r="Y677" s="2"/>
      <c r="Z677" s="2"/>
      <c r="AA677" s="2"/>
      <c r="AB677" s="2"/>
    </row>
    <row r="678">
      <c r="A678" s="2"/>
      <c r="B678" s="21"/>
      <c r="C678" s="21"/>
      <c r="D678" s="21"/>
      <c r="E678" s="21"/>
      <c r="F678" s="2"/>
      <c r="G678" s="2"/>
      <c r="H678" s="35"/>
      <c r="I678" s="21"/>
      <c r="J678" s="21"/>
      <c r="K678" s="21"/>
      <c r="L678" s="21"/>
      <c r="M678" s="21"/>
      <c r="N678" s="21"/>
      <c r="O678" s="21"/>
      <c r="P678" s="21"/>
      <c r="Q678" s="2"/>
      <c r="R678" s="2"/>
      <c r="S678" s="2"/>
      <c r="T678" s="2"/>
      <c r="U678" s="2"/>
      <c r="V678" s="2"/>
      <c r="W678" s="2"/>
      <c r="X678" s="2"/>
      <c r="Y678" s="2"/>
      <c r="Z678" s="2"/>
      <c r="AA678" s="2"/>
      <c r="AB678" s="2"/>
    </row>
    <row r="679">
      <c r="A679" s="2"/>
      <c r="B679" s="21"/>
      <c r="C679" s="21"/>
      <c r="D679" s="21"/>
      <c r="E679" s="21"/>
      <c r="F679" s="2"/>
      <c r="G679" s="2"/>
      <c r="H679" s="35"/>
      <c r="I679" s="21"/>
      <c r="J679" s="21"/>
      <c r="K679" s="21"/>
      <c r="L679" s="21"/>
      <c r="M679" s="21"/>
      <c r="N679" s="21"/>
      <c r="O679" s="21"/>
      <c r="P679" s="21"/>
      <c r="Q679" s="2"/>
      <c r="R679" s="2"/>
      <c r="S679" s="2"/>
      <c r="T679" s="2"/>
      <c r="U679" s="2"/>
      <c r="V679" s="2"/>
      <c r="W679" s="2"/>
      <c r="X679" s="2"/>
      <c r="Y679" s="2"/>
      <c r="Z679" s="2"/>
      <c r="AA679" s="2"/>
      <c r="AB679" s="2"/>
    </row>
    <row r="680">
      <c r="A680" s="2"/>
      <c r="B680" s="21"/>
      <c r="C680" s="21"/>
      <c r="D680" s="21"/>
      <c r="E680" s="21"/>
      <c r="F680" s="2"/>
      <c r="G680" s="2"/>
      <c r="H680" s="35"/>
      <c r="I680" s="21"/>
      <c r="J680" s="21"/>
      <c r="K680" s="21"/>
      <c r="L680" s="21"/>
      <c r="M680" s="21"/>
      <c r="N680" s="21"/>
      <c r="O680" s="21"/>
      <c r="P680" s="21"/>
      <c r="Q680" s="2"/>
      <c r="R680" s="2"/>
      <c r="S680" s="2"/>
      <c r="T680" s="2"/>
      <c r="U680" s="2"/>
      <c r="V680" s="2"/>
      <c r="W680" s="2"/>
      <c r="X680" s="2"/>
      <c r="Y680" s="2"/>
      <c r="Z680" s="2"/>
      <c r="AA680" s="2"/>
      <c r="AB680" s="2"/>
    </row>
    <row r="681">
      <c r="A681" s="2"/>
      <c r="B681" s="21"/>
      <c r="C681" s="21"/>
      <c r="D681" s="21"/>
      <c r="E681" s="21"/>
      <c r="F681" s="2"/>
      <c r="G681" s="2"/>
      <c r="H681" s="35"/>
      <c r="I681" s="21"/>
      <c r="J681" s="21"/>
      <c r="K681" s="21"/>
      <c r="L681" s="21"/>
      <c r="M681" s="21"/>
      <c r="N681" s="21"/>
      <c r="O681" s="21"/>
      <c r="P681" s="21"/>
      <c r="Q681" s="2"/>
      <c r="R681" s="2"/>
      <c r="S681" s="2"/>
      <c r="T681" s="2"/>
      <c r="U681" s="2"/>
      <c r="V681" s="2"/>
      <c r="W681" s="2"/>
      <c r="X681" s="2"/>
      <c r="Y681" s="2"/>
      <c r="Z681" s="2"/>
      <c r="AA681" s="2"/>
      <c r="AB681" s="2"/>
    </row>
    <row r="682">
      <c r="A682" s="2"/>
      <c r="B682" s="21"/>
      <c r="C682" s="21"/>
      <c r="D682" s="21"/>
      <c r="E682" s="21"/>
      <c r="F682" s="2"/>
      <c r="G682" s="2"/>
      <c r="H682" s="35"/>
      <c r="I682" s="21"/>
      <c r="J682" s="21"/>
      <c r="K682" s="21"/>
      <c r="L682" s="21"/>
      <c r="M682" s="21"/>
      <c r="N682" s="21"/>
      <c r="O682" s="21"/>
      <c r="P682" s="21"/>
      <c r="Q682" s="2"/>
      <c r="R682" s="2"/>
      <c r="S682" s="2"/>
      <c r="T682" s="2"/>
      <c r="U682" s="2"/>
      <c r="V682" s="2"/>
      <c r="W682" s="2"/>
      <c r="X682" s="2"/>
      <c r="Y682" s="2"/>
      <c r="Z682" s="2"/>
      <c r="AA682" s="2"/>
      <c r="AB682" s="2"/>
    </row>
    <row r="683">
      <c r="A683" s="2"/>
      <c r="B683" s="21"/>
      <c r="C683" s="21"/>
      <c r="D683" s="21"/>
      <c r="E683" s="21"/>
      <c r="F683" s="2"/>
      <c r="G683" s="2"/>
      <c r="H683" s="35"/>
      <c r="I683" s="21"/>
      <c r="J683" s="21"/>
      <c r="K683" s="21"/>
      <c r="L683" s="21"/>
      <c r="M683" s="21"/>
      <c r="N683" s="21"/>
      <c r="O683" s="21"/>
      <c r="P683" s="21"/>
      <c r="Q683" s="2"/>
      <c r="R683" s="2"/>
      <c r="S683" s="2"/>
      <c r="T683" s="2"/>
      <c r="U683" s="2"/>
      <c r="V683" s="2"/>
      <c r="W683" s="2"/>
      <c r="X683" s="2"/>
      <c r="Y683" s="2"/>
      <c r="Z683" s="2"/>
      <c r="AA683" s="2"/>
      <c r="AB683" s="2"/>
    </row>
    <row r="684">
      <c r="A684" s="2"/>
      <c r="B684" s="21"/>
      <c r="C684" s="21"/>
      <c r="D684" s="21"/>
      <c r="E684" s="21"/>
      <c r="F684" s="2"/>
      <c r="G684" s="2"/>
      <c r="H684" s="35"/>
      <c r="I684" s="21"/>
      <c r="J684" s="21"/>
      <c r="K684" s="21"/>
      <c r="L684" s="21"/>
      <c r="M684" s="21"/>
      <c r="N684" s="21"/>
      <c r="O684" s="21"/>
      <c r="P684" s="21"/>
      <c r="Q684" s="2"/>
      <c r="R684" s="2"/>
      <c r="S684" s="2"/>
      <c r="T684" s="2"/>
      <c r="U684" s="2"/>
      <c r="V684" s="2"/>
      <c r="W684" s="2"/>
      <c r="X684" s="2"/>
      <c r="Y684" s="2"/>
      <c r="Z684" s="2"/>
      <c r="AA684" s="2"/>
      <c r="AB684" s="2"/>
    </row>
    <row r="685">
      <c r="A685" s="2"/>
      <c r="B685" s="21"/>
      <c r="C685" s="21"/>
      <c r="D685" s="21"/>
      <c r="E685" s="21"/>
      <c r="F685" s="2"/>
      <c r="G685" s="2"/>
      <c r="H685" s="35"/>
      <c r="I685" s="21"/>
      <c r="J685" s="21"/>
      <c r="K685" s="21"/>
      <c r="L685" s="21"/>
      <c r="M685" s="21"/>
      <c r="N685" s="21"/>
      <c r="O685" s="21"/>
      <c r="P685" s="21"/>
      <c r="Q685" s="2"/>
      <c r="R685" s="2"/>
      <c r="S685" s="2"/>
      <c r="T685" s="2"/>
      <c r="U685" s="2"/>
      <c r="V685" s="2"/>
      <c r="W685" s="2"/>
      <c r="X685" s="2"/>
      <c r="Y685" s="2"/>
      <c r="Z685" s="2"/>
      <c r="AA685" s="2"/>
      <c r="AB685" s="2"/>
    </row>
    <row r="686">
      <c r="A686" s="2"/>
      <c r="B686" s="21"/>
      <c r="C686" s="21"/>
      <c r="D686" s="21"/>
      <c r="E686" s="21"/>
      <c r="F686" s="2"/>
      <c r="G686" s="2"/>
      <c r="H686" s="35"/>
      <c r="I686" s="21"/>
      <c r="J686" s="21"/>
      <c r="K686" s="21"/>
      <c r="L686" s="21"/>
      <c r="M686" s="21"/>
      <c r="N686" s="21"/>
      <c r="O686" s="21"/>
      <c r="P686" s="21"/>
      <c r="Q686" s="2"/>
      <c r="R686" s="2"/>
      <c r="S686" s="2"/>
      <c r="T686" s="2"/>
      <c r="U686" s="2"/>
      <c r="V686" s="2"/>
      <c r="W686" s="2"/>
      <c r="X686" s="2"/>
      <c r="Y686" s="2"/>
      <c r="Z686" s="2"/>
      <c r="AA686" s="2"/>
      <c r="AB686" s="2"/>
    </row>
    <row r="687">
      <c r="A687" s="2"/>
      <c r="B687" s="21"/>
      <c r="C687" s="21"/>
      <c r="D687" s="21"/>
      <c r="E687" s="21"/>
      <c r="F687" s="2"/>
      <c r="G687" s="2"/>
      <c r="H687" s="35"/>
      <c r="I687" s="21"/>
      <c r="J687" s="21"/>
      <c r="K687" s="21"/>
      <c r="L687" s="21"/>
      <c r="M687" s="21"/>
      <c r="N687" s="21"/>
      <c r="O687" s="21"/>
      <c r="P687" s="21"/>
      <c r="Q687" s="2"/>
      <c r="R687" s="2"/>
      <c r="S687" s="2"/>
      <c r="T687" s="2"/>
      <c r="U687" s="2"/>
      <c r="V687" s="2"/>
      <c r="W687" s="2"/>
      <c r="X687" s="2"/>
      <c r="Y687" s="2"/>
      <c r="Z687" s="2"/>
      <c r="AA687" s="2"/>
      <c r="AB687" s="2"/>
    </row>
    <row r="688">
      <c r="A688" s="2"/>
      <c r="B688" s="21"/>
      <c r="C688" s="21"/>
      <c r="D688" s="21"/>
      <c r="E688" s="21"/>
      <c r="F688" s="2"/>
      <c r="G688" s="2"/>
      <c r="H688" s="35"/>
      <c r="I688" s="21"/>
      <c r="J688" s="21"/>
      <c r="K688" s="21"/>
      <c r="L688" s="21"/>
      <c r="M688" s="21"/>
      <c r="N688" s="21"/>
      <c r="O688" s="21"/>
      <c r="P688" s="21"/>
      <c r="Q688" s="2"/>
      <c r="R688" s="2"/>
      <c r="S688" s="2"/>
      <c r="T688" s="2"/>
      <c r="U688" s="2"/>
      <c r="V688" s="2"/>
      <c r="W688" s="2"/>
      <c r="X688" s="2"/>
      <c r="Y688" s="2"/>
      <c r="Z688" s="2"/>
      <c r="AA688" s="2"/>
      <c r="AB688" s="2"/>
    </row>
    <row r="689">
      <c r="A689" s="2"/>
      <c r="B689" s="21"/>
      <c r="C689" s="21"/>
      <c r="D689" s="21"/>
      <c r="E689" s="21"/>
      <c r="F689" s="2"/>
      <c r="G689" s="2"/>
      <c r="H689" s="35"/>
      <c r="I689" s="21"/>
      <c r="J689" s="21"/>
      <c r="K689" s="21"/>
      <c r="L689" s="21"/>
      <c r="M689" s="21"/>
      <c r="N689" s="21"/>
      <c r="O689" s="21"/>
      <c r="P689" s="21"/>
      <c r="Q689" s="2"/>
      <c r="R689" s="2"/>
      <c r="S689" s="2"/>
      <c r="T689" s="2"/>
      <c r="U689" s="2"/>
      <c r="V689" s="2"/>
      <c r="W689" s="2"/>
      <c r="X689" s="2"/>
      <c r="Y689" s="2"/>
      <c r="Z689" s="2"/>
      <c r="AA689" s="2"/>
      <c r="AB689" s="2"/>
    </row>
    <row r="690">
      <c r="A690" s="2"/>
      <c r="B690" s="21"/>
      <c r="C690" s="21"/>
      <c r="D690" s="21"/>
      <c r="E690" s="21"/>
      <c r="F690" s="2"/>
      <c r="G690" s="2"/>
      <c r="H690" s="35"/>
      <c r="I690" s="21"/>
      <c r="J690" s="21"/>
      <c r="K690" s="21"/>
      <c r="L690" s="21"/>
      <c r="M690" s="21"/>
      <c r="N690" s="21"/>
      <c r="O690" s="21"/>
      <c r="P690" s="21"/>
      <c r="Q690" s="2"/>
      <c r="R690" s="2"/>
      <c r="S690" s="2"/>
      <c r="T690" s="2"/>
      <c r="U690" s="2"/>
      <c r="V690" s="2"/>
      <c r="W690" s="2"/>
      <c r="X690" s="2"/>
      <c r="Y690" s="2"/>
      <c r="Z690" s="2"/>
      <c r="AA690" s="2"/>
      <c r="AB690" s="2"/>
    </row>
    <row r="691">
      <c r="A691" s="2"/>
      <c r="B691" s="21"/>
      <c r="C691" s="21"/>
      <c r="D691" s="21"/>
      <c r="E691" s="21"/>
      <c r="F691" s="2"/>
      <c r="G691" s="2"/>
      <c r="H691" s="35"/>
      <c r="I691" s="21"/>
      <c r="J691" s="21"/>
      <c r="K691" s="21"/>
      <c r="L691" s="21"/>
      <c r="M691" s="21"/>
      <c r="N691" s="21"/>
      <c r="O691" s="21"/>
      <c r="P691" s="21"/>
      <c r="Q691" s="2"/>
      <c r="R691" s="2"/>
      <c r="S691" s="2"/>
      <c r="T691" s="2"/>
      <c r="U691" s="2"/>
      <c r="V691" s="2"/>
      <c r="W691" s="2"/>
      <c r="X691" s="2"/>
      <c r="Y691" s="2"/>
      <c r="Z691" s="2"/>
      <c r="AA691" s="2"/>
      <c r="AB691" s="2"/>
    </row>
    <row r="692">
      <c r="A692" s="2"/>
      <c r="B692" s="21"/>
      <c r="C692" s="21"/>
      <c r="D692" s="21"/>
      <c r="E692" s="21"/>
      <c r="F692" s="2"/>
      <c r="G692" s="2"/>
      <c r="H692" s="35"/>
      <c r="I692" s="21"/>
      <c r="J692" s="21"/>
      <c r="K692" s="21"/>
      <c r="L692" s="21"/>
      <c r="M692" s="21"/>
      <c r="N692" s="21"/>
      <c r="O692" s="21"/>
      <c r="P692" s="21"/>
      <c r="Q692" s="2"/>
      <c r="R692" s="2"/>
      <c r="S692" s="2"/>
      <c r="T692" s="2"/>
      <c r="U692" s="2"/>
      <c r="V692" s="2"/>
      <c r="W692" s="2"/>
      <c r="X692" s="2"/>
      <c r="Y692" s="2"/>
      <c r="Z692" s="2"/>
      <c r="AA692" s="2"/>
      <c r="AB692" s="2"/>
    </row>
    <row r="693">
      <c r="A693" s="2"/>
      <c r="B693" s="21"/>
      <c r="C693" s="21"/>
      <c r="D693" s="21"/>
      <c r="E693" s="21"/>
      <c r="F693" s="2"/>
      <c r="G693" s="2"/>
      <c r="H693" s="35"/>
      <c r="I693" s="21"/>
      <c r="J693" s="21"/>
      <c r="K693" s="21"/>
      <c r="L693" s="21"/>
      <c r="M693" s="21"/>
      <c r="N693" s="21"/>
      <c r="O693" s="21"/>
      <c r="P693" s="21"/>
      <c r="Q693" s="2"/>
      <c r="R693" s="2"/>
      <c r="S693" s="2"/>
      <c r="T693" s="2"/>
      <c r="U693" s="2"/>
      <c r="V693" s="2"/>
      <c r="W693" s="2"/>
      <c r="X693" s="2"/>
      <c r="Y693" s="2"/>
      <c r="Z693" s="2"/>
      <c r="AA693" s="2"/>
      <c r="AB693" s="2"/>
    </row>
    <row r="694">
      <c r="A694" s="2"/>
      <c r="B694" s="21"/>
      <c r="C694" s="21"/>
      <c r="D694" s="21"/>
      <c r="E694" s="21"/>
      <c r="F694" s="2"/>
      <c r="G694" s="2"/>
      <c r="H694" s="35"/>
      <c r="I694" s="21"/>
      <c r="J694" s="21"/>
      <c r="K694" s="21"/>
      <c r="L694" s="21"/>
      <c r="M694" s="21"/>
      <c r="N694" s="21"/>
      <c r="O694" s="21"/>
      <c r="P694" s="21"/>
      <c r="Q694" s="2"/>
      <c r="R694" s="2"/>
      <c r="S694" s="2"/>
      <c r="T694" s="2"/>
      <c r="U694" s="2"/>
      <c r="V694" s="2"/>
      <c r="W694" s="2"/>
      <c r="X694" s="2"/>
      <c r="Y694" s="2"/>
      <c r="Z694" s="2"/>
      <c r="AA694" s="2"/>
      <c r="AB694" s="2"/>
    </row>
    <row r="695">
      <c r="A695" s="2"/>
      <c r="B695" s="21"/>
      <c r="C695" s="21"/>
      <c r="D695" s="21"/>
      <c r="E695" s="21"/>
      <c r="F695" s="2"/>
      <c r="G695" s="2"/>
      <c r="H695" s="35"/>
      <c r="I695" s="21"/>
      <c r="J695" s="21"/>
      <c r="K695" s="21"/>
      <c r="L695" s="21"/>
      <c r="M695" s="21"/>
      <c r="N695" s="21"/>
      <c r="O695" s="21"/>
      <c r="P695" s="21"/>
      <c r="Q695" s="2"/>
      <c r="R695" s="2"/>
      <c r="S695" s="2"/>
      <c r="T695" s="2"/>
      <c r="U695" s="2"/>
      <c r="V695" s="2"/>
      <c r="W695" s="2"/>
      <c r="X695" s="2"/>
      <c r="Y695" s="2"/>
      <c r="Z695" s="2"/>
      <c r="AA695" s="2"/>
      <c r="AB695" s="2"/>
    </row>
    <row r="696">
      <c r="A696" s="2"/>
      <c r="B696" s="21"/>
      <c r="C696" s="21"/>
      <c r="D696" s="21"/>
      <c r="E696" s="21"/>
      <c r="F696" s="2"/>
      <c r="G696" s="2"/>
      <c r="H696" s="35"/>
      <c r="I696" s="21"/>
      <c r="J696" s="21"/>
      <c r="K696" s="21"/>
      <c r="L696" s="21"/>
      <c r="M696" s="21"/>
      <c r="N696" s="21"/>
      <c r="O696" s="21"/>
      <c r="P696" s="21"/>
      <c r="Q696" s="2"/>
      <c r="R696" s="2"/>
      <c r="S696" s="2"/>
      <c r="T696" s="2"/>
      <c r="U696" s="2"/>
      <c r="V696" s="2"/>
      <c r="W696" s="2"/>
      <c r="X696" s="2"/>
      <c r="Y696" s="2"/>
      <c r="Z696" s="2"/>
      <c r="AA696" s="2"/>
      <c r="AB696" s="2"/>
    </row>
    <row r="697">
      <c r="A697" s="2"/>
      <c r="B697" s="21"/>
      <c r="C697" s="21"/>
      <c r="D697" s="21"/>
      <c r="E697" s="21"/>
      <c r="F697" s="2"/>
      <c r="G697" s="2"/>
      <c r="H697" s="35"/>
      <c r="I697" s="21"/>
      <c r="J697" s="21"/>
      <c r="K697" s="21"/>
      <c r="L697" s="21"/>
      <c r="M697" s="21"/>
      <c r="N697" s="21"/>
      <c r="O697" s="21"/>
      <c r="P697" s="21"/>
      <c r="Q697" s="2"/>
      <c r="R697" s="2"/>
      <c r="S697" s="2"/>
      <c r="T697" s="2"/>
      <c r="U697" s="2"/>
      <c r="V697" s="2"/>
      <c r="W697" s="2"/>
      <c r="X697" s="2"/>
      <c r="Y697" s="2"/>
      <c r="Z697" s="2"/>
      <c r="AA697" s="2"/>
      <c r="AB697" s="2"/>
    </row>
    <row r="698">
      <c r="A698" s="2"/>
      <c r="B698" s="21"/>
      <c r="C698" s="21"/>
      <c r="D698" s="21"/>
      <c r="E698" s="21"/>
      <c r="F698" s="2"/>
      <c r="G698" s="2"/>
      <c r="H698" s="35"/>
      <c r="I698" s="21"/>
      <c r="J698" s="21"/>
      <c r="K698" s="21"/>
      <c r="L698" s="21"/>
      <c r="M698" s="21"/>
      <c r="N698" s="21"/>
      <c r="O698" s="21"/>
      <c r="P698" s="21"/>
      <c r="Q698" s="2"/>
      <c r="R698" s="2"/>
      <c r="S698" s="2"/>
      <c r="T698" s="2"/>
      <c r="U698" s="2"/>
      <c r="V698" s="2"/>
      <c r="W698" s="2"/>
      <c r="X698" s="2"/>
      <c r="Y698" s="2"/>
      <c r="Z698" s="2"/>
      <c r="AA698" s="2"/>
      <c r="AB698" s="2"/>
    </row>
    <row r="699">
      <c r="A699" s="2"/>
      <c r="B699" s="21"/>
      <c r="C699" s="21"/>
      <c r="D699" s="21"/>
      <c r="E699" s="21"/>
      <c r="F699" s="2"/>
      <c r="G699" s="2"/>
      <c r="H699" s="35"/>
      <c r="I699" s="21"/>
      <c r="J699" s="21"/>
      <c r="K699" s="21"/>
      <c r="L699" s="21"/>
      <c r="M699" s="21"/>
      <c r="N699" s="21"/>
      <c r="O699" s="21"/>
      <c r="P699" s="21"/>
      <c r="Q699" s="2"/>
      <c r="R699" s="2"/>
      <c r="S699" s="2"/>
      <c r="T699" s="2"/>
      <c r="U699" s="2"/>
      <c r="V699" s="2"/>
      <c r="W699" s="2"/>
      <c r="X699" s="2"/>
      <c r="Y699" s="2"/>
      <c r="Z699" s="2"/>
      <c r="AA699" s="2"/>
      <c r="AB699" s="2"/>
    </row>
    <row r="700">
      <c r="A700" s="2"/>
      <c r="B700" s="21"/>
      <c r="C700" s="21"/>
      <c r="D700" s="21"/>
      <c r="E700" s="21"/>
      <c r="F700" s="2"/>
      <c r="G700" s="2"/>
      <c r="H700" s="35"/>
      <c r="I700" s="21"/>
      <c r="J700" s="21"/>
      <c r="K700" s="21"/>
      <c r="L700" s="21"/>
      <c r="M700" s="21"/>
      <c r="N700" s="21"/>
      <c r="O700" s="21"/>
      <c r="P700" s="21"/>
      <c r="Q700" s="2"/>
      <c r="R700" s="2"/>
      <c r="S700" s="2"/>
      <c r="T700" s="2"/>
      <c r="U700" s="2"/>
      <c r="V700" s="2"/>
      <c r="W700" s="2"/>
      <c r="X700" s="2"/>
      <c r="Y700" s="2"/>
      <c r="Z700" s="2"/>
      <c r="AA700" s="2"/>
      <c r="AB700" s="2"/>
    </row>
    <row r="701">
      <c r="A701" s="2"/>
      <c r="B701" s="21"/>
      <c r="C701" s="21"/>
      <c r="D701" s="21"/>
      <c r="E701" s="21"/>
      <c r="F701" s="2"/>
      <c r="G701" s="2"/>
      <c r="H701" s="35"/>
      <c r="I701" s="21"/>
      <c r="J701" s="21"/>
      <c r="K701" s="21"/>
      <c r="L701" s="21"/>
      <c r="M701" s="21"/>
      <c r="N701" s="21"/>
      <c r="O701" s="21"/>
      <c r="P701" s="21"/>
      <c r="Q701" s="2"/>
      <c r="R701" s="2"/>
      <c r="S701" s="2"/>
      <c r="T701" s="2"/>
      <c r="U701" s="2"/>
      <c r="V701" s="2"/>
      <c r="W701" s="2"/>
      <c r="X701" s="2"/>
      <c r="Y701" s="2"/>
      <c r="Z701" s="2"/>
      <c r="AA701" s="2"/>
      <c r="AB701" s="2"/>
    </row>
    <row r="702">
      <c r="A702" s="2"/>
      <c r="B702" s="21"/>
      <c r="C702" s="21"/>
      <c r="D702" s="21"/>
      <c r="E702" s="21"/>
      <c r="F702" s="2"/>
      <c r="G702" s="2"/>
      <c r="H702" s="35"/>
      <c r="I702" s="21"/>
      <c r="J702" s="21"/>
      <c r="K702" s="21"/>
      <c r="L702" s="21"/>
      <c r="M702" s="21"/>
      <c r="N702" s="21"/>
      <c r="O702" s="21"/>
      <c r="P702" s="21"/>
      <c r="Q702" s="2"/>
      <c r="R702" s="2"/>
      <c r="S702" s="2"/>
      <c r="T702" s="2"/>
      <c r="U702" s="2"/>
      <c r="V702" s="2"/>
      <c r="W702" s="2"/>
      <c r="X702" s="2"/>
      <c r="Y702" s="2"/>
      <c r="Z702" s="2"/>
      <c r="AA702" s="2"/>
      <c r="AB702" s="2"/>
    </row>
    <row r="703">
      <c r="A703" s="2"/>
      <c r="B703" s="21"/>
      <c r="C703" s="21"/>
      <c r="D703" s="21"/>
      <c r="E703" s="21"/>
      <c r="F703" s="2"/>
      <c r="G703" s="2"/>
      <c r="H703" s="35"/>
      <c r="I703" s="21"/>
      <c r="J703" s="21"/>
      <c r="K703" s="21"/>
      <c r="L703" s="21"/>
      <c r="M703" s="21"/>
      <c r="N703" s="21"/>
      <c r="O703" s="21"/>
      <c r="P703" s="21"/>
      <c r="Q703" s="2"/>
      <c r="R703" s="2"/>
      <c r="S703" s="2"/>
      <c r="T703" s="2"/>
      <c r="U703" s="2"/>
      <c r="V703" s="2"/>
      <c r="W703" s="2"/>
      <c r="X703" s="2"/>
      <c r="Y703" s="2"/>
      <c r="Z703" s="2"/>
      <c r="AA703" s="2"/>
      <c r="AB703" s="2"/>
    </row>
    <row r="704">
      <c r="A704" s="2"/>
      <c r="B704" s="21"/>
      <c r="C704" s="21"/>
      <c r="D704" s="21"/>
      <c r="E704" s="21"/>
      <c r="F704" s="2"/>
      <c r="G704" s="2"/>
      <c r="H704" s="35"/>
      <c r="I704" s="21"/>
      <c r="J704" s="21"/>
      <c r="K704" s="21"/>
      <c r="L704" s="21"/>
      <c r="M704" s="21"/>
      <c r="N704" s="21"/>
      <c r="O704" s="21"/>
      <c r="P704" s="21"/>
      <c r="Q704" s="2"/>
      <c r="R704" s="2"/>
      <c r="S704" s="2"/>
      <c r="T704" s="2"/>
      <c r="U704" s="2"/>
      <c r="V704" s="2"/>
      <c r="W704" s="2"/>
      <c r="X704" s="2"/>
      <c r="Y704" s="2"/>
      <c r="Z704" s="2"/>
      <c r="AA704" s="2"/>
      <c r="AB704" s="2"/>
    </row>
    <row r="705">
      <c r="A705" s="2"/>
      <c r="B705" s="21"/>
      <c r="C705" s="21"/>
      <c r="D705" s="21"/>
      <c r="E705" s="21"/>
      <c r="F705" s="2"/>
      <c r="G705" s="2"/>
      <c r="H705" s="35"/>
      <c r="I705" s="21"/>
      <c r="J705" s="21"/>
      <c r="K705" s="21"/>
      <c r="L705" s="21"/>
      <c r="M705" s="21"/>
      <c r="N705" s="21"/>
      <c r="O705" s="21"/>
      <c r="P705" s="21"/>
      <c r="Q705" s="2"/>
      <c r="R705" s="2"/>
      <c r="S705" s="2"/>
      <c r="T705" s="2"/>
      <c r="U705" s="2"/>
      <c r="V705" s="2"/>
      <c r="W705" s="2"/>
      <c r="X705" s="2"/>
      <c r="Y705" s="2"/>
      <c r="Z705" s="2"/>
      <c r="AA705" s="2"/>
      <c r="AB705" s="2"/>
    </row>
    <row r="706">
      <c r="A706" s="2"/>
      <c r="B706" s="21"/>
      <c r="C706" s="21"/>
      <c r="D706" s="21"/>
      <c r="E706" s="21"/>
      <c r="F706" s="2"/>
      <c r="G706" s="2"/>
      <c r="H706" s="35"/>
      <c r="I706" s="21"/>
      <c r="J706" s="21"/>
      <c r="K706" s="21"/>
      <c r="L706" s="21"/>
      <c r="M706" s="21"/>
      <c r="N706" s="21"/>
      <c r="O706" s="21"/>
      <c r="P706" s="21"/>
      <c r="Q706" s="2"/>
      <c r="R706" s="2"/>
      <c r="S706" s="2"/>
      <c r="T706" s="2"/>
      <c r="U706" s="2"/>
      <c r="V706" s="2"/>
      <c r="W706" s="2"/>
      <c r="X706" s="2"/>
      <c r="Y706" s="2"/>
      <c r="Z706" s="2"/>
      <c r="AA706" s="2"/>
      <c r="AB706" s="2"/>
    </row>
    <row r="707">
      <c r="A707" s="2"/>
      <c r="B707" s="21"/>
      <c r="C707" s="21"/>
      <c r="D707" s="21"/>
      <c r="E707" s="21"/>
      <c r="F707" s="2"/>
      <c r="G707" s="2"/>
      <c r="H707" s="35"/>
      <c r="I707" s="21"/>
      <c r="J707" s="21"/>
      <c r="K707" s="21"/>
      <c r="L707" s="21"/>
      <c r="M707" s="21"/>
      <c r="N707" s="21"/>
      <c r="O707" s="21"/>
      <c r="P707" s="21"/>
      <c r="Q707" s="2"/>
      <c r="R707" s="2"/>
      <c r="S707" s="2"/>
      <c r="T707" s="2"/>
      <c r="U707" s="2"/>
      <c r="V707" s="2"/>
      <c r="W707" s="2"/>
      <c r="X707" s="2"/>
      <c r="Y707" s="2"/>
      <c r="Z707" s="2"/>
      <c r="AA707" s="2"/>
      <c r="AB707" s="2"/>
    </row>
    <row r="708">
      <c r="A708" s="2"/>
      <c r="B708" s="21"/>
      <c r="C708" s="21"/>
      <c r="D708" s="21"/>
      <c r="E708" s="21"/>
      <c r="F708" s="2"/>
      <c r="G708" s="2"/>
      <c r="H708" s="35"/>
      <c r="I708" s="21"/>
      <c r="J708" s="21"/>
      <c r="K708" s="21"/>
      <c r="L708" s="21"/>
      <c r="M708" s="21"/>
      <c r="N708" s="21"/>
      <c r="O708" s="21"/>
      <c r="P708" s="21"/>
      <c r="Q708" s="2"/>
      <c r="R708" s="2"/>
      <c r="S708" s="2"/>
      <c r="T708" s="2"/>
      <c r="U708" s="2"/>
      <c r="V708" s="2"/>
      <c r="W708" s="2"/>
      <c r="X708" s="2"/>
      <c r="Y708" s="2"/>
      <c r="Z708" s="2"/>
      <c r="AA708" s="2"/>
      <c r="AB708" s="2"/>
    </row>
    <row r="709">
      <c r="A709" s="2"/>
      <c r="B709" s="21"/>
      <c r="C709" s="21"/>
      <c r="D709" s="21"/>
      <c r="E709" s="21"/>
      <c r="F709" s="2"/>
      <c r="G709" s="2"/>
      <c r="H709" s="35"/>
      <c r="I709" s="21"/>
      <c r="J709" s="21"/>
      <c r="K709" s="21"/>
      <c r="L709" s="21"/>
      <c r="M709" s="21"/>
      <c r="N709" s="21"/>
      <c r="O709" s="21"/>
      <c r="P709" s="21"/>
      <c r="Q709" s="2"/>
      <c r="R709" s="2"/>
      <c r="S709" s="2"/>
      <c r="T709" s="2"/>
      <c r="U709" s="2"/>
      <c r="V709" s="2"/>
      <c r="W709" s="2"/>
      <c r="X709" s="2"/>
      <c r="Y709" s="2"/>
      <c r="Z709" s="2"/>
      <c r="AA709" s="2"/>
      <c r="AB709" s="2"/>
    </row>
    <row r="710">
      <c r="A710" s="2"/>
      <c r="B710" s="21"/>
      <c r="C710" s="21"/>
      <c r="D710" s="21"/>
      <c r="E710" s="21"/>
      <c r="F710" s="2"/>
      <c r="G710" s="2"/>
      <c r="H710" s="35"/>
      <c r="I710" s="21"/>
      <c r="J710" s="21"/>
      <c r="K710" s="21"/>
      <c r="L710" s="21"/>
      <c r="M710" s="21"/>
      <c r="N710" s="21"/>
      <c r="O710" s="21"/>
      <c r="P710" s="21"/>
      <c r="Q710" s="2"/>
      <c r="R710" s="2"/>
      <c r="S710" s="2"/>
      <c r="T710" s="2"/>
      <c r="U710" s="2"/>
      <c r="V710" s="2"/>
      <c r="W710" s="2"/>
      <c r="X710" s="2"/>
      <c r="Y710" s="2"/>
      <c r="Z710" s="2"/>
      <c r="AA710" s="2"/>
      <c r="AB710" s="2"/>
    </row>
    <row r="711">
      <c r="A711" s="2"/>
      <c r="B711" s="21"/>
      <c r="C711" s="21"/>
      <c r="D711" s="21"/>
      <c r="E711" s="21"/>
      <c r="F711" s="2"/>
      <c r="G711" s="2"/>
      <c r="H711" s="35"/>
      <c r="I711" s="21"/>
      <c r="J711" s="21"/>
      <c r="K711" s="21"/>
      <c r="L711" s="21"/>
      <c r="M711" s="21"/>
      <c r="N711" s="21"/>
      <c r="O711" s="21"/>
      <c r="P711" s="21"/>
      <c r="Q711" s="2"/>
      <c r="R711" s="2"/>
      <c r="S711" s="2"/>
      <c r="T711" s="2"/>
      <c r="U711" s="2"/>
      <c r="V711" s="2"/>
      <c r="W711" s="2"/>
      <c r="X711" s="2"/>
      <c r="Y711" s="2"/>
      <c r="Z711" s="2"/>
      <c r="AA711" s="2"/>
      <c r="AB711" s="2"/>
    </row>
    <row r="712">
      <c r="A712" s="2"/>
      <c r="B712" s="21"/>
      <c r="C712" s="21"/>
      <c r="D712" s="21"/>
      <c r="E712" s="21"/>
      <c r="F712" s="2"/>
      <c r="G712" s="2"/>
      <c r="H712" s="35"/>
      <c r="I712" s="21"/>
      <c r="J712" s="21"/>
      <c r="K712" s="21"/>
      <c r="L712" s="21"/>
      <c r="M712" s="21"/>
      <c r="N712" s="21"/>
      <c r="O712" s="21"/>
      <c r="P712" s="21"/>
      <c r="Q712" s="2"/>
      <c r="R712" s="2"/>
      <c r="S712" s="2"/>
      <c r="T712" s="2"/>
      <c r="U712" s="2"/>
      <c r="V712" s="2"/>
      <c r="W712" s="2"/>
      <c r="X712" s="2"/>
      <c r="Y712" s="2"/>
      <c r="Z712" s="2"/>
      <c r="AA712" s="2"/>
      <c r="AB712" s="2"/>
    </row>
    <row r="713">
      <c r="A713" s="2"/>
      <c r="B713" s="21"/>
      <c r="C713" s="21"/>
      <c r="D713" s="21"/>
      <c r="E713" s="21"/>
      <c r="F713" s="2"/>
      <c r="G713" s="2"/>
      <c r="H713" s="35"/>
      <c r="I713" s="21"/>
      <c r="J713" s="21"/>
      <c r="K713" s="21"/>
      <c r="L713" s="21"/>
      <c r="M713" s="21"/>
      <c r="N713" s="21"/>
      <c r="O713" s="21"/>
      <c r="P713" s="21"/>
      <c r="Q713" s="2"/>
      <c r="R713" s="2"/>
      <c r="S713" s="2"/>
      <c r="T713" s="2"/>
      <c r="U713" s="2"/>
      <c r="V713" s="2"/>
      <c r="W713" s="2"/>
      <c r="X713" s="2"/>
      <c r="Y713" s="2"/>
      <c r="Z713" s="2"/>
      <c r="AA713" s="2"/>
      <c r="AB713" s="2"/>
    </row>
    <row r="714">
      <c r="A714" s="2"/>
      <c r="B714" s="21"/>
      <c r="C714" s="21"/>
      <c r="D714" s="21"/>
      <c r="E714" s="21"/>
      <c r="F714" s="2"/>
      <c r="G714" s="2"/>
      <c r="H714" s="35"/>
      <c r="I714" s="21"/>
      <c r="J714" s="21"/>
      <c r="K714" s="21"/>
      <c r="L714" s="21"/>
      <c r="M714" s="21"/>
      <c r="N714" s="21"/>
      <c r="O714" s="21"/>
      <c r="P714" s="21"/>
      <c r="Q714" s="2"/>
      <c r="R714" s="2"/>
      <c r="S714" s="2"/>
      <c r="T714" s="2"/>
      <c r="U714" s="2"/>
      <c r="V714" s="2"/>
      <c r="W714" s="2"/>
      <c r="X714" s="2"/>
      <c r="Y714" s="2"/>
      <c r="Z714" s="2"/>
      <c r="AA714" s="2"/>
      <c r="AB714" s="2"/>
    </row>
    <row r="715">
      <c r="A715" s="2"/>
      <c r="B715" s="21"/>
      <c r="C715" s="21"/>
      <c r="D715" s="21"/>
      <c r="E715" s="21"/>
      <c r="F715" s="2"/>
      <c r="G715" s="2"/>
      <c r="H715" s="35"/>
      <c r="I715" s="21"/>
      <c r="J715" s="21"/>
      <c r="K715" s="21"/>
      <c r="L715" s="21"/>
      <c r="M715" s="21"/>
      <c r="N715" s="21"/>
      <c r="O715" s="21"/>
      <c r="P715" s="21"/>
      <c r="Q715" s="2"/>
      <c r="R715" s="2"/>
      <c r="S715" s="2"/>
      <c r="T715" s="2"/>
      <c r="U715" s="2"/>
      <c r="V715" s="2"/>
      <c r="W715" s="2"/>
      <c r="X715" s="2"/>
      <c r="Y715" s="2"/>
      <c r="Z715" s="2"/>
      <c r="AA715" s="2"/>
      <c r="AB715" s="2"/>
    </row>
    <row r="716">
      <c r="A716" s="2"/>
      <c r="B716" s="21"/>
      <c r="C716" s="21"/>
      <c r="D716" s="21"/>
      <c r="E716" s="21"/>
      <c r="F716" s="2"/>
      <c r="G716" s="2"/>
      <c r="H716" s="35"/>
      <c r="I716" s="21"/>
      <c r="J716" s="21"/>
      <c r="K716" s="21"/>
      <c r="L716" s="21"/>
      <c r="M716" s="21"/>
      <c r="N716" s="21"/>
      <c r="O716" s="21"/>
      <c r="P716" s="21"/>
      <c r="Q716" s="2"/>
      <c r="R716" s="2"/>
      <c r="S716" s="2"/>
      <c r="T716" s="2"/>
      <c r="U716" s="2"/>
      <c r="V716" s="2"/>
      <c r="W716" s="2"/>
      <c r="X716" s="2"/>
      <c r="Y716" s="2"/>
      <c r="Z716" s="2"/>
      <c r="AA716" s="2"/>
      <c r="AB716" s="2"/>
    </row>
    <row r="717">
      <c r="A717" s="2"/>
      <c r="B717" s="21"/>
      <c r="C717" s="21"/>
      <c r="D717" s="21"/>
      <c r="E717" s="21"/>
      <c r="F717" s="2"/>
      <c r="G717" s="2"/>
      <c r="H717" s="35"/>
      <c r="I717" s="21"/>
      <c r="J717" s="21"/>
      <c r="K717" s="21"/>
      <c r="L717" s="21"/>
      <c r="M717" s="21"/>
      <c r="N717" s="21"/>
      <c r="O717" s="21"/>
      <c r="P717" s="21"/>
      <c r="Q717" s="2"/>
      <c r="R717" s="2"/>
      <c r="S717" s="2"/>
      <c r="T717" s="2"/>
      <c r="U717" s="2"/>
      <c r="V717" s="2"/>
      <c r="W717" s="2"/>
      <c r="X717" s="2"/>
      <c r="Y717" s="2"/>
      <c r="Z717" s="2"/>
      <c r="AA717" s="2"/>
      <c r="AB717" s="2"/>
    </row>
    <row r="718">
      <c r="A718" s="2"/>
      <c r="B718" s="21"/>
      <c r="C718" s="21"/>
      <c r="D718" s="21"/>
      <c r="E718" s="21"/>
      <c r="F718" s="2"/>
      <c r="G718" s="2"/>
      <c r="H718" s="35"/>
      <c r="I718" s="21"/>
      <c r="J718" s="21"/>
      <c r="K718" s="21"/>
      <c r="L718" s="21"/>
      <c r="M718" s="21"/>
      <c r="N718" s="21"/>
      <c r="O718" s="21"/>
      <c r="P718" s="21"/>
      <c r="Q718" s="2"/>
      <c r="R718" s="2"/>
      <c r="S718" s="2"/>
      <c r="T718" s="2"/>
      <c r="U718" s="2"/>
      <c r="V718" s="2"/>
      <c r="W718" s="2"/>
      <c r="X718" s="2"/>
      <c r="Y718" s="2"/>
      <c r="Z718" s="2"/>
      <c r="AA718" s="2"/>
      <c r="AB718" s="2"/>
    </row>
    <row r="719">
      <c r="A719" s="2"/>
      <c r="B719" s="21"/>
      <c r="C719" s="21"/>
      <c r="D719" s="21"/>
      <c r="E719" s="21"/>
      <c r="F719" s="2"/>
      <c r="G719" s="2"/>
      <c r="H719" s="35"/>
      <c r="I719" s="21"/>
      <c r="J719" s="21"/>
      <c r="K719" s="21"/>
      <c r="L719" s="21"/>
      <c r="M719" s="21"/>
      <c r="N719" s="21"/>
      <c r="O719" s="21"/>
      <c r="P719" s="21"/>
      <c r="Q719" s="2"/>
      <c r="R719" s="2"/>
      <c r="S719" s="2"/>
      <c r="T719" s="2"/>
      <c r="U719" s="2"/>
      <c r="V719" s="2"/>
      <c r="W719" s="2"/>
      <c r="X719" s="2"/>
      <c r="Y719" s="2"/>
      <c r="Z719" s="2"/>
      <c r="AA719" s="2"/>
      <c r="AB719" s="2"/>
    </row>
    <row r="720">
      <c r="A720" s="2"/>
      <c r="B720" s="21"/>
      <c r="C720" s="21"/>
      <c r="D720" s="21"/>
      <c r="E720" s="21"/>
      <c r="F720" s="2"/>
      <c r="G720" s="2"/>
      <c r="H720" s="35"/>
      <c r="I720" s="21"/>
      <c r="J720" s="21"/>
      <c r="K720" s="21"/>
      <c r="L720" s="21"/>
      <c r="M720" s="21"/>
      <c r="N720" s="21"/>
      <c r="O720" s="21"/>
      <c r="P720" s="21"/>
      <c r="Q720" s="2"/>
      <c r="R720" s="2"/>
      <c r="S720" s="2"/>
      <c r="T720" s="2"/>
      <c r="U720" s="2"/>
      <c r="V720" s="2"/>
      <c r="W720" s="2"/>
      <c r="X720" s="2"/>
      <c r="Y720" s="2"/>
      <c r="Z720" s="2"/>
      <c r="AA720" s="2"/>
      <c r="AB720" s="2"/>
    </row>
    <row r="721">
      <c r="A721" s="2"/>
      <c r="B721" s="21"/>
      <c r="C721" s="21"/>
      <c r="D721" s="21"/>
      <c r="E721" s="21"/>
      <c r="F721" s="2"/>
      <c r="G721" s="2"/>
      <c r="H721" s="35"/>
      <c r="I721" s="21"/>
      <c r="J721" s="21"/>
      <c r="K721" s="21"/>
      <c r="L721" s="21"/>
      <c r="M721" s="21"/>
      <c r="N721" s="21"/>
      <c r="O721" s="21"/>
      <c r="P721" s="21"/>
      <c r="Q721" s="2"/>
      <c r="R721" s="2"/>
      <c r="S721" s="2"/>
      <c r="T721" s="2"/>
      <c r="U721" s="2"/>
      <c r="V721" s="2"/>
      <c r="W721" s="2"/>
      <c r="X721" s="2"/>
      <c r="Y721" s="2"/>
      <c r="Z721" s="2"/>
      <c r="AA721" s="2"/>
      <c r="AB721" s="2"/>
    </row>
    <row r="722">
      <c r="A722" s="2"/>
      <c r="B722" s="21"/>
      <c r="C722" s="21"/>
      <c r="D722" s="21"/>
      <c r="E722" s="21"/>
      <c r="F722" s="2"/>
      <c r="G722" s="2"/>
      <c r="H722" s="35"/>
      <c r="I722" s="21"/>
      <c r="J722" s="21"/>
      <c r="K722" s="21"/>
      <c r="L722" s="21"/>
      <c r="M722" s="21"/>
      <c r="N722" s="21"/>
      <c r="O722" s="21"/>
      <c r="P722" s="21"/>
      <c r="Q722" s="2"/>
      <c r="R722" s="2"/>
      <c r="S722" s="2"/>
      <c r="T722" s="2"/>
      <c r="U722" s="2"/>
      <c r="V722" s="2"/>
      <c r="W722" s="2"/>
      <c r="X722" s="2"/>
      <c r="Y722" s="2"/>
      <c r="Z722" s="2"/>
      <c r="AA722" s="2"/>
      <c r="AB722" s="2"/>
    </row>
    <row r="723">
      <c r="A723" s="2"/>
      <c r="B723" s="21"/>
      <c r="C723" s="21"/>
      <c r="D723" s="21"/>
      <c r="E723" s="21"/>
      <c r="F723" s="2"/>
      <c r="G723" s="2"/>
      <c r="H723" s="35"/>
      <c r="I723" s="21"/>
      <c r="J723" s="21"/>
      <c r="K723" s="21"/>
      <c r="L723" s="21"/>
      <c r="M723" s="21"/>
      <c r="N723" s="21"/>
      <c r="O723" s="21"/>
      <c r="P723" s="21"/>
      <c r="Q723" s="2"/>
      <c r="R723" s="2"/>
      <c r="S723" s="2"/>
      <c r="T723" s="2"/>
      <c r="U723" s="2"/>
      <c r="V723" s="2"/>
      <c r="W723" s="2"/>
      <c r="X723" s="2"/>
      <c r="Y723" s="2"/>
      <c r="Z723" s="2"/>
      <c r="AA723" s="2"/>
      <c r="AB723" s="2"/>
    </row>
    <row r="724">
      <c r="A724" s="2"/>
      <c r="B724" s="21"/>
      <c r="C724" s="21"/>
      <c r="D724" s="21"/>
      <c r="E724" s="21"/>
      <c r="F724" s="2"/>
      <c r="G724" s="2"/>
      <c r="H724" s="35"/>
      <c r="I724" s="21"/>
      <c r="J724" s="21"/>
      <c r="K724" s="21"/>
      <c r="L724" s="21"/>
      <c r="M724" s="21"/>
      <c r="N724" s="21"/>
      <c r="O724" s="21"/>
      <c r="P724" s="21"/>
      <c r="Q724" s="2"/>
      <c r="R724" s="2"/>
      <c r="S724" s="2"/>
      <c r="T724" s="2"/>
      <c r="U724" s="2"/>
      <c r="V724" s="2"/>
      <c r="W724" s="2"/>
      <c r="X724" s="2"/>
      <c r="Y724" s="2"/>
      <c r="Z724" s="2"/>
      <c r="AA724" s="2"/>
      <c r="AB724" s="2"/>
    </row>
    <row r="725">
      <c r="A725" s="2"/>
      <c r="B725" s="21"/>
      <c r="C725" s="21"/>
      <c r="D725" s="21"/>
      <c r="E725" s="21"/>
      <c r="F725" s="2"/>
      <c r="G725" s="2"/>
      <c r="H725" s="35"/>
      <c r="I725" s="21"/>
      <c r="J725" s="21"/>
      <c r="K725" s="21"/>
      <c r="L725" s="21"/>
      <c r="M725" s="21"/>
      <c r="N725" s="21"/>
      <c r="O725" s="21"/>
      <c r="P725" s="21"/>
      <c r="Q725" s="2"/>
      <c r="R725" s="2"/>
      <c r="S725" s="2"/>
      <c r="T725" s="2"/>
      <c r="U725" s="2"/>
      <c r="V725" s="2"/>
      <c r="W725" s="2"/>
      <c r="X725" s="2"/>
      <c r="Y725" s="2"/>
      <c r="Z725" s="2"/>
      <c r="AA725" s="2"/>
      <c r="AB725" s="2"/>
    </row>
    <row r="726">
      <c r="A726" s="2"/>
      <c r="B726" s="21"/>
      <c r="C726" s="21"/>
      <c r="D726" s="21"/>
      <c r="E726" s="21"/>
      <c r="F726" s="2"/>
      <c r="G726" s="2"/>
      <c r="H726" s="35"/>
      <c r="I726" s="21"/>
      <c r="J726" s="21"/>
      <c r="K726" s="21"/>
      <c r="L726" s="21"/>
      <c r="M726" s="21"/>
      <c r="N726" s="21"/>
      <c r="O726" s="21"/>
      <c r="P726" s="21"/>
      <c r="Q726" s="2"/>
      <c r="R726" s="2"/>
      <c r="S726" s="2"/>
      <c r="T726" s="2"/>
      <c r="U726" s="2"/>
      <c r="V726" s="2"/>
      <c r="W726" s="2"/>
      <c r="X726" s="2"/>
      <c r="Y726" s="2"/>
      <c r="Z726" s="2"/>
      <c r="AA726" s="2"/>
      <c r="AB726" s="2"/>
    </row>
    <row r="727">
      <c r="A727" s="2"/>
      <c r="B727" s="21"/>
      <c r="C727" s="21"/>
      <c r="D727" s="21"/>
      <c r="E727" s="21"/>
      <c r="F727" s="2"/>
      <c r="G727" s="2"/>
      <c r="H727" s="35"/>
      <c r="I727" s="21"/>
      <c r="J727" s="21"/>
      <c r="K727" s="21"/>
      <c r="L727" s="21"/>
      <c r="M727" s="21"/>
      <c r="N727" s="21"/>
      <c r="O727" s="21"/>
      <c r="P727" s="21"/>
      <c r="Q727" s="2"/>
      <c r="R727" s="2"/>
      <c r="S727" s="2"/>
      <c r="T727" s="2"/>
      <c r="U727" s="2"/>
      <c r="V727" s="2"/>
      <c r="W727" s="2"/>
      <c r="X727" s="2"/>
      <c r="Y727" s="2"/>
      <c r="Z727" s="2"/>
      <c r="AA727" s="2"/>
      <c r="AB727" s="2"/>
    </row>
    <row r="728">
      <c r="A728" s="2"/>
      <c r="B728" s="21"/>
      <c r="C728" s="21"/>
      <c r="D728" s="21"/>
      <c r="E728" s="21"/>
      <c r="F728" s="2"/>
      <c r="G728" s="2"/>
      <c r="H728" s="35"/>
      <c r="I728" s="21"/>
      <c r="J728" s="21"/>
      <c r="K728" s="21"/>
      <c r="L728" s="21"/>
      <c r="M728" s="21"/>
      <c r="N728" s="21"/>
      <c r="O728" s="21"/>
      <c r="P728" s="21"/>
      <c r="Q728" s="2"/>
      <c r="R728" s="2"/>
      <c r="S728" s="2"/>
      <c r="T728" s="2"/>
      <c r="U728" s="2"/>
      <c r="V728" s="2"/>
      <c r="W728" s="2"/>
      <c r="X728" s="2"/>
      <c r="Y728" s="2"/>
      <c r="Z728" s="2"/>
      <c r="AA728" s="2"/>
      <c r="AB728" s="2"/>
    </row>
    <row r="729">
      <c r="A729" s="2"/>
      <c r="B729" s="21"/>
      <c r="C729" s="21"/>
      <c r="D729" s="21"/>
      <c r="E729" s="21"/>
      <c r="F729" s="2"/>
      <c r="G729" s="2"/>
      <c r="H729" s="35"/>
      <c r="I729" s="21"/>
      <c r="J729" s="21"/>
      <c r="K729" s="21"/>
      <c r="L729" s="21"/>
      <c r="M729" s="21"/>
      <c r="N729" s="21"/>
      <c r="O729" s="21"/>
      <c r="P729" s="21"/>
      <c r="Q729" s="2"/>
      <c r="R729" s="2"/>
      <c r="S729" s="2"/>
      <c r="T729" s="2"/>
      <c r="U729" s="2"/>
      <c r="V729" s="2"/>
      <c r="W729" s="2"/>
      <c r="X729" s="2"/>
      <c r="Y729" s="2"/>
      <c r="Z729" s="2"/>
      <c r="AA729" s="2"/>
      <c r="AB729" s="2"/>
    </row>
    <row r="730">
      <c r="A730" s="2"/>
      <c r="B730" s="21"/>
      <c r="C730" s="21"/>
      <c r="D730" s="21"/>
      <c r="E730" s="21"/>
      <c r="F730" s="2"/>
      <c r="G730" s="2"/>
      <c r="H730" s="35"/>
      <c r="I730" s="21"/>
      <c r="J730" s="21"/>
      <c r="K730" s="21"/>
      <c r="L730" s="21"/>
      <c r="M730" s="21"/>
      <c r="N730" s="21"/>
      <c r="O730" s="21"/>
      <c r="P730" s="21"/>
      <c r="Q730" s="2"/>
      <c r="R730" s="2"/>
      <c r="S730" s="2"/>
      <c r="T730" s="2"/>
      <c r="U730" s="2"/>
      <c r="V730" s="2"/>
      <c r="W730" s="2"/>
      <c r="X730" s="2"/>
      <c r="Y730" s="2"/>
      <c r="Z730" s="2"/>
      <c r="AA730" s="2"/>
      <c r="AB730" s="2"/>
    </row>
    <row r="731">
      <c r="A731" s="2"/>
      <c r="B731" s="21"/>
      <c r="C731" s="21"/>
      <c r="D731" s="21"/>
      <c r="E731" s="21"/>
      <c r="F731" s="2"/>
      <c r="G731" s="2"/>
      <c r="H731" s="35"/>
      <c r="I731" s="21"/>
      <c r="J731" s="21"/>
      <c r="K731" s="21"/>
      <c r="L731" s="21"/>
      <c r="M731" s="21"/>
      <c r="N731" s="21"/>
      <c r="O731" s="21"/>
      <c r="P731" s="21"/>
      <c r="Q731" s="2"/>
      <c r="R731" s="2"/>
      <c r="S731" s="2"/>
      <c r="T731" s="2"/>
      <c r="U731" s="2"/>
      <c r="V731" s="2"/>
      <c r="W731" s="2"/>
      <c r="X731" s="2"/>
      <c r="Y731" s="2"/>
      <c r="Z731" s="2"/>
      <c r="AA731" s="2"/>
      <c r="AB731" s="2"/>
    </row>
    <row r="732">
      <c r="A732" s="2"/>
      <c r="B732" s="21"/>
      <c r="C732" s="21"/>
      <c r="D732" s="21"/>
      <c r="E732" s="21"/>
      <c r="F732" s="2"/>
      <c r="G732" s="2"/>
      <c r="H732" s="35"/>
      <c r="I732" s="21"/>
      <c r="J732" s="21"/>
      <c r="K732" s="21"/>
      <c r="L732" s="21"/>
      <c r="M732" s="21"/>
      <c r="N732" s="21"/>
      <c r="O732" s="21"/>
      <c r="P732" s="21"/>
      <c r="Q732" s="2"/>
      <c r="R732" s="2"/>
      <c r="S732" s="2"/>
      <c r="T732" s="2"/>
      <c r="U732" s="2"/>
      <c r="V732" s="2"/>
      <c r="W732" s="2"/>
      <c r="X732" s="2"/>
      <c r="Y732" s="2"/>
      <c r="Z732" s="2"/>
      <c r="AA732" s="2"/>
      <c r="AB732" s="2"/>
    </row>
    <row r="733">
      <c r="A733" s="2"/>
      <c r="B733" s="21"/>
      <c r="C733" s="21"/>
      <c r="D733" s="21"/>
      <c r="E733" s="21"/>
      <c r="F733" s="2"/>
      <c r="G733" s="2"/>
      <c r="H733" s="35"/>
      <c r="I733" s="21"/>
      <c r="J733" s="21"/>
      <c r="K733" s="21"/>
      <c r="L733" s="21"/>
      <c r="M733" s="21"/>
      <c r="N733" s="21"/>
      <c r="O733" s="21"/>
      <c r="P733" s="21"/>
      <c r="Q733" s="2"/>
      <c r="R733" s="2"/>
      <c r="S733" s="2"/>
      <c r="T733" s="2"/>
      <c r="U733" s="2"/>
      <c r="V733" s="2"/>
      <c r="W733" s="2"/>
      <c r="X733" s="2"/>
      <c r="Y733" s="2"/>
      <c r="Z733" s="2"/>
      <c r="AA733" s="2"/>
      <c r="AB733" s="2"/>
    </row>
    <row r="734">
      <c r="A734" s="2"/>
      <c r="B734" s="21"/>
      <c r="C734" s="21"/>
      <c r="D734" s="21"/>
      <c r="E734" s="21"/>
      <c r="F734" s="2"/>
      <c r="G734" s="2"/>
      <c r="H734" s="35"/>
      <c r="I734" s="21"/>
      <c r="J734" s="21"/>
      <c r="K734" s="21"/>
      <c r="L734" s="21"/>
      <c r="M734" s="21"/>
      <c r="N734" s="21"/>
      <c r="O734" s="21"/>
      <c r="P734" s="21"/>
      <c r="Q734" s="2"/>
      <c r="R734" s="2"/>
      <c r="S734" s="2"/>
      <c r="T734" s="2"/>
      <c r="U734" s="2"/>
      <c r="V734" s="2"/>
      <c r="W734" s="2"/>
      <c r="X734" s="2"/>
      <c r="Y734" s="2"/>
      <c r="Z734" s="2"/>
      <c r="AA734" s="2"/>
      <c r="AB734" s="2"/>
    </row>
    <row r="735">
      <c r="A735" s="2"/>
      <c r="B735" s="21"/>
      <c r="C735" s="21"/>
      <c r="D735" s="21"/>
      <c r="E735" s="21"/>
      <c r="F735" s="2"/>
      <c r="G735" s="2"/>
      <c r="H735" s="35"/>
      <c r="I735" s="21"/>
      <c r="J735" s="21"/>
      <c r="K735" s="21"/>
      <c r="L735" s="21"/>
      <c r="M735" s="21"/>
      <c r="N735" s="21"/>
      <c r="O735" s="21"/>
      <c r="P735" s="21"/>
      <c r="Q735" s="2"/>
      <c r="R735" s="2"/>
      <c r="S735" s="2"/>
      <c r="T735" s="2"/>
      <c r="U735" s="2"/>
      <c r="V735" s="2"/>
      <c r="W735" s="2"/>
      <c r="X735" s="2"/>
      <c r="Y735" s="2"/>
      <c r="Z735" s="2"/>
      <c r="AA735" s="2"/>
      <c r="AB735" s="2"/>
    </row>
    <row r="736">
      <c r="A736" s="2"/>
      <c r="B736" s="21"/>
      <c r="C736" s="21"/>
      <c r="D736" s="21"/>
      <c r="E736" s="21"/>
      <c r="F736" s="2"/>
      <c r="G736" s="2"/>
      <c r="H736" s="35"/>
      <c r="I736" s="21"/>
      <c r="J736" s="21"/>
      <c r="K736" s="21"/>
      <c r="L736" s="21"/>
      <c r="M736" s="21"/>
      <c r="N736" s="21"/>
      <c r="O736" s="21"/>
      <c r="P736" s="21"/>
      <c r="Q736" s="2"/>
      <c r="R736" s="2"/>
      <c r="S736" s="2"/>
      <c r="T736" s="2"/>
      <c r="U736" s="2"/>
      <c r="V736" s="2"/>
      <c r="W736" s="2"/>
      <c r="X736" s="2"/>
      <c r="Y736" s="2"/>
      <c r="Z736" s="2"/>
      <c r="AA736" s="2"/>
      <c r="AB736" s="2"/>
    </row>
    <row r="737">
      <c r="A737" s="2"/>
      <c r="B737" s="21"/>
      <c r="C737" s="21"/>
      <c r="D737" s="21"/>
      <c r="E737" s="21"/>
      <c r="F737" s="2"/>
      <c r="G737" s="2"/>
      <c r="H737" s="35"/>
      <c r="I737" s="21"/>
      <c r="J737" s="21"/>
      <c r="K737" s="21"/>
      <c r="L737" s="21"/>
      <c r="M737" s="21"/>
      <c r="N737" s="21"/>
      <c r="O737" s="21"/>
      <c r="P737" s="21"/>
      <c r="Q737" s="2"/>
      <c r="R737" s="2"/>
      <c r="S737" s="2"/>
      <c r="T737" s="2"/>
      <c r="U737" s="2"/>
      <c r="V737" s="2"/>
      <c r="W737" s="2"/>
      <c r="X737" s="2"/>
      <c r="Y737" s="2"/>
      <c r="Z737" s="2"/>
      <c r="AA737" s="2"/>
      <c r="AB737" s="2"/>
    </row>
    <row r="738">
      <c r="A738" s="2"/>
      <c r="B738" s="21"/>
      <c r="C738" s="21"/>
      <c r="D738" s="21"/>
      <c r="E738" s="21"/>
      <c r="F738" s="2"/>
      <c r="G738" s="2"/>
      <c r="H738" s="35"/>
      <c r="I738" s="21"/>
      <c r="J738" s="21"/>
      <c r="K738" s="21"/>
      <c r="L738" s="21"/>
      <c r="M738" s="21"/>
      <c r="N738" s="21"/>
      <c r="O738" s="21"/>
      <c r="P738" s="21"/>
      <c r="Q738" s="2"/>
      <c r="R738" s="2"/>
      <c r="S738" s="2"/>
      <c r="T738" s="2"/>
      <c r="U738" s="2"/>
      <c r="V738" s="2"/>
      <c r="W738" s="2"/>
      <c r="X738" s="2"/>
      <c r="Y738" s="2"/>
      <c r="Z738" s="2"/>
      <c r="AA738" s="2"/>
      <c r="AB738" s="2"/>
    </row>
    <row r="739">
      <c r="A739" s="2"/>
      <c r="B739" s="21"/>
      <c r="C739" s="21"/>
      <c r="D739" s="21"/>
      <c r="E739" s="21"/>
      <c r="F739" s="2"/>
      <c r="G739" s="2"/>
      <c r="H739" s="35"/>
      <c r="I739" s="21"/>
      <c r="J739" s="21"/>
      <c r="K739" s="21"/>
      <c r="L739" s="21"/>
      <c r="M739" s="21"/>
      <c r="N739" s="21"/>
      <c r="O739" s="21"/>
      <c r="P739" s="21"/>
      <c r="Q739" s="2"/>
      <c r="R739" s="2"/>
      <c r="S739" s="2"/>
      <c r="T739" s="2"/>
      <c r="U739" s="2"/>
      <c r="V739" s="2"/>
      <c r="W739" s="2"/>
      <c r="X739" s="2"/>
      <c r="Y739" s="2"/>
      <c r="Z739" s="2"/>
      <c r="AA739" s="2"/>
      <c r="AB739" s="2"/>
    </row>
    <row r="740">
      <c r="A740" s="2"/>
      <c r="B740" s="21"/>
      <c r="C740" s="21"/>
      <c r="D740" s="21"/>
      <c r="E740" s="21"/>
      <c r="F740" s="2"/>
      <c r="G740" s="2"/>
      <c r="H740" s="35"/>
      <c r="I740" s="21"/>
      <c r="J740" s="21"/>
      <c r="K740" s="21"/>
      <c r="L740" s="21"/>
      <c r="M740" s="21"/>
      <c r="N740" s="21"/>
      <c r="O740" s="21"/>
      <c r="P740" s="21"/>
      <c r="Q740" s="2"/>
      <c r="R740" s="2"/>
      <c r="S740" s="2"/>
      <c r="T740" s="2"/>
      <c r="U740" s="2"/>
      <c r="V740" s="2"/>
      <c r="W740" s="2"/>
      <c r="X740" s="2"/>
      <c r="Y740" s="2"/>
      <c r="Z740" s="2"/>
      <c r="AA740" s="2"/>
      <c r="AB740" s="2"/>
    </row>
    <row r="741">
      <c r="A741" s="2"/>
      <c r="B741" s="21"/>
      <c r="C741" s="21"/>
      <c r="D741" s="21"/>
      <c r="E741" s="21"/>
      <c r="F741" s="2"/>
      <c r="G741" s="2"/>
      <c r="H741" s="35"/>
      <c r="I741" s="21"/>
      <c r="J741" s="21"/>
      <c r="K741" s="21"/>
      <c r="L741" s="21"/>
      <c r="M741" s="21"/>
      <c r="N741" s="21"/>
      <c r="O741" s="21"/>
      <c r="P741" s="21"/>
      <c r="Q741" s="2"/>
      <c r="R741" s="2"/>
      <c r="S741" s="2"/>
      <c r="T741" s="2"/>
      <c r="U741" s="2"/>
      <c r="V741" s="2"/>
      <c r="W741" s="2"/>
      <c r="X741" s="2"/>
      <c r="Y741" s="2"/>
      <c r="Z741" s="2"/>
      <c r="AA741" s="2"/>
      <c r="AB741" s="2"/>
    </row>
    <row r="742">
      <c r="A742" s="2"/>
      <c r="B742" s="21"/>
      <c r="C742" s="21"/>
      <c r="D742" s="21"/>
      <c r="E742" s="21"/>
      <c r="F742" s="2"/>
      <c r="G742" s="2"/>
      <c r="H742" s="35"/>
      <c r="I742" s="21"/>
      <c r="J742" s="21"/>
      <c r="K742" s="21"/>
      <c r="L742" s="21"/>
      <c r="M742" s="21"/>
      <c r="N742" s="21"/>
      <c r="O742" s="21"/>
      <c r="P742" s="21"/>
      <c r="Q742" s="2"/>
      <c r="R742" s="2"/>
      <c r="S742" s="2"/>
      <c r="T742" s="2"/>
      <c r="U742" s="2"/>
      <c r="V742" s="2"/>
      <c r="W742" s="2"/>
      <c r="X742" s="2"/>
      <c r="Y742" s="2"/>
      <c r="Z742" s="2"/>
      <c r="AA742" s="2"/>
      <c r="AB742" s="2"/>
    </row>
    <row r="743">
      <c r="A743" s="2"/>
      <c r="B743" s="21"/>
      <c r="C743" s="21"/>
      <c r="D743" s="21"/>
      <c r="E743" s="21"/>
      <c r="F743" s="2"/>
      <c r="G743" s="2"/>
      <c r="H743" s="35"/>
      <c r="I743" s="21"/>
      <c r="J743" s="21"/>
      <c r="K743" s="21"/>
      <c r="L743" s="21"/>
      <c r="M743" s="21"/>
      <c r="N743" s="21"/>
      <c r="O743" s="21"/>
      <c r="P743" s="21"/>
      <c r="Q743" s="2"/>
      <c r="R743" s="2"/>
      <c r="S743" s="2"/>
      <c r="T743" s="2"/>
      <c r="U743" s="2"/>
      <c r="V743" s="2"/>
      <c r="W743" s="2"/>
      <c r="X743" s="2"/>
      <c r="Y743" s="2"/>
      <c r="Z743" s="2"/>
      <c r="AA743" s="2"/>
      <c r="AB743" s="2"/>
    </row>
    <row r="744">
      <c r="A744" s="2"/>
      <c r="B744" s="21"/>
      <c r="C744" s="21"/>
      <c r="D744" s="21"/>
      <c r="E744" s="21"/>
      <c r="F744" s="2"/>
      <c r="G744" s="2"/>
      <c r="H744" s="35"/>
      <c r="I744" s="21"/>
      <c r="J744" s="21"/>
      <c r="K744" s="21"/>
      <c r="L744" s="21"/>
      <c r="M744" s="21"/>
      <c r="N744" s="21"/>
      <c r="O744" s="21"/>
      <c r="P744" s="21"/>
      <c r="Q744" s="2"/>
      <c r="R744" s="2"/>
      <c r="S744" s="2"/>
      <c r="T744" s="2"/>
      <c r="U744" s="2"/>
      <c r="V744" s="2"/>
      <c r="W744" s="2"/>
      <c r="X744" s="2"/>
      <c r="Y744" s="2"/>
      <c r="Z744" s="2"/>
      <c r="AA744" s="2"/>
      <c r="AB744" s="2"/>
    </row>
    <row r="745">
      <c r="A745" s="2"/>
      <c r="B745" s="21"/>
      <c r="C745" s="21"/>
      <c r="D745" s="21"/>
      <c r="E745" s="21"/>
      <c r="F745" s="2"/>
      <c r="G745" s="2"/>
      <c r="H745" s="35"/>
      <c r="I745" s="21"/>
      <c r="J745" s="21"/>
      <c r="K745" s="21"/>
      <c r="L745" s="21"/>
      <c r="M745" s="21"/>
      <c r="N745" s="21"/>
      <c r="O745" s="21"/>
      <c r="P745" s="21"/>
      <c r="Q745" s="2"/>
      <c r="R745" s="2"/>
      <c r="S745" s="2"/>
      <c r="T745" s="2"/>
      <c r="U745" s="2"/>
      <c r="V745" s="2"/>
      <c r="W745" s="2"/>
      <c r="X745" s="2"/>
      <c r="Y745" s="2"/>
      <c r="Z745" s="2"/>
      <c r="AA745" s="2"/>
      <c r="AB745" s="2"/>
    </row>
    <row r="746">
      <c r="A746" s="2"/>
      <c r="B746" s="21"/>
      <c r="C746" s="21"/>
      <c r="D746" s="21"/>
      <c r="E746" s="21"/>
      <c r="F746" s="2"/>
      <c r="G746" s="2"/>
      <c r="H746" s="35"/>
      <c r="I746" s="21"/>
      <c r="J746" s="21"/>
      <c r="K746" s="21"/>
      <c r="L746" s="21"/>
      <c r="M746" s="21"/>
      <c r="N746" s="21"/>
      <c r="O746" s="21"/>
      <c r="P746" s="21"/>
      <c r="Q746" s="2"/>
      <c r="R746" s="2"/>
      <c r="S746" s="2"/>
      <c r="T746" s="2"/>
      <c r="U746" s="2"/>
      <c r="V746" s="2"/>
      <c r="W746" s="2"/>
      <c r="X746" s="2"/>
      <c r="Y746" s="2"/>
      <c r="Z746" s="2"/>
      <c r="AA746" s="2"/>
      <c r="AB746" s="2"/>
    </row>
    <row r="747">
      <c r="A747" s="2"/>
      <c r="B747" s="21"/>
      <c r="C747" s="21"/>
      <c r="D747" s="21"/>
      <c r="E747" s="21"/>
      <c r="F747" s="2"/>
      <c r="G747" s="2"/>
      <c r="H747" s="35"/>
      <c r="I747" s="21"/>
      <c r="J747" s="21"/>
      <c r="K747" s="21"/>
      <c r="L747" s="21"/>
      <c r="M747" s="21"/>
      <c r="N747" s="21"/>
      <c r="O747" s="21"/>
      <c r="P747" s="21"/>
      <c r="Q747" s="2"/>
      <c r="R747" s="2"/>
      <c r="S747" s="2"/>
      <c r="T747" s="2"/>
      <c r="U747" s="2"/>
      <c r="V747" s="2"/>
      <c r="W747" s="2"/>
      <c r="X747" s="2"/>
      <c r="Y747" s="2"/>
      <c r="Z747" s="2"/>
      <c r="AA747" s="2"/>
      <c r="AB747" s="2"/>
    </row>
    <row r="748">
      <c r="A748" s="2"/>
      <c r="B748" s="21"/>
      <c r="C748" s="21"/>
      <c r="D748" s="21"/>
      <c r="E748" s="21"/>
      <c r="F748" s="2"/>
      <c r="G748" s="2"/>
      <c r="H748" s="35"/>
      <c r="I748" s="21"/>
      <c r="J748" s="21"/>
      <c r="K748" s="21"/>
      <c r="L748" s="21"/>
      <c r="M748" s="21"/>
      <c r="N748" s="21"/>
      <c r="O748" s="21"/>
      <c r="P748" s="21"/>
      <c r="Q748" s="2"/>
      <c r="R748" s="2"/>
      <c r="S748" s="2"/>
      <c r="T748" s="2"/>
      <c r="U748" s="2"/>
      <c r="V748" s="2"/>
      <c r="W748" s="2"/>
      <c r="X748" s="2"/>
      <c r="Y748" s="2"/>
      <c r="Z748" s="2"/>
      <c r="AA748" s="2"/>
      <c r="AB748" s="2"/>
    </row>
    <row r="749">
      <c r="A749" s="2"/>
      <c r="B749" s="21"/>
      <c r="C749" s="21"/>
      <c r="D749" s="21"/>
      <c r="E749" s="21"/>
      <c r="F749" s="2"/>
      <c r="G749" s="2"/>
      <c r="H749" s="35"/>
      <c r="I749" s="21"/>
      <c r="J749" s="21"/>
      <c r="K749" s="21"/>
      <c r="L749" s="21"/>
      <c r="M749" s="21"/>
      <c r="N749" s="21"/>
      <c r="O749" s="21"/>
      <c r="P749" s="21"/>
      <c r="Q749" s="2"/>
      <c r="R749" s="2"/>
      <c r="S749" s="2"/>
      <c r="T749" s="2"/>
      <c r="U749" s="2"/>
      <c r="V749" s="2"/>
      <c r="W749" s="2"/>
      <c r="X749" s="2"/>
      <c r="Y749" s="2"/>
      <c r="Z749" s="2"/>
      <c r="AA749" s="2"/>
      <c r="AB749" s="2"/>
    </row>
    <row r="750">
      <c r="A750" s="2"/>
      <c r="B750" s="21"/>
      <c r="C750" s="21"/>
      <c r="D750" s="21"/>
      <c r="E750" s="21"/>
      <c r="F750" s="2"/>
      <c r="G750" s="2"/>
      <c r="H750" s="35"/>
      <c r="I750" s="21"/>
      <c r="J750" s="21"/>
      <c r="K750" s="21"/>
      <c r="L750" s="21"/>
      <c r="M750" s="21"/>
      <c r="N750" s="21"/>
      <c r="O750" s="21"/>
      <c r="P750" s="21"/>
      <c r="Q750" s="2"/>
      <c r="R750" s="2"/>
      <c r="S750" s="2"/>
      <c r="T750" s="2"/>
      <c r="U750" s="2"/>
      <c r="V750" s="2"/>
      <c r="W750" s="2"/>
      <c r="X750" s="2"/>
      <c r="Y750" s="2"/>
      <c r="Z750" s="2"/>
      <c r="AA750" s="2"/>
      <c r="AB750" s="2"/>
    </row>
    <row r="751">
      <c r="A751" s="2"/>
      <c r="B751" s="21"/>
      <c r="C751" s="21"/>
      <c r="D751" s="21"/>
      <c r="E751" s="21"/>
      <c r="F751" s="2"/>
      <c r="G751" s="2"/>
      <c r="H751" s="35"/>
      <c r="I751" s="21"/>
      <c r="J751" s="21"/>
      <c r="K751" s="21"/>
      <c r="L751" s="21"/>
      <c r="M751" s="21"/>
      <c r="N751" s="21"/>
      <c r="O751" s="21"/>
      <c r="P751" s="21"/>
      <c r="Q751" s="2"/>
      <c r="R751" s="2"/>
      <c r="S751" s="2"/>
      <c r="T751" s="2"/>
      <c r="U751" s="2"/>
      <c r="V751" s="2"/>
      <c r="W751" s="2"/>
      <c r="X751" s="2"/>
      <c r="Y751" s="2"/>
      <c r="Z751" s="2"/>
      <c r="AA751" s="2"/>
      <c r="AB751" s="2"/>
    </row>
    <row r="752">
      <c r="A752" s="2"/>
      <c r="B752" s="21"/>
      <c r="C752" s="21"/>
      <c r="D752" s="21"/>
      <c r="E752" s="21"/>
      <c r="F752" s="2"/>
      <c r="G752" s="2"/>
      <c r="H752" s="35"/>
      <c r="I752" s="21"/>
      <c r="J752" s="21"/>
      <c r="K752" s="21"/>
      <c r="L752" s="21"/>
      <c r="M752" s="21"/>
      <c r="N752" s="21"/>
      <c r="O752" s="21"/>
      <c r="P752" s="21"/>
      <c r="Q752" s="2"/>
      <c r="R752" s="2"/>
      <c r="S752" s="2"/>
      <c r="T752" s="2"/>
      <c r="U752" s="2"/>
      <c r="V752" s="2"/>
      <c r="W752" s="2"/>
      <c r="X752" s="2"/>
      <c r="Y752" s="2"/>
      <c r="Z752" s="2"/>
      <c r="AA752" s="2"/>
      <c r="AB752" s="2"/>
    </row>
    <row r="753">
      <c r="A753" s="2"/>
      <c r="B753" s="21"/>
      <c r="C753" s="21"/>
      <c r="D753" s="21"/>
      <c r="E753" s="21"/>
      <c r="F753" s="2"/>
      <c r="G753" s="2"/>
      <c r="H753" s="35"/>
      <c r="I753" s="21"/>
      <c r="J753" s="21"/>
      <c r="K753" s="21"/>
      <c r="L753" s="21"/>
      <c r="M753" s="21"/>
      <c r="N753" s="21"/>
      <c r="O753" s="21"/>
      <c r="P753" s="21"/>
      <c r="Q753" s="2"/>
      <c r="R753" s="2"/>
      <c r="S753" s="2"/>
      <c r="T753" s="2"/>
      <c r="U753" s="2"/>
      <c r="V753" s="2"/>
      <c r="W753" s="2"/>
      <c r="X753" s="2"/>
      <c r="Y753" s="2"/>
      <c r="Z753" s="2"/>
      <c r="AA753" s="2"/>
      <c r="AB753" s="2"/>
    </row>
    <row r="754">
      <c r="A754" s="2"/>
      <c r="B754" s="21"/>
      <c r="C754" s="21"/>
      <c r="D754" s="21"/>
      <c r="E754" s="21"/>
      <c r="F754" s="2"/>
      <c r="G754" s="2"/>
      <c r="H754" s="35"/>
      <c r="I754" s="21"/>
      <c r="J754" s="21"/>
      <c r="K754" s="21"/>
      <c r="L754" s="21"/>
      <c r="M754" s="21"/>
      <c r="N754" s="21"/>
      <c r="O754" s="21"/>
      <c r="P754" s="21"/>
      <c r="Q754" s="2"/>
      <c r="R754" s="2"/>
      <c r="S754" s="2"/>
      <c r="T754" s="2"/>
      <c r="U754" s="2"/>
      <c r="V754" s="2"/>
      <c r="W754" s="2"/>
      <c r="X754" s="2"/>
      <c r="Y754" s="2"/>
      <c r="Z754" s="2"/>
      <c r="AA754" s="2"/>
      <c r="AB754" s="2"/>
    </row>
    <row r="755">
      <c r="A755" s="2"/>
      <c r="B755" s="21"/>
      <c r="C755" s="21"/>
      <c r="D755" s="21"/>
      <c r="E755" s="21"/>
      <c r="F755" s="2"/>
      <c r="G755" s="2"/>
      <c r="H755" s="35"/>
      <c r="I755" s="21"/>
      <c r="J755" s="21"/>
      <c r="K755" s="21"/>
      <c r="L755" s="21"/>
      <c r="M755" s="21"/>
      <c r="N755" s="21"/>
      <c r="O755" s="21"/>
      <c r="P755" s="21"/>
      <c r="Q755" s="2"/>
      <c r="R755" s="2"/>
      <c r="S755" s="2"/>
      <c r="T755" s="2"/>
      <c r="U755" s="2"/>
      <c r="V755" s="2"/>
      <c r="W755" s="2"/>
      <c r="X755" s="2"/>
      <c r="Y755" s="2"/>
      <c r="Z755" s="2"/>
      <c r="AA755" s="2"/>
      <c r="AB755" s="2"/>
    </row>
    <row r="756">
      <c r="A756" s="2"/>
      <c r="B756" s="21"/>
      <c r="C756" s="21"/>
      <c r="D756" s="21"/>
      <c r="E756" s="21"/>
      <c r="F756" s="2"/>
      <c r="G756" s="2"/>
      <c r="H756" s="35"/>
      <c r="I756" s="21"/>
      <c r="J756" s="21"/>
      <c r="K756" s="21"/>
      <c r="L756" s="21"/>
      <c r="M756" s="21"/>
      <c r="N756" s="21"/>
      <c r="O756" s="21"/>
      <c r="P756" s="21"/>
      <c r="Q756" s="2"/>
      <c r="R756" s="2"/>
      <c r="S756" s="2"/>
      <c r="T756" s="2"/>
      <c r="U756" s="2"/>
      <c r="V756" s="2"/>
      <c r="W756" s="2"/>
      <c r="X756" s="2"/>
      <c r="Y756" s="2"/>
      <c r="Z756" s="2"/>
      <c r="AA756" s="2"/>
      <c r="AB756" s="2"/>
    </row>
    <row r="757">
      <c r="A757" s="2"/>
      <c r="B757" s="21"/>
      <c r="C757" s="21"/>
      <c r="D757" s="21"/>
      <c r="E757" s="21"/>
      <c r="F757" s="2"/>
      <c r="G757" s="2"/>
      <c r="H757" s="35"/>
      <c r="I757" s="21"/>
      <c r="J757" s="21"/>
      <c r="K757" s="21"/>
      <c r="L757" s="21"/>
      <c r="M757" s="21"/>
      <c r="N757" s="21"/>
      <c r="O757" s="21"/>
      <c r="P757" s="21"/>
      <c r="Q757" s="2"/>
      <c r="R757" s="2"/>
      <c r="S757" s="2"/>
      <c r="T757" s="2"/>
      <c r="U757" s="2"/>
      <c r="V757" s="2"/>
      <c r="W757" s="2"/>
      <c r="X757" s="2"/>
      <c r="Y757" s="2"/>
      <c r="Z757" s="2"/>
      <c r="AA757" s="2"/>
      <c r="AB757" s="2"/>
    </row>
    <row r="758">
      <c r="A758" s="2"/>
      <c r="B758" s="21"/>
      <c r="C758" s="21"/>
      <c r="D758" s="21"/>
      <c r="E758" s="21"/>
      <c r="F758" s="2"/>
      <c r="G758" s="2"/>
      <c r="H758" s="35"/>
      <c r="I758" s="21"/>
      <c r="J758" s="21"/>
      <c r="K758" s="21"/>
      <c r="L758" s="21"/>
      <c r="M758" s="21"/>
      <c r="N758" s="21"/>
      <c r="O758" s="21"/>
      <c r="P758" s="21"/>
      <c r="Q758" s="2"/>
      <c r="R758" s="2"/>
      <c r="S758" s="2"/>
      <c r="T758" s="2"/>
      <c r="U758" s="2"/>
      <c r="V758" s="2"/>
      <c r="W758" s="2"/>
      <c r="X758" s="2"/>
      <c r="Y758" s="2"/>
      <c r="Z758" s="2"/>
      <c r="AA758" s="2"/>
      <c r="AB758" s="2"/>
    </row>
    <row r="759">
      <c r="A759" s="2"/>
      <c r="B759" s="21"/>
      <c r="C759" s="21"/>
      <c r="D759" s="21"/>
      <c r="E759" s="21"/>
      <c r="F759" s="2"/>
      <c r="G759" s="2"/>
      <c r="H759" s="35"/>
      <c r="I759" s="21"/>
      <c r="J759" s="21"/>
      <c r="K759" s="21"/>
      <c r="L759" s="21"/>
      <c r="M759" s="21"/>
      <c r="N759" s="21"/>
      <c r="O759" s="21"/>
      <c r="P759" s="21"/>
      <c r="Q759" s="2"/>
      <c r="R759" s="2"/>
      <c r="S759" s="2"/>
      <c r="T759" s="2"/>
      <c r="U759" s="2"/>
      <c r="V759" s="2"/>
      <c r="W759" s="2"/>
      <c r="X759" s="2"/>
      <c r="Y759" s="2"/>
      <c r="Z759" s="2"/>
      <c r="AA759" s="2"/>
      <c r="AB759" s="2"/>
    </row>
    <row r="760">
      <c r="A760" s="2"/>
      <c r="B760" s="21"/>
      <c r="C760" s="21"/>
      <c r="D760" s="21"/>
      <c r="E760" s="21"/>
      <c r="F760" s="2"/>
      <c r="G760" s="2"/>
      <c r="H760" s="35"/>
      <c r="I760" s="21"/>
      <c r="J760" s="21"/>
      <c r="K760" s="21"/>
      <c r="L760" s="21"/>
      <c r="M760" s="21"/>
      <c r="N760" s="21"/>
      <c r="O760" s="21"/>
      <c r="P760" s="21"/>
      <c r="Q760" s="2"/>
      <c r="R760" s="2"/>
      <c r="S760" s="2"/>
      <c r="T760" s="2"/>
      <c r="U760" s="2"/>
      <c r="V760" s="2"/>
      <c r="W760" s="2"/>
      <c r="X760" s="2"/>
      <c r="Y760" s="2"/>
      <c r="Z760" s="2"/>
      <c r="AA760" s="2"/>
      <c r="AB760" s="2"/>
    </row>
    <row r="761">
      <c r="A761" s="2"/>
      <c r="B761" s="21"/>
      <c r="C761" s="21"/>
      <c r="D761" s="21"/>
      <c r="E761" s="21"/>
      <c r="F761" s="2"/>
      <c r="G761" s="2"/>
      <c r="H761" s="35"/>
      <c r="I761" s="21"/>
      <c r="J761" s="21"/>
      <c r="K761" s="21"/>
      <c r="L761" s="21"/>
      <c r="M761" s="21"/>
      <c r="N761" s="21"/>
      <c r="O761" s="21"/>
      <c r="P761" s="21"/>
      <c r="Q761" s="2"/>
      <c r="R761" s="2"/>
      <c r="S761" s="2"/>
      <c r="T761" s="2"/>
      <c r="U761" s="2"/>
      <c r="V761" s="2"/>
      <c r="W761" s="2"/>
      <c r="X761" s="2"/>
      <c r="Y761" s="2"/>
      <c r="Z761" s="2"/>
      <c r="AA761" s="2"/>
      <c r="AB761" s="2"/>
    </row>
    <row r="762">
      <c r="A762" s="2"/>
      <c r="B762" s="21"/>
      <c r="C762" s="21"/>
      <c r="D762" s="21"/>
      <c r="E762" s="21"/>
      <c r="F762" s="2"/>
      <c r="G762" s="2"/>
      <c r="H762" s="35"/>
      <c r="I762" s="21"/>
      <c r="J762" s="21"/>
      <c r="K762" s="21"/>
      <c r="L762" s="21"/>
      <c r="M762" s="21"/>
      <c r="N762" s="21"/>
      <c r="O762" s="21"/>
      <c r="P762" s="21"/>
      <c r="Q762" s="2"/>
      <c r="R762" s="2"/>
      <c r="S762" s="2"/>
      <c r="T762" s="2"/>
      <c r="U762" s="2"/>
      <c r="V762" s="2"/>
      <c r="W762" s="2"/>
      <c r="X762" s="2"/>
      <c r="Y762" s="2"/>
      <c r="Z762" s="2"/>
      <c r="AA762" s="2"/>
      <c r="AB762" s="2"/>
    </row>
    <row r="763">
      <c r="A763" s="2"/>
      <c r="B763" s="21"/>
      <c r="C763" s="21"/>
      <c r="D763" s="21"/>
      <c r="E763" s="21"/>
      <c r="F763" s="2"/>
      <c r="G763" s="2"/>
      <c r="H763" s="35"/>
      <c r="I763" s="21"/>
      <c r="J763" s="21"/>
      <c r="K763" s="21"/>
      <c r="L763" s="21"/>
      <c r="M763" s="21"/>
      <c r="N763" s="21"/>
      <c r="O763" s="21"/>
      <c r="P763" s="21"/>
      <c r="Q763" s="2"/>
      <c r="R763" s="2"/>
      <c r="S763" s="2"/>
      <c r="T763" s="2"/>
      <c r="U763" s="2"/>
      <c r="V763" s="2"/>
      <c r="W763" s="2"/>
      <c r="X763" s="2"/>
      <c r="Y763" s="2"/>
      <c r="Z763" s="2"/>
      <c r="AA763" s="2"/>
      <c r="AB763" s="2"/>
    </row>
    <row r="764">
      <c r="A764" s="2"/>
      <c r="B764" s="21"/>
      <c r="C764" s="21"/>
      <c r="D764" s="21"/>
      <c r="E764" s="21"/>
      <c r="F764" s="2"/>
      <c r="G764" s="2"/>
      <c r="H764" s="35"/>
      <c r="I764" s="21"/>
      <c r="J764" s="21"/>
      <c r="K764" s="21"/>
      <c r="L764" s="21"/>
      <c r="M764" s="21"/>
      <c r="N764" s="21"/>
      <c r="O764" s="21"/>
      <c r="P764" s="21"/>
      <c r="Q764" s="2"/>
      <c r="R764" s="2"/>
      <c r="S764" s="2"/>
      <c r="T764" s="2"/>
      <c r="U764" s="2"/>
      <c r="V764" s="2"/>
      <c r="W764" s="2"/>
      <c r="X764" s="2"/>
      <c r="Y764" s="2"/>
      <c r="Z764" s="2"/>
      <c r="AA764" s="2"/>
      <c r="AB764" s="2"/>
    </row>
    <row r="765">
      <c r="A765" s="2"/>
      <c r="B765" s="21"/>
      <c r="C765" s="21"/>
      <c r="D765" s="21"/>
      <c r="E765" s="21"/>
      <c r="F765" s="2"/>
      <c r="G765" s="2"/>
      <c r="H765" s="35"/>
      <c r="I765" s="21"/>
      <c r="J765" s="21"/>
      <c r="K765" s="21"/>
      <c r="L765" s="21"/>
      <c r="M765" s="21"/>
      <c r="N765" s="21"/>
      <c r="O765" s="21"/>
      <c r="P765" s="21"/>
      <c r="Q765" s="2"/>
      <c r="R765" s="2"/>
      <c r="S765" s="2"/>
      <c r="T765" s="2"/>
      <c r="U765" s="2"/>
      <c r="V765" s="2"/>
      <c r="W765" s="2"/>
      <c r="X765" s="2"/>
      <c r="Y765" s="2"/>
      <c r="Z765" s="2"/>
      <c r="AA765" s="2"/>
      <c r="AB765" s="2"/>
    </row>
    <row r="766">
      <c r="A766" s="2"/>
      <c r="B766" s="21"/>
      <c r="C766" s="21"/>
      <c r="D766" s="21"/>
      <c r="E766" s="21"/>
      <c r="F766" s="2"/>
      <c r="G766" s="2"/>
      <c r="H766" s="35"/>
      <c r="I766" s="21"/>
      <c r="J766" s="21"/>
      <c r="K766" s="21"/>
      <c r="L766" s="21"/>
      <c r="M766" s="21"/>
      <c r="N766" s="21"/>
      <c r="O766" s="21"/>
      <c r="P766" s="21"/>
      <c r="Q766" s="2"/>
      <c r="R766" s="2"/>
      <c r="S766" s="2"/>
      <c r="T766" s="2"/>
      <c r="U766" s="2"/>
      <c r="V766" s="2"/>
      <c r="W766" s="2"/>
      <c r="X766" s="2"/>
      <c r="Y766" s="2"/>
      <c r="Z766" s="2"/>
      <c r="AA766" s="2"/>
      <c r="AB766" s="2"/>
    </row>
    <row r="767">
      <c r="A767" s="2"/>
      <c r="B767" s="21"/>
      <c r="C767" s="21"/>
      <c r="D767" s="21"/>
      <c r="E767" s="21"/>
      <c r="F767" s="2"/>
      <c r="G767" s="2"/>
      <c r="H767" s="35"/>
      <c r="I767" s="21"/>
      <c r="J767" s="21"/>
      <c r="K767" s="21"/>
      <c r="L767" s="21"/>
      <c r="M767" s="21"/>
      <c r="N767" s="21"/>
      <c r="O767" s="21"/>
      <c r="P767" s="21"/>
      <c r="Q767" s="2"/>
      <c r="R767" s="2"/>
      <c r="S767" s="2"/>
      <c r="T767" s="2"/>
      <c r="U767" s="2"/>
      <c r="V767" s="2"/>
      <c r="W767" s="2"/>
      <c r="X767" s="2"/>
      <c r="Y767" s="2"/>
      <c r="Z767" s="2"/>
      <c r="AA767" s="2"/>
      <c r="AB767" s="2"/>
    </row>
    <row r="768">
      <c r="A768" s="2"/>
      <c r="B768" s="21"/>
      <c r="C768" s="21"/>
      <c r="D768" s="21"/>
      <c r="E768" s="21"/>
      <c r="F768" s="2"/>
      <c r="G768" s="2"/>
      <c r="H768" s="35"/>
      <c r="I768" s="21"/>
      <c r="J768" s="21"/>
      <c r="K768" s="21"/>
      <c r="L768" s="21"/>
      <c r="M768" s="21"/>
      <c r="N768" s="21"/>
      <c r="O768" s="21"/>
      <c r="P768" s="21"/>
      <c r="Q768" s="2"/>
      <c r="R768" s="2"/>
      <c r="S768" s="2"/>
      <c r="T768" s="2"/>
      <c r="U768" s="2"/>
      <c r="V768" s="2"/>
      <c r="W768" s="2"/>
      <c r="X768" s="2"/>
      <c r="Y768" s="2"/>
      <c r="Z768" s="2"/>
      <c r="AA768" s="2"/>
      <c r="AB768" s="2"/>
    </row>
    <row r="769">
      <c r="A769" s="2"/>
      <c r="B769" s="21"/>
      <c r="C769" s="21"/>
      <c r="D769" s="21"/>
      <c r="E769" s="21"/>
      <c r="F769" s="2"/>
      <c r="G769" s="2"/>
      <c r="H769" s="35"/>
      <c r="I769" s="21"/>
      <c r="J769" s="21"/>
      <c r="K769" s="21"/>
      <c r="L769" s="21"/>
      <c r="M769" s="21"/>
      <c r="N769" s="21"/>
      <c r="O769" s="21"/>
      <c r="P769" s="21"/>
      <c r="Q769" s="2"/>
      <c r="R769" s="2"/>
      <c r="S769" s="2"/>
      <c r="T769" s="2"/>
      <c r="U769" s="2"/>
      <c r="V769" s="2"/>
      <c r="W769" s="2"/>
      <c r="X769" s="2"/>
      <c r="Y769" s="2"/>
      <c r="Z769" s="2"/>
      <c r="AA769" s="2"/>
      <c r="AB769" s="2"/>
    </row>
    <row r="770">
      <c r="A770" s="2"/>
      <c r="B770" s="21"/>
      <c r="C770" s="21"/>
      <c r="D770" s="21"/>
      <c r="E770" s="21"/>
      <c r="F770" s="2"/>
      <c r="G770" s="2"/>
      <c r="H770" s="35"/>
      <c r="I770" s="21"/>
      <c r="J770" s="21"/>
      <c r="K770" s="21"/>
      <c r="L770" s="21"/>
      <c r="M770" s="21"/>
      <c r="N770" s="21"/>
      <c r="O770" s="21"/>
      <c r="P770" s="21"/>
      <c r="Q770" s="2"/>
      <c r="R770" s="2"/>
      <c r="S770" s="2"/>
      <c r="T770" s="2"/>
      <c r="U770" s="2"/>
      <c r="V770" s="2"/>
      <c r="W770" s="2"/>
      <c r="X770" s="2"/>
      <c r="Y770" s="2"/>
      <c r="Z770" s="2"/>
      <c r="AA770" s="2"/>
      <c r="AB770" s="2"/>
    </row>
    <row r="771">
      <c r="A771" s="2"/>
      <c r="B771" s="21"/>
      <c r="C771" s="21"/>
      <c r="D771" s="21"/>
      <c r="E771" s="21"/>
      <c r="F771" s="2"/>
      <c r="G771" s="2"/>
      <c r="H771" s="35"/>
      <c r="I771" s="21"/>
      <c r="J771" s="21"/>
      <c r="K771" s="21"/>
      <c r="L771" s="21"/>
      <c r="M771" s="21"/>
      <c r="N771" s="21"/>
      <c r="O771" s="21"/>
      <c r="P771" s="21"/>
      <c r="Q771" s="2"/>
      <c r="R771" s="2"/>
      <c r="S771" s="2"/>
      <c r="T771" s="2"/>
      <c r="U771" s="2"/>
      <c r="V771" s="2"/>
      <c r="W771" s="2"/>
      <c r="X771" s="2"/>
      <c r="Y771" s="2"/>
      <c r="Z771" s="2"/>
      <c r="AA771" s="2"/>
      <c r="AB771" s="2"/>
    </row>
    <row r="772">
      <c r="A772" s="2"/>
      <c r="B772" s="21"/>
      <c r="C772" s="21"/>
      <c r="D772" s="21"/>
      <c r="E772" s="21"/>
      <c r="F772" s="2"/>
      <c r="G772" s="2"/>
      <c r="H772" s="35"/>
      <c r="I772" s="21"/>
      <c r="J772" s="21"/>
      <c r="K772" s="21"/>
      <c r="L772" s="21"/>
      <c r="M772" s="21"/>
      <c r="N772" s="21"/>
      <c r="O772" s="21"/>
      <c r="P772" s="21"/>
      <c r="Q772" s="2"/>
      <c r="R772" s="2"/>
      <c r="S772" s="2"/>
      <c r="T772" s="2"/>
      <c r="U772" s="2"/>
      <c r="V772" s="2"/>
      <c r="W772" s="2"/>
      <c r="X772" s="2"/>
      <c r="Y772" s="2"/>
      <c r="Z772" s="2"/>
      <c r="AA772" s="2"/>
      <c r="AB772" s="2"/>
    </row>
    <row r="773">
      <c r="A773" s="2"/>
      <c r="B773" s="21"/>
      <c r="C773" s="21"/>
      <c r="D773" s="21"/>
      <c r="E773" s="21"/>
      <c r="F773" s="2"/>
      <c r="G773" s="2"/>
      <c r="H773" s="35"/>
      <c r="I773" s="21"/>
      <c r="J773" s="21"/>
      <c r="K773" s="21"/>
      <c r="L773" s="21"/>
      <c r="M773" s="21"/>
      <c r="N773" s="21"/>
      <c r="O773" s="21"/>
      <c r="P773" s="21"/>
      <c r="Q773" s="2"/>
      <c r="R773" s="2"/>
      <c r="S773" s="2"/>
      <c r="T773" s="2"/>
      <c r="U773" s="2"/>
      <c r="V773" s="2"/>
      <c r="W773" s="2"/>
      <c r="X773" s="2"/>
      <c r="Y773" s="2"/>
      <c r="Z773" s="2"/>
      <c r="AA773" s="2"/>
      <c r="AB773" s="2"/>
    </row>
    <row r="774">
      <c r="A774" s="2"/>
      <c r="B774" s="21"/>
      <c r="C774" s="21"/>
      <c r="D774" s="21"/>
      <c r="E774" s="21"/>
      <c r="F774" s="2"/>
      <c r="G774" s="2"/>
      <c r="H774" s="35"/>
      <c r="I774" s="21"/>
      <c r="J774" s="21"/>
      <c r="K774" s="21"/>
      <c r="L774" s="21"/>
      <c r="M774" s="21"/>
      <c r="N774" s="21"/>
      <c r="O774" s="21"/>
      <c r="P774" s="21"/>
      <c r="Q774" s="2"/>
      <c r="R774" s="2"/>
      <c r="S774" s="2"/>
      <c r="T774" s="2"/>
      <c r="U774" s="2"/>
      <c r="V774" s="2"/>
      <c r="W774" s="2"/>
      <c r="X774" s="2"/>
      <c r="Y774" s="2"/>
      <c r="Z774" s="2"/>
      <c r="AA774" s="2"/>
      <c r="AB774" s="2"/>
    </row>
    <row r="775">
      <c r="A775" s="2"/>
      <c r="B775" s="21"/>
      <c r="C775" s="21"/>
      <c r="D775" s="21"/>
      <c r="E775" s="21"/>
      <c r="F775" s="2"/>
      <c r="G775" s="2"/>
      <c r="H775" s="35"/>
      <c r="I775" s="21"/>
      <c r="J775" s="21"/>
      <c r="K775" s="21"/>
      <c r="L775" s="21"/>
      <c r="M775" s="21"/>
      <c r="N775" s="21"/>
      <c r="O775" s="21"/>
      <c r="P775" s="21"/>
      <c r="Q775" s="2"/>
      <c r="R775" s="2"/>
      <c r="S775" s="2"/>
      <c r="T775" s="2"/>
      <c r="U775" s="2"/>
      <c r="V775" s="2"/>
      <c r="W775" s="2"/>
      <c r="X775" s="2"/>
      <c r="Y775" s="2"/>
      <c r="Z775" s="2"/>
      <c r="AA775" s="2"/>
      <c r="AB775" s="2"/>
    </row>
    <row r="776">
      <c r="A776" s="2"/>
      <c r="B776" s="21"/>
      <c r="C776" s="21"/>
      <c r="D776" s="21"/>
      <c r="E776" s="21"/>
      <c r="F776" s="2"/>
      <c r="G776" s="2"/>
      <c r="H776" s="35"/>
      <c r="I776" s="21"/>
      <c r="J776" s="21"/>
      <c r="K776" s="21"/>
      <c r="L776" s="21"/>
      <c r="M776" s="21"/>
      <c r="N776" s="21"/>
      <c r="O776" s="21"/>
      <c r="P776" s="21"/>
      <c r="Q776" s="2"/>
      <c r="R776" s="2"/>
      <c r="S776" s="2"/>
      <c r="T776" s="2"/>
      <c r="U776" s="2"/>
      <c r="V776" s="2"/>
      <c r="W776" s="2"/>
      <c r="X776" s="2"/>
      <c r="Y776" s="2"/>
      <c r="Z776" s="2"/>
      <c r="AA776" s="2"/>
      <c r="AB776" s="2"/>
    </row>
    <row r="777">
      <c r="A777" s="2"/>
      <c r="B777" s="21"/>
      <c r="C777" s="21"/>
      <c r="D777" s="21"/>
      <c r="E777" s="21"/>
      <c r="F777" s="2"/>
      <c r="G777" s="2"/>
      <c r="H777" s="35"/>
      <c r="I777" s="21"/>
      <c r="J777" s="21"/>
      <c r="K777" s="21"/>
      <c r="L777" s="21"/>
      <c r="M777" s="21"/>
      <c r="N777" s="21"/>
      <c r="O777" s="21"/>
      <c r="P777" s="21"/>
      <c r="Q777" s="2"/>
      <c r="R777" s="2"/>
      <c r="S777" s="2"/>
      <c r="T777" s="2"/>
      <c r="U777" s="2"/>
      <c r="V777" s="2"/>
      <c r="W777" s="2"/>
      <c r="X777" s="2"/>
      <c r="Y777" s="2"/>
      <c r="Z777" s="2"/>
      <c r="AA777" s="2"/>
      <c r="AB777" s="2"/>
    </row>
    <row r="778">
      <c r="A778" s="2"/>
      <c r="B778" s="21"/>
      <c r="C778" s="21"/>
      <c r="D778" s="21"/>
      <c r="E778" s="21"/>
      <c r="F778" s="2"/>
      <c r="G778" s="2"/>
      <c r="H778" s="35"/>
      <c r="I778" s="21"/>
      <c r="J778" s="21"/>
      <c r="K778" s="21"/>
      <c r="L778" s="21"/>
      <c r="M778" s="21"/>
      <c r="N778" s="21"/>
      <c r="O778" s="21"/>
      <c r="P778" s="21"/>
      <c r="Q778" s="2"/>
      <c r="R778" s="2"/>
      <c r="S778" s="2"/>
      <c r="T778" s="2"/>
      <c r="U778" s="2"/>
      <c r="V778" s="2"/>
      <c r="W778" s="2"/>
      <c r="X778" s="2"/>
      <c r="Y778" s="2"/>
      <c r="Z778" s="2"/>
      <c r="AA778" s="2"/>
      <c r="AB778" s="2"/>
    </row>
    <row r="779">
      <c r="A779" s="2"/>
      <c r="B779" s="21"/>
      <c r="C779" s="21"/>
      <c r="D779" s="21"/>
      <c r="E779" s="21"/>
      <c r="F779" s="2"/>
      <c r="G779" s="2"/>
      <c r="H779" s="35"/>
      <c r="I779" s="21"/>
      <c r="J779" s="21"/>
      <c r="K779" s="21"/>
      <c r="L779" s="21"/>
      <c r="M779" s="21"/>
      <c r="N779" s="21"/>
      <c r="O779" s="21"/>
      <c r="P779" s="21"/>
      <c r="Q779" s="2"/>
      <c r="R779" s="2"/>
      <c r="S779" s="2"/>
      <c r="T779" s="2"/>
      <c r="U779" s="2"/>
      <c r="V779" s="2"/>
      <c r="W779" s="2"/>
      <c r="X779" s="2"/>
      <c r="Y779" s="2"/>
      <c r="Z779" s="2"/>
      <c r="AA779" s="2"/>
      <c r="AB779" s="2"/>
    </row>
    <row r="780">
      <c r="A780" s="2"/>
      <c r="B780" s="21"/>
      <c r="C780" s="21"/>
      <c r="D780" s="21"/>
      <c r="E780" s="21"/>
      <c r="F780" s="2"/>
      <c r="G780" s="2"/>
      <c r="H780" s="35"/>
      <c r="I780" s="21"/>
      <c r="J780" s="21"/>
      <c r="K780" s="21"/>
      <c r="L780" s="21"/>
      <c r="M780" s="21"/>
      <c r="N780" s="21"/>
      <c r="O780" s="21"/>
      <c r="P780" s="21"/>
      <c r="Q780" s="2"/>
      <c r="R780" s="2"/>
      <c r="S780" s="2"/>
      <c r="T780" s="2"/>
      <c r="U780" s="2"/>
      <c r="V780" s="2"/>
      <c r="W780" s="2"/>
      <c r="X780" s="2"/>
      <c r="Y780" s="2"/>
      <c r="Z780" s="2"/>
      <c r="AA780" s="2"/>
      <c r="AB780" s="2"/>
    </row>
    <row r="781">
      <c r="A781" s="2"/>
      <c r="B781" s="21"/>
      <c r="C781" s="21"/>
      <c r="D781" s="21"/>
      <c r="E781" s="21"/>
      <c r="F781" s="2"/>
      <c r="G781" s="2"/>
      <c r="H781" s="35"/>
      <c r="I781" s="21"/>
      <c r="J781" s="21"/>
      <c r="K781" s="21"/>
      <c r="L781" s="21"/>
      <c r="M781" s="21"/>
      <c r="N781" s="21"/>
      <c r="O781" s="21"/>
      <c r="P781" s="21"/>
      <c r="Q781" s="2"/>
      <c r="R781" s="2"/>
      <c r="S781" s="2"/>
      <c r="T781" s="2"/>
      <c r="U781" s="2"/>
      <c r="V781" s="2"/>
      <c r="W781" s="2"/>
      <c r="X781" s="2"/>
      <c r="Y781" s="2"/>
      <c r="Z781" s="2"/>
      <c r="AA781" s="2"/>
      <c r="AB781" s="2"/>
    </row>
    <row r="782">
      <c r="A782" s="2"/>
      <c r="B782" s="21"/>
      <c r="C782" s="21"/>
      <c r="D782" s="21"/>
      <c r="E782" s="21"/>
      <c r="F782" s="2"/>
      <c r="G782" s="2"/>
      <c r="H782" s="35"/>
      <c r="I782" s="21"/>
      <c r="J782" s="21"/>
      <c r="K782" s="21"/>
      <c r="L782" s="21"/>
      <c r="M782" s="21"/>
      <c r="N782" s="21"/>
      <c r="O782" s="21"/>
      <c r="P782" s="21"/>
      <c r="Q782" s="2"/>
      <c r="R782" s="2"/>
      <c r="S782" s="2"/>
      <c r="T782" s="2"/>
      <c r="U782" s="2"/>
      <c r="V782" s="2"/>
      <c r="W782" s="2"/>
      <c r="X782" s="2"/>
      <c r="Y782" s="2"/>
      <c r="Z782" s="2"/>
      <c r="AA782" s="2"/>
      <c r="AB782" s="2"/>
    </row>
    <row r="783">
      <c r="A783" s="2"/>
      <c r="B783" s="21"/>
      <c r="C783" s="21"/>
      <c r="D783" s="21"/>
      <c r="E783" s="21"/>
      <c r="F783" s="2"/>
      <c r="G783" s="2"/>
      <c r="H783" s="35"/>
      <c r="I783" s="21"/>
      <c r="J783" s="21"/>
      <c r="K783" s="21"/>
      <c r="L783" s="21"/>
      <c r="M783" s="21"/>
      <c r="N783" s="21"/>
      <c r="O783" s="21"/>
      <c r="P783" s="21"/>
      <c r="Q783" s="2"/>
      <c r="R783" s="2"/>
      <c r="S783" s="2"/>
      <c r="T783" s="2"/>
      <c r="U783" s="2"/>
      <c r="V783" s="2"/>
      <c r="W783" s="2"/>
      <c r="X783" s="2"/>
      <c r="Y783" s="2"/>
      <c r="Z783" s="2"/>
      <c r="AA783" s="2"/>
      <c r="AB783" s="2"/>
    </row>
    <row r="784">
      <c r="A784" s="2"/>
      <c r="B784" s="21"/>
      <c r="C784" s="21"/>
      <c r="D784" s="21"/>
      <c r="E784" s="21"/>
      <c r="F784" s="2"/>
      <c r="G784" s="2"/>
      <c r="H784" s="35"/>
      <c r="I784" s="21"/>
      <c r="J784" s="21"/>
      <c r="K784" s="21"/>
      <c r="L784" s="21"/>
      <c r="M784" s="21"/>
      <c r="N784" s="21"/>
      <c r="O784" s="21"/>
      <c r="P784" s="21"/>
      <c r="Q784" s="2"/>
      <c r="R784" s="2"/>
      <c r="S784" s="2"/>
      <c r="T784" s="2"/>
      <c r="U784" s="2"/>
      <c r="V784" s="2"/>
      <c r="W784" s="2"/>
      <c r="X784" s="2"/>
      <c r="Y784" s="2"/>
      <c r="Z784" s="2"/>
      <c r="AA784" s="2"/>
      <c r="AB784" s="2"/>
    </row>
    <row r="785">
      <c r="A785" s="2"/>
      <c r="B785" s="21"/>
      <c r="C785" s="21"/>
      <c r="D785" s="21"/>
      <c r="E785" s="21"/>
      <c r="F785" s="2"/>
      <c r="G785" s="2"/>
      <c r="H785" s="35"/>
      <c r="I785" s="21"/>
      <c r="J785" s="21"/>
      <c r="K785" s="21"/>
      <c r="L785" s="21"/>
      <c r="M785" s="21"/>
      <c r="N785" s="21"/>
      <c r="O785" s="21"/>
      <c r="P785" s="21"/>
      <c r="Q785" s="2"/>
      <c r="R785" s="2"/>
      <c r="S785" s="2"/>
      <c r="T785" s="2"/>
      <c r="U785" s="2"/>
      <c r="V785" s="2"/>
      <c r="W785" s="2"/>
      <c r="X785" s="2"/>
      <c r="Y785" s="2"/>
      <c r="Z785" s="2"/>
      <c r="AA785" s="2"/>
      <c r="AB785" s="2"/>
    </row>
    <row r="786">
      <c r="A786" s="2"/>
      <c r="B786" s="21"/>
      <c r="C786" s="21"/>
      <c r="D786" s="21"/>
      <c r="E786" s="21"/>
      <c r="F786" s="2"/>
      <c r="G786" s="2"/>
      <c r="H786" s="35"/>
      <c r="I786" s="21"/>
      <c r="J786" s="21"/>
      <c r="K786" s="21"/>
      <c r="L786" s="21"/>
      <c r="M786" s="21"/>
      <c r="N786" s="21"/>
      <c r="O786" s="21"/>
      <c r="P786" s="21"/>
      <c r="Q786" s="2"/>
      <c r="R786" s="2"/>
      <c r="S786" s="2"/>
      <c r="T786" s="2"/>
      <c r="U786" s="2"/>
      <c r="V786" s="2"/>
      <c r="W786" s="2"/>
      <c r="X786" s="2"/>
      <c r="Y786" s="2"/>
      <c r="Z786" s="2"/>
      <c r="AA786" s="2"/>
      <c r="AB786" s="2"/>
    </row>
    <row r="787">
      <c r="A787" s="2"/>
      <c r="B787" s="21"/>
      <c r="C787" s="21"/>
      <c r="D787" s="21"/>
      <c r="E787" s="21"/>
      <c r="F787" s="2"/>
      <c r="G787" s="2"/>
      <c r="H787" s="35"/>
      <c r="I787" s="21"/>
      <c r="J787" s="21"/>
      <c r="K787" s="21"/>
      <c r="L787" s="21"/>
      <c r="M787" s="21"/>
      <c r="N787" s="21"/>
      <c r="O787" s="21"/>
      <c r="P787" s="21"/>
      <c r="Q787" s="2"/>
      <c r="R787" s="2"/>
      <c r="S787" s="2"/>
      <c r="T787" s="2"/>
      <c r="U787" s="2"/>
      <c r="V787" s="2"/>
      <c r="W787" s="2"/>
      <c r="X787" s="2"/>
      <c r="Y787" s="2"/>
      <c r="Z787" s="2"/>
      <c r="AA787" s="2"/>
      <c r="AB787" s="2"/>
    </row>
    <row r="788">
      <c r="A788" s="2"/>
      <c r="B788" s="21"/>
      <c r="C788" s="21"/>
      <c r="D788" s="21"/>
      <c r="E788" s="21"/>
      <c r="F788" s="2"/>
      <c r="G788" s="2"/>
      <c r="H788" s="35"/>
      <c r="I788" s="21"/>
      <c r="J788" s="21"/>
      <c r="K788" s="21"/>
      <c r="L788" s="21"/>
      <c r="M788" s="21"/>
      <c r="N788" s="21"/>
      <c r="O788" s="21"/>
      <c r="P788" s="21"/>
      <c r="Q788" s="2"/>
      <c r="R788" s="2"/>
      <c r="S788" s="2"/>
      <c r="T788" s="2"/>
      <c r="U788" s="2"/>
      <c r="V788" s="2"/>
      <c r="W788" s="2"/>
      <c r="X788" s="2"/>
      <c r="Y788" s="2"/>
      <c r="Z788" s="2"/>
      <c r="AA788" s="2"/>
      <c r="AB788" s="2"/>
    </row>
    <row r="789">
      <c r="A789" s="2"/>
      <c r="B789" s="21"/>
      <c r="C789" s="21"/>
      <c r="D789" s="21"/>
      <c r="E789" s="21"/>
      <c r="F789" s="2"/>
      <c r="G789" s="2"/>
      <c r="H789" s="35"/>
      <c r="I789" s="21"/>
      <c r="J789" s="21"/>
      <c r="K789" s="21"/>
      <c r="L789" s="21"/>
      <c r="M789" s="21"/>
      <c r="N789" s="21"/>
      <c r="O789" s="21"/>
      <c r="P789" s="21"/>
      <c r="Q789" s="2"/>
      <c r="R789" s="2"/>
      <c r="S789" s="2"/>
      <c r="T789" s="2"/>
      <c r="U789" s="2"/>
      <c r="V789" s="2"/>
      <c r="W789" s="2"/>
      <c r="X789" s="2"/>
      <c r="Y789" s="2"/>
      <c r="Z789" s="2"/>
      <c r="AA789" s="2"/>
      <c r="AB789" s="2"/>
    </row>
    <row r="790">
      <c r="A790" s="2"/>
      <c r="B790" s="21"/>
      <c r="C790" s="21"/>
      <c r="D790" s="21"/>
      <c r="E790" s="21"/>
      <c r="F790" s="2"/>
      <c r="G790" s="2"/>
      <c r="H790" s="35"/>
      <c r="I790" s="21"/>
      <c r="J790" s="21"/>
      <c r="K790" s="21"/>
      <c r="L790" s="21"/>
      <c r="M790" s="21"/>
      <c r="N790" s="21"/>
      <c r="O790" s="21"/>
      <c r="P790" s="21"/>
      <c r="Q790" s="2"/>
      <c r="R790" s="2"/>
      <c r="S790" s="2"/>
      <c r="T790" s="2"/>
      <c r="U790" s="2"/>
      <c r="V790" s="2"/>
      <c r="W790" s="2"/>
      <c r="X790" s="2"/>
      <c r="Y790" s="2"/>
      <c r="Z790" s="2"/>
      <c r="AA790" s="2"/>
      <c r="AB790" s="2"/>
    </row>
    <row r="791">
      <c r="A791" s="2"/>
      <c r="B791" s="21"/>
      <c r="C791" s="21"/>
      <c r="D791" s="21"/>
      <c r="E791" s="21"/>
      <c r="F791" s="2"/>
      <c r="G791" s="2"/>
      <c r="H791" s="35"/>
      <c r="I791" s="21"/>
      <c r="J791" s="21"/>
      <c r="K791" s="21"/>
      <c r="L791" s="21"/>
      <c r="M791" s="21"/>
      <c r="N791" s="21"/>
      <c r="O791" s="21"/>
      <c r="P791" s="21"/>
      <c r="Q791" s="2"/>
      <c r="R791" s="2"/>
      <c r="S791" s="2"/>
      <c r="T791" s="2"/>
      <c r="U791" s="2"/>
      <c r="V791" s="2"/>
      <c r="W791" s="2"/>
      <c r="X791" s="2"/>
      <c r="Y791" s="2"/>
      <c r="Z791" s="2"/>
      <c r="AA791" s="2"/>
      <c r="AB791" s="2"/>
    </row>
    <row r="792">
      <c r="A792" s="2"/>
      <c r="B792" s="21"/>
      <c r="C792" s="21"/>
      <c r="D792" s="21"/>
      <c r="E792" s="21"/>
      <c r="F792" s="2"/>
      <c r="G792" s="2"/>
      <c r="H792" s="35"/>
      <c r="I792" s="21"/>
      <c r="J792" s="21"/>
      <c r="K792" s="21"/>
      <c r="L792" s="21"/>
      <c r="M792" s="21"/>
      <c r="N792" s="21"/>
      <c r="O792" s="21"/>
      <c r="P792" s="21"/>
      <c r="Q792" s="2"/>
      <c r="R792" s="2"/>
      <c r="S792" s="2"/>
      <c r="T792" s="2"/>
      <c r="U792" s="2"/>
      <c r="V792" s="2"/>
      <c r="W792" s="2"/>
      <c r="X792" s="2"/>
      <c r="Y792" s="2"/>
      <c r="Z792" s="2"/>
      <c r="AA792" s="2"/>
      <c r="AB792" s="2"/>
    </row>
    <row r="793">
      <c r="A793" s="2"/>
      <c r="B793" s="21"/>
      <c r="C793" s="21"/>
      <c r="D793" s="21"/>
      <c r="E793" s="21"/>
      <c r="F793" s="2"/>
      <c r="G793" s="2"/>
      <c r="H793" s="35"/>
      <c r="I793" s="21"/>
      <c r="J793" s="21"/>
      <c r="K793" s="21"/>
      <c r="L793" s="21"/>
      <c r="M793" s="21"/>
      <c r="N793" s="21"/>
      <c r="O793" s="21"/>
      <c r="P793" s="21"/>
      <c r="Q793" s="2"/>
      <c r="R793" s="2"/>
      <c r="S793" s="2"/>
      <c r="T793" s="2"/>
      <c r="U793" s="2"/>
      <c r="V793" s="2"/>
      <c r="W793" s="2"/>
      <c r="X793" s="2"/>
      <c r="Y793" s="2"/>
      <c r="Z793" s="2"/>
      <c r="AA793" s="2"/>
      <c r="AB793" s="2"/>
    </row>
    <row r="794">
      <c r="A794" s="2"/>
      <c r="B794" s="21"/>
      <c r="C794" s="21"/>
      <c r="D794" s="21"/>
      <c r="E794" s="21"/>
      <c r="F794" s="2"/>
      <c r="G794" s="2"/>
      <c r="H794" s="35"/>
      <c r="I794" s="21"/>
      <c r="J794" s="21"/>
      <c r="K794" s="21"/>
      <c r="L794" s="21"/>
      <c r="M794" s="21"/>
      <c r="N794" s="21"/>
      <c r="O794" s="21"/>
      <c r="P794" s="21"/>
      <c r="Q794" s="2"/>
      <c r="R794" s="2"/>
      <c r="S794" s="2"/>
      <c r="T794" s="2"/>
      <c r="U794" s="2"/>
      <c r="V794" s="2"/>
      <c r="W794" s="2"/>
      <c r="X794" s="2"/>
      <c r="Y794" s="2"/>
      <c r="Z794" s="2"/>
      <c r="AA794" s="2"/>
      <c r="AB794" s="2"/>
    </row>
    <row r="795">
      <c r="A795" s="2"/>
      <c r="B795" s="21"/>
      <c r="C795" s="21"/>
      <c r="D795" s="21"/>
      <c r="E795" s="21"/>
      <c r="F795" s="2"/>
      <c r="G795" s="2"/>
      <c r="H795" s="35"/>
      <c r="I795" s="21"/>
      <c r="J795" s="21"/>
      <c r="K795" s="21"/>
      <c r="L795" s="21"/>
      <c r="M795" s="21"/>
      <c r="N795" s="21"/>
      <c r="O795" s="21"/>
      <c r="P795" s="21"/>
      <c r="Q795" s="2"/>
      <c r="R795" s="2"/>
      <c r="S795" s="2"/>
      <c r="T795" s="2"/>
      <c r="U795" s="2"/>
      <c r="V795" s="2"/>
      <c r="W795" s="2"/>
      <c r="X795" s="2"/>
      <c r="Y795" s="2"/>
      <c r="Z795" s="2"/>
      <c r="AA795" s="2"/>
      <c r="AB795" s="2"/>
    </row>
    <row r="796">
      <c r="A796" s="2"/>
      <c r="B796" s="21"/>
      <c r="C796" s="21"/>
      <c r="D796" s="21"/>
      <c r="E796" s="21"/>
      <c r="F796" s="2"/>
      <c r="G796" s="2"/>
      <c r="H796" s="35"/>
      <c r="I796" s="21"/>
      <c r="J796" s="21"/>
      <c r="K796" s="21"/>
      <c r="L796" s="21"/>
      <c r="M796" s="21"/>
      <c r="N796" s="21"/>
      <c r="O796" s="21"/>
      <c r="P796" s="21"/>
      <c r="Q796" s="2"/>
      <c r="R796" s="2"/>
      <c r="S796" s="2"/>
      <c r="T796" s="2"/>
      <c r="U796" s="2"/>
      <c r="V796" s="2"/>
      <c r="W796" s="2"/>
      <c r="X796" s="2"/>
      <c r="Y796" s="2"/>
      <c r="Z796" s="2"/>
      <c r="AA796" s="2"/>
      <c r="AB796" s="2"/>
    </row>
    <row r="797">
      <c r="A797" s="2"/>
      <c r="B797" s="21"/>
      <c r="C797" s="21"/>
      <c r="D797" s="21"/>
      <c r="E797" s="21"/>
      <c r="F797" s="2"/>
      <c r="G797" s="2"/>
      <c r="H797" s="35"/>
      <c r="I797" s="21"/>
      <c r="J797" s="21"/>
      <c r="K797" s="21"/>
      <c r="L797" s="21"/>
      <c r="M797" s="21"/>
      <c r="N797" s="21"/>
      <c r="O797" s="21"/>
      <c r="P797" s="21"/>
      <c r="Q797" s="2"/>
      <c r="R797" s="2"/>
      <c r="S797" s="2"/>
      <c r="T797" s="2"/>
      <c r="U797" s="2"/>
      <c r="V797" s="2"/>
      <c r="W797" s="2"/>
      <c r="X797" s="2"/>
      <c r="Y797" s="2"/>
      <c r="Z797" s="2"/>
      <c r="AA797" s="2"/>
      <c r="AB797" s="2"/>
    </row>
    <row r="798">
      <c r="A798" s="2"/>
      <c r="B798" s="21"/>
      <c r="C798" s="21"/>
      <c r="D798" s="21"/>
      <c r="E798" s="21"/>
      <c r="F798" s="2"/>
      <c r="G798" s="2"/>
      <c r="H798" s="35"/>
      <c r="I798" s="21"/>
      <c r="J798" s="21"/>
      <c r="K798" s="21"/>
      <c r="L798" s="21"/>
      <c r="M798" s="21"/>
      <c r="N798" s="21"/>
      <c r="O798" s="21"/>
      <c r="P798" s="21"/>
      <c r="Q798" s="2"/>
      <c r="R798" s="2"/>
      <c r="S798" s="2"/>
      <c r="T798" s="2"/>
      <c r="U798" s="2"/>
      <c r="V798" s="2"/>
      <c r="W798" s="2"/>
      <c r="X798" s="2"/>
      <c r="Y798" s="2"/>
      <c r="Z798" s="2"/>
      <c r="AA798" s="2"/>
      <c r="AB798" s="2"/>
    </row>
    <row r="799">
      <c r="A799" s="2"/>
      <c r="B799" s="21"/>
      <c r="C799" s="21"/>
      <c r="D799" s="21"/>
      <c r="E799" s="21"/>
      <c r="F799" s="2"/>
      <c r="G799" s="2"/>
      <c r="H799" s="35"/>
      <c r="I799" s="21"/>
      <c r="J799" s="21"/>
      <c r="K799" s="21"/>
      <c r="L799" s="21"/>
      <c r="M799" s="21"/>
      <c r="N799" s="21"/>
      <c r="O799" s="21"/>
      <c r="P799" s="21"/>
      <c r="Q799" s="2"/>
      <c r="R799" s="2"/>
      <c r="S799" s="2"/>
      <c r="T799" s="2"/>
      <c r="U799" s="2"/>
      <c r="V799" s="2"/>
      <c r="W799" s="2"/>
      <c r="X799" s="2"/>
      <c r="Y799" s="2"/>
      <c r="Z799" s="2"/>
      <c r="AA799" s="2"/>
      <c r="AB799" s="2"/>
    </row>
    <row r="800">
      <c r="A800" s="2"/>
      <c r="B800" s="21"/>
      <c r="C800" s="21"/>
      <c r="D800" s="21"/>
      <c r="E800" s="21"/>
      <c r="F800" s="2"/>
      <c r="G800" s="2"/>
      <c r="H800" s="35"/>
      <c r="I800" s="21"/>
      <c r="J800" s="21"/>
      <c r="K800" s="21"/>
      <c r="L800" s="21"/>
      <c r="M800" s="21"/>
      <c r="N800" s="21"/>
      <c r="O800" s="21"/>
      <c r="P800" s="21"/>
      <c r="Q800" s="2"/>
      <c r="R800" s="2"/>
      <c r="S800" s="2"/>
      <c r="T800" s="2"/>
      <c r="U800" s="2"/>
      <c r="V800" s="2"/>
      <c r="W800" s="2"/>
      <c r="X800" s="2"/>
      <c r="Y800" s="2"/>
      <c r="Z800" s="2"/>
      <c r="AA800" s="2"/>
      <c r="AB800" s="2"/>
    </row>
    <row r="801">
      <c r="A801" s="2"/>
      <c r="B801" s="21"/>
      <c r="C801" s="21"/>
      <c r="D801" s="21"/>
      <c r="E801" s="21"/>
      <c r="F801" s="2"/>
      <c r="G801" s="2"/>
      <c r="H801" s="35"/>
      <c r="I801" s="21"/>
      <c r="J801" s="21"/>
      <c r="K801" s="21"/>
      <c r="L801" s="21"/>
      <c r="M801" s="21"/>
      <c r="N801" s="21"/>
      <c r="O801" s="21"/>
      <c r="P801" s="21"/>
      <c r="Q801" s="2"/>
      <c r="R801" s="2"/>
      <c r="S801" s="2"/>
      <c r="T801" s="2"/>
      <c r="U801" s="2"/>
      <c r="V801" s="2"/>
      <c r="W801" s="2"/>
      <c r="X801" s="2"/>
      <c r="Y801" s="2"/>
      <c r="Z801" s="2"/>
      <c r="AA801" s="2"/>
      <c r="AB801" s="2"/>
    </row>
    <row r="802">
      <c r="A802" s="2"/>
      <c r="B802" s="21"/>
      <c r="C802" s="21"/>
      <c r="D802" s="21"/>
      <c r="E802" s="21"/>
      <c r="F802" s="2"/>
      <c r="G802" s="2"/>
      <c r="H802" s="35"/>
      <c r="I802" s="21"/>
      <c r="J802" s="21"/>
      <c r="K802" s="21"/>
      <c r="L802" s="21"/>
      <c r="M802" s="21"/>
      <c r="N802" s="21"/>
      <c r="O802" s="21"/>
      <c r="P802" s="21"/>
      <c r="Q802" s="2"/>
      <c r="R802" s="2"/>
      <c r="S802" s="2"/>
      <c r="T802" s="2"/>
      <c r="U802" s="2"/>
      <c r="V802" s="2"/>
      <c r="W802" s="2"/>
      <c r="X802" s="2"/>
      <c r="Y802" s="2"/>
      <c r="Z802" s="2"/>
      <c r="AA802" s="2"/>
      <c r="AB802" s="2"/>
    </row>
    <row r="803">
      <c r="A803" s="2"/>
      <c r="B803" s="21"/>
      <c r="C803" s="21"/>
      <c r="D803" s="21"/>
      <c r="E803" s="21"/>
      <c r="F803" s="2"/>
      <c r="G803" s="2"/>
      <c r="H803" s="35"/>
      <c r="I803" s="21"/>
      <c r="J803" s="21"/>
      <c r="K803" s="21"/>
      <c r="L803" s="21"/>
      <c r="M803" s="21"/>
      <c r="N803" s="21"/>
      <c r="O803" s="21"/>
      <c r="P803" s="21"/>
      <c r="Q803" s="2"/>
      <c r="R803" s="2"/>
      <c r="S803" s="2"/>
      <c r="T803" s="2"/>
      <c r="U803" s="2"/>
      <c r="V803" s="2"/>
      <c r="W803" s="2"/>
      <c r="X803" s="2"/>
      <c r="Y803" s="2"/>
      <c r="Z803" s="2"/>
      <c r="AA803" s="2"/>
      <c r="AB803" s="2"/>
    </row>
    <row r="804">
      <c r="A804" s="2"/>
      <c r="B804" s="21"/>
      <c r="C804" s="21"/>
      <c r="D804" s="21"/>
      <c r="E804" s="21"/>
      <c r="F804" s="2"/>
      <c r="G804" s="2"/>
      <c r="H804" s="35"/>
      <c r="I804" s="21"/>
      <c r="J804" s="21"/>
      <c r="K804" s="21"/>
      <c r="L804" s="21"/>
      <c r="M804" s="21"/>
      <c r="N804" s="21"/>
      <c r="O804" s="21"/>
      <c r="P804" s="21"/>
      <c r="Q804" s="2"/>
      <c r="R804" s="2"/>
      <c r="S804" s="2"/>
      <c r="T804" s="2"/>
      <c r="U804" s="2"/>
      <c r="V804" s="2"/>
      <c r="W804" s="2"/>
      <c r="X804" s="2"/>
      <c r="Y804" s="2"/>
      <c r="Z804" s="2"/>
      <c r="AA804" s="2"/>
      <c r="AB804" s="2"/>
    </row>
    <row r="805">
      <c r="A805" s="2"/>
      <c r="B805" s="21"/>
      <c r="C805" s="21"/>
      <c r="D805" s="21"/>
      <c r="E805" s="21"/>
      <c r="F805" s="2"/>
      <c r="G805" s="2"/>
      <c r="H805" s="35"/>
      <c r="I805" s="21"/>
      <c r="J805" s="21"/>
      <c r="K805" s="21"/>
      <c r="L805" s="21"/>
      <c r="M805" s="21"/>
      <c r="N805" s="21"/>
      <c r="O805" s="21"/>
      <c r="P805" s="21"/>
      <c r="Q805" s="2"/>
      <c r="R805" s="2"/>
      <c r="S805" s="2"/>
      <c r="T805" s="2"/>
      <c r="U805" s="2"/>
      <c r="V805" s="2"/>
      <c r="W805" s="2"/>
      <c r="X805" s="2"/>
      <c r="Y805" s="2"/>
      <c r="Z805" s="2"/>
      <c r="AA805" s="2"/>
      <c r="AB805" s="2"/>
    </row>
    <row r="806">
      <c r="A806" s="2"/>
      <c r="B806" s="21"/>
      <c r="C806" s="21"/>
      <c r="D806" s="21"/>
      <c r="E806" s="21"/>
      <c r="F806" s="2"/>
      <c r="G806" s="2"/>
      <c r="H806" s="35"/>
      <c r="I806" s="21"/>
      <c r="J806" s="21"/>
      <c r="K806" s="21"/>
      <c r="L806" s="21"/>
      <c r="M806" s="21"/>
      <c r="N806" s="21"/>
      <c r="O806" s="21"/>
      <c r="P806" s="21"/>
      <c r="Q806" s="2"/>
      <c r="R806" s="2"/>
      <c r="S806" s="2"/>
      <c r="T806" s="2"/>
      <c r="U806" s="2"/>
      <c r="V806" s="2"/>
      <c r="W806" s="2"/>
      <c r="X806" s="2"/>
      <c r="Y806" s="2"/>
      <c r="Z806" s="2"/>
      <c r="AA806" s="2"/>
      <c r="AB806" s="2"/>
    </row>
    <row r="807">
      <c r="A807" s="2"/>
      <c r="B807" s="21"/>
      <c r="C807" s="21"/>
      <c r="D807" s="21"/>
      <c r="E807" s="21"/>
      <c r="F807" s="2"/>
      <c r="G807" s="2"/>
      <c r="H807" s="35"/>
      <c r="I807" s="21"/>
      <c r="J807" s="21"/>
      <c r="K807" s="21"/>
      <c r="L807" s="21"/>
      <c r="M807" s="21"/>
      <c r="N807" s="21"/>
      <c r="O807" s="21"/>
      <c r="P807" s="21"/>
      <c r="Q807" s="2"/>
      <c r="R807" s="2"/>
      <c r="S807" s="2"/>
      <c r="T807" s="2"/>
      <c r="U807" s="2"/>
      <c r="V807" s="2"/>
      <c r="W807" s="2"/>
      <c r="X807" s="2"/>
      <c r="Y807" s="2"/>
      <c r="Z807" s="2"/>
      <c r="AA807" s="2"/>
      <c r="AB807" s="2"/>
    </row>
    <row r="808">
      <c r="A808" s="2"/>
      <c r="B808" s="21"/>
      <c r="C808" s="21"/>
      <c r="D808" s="21"/>
      <c r="E808" s="21"/>
      <c r="F808" s="2"/>
      <c r="G808" s="2"/>
      <c r="H808" s="35"/>
      <c r="I808" s="21"/>
      <c r="J808" s="21"/>
      <c r="K808" s="21"/>
      <c r="L808" s="21"/>
      <c r="M808" s="21"/>
      <c r="N808" s="21"/>
      <c r="O808" s="21"/>
      <c r="P808" s="21"/>
      <c r="Q808" s="2"/>
      <c r="R808" s="2"/>
      <c r="S808" s="2"/>
      <c r="T808" s="2"/>
      <c r="U808" s="2"/>
      <c r="V808" s="2"/>
      <c r="W808" s="2"/>
      <c r="X808" s="2"/>
      <c r="Y808" s="2"/>
      <c r="Z808" s="2"/>
      <c r="AA808" s="2"/>
      <c r="AB808" s="2"/>
    </row>
    <row r="809">
      <c r="A809" s="2"/>
      <c r="B809" s="21"/>
      <c r="C809" s="21"/>
      <c r="D809" s="21"/>
      <c r="E809" s="21"/>
      <c r="F809" s="2"/>
      <c r="G809" s="2"/>
      <c r="H809" s="35"/>
      <c r="I809" s="21"/>
      <c r="J809" s="21"/>
      <c r="K809" s="21"/>
      <c r="L809" s="21"/>
      <c r="M809" s="21"/>
      <c r="N809" s="21"/>
      <c r="O809" s="21"/>
      <c r="P809" s="21"/>
      <c r="Q809" s="2"/>
      <c r="R809" s="2"/>
      <c r="S809" s="2"/>
      <c r="T809" s="2"/>
      <c r="U809" s="2"/>
      <c r="V809" s="2"/>
      <c r="W809" s="2"/>
      <c r="X809" s="2"/>
      <c r="Y809" s="2"/>
      <c r="Z809" s="2"/>
      <c r="AA809" s="2"/>
      <c r="AB809" s="2"/>
    </row>
    <row r="810">
      <c r="A810" s="2"/>
      <c r="B810" s="21"/>
      <c r="C810" s="21"/>
      <c r="D810" s="21"/>
      <c r="E810" s="21"/>
      <c r="F810" s="2"/>
      <c r="G810" s="2"/>
      <c r="H810" s="35"/>
      <c r="I810" s="21"/>
      <c r="J810" s="21"/>
      <c r="K810" s="21"/>
      <c r="L810" s="21"/>
      <c r="M810" s="21"/>
      <c r="N810" s="21"/>
      <c r="O810" s="21"/>
      <c r="P810" s="21"/>
      <c r="Q810" s="2"/>
      <c r="R810" s="2"/>
      <c r="S810" s="2"/>
      <c r="T810" s="2"/>
      <c r="U810" s="2"/>
      <c r="V810" s="2"/>
      <c r="W810" s="2"/>
      <c r="X810" s="2"/>
      <c r="Y810" s="2"/>
      <c r="Z810" s="2"/>
      <c r="AA810" s="2"/>
      <c r="AB810" s="2"/>
    </row>
    <row r="811">
      <c r="A811" s="2"/>
      <c r="B811" s="21"/>
      <c r="C811" s="21"/>
      <c r="D811" s="21"/>
      <c r="E811" s="21"/>
      <c r="F811" s="2"/>
      <c r="G811" s="2"/>
      <c r="H811" s="35"/>
      <c r="I811" s="21"/>
      <c r="J811" s="21"/>
      <c r="K811" s="21"/>
      <c r="L811" s="21"/>
      <c r="M811" s="21"/>
      <c r="N811" s="21"/>
      <c r="O811" s="21"/>
      <c r="P811" s="21"/>
      <c r="Q811" s="2"/>
      <c r="R811" s="2"/>
      <c r="S811" s="2"/>
      <c r="T811" s="2"/>
      <c r="U811" s="2"/>
      <c r="V811" s="2"/>
      <c r="W811" s="2"/>
      <c r="X811" s="2"/>
      <c r="Y811" s="2"/>
      <c r="Z811" s="2"/>
      <c r="AA811" s="2"/>
      <c r="AB811" s="2"/>
    </row>
    <row r="812">
      <c r="A812" s="2"/>
      <c r="B812" s="21"/>
      <c r="C812" s="21"/>
      <c r="D812" s="21"/>
      <c r="E812" s="21"/>
      <c r="F812" s="2"/>
      <c r="G812" s="2"/>
      <c r="H812" s="35"/>
      <c r="I812" s="21"/>
      <c r="J812" s="21"/>
      <c r="K812" s="21"/>
      <c r="L812" s="21"/>
      <c r="M812" s="21"/>
      <c r="N812" s="21"/>
      <c r="O812" s="21"/>
      <c r="P812" s="21"/>
      <c r="Q812" s="2"/>
      <c r="R812" s="2"/>
      <c r="S812" s="2"/>
      <c r="T812" s="2"/>
      <c r="U812" s="2"/>
      <c r="V812" s="2"/>
      <c r="W812" s="2"/>
      <c r="X812" s="2"/>
      <c r="Y812" s="2"/>
      <c r="Z812" s="2"/>
      <c r="AA812" s="2"/>
      <c r="AB812" s="2"/>
    </row>
    <row r="813">
      <c r="A813" s="2"/>
      <c r="B813" s="21"/>
      <c r="C813" s="21"/>
      <c r="D813" s="21"/>
      <c r="E813" s="21"/>
      <c r="F813" s="2"/>
      <c r="G813" s="2"/>
      <c r="H813" s="35"/>
      <c r="I813" s="21"/>
      <c r="J813" s="21"/>
      <c r="K813" s="21"/>
      <c r="L813" s="21"/>
      <c r="M813" s="21"/>
      <c r="N813" s="21"/>
      <c r="O813" s="21"/>
      <c r="P813" s="21"/>
      <c r="Q813" s="2"/>
      <c r="R813" s="2"/>
      <c r="S813" s="2"/>
      <c r="T813" s="2"/>
      <c r="U813" s="2"/>
      <c r="V813" s="2"/>
      <c r="W813" s="2"/>
      <c r="X813" s="2"/>
      <c r="Y813" s="2"/>
      <c r="Z813" s="2"/>
      <c r="AA813" s="2"/>
      <c r="AB813" s="2"/>
    </row>
    <row r="814">
      <c r="A814" s="2"/>
      <c r="B814" s="21"/>
      <c r="C814" s="21"/>
      <c r="D814" s="21"/>
      <c r="E814" s="21"/>
      <c r="F814" s="2"/>
      <c r="G814" s="2"/>
      <c r="H814" s="35"/>
      <c r="I814" s="21"/>
      <c r="J814" s="21"/>
      <c r="K814" s="21"/>
      <c r="L814" s="21"/>
      <c r="M814" s="21"/>
      <c r="N814" s="21"/>
      <c r="O814" s="21"/>
      <c r="P814" s="21"/>
      <c r="Q814" s="2"/>
      <c r="R814" s="2"/>
      <c r="S814" s="2"/>
      <c r="T814" s="2"/>
      <c r="U814" s="2"/>
      <c r="V814" s="2"/>
      <c r="W814" s="2"/>
      <c r="X814" s="2"/>
      <c r="Y814" s="2"/>
      <c r="Z814" s="2"/>
      <c r="AA814" s="2"/>
      <c r="AB814" s="2"/>
    </row>
    <row r="815">
      <c r="A815" s="2"/>
      <c r="B815" s="21"/>
      <c r="C815" s="21"/>
      <c r="D815" s="21"/>
      <c r="E815" s="21"/>
      <c r="F815" s="2"/>
      <c r="G815" s="2"/>
      <c r="H815" s="35"/>
      <c r="I815" s="21"/>
      <c r="J815" s="21"/>
      <c r="K815" s="21"/>
      <c r="L815" s="21"/>
      <c r="M815" s="21"/>
      <c r="N815" s="21"/>
      <c r="O815" s="21"/>
      <c r="P815" s="21"/>
      <c r="Q815" s="2"/>
      <c r="R815" s="2"/>
      <c r="S815" s="2"/>
      <c r="T815" s="2"/>
      <c r="U815" s="2"/>
      <c r="V815" s="2"/>
      <c r="W815" s="2"/>
      <c r="X815" s="2"/>
      <c r="Y815" s="2"/>
      <c r="Z815" s="2"/>
      <c r="AA815" s="2"/>
      <c r="AB815" s="2"/>
    </row>
    <row r="816">
      <c r="A816" s="2"/>
      <c r="B816" s="21"/>
      <c r="C816" s="21"/>
      <c r="D816" s="21"/>
      <c r="E816" s="21"/>
      <c r="F816" s="2"/>
      <c r="G816" s="2"/>
      <c r="H816" s="35"/>
      <c r="I816" s="21"/>
      <c r="J816" s="21"/>
      <c r="K816" s="21"/>
      <c r="L816" s="21"/>
      <c r="M816" s="21"/>
      <c r="N816" s="21"/>
      <c r="O816" s="21"/>
      <c r="P816" s="21"/>
      <c r="Q816" s="2"/>
      <c r="R816" s="2"/>
      <c r="S816" s="2"/>
      <c r="T816" s="2"/>
      <c r="U816" s="2"/>
      <c r="V816" s="2"/>
      <c r="W816" s="2"/>
      <c r="X816" s="2"/>
      <c r="Y816" s="2"/>
      <c r="Z816" s="2"/>
      <c r="AA816" s="2"/>
      <c r="AB816" s="2"/>
    </row>
    <row r="817">
      <c r="A817" s="2"/>
      <c r="B817" s="21"/>
      <c r="C817" s="21"/>
      <c r="D817" s="21"/>
      <c r="E817" s="21"/>
      <c r="F817" s="2"/>
      <c r="G817" s="2"/>
      <c r="H817" s="35"/>
      <c r="I817" s="21"/>
      <c r="J817" s="21"/>
      <c r="K817" s="21"/>
      <c r="L817" s="21"/>
      <c r="M817" s="21"/>
      <c r="N817" s="21"/>
      <c r="O817" s="21"/>
      <c r="P817" s="21"/>
      <c r="Q817" s="2"/>
      <c r="R817" s="2"/>
      <c r="S817" s="2"/>
      <c r="T817" s="2"/>
      <c r="U817" s="2"/>
      <c r="V817" s="2"/>
      <c r="W817" s="2"/>
      <c r="X817" s="2"/>
      <c r="Y817" s="2"/>
      <c r="Z817" s="2"/>
      <c r="AA817" s="2"/>
      <c r="AB817" s="2"/>
    </row>
    <row r="818">
      <c r="A818" s="2"/>
      <c r="B818" s="21"/>
      <c r="C818" s="21"/>
      <c r="D818" s="21"/>
      <c r="E818" s="21"/>
      <c r="F818" s="2"/>
      <c r="G818" s="2"/>
      <c r="H818" s="35"/>
      <c r="I818" s="21"/>
      <c r="J818" s="21"/>
      <c r="K818" s="21"/>
      <c r="L818" s="21"/>
      <c r="M818" s="21"/>
      <c r="N818" s="21"/>
      <c r="O818" s="21"/>
      <c r="P818" s="21"/>
      <c r="Q818" s="2"/>
      <c r="R818" s="2"/>
      <c r="S818" s="2"/>
      <c r="T818" s="2"/>
      <c r="U818" s="2"/>
      <c r="V818" s="2"/>
      <c r="W818" s="2"/>
      <c r="X818" s="2"/>
      <c r="Y818" s="2"/>
      <c r="Z818" s="2"/>
      <c r="AA818" s="2"/>
      <c r="AB818" s="2"/>
    </row>
    <row r="819">
      <c r="A819" s="2"/>
      <c r="B819" s="21"/>
      <c r="C819" s="21"/>
      <c r="D819" s="21"/>
      <c r="E819" s="21"/>
      <c r="F819" s="2"/>
      <c r="G819" s="2"/>
      <c r="H819" s="35"/>
      <c r="I819" s="21"/>
      <c r="J819" s="21"/>
      <c r="K819" s="21"/>
      <c r="L819" s="21"/>
      <c r="M819" s="21"/>
      <c r="N819" s="21"/>
      <c r="O819" s="21"/>
      <c r="P819" s="21"/>
      <c r="Q819" s="2"/>
      <c r="R819" s="2"/>
      <c r="S819" s="2"/>
      <c r="T819" s="2"/>
      <c r="U819" s="2"/>
      <c r="V819" s="2"/>
      <c r="W819" s="2"/>
      <c r="X819" s="2"/>
      <c r="Y819" s="2"/>
      <c r="Z819" s="2"/>
      <c r="AA819" s="2"/>
      <c r="AB819" s="2"/>
    </row>
    <row r="820">
      <c r="A820" s="2"/>
      <c r="B820" s="21"/>
      <c r="C820" s="21"/>
      <c r="D820" s="21"/>
      <c r="E820" s="21"/>
      <c r="F820" s="2"/>
      <c r="G820" s="2"/>
      <c r="H820" s="35"/>
      <c r="I820" s="21"/>
      <c r="J820" s="21"/>
      <c r="K820" s="21"/>
      <c r="L820" s="21"/>
      <c r="M820" s="21"/>
      <c r="N820" s="21"/>
      <c r="O820" s="21"/>
      <c r="P820" s="21"/>
      <c r="Q820" s="2"/>
      <c r="R820" s="2"/>
      <c r="S820" s="2"/>
      <c r="T820" s="2"/>
      <c r="U820" s="2"/>
      <c r="V820" s="2"/>
      <c r="W820" s="2"/>
      <c r="X820" s="2"/>
      <c r="Y820" s="2"/>
      <c r="Z820" s="2"/>
      <c r="AA820" s="2"/>
      <c r="AB820" s="2"/>
    </row>
    <row r="821">
      <c r="A821" s="2"/>
      <c r="B821" s="21"/>
      <c r="C821" s="21"/>
      <c r="D821" s="21"/>
      <c r="E821" s="21"/>
      <c r="F821" s="2"/>
      <c r="G821" s="2"/>
      <c r="H821" s="35"/>
      <c r="I821" s="21"/>
      <c r="J821" s="21"/>
      <c r="K821" s="21"/>
      <c r="L821" s="21"/>
      <c r="M821" s="21"/>
      <c r="N821" s="21"/>
      <c r="O821" s="21"/>
      <c r="P821" s="21"/>
      <c r="Q821" s="2"/>
      <c r="R821" s="2"/>
      <c r="S821" s="2"/>
      <c r="T821" s="2"/>
      <c r="U821" s="2"/>
      <c r="V821" s="2"/>
      <c r="W821" s="2"/>
      <c r="X821" s="2"/>
      <c r="Y821" s="2"/>
      <c r="Z821" s="2"/>
      <c r="AA821" s="2"/>
      <c r="AB821" s="2"/>
    </row>
    <row r="822">
      <c r="A822" s="2"/>
      <c r="B822" s="21"/>
      <c r="C822" s="21"/>
      <c r="D822" s="21"/>
      <c r="E822" s="21"/>
      <c r="F822" s="2"/>
      <c r="G822" s="2"/>
      <c r="H822" s="35"/>
      <c r="I822" s="21"/>
      <c r="J822" s="21"/>
      <c r="K822" s="21"/>
      <c r="L822" s="21"/>
      <c r="M822" s="21"/>
      <c r="N822" s="21"/>
      <c r="O822" s="21"/>
      <c r="P822" s="21"/>
      <c r="Q822" s="2"/>
      <c r="R822" s="2"/>
      <c r="S822" s="2"/>
      <c r="T822" s="2"/>
      <c r="U822" s="2"/>
      <c r="V822" s="2"/>
      <c r="W822" s="2"/>
      <c r="X822" s="2"/>
      <c r="Y822" s="2"/>
      <c r="Z822" s="2"/>
      <c r="AA822" s="2"/>
      <c r="AB822" s="2"/>
    </row>
    <row r="823">
      <c r="A823" s="2"/>
      <c r="B823" s="21"/>
      <c r="C823" s="21"/>
      <c r="D823" s="21"/>
      <c r="E823" s="21"/>
      <c r="F823" s="2"/>
      <c r="G823" s="2"/>
      <c r="H823" s="35"/>
      <c r="I823" s="21"/>
      <c r="J823" s="21"/>
      <c r="K823" s="21"/>
      <c r="L823" s="21"/>
      <c r="M823" s="21"/>
      <c r="N823" s="21"/>
      <c r="O823" s="21"/>
      <c r="P823" s="21"/>
      <c r="Q823" s="2"/>
      <c r="R823" s="2"/>
      <c r="S823" s="2"/>
      <c r="T823" s="2"/>
      <c r="U823" s="2"/>
      <c r="V823" s="2"/>
      <c r="W823" s="2"/>
      <c r="X823" s="2"/>
      <c r="Y823" s="2"/>
      <c r="Z823" s="2"/>
      <c r="AA823" s="2"/>
      <c r="AB823" s="2"/>
    </row>
    <row r="824">
      <c r="A824" s="2"/>
      <c r="B824" s="21"/>
      <c r="C824" s="21"/>
      <c r="D824" s="21"/>
      <c r="E824" s="21"/>
      <c r="F824" s="2"/>
      <c r="G824" s="2"/>
      <c r="H824" s="35"/>
      <c r="I824" s="21"/>
      <c r="J824" s="21"/>
      <c r="K824" s="21"/>
      <c r="L824" s="21"/>
      <c r="M824" s="21"/>
      <c r="N824" s="21"/>
      <c r="O824" s="21"/>
      <c r="P824" s="21"/>
      <c r="Q824" s="2"/>
      <c r="R824" s="2"/>
      <c r="S824" s="2"/>
      <c r="T824" s="2"/>
      <c r="U824" s="2"/>
      <c r="V824" s="2"/>
      <c r="W824" s="2"/>
      <c r="X824" s="2"/>
      <c r="Y824" s="2"/>
      <c r="Z824" s="2"/>
      <c r="AA824" s="2"/>
      <c r="AB824" s="2"/>
    </row>
    <row r="825">
      <c r="A825" s="2"/>
      <c r="B825" s="21"/>
      <c r="C825" s="21"/>
      <c r="D825" s="21"/>
      <c r="E825" s="21"/>
      <c r="F825" s="2"/>
      <c r="G825" s="2"/>
      <c r="H825" s="35"/>
      <c r="I825" s="21"/>
      <c r="J825" s="21"/>
      <c r="K825" s="21"/>
      <c r="L825" s="21"/>
      <c r="M825" s="21"/>
      <c r="N825" s="21"/>
      <c r="O825" s="21"/>
      <c r="P825" s="21"/>
      <c r="Q825" s="2"/>
      <c r="R825" s="2"/>
      <c r="S825" s="2"/>
      <c r="T825" s="2"/>
      <c r="U825" s="2"/>
      <c r="V825" s="2"/>
      <c r="W825" s="2"/>
      <c r="X825" s="2"/>
      <c r="Y825" s="2"/>
      <c r="Z825" s="2"/>
      <c r="AA825" s="2"/>
      <c r="AB825" s="2"/>
    </row>
    <row r="826">
      <c r="A826" s="2"/>
      <c r="B826" s="21"/>
      <c r="C826" s="21"/>
      <c r="D826" s="21"/>
      <c r="E826" s="21"/>
      <c r="F826" s="2"/>
      <c r="G826" s="2"/>
      <c r="H826" s="35"/>
      <c r="I826" s="21"/>
      <c r="J826" s="21"/>
      <c r="K826" s="21"/>
      <c r="L826" s="21"/>
      <c r="M826" s="21"/>
      <c r="N826" s="21"/>
      <c r="O826" s="21"/>
      <c r="P826" s="21"/>
      <c r="Q826" s="2"/>
      <c r="R826" s="2"/>
      <c r="S826" s="2"/>
      <c r="T826" s="2"/>
      <c r="U826" s="2"/>
      <c r="V826" s="2"/>
      <c r="W826" s="2"/>
      <c r="X826" s="2"/>
      <c r="Y826" s="2"/>
      <c r="Z826" s="2"/>
      <c r="AA826" s="2"/>
      <c r="AB826" s="2"/>
    </row>
    <row r="827">
      <c r="A827" s="2"/>
      <c r="B827" s="21"/>
      <c r="C827" s="21"/>
      <c r="D827" s="21"/>
      <c r="E827" s="21"/>
      <c r="F827" s="2"/>
      <c r="G827" s="2"/>
      <c r="H827" s="35"/>
      <c r="I827" s="21"/>
      <c r="J827" s="21"/>
      <c r="K827" s="21"/>
      <c r="L827" s="21"/>
      <c r="M827" s="21"/>
      <c r="N827" s="21"/>
      <c r="O827" s="21"/>
      <c r="P827" s="21"/>
      <c r="Q827" s="2"/>
      <c r="R827" s="2"/>
      <c r="S827" s="2"/>
      <c r="T827" s="2"/>
      <c r="U827" s="2"/>
      <c r="V827" s="2"/>
      <c r="W827" s="2"/>
      <c r="X827" s="2"/>
      <c r="Y827" s="2"/>
      <c r="Z827" s="2"/>
      <c r="AA827" s="2"/>
      <c r="AB827" s="2"/>
    </row>
    <row r="828">
      <c r="A828" s="2"/>
      <c r="B828" s="21"/>
      <c r="C828" s="21"/>
      <c r="D828" s="21"/>
      <c r="E828" s="21"/>
      <c r="F828" s="2"/>
      <c r="G828" s="2"/>
      <c r="H828" s="35"/>
      <c r="I828" s="21"/>
      <c r="J828" s="21"/>
      <c r="K828" s="21"/>
      <c r="L828" s="21"/>
      <c r="M828" s="21"/>
      <c r="N828" s="21"/>
      <c r="O828" s="21"/>
      <c r="P828" s="21"/>
      <c r="Q828" s="2"/>
      <c r="R828" s="2"/>
      <c r="S828" s="2"/>
      <c r="T828" s="2"/>
      <c r="U828" s="2"/>
      <c r="V828" s="2"/>
      <c r="W828" s="2"/>
      <c r="X828" s="2"/>
      <c r="Y828" s="2"/>
      <c r="Z828" s="2"/>
      <c r="AA828" s="2"/>
      <c r="AB828" s="2"/>
    </row>
    <row r="829">
      <c r="A829" s="2"/>
      <c r="B829" s="21"/>
      <c r="C829" s="21"/>
      <c r="D829" s="21"/>
      <c r="E829" s="21"/>
      <c r="F829" s="2"/>
      <c r="G829" s="2"/>
      <c r="H829" s="35"/>
      <c r="I829" s="21"/>
      <c r="J829" s="21"/>
      <c r="K829" s="21"/>
      <c r="L829" s="21"/>
      <c r="M829" s="21"/>
      <c r="N829" s="21"/>
      <c r="O829" s="21"/>
      <c r="P829" s="21"/>
      <c r="Q829" s="2"/>
      <c r="R829" s="2"/>
      <c r="S829" s="2"/>
      <c r="T829" s="2"/>
      <c r="U829" s="2"/>
      <c r="V829" s="2"/>
      <c r="W829" s="2"/>
      <c r="X829" s="2"/>
      <c r="Y829" s="2"/>
      <c r="Z829" s="2"/>
      <c r="AA829" s="2"/>
      <c r="AB829" s="2"/>
    </row>
    <row r="830">
      <c r="A830" s="2"/>
      <c r="B830" s="21"/>
      <c r="C830" s="21"/>
      <c r="D830" s="21"/>
      <c r="E830" s="21"/>
      <c r="F830" s="2"/>
      <c r="G830" s="2"/>
      <c r="H830" s="35"/>
      <c r="I830" s="21"/>
      <c r="J830" s="21"/>
      <c r="K830" s="21"/>
      <c r="L830" s="21"/>
      <c r="M830" s="21"/>
      <c r="N830" s="21"/>
      <c r="O830" s="21"/>
      <c r="P830" s="21"/>
      <c r="Q830" s="2"/>
      <c r="R830" s="2"/>
      <c r="S830" s="2"/>
      <c r="T830" s="2"/>
      <c r="U830" s="2"/>
      <c r="V830" s="2"/>
      <c r="W830" s="2"/>
      <c r="X830" s="2"/>
      <c r="Y830" s="2"/>
      <c r="Z830" s="2"/>
      <c r="AA830" s="2"/>
      <c r="AB830" s="2"/>
    </row>
    <row r="831">
      <c r="A831" s="2"/>
      <c r="B831" s="21"/>
      <c r="C831" s="21"/>
      <c r="D831" s="21"/>
      <c r="E831" s="21"/>
      <c r="F831" s="2"/>
      <c r="G831" s="2"/>
      <c r="H831" s="35"/>
      <c r="I831" s="21"/>
      <c r="J831" s="21"/>
      <c r="K831" s="21"/>
      <c r="L831" s="21"/>
      <c r="M831" s="21"/>
      <c r="N831" s="21"/>
      <c r="O831" s="21"/>
      <c r="P831" s="21"/>
      <c r="Q831" s="2"/>
      <c r="R831" s="2"/>
      <c r="S831" s="2"/>
      <c r="T831" s="2"/>
      <c r="U831" s="2"/>
      <c r="V831" s="2"/>
      <c r="W831" s="2"/>
      <c r="X831" s="2"/>
      <c r="Y831" s="2"/>
      <c r="Z831" s="2"/>
      <c r="AA831" s="2"/>
      <c r="AB831" s="2"/>
    </row>
    <row r="832">
      <c r="A832" s="2"/>
      <c r="B832" s="21"/>
      <c r="C832" s="21"/>
      <c r="D832" s="21"/>
      <c r="E832" s="21"/>
      <c r="F832" s="2"/>
      <c r="G832" s="2"/>
      <c r="H832" s="35"/>
      <c r="I832" s="21"/>
      <c r="J832" s="21"/>
      <c r="K832" s="21"/>
      <c r="L832" s="21"/>
      <c r="M832" s="21"/>
      <c r="N832" s="21"/>
      <c r="O832" s="21"/>
      <c r="P832" s="21"/>
      <c r="Q832" s="2"/>
      <c r="R832" s="2"/>
      <c r="S832" s="2"/>
      <c r="T832" s="2"/>
      <c r="U832" s="2"/>
      <c r="V832" s="2"/>
      <c r="W832" s="2"/>
      <c r="X832" s="2"/>
      <c r="Y832" s="2"/>
      <c r="Z832" s="2"/>
      <c r="AA832" s="2"/>
      <c r="AB832" s="2"/>
    </row>
    <row r="833">
      <c r="A833" s="2"/>
      <c r="B833" s="21"/>
      <c r="C833" s="21"/>
      <c r="D833" s="21"/>
      <c r="E833" s="21"/>
      <c r="F833" s="2"/>
      <c r="G833" s="2"/>
      <c r="H833" s="35"/>
      <c r="I833" s="21"/>
      <c r="J833" s="21"/>
      <c r="K833" s="21"/>
      <c r="L833" s="21"/>
      <c r="M833" s="21"/>
      <c r="N833" s="21"/>
      <c r="O833" s="21"/>
      <c r="P833" s="21"/>
      <c r="Q833" s="2"/>
      <c r="R833" s="2"/>
      <c r="S833" s="2"/>
      <c r="T833" s="2"/>
      <c r="U833" s="2"/>
      <c r="V833" s="2"/>
      <c r="W833" s="2"/>
      <c r="X833" s="2"/>
      <c r="Y833" s="2"/>
      <c r="Z833" s="2"/>
      <c r="AA833" s="2"/>
      <c r="AB833" s="2"/>
    </row>
    <row r="834">
      <c r="A834" s="2"/>
      <c r="B834" s="21"/>
      <c r="C834" s="21"/>
      <c r="D834" s="21"/>
      <c r="E834" s="21"/>
      <c r="F834" s="2"/>
      <c r="G834" s="2"/>
      <c r="H834" s="35"/>
      <c r="I834" s="21"/>
      <c r="J834" s="21"/>
      <c r="K834" s="21"/>
      <c r="L834" s="21"/>
      <c r="M834" s="21"/>
      <c r="N834" s="21"/>
      <c r="O834" s="21"/>
      <c r="P834" s="21"/>
      <c r="Q834" s="2"/>
      <c r="R834" s="2"/>
      <c r="S834" s="2"/>
      <c r="T834" s="2"/>
      <c r="U834" s="2"/>
      <c r="V834" s="2"/>
      <c r="W834" s="2"/>
      <c r="X834" s="2"/>
      <c r="Y834" s="2"/>
      <c r="Z834" s="2"/>
      <c r="AA834" s="2"/>
      <c r="AB834" s="2"/>
    </row>
    <row r="835">
      <c r="A835" s="2"/>
      <c r="B835" s="21"/>
      <c r="C835" s="21"/>
      <c r="D835" s="21"/>
      <c r="E835" s="21"/>
      <c r="F835" s="2"/>
      <c r="G835" s="2"/>
      <c r="H835" s="35"/>
      <c r="I835" s="21"/>
      <c r="J835" s="21"/>
      <c r="K835" s="21"/>
      <c r="L835" s="21"/>
      <c r="M835" s="21"/>
      <c r="N835" s="21"/>
      <c r="O835" s="21"/>
      <c r="P835" s="21"/>
      <c r="Q835" s="2"/>
      <c r="R835" s="2"/>
      <c r="S835" s="2"/>
      <c r="T835" s="2"/>
      <c r="U835" s="2"/>
      <c r="V835" s="2"/>
      <c r="W835" s="2"/>
      <c r="X835" s="2"/>
      <c r="Y835" s="2"/>
      <c r="Z835" s="2"/>
      <c r="AA835" s="2"/>
      <c r="AB835" s="2"/>
    </row>
    <row r="836">
      <c r="A836" s="2"/>
      <c r="B836" s="21"/>
      <c r="C836" s="21"/>
      <c r="D836" s="21"/>
      <c r="E836" s="21"/>
      <c r="F836" s="2"/>
      <c r="G836" s="2"/>
      <c r="H836" s="35"/>
      <c r="I836" s="21"/>
      <c r="J836" s="21"/>
      <c r="K836" s="21"/>
      <c r="L836" s="21"/>
      <c r="M836" s="21"/>
      <c r="N836" s="21"/>
      <c r="O836" s="21"/>
      <c r="P836" s="21"/>
      <c r="Q836" s="2"/>
      <c r="R836" s="2"/>
      <c r="S836" s="2"/>
      <c r="T836" s="2"/>
      <c r="U836" s="2"/>
      <c r="V836" s="2"/>
      <c r="W836" s="2"/>
      <c r="X836" s="2"/>
      <c r="Y836" s="2"/>
      <c r="Z836" s="2"/>
      <c r="AA836" s="2"/>
      <c r="AB836" s="2"/>
    </row>
    <row r="837">
      <c r="A837" s="2"/>
      <c r="B837" s="21"/>
      <c r="C837" s="21"/>
      <c r="D837" s="21"/>
      <c r="E837" s="21"/>
      <c r="F837" s="2"/>
      <c r="G837" s="2"/>
      <c r="H837" s="35"/>
      <c r="I837" s="21"/>
      <c r="J837" s="21"/>
      <c r="K837" s="21"/>
      <c r="L837" s="21"/>
      <c r="M837" s="21"/>
      <c r="N837" s="21"/>
      <c r="O837" s="21"/>
      <c r="P837" s="21"/>
      <c r="Q837" s="2"/>
      <c r="R837" s="2"/>
      <c r="S837" s="2"/>
      <c r="T837" s="2"/>
      <c r="U837" s="2"/>
      <c r="V837" s="2"/>
      <c r="W837" s="2"/>
      <c r="X837" s="2"/>
      <c r="Y837" s="2"/>
      <c r="Z837" s="2"/>
      <c r="AA837" s="2"/>
      <c r="AB837" s="2"/>
    </row>
    <row r="838">
      <c r="A838" s="2"/>
      <c r="B838" s="21"/>
      <c r="C838" s="21"/>
      <c r="D838" s="21"/>
      <c r="E838" s="21"/>
      <c r="F838" s="2"/>
      <c r="G838" s="2"/>
      <c r="H838" s="35"/>
      <c r="I838" s="21"/>
      <c r="J838" s="21"/>
      <c r="K838" s="21"/>
      <c r="L838" s="21"/>
      <c r="M838" s="21"/>
      <c r="N838" s="21"/>
      <c r="O838" s="21"/>
      <c r="P838" s="21"/>
      <c r="Q838" s="2"/>
      <c r="R838" s="2"/>
      <c r="S838" s="2"/>
      <c r="T838" s="2"/>
      <c r="U838" s="2"/>
      <c r="V838" s="2"/>
      <c r="W838" s="2"/>
      <c r="X838" s="2"/>
      <c r="Y838" s="2"/>
      <c r="Z838" s="2"/>
      <c r="AA838" s="2"/>
      <c r="AB838" s="2"/>
    </row>
    <row r="839">
      <c r="A839" s="2"/>
      <c r="B839" s="21"/>
      <c r="C839" s="21"/>
      <c r="D839" s="21"/>
      <c r="E839" s="21"/>
      <c r="F839" s="2"/>
      <c r="G839" s="2"/>
      <c r="H839" s="35"/>
      <c r="I839" s="21"/>
      <c r="J839" s="21"/>
      <c r="K839" s="21"/>
      <c r="L839" s="21"/>
      <c r="M839" s="21"/>
      <c r="N839" s="21"/>
      <c r="O839" s="21"/>
      <c r="P839" s="21"/>
      <c r="Q839" s="2"/>
      <c r="R839" s="2"/>
      <c r="S839" s="2"/>
      <c r="T839" s="2"/>
      <c r="U839" s="2"/>
      <c r="V839" s="2"/>
      <c r="W839" s="2"/>
      <c r="X839" s="2"/>
      <c r="Y839" s="2"/>
      <c r="Z839" s="2"/>
      <c r="AA839" s="2"/>
      <c r="AB839" s="2"/>
    </row>
    <row r="840">
      <c r="A840" s="2"/>
      <c r="B840" s="21"/>
      <c r="C840" s="21"/>
      <c r="D840" s="21"/>
      <c r="E840" s="21"/>
      <c r="F840" s="2"/>
      <c r="G840" s="2"/>
      <c r="H840" s="35"/>
      <c r="I840" s="21"/>
      <c r="J840" s="21"/>
      <c r="K840" s="21"/>
      <c r="L840" s="21"/>
      <c r="M840" s="21"/>
      <c r="N840" s="21"/>
      <c r="O840" s="21"/>
      <c r="P840" s="21"/>
      <c r="Q840" s="2"/>
      <c r="R840" s="2"/>
      <c r="S840" s="2"/>
      <c r="T840" s="2"/>
      <c r="U840" s="2"/>
      <c r="V840" s="2"/>
      <c r="W840" s="2"/>
      <c r="X840" s="2"/>
      <c r="Y840" s="2"/>
      <c r="Z840" s="2"/>
      <c r="AA840" s="2"/>
      <c r="AB840" s="2"/>
    </row>
    <row r="841">
      <c r="A841" s="2"/>
      <c r="B841" s="21"/>
      <c r="C841" s="21"/>
      <c r="D841" s="21"/>
      <c r="E841" s="21"/>
      <c r="F841" s="2"/>
      <c r="G841" s="2"/>
      <c r="H841" s="35"/>
      <c r="I841" s="21"/>
      <c r="J841" s="21"/>
      <c r="K841" s="21"/>
      <c r="L841" s="21"/>
      <c r="M841" s="21"/>
      <c r="N841" s="21"/>
      <c r="O841" s="21"/>
      <c r="P841" s="21"/>
      <c r="Q841" s="2"/>
      <c r="R841" s="2"/>
      <c r="S841" s="2"/>
      <c r="T841" s="2"/>
      <c r="U841" s="2"/>
      <c r="V841" s="2"/>
      <c r="W841" s="2"/>
      <c r="X841" s="2"/>
      <c r="Y841" s="2"/>
      <c r="Z841" s="2"/>
      <c r="AA841" s="2"/>
      <c r="AB841" s="2"/>
    </row>
    <row r="842">
      <c r="A842" s="2"/>
      <c r="B842" s="21"/>
      <c r="C842" s="21"/>
      <c r="D842" s="21"/>
      <c r="E842" s="21"/>
      <c r="F842" s="2"/>
      <c r="G842" s="2"/>
      <c r="H842" s="35"/>
      <c r="I842" s="21"/>
      <c r="J842" s="21"/>
      <c r="K842" s="21"/>
      <c r="L842" s="21"/>
      <c r="M842" s="21"/>
      <c r="N842" s="21"/>
      <c r="O842" s="21"/>
      <c r="P842" s="21"/>
      <c r="Q842" s="2"/>
      <c r="R842" s="2"/>
      <c r="S842" s="2"/>
      <c r="T842" s="2"/>
      <c r="U842" s="2"/>
      <c r="V842" s="2"/>
      <c r="W842" s="2"/>
      <c r="X842" s="2"/>
      <c r="Y842" s="2"/>
      <c r="Z842" s="2"/>
      <c r="AA842" s="2"/>
      <c r="AB842" s="2"/>
    </row>
    <row r="843">
      <c r="A843" s="2"/>
      <c r="B843" s="21"/>
      <c r="C843" s="21"/>
      <c r="D843" s="21"/>
      <c r="E843" s="21"/>
      <c r="F843" s="2"/>
      <c r="G843" s="2"/>
      <c r="H843" s="35"/>
      <c r="I843" s="21"/>
      <c r="J843" s="21"/>
      <c r="K843" s="21"/>
      <c r="L843" s="21"/>
      <c r="M843" s="21"/>
      <c r="N843" s="21"/>
      <c r="O843" s="21"/>
      <c r="P843" s="21"/>
      <c r="Q843" s="2"/>
      <c r="R843" s="2"/>
      <c r="S843" s="2"/>
      <c r="T843" s="2"/>
      <c r="U843" s="2"/>
      <c r="V843" s="2"/>
      <c r="W843" s="2"/>
      <c r="X843" s="2"/>
      <c r="Y843" s="2"/>
      <c r="Z843" s="2"/>
      <c r="AA843" s="2"/>
      <c r="AB843" s="2"/>
    </row>
    <row r="844">
      <c r="A844" s="2"/>
      <c r="B844" s="21"/>
      <c r="C844" s="21"/>
      <c r="D844" s="21"/>
      <c r="E844" s="21"/>
      <c r="F844" s="2"/>
      <c r="G844" s="2"/>
      <c r="H844" s="35"/>
      <c r="I844" s="21"/>
      <c r="J844" s="21"/>
      <c r="K844" s="21"/>
      <c r="L844" s="21"/>
      <c r="M844" s="21"/>
      <c r="N844" s="21"/>
      <c r="O844" s="21"/>
      <c r="P844" s="21"/>
      <c r="Q844" s="2"/>
      <c r="R844" s="2"/>
      <c r="S844" s="2"/>
      <c r="T844" s="2"/>
      <c r="U844" s="2"/>
      <c r="V844" s="2"/>
      <c r="W844" s="2"/>
      <c r="X844" s="2"/>
      <c r="Y844" s="2"/>
      <c r="Z844" s="2"/>
      <c r="AA844" s="2"/>
      <c r="AB844" s="2"/>
    </row>
    <row r="845">
      <c r="A845" s="2"/>
      <c r="B845" s="21"/>
      <c r="C845" s="21"/>
      <c r="D845" s="21"/>
      <c r="E845" s="21"/>
      <c r="F845" s="2"/>
      <c r="G845" s="2"/>
      <c r="H845" s="35"/>
      <c r="I845" s="21"/>
      <c r="J845" s="21"/>
      <c r="K845" s="21"/>
      <c r="L845" s="21"/>
      <c r="M845" s="21"/>
      <c r="N845" s="21"/>
      <c r="O845" s="21"/>
      <c r="P845" s="21"/>
      <c r="Q845" s="2"/>
      <c r="R845" s="2"/>
      <c r="S845" s="2"/>
      <c r="T845" s="2"/>
      <c r="U845" s="2"/>
      <c r="V845" s="2"/>
      <c r="W845" s="2"/>
      <c r="X845" s="2"/>
      <c r="Y845" s="2"/>
      <c r="Z845" s="2"/>
      <c r="AA845" s="2"/>
      <c r="AB845" s="2"/>
    </row>
    <row r="846">
      <c r="A846" s="2"/>
      <c r="B846" s="21"/>
      <c r="C846" s="21"/>
      <c r="D846" s="21"/>
      <c r="E846" s="21"/>
      <c r="F846" s="2"/>
      <c r="G846" s="2"/>
      <c r="H846" s="35"/>
      <c r="I846" s="21"/>
      <c r="J846" s="21"/>
      <c r="K846" s="21"/>
      <c r="L846" s="21"/>
      <c r="M846" s="21"/>
      <c r="N846" s="21"/>
      <c r="O846" s="21"/>
      <c r="P846" s="21"/>
      <c r="Q846" s="2"/>
      <c r="R846" s="2"/>
      <c r="S846" s="2"/>
      <c r="T846" s="2"/>
      <c r="U846" s="2"/>
      <c r="V846" s="2"/>
      <c r="W846" s="2"/>
      <c r="X846" s="2"/>
      <c r="Y846" s="2"/>
      <c r="Z846" s="2"/>
      <c r="AA846" s="2"/>
      <c r="AB846" s="2"/>
    </row>
    <row r="847">
      <c r="A847" s="2"/>
      <c r="B847" s="21"/>
      <c r="C847" s="21"/>
      <c r="D847" s="21"/>
      <c r="E847" s="21"/>
      <c r="F847" s="2"/>
      <c r="G847" s="2"/>
      <c r="H847" s="35"/>
      <c r="I847" s="21"/>
      <c r="J847" s="21"/>
      <c r="K847" s="21"/>
      <c r="L847" s="21"/>
      <c r="M847" s="21"/>
      <c r="N847" s="21"/>
      <c r="O847" s="21"/>
      <c r="P847" s="21"/>
      <c r="Q847" s="2"/>
      <c r="R847" s="2"/>
      <c r="S847" s="2"/>
      <c r="T847" s="2"/>
      <c r="U847" s="2"/>
      <c r="V847" s="2"/>
      <c r="W847" s="2"/>
      <c r="X847" s="2"/>
      <c r="Y847" s="2"/>
      <c r="Z847" s="2"/>
      <c r="AA847" s="2"/>
      <c r="AB847" s="2"/>
    </row>
    <row r="848">
      <c r="A848" s="2"/>
      <c r="B848" s="21"/>
      <c r="C848" s="21"/>
      <c r="D848" s="21"/>
      <c r="E848" s="21"/>
      <c r="F848" s="2"/>
      <c r="G848" s="2"/>
      <c r="H848" s="35"/>
      <c r="I848" s="21"/>
      <c r="J848" s="21"/>
      <c r="K848" s="21"/>
      <c r="L848" s="21"/>
      <c r="M848" s="21"/>
      <c r="N848" s="21"/>
      <c r="O848" s="21"/>
      <c r="P848" s="21"/>
      <c r="Q848" s="2"/>
      <c r="R848" s="2"/>
      <c r="S848" s="2"/>
      <c r="T848" s="2"/>
      <c r="U848" s="2"/>
      <c r="V848" s="2"/>
      <c r="W848" s="2"/>
      <c r="X848" s="2"/>
      <c r="Y848" s="2"/>
      <c r="Z848" s="2"/>
      <c r="AA848" s="2"/>
      <c r="AB848" s="2"/>
    </row>
    <row r="849">
      <c r="A849" s="2"/>
      <c r="B849" s="21"/>
      <c r="C849" s="21"/>
      <c r="D849" s="21"/>
      <c r="E849" s="21"/>
      <c r="F849" s="2"/>
      <c r="G849" s="2"/>
      <c r="H849" s="35"/>
      <c r="I849" s="21"/>
      <c r="J849" s="21"/>
      <c r="K849" s="21"/>
      <c r="L849" s="21"/>
      <c r="M849" s="21"/>
      <c r="N849" s="21"/>
      <c r="O849" s="21"/>
      <c r="P849" s="21"/>
      <c r="Q849" s="2"/>
      <c r="R849" s="2"/>
      <c r="S849" s="2"/>
      <c r="T849" s="2"/>
      <c r="U849" s="2"/>
      <c r="V849" s="2"/>
      <c r="W849" s="2"/>
      <c r="X849" s="2"/>
      <c r="Y849" s="2"/>
      <c r="Z849" s="2"/>
      <c r="AA849" s="2"/>
      <c r="AB849" s="2"/>
    </row>
    <row r="850">
      <c r="A850" s="2"/>
      <c r="B850" s="21"/>
      <c r="C850" s="21"/>
      <c r="D850" s="21"/>
      <c r="E850" s="21"/>
      <c r="F850" s="2"/>
      <c r="G850" s="2"/>
      <c r="H850" s="35"/>
      <c r="I850" s="21"/>
      <c r="J850" s="21"/>
      <c r="K850" s="21"/>
      <c r="L850" s="21"/>
      <c r="M850" s="21"/>
      <c r="N850" s="21"/>
      <c r="O850" s="21"/>
      <c r="P850" s="21"/>
      <c r="Q850" s="2"/>
      <c r="R850" s="2"/>
      <c r="S850" s="2"/>
      <c r="T850" s="2"/>
      <c r="U850" s="2"/>
      <c r="V850" s="2"/>
      <c r="W850" s="2"/>
      <c r="X850" s="2"/>
      <c r="Y850" s="2"/>
      <c r="Z850" s="2"/>
      <c r="AA850" s="2"/>
      <c r="AB850" s="2"/>
    </row>
    <row r="851">
      <c r="A851" s="2"/>
      <c r="B851" s="21"/>
      <c r="C851" s="21"/>
      <c r="D851" s="21"/>
      <c r="E851" s="21"/>
      <c r="F851" s="2"/>
      <c r="G851" s="2"/>
      <c r="H851" s="35"/>
      <c r="I851" s="21"/>
      <c r="J851" s="21"/>
      <c r="K851" s="21"/>
      <c r="L851" s="21"/>
      <c r="M851" s="21"/>
      <c r="N851" s="21"/>
      <c r="O851" s="21"/>
      <c r="P851" s="21"/>
      <c r="Q851" s="2"/>
      <c r="R851" s="2"/>
      <c r="S851" s="2"/>
      <c r="T851" s="2"/>
      <c r="U851" s="2"/>
      <c r="V851" s="2"/>
      <c r="W851" s="2"/>
      <c r="X851" s="2"/>
      <c r="Y851" s="2"/>
      <c r="Z851" s="2"/>
      <c r="AA851" s="2"/>
      <c r="AB851" s="2"/>
    </row>
    <row r="852">
      <c r="A852" s="2"/>
      <c r="B852" s="21"/>
      <c r="C852" s="21"/>
      <c r="D852" s="21"/>
      <c r="E852" s="21"/>
      <c r="F852" s="2"/>
      <c r="G852" s="2"/>
      <c r="H852" s="35"/>
      <c r="I852" s="21"/>
      <c r="J852" s="21"/>
      <c r="K852" s="21"/>
      <c r="L852" s="21"/>
      <c r="M852" s="21"/>
      <c r="N852" s="21"/>
      <c r="O852" s="21"/>
      <c r="P852" s="21"/>
      <c r="Q852" s="2"/>
      <c r="R852" s="2"/>
      <c r="S852" s="2"/>
      <c r="T852" s="2"/>
      <c r="U852" s="2"/>
      <c r="V852" s="2"/>
      <c r="W852" s="2"/>
      <c r="X852" s="2"/>
      <c r="Y852" s="2"/>
      <c r="Z852" s="2"/>
      <c r="AA852" s="2"/>
      <c r="AB852" s="2"/>
    </row>
    <row r="853">
      <c r="A853" s="2"/>
      <c r="B853" s="21"/>
      <c r="C853" s="21"/>
      <c r="D853" s="21"/>
      <c r="E853" s="21"/>
      <c r="F853" s="2"/>
      <c r="G853" s="2"/>
      <c r="H853" s="35"/>
      <c r="I853" s="21"/>
      <c r="J853" s="21"/>
      <c r="K853" s="21"/>
      <c r="L853" s="21"/>
      <c r="M853" s="21"/>
      <c r="N853" s="21"/>
      <c r="O853" s="21"/>
      <c r="P853" s="21"/>
      <c r="Q853" s="2"/>
      <c r="R853" s="2"/>
      <c r="S853" s="2"/>
      <c r="T853" s="2"/>
      <c r="U853" s="2"/>
      <c r="V853" s="2"/>
      <c r="W853" s="2"/>
      <c r="X853" s="2"/>
      <c r="Y853" s="2"/>
      <c r="Z853" s="2"/>
      <c r="AA853" s="2"/>
      <c r="AB853" s="2"/>
    </row>
    <row r="854">
      <c r="A854" s="2"/>
      <c r="B854" s="21"/>
      <c r="C854" s="21"/>
      <c r="D854" s="21"/>
      <c r="E854" s="21"/>
      <c r="F854" s="2"/>
      <c r="G854" s="2"/>
      <c r="H854" s="35"/>
      <c r="I854" s="21"/>
      <c r="J854" s="21"/>
      <c r="K854" s="21"/>
      <c r="L854" s="21"/>
      <c r="M854" s="21"/>
      <c r="N854" s="21"/>
      <c r="O854" s="21"/>
      <c r="P854" s="21"/>
      <c r="Q854" s="2"/>
      <c r="R854" s="2"/>
      <c r="S854" s="2"/>
      <c r="T854" s="2"/>
      <c r="U854" s="2"/>
      <c r="V854" s="2"/>
      <c r="W854" s="2"/>
      <c r="X854" s="2"/>
      <c r="Y854" s="2"/>
      <c r="Z854" s="2"/>
      <c r="AA854" s="2"/>
      <c r="AB854" s="2"/>
    </row>
    <row r="855">
      <c r="A855" s="2"/>
      <c r="B855" s="21"/>
      <c r="C855" s="21"/>
      <c r="D855" s="21"/>
      <c r="E855" s="21"/>
      <c r="F855" s="2"/>
      <c r="G855" s="2"/>
      <c r="H855" s="35"/>
      <c r="I855" s="21"/>
      <c r="J855" s="21"/>
      <c r="K855" s="21"/>
      <c r="L855" s="21"/>
      <c r="M855" s="21"/>
      <c r="N855" s="21"/>
      <c r="O855" s="21"/>
      <c r="P855" s="21"/>
      <c r="Q855" s="2"/>
      <c r="R855" s="2"/>
      <c r="S855" s="2"/>
      <c r="T855" s="2"/>
      <c r="U855" s="2"/>
      <c r="V855" s="2"/>
      <c r="W855" s="2"/>
      <c r="X855" s="2"/>
      <c r="Y855" s="2"/>
      <c r="Z855" s="2"/>
      <c r="AA855" s="2"/>
      <c r="AB855" s="2"/>
    </row>
    <row r="856">
      <c r="A856" s="2"/>
      <c r="B856" s="21"/>
      <c r="C856" s="21"/>
      <c r="D856" s="21"/>
      <c r="E856" s="21"/>
      <c r="F856" s="2"/>
      <c r="G856" s="2"/>
      <c r="H856" s="35"/>
      <c r="I856" s="21"/>
      <c r="J856" s="21"/>
      <c r="K856" s="21"/>
      <c r="L856" s="21"/>
      <c r="M856" s="21"/>
      <c r="N856" s="21"/>
      <c r="O856" s="21"/>
      <c r="P856" s="21"/>
      <c r="Q856" s="2"/>
      <c r="R856" s="2"/>
      <c r="S856" s="2"/>
      <c r="T856" s="2"/>
      <c r="U856" s="2"/>
      <c r="V856" s="2"/>
      <c r="W856" s="2"/>
      <c r="X856" s="2"/>
      <c r="Y856" s="2"/>
      <c r="Z856" s="2"/>
      <c r="AA856" s="2"/>
      <c r="AB856" s="2"/>
    </row>
    <row r="857">
      <c r="A857" s="2"/>
      <c r="B857" s="21"/>
      <c r="C857" s="21"/>
      <c r="D857" s="21"/>
      <c r="E857" s="21"/>
      <c r="F857" s="2"/>
      <c r="G857" s="2"/>
      <c r="H857" s="35"/>
      <c r="I857" s="21"/>
      <c r="J857" s="21"/>
      <c r="K857" s="21"/>
      <c r="L857" s="21"/>
      <c r="M857" s="21"/>
      <c r="N857" s="21"/>
      <c r="O857" s="21"/>
      <c r="P857" s="21"/>
      <c r="Q857" s="2"/>
      <c r="R857" s="2"/>
      <c r="S857" s="2"/>
      <c r="T857" s="2"/>
      <c r="U857" s="2"/>
      <c r="V857" s="2"/>
      <c r="W857" s="2"/>
      <c r="X857" s="2"/>
      <c r="Y857" s="2"/>
      <c r="Z857" s="2"/>
      <c r="AA857" s="2"/>
      <c r="AB857" s="2"/>
    </row>
    <row r="858">
      <c r="A858" s="2"/>
      <c r="B858" s="21"/>
      <c r="C858" s="21"/>
      <c r="D858" s="21"/>
      <c r="E858" s="21"/>
      <c r="F858" s="2"/>
      <c r="G858" s="2"/>
      <c r="H858" s="35"/>
      <c r="I858" s="21"/>
      <c r="J858" s="21"/>
      <c r="K858" s="21"/>
      <c r="L858" s="21"/>
      <c r="M858" s="21"/>
      <c r="N858" s="21"/>
      <c r="O858" s="21"/>
      <c r="P858" s="21"/>
      <c r="Q858" s="2"/>
      <c r="R858" s="2"/>
      <c r="S858" s="2"/>
      <c r="T858" s="2"/>
      <c r="U858" s="2"/>
      <c r="V858" s="2"/>
      <c r="W858" s="2"/>
      <c r="X858" s="2"/>
      <c r="Y858" s="2"/>
      <c r="Z858" s="2"/>
      <c r="AA858" s="2"/>
      <c r="AB858" s="2"/>
    </row>
    <row r="859">
      <c r="A859" s="2"/>
      <c r="B859" s="21"/>
      <c r="C859" s="21"/>
      <c r="D859" s="21"/>
      <c r="E859" s="21"/>
      <c r="F859" s="2"/>
      <c r="G859" s="2"/>
      <c r="H859" s="35"/>
      <c r="I859" s="21"/>
      <c r="J859" s="21"/>
      <c r="K859" s="21"/>
      <c r="L859" s="21"/>
      <c r="M859" s="21"/>
      <c r="N859" s="21"/>
      <c r="O859" s="21"/>
      <c r="P859" s="21"/>
      <c r="Q859" s="2"/>
      <c r="R859" s="2"/>
      <c r="S859" s="2"/>
      <c r="T859" s="2"/>
      <c r="U859" s="2"/>
      <c r="V859" s="2"/>
      <c r="W859" s="2"/>
      <c r="X859" s="2"/>
      <c r="Y859" s="2"/>
      <c r="Z859" s="2"/>
      <c r="AA859" s="2"/>
      <c r="AB859" s="2"/>
    </row>
    <row r="860">
      <c r="A860" s="2"/>
      <c r="B860" s="21"/>
      <c r="C860" s="21"/>
      <c r="D860" s="21"/>
      <c r="E860" s="21"/>
      <c r="F860" s="2"/>
      <c r="G860" s="2"/>
      <c r="H860" s="35"/>
      <c r="I860" s="21"/>
      <c r="J860" s="21"/>
      <c r="K860" s="21"/>
      <c r="L860" s="21"/>
      <c r="M860" s="21"/>
      <c r="N860" s="21"/>
      <c r="O860" s="21"/>
      <c r="P860" s="21"/>
      <c r="Q860" s="2"/>
      <c r="R860" s="2"/>
      <c r="S860" s="2"/>
      <c r="T860" s="2"/>
      <c r="U860" s="2"/>
      <c r="V860" s="2"/>
      <c r="W860" s="2"/>
      <c r="X860" s="2"/>
      <c r="Y860" s="2"/>
      <c r="Z860" s="2"/>
      <c r="AA860" s="2"/>
      <c r="AB860" s="2"/>
    </row>
    <row r="861">
      <c r="A861" s="2"/>
      <c r="B861" s="21"/>
      <c r="C861" s="21"/>
      <c r="D861" s="21"/>
      <c r="E861" s="21"/>
      <c r="F861" s="2"/>
      <c r="G861" s="2"/>
      <c r="H861" s="35"/>
      <c r="I861" s="21"/>
      <c r="J861" s="21"/>
      <c r="K861" s="21"/>
      <c r="L861" s="21"/>
      <c r="M861" s="21"/>
      <c r="N861" s="21"/>
      <c r="O861" s="21"/>
      <c r="P861" s="21"/>
      <c r="Q861" s="2"/>
      <c r="R861" s="2"/>
      <c r="S861" s="2"/>
      <c r="T861" s="2"/>
      <c r="U861" s="2"/>
      <c r="V861" s="2"/>
      <c r="W861" s="2"/>
      <c r="X861" s="2"/>
      <c r="Y861" s="2"/>
      <c r="Z861" s="2"/>
      <c r="AA861" s="2"/>
      <c r="AB861" s="2"/>
    </row>
    <row r="862">
      <c r="A862" s="2"/>
      <c r="B862" s="21"/>
      <c r="C862" s="21"/>
      <c r="D862" s="21"/>
      <c r="E862" s="21"/>
      <c r="F862" s="2"/>
      <c r="G862" s="2"/>
      <c r="H862" s="35"/>
      <c r="I862" s="21"/>
      <c r="J862" s="21"/>
      <c r="K862" s="21"/>
      <c r="L862" s="21"/>
      <c r="M862" s="21"/>
      <c r="N862" s="21"/>
      <c r="O862" s="21"/>
      <c r="P862" s="21"/>
      <c r="Q862" s="2"/>
      <c r="R862" s="2"/>
      <c r="S862" s="2"/>
      <c r="T862" s="2"/>
      <c r="U862" s="2"/>
      <c r="V862" s="2"/>
      <c r="W862" s="2"/>
      <c r="X862" s="2"/>
      <c r="Y862" s="2"/>
      <c r="Z862" s="2"/>
      <c r="AA862" s="2"/>
      <c r="AB862" s="2"/>
    </row>
    <row r="863">
      <c r="A863" s="2"/>
      <c r="B863" s="21"/>
      <c r="C863" s="21"/>
      <c r="D863" s="21"/>
      <c r="E863" s="21"/>
      <c r="F863" s="2"/>
      <c r="G863" s="2"/>
      <c r="H863" s="35"/>
      <c r="I863" s="21"/>
      <c r="J863" s="21"/>
      <c r="K863" s="21"/>
      <c r="L863" s="21"/>
      <c r="M863" s="21"/>
      <c r="N863" s="21"/>
      <c r="O863" s="21"/>
      <c r="P863" s="21"/>
      <c r="Q863" s="2"/>
      <c r="R863" s="2"/>
      <c r="S863" s="2"/>
      <c r="T863" s="2"/>
      <c r="U863" s="2"/>
      <c r="V863" s="2"/>
      <c r="W863" s="2"/>
      <c r="X863" s="2"/>
      <c r="Y863" s="2"/>
      <c r="Z863" s="2"/>
      <c r="AA863" s="2"/>
      <c r="AB863" s="2"/>
    </row>
    <row r="864">
      <c r="A864" s="2"/>
      <c r="B864" s="21"/>
      <c r="C864" s="21"/>
      <c r="D864" s="21"/>
      <c r="E864" s="21"/>
      <c r="F864" s="2"/>
      <c r="G864" s="2"/>
      <c r="H864" s="35"/>
      <c r="I864" s="21"/>
      <c r="J864" s="21"/>
      <c r="K864" s="21"/>
      <c r="L864" s="21"/>
      <c r="M864" s="21"/>
      <c r="N864" s="21"/>
      <c r="O864" s="21"/>
      <c r="P864" s="21"/>
      <c r="Q864" s="2"/>
      <c r="R864" s="2"/>
      <c r="S864" s="2"/>
      <c r="T864" s="2"/>
      <c r="U864" s="2"/>
      <c r="V864" s="2"/>
      <c r="W864" s="2"/>
      <c r="X864" s="2"/>
      <c r="Y864" s="2"/>
      <c r="Z864" s="2"/>
      <c r="AA864" s="2"/>
      <c r="AB864" s="2"/>
    </row>
    <row r="865">
      <c r="A865" s="2"/>
      <c r="B865" s="21"/>
      <c r="C865" s="21"/>
      <c r="D865" s="21"/>
      <c r="E865" s="21"/>
      <c r="F865" s="2"/>
      <c r="G865" s="2"/>
      <c r="H865" s="35"/>
      <c r="I865" s="21"/>
      <c r="J865" s="21"/>
      <c r="K865" s="21"/>
      <c r="L865" s="21"/>
      <c r="M865" s="21"/>
      <c r="N865" s="21"/>
      <c r="O865" s="21"/>
      <c r="P865" s="21"/>
      <c r="Q865" s="2"/>
      <c r="R865" s="2"/>
      <c r="S865" s="2"/>
      <c r="T865" s="2"/>
      <c r="U865" s="2"/>
      <c r="V865" s="2"/>
      <c r="W865" s="2"/>
      <c r="X865" s="2"/>
      <c r="Y865" s="2"/>
      <c r="Z865" s="2"/>
      <c r="AA865" s="2"/>
      <c r="AB865" s="2"/>
    </row>
    <row r="866">
      <c r="A866" s="2"/>
      <c r="B866" s="21"/>
      <c r="C866" s="21"/>
      <c r="D866" s="21"/>
      <c r="E866" s="21"/>
      <c r="F866" s="2"/>
      <c r="G866" s="2"/>
      <c r="H866" s="35"/>
      <c r="I866" s="21"/>
      <c r="J866" s="21"/>
      <c r="K866" s="21"/>
      <c r="L866" s="21"/>
      <c r="M866" s="21"/>
      <c r="N866" s="21"/>
      <c r="O866" s="21"/>
      <c r="P866" s="21"/>
      <c r="Q866" s="2"/>
      <c r="R866" s="2"/>
      <c r="S866" s="2"/>
      <c r="T866" s="2"/>
      <c r="U866" s="2"/>
      <c r="V866" s="2"/>
      <c r="W866" s="2"/>
      <c r="X866" s="2"/>
      <c r="Y866" s="2"/>
      <c r="Z866" s="2"/>
      <c r="AA866" s="2"/>
      <c r="AB866" s="2"/>
    </row>
    <row r="867">
      <c r="A867" s="2"/>
      <c r="B867" s="21"/>
      <c r="C867" s="21"/>
      <c r="D867" s="21"/>
      <c r="E867" s="21"/>
      <c r="F867" s="2"/>
      <c r="G867" s="2"/>
      <c r="H867" s="35"/>
      <c r="I867" s="21"/>
      <c r="J867" s="21"/>
      <c r="K867" s="21"/>
      <c r="L867" s="21"/>
      <c r="M867" s="21"/>
      <c r="N867" s="21"/>
      <c r="O867" s="21"/>
      <c r="P867" s="21"/>
      <c r="Q867" s="2"/>
      <c r="R867" s="2"/>
      <c r="S867" s="2"/>
      <c r="T867" s="2"/>
      <c r="U867" s="2"/>
      <c r="V867" s="2"/>
      <c r="W867" s="2"/>
      <c r="X867" s="2"/>
      <c r="Y867" s="2"/>
      <c r="Z867" s="2"/>
      <c r="AA867" s="2"/>
      <c r="AB867" s="2"/>
    </row>
    <row r="868">
      <c r="A868" s="2"/>
      <c r="B868" s="21"/>
      <c r="C868" s="21"/>
      <c r="D868" s="21"/>
      <c r="E868" s="21"/>
      <c r="F868" s="2"/>
      <c r="G868" s="2"/>
      <c r="H868" s="35"/>
      <c r="I868" s="21"/>
      <c r="J868" s="21"/>
      <c r="K868" s="21"/>
      <c r="L868" s="21"/>
      <c r="M868" s="21"/>
      <c r="N868" s="21"/>
      <c r="O868" s="21"/>
      <c r="P868" s="21"/>
      <c r="Q868" s="2"/>
      <c r="R868" s="2"/>
      <c r="S868" s="2"/>
      <c r="T868" s="2"/>
      <c r="U868" s="2"/>
      <c r="V868" s="2"/>
      <c r="W868" s="2"/>
      <c r="X868" s="2"/>
      <c r="Y868" s="2"/>
      <c r="Z868" s="2"/>
      <c r="AA868" s="2"/>
      <c r="AB868" s="2"/>
    </row>
    <row r="869">
      <c r="A869" s="2"/>
      <c r="B869" s="21"/>
      <c r="C869" s="21"/>
      <c r="D869" s="21"/>
      <c r="E869" s="21"/>
      <c r="F869" s="2"/>
      <c r="G869" s="2"/>
      <c r="H869" s="35"/>
      <c r="I869" s="21"/>
      <c r="J869" s="21"/>
      <c r="K869" s="21"/>
      <c r="L869" s="21"/>
      <c r="M869" s="21"/>
      <c r="N869" s="21"/>
      <c r="O869" s="21"/>
      <c r="P869" s="21"/>
      <c r="Q869" s="2"/>
      <c r="R869" s="2"/>
      <c r="S869" s="2"/>
      <c r="T869" s="2"/>
      <c r="U869" s="2"/>
      <c r="V869" s="2"/>
      <c r="W869" s="2"/>
      <c r="X869" s="2"/>
      <c r="Y869" s="2"/>
      <c r="Z869" s="2"/>
      <c r="AA869" s="2"/>
      <c r="AB869" s="2"/>
    </row>
    <row r="870">
      <c r="A870" s="2"/>
      <c r="B870" s="21"/>
      <c r="C870" s="21"/>
      <c r="D870" s="21"/>
      <c r="E870" s="21"/>
      <c r="F870" s="2"/>
      <c r="G870" s="2"/>
      <c r="H870" s="35"/>
      <c r="I870" s="21"/>
      <c r="J870" s="21"/>
      <c r="K870" s="21"/>
      <c r="L870" s="21"/>
      <c r="M870" s="21"/>
      <c r="N870" s="21"/>
      <c r="O870" s="21"/>
      <c r="P870" s="21"/>
      <c r="Q870" s="2"/>
      <c r="R870" s="2"/>
      <c r="S870" s="2"/>
      <c r="T870" s="2"/>
      <c r="U870" s="2"/>
      <c r="V870" s="2"/>
      <c r="W870" s="2"/>
      <c r="X870" s="2"/>
      <c r="Y870" s="2"/>
      <c r="Z870" s="2"/>
      <c r="AA870" s="2"/>
      <c r="AB870" s="2"/>
    </row>
    <row r="871">
      <c r="A871" s="2"/>
      <c r="B871" s="21"/>
      <c r="C871" s="21"/>
      <c r="D871" s="21"/>
      <c r="E871" s="21"/>
      <c r="F871" s="2"/>
      <c r="G871" s="2"/>
      <c r="H871" s="35"/>
      <c r="I871" s="21"/>
      <c r="J871" s="21"/>
      <c r="K871" s="21"/>
      <c r="L871" s="21"/>
      <c r="M871" s="21"/>
      <c r="N871" s="21"/>
      <c r="O871" s="21"/>
      <c r="P871" s="21"/>
      <c r="Q871" s="2"/>
      <c r="R871" s="2"/>
      <c r="S871" s="2"/>
      <c r="T871" s="2"/>
      <c r="U871" s="2"/>
      <c r="V871" s="2"/>
      <c r="W871" s="2"/>
      <c r="X871" s="2"/>
      <c r="Y871" s="2"/>
      <c r="Z871" s="2"/>
      <c r="AA871" s="2"/>
      <c r="AB871" s="2"/>
    </row>
    <row r="872">
      <c r="A872" s="2"/>
      <c r="B872" s="21"/>
      <c r="C872" s="21"/>
      <c r="D872" s="21"/>
      <c r="E872" s="21"/>
      <c r="F872" s="2"/>
      <c r="G872" s="2"/>
      <c r="H872" s="35"/>
      <c r="I872" s="21"/>
      <c r="J872" s="21"/>
      <c r="K872" s="21"/>
      <c r="L872" s="21"/>
      <c r="M872" s="21"/>
      <c r="N872" s="21"/>
      <c r="O872" s="21"/>
      <c r="P872" s="21"/>
      <c r="Q872" s="2"/>
      <c r="R872" s="2"/>
      <c r="S872" s="2"/>
      <c r="T872" s="2"/>
      <c r="U872" s="2"/>
      <c r="V872" s="2"/>
      <c r="W872" s="2"/>
      <c r="X872" s="2"/>
      <c r="Y872" s="2"/>
      <c r="Z872" s="2"/>
      <c r="AA872" s="2"/>
      <c r="AB872" s="2"/>
    </row>
    <row r="873">
      <c r="A873" s="2"/>
      <c r="B873" s="21"/>
      <c r="C873" s="21"/>
      <c r="D873" s="21"/>
      <c r="E873" s="21"/>
      <c r="F873" s="2"/>
      <c r="G873" s="2"/>
      <c r="H873" s="35"/>
      <c r="I873" s="21"/>
      <c r="J873" s="21"/>
      <c r="K873" s="21"/>
      <c r="L873" s="21"/>
      <c r="M873" s="21"/>
      <c r="N873" s="21"/>
      <c r="O873" s="21"/>
      <c r="P873" s="21"/>
      <c r="Q873" s="2"/>
      <c r="R873" s="2"/>
      <c r="S873" s="2"/>
      <c r="T873" s="2"/>
      <c r="U873" s="2"/>
      <c r="V873" s="2"/>
      <c r="W873" s="2"/>
      <c r="X873" s="2"/>
      <c r="Y873" s="2"/>
      <c r="Z873" s="2"/>
      <c r="AA873" s="2"/>
      <c r="AB873" s="2"/>
    </row>
    <row r="874">
      <c r="A874" s="2"/>
      <c r="B874" s="21"/>
      <c r="C874" s="21"/>
      <c r="D874" s="21"/>
      <c r="E874" s="21"/>
      <c r="F874" s="2"/>
      <c r="G874" s="2"/>
      <c r="H874" s="35"/>
      <c r="I874" s="21"/>
      <c r="J874" s="21"/>
      <c r="K874" s="21"/>
      <c r="L874" s="21"/>
      <c r="M874" s="21"/>
      <c r="N874" s="21"/>
      <c r="O874" s="21"/>
      <c r="P874" s="21"/>
      <c r="Q874" s="2"/>
      <c r="R874" s="2"/>
      <c r="S874" s="2"/>
      <c r="T874" s="2"/>
      <c r="U874" s="2"/>
      <c r="V874" s="2"/>
      <c r="W874" s="2"/>
      <c r="X874" s="2"/>
      <c r="Y874" s="2"/>
      <c r="Z874" s="2"/>
      <c r="AA874" s="2"/>
      <c r="AB874" s="2"/>
    </row>
    <row r="875">
      <c r="A875" s="2"/>
      <c r="B875" s="21"/>
      <c r="C875" s="21"/>
      <c r="D875" s="21"/>
      <c r="E875" s="21"/>
      <c r="F875" s="2"/>
      <c r="G875" s="2"/>
      <c r="H875" s="35"/>
      <c r="I875" s="21"/>
      <c r="J875" s="21"/>
      <c r="K875" s="21"/>
      <c r="L875" s="21"/>
      <c r="M875" s="21"/>
      <c r="N875" s="21"/>
      <c r="O875" s="21"/>
      <c r="P875" s="21"/>
      <c r="Q875" s="2"/>
      <c r="R875" s="2"/>
      <c r="S875" s="2"/>
      <c r="T875" s="2"/>
      <c r="U875" s="2"/>
      <c r="V875" s="2"/>
      <c r="W875" s="2"/>
      <c r="X875" s="2"/>
      <c r="Y875" s="2"/>
      <c r="Z875" s="2"/>
      <c r="AA875" s="2"/>
      <c r="AB875" s="2"/>
    </row>
    <row r="876">
      <c r="A876" s="2"/>
      <c r="B876" s="21"/>
      <c r="C876" s="21"/>
      <c r="D876" s="21"/>
      <c r="E876" s="21"/>
      <c r="F876" s="2"/>
      <c r="G876" s="2"/>
      <c r="H876" s="35"/>
      <c r="I876" s="21"/>
      <c r="J876" s="21"/>
      <c r="K876" s="21"/>
      <c r="L876" s="21"/>
      <c r="M876" s="21"/>
      <c r="N876" s="21"/>
      <c r="O876" s="21"/>
      <c r="P876" s="21"/>
      <c r="Q876" s="2"/>
      <c r="R876" s="2"/>
      <c r="S876" s="2"/>
      <c r="T876" s="2"/>
      <c r="U876" s="2"/>
      <c r="V876" s="2"/>
      <c r="W876" s="2"/>
      <c r="X876" s="2"/>
      <c r="Y876" s="2"/>
      <c r="Z876" s="2"/>
      <c r="AA876" s="2"/>
      <c r="AB876" s="2"/>
    </row>
    <row r="877">
      <c r="A877" s="2"/>
      <c r="B877" s="21"/>
      <c r="C877" s="21"/>
      <c r="D877" s="21"/>
      <c r="E877" s="21"/>
      <c r="F877" s="2"/>
      <c r="G877" s="2"/>
      <c r="H877" s="35"/>
      <c r="I877" s="21"/>
      <c r="J877" s="21"/>
      <c r="K877" s="21"/>
      <c r="L877" s="21"/>
      <c r="M877" s="21"/>
      <c r="N877" s="21"/>
      <c r="O877" s="21"/>
      <c r="P877" s="21"/>
      <c r="Q877" s="2"/>
      <c r="R877" s="2"/>
      <c r="S877" s="2"/>
      <c r="T877" s="2"/>
      <c r="U877" s="2"/>
      <c r="V877" s="2"/>
      <c r="W877" s="2"/>
      <c r="X877" s="2"/>
      <c r="Y877" s="2"/>
      <c r="Z877" s="2"/>
      <c r="AA877" s="2"/>
      <c r="AB877" s="2"/>
    </row>
    <row r="878">
      <c r="A878" s="2"/>
      <c r="B878" s="21"/>
      <c r="C878" s="21"/>
      <c r="D878" s="21"/>
      <c r="E878" s="21"/>
      <c r="F878" s="2"/>
      <c r="G878" s="2"/>
      <c r="H878" s="35"/>
      <c r="I878" s="21"/>
      <c r="J878" s="21"/>
      <c r="K878" s="21"/>
      <c r="L878" s="21"/>
      <c r="M878" s="21"/>
      <c r="N878" s="21"/>
      <c r="O878" s="21"/>
      <c r="P878" s="21"/>
      <c r="Q878" s="2"/>
      <c r="R878" s="2"/>
      <c r="S878" s="2"/>
      <c r="T878" s="2"/>
      <c r="U878" s="2"/>
      <c r="V878" s="2"/>
      <c r="W878" s="2"/>
      <c r="X878" s="2"/>
      <c r="Y878" s="2"/>
      <c r="Z878" s="2"/>
      <c r="AA878" s="2"/>
      <c r="AB878" s="2"/>
    </row>
    <row r="879">
      <c r="A879" s="2"/>
      <c r="B879" s="21"/>
      <c r="C879" s="21"/>
      <c r="D879" s="21"/>
      <c r="E879" s="21"/>
      <c r="F879" s="2"/>
      <c r="G879" s="2"/>
      <c r="H879" s="35"/>
      <c r="I879" s="21"/>
      <c r="J879" s="21"/>
      <c r="K879" s="21"/>
      <c r="L879" s="21"/>
      <c r="M879" s="21"/>
      <c r="N879" s="21"/>
      <c r="O879" s="21"/>
      <c r="P879" s="21"/>
      <c r="Q879" s="2"/>
      <c r="R879" s="2"/>
      <c r="S879" s="2"/>
      <c r="T879" s="2"/>
      <c r="U879" s="2"/>
      <c r="V879" s="2"/>
      <c r="W879" s="2"/>
      <c r="X879" s="2"/>
      <c r="Y879" s="2"/>
      <c r="Z879" s="2"/>
      <c r="AA879" s="2"/>
      <c r="AB879" s="2"/>
    </row>
    <row r="880">
      <c r="A880" s="2"/>
      <c r="B880" s="21"/>
      <c r="C880" s="21"/>
      <c r="D880" s="21"/>
      <c r="E880" s="21"/>
      <c r="F880" s="2"/>
      <c r="G880" s="2"/>
      <c r="H880" s="35"/>
      <c r="I880" s="21"/>
      <c r="J880" s="21"/>
      <c r="K880" s="21"/>
      <c r="L880" s="21"/>
      <c r="M880" s="21"/>
      <c r="N880" s="21"/>
      <c r="O880" s="21"/>
      <c r="P880" s="21"/>
      <c r="Q880" s="2"/>
      <c r="R880" s="2"/>
      <c r="S880" s="2"/>
      <c r="T880" s="2"/>
      <c r="U880" s="2"/>
      <c r="V880" s="2"/>
      <c r="W880" s="2"/>
      <c r="X880" s="2"/>
      <c r="Y880" s="2"/>
      <c r="Z880" s="2"/>
      <c r="AA880" s="2"/>
      <c r="AB880" s="2"/>
    </row>
    <row r="881">
      <c r="A881" s="2"/>
      <c r="B881" s="21"/>
      <c r="C881" s="21"/>
      <c r="D881" s="21"/>
      <c r="E881" s="21"/>
      <c r="F881" s="2"/>
      <c r="G881" s="2"/>
      <c r="H881" s="35"/>
      <c r="I881" s="21"/>
      <c r="J881" s="21"/>
      <c r="K881" s="21"/>
      <c r="L881" s="21"/>
      <c r="M881" s="21"/>
      <c r="N881" s="21"/>
      <c r="O881" s="21"/>
      <c r="P881" s="21"/>
      <c r="Q881" s="2"/>
      <c r="R881" s="2"/>
      <c r="S881" s="2"/>
      <c r="T881" s="2"/>
      <c r="U881" s="2"/>
      <c r="V881" s="2"/>
      <c r="W881" s="2"/>
      <c r="X881" s="2"/>
      <c r="Y881" s="2"/>
      <c r="Z881" s="2"/>
      <c r="AA881" s="2"/>
      <c r="AB881" s="2"/>
    </row>
    <row r="882">
      <c r="A882" s="2"/>
      <c r="B882" s="21"/>
      <c r="C882" s="21"/>
      <c r="D882" s="21"/>
      <c r="E882" s="21"/>
      <c r="F882" s="2"/>
      <c r="G882" s="2"/>
      <c r="H882" s="35"/>
      <c r="I882" s="21"/>
      <c r="J882" s="21"/>
      <c r="K882" s="21"/>
      <c r="L882" s="21"/>
      <c r="M882" s="21"/>
      <c r="N882" s="21"/>
      <c r="O882" s="21"/>
      <c r="P882" s="21"/>
      <c r="Q882" s="2"/>
      <c r="R882" s="2"/>
      <c r="S882" s="2"/>
      <c r="T882" s="2"/>
      <c r="U882" s="2"/>
      <c r="V882" s="2"/>
      <c r="W882" s="2"/>
      <c r="X882" s="2"/>
      <c r="Y882" s="2"/>
      <c r="Z882" s="2"/>
      <c r="AA882" s="2"/>
      <c r="AB882" s="2"/>
    </row>
    <row r="883">
      <c r="A883" s="2"/>
      <c r="B883" s="21"/>
      <c r="C883" s="21"/>
      <c r="D883" s="21"/>
      <c r="E883" s="21"/>
      <c r="F883" s="2"/>
      <c r="G883" s="2"/>
      <c r="H883" s="35"/>
      <c r="I883" s="21"/>
      <c r="J883" s="21"/>
      <c r="K883" s="21"/>
      <c r="L883" s="21"/>
      <c r="M883" s="21"/>
      <c r="N883" s="21"/>
      <c r="O883" s="21"/>
      <c r="P883" s="21"/>
      <c r="Q883" s="2"/>
      <c r="R883" s="2"/>
      <c r="S883" s="2"/>
      <c r="T883" s="2"/>
      <c r="U883" s="2"/>
      <c r="V883" s="2"/>
      <c r="W883" s="2"/>
      <c r="X883" s="2"/>
      <c r="Y883" s="2"/>
      <c r="Z883" s="2"/>
      <c r="AA883" s="2"/>
      <c r="AB883" s="2"/>
    </row>
    <row r="884">
      <c r="A884" s="2"/>
      <c r="B884" s="21"/>
      <c r="C884" s="21"/>
      <c r="D884" s="21"/>
      <c r="E884" s="21"/>
      <c r="F884" s="2"/>
      <c r="G884" s="2"/>
      <c r="H884" s="35"/>
      <c r="I884" s="21"/>
      <c r="J884" s="21"/>
      <c r="K884" s="21"/>
      <c r="L884" s="21"/>
      <c r="M884" s="21"/>
      <c r="N884" s="21"/>
      <c r="O884" s="21"/>
      <c r="P884" s="21"/>
      <c r="Q884" s="2"/>
      <c r="R884" s="2"/>
      <c r="S884" s="2"/>
      <c r="T884" s="2"/>
      <c r="U884" s="2"/>
      <c r="V884" s="2"/>
      <c r="W884" s="2"/>
      <c r="X884" s="2"/>
      <c r="Y884" s="2"/>
      <c r="Z884" s="2"/>
      <c r="AA884" s="2"/>
      <c r="AB884" s="2"/>
    </row>
    <row r="885">
      <c r="A885" s="2"/>
      <c r="B885" s="21"/>
      <c r="C885" s="21"/>
      <c r="D885" s="21"/>
      <c r="E885" s="21"/>
      <c r="F885" s="2"/>
      <c r="G885" s="2"/>
      <c r="H885" s="35"/>
      <c r="I885" s="21"/>
      <c r="J885" s="21"/>
      <c r="K885" s="21"/>
      <c r="L885" s="21"/>
      <c r="M885" s="21"/>
      <c r="N885" s="21"/>
      <c r="O885" s="21"/>
      <c r="P885" s="21"/>
      <c r="Q885" s="2"/>
      <c r="R885" s="2"/>
      <c r="S885" s="2"/>
      <c r="T885" s="2"/>
      <c r="U885" s="2"/>
      <c r="V885" s="2"/>
      <c r="W885" s="2"/>
      <c r="X885" s="2"/>
      <c r="Y885" s="2"/>
      <c r="Z885" s="2"/>
      <c r="AA885" s="2"/>
      <c r="AB885" s="2"/>
    </row>
    <row r="886">
      <c r="A886" s="2"/>
      <c r="B886" s="21"/>
      <c r="C886" s="21"/>
      <c r="D886" s="21"/>
      <c r="E886" s="21"/>
      <c r="F886" s="2"/>
      <c r="G886" s="2"/>
      <c r="H886" s="35"/>
      <c r="I886" s="21"/>
      <c r="J886" s="21"/>
      <c r="K886" s="21"/>
      <c r="L886" s="21"/>
      <c r="M886" s="21"/>
      <c r="N886" s="21"/>
      <c r="O886" s="21"/>
      <c r="P886" s="21"/>
      <c r="Q886" s="2"/>
      <c r="R886" s="2"/>
      <c r="S886" s="2"/>
      <c r="T886" s="2"/>
      <c r="U886" s="2"/>
      <c r="V886" s="2"/>
      <c r="W886" s="2"/>
      <c r="X886" s="2"/>
      <c r="Y886" s="2"/>
      <c r="Z886" s="2"/>
      <c r="AA886" s="2"/>
      <c r="AB886" s="2"/>
    </row>
    <row r="887">
      <c r="A887" s="2"/>
      <c r="B887" s="21"/>
      <c r="C887" s="21"/>
      <c r="D887" s="21"/>
      <c r="E887" s="21"/>
      <c r="F887" s="2"/>
      <c r="G887" s="2"/>
      <c r="H887" s="35"/>
      <c r="I887" s="21"/>
      <c r="J887" s="21"/>
      <c r="K887" s="21"/>
      <c r="L887" s="21"/>
      <c r="M887" s="21"/>
      <c r="N887" s="21"/>
      <c r="O887" s="21"/>
      <c r="P887" s="21"/>
      <c r="Q887" s="2"/>
      <c r="R887" s="2"/>
      <c r="S887" s="2"/>
      <c r="T887" s="2"/>
      <c r="U887" s="2"/>
      <c r="V887" s="2"/>
      <c r="W887" s="2"/>
      <c r="X887" s="2"/>
      <c r="Y887" s="2"/>
      <c r="Z887" s="2"/>
      <c r="AA887" s="2"/>
      <c r="AB887" s="2"/>
    </row>
    <row r="888">
      <c r="A888" s="2"/>
      <c r="B888" s="21"/>
      <c r="C888" s="21"/>
      <c r="D888" s="21"/>
      <c r="E888" s="21"/>
      <c r="F888" s="2"/>
      <c r="G888" s="2"/>
      <c r="H888" s="35"/>
      <c r="I888" s="21"/>
      <c r="J888" s="21"/>
      <c r="K888" s="21"/>
      <c r="L888" s="21"/>
      <c r="M888" s="21"/>
      <c r="N888" s="21"/>
      <c r="O888" s="21"/>
      <c r="P888" s="21"/>
      <c r="Q888" s="2"/>
      <c r="R888" s="2"/>
      <c r="S888" s="2"/>
      <c r="T888" s="2"/>
      <c r="U888" s="2"/>
      <c r="V888" s="2"/>
      <c r="W888" s="2"/>
      <c r="X888" s="2"/>
      <c r="Y888" s="2"/>
      <c r="Z888" s="2"/>
      <c r="AA888" s="2"/>
      <c r="AB888" s="2"/>
    </row>
    <row r="889">
      <c r="A889" s="2"/>
      <c r="B889" s="21"/>
      <c r="C889" s="21"/>
      <c r="D889" s="21"/>
      <c r="E889" s="21"/>
      <c r="F889" s="2"/>
      <c r="G889" s="2"/>
      <c r="H889" s="35"/>
      <c r="I889" s="21"/>
      <c r="J889" s="21"/>
      <c r="K889" s="21"/>
      <c r="L889" s="21"/>
      <c r="M889" s="21"/>
      <c r="N889" s="21"/>
      <c r="O889" s="21"/>
      <c r="P889" s="21"/>
      <c r="Q889" s="2"/>
      <c r="R889" s="2"/>
      <c r="S889" s="2"/>
      <c r="T889" s="2"/>
      <c r="U889" s="2"/>
      <c r="V889" s="2"/>
      <c r="W889" s="2"/>
      <c r="X889" s="2"/>
      <c r="Y889" s="2"/>
      <c r="Z889" s="2"/>
      <c r="AA889" s="2"/>
      <c r="AB889" s="2"/>
    </row>
    <row r="890">
      <c r="A890" s="2"/>
      <c r="B890" s="21"/>
      <c r="C890" s="21"/>
      <c r="D890" s="21"/>
      <c r="E890" s="21"/>
      <c r="F890" s="2"/>
      <c r="G890" s="2"/>
      <c r="H890" s="35"/>
      <c r="I890" s="21"/>
      <c r="J890" s="21"/>
      <c r="K890" s="21"/>
      <c r="L890" s="21"/>
      <c r="M890" s="21"/>
      <c r="N890" s="21"/>
      <c r="O890" s="21"/>
      <c r="P890" s="21"/>
      <c r="Q890" s="2"/>
      <c r="R890" s="2"/>
      <c r="S890" s="2"/>
      <c r="T890" s="2"/>
      <c r="U890" s="2"/>
      <c r="V890" s="2"/>
      <c r="W890" s="2"/>
      <c r="X890" s="2"/>
      <c r="Y890" s="2"/>
      <c r="Z890" s="2"/>
      <c r="AA890" s="2"/>
      <c r="AB890" s="2"/>
    </row>
    <row r="891">
      <c r="A891" s="2"/>
      <c r="B891" s="21"/>
      <c r="C891" s="21"/>
      <c r="D891" s="21"/>
      <c r="E891" s="21"/>
      <c r="F891" s="2"/>
      <c r="G891" s="2"/>
      <c r="H891" s="35"/>
      <c r="I891" s="21"/>
      <c r="J891" s="21"/>
      <c r="K891" s="21"/>
      <c r="L891" s="21"/>
      <c r="M891" s="21"/>
      <c r="N891" s="21"/>
      <c r="O891" s="21"/>
      <c r="P891" s="21"/>
      <c r="Q891" s="2"/>
      <c r="R891" s="2"/>
      <c r="S891" s="2"/>
      <c r="T891" s="2"/>
      <c r="U891" s="2"/>
      <c r="V891" s="2"/>
      <c r="W891" s="2"/>
      <c r="X891" s="2"/>
      <c r="Y891" s="2"/>
      <c r="Z891" s="2"/>
      <c r="AA891" s="2"/>
      <c r="AB891" s="2"/>
    </row>
    <row r="892">
      <c r="A892" s="2"/>
      <c r="B892" s="21"/>
      <c r="C892" s="21"/>
      <c r="D892" s="21"/>
      <c r="E892" s="21"/>
      <c r="F892" s="2"/>
      <c r="G892" s="2"/>
      <c r="H892" s="35"/>
      <c r="I892" s="21"/>
      <c r="J892" s="21"/>
      <c r="K892" s="21"/>
      <c r="L892" s="21"/>
      <c r="M892" s="21"/>
      <c r="N892" s="21"/>
      <c r="O892" s="21"/>
      <c r="P892" s="21"/>
      <c r="Q892" s="2"/>
      <c r="R892" s="2"/>
      <c r="S892" s="2"/>
      <c r="T892" s="2"/>
      <c r="U892" s="2"/>
      <c r="V892" s="2"/>
      <c r="W892" s="2"/>
      <c r="X892" s="2"/>
      <c r="Y892" s="2"/>
      <c r="Z892" s="2"/>
      <c r="AA892" s="2"/>
      <c r="AB892" s="2"/>
    </row>
    <row r="893">
      <c r="A893" s="2"/>
      <c r="B893" s="21"/>
      <c r="C893" s="21"/>
      <c r="D893" s="21"/>
      <c r="E893" s="21"/>
      <c r="F893" s="2"/>
      <c r="G893" s="2"/>
      <c r="H893" s="35"/>
      <c r="I893" s="21"/>
      <c r="J893" s="21"/>
      <c r="K893" s="21"/>
      <c r="L893" s="21"/>
      <c r="M893" s="21"/>
      <c r="N893" s="21"/>
      <c r="O893" s="21"/>
      <c r="P893" s="21"/>
      <c r="Q893" s="2"/>
      <c r="R893" s="2"/>
      <c r="S893" s="2"/>
      <c r="T893" s="2"/>
      <c r="U893" s="2"/>
      <c r="V893" s="2"/>
      <c r="W893" s="2"/>
      <c r="X893" s="2"/>
      <c r="Y893" s="2"/>
      <c r="Z893" s="2"/>
      <c r="AA893" s="2"/>
      <c r="AB893" s="2"/>
    </row>
    <row r="894">
      <c r="A894" s="2"/>
      <c r="B894" s="21"/>
      <c r="C894" s="21"/>
      <c r="D894" s="21"/>
      <c r="E894" s="21"/>
      <c r="F894" s="2"/>
      <c r="G894" s="2"/>
      <c r="H894" s="35"/>
      <c r="I894" s="21"/>
      <c r="J894" s="21"/>
      <c r="K894" s="21"/>
      <c r="L894" s="21"/>
      <c r="M894" s="21"/>
      <c r="N894" s="21"/>
      <c r="O894" s="21"/>
      <c r="P894" s="21"/>
      <c r="Q894" s="2"/>
      <c r="R894" s="2"/>
      <c r="S894" s="2"/>
      <c r="T894" s="2"/>
      <c r="U894" s="2"/>
      <c r="V894" s="2"/>
      <c r="W894" s="2"/>
      <c r="X894" s="2"/>
      <c r="Y894" s="2"/>
      <c r="Z894" s="2"/>
      <c r="AA894" s="2"/>
      <c r="AB894" s="2"/>
    </row>
    <row r="895">
      <c r="A895" s="2"/>
      <c r="B895" s="21"/>
      <c r="C895" s="21"/>
      <c r="D895" s="21"/>
      <c r="E895" s="21"/>
      <c r="F895" s="2"/>
      <c r="G895" s="2"/>
      <c r="H895" s="35"/>
      <c r="I895" s="21"/>
      <c r="J895" s="21"/>
      <c r="K895" s="21"/>
      <c r="L895" s="21"/>
      <c r="M895" s="21"/>
      <c r="N895" s="21"/>
      <c r="O895" s="21"/>
      <c r="P895" s="21"/>
      <c r="Q895" s="2"/>
      <c r="R895" s="2"/>
      <c r="S895" s="2"/>
      <c r="T895" s="2"/>
      <c r="U895" s="2"/>
      <c r="V895" s="2"/>
      <c r="W895" s="2"/>
      <c r="X895" s="2"/>
      <c r="Y895" s="2"/>
      <c r="Z895" s="2"/>
      <c r="AA895" s="2"/>
      <c r="AB895" s="2"/>
    </row>
    <row r="896">
      <c r="A896" s="2"/>
      <c r="B896" s="21"/>
      <c r="C896" s="21"/>
      <c r="D896" s="21"/>
      <c r="E896" s="21"/>
      <c r="F896" s="2"/>
      <c r="G896" s="2"/>
      <c r="H896" s="35"/>
      <c r="I896" s="21"/>
      <c r="J896" s="21"/>
      <c r="K896" s="21"/>
      <c r="L896" s="21"/>
      <c r="M896" s="21"/>
      <c r="N896" s="21"/>
      <c r="O896" s="21"/>
      <c r="P896" s="21"/>
      <c r="Q896" s="2"/>
      <c r="R896" s="2"/>
      <c r="S896" s="2"/>
      <c r="T896" s="2"/>
      <c r="U896" s="2"/>
      <c r="V896" s="2"/>
      <c r="W896" s="2"/>
      <c r="X896" s="2"/>
      <c r="Y896" s="2"/>
      <c r="Z896" s="2"/>
      <c r="AA896" s="2"/>
      <c r="AB896" s="2"/>
    </row>
    <row r="897">
      <c r="A897" s="2"/>
      <c r="B897" s="21"/>
      <c r="C897" s="21"/>
      <c r="D897" s="21"/>
      <c r="E897" s="21"/>
      <c r="F897" s="2"/>
      <c r="G897" s="2"/>
      <c r="H897" s="35"/>
      <c r="I897" s="21"/>
      <c r="J897" s="21"/>
      <c r="K897" s="21"/>
      <c r="L897" s="21"/>
      <c r="M897" s="21"/>
      <c r="N897" s="21"/>
      <c r="O897" s="21"/>
      <c r="P897" s="21"/>
      <c r="Q897" s="2"/>
      <c r="R897" s="2"/>
      <c r="S897" s="2"/>
      <c r="T897" s="2"/>
      <c r="U897" s="2"/>
      <c r="V897" s="2"/>
      <c r="W897" s="2"/>
      <c r="X897" s="2"/>
      <c r="Y897" s="2"/>
      <c r="Z897" s="2"/>
      <c r="AA897" s="2"/>
      <c r="AB897" s="2"/>
    </row>
    <row r="898">
      <c r="A898" s="2"/>
      <c r="B898" s="21"/>
      <c r="C898" s="21"/>
      <c r="D898" s="21"/>
      <c r="E898" s="21"/>
      <c r="F898" s="2"/>
      <c r="G898" s="2"/>
      <c r="H898" s="35"/>
      <c r="I898" s="21"/>
      <c r="J898" s="21"/>
      <c r="K898" s="21"/>
      <c r="L898" s="21"/>
      <c r="M898" s="21"/>
      <c r="N898" s="21"/>
      <c r="O898" s="21"/>
      <c r="P898" s="21"/>
      <c r="Q898" s="2"/>
      <c r="R898" s="2"/>
      <c r="S898" s="2"/>
      <c r="T898" s="2"/>
      <c r="U898" s="2"/>
      <c r="V898" s="2"/>
      <c r="W898" s="2"/>
      <c r="X898" s="2"/>
      <c r="Y898" s="2"/>
      <c r="Z898" s="2"/>
      <c r="AA898" s="2"/>
      <c r="AB898" s="2"/>
    </row>
    <row r="899">
      <c r="A899" s="2"/>
      <c r="B899" s="21"/>
      <c r="C899" s="21"/>
      <c r="D899" s="21"/>
      <c r="E899" s="21"/>
      <c r="F899" s="2"/>
      <c r="G899" s="2"/>
      <c r="H899" s="35"/>
      <c r="I899" s="21"/>
      <c r="J899" s="21"/>
      <c r="K899" s="21"/>
      <c r="L899" s="21"/>
      <c r="M899" s="21"/>
      <c r="N899" s="21"/>
      <c r="O899" s="21"/>
      <c r="P899" s="21"/>
      <c r="Q899" s="2"/>
      <c r="R899" s="2"/>
      <c r="S899" s="2"/>
      <c r="T899" s="2"/>
      <c r="U899" s="2"/>
      <c r="V899" s="2"/>
      <c r="W899" s="2"/>
      <c r="X899" s="2"/>
      <c r="Y899" s="2"/>
      <c r="Z899" s="2"/>
      <c r="AA899" s="2"/>
      <c r="AB899" s="2"/>
    </row>
    <row r="900">
      <c r="A900" s="2"/>
      <c r="B900" s="21"/>
      <c r="C900" s="21"/>
      <c r="D900" s="21"/>
      <c r="E900" s="21"/>
      <c r="F900" s="2"/>
      <c r="G900" s="2"/>
      <c r="H900" s="35"/>
      <c r="I900" s="21"/>
      <c r="J900" s="21"/>
      <c r="K900" s="21"/>
      <c r="L900" s="21"/>
      <c r="M900" s="21"/>
      <c r="N900" s="21"/>
      <c r="O900" s="21"/>
      <c r="P900" s="21"/>
      <c r="Q900" s="2"/>
      <c r="R900" s="2"/>
      <c r="S900" s="2"/>
      <c r="T900" s="2"/>
      <c r="U900" s="2"/>
      <c r="V900" s="2"/>
      <c r="W900" s="2"/>
      <c r="X900" s="2"/>
      <c r="Y900" s="2"/>
      <c r="Z900" s="2"/>
      <c r="AA900" s="2"/>
      <c r="AB900" s="2"/>
    </row>
    <row r="901">
      <c r="A901" s="2"/>
      <c r="B901" s="21"/>
      <c r="C901" s="21"/>
      <c r="D901" s="21"/>
      <c r="E901" s="21"/>
      <c r="F901" s="2"/>
      <c r="G901" s="2"/>
      <c r="H901" s="35"/>
      <c r="I901" s="21"/>
      <c r="J901" s="21"/>
      <c r="K901" s="21"/>
      <c r="L901" s="21"/>
      <c r="M901" s="21"/>
      <c r="N901" s="21"/>
      <c r="O901" s="21"/>
      <c r="P901" s="21"/>
      <c r="Q901" s="2"/>
      <c r="R901" s="2"/>
      <c r="S901" s="2"/>
      <c r="T901" s="2"/>
      <c r="U901" s="2"/>
      <c r="V901" s="2"/>
      <c r="W901" s="2"/>
      <c r="X901" s="2"/>
      <c r="Y901" s="2"/>
      <c r="Z901" s="2"/>
      <c r="AA901" s="2"/>
      <c r="AB901" s="2"/>
    </row>
    <row r="902">
      <c r="A902" s="2"/>
      <c r="B902" s="21"/>
      <c r="C902" s="21"/>
      <c r="D902" s="21"/>
      <c r="E902" s="21"/>
      <c r="F902" s="2"/>
      <c r="G902" s="2"/>
      <c r="H902" s="35"/>
      <c r="I902" s="21"/>
      <c r="J902" s="21"/>
      <c r="K902" s="21"/>
      <c r="L902" s="21"/>
      <c r="M902" s="21"/>
      <c r="N902" s="21"/>
      <c r="O902" s="21"/>
      <c r="P902" s="21"/>
      <c r="Q902" s="2"/>
      <c r="R902" s="2"/>
      <c r="S902" s="2"/>
      <c r="T902" s="2"/>
      <c r="U902" s="2"/>
      <c r="V902" s="2"/>
      <c r="W902" s="2"/>
      <c r="X902" s="2"/>
      <c r="Y902" s="2"/>
      <c r="Z902" s="2"/>
      <c r="AA902" s="2"/>
      <c r="AB902" s="2"/>
    </row>
    <row r="903">
      <c r="A903" s="2"/>
      <c r="B903" s="21"/>
      <c r="C903" s="21"/>
      <c r="D903" s="21"/>
      <c r="E903" s="21"/>
      <c r="F903" s="2"/>
      <c r="G903" s="2"/>
      <c r="H903" s="35"/>
      <c r="I903" s="21"/>
      <c r="J903" s="21"/>
      <c r="K903" s="21"/>
      <c r="L903" s="21"/>
      <c r="M903" s="21"/>
      <c r="N903" s="21"/>
      <c r="O903" s="21"/>
      <c r="P903" s="21"/>
      <c r="Q903" s="2"/>
      <c r="R903" s="2"/>
      <c r="S903" s="2"/>
      <c r="T903" s="2"/>
      <c r="U903" s="2"/>
      <c r="V903" s="2"/>
      <c r="W903" s="2"/>
      <c r="X903" s="2"/>
      <c r="Y903" s="2"/>
      <c r="Z903" s="2"/>
      <c r="AA903" s="2"/>
      <c r="AB903" s="2"/>
    </row>
    <row r="904">
      <c r="A904" s="2"/>
      <c r="B904" s="21"/>
      <c r="C904" s="21"/>
      <c r="D904" s="21"/>
      <c r="E904" s="21"/>
      <c r="F904" s="2"/>
      <c r="G904" s="2"/>
      <c r="H904" s="35"/>
      <c r="I904" s="21"/>
      <c r="J904" s="21"/>
      <c r="K904" s="21"/>
      <c r="L904" s="21"/>
      <c r="M904" s="21"/>
      <c r="N904" s="21"/>
      <c r="O904" s="21"/>
      <c r="P904" s="21"/>
      <c r="Q904" s="2"/>
      <c r="R904" s="2"/>
      <c r="S904" s="2"/>
      <c r="T904" s="2"/>
      <c r="U904" s="2"/>
      <c r="V904" s="2"/>
      <c r="W904" s="2"/>
      <c r="X904" s="2"/>
      <c r="Y904" s="2"/>
      <c r="Z904" s="2"/>
      <c r="AA904" s="2"/>
      <c r="AB904" s="2"/>
    </row>
    <row r="905">
      <c r="A905" s="2"/>
      <c r="B905" s="21"/>
      <c r="C905" s="21"/>
      <c r="D905" s="21"/>
      <c r="E905" s="21"/>
      <c r="F905" s="2"/>
      <c r="G905" s="2"/>
      <c r="H905" s="35"/>
      <c r="I905" s="21"/>
      <c r="J905" s="21"/>
      <c r="K905" s="21"/>
      <c r="L905" s="21"/>
      <c r="M905" s="21"/>
      <c r="N905" s="21"/>
      <c r="O905" s="21"/>
      <c r="P905" s="21"/>
      <c r="Q905" s="2"/>
      <c r="R905" s="2"/>
      <c r="S905" s="2"/>
      <c r="T905" s="2"/>
      <c r="U905" s="2"/>
      <c r="V905" s="2"/>
      <c r="W905" s="2"/>
      <c r="X905" s="2"/>
      <c r="Y905" s="2"/>
      <c r="Z905" s="2"/>
      <c r="AA905" s="2"/>
      <c r="AB905" s="2"/>
    </row>
    <row r="906">
      <c r="A906" s="2"/>
      <c r="B906" s="21"/>
      <c r="C906" s="21"/>
      <c r="D906" s="21"/>
      <c r="E906" s="21"/>
      <c r="F906" s="2"/>
      <c r="G906" s="2"/>
      <c r="H906" s="35"/>
      <c r="I906" s="21"/>
      <c r="J906" s="21"/>
      <c r="K906" s="21"/>
      <c r="L906" s="21"/>
      <c r="M906" s="21"/>
      <c r="N906" s="21"/>
      <c r="O906" s="21"/>
      <c r="P906" s="21"/>
      <c r="Q906" s="2"/>
      <c r="R906" s="2"/>
      <c r="S906" s="2"/>
      <c r="T906" s="2"/>
      <c r="U906" s="2"/>
      <c r="V906" s="2"/>
      <c r="W906" s="2"/>
      <c r="X906" s="2"/>
      <c r="Y906" s="2"/>
      <c r="Z906" s="2"/>
      <c r="AA906" s="2"/>
      <c r="AB906" s="2"/>
    </row>
    <row r="907">
      <c r="A907" s="2"/>
      <c r="B907" s="21"/>
      <c r="C907" s="21"/>
      <c r="D907" s="21"/>
      <c r="E907" s="21"/>
      <c r="F907" s="2"/>
      <c r="G907" s="2"/>
      <c r="H907" s="35"/>
      <c r="I907" s="21"/>
      <c r="J907" s="21"/>
      <c r="K907" s="21"/>
      <c r="L907" s="21"/>
      <c r="M907" s="21"/>
      <c r="N907" s="21"/>
      <c r="O907" s="21"/>
      <c r="P907" s="21"/>
      <c r="Q907" s="2"/>
      <c r="R907" s="2"/>
      <c r="S907" s="2"/>
      <c r="T907" s="2"/>
      <c r="U907" s="2"/>
      <c r="V907" s="2"/>
      <c r="W907" s="2"/>
      <c r="X907" s="2"/>
      <c r="Y907" s="2"/>
      <c r="Z907" s="2"/>
      <c r="AA907" s="2"/>
      <c r="AB907" s="2"/>
    </row>
    <row r="908">
      <c r="A908" s="2"/>
      <c r="B908" s="21"/>
      <c r="C908" s="21"/>
      <c r="D908" s="21"/>
      <c r="E908" s="21"/>
      <c r="F908" s="2"/>
      <c r="G908" s="2"/>
      <c r="H908" s="35"/>
      <c r="I908" s="21"/>
      <c r="J908" s="21"/>
      <c r="K908" s="21"/>
      <c r="L908" s="21"/>
      <c r="M908" s="21"/>
      <c r="N908" s="21"/>
      <c r="O908" s="21"/>
      <c r="P908" s="21"/>
      <c r="Q908" s="2"/>
      <c r="R908" s="2"/>
      <c r="S908" s="2"/>
      <c r="T908" s="2"/>
      <c r="U908" s="2"/>
      <c r="V908" s="2"/>
      <c r="W908" s="2"/>
      <c r="X908" s="2"/>
      <c r="Y908" s="2"/>
      <c r="Z908" s="2"/>
      <c r="AA908" s="2"/>
      <c r="AB908" s="2"/>
    </row>
    <row r="909">
      <c r="A909" s="2"/>
      <c r="B909" s="21"/>
      <c r="C909" s="21"/>
      <c r="D909" s="21"/>
      <c r="E909" s="21"/>
      <c r="F909" s="2"/>
      <c r="G909" s="2"/>
      <c r="H909" s="35"/>
      <c r="I909" s="21"/>
      <c r="J909" s="21"/>
      <c r="K909" s="21"/>
      <c r="L909" s="21"/>
      <c r="M909" s="21"/>
      <c r="N909" s="21"/>
      <c r="O909" s="21"/>
      <c r="P909" s="21"/>
      <c r="Q909" s="2"/>
      <c r="R909" s="2"/>
      <c r="S909" s="2"/>
      <c r="T909" s="2"/>
      <c r="U909" s="2"/>
      <c r="V909" s="2"/>
      <c r="W909" s="2"/>
      <c r="X909" s="2"/>
      <c r="Y909" s="2"/>
      <c r="Z909" s="2"/>
      <c r="AA909" s="2"/>
      <c r="AB909" s="2"/>
    </row>
    <row r="910">
      <c r="A910" s="2"/>
      <c r="B910" s="21"/>
      <c r="C910" s="21"/>
      <c r="D910" s="21"/>
      <c r="E910" s="21"/>
      <c r="F910" s="2"/>
      <c r="G910" s="2"/>
      <c r="H910" s="35"/>
      <c r="I910" s="21"/>
      <c r="J910" s="21"/>
      <c r="K910" s="21"/>
      <c r="L910" s="21"/>
      <c r="M910" s="21"/>
      <c r="N910" s="21"/>
      <c r="O910" s="21"/>
      <c r="P910" s="21"/>
      <c r="Q910" s="2"/>
      <c r="R910" s="2"/>
      <c r="S910" s="2"/>
      <c r="T910" s="2"/>
      <c r="U910" s="2"/>
      <c r="V910" s="2"/>
      <c r="W910" s="2"/>
      <c r="X910" s="2"/>
      <c r="Y910" s="2"/>
      <c r="Z910" s="2"/>
      <c r="AA910" s="2"/>
      <c r="AB910" s="2"/>
    </row>
    <row r="911">
      <c r="A911" s="2"/>
      <c r="B911" s="21"/>
      <c r="C911" s="21"/>
      <c r="D911" s="21"/>
      <c r="E911" s="21"/>
      <c r="F911" s="2"/>
      <c r="G911" s="2"/>
      <c r="H911" s="35"/>
      <c r="I911" s="21"/>
      <c r="J911" s="21"/>
      <c r="K911" s="21"/>
      <c r="L911" s="21"/>
      <c r="M911" s="21"/>
      <c r="N911" s="21"/>
      <c r="O911" s="21"/>
      <c r="P911" s="21"/>
      <c r="Q911" s="2"/>
      <c r="R911" s="2"/>
      <c r="S911" s="2"/>
      <c r="T911" s="2"/>
      <c r="U911" s="2"/>
      <c r="V911" s="2"/>
      <c r="W911" s="2"/>
      <c r="X911" s="2"/>
      <c r="Y911" s="2"/>
      <c r="Z911" s="2"/>
      <c r="AA911" s="2"/>
      <c r="AB911" s="2"/>
    </row>
    <row r="912">
      <c r="A912" s="2"/>
      <c r="B912" s="21"/>
      <c r="C912" s="21"/>
      <c r="D912" s="21"/>
      <c r="E912" s="21"/>
      <c r="F912" s="2"/>
      <c r="G912" s="2"/>
      <c r="H912" s="35"/>
      <c r="I912" s="21"/>
      <c r="J912" s="21"/>
      <c r="K912" s="21"/>
      <c r="L912" s="21"/>
      <c r="M912" s="21"/>
      <c r="N912" s="21"/>
      <c r="O912" s="21"/>
      <c r="P912" s="21"/>
      <c r="Q912" s="2"/>
      <c r="R912" s="2"/>
      <c r="S912" s="2"/>
      <c r="T912" s="2"/>
      <c r="U912" s="2"/>
      <c r="V912" s="2"/>
      <c r="W912" s="2"/>
      <c r="X912" s="2"/>
      <c r="Y912" s="2"/>
      <c r="Z912" s="2"/>
      <c r="AA912" s="2"/>
      <c r="AB912" s="2"/>
    </row>
    <row r="913">
      <c r="A913" s="2"/>
      <c r="B913" s="21"/>
      <c r="C913" s="21"/>
      <c r="D913" s="21"/>
      <c r="E913" s="21"/>
      <c r="F913" s="2"/>
      <c r="G913" s="2"/>
      <c r="H913" s="35"/>
      <c r="I913" s="21"/>
      <c r="J913" s="21"/>
      <c r="K913" s="21"/>
      <c r="L913" s="21"/>
      <c r="M913" s="21"/>
      <c r="N913" s="21"/>
      <c r="O913" s="21"/>
      <c r="P913" s="21"/>
      <c r="Q913" s="2"/>
      <c r="R913" s="2"/>
      <c r="S913" s="2"/>
      <c r="T913" s="2"/>
      <c r="U913" s="2"/>
      <c r="V913" s="2"/>
      <c r="W913" s="2"/>
      <c r="X913" s="2"/>
      <c r="Y913" s="2"/>
      <c r="Z913" s="2"/>
      <c r="AA913" s="2"/>
      <c r="AB913" s="2"/>
    </row>
    <row r="914">
      <c r="A914" s="2"/>
      <c r="B914" s="21"/>
      <c r="C914" s="21"/>
      <c r="D914" s="21"/>
      <c r="E914" s="21"/>
      <c r="F914" s="2"/>
      <c r="G914" s="2"/>
      <c r="H914" s="35"/>
      <c r="I914" s="21"/>
      <c r="J914" s="21"/>
      <c r="K914" s="21"/>
      <c r="L914" s="21"/>
      <c r="M914" s="21"/>
      <c r="N914" s="21"/>
      <c r="O914" s="21"/>
      <c r="P914" s="21"/>
      <c r="Q914" s="2"/>
      <c r="R914" s="2"/>
      <c r="S914" s="2"/>
      <c r="T914" s="2"/>
      <c r="U914" s="2"/>
      <c r="V914" s="2"/>
      <c r="W914" s="2"/>
      <c r="X914" s="2"/>
      <c r="Y914" s="2"/>
      <c r="Z914" s="2"/>
      <c r="AA914" s="2"/>
      <c r="AB914" s="2"/>
    </row>
    <row r="915">
      <c r="A915" s="2"/>
      <c r="B915" s="21"/>
      <c r="C915" s="21"/>
      <c r="D915" s="21"/>
      <c r="E915" s="21"/>
      <c r="F915" s="2"/>
      <c r="G915" s="2"/>
      <c r="H915" s="35"/>
      <c r="I915" s="21"/>
      <c r="J915" s="21"/>
      <c r="K915" s="21"/>
      <c r="L915" s="21"/>
      <c r="M915" s="21"/>
      <c r="N915" s="21"/>
      <c r="O915" s="21"/>
      <c r="P915" s="21"/>
      <c r="Q915" s="2"/>
      <c r="R915" s="2"/>
      <c r="S915" s="2"/>
      <c r="T915" s="2"/>
      <c r="U915" s="2"/>
      <c r="V915" s="2"/>
      <c r="W915" s="2"/>
      <c r="X915" s="2"/>
      <c r="Y915" s="2"/>
      <c r="Z915" s="2"/>
      <c r="AA915" s="2"/>
      <c r="AB915" s="2"/>
    </row>
    <row r="916">
      <c r="A916" s="2"/>
      <c r="B916" s="21"/>
      <c r="C916" s="21"/>
      <c r="D916" s="21"/>
      <c r="E916" s="21"/>
      <c r="F916" s="2"/>
      <c r="G916" s="2"/>
      <c r="H916" s="35"/>
      <c r="I916" s="21"/>
      <c r="J916" s="21"/>
      <c r="K916" s="21"/>
      <c r="L916" s="21"/>
      <c r="M916" s="21"/>
      <c r="N916" s="21"/>
      <c r="O916" s="21"/>
      <c r="P916" s="21"/>
      <c r="Q916" s="2"/>
      <c r="R916" s="2"/>
      <c r="S916" s="2"/>
      <c r="T916" s="2"/>
      <c r="U916" s="2"/>
      <c r="V916" s="2"/>
      <c r="W916" s="2"/>
      <c r="X916" s="2"/>
      <c r="Y916" s="2"/>
      <c r="Z916" s="2"/>
      <c r="AA916" s="2"/>
      <c r="AB916" s="2"/>
    </row>
    <row r="917">
      <c r="A917" s="2"/>
      <c r="B917" s="21"/>
      <c r="C917" s="21"/>
      <c r="D917" s="21"/>
      <c r="E917" s="21"/>
      <c r="F917" s="2"/>
      <c r="G917" s="2"/>
      <c r="H917" s="35"/>
      <c r="I917" s="21"/>
      <c r="J917" s="21"/>
      <c r="K917" s="21"/>
      <c r="L917" s="21"/>
      <c r="M917" s="21"/>
      <c r="N917" s="21"/>
      <c r="O917" s="21"/>
      <c r="P917" s="21"/>
      <c r="Q917" s="2"/>
      <c r="R917" s="2"/>
      <c r="S917" s="2"/>
      <c r="T917" s="2"/>
      <c r="U917" s="2"/>
      <c r="V917" s="2"/>
      <c r="W917" s="2"/>
      <c r="X917" s="2"/>
      <c r="Y917" s="2"/>
      <c r="Z917" s="2"/>
      <c r="AA917" s="2"/>
      <c r="AB917" s="2"/>
    </row>
    <row r="918">
      <c r="A918" s="2"/>
      <c r="B918" s="21"/>
      <c r="C918" s="21"/>
      <c r="D918" s="21"/>
      <c r="E918" s="21"/>
      <c r="F918" s="2"/>
      <c r="G918" s="2"/>
      <c r="H918" s="35"/>
      <c r="I918" s="21"/>
      <c r="J918" s="21"/>
      <c r="K918" s="21"/>
      <c r="L918" s="21"/>
      <c r="M918" s="21"/>
      <c r="N918" s="21"/>
      <c r="O918" s="21"/>
      <c r="P918" s="21"/>
      <c r="Q918" s="2"/>
      <c r="R918" s="2"/>
      <c r="S918" s="2"/>
      <c r="T918" s="2"/>
      <c r="U918" s="2"/>
      <c r="V918" s="2"/>
      <c r="W918" s="2"/>
      <c r="X918" s="2"/>
      <c r="Y918" s="2"/>
      <c r="Z918" s="2"/>
      <c r="AA918" s="2"/>
      <c r="AB918" s="2"/>
    </row>
    <row r="919">
      <c r="A919" s="2"/>
      <c r="B919" s="21"/>
      <c r="C919" s="21"/>
      <c r="D919" s="21"/>
      <c r="E919" s="21"/>
      <c r="F919" s="2"/>
      <c r="G919" s="2"/>
      <c r="H919" s="35"/>
      <c r="I919" s="21"/>
      <c r="J919" s="21"/>
      <c r="K919" s="21"/>
      <c r="L919" s="21"/>
      <c r="M919" s="21"/>
      <c r="N919" s="21"/>
      <c r="O919" s="21"/>
      <c r="P919" s="21"/>
      <c r="Q919" s="2"/>
      <c r="R919" s="2"/>
      <c r="S919" s="2"/>
      <c r="T919" s="2"/>
      <c r="U919" s="2"/>
      <c r="V919" s="2"/>
      <c r="W919" s="2"/>
      <c r="X919" s="2"/>
      <c r="Y919" s="2"/>
      <c r="Z919" s="2"/>
      <c r="AA919" s="2"/>
      <c r="AB919" s="2"/>
    </row>
    <row r="920">
      <c r="A920" s="2"/>
      <c r="B920" s="21"/>
      <c r="C920" s="21"/>
      <c r="D920" s="21"/>
      <c r="E920" s="21"/>
      <c r="F920" s="2"/>
      <c r="G920" s="2"/>
      <c r="H920" s="35"/>
      <c r="I920" s="21"/>
      <c r="J920" s="21"/>
      <c r="K920" s="21"/>
      <c r="L920" s="21"/>
      <c r="M920" s="21"/>
      <c r="N920" s="21"/>
      <c r="O920" s="21"/>
      <c r="P920" s="21"/>
      <c r="Q920" s="2"/>
      <c r="R920" s="2"/>
      <c r="S920" s="2"/>
      <c r="T920" s="2"/>
      <c r="U920" s="2"/>
      <c r="V920" s="2"/>
      <c r="W920" s="2"/>
      <c r="X920" s="2"/>
      <c r="Y920" s="2"/>
      <c r="Z920" s="2"/>
      <c r="AA920" s="2"/>
      <c r="AB920" s="2"/>
    </row>
    <row r="921">
      <c r="A921" s="2"/>
      <c r="B921" s="21"/>
      <c r="C921" s="21"/>
      <c r="D921" s="21"/>
      <c r="E921" s="21"/>
      <c r="F921" s="2"/>
      <c r="G921" s="2"/>
      <c r="H921" s="35"/>
      <c r="I921" s="21"/>
      <c r="J921" s="21"/>
      <c r="K921" s="21"/>
      <c r="L921" s="21"/>
      <c r="M921" s="21"/>
      <c r="N921" s="21"/>
      <c r="O921" s="21"/>
      <c r="P921" s="21"/>
      <c r="Q921" s="2"/>
      <c r="R921" s="2"/>
      <c r="S921" s="2"/>
      <c r="T921" s="2"/>
      <c r="U921" s="2"/>
      <c r="V921" s="2"/>
      <c r="W921" s="2"/>
      <c r="X921" s="2"/>
      <c r="Y921" s="2"/>
      <c r="Z921" s="2"/>
      <c r="AA921" s="2"/>
      <c r="AB921" s="2"/>
    </row>
    <row r="922">
      <c r="A922" s="2"/>
      <c r="B922" s="21"/>
      <c r="C922" s="21"/>
      <c r="D922" s="21"/>
      <c r="E922" s="21"/>
      <c r="F922" s="2"/>
      <c r="G922" s="2"/>
      <c r="H922" s="35"/>
      <c r="I922" s="21"/>
      <c r="J922" s="21"/>
      <c r="K922" s="21"/>
      <c r="L922" s="21"/>
      <c r="M922" s="21"/>
      <c r="N922" s="21"/>
      <c r="O922" s="21"/>
      <c r="P922" s="21"/>
      <c r="Q922" s="2"/>
      <c r="R922" s="2"/>
      <c r="S922" s="2"/>
      <c r="T922" s="2"/>
      <c r="U922" s="2"/>
      <c r="V922" s="2"/>
      <c r="W922" s="2"/>
      <c r="X922" s="2"/>
      <c r="Y922" s="2"/>
      <c r="Z922" s="2"/>
      <c r="AA922" s="2"/>
      <c r="AB922" s="2"/>
    </row>
    <row r="923">
      <c r="A923" s="2"/>
      <c r="B923" s="21"/>
      <c r="C923" s="21"/>
      <c r="D923" s="21"/>
      <c r="E923" s="21"/>
      <c r="F923" s="2"/>
      <c r="G923" s="2"/>
      <c r="H923" s="35"/>
      <c r="I923" s="21"/>
      <c r="J923" s="21"/>
      <c r="K923" s="21"/>
      <c r="L923" s="21"/>
      <c r="M923" s="21"/>
      <c r="N923" s="21"/>
      <c r="O923" s="21"/>
      <c r="P923" s="21"/>
      <c r="Q923" s="2"/>
      <c r="R923" s="2"/>
      <c r="S923" s="2"/>
      <c r="T923" s="2"/>
      <c r="U923" s="2"/>
      <c r="V923" s="2"/>
      <c r="W923" s="2"/>
      <c r="X923" s="2"/>
      <c r="Y923" s="2"/>
      <c r="Z923" s="2"/>
      <c r="AA923" s="2"/>
      <c r="AB923" s="2"/>
    </row>
    <row r="924">
      <c r="A924" s="2"/>
      <c r="B924" s="21"/>
      <c r="C924" s="21"/>
      <c r="D924" s="21"/>
      <c r="E924" s="21"/>
      <c r="F924" s="2"/>
      <c r="G924" s="2"/>
      <c r="H924" s="35"/>
      <c r="I924" s="21"/>
      <c r="J924" s="21"/>
      <c r="K924" s="21"/>
      <c r="L924" s="21"/>
      <c r="M924" s="21"/>
      <c r="N924" s="21"/>
      <c r="O924" s="21"/>
      <c r="P924" s="21"/>
      <c r="Q924" s="2"/>
      <c r="R924" s="2"/>
      <c r="S924" s="2"/>
      <c r="T924" s="2"/>
      <c r="U924" s="2"/>
      <c r="V924" s="2"/>
      <c r="W924" s="2"/>
      <c r="X924" s="2"/>
      <c r="Y924" s="2"/>
      <c r="Z924" s="2"/>
      <c r="AA924" s="2"/>
      <c r="AB924" s="2"/>
    </row>
    <row r="925">
      <c r="A925" s="2"/>
      <c r="B925" s="21"/>
      <c r="C925" s="21"/>
      <c r="D925" s="21"/>
      <c r="E925" s="21"/>
      <c r="F925" s="2"/>
      <c r="G925" s="2"/>
      <c r="H925" s="35"/>
      <c r="I925" s="21"/>
      <c r="J925" s="21"/>
      <c r="K925" s="21"/>
      <c r="L925" s="21"/>
      <c r="M925" s="21"/>
      <c r="N925" s="21"/>
      <c r="O925" s="21"/>
      <c r="P925" s="21"/>
      <c r="Q925" s="2"/>
      <c r="R925" s="2"/>
      <c r="S925" s="2"/>
      <c r="T925" s="2"/>
      <c r="U925" s="2"/>
      <c r="V925" s="2"/>
      <c r="W925" s="2"/>
      <c r="X925" s="2"/>
      <c r="Y925" s="2"/>
      <c r="Z925" s="2"/>
      <c r="AA925" s="2"/>
      <c r="AB925" s="2"/>
    </row>
    <row r="926">
      <c r="A926" s="2"/>
      <c r="B926" s="21"/>
      <c r="C926" s="21"/>
      <c r="D926" s="21"/>
      <c r="E926" s="21"/>
      <c r="F926" s="2"/>
      <c r="G926" s="2"/>
      <c r="H926" s="35"/>
      <c r="I926" s="21"/>
      <c r="J926" s="21"/>
      <c r="K926" s="21"/>
      <c r="L926" s="21"/>
      <c r="M926" s="21"/>
      <c r="N926" s="21"/>
      <c r="O926" s="21"/>
      <c r="P926" s="21"/>
      <c r="Q926" s="2"/>
      <c r="R926" s="2"/>
      <c r="S926" s="2"/>
      <c r="T926" s="2"/>
      <c r="U926" s="2"/>
      <c r="V926" s="2"/>
      <c r="W926" s="2"/>
      <c r="X926" s="2"/>
      <c r="Y926" s="2"/>
      <c r="Z926" s="2"/>
      <c r="AA926" s="2"/>
      <c r="AB926" s="2"/>
    </row>
    <row r="927">
      <c r="A927" s="2"/>
      <c r="B927" s="21"/>
      <c r="C927" s="21"/>
      <c r="D927" s="21"/>
      <c r="E927" s="21"/>
      <c r="F927" s="2"/>
      <c r="G927" s="2"/>
      <c r="H927" s="35"/>
      <c r="I927" s="21"/>
      <c r="J927" s="21"/>
      <c r="K927" s="21"/>
      <c r="L927" s="21"/>
      <c r="M927" s="21"/>
      <c r="N927" s="21"/>
      <c r="O927" s="21"/>
      <c r="P927" s="21"/>
      <c r="Q927" s="2"/>
      <c r="R927" s="2"/>
      <c r="S927" s="2"/>
      <c r="T927" s="2"/>
      <c r="U927" s="2"/>
      <c r="V927" s="2"/>
      <c r="W927" s="2"/>
      <c r="X927" s="2"/>
      <c r="Y927" s="2"/>
      <c r="Z927" s="2"/>
      <c r="AA927" s="2"/>
      <c r="AB927" s="2"/>
    </row>
    <row r="928">
      <c r="A928" s="2"/>
      <c r="B928" s="21"/>
      <c r="C928" s="21"/>
      <c r="D928" s="21"/>
      <c r="E928" s="21"/>
      <c r="F928" s="2"/>
      <c r="G928" s="2"/>
      <c r="H928" s="35"/>
      <c r="I928" s="21"/>
      <c r="J928" s="21"/>
      <c r="K928" s="21"/>
      <c r="L928" s="21"/>
      <c r="M928" s="21"/>
      <c r="N928" s="21"/>
      <c r="O928" s="21"/>
      <c r="P928" s="21"/>
      <c r="Q928" s="2"/>
      <c r="R928" s="2"/>
      <c r="S928" s="2"/>
      <c r="T928" s="2"/>
      <c r="U928" s="2"/>
      <c r="V928" s="2"/>
      <c r="W928" s="2"/>
      <c r="X928" s="2"/>
      <c r="Y928" s="2"/>
      <c r="Z928" s="2"/>
      <c r="AA928" s="2"/>
      <c r="AB928" s="2"/>
    </row>
    <row r="929">
      <c r="A929" s="2"/>
      <c r="B929" s="21"/>
      <c r="C929" s="21"/>
      <c r="D929" s="21"/>
      <c r="E929" s="21"/>
      <c r="F929" s="2"/>
      <c r="G929" s="2"/>
      <c r="H929" s="35"/>
      <c r="I929" s="21"/>
      <c r="J929" s="21"/>
      <c r="K929" s="21"/>
      <c r="L929" s="21"/>
      <c r="M929" s="21"/>
      <c r="N929" s="21"/>
      <c r="O929" s="21"/>
      <c r="P929" s="21"/>
      <c r="Q929" s="2"/>
      <c r="R929" s="2"/>
      <c r="S929" s="2"/>
      <c r="T929" s="2"/>
      <c r="U929" s="2"/>
      <c r="V929" s="2"/>
      <c r="W929" s="2"/>
      <c r="X929" s="2"/>
      <c r="Y929" s="2"/>
      <c r="Z929" s="2"/>
      <c r="AA929" s="2"/>
      <c r="AB929" s="2"/>
    </row>
    <row r="930">
      <c r="A930" s="2"/>
      <c r="B930" s="21"/>
      <c r="C930" s="21"/>
      <c r="D930" s="21"/>
      <c r="E930" s="21"/>
      <c r="F930" s="2"/>
      <c r="G930" s="2"/>
      <c r="H930" s="35"/>
      <c r="I930" s="21"/>
      <c r="J930" s="21"/>
      <c r="K930" s="21"/>
      <c r="L930" s="21"/>
      <c r="M930" s="21"/>
      <c r="N930" s="21"/>
      <c r="O930" s="21"/>
      <c r="P930" s="21"/>
      <c r="Q930" s="2"/>
      <c r="R930" s="2"/>
      <c r="S930" s="2"/>
      <c r="T930" s="2"/>
      <c r="U930" s="2"/>
      <c r="V930" s="2"/>
      <c r="W930" s="2"/>
      <c r="X930" s="2"/>
      <c r="Y930" s="2"/>
      <c r="Z930" s="2"/>
      <c r="AA930" s="2"/>
      <c r="AB930" s="2"/>
    </row>
    <row r="931">
      <c r="A931" s="2"/>
      <c r="B931" s="21"/>
      <c r="C931" s="21"/>
      <c r="D931" s="21"/>
      <c r="E931" s="21"/>
      <c r="F931" s="2"/>
      <c r="G931" s="2"/>
      <c r="H931" s="35"/>
      <c r="I931" s="21"/>
      <c r="J931" s="21"/>
      <c r="K931" s="21"/>
      <c r="L931" s="21"/>
      <c r="M931" s="21"/>
      <c r="N931" s="21"/>
      <c r="O931" s="21"/>
      <c r="P931" s="21"/>
      <c r="Q931" s="2"/>
      <c r="R931" s="2"/>
      <c r="S931" s="2"/>
      <c r="T931" s="2"/>
      <c r="U931" s="2"/>
      <c r="V931" s="2"/>
      <c r="W931" s="2"/>
      <c r="X931" s="2"/>
      <c r="Y931" s="2"/>
      <c r="Z931" s="2"/>
      <c r="AA931" s="2"/>
      <c r="AB931" s="2"/>
    </row>
    <row r="932">
      <c r="A932" s="2"/>
      <c r="B932" s="21"/>
      <c r="C932" s="21"/>
      <c r="D932" s="21"/>
      <c r="E932" s="21"/>
      <c r="F932" s="2"/>
      <c r="G932" s="2"/>
      <c r="H932" s="35"/>
      <c r="I932" s="21"/>
      <c r="J932" s="21"/>
      <c r="K932" s="21"/>
      <c r="L932" s="21"/>
      <c r="M932" s="21"/>
      <c r="N932" s="21"/>
      <c r="O932" s="21"/>
      <c r="P932" s="21"/>
      <c r="Q932" s="2"/>
      <c r="R932" s="2"/>
      <c r="S932" s="2"/>
      <c r="T932" s="2"/>
      <c r="U932" s="2"/>
      <c r="V932" s="2"/>
      <c r="W932" s="2"/>
      <c r="X932" s="2"/>
      <c r="Y932" s="2"/>
      <c r="Z932" s="2"/>
      <c r="AA932" s="2"/>
      <c r="AB932" s="2"/>
    </row>
    <row r="933">
      <c r="A933" s="2"/>
      <c r="B933" s="21"/>
      <c r="C933" s="21"/>
      <c r="D933" s="21"/>
      <c r="E933" s="21"/>
      <c r="F933" s="2"/>
      <c r="G933" s="2"/>
      <c r="H933" s="35"/>
      <c r="I933" s="21"/>
      <c r="J933" s="21"/>
      <c r="K933" s="21"/>
      <c r="L933" s="21"/>
      <c r="M933" s="21"/>
      <c r="N933" s="21"/>
      <c r="O933" s="21"/>
      <c r="P933" s="21"/>
      <c r="Q933" s="2"/>
      <c r="R933" s="2"/>
      <c r="S933" s="2"/>
      <c r="T933" s="2"/>
      <c r="U933" s="2"/>
      <c r="V933" s="2"/>
      <c r="W933" s="2"/>
      <c r="X933" s="2"/>
      <c r="Y933" s="2"/>
      <c r="Z933" s="2"/>
      <c r="AA933" s="2"/>
      <c r="AB933" s="2"/>
    </row>
    <row r="934">
      <c r="A934" s="2"/>
      <c r="B934" s="21"/>
      <c r="C934" s="21"/>
      <c r="D934" s="21"/>
      <c r="E934" s="21"/>
      <c r="F934" s="2"/>
      <c r="G934" s="2"/>
      <c r="H934" s="35"/>
      <c r="I934" s="21"/>
      <c r="J934" s="21"/>
      <c r="K934" s="21"/>
      <c r="L934" s="21"/>
      <c r="M934" s="21"/>
      <c r="N934" s="21"/>
      <c r="O934" s="21"/>
      <c r="P934" s="21"/>
      <c r="Q934" s="2"/>
      <c r="R934" s="2"/>
      <c r="S934" s="2"/>
      <c r="T934" s="2"/>
      <c r="U934" s="2"/>
      <c r="V934" s="2"/>
      <c r="W934" s="2"/>
      <c r="X934" s="2"/>
      <c r="Y934" s="2"/>
      <c r="Z934" s="2"/>
      <c r="AA934" s="2"/>
      <c r="AB934" s="2"/>
    </row>
    <row r="935">
      <c r="A935" s="2"/>
      <c r="B935" s="21"/>
      <c r="C935" s="21"/>
      <c r="D935" s="21"/>
      <c r="E935" s="21"/>
      <c r="F935" s="2"/>
      <c r="G935" s="2"/>
      <c r="H935" s="35"/>
      <c r="I935" s="21"/>
      <c r="J935" s="21"/>
      <c r="K935" s="21"/>
      <c r="L935" s="21"/>
      <c r="M935" s="21"/>
      <c r="N935" s="21"/>
      <c r="O935" s="21"/>
      <c r="P935" s="21"/>
      <c r="Q935" s="2"/>
      <c r="R935" s="2"/>
      <c r="S935" s="2"/>
      <c r="T935" s="2"/>
      <c r="U935" s="2"/>
      <c r="V935" s="2"/>
      <c r="W935" s="2"/>
      <c r="X935" s="2"/>
      <c r="Y935" s="2"/>
      <c r="Z935" s="2"/>
      <c r="AA935" s="2"/>
      <c r="AB935" s="2"/>
    </row>
    <row r="936">
      <c r="A936" s="2"/>
      <c r="B936" s="21"/>
      <c r="C936" s="21"/>
      <c r="D936" s="21"/>
      <c r="E936" s="21"/>
      <c r="F936" s="2"/>
      <c r="G936" s="2"/>
      <c r="H936" s="35"/>
      <c r="I936" s="21"/>
      <c r="J936" s="21"/>
      <c r="K936" s="21"/>
      <c r="L936" s="21"/>
      <c r="M936" s="21"/>
      <c r="N936" s="21"/>
      <c r="O936" s="21"/>
      <c r="P936" s="21"/>
      <c r="Q936" s="2"/>
      <c r="R936" s="2"/>
      <c r="S936" s="2"/>
      <c r="T936" s="2"/>
      <c r="U936" s="2"/>
      <c r="V936" s="2"/>
      <c r="W936" s="2"/>
      <c r="X936" s="2"/>
      <c r="Y936" s="2"/>
      <c r="Z936" s="2"/>
      <c r="AA936" s="2"/>
      <c r="AB936" s="2"/>
    </row>
    <row r="937">
      <c r="A937" s="2"/>
      <c r="B937" s="21"/>
      <c r="C937" s="21"/>
      <c r="D937" s="21"/>
      <c r="E937" s="21"/>
      <c r="F937" s="2"/>
      <c r="G937" s="2"/>
      <c r="H937" s="35"/>
      <c r="I937" s="21"/>
      <c r="J937" s="21"/>
      <c r="K937" s="21"/>
      <c r="L937" s="21"/>
      <c r="M937" s="21"/>
      <c r="N937" s="21"/>
      <c r="O937" s="21"/>
      <c r="P937" s="21"/>
      <c r="Q937" s="2"/>
      <c r="R937" s="2"/>
      <c r="S937" s="2"/>
      <c r="T937" s="2"/>
      <c r="U937" s="2"/>
      <c r="V937" s="2"/>
      <c r="W937" s="2"/>
      <c r="X937" s="2"/>
      <c r="Y937" s="2"/>
      <c r="Z937" s="2"/>
      <c r="AA937" s="2"/>
      <c r="AB937" s="2"/>
    </row>
    <row r="938">
      <c r="A938" s="2"/>
      <c r="B938" s="21"/>
      <c r="C938" s="21"/>
      <c r="D938" s="21"/>
      <c r="E938" s="21"/>
      <c r="F938" s="2"/>
      <c r="G938" s="2"/>
      <c r="H938" s="35"/>
      <c r="I938" s="21"/>
      <c r="J938" s="21"/>
      <c r="K938" s="21"/>
      <c r="L938" s="21"/>
      <c r="M938" s="21"/>
      <c r="N938" s="21"/>
      <c r="O938" s="21"/>
      <c r="P938" s="21"/>
      <c r="Q938" s="2"/>
      <c r="R938" s="2"/>
      <c r="S938" s="2"/>
      <c r="T938" s="2"/>
      <c r="U938" s="2"/>
      <c r="V938" s="2"/>
      <c r="W938" s="2"/>
      <c r="X938" s="2"/>
      <c r="Y938" s="2"/>
      <c r="Z938" s="2"/>
      <c r="AA938" s="2"/>
      <c r="AB938" s="2"/>
    </row>
    <row r="939">
      <c r="A939" s="2"/>
      <c r="B939" s="21"/>
      <c r="C939" s="21"/>
      <c r="D939" s="21"/>
      <c r="E939" s="21"/>
      <c r="F939" s="2"/>
      <c r="G939" s="2"/>
      <c r="H939" s="35"/>
      <c r="I939" s="21"/>
      <c r="J939" s="21"/>
      <c r="K939" s="21"/>
      <c r="L939" s="21"/>
      <c r="M939" s="21"/>
      <c r="N939" s="21"/>
      <c r="O939" s="21"/>
      <c r="P939" s="21"/>
      <c r="Q939" s="2"/>
      <c r="R939" s="2"/>
      <c r="S939" s="2"/>
      <c r="T939" s="2"/>
      <c r="U939" s="2"/>
      <c r="V939" s="2"/>
      <c r="W939" s="2"/>
      <c r="X939" s="2"/>
      <c r="Y939" s="2"/>
      <c r="Z939" s="2"/>
      <c r="AA939" s="2"/>
      <c r="AB939" s="2"/>
    </row>
    <row r="940">
      <c r="A940" s="2"/>
      <c r="B940" s="21"/>
      <c r="C940" s="21"/>
      <c r="D940" s="21"/>
      <c r="E940" s="21"/>
      <c r="F940" s="2"/>
      <c r="G940" s="2"/>
      <c r="H940" s="35"/>
      <c r="I940" s="21"/>
      <c r="J940" s="21"/>
      <c r="K940" s="21"/>
      <c r="L940" s="21"/>
      <c r="M940" s="21"/>
      <c r="N940" s="21"/>
      <c r="O940" s="21"/>
      <c r="P940" s="21"/>
      <c r="Q940" s="2"/>
      <c r="R940" s="2"/>
      <c r="S940" s="2"/>
      <c r="T940" s="2"/>
      <c r="U940" s="2"/>
      <c r="V940" s="2"/>
      <c r="W940" s="2"/>
      <c r="X940" s="2"/>
      <c r="Y940" s="2"/>
      <c r="Z940" s="2"/>
      <c r="AA940" s="2"/>
      <c r="AB940" s="2"/>
    </row>
    <row r="941">
      <c r="A941" s="2"/>
      <c r="B941" s="21"/>
      <c r="C941" s="21"/>
      <c r="D941" s="21"/>
      <c r="E941" s="21"/>
      <c r="F941" s="2"/>
      <c r="G941" s="2"/>
      <c r="H941" s="35"/>
      <c r="I941" s="21"/>
      <c r="J941" s="21"/>
      <c r="K941" s="21"/>
      <c r="L941" s="21"/>
      <c r="M941" s="21"/>
      <c r="N941" s="21"/>
      <c r="O941" s="21"/>
      <c r="P941" s="21"/>
      <c r="Q941" s="2"/>
      <c r="R941" s="2"/>
      <c r="S941" s="2"/>
      <c r="T941" s="2"/>
      <c r="U941" s="2"/>
      <c r="V941" s="2"/>
      <c r="W941" s="2"/>
      <c r="X941" s="2"/>
      <c r="Y941" s="2"/>
      <c r="Z941" s="2"/>
      <c r="AA941" s="2"/>
      <c r="AB941" s="2"/>
    </row>
    <row r="942">
      <c r="A942" s="2"/>
      <c r="B942" s="21"/>
      <c r="C942" s="21"/>
      <c r="D942" s="21"/>
      <c r="E942" s="21"/>
      <c r="F942" s="2"/>
      <c r="G942" s="2"/>
      <c r="H942" s="35"/>
      <c r="I942" s="21"/>
      <c r="J942" s="21"/>
      <c r="K942" s="21"/>
      <c r="L942" s="21"/>
      <c r="M942" s="21"/>
      <c r="N942" s="21"/>
      <c r="O942" s="21"/>
      <c r="P942" s="21"/>
      <c r="Q942" s="2"/>
      <c r="R942" s="2"/>
      <c r="S942" s="2"/>
      <c r="T942" s="2"/>
      <c r="U942" s="2"/>
      <c r="V942" s="2"/>
      <c r="W942" s="2"/>
      <c r="X942" s="2"/>
      <c r="Y942" s="2"/>
      <c r="Z942" s="2"/>
      <c r="AA942" s="2"/>
      <c r="AB942" s="2"/>
    </row>
    <row r="943">
      <c r="A943" s="2"/>
      <c r="B943" s="21"/>
      <c r="C943" s="21"/>
      <c r="D943" s="21"/>
      <c r="E943" s="21"/>
      <c r="F943" s="2"/>
      <c r="G943" s="2"/>
      <c r="H943" s="35"/>
      <c r="I943" s="21"/>
      <c r="J943" s="21"/>
      <c r="K943" s="21"/>
      <c r="L943" s="21"/>
      <c r="M943" s="21"/>
      <c r="N943" s="21"/>
      <c r="O943" s="21"/>
      <c r="P943" s="21"/>
      <c r="Q943" s="2"/>
      <c r="R943" s="2"/>
      <c r="S943" s="2"/>
      <c r="T943" s="2"/>
      <c r="U943" s="2"/>
      <c r="V943" s="2"/>
      <c r="W943" s="2"/>
      <c r="X943" s="2"/>
      <c r="Y943" s="2"/>
      <c r="Z943" s="2"/>
      <c r="AA943" s="2"/>
      <c r="AB943" s="2"/>
    </row>
    <row r="944">
      <c r="A944" s="2"/>
      <c r="B944" s="21"/>
      <c r="C944" s="21"/>
      <c r="D944" s="21"/>
      <c r="E944" s="21"/>
      <c r="F944" s="2"/>
      <c r="G944" s="2"/>
      <c r="H944" s="35"/>
      <c r="I944" s="21"/>
      <c r="J944" s="21"/>
      <c r="K944" s="21"/>
      <c r="L944" s="21"/>
      <c r="M944" s="21"/>
      <c r="N944" s="21"/>
      <c r="O944" s="21"/>
      <c r="P944" s="21"/>
      <c r="Q944" s="2"/>
      <c r="R944" s="2"/>
      <c r="S944" s="2"/>
      <c r="T944" s="2"/>
      <c r="U944" s="2"/>
      <c r="V944" s="2"/>
      <c r="W944" s="2"/>
      <c r="X944" s="2"/>
      <c r="Y944" s="2"/>
      <c r="Z944" s="2"/>
      <c r="AA944" s="2"/>
      <c r="AB944" s="2"/>
    </row>
    <row r="945">
      <c r="A945" s="2"/>
      <c r="B945" s="21"/>
      <c r="C945" s="21"/>
      <c r="D945" s="21"/>
      <c r="E945" s="21"/>
      <c r="F945" s="2"/>
      <c r="G945" s="2"/>
      <c r="H945" s="35"/>
      <c r="I945" s="21"/>
      <c r="J945" s="21"/>
      <c r="K945" s="21"/>
      <c r="L945" s="21"/>
      <c r="M945" s="21"/>
      <c r="N945" s="21"/>
      <c r="O945" s="21"/>
      <c r="P945" s="21"/>
      <c r="Q945" s="2"/>
      <c r="R945" s="2"/>
      <c r="S945" s="2"/>
      <c r="T945" s="2"/>
      <c r="U945" s="2"/>
      <c r="V945" s="2"/>
      <c r="W945" s="2"/>
      <c r="X945" s="2"/>
      <c r="Y945" s="2"/>
      <c r="Z945" s="2"/>
      <c r="AA945" s="2"/>
      <c r="AB945" s="2"/>
    </row>
    <row r="946">
      <c r="A946" s="2"/>
      <c r="B946" s="21"/>
      <c r="C946" s="21"/>
      <c r="D946" s="21"/>
      <c r="E946" s="21"/>
      <c r="F946" s="2"/>
      <c r="G946" s="2"/>
      <c r="H946" s="35"/>
      <c r="I946" s="21"/>
      <c r="J946" s="21"/>
      <c r="K946" s="21"/>
      <c r="L946" s="21"/>
      <c r="M946" s="21"/>
      <c r="N946" s="21"/>
      <c r="O946" s="21"/>
      <c r="P946" s="21"/>
      <c r="Q946" s="2"/>
      <c r="R946" s="2"/>
      <c r="S946" s="2"/>
      <c r="T946" s="2"/>
      <c r="U946" s="2"/>
      <c r="V946" s="2"/>
      <c r="W946" s="2"/>
      <c r="X946" s="2"/>
      <c r="Y946" s="2"/>
      <c r="Z946" s="2"/>
      <c r="AA946" s="2"/>
      <c r="AB946" s="2"/>
    </row>
    <row r="947">
      <c r="A947" s="2"/>
      <c r="B947" s="21"/>
      <c r="C947" s="21"/>
      <c r="D947" s="21"/>
      <c r="E947" s="21"/>
      <c r="F947" s="2"/>
      <c r="G947" s="2"/>
      <c r="H947" s="35"/>
      <c r="I947" s="21"/>
      <c r="J947" s="21"/>
      <c r="K947" s="21"/>
      <c r="L947" s="21"/>
      <c r="M947" s="21"/>
      <c r="N947" s="21"/>
      <c r="O947" s="21"/>
      <c r="P947" s="21"/>
      <c r="Q947" s="2"/>
      <c r="R947" s="2"/>
      <c r="S947" s="2"/>
      <c r="T947" s="2"/>
      <c r="U947" s="2"/>
      <c r="V947" s="2"/>
      <c r="W947" s="2"/>
      <c r="X947" s="2"/>
      <c r="Y947" s="2"/>
      <c r="Z947" s="2"/>
      <c r="AA947" s="2"/>
      <c r="AB947" s="2"/>
    </row>
    <row r="948">
      <c r="A948" s="2"/>
      <c r="B948" s="21"/>
      <c r="C948" s="21"/>
      <c r="D948" s="21"/>
      <c r="E948" s="21"/>
      <c r="F948" s="2"/>
      <c r="G948" s="2"/>
      <c r="H948" s="35"/>
      <c r="I948" s="21"/>
      <c r="J948" s="21"/>
      <c r="K948" s="21"/>
      <c r="L948" s="21"/>
      <c r="M948" s="21"/>
      <c r="N948" s="21"/>
      <c r="O948" s="21"/>
      <c r="P948" s="21"/>
      <c r="Q948" s="2"/>
      <c r="R948" s="2"/>
      <c r="S948" s="2"/>
      <c r="T948" s="2"/>
      <c r="U948" s="2"/>
      <c r="V948" s="2"/>
      <c r="W948" s="2"/>
      <c r="X948" s="2"/>
      <c r="Y948" s="2"/>
      <c r="Z948" s="2"/>
      <c r="AA948" s="2"/>
      <c r="AB948" s="2"/>
    </row>
    <row r="949">
      <c r="A949" s="2"/>
      <c r="B949" s="21"/>
      <c r="C949" s="21"/>
      <c r="D949" s="21"/>
      <c r="E949" s="21"/>
      <c r="F949" s="2"/>
      <c r="G949" s="2"/>
      <c r="H949" s="35"/>
      <c r="I949" s="21"/>
      <c r="J949" s="21"/>
      <c r="K949" s="21"/>
      <c r="L949" s="21"/>
      <c r="M949" s="21"/>
      <c r="N949" s="21"/>
      <c r="O949" s="21"/>
      <c r="P949" s="21"/>
      <c r="Q949" s="2"/>
      <c r="R949" s="2"/>
      <c r="S949" s="2"/>
      <c r="T949" s="2"/>
      <c r="U949" s="2"/>
      <c r="V949" s="2"/>
      <c r="W949" s="2"/>
      <c r="X949" s="2"/>
      <c r="Y949" s="2"/>
      <c r="Z949" s="2"/>
      <c r="AA949" s="2"/>
      <c r="AB949" s="2"/>
    </row>
    <row r="950">
      <c r="A950" s="2"/>
      <c r="B950" s="21"/>
      <c r="C950" s="21"/>
      <c r="D950" s="21"/>
      <c r="E950" s="21"/>
      <c r="F950" s="2"/>
      <c r="G950" s="2"/>
      <c r="H950" s="35"/>
      <c r="I950" s="21"/>
      <c r="J950" s="21"/>
      <c r="K950" s="21"/>
      <c r="L950" s="21"/>
      <c r="M950" s="21"/>
      <c r="N950" s="21"/>
      <c r="O950" s="21"/>
      <c r="P950" s="21"/>
      <c r="Q950" s="2"/>
      <c r="R950" s="2"/>
      <c r="S950" s="2"/>
      <c r="T950" s="2"/>
      <c r="U950" s="2"/>
      <c r="V950" s="2"/>
      <c r="W950" s="2"/>
      <c r="X950" s="2"/>
      <c r="Y950" s="2"/>
      <c r="Z950" s="2"/>
      <c r="AA950" s="2"/>
      <c r="AB950" s="2"/>
    </row>
    <row r="951">
      <c r="A951" s="2"/>
      <c r="B951" s="21"/>
      <c r="C951" s="21"/>
      <c r="D951" s="21"/>
      <c r="E951" s="21"/>
      <c r="F951" s="2"/>
      <c r="G951" s="2"/>
      <c r="H951" s="35"/>
      <c r="I951" s="21"/>
      <c r="J951" s="21"/>
      <c r="K951" s="21"/>
      <c r="L951" s="21"/>
      <c r="M951" s="21"/>
      <c r="N951" s="21"/>
      <c r="O951" s="21"/>
      <c r="P951" s="21"/>
      <c r="Q951" s="2"/>
      <c r="R951" s="2"/>
      <c r="S951" s="2"/>
      <c r="T951" s="2"/>
      <c r="U951" s="2"/>
      <c r="V951" s="2"/>
      <c r="W951" s="2"/>
      <c r="X951" s="2"/>
      <c r="Y951" s="2"/>
      <c r="Z951" s="2"/>
      <c r="AA951" s="2"/>
      <c r="AB951" s="2"/>
    </row>
    <row r="952">
      <c r="A952" s="2"/>
      <c r="B952" s="21"/>
      <c r="C952" s="21"/>
      <c r="D952" s="21"/>
      <c r="E952" s="21"/>
      <c r="F952" s="2"/>
      <c r="G952" s="2"/>
      <c r="H952" s="35"/>
      <c r="I952" s="21"/>
      <c r="J952" s="21"/>
      <c r="K952" s="21"/>
      <c r="L952" s="21"/>
      <c r="M952" s="21"/>
      <c r="N952" s="21"/>
      <c r="O952" s="21"/>
      <c r="P952" s="21"/>
      <c r="Q952" s="2"/>
      <c r="R952" s="2"/>
      <c r="S952" s="2"/>
      <c r="T952" s="2"/>
      <c r="U952" s="2"/>
      <c r="V952" s="2"/>
      <c r="W952" s="2"/>
      <c r="X952" s="2"/>
      <c r="Y952" s="2"/>
      <c r="Z952" s="2"/>
      <c r="AA952" s="2"/>
      <c r="AB952" s="2"/>
    </row>
    <row r="953">
      <c r="A953" s="2"/>
      <c r="B953" s="21"/>
      <c r="C953" s="21"/>
      <c r="D953" s="21"/>
      <c r="E953" s="21"/>
      <c r="F953" s="2"/>
      <c r="G953" s="2"/>
      <c r="H953" s="35"/>
      <c r="I953" s="21"/>
      <c r="J953" s="21"/>
      <c r="K953" s="21"/>
      <c r="L953" s="21"/>
      <c r="M953" s="21"/>
      <c r="N953" s="21"/>
      <c r="O953" s="21"/>
      <c r="P953" s="21"/>
      <c r="Q953" s="2"/>
      <c r="R953" s="2"/>
      <c r="S953" s="2"/>
      <c r="T953" s="2"/>
      <c r="U953" s="2"/>
      <c r="V953" s="2"/>
      <c r="W953" s="2"/>
      <c r="X953" s="2"/>
      <c r="Y953" s="2"/>
      <c r="Z953" s="2"/>
      <c r="AA953" s="2"/>
      <c r="AB953" s="2"/>
    </row>
    <row r="954">
      <c r="A954" s="2"/>
      <c r="B954" s="21"/>
      <c r="C954" s="21"/>
      <c r="D954" s="21"/>
      <c r="E954" s="21"/>
      <c r="F954" s="2"/>
      <c r="G954" s="2"/>
      <c r="H954" s="35"/>
      <c r="I954" s="21"/>
      <c r="J954" s="21"/>
      <c r="K954" s="21"/>
      <c r="L954" s="21"/>
      <c r="M954" s="21"/>
      <c r="N954" s="21"/>
      <c r="O954" s="21"/>
      <c r="P954" s="21"/>
      <c r="Q954" s="2"/>
      <c r="R954" s="2"/>
      <c r="S954" s="2"/>
      <c r="T954" s="2"/>
      <c r="U954" s="2"/>
      <c r="V954" s="2"/>
      <c r="W954" s="2"/>
      <c r="X954" s="2"/>
      <c r="Y954" s="2"/>
      <c r="Z954" s="2"/>
      <c r="AA954" s="2"/>
      <c r="AB954" s="2"/>
    </row>
    <row r="955">
      <c r="A955" s="2"/>
      <c r="B955" s="21"/>
      <c r="C955" s="21"/>
      <c r="D955" s="21"/>
      <c r="E955" s="21"/>
      <c r="F955" s="2"/>
      <c r="G955" s="2"/>
      <c r="H955" s="35"/>
      <c r="I955" s="21"/>
      <c r="J955" s="21"/>
      <c r="K955" s="21"/>
      <c r="L955" s="21"/>
      <c r="M955" s="21"/>
      <c r="N955" s="21"/>
      <c r="O955" s="21"/>
      <c r="P955" s="21"/>
      <c r="Q955" s="2"/>
      <c r="R955" s="2"/>
      <c r="S955" s="2"/>
      <c r="T955" s="2"/>
      <c r="U955" s="2"/>
      <c r="V955" s="2"/>
      <c r="W955" s="2"/>
      <c r="X955" s="2"/>
      <c r="Y955" s="2"/>
      <c r="Z955" s="2"/>
      <c r="AA955" s="2"/>
      <c r="AB955" s="2"/>
    </row>
    <row r="956">
      <c r="A956" s="2"/>
      <c r="B956" s="21"/>
      <c r="C956" s="21"/>
      <c r="D956" s="21"/>
      <c r="E956" s="21"/>
      <c r="F956" s="2"/>
      <c r="G956" s="2"/>
      <c r="H956" s="35"/>
      <c r="I956" s="21"/>
      <c r="J956" s="21"/>
      <c r="K956" s="21"/>
      <c r="L956" s="21"/>
      <c r="M956" s="21"/>
      <c r="N956" s="21"/>
      <c r="O956" s="21"/>
      <c r="P956" s="21"/>
      <c r="Q956" s="2"/>
      <c r="R956" s="2"/>
      <c r="S956" s="2"/>
      <c r="T956" s="2"/>
      <c r="U956" s="2"/>
      <c r="V956" s="2"/>
      <c r="W956" s="2"/>
      <c r="X956" s="2"/>
      <c r="Y956" s="2"/>
      <c r="Z956" s="2"/>
      <c r="AA956" s="2"/>
      <c r="AB956" s="2"/>
    </row>
    <row r="957">
      <c r="A957" s="2"/>
      <c r="B957" s="21"/>
      <c r="C957" s="21"/>
      <c r="D957" s="21"/>
      <c r="E957" s="21"/>
      <c r="F957" s="2"/>
      <c r="G957" s="2"/>
      <c r="H957" s="35"/>
      <c r="I957" s="21"/>
      <c r="J957" s="21"/>
      <c r="K957" s="21"/>
      <c r="L957" s="21"/>
      <c r="M957" s="21"/>
      <c r="N957" s="21"/>
      <c r="O957" s="21"/>
      <c r="P957" s="21"/>
      <c r="Q957" s="2"/>
      <c r="R957" s="2"/>
      <c r="S957" s="2"/>
      <c r="T957" s="2"/>
      <c r="U957" s="2"/>
      <c r="V957" s="2"/>
      <c r="W957" s="2"/>
      <c r="X957" s="2"/>
      <c r="Y957" s="2"/>
      <c r="Z957" s="2"/>
      <c r="AA957" s="2"/>
      <c r="AB957" s="2"/>
    </row>
    <row r="958">
      <c r="A958" s="2"/>
      <c r="B958" s="21"/>
      <c r="C958" s="21"/>
      <c r="D958" s="21"/>
      <c r="E958" s="21"/>
      <c r="F958" s="2"/>
      <c r="G958" s="2"/>
      <c r="H958" s="35"/>
      <c r="I958" s="21"/>
      <c r="J958" s="21"/>
      <c r="K958" s="21"/>
      <c r="L958" s="21"/>
      <c r="M958" s="21"/>
      <c r="N958" s="21"/>
      <c r="O958" s="21"/>
      <c r="P958" s="21"/>
      <c r="Q958" s="2"/>
      <c r="R958" s="2"/>
      <c r="S958" s="2"/>
      <c r="T958" s="2"/>
      <c r="U958" s="2"/>
      <c r="V958" s="2"/>
      <c r="W958" s="2"/>
      <c r="X958" s="2"/>
      <c r="Y958" s="2"/>
      <c r="Z958" s="2"/>
      <c r="AA958" s="2"/>
      <c r="AB958" s="2"/>
    </row>
    <row r="959">
      <c r="A959" s="2"/>
      <c r="B959" s="21"/>
      <c r="C959" s="21"/>
      <c r="D959" s="21"/>
      <c r="E959" s="21"/>
      <c r="F959" s="2"/>
      <c r="G959" s="2"/>
      <c r="H959" s="35"/>
      <c r="I959" s="21"/>
      <c r="J959" s="21"/>
      <c r="K959" s="21"/>
      <c r="L959" s="21"/>
      <c r="M959" s="21"/>
      <c r="N959" s="21"/>
      <c r="O959" s="21"/>
      <c r="P959" s="21"/>
      <c r="Q959" s="2"/>
      <c r="R959" s="2"/>
      <c r="S959" s="2"/>
      <c r="T959" s="2"/>
      <c r="U959" s="2"/>
      <c r="V959" s="2"/>
      <c r="W959" s="2"/>
      <c r="X959" s="2"/>
      <c r="Y959" s="2"/>
      <c r="Z959" s="2"/>
      <c r="AA959" s="2"/>
      <c r="AB959" s="2"/>
    </row>
    <row r="960">
      <c r="A960" s="2"/>
      <c r="B960" s="21"/>
      <c r="C960" s="21"/>
      <c r="D960" s="21"/>
      <c r="E960" s="21"/>
      <c r="F960" s="2"/>
      <c r="G960" s="2"/>
      <c r="H960" s="35"/>
      <c r="I960" s="21"/>
      <c r="J960" s="21"/>
      <c r="K960" s="21"/>
      <c r="L960" s="21"/>
      <c r="M960" s="21"/>
      <c r="N960" s="21"/>
      <c r="O960" s="21"/>
      <c r="P960" s="21"/>
      <c r="Q960" s="2"/>
      <c r="R960" s="2"/>
      <c r="S960" s="2"/>
      <c r="T960" s="2"/>
      <c r="U960" s="2"/>
      <c r="V960" s="2"/>
      <c r="W960" s="2"/>
      <c r="X960" s="2"/>
      <c r="Y960" s="2"/>
      <c r="Z960" s="2"/>
      <c r="AA960" s="2"/>
      <c r="AB960" s="2"/>
    </row>
    <row r="961">
      <c r="A961" s="2"/>
      <c r="B961" s="21"/>
      <c r="C961" s="21"/>
      <c r="D961" s="21"/>
      <c r="E961" s="21"/>
      <c r="F961" s="2"/>
      <c r="G961" s="2"/>
      <c r="H961" s="35"/>
      <c r="I961" s="21"/>
      <c r="J961" s="21"/>
      <c r="K961" s="21"/>
      <c r="L961" s="21"/>
      <c r="M961" s="21"/>
      <c r="N961" s="21"/>
      <c r="O961" s="21"/>
      <c r="P961" s="21"/>
      <c r="Q961" s="2"/>
      <c r="R961" s="2"/>
      <c r="S961" s="2"/>
      <c r="T961" s="2"/>
      <c r="U961" s="2"/>
      <c r="V961" s="2"/>
      <c r="W961" s="2"/>
      <c r="X961" s="2"/>
      <c r="Y961" s="2"/>
      <c r="Z961" s="2"/>
      <c r="AA961" s="2"/>
      <c r="AB961" s="2"/>
    </row>
    <row r="962">
      <c r="A962" s="2"/>
      <c r="B962" s="21"/>
      <c r="C962" s="21"/>
      <c r="D962" s="21"/>
      <c r="E962" s="21"/>
      <c r="F962" s="2"/>
      <c r="G962" s="2"/>
      <c r="H962" s="35"/>
      <c r="I962" s="21"/>
      <c r="J962" s="21"/>
      <c r="K962" s="21"/>
      <c r="L962" s="21"/>
      <c r="M962" s="21"/>
      <c r="N962" s="21"/>
      <c r="O962" s="21"/>
      <c r="P962" s="21"/>
      <c r="Q962" s="2"/>
      <c r="R962" s="2"/>
      <c r="S962" s="2"/>
      <c r="T962" s="2"/>
      <c r="U962" s="2"/>
      <c r="V962" s="2"/>
      <c r="W962" s="2"/>
      <c r="X962" s="2"/>
      <c r="Y962" s="2"/>
      <c r="Z962" s="2"/>
      <c r="AA962" s="2"/>
      <c r="AB962" s="2"/>
    </row>
    <row r="963">
      <c r="A963" s="2"/>
      <c r="B963" s="21"/>
      <c r="C963" s="21"/>
      <c r="D963" s="21"/>
      <c r="E963" s="21"/>
      <c r="F963" s="2"/>
      <c r="G963" s="2"/>
      <c r="H963" s="35"/>
      <c r="I963" s="21"/>
      <c r="J963" s="21"/>
      <c r="K963" s="21"/>
      <c r="L963" s="21"/>
      <c r="M963" s="21"/>
      <c r="N963" s="21"/>
      <c r="O963" s="21"/>
      <c r="P963" s="21"/>
      <c r="Q963" s="2"/>
      <c r="R963" s="2"/>
      <c r="S963" s="2"/>
      <c r="T963" s="2"/>
      <c r="U963" s="2"/>
      <c r="V963" s="2"/>
      <c r="W963" s="2"/>
      <c r="X963" s="2"/>
      <c r="Y963" s="2"/>
      <c r="Z963" s="2"/>
      <c r="AA963" s="2"/>
      <c r="AB963" s="2"/>
    </row>
    <row r="964">
      <c r="A964" s="2"/>
      <c r="B964" s="21"/>
      <c r="C964" s="21"/>
      <c r="D964" s="21"/>
      <c r="E964" s="21"/>
      <c r="F964" s="2"/>
      <c r="G964" s="2"/>
      <c r="H964" s="35"/>
      <c r="I964" s="21"/>
      <c r="J964" s="21"/>
      <c r="K964" s="21"/>
      <c r="L964" s="21"/>
      <c r="M964" s="21"/>
      <c r="N964" s="21"/>
      <c r="O964" s="21"/>
      <c r="P964" s="21"/>
      <c r="Q964" s="2"/>
      <c r="R964" s="2"/>
      <c r="S964" s="2"/>
      <c r="T964" s="2"/>
      <c r="U964" s="2"/>
      <c r="V964" s="2"/>
      <c r="W964" s="2"/>
      <c r="X964" s="2"/>
      <c r="Y964" s="2"/>
      <c r="Z964" s="2"/>
      <c r="AA964" s="2"/>
      <c r="AB964" s="2"/>
    </row>
    <row r="965">
      <c r="A965" s="2"/>
      <c r="B965" s="21"/>
      <c r="C965" s="21"/>
      <c r="D965" s="21"/>
      <c r="E965" s="21"/>
      <c r="F965" s="2"/>
      <c r="G965" s="2"/>
      <c r="H965" s="35"/>
      <c r="I965" s="21"/>
      <c r="J965" s="21"/>
      <c r="K965" s="21"/>
      <c r="L965" s="21"/>
      <c r="M965" s="21"/>
      <c r="N965" s="21"/>
      <c r="O965" s="21"/>
      <c r="P965" s="21"/>
      <c r="Q965" s="2"/>
      <c r="R965" s="2"/>
      <c r="S965" s="2"/>
      <c r="T965" s="2"/>
      <c r="U965" s="2"/>
      <c r="V965" s="2"/>
      <c r="W965" s="2"/>
      <c r="X965" s="2"/>
      <c r="Y965" s="2"/>
      <c r="Z965" s="2"/>
      <c r="AA965" s="2"/>
      <c r="AB965" s="2"/>
    </row>
    <row r="966">
      <c r="A966" s="2"/>
      <c r="B966" s="21"/>
      <c r="C966" s="21"/>
      <c r="D966" s="21"/>
      <c r="E966" s="21"/>
      <c r="F966" s="2"/>
      <c r="G966" s="2"/>
      <c r="H966" s="35"/>
      <c r="I966" s="21"/>
      <c r="J966" s="21"/>
      <c r="K966" s="21"/>
      <c r="L966" s="21"/>
      <c r="M966" s="21"/>
      <c r="N966" s="21"/>
      <c r="O966" s="21"/>
      <c r="P966" s="21"/>
      <c r="Q966" s="2"/>
      <c r="R966" s="2"/>
      <c r="S966" s="2"/>
      <c r="T966" s="2"/>
      <c r="U966" s="2"/>
      <c r="V966" s="2"/>
      <c r="W966" s="2"/>
      <c r="X966" s="2"/>
      <c r="Y966" s="2"/>
      <c r="Z966" s="2"/>
      <c r="AA966" s="2"/>
      <c r="AB966" s="2"/>
    </row>
    <row r="967">
      <c r="A967" s="2"/>
      <c r="B967" s="21"/>
      <c r="C967" s="21"/>
      <c r="D967" s="21"/>
      <c r="E967" s="21"/>
      <c r="F967" s="2"/>
      <c r="G967" s="2"/>
      <c r="H967" s="35"/>
      <c r="I967" s="21"/>
      <c r="J967" s="21"/>
      <c r="K967" s="21"/>
      <c r="L967" s="21"/>
      <c r="M967" s="21"/>
      <c r="N967" s="21"/>
      <c r="O967" s="21"/>
      <c r="P967" s="21"/>
      <c r="Q967" s="2"/>
      <c r="R967" s="2"/>
      <c r="S967" s="2"/>
      <c r="T967" s="2"/>
      <c r="U967" s="2"/>
      <c r="V967" s="2"/>
      <c r="W967" s="2"/>
      <c r="X967" s="2"/>
      <c r="Y967" s="2"/>
      <c r="Z967" s="2"/>
      <c r="AA967" s="2"/>
      <c r="AB967" s="2"/>
    </row>
    <row r="968">
      <c r="A968" s="2"/>
      <c r="B968" s="21"/>
      <c r="C968" s="21"/>
      <c r="D968" s="21"/>
      <c r="E968" s="21"/>
      <c r="F968" s="2"/>
      <c r="G968" s="2"/>
      <c r="H968" s="35"/>
      <c r="I968" s="21"/>
      <c r="J968" s="21"/>
      <c r="K968" s="21"/>
      <c r="L968" s="21"/>
      <c r="M968" s="21"/>
      <c r="N968" s="21"/>
      <c r="O968" s="21"/>
      <c r="P968" s="21"/>
      <c r="Q968" s="2"/>
      <c r="R968" s="2"/>
      <c r="S968" s="2"/>
      <c r="T968" s="2"/>
      <c r="U968" s="2"/>
      <c r="V968" s="2"/>
      <c r="W968" s="2"/>
      <c r="X968" s="2"/>
      <c r="Y968" s="2"/>
      <c r="Z968" s="2"/>
      <c r="AA968" s="2"/>
      <c r="AB968" s="2"/>
    </row>
    <row r="969">
      <c r="A969" s="2"/>
      <c r="B969" s="21"/>
      <c r="C969" s="21"/>
      <c r="D969" s="21"/>
      <c r="E969" s="21"/>
      <c r="F969" s="2"/>
      <c r="G969" s="2"/>
      <c r="H969" s="35"/>
      <c r="I969" s="21"/>
      <c r="J969" s="21"/>
      <c r="K969" s="21"/>
      <c r="L969" s="21"/>
      <c r="M969" s="21"/>
      <c r="N969" s="21"/>
      <c r="O969" s="21"/>
      <c r="P969" s="21"/>
      <c r="Q969" s="2"/>
      <c r="R969" s="2"/>
      <c r="S969" s="2"/>
      <c r="T969" s="2"/>
      <c r="U969" s="2"/>
      <c r="V969" s="2"/>
      <c r="W969" s="2"/>
      <c r="X969" s="2"/>
      <c r="Y969" s="2"/>
      <c r="Z969" s="2"/>
      <c r="AA969" s="2"/>
      <c r="AB969" s="2"/>
    </row>
    <row r="970">
      <c r="A970" s="2"/>
      <c r="B970" s="21"/>
      <c r="C970" s="21"/>
      <c r="D970" s="21"/>
      <c r="E970" s="21"/>
      <c r="F970" s="2"/>
      <c r="G970" s="2"/>
      <c r="H970" s="35"/>
      <c r="I970" s="21"/>
      <c r="J970" s="21"/>
      <c r="K970" s="21"/>
      <c r="L970" s="21"/>
      <c r="M970" s="21"/>
      <c r="N970" s="21"/>
      <c r="O970" s="21"/>
      <c r="P970" s="21"/>
      <c r="Q970" s="2"/>
      <c r="R970" s="2"/>
      <c r="S970" s="2"/>
      <c r="T970" s="2"/>
      <c r="U970" s="2"/>
      <c r="V970" s="2"/>
      <c r="W970" s="2"/>
      <c r="X970" s="2"/>
      <c r="Y970" s="2"/>
      <c r="Z970" s="2"/>
      <c r="AA970" s="2"/>
      <c r="AB970" s="2"/>
    </row>
    <row r="971">
      <c r="A971" s="2"/>
      <c r="B971" s="21"/>
      <c r="C971" s="21"/>
      <c r="D971" s="21"/>
      <c r="E971" s="21"/>
      <c r="F971" s="2"/>
      <c r="G971" s="2"/>
      <c r="H971" s="35"/>
      <c r="I971" s="21"/>
      <c r="J971" s="21"/>
      <c r="K971" s="21"/>
      <c r="L971" s="21"/>
      <c r="M971" s="21"/>
      <c r="N971" s="21"/>
      <c r="O971" s="21"/>
      <c r="P971" s="21"/>
      <c r="Q971" s="2"/>
      <c r="R971" s="2"/>
      <c r="S971" s="2"/>
      <c r="T971" s="2"/>
      <c r="U971" s="2"/>
      <c r="V971" s="2"/>
      <c r="W971" s="2"/>
      <c r="X971" s="2"/>
      <c r="Y971" s="2"/>
      <c r="Z971" s="2"/>
      <c r="AA971" s="2"/>
      <c r="AB971" s="2"/>
    </row>
    <row r="972">
      <c r="A972" s="2"/>
      <c r="B972" s="21"/>
      <c r="C972" s="21"/>
      <c r="D972" s="21"/>
      <c r="E972" s="21"/>
      <c r="F972" s="2"/>
      <c r="G972" s="2"/>
      <c r="H972" s="35"/>
      <c r="I972" s="21"/>
      <c r="J972" s="21"/>
      <c r="K972" s="21"/>
      <c r="L972" s="21"/>
      <c r="M972" s="21"/>
      <c r="N972" s="21"/>
      <c r="O972" s="21"/>
      <c r="P972" s="21"/>
      <c r="Q972" s="2"/>
      <c r="R972" s="2"/>
      <c r="S972" s="2"/>
      <c r="T972" s="2"/>
      <c r="U972" s="2"/>
      <c r="V972" s="2"/>
      <c r="W972" s="2"/>
      <c r="X972" s="2"/>
      <c r="Y972" s="2"/>
      <c r="Z972" s="2"/>
      <c r="AA972" s="2"/>
      <c r="AB972" s="2"/>
    </row>
    <row r="973">
      <c r="A973" s="2"/>
      <c r="B973" s="21"/>
      <c r="C973" s="21"/>
      <c r="D973" s="21"/>
      <c r="E973" s="21"/>
      <c r="F973" s="2"/>
      <c r="G973" s="2"/>
      <c r="H973" s="35"/>
      <c r="I973" s="21"/>
      <c r="J973" s="21"/>
      <c r="K973" s="21"/>
      <c r="L973" s="21"/>
      <c r="M973" s="21"/>
      <c r="N973" s="21"/>
      <c r="O973" s="21"/>
      <c r="P973" s="21"/>
      <c r="Q973" s="2"/>
      <c r="R973" s="2"/>
      <c r="S973" s="2"/>
      <c r="T973" s="2"/>
      <c r="U973" s="2"/>
      <c r="V973" s="2"/>
      <c r="W973" s="2"/>
      <c r="X973" s="2"/>
      <c r="Y973" s="2"/>
      <c r="Z973" s="2"/>
      <c r="AA973" s="2"/>
      <c r="AB973" s="2"/>
    </row>
    <row r="974">
      <c r="A974" s="2"/>
      <c r="B974" s="21"/>
      <c r="C974" s="21"/>
      <c r="D974" s="21"/>
      <c r="E974" s="21"/>
      <c r="F974" s="2"/>
      <c r="G974" s="2"/>
      <c r="H974" s="35"/>
      <c r="I974" s="21"/>
      <c r="J974" s="21"/>
      <c r="K974" s="21"/>
      <c r="L974" s="21"/>
      <c r="M974" s="21"/>
      <c r="N974" s="21"/>
      <c r="O974" s="21"/>
      <c r="P974" s="21"/>
      <c r="Q974" s="2"/>
      <c r="R974" s="2"/>
      <c r="S974" s="2"/>
      <c r="T974" s="2"/>
      <c r="U974" s="2"/>
      <c r="V974" s="2"/>
      <c r="W974" s="2"/>
      <c r="X974" s="2"/>
      <c r="Y974" s="2"/>
      <c r="Z974" s="2"/>
      <c r="AA974" s="2"/>
      <c r="AB974" s="2"/>
    </row>
    <row r="975">
      <c r="A975" s="2"/>
      <c r="B975" s="21"/>
      <c r="C975" s="21"/>
      <c r="D975" s="21"/>
      <c r="E975" s="21"/>
      <c r="F975" s="2"/>
      <c r="G975" s="2"/>
      <c r="H975" s="35"/>
      <c r="I975" s="21"/>
      <c r="J975" s="21"/>
      <c r="K975" s="21"/>
      <c r="L975" s="21"/>
      <c r="M975" s="21"/>
      <c r="N975" s="21"/>
      <c r="O975" s="21"/>
      <c r="P975" s="21"/>
      <c r="Q975" s="2"/>
      <c r="R975" s="2"/>
      <c r="S975" s="2"/>
      <c r="T975" s="2"/>
      <c r="U975" s="2"/>
      <c r="V975" s="2"/>
      <c r="W975" s="2"/>
      <c r="X975" s="2"/>
      <c r="Y975" s="2"/>
      <c r="Z975" s="2"/>
      <c r="AA975" s="2"/>
      <c r="AB975" s="2"/>
    </row>
    <row r="976">
      <c r="A976" s="2"/>
      <c r="B976" s="21"/>
      <c r="C976" s="21"/>
      <c r="D976" s="21"/>
      <c r="E976" s="21"/>
      <c r="F976" s="2"/>
      <c r="G976" s="2"/>
      <c r="H976" s="35"/>
      <c r="I976" s="21"/>
      <c r="J976" s="21"/>
      <c r="K976" s="21"/>
      <c r="L976" s="21"/>
      <c r="M976" s="21"/>
      <c r="N976" s="21"/>
      <c r="O976" s="21"/>
      <c r="P976" s="21"/>
      <c r="Q976" s="2"/>
      <c r="R976" s="2"/>
      <c r="S976" s="2"/>
      <c r="T976" s="2"/>
      <c r="U976" s="2"/>
      <c r="V976" s="2"/>
      <c r="W976" s="2"/>
      <c r="X976" s="2"/>
      <c r="Y976" s="2"/>
      <c r="Z976" s="2"/>
      <c r="AA976" s="2"/>
      <c r="AB976" s="2"/>
    </row>
    <row r="977">
      <c r="A977" s="2"/>
      <c r="B977" s="21"/>
      <c r="C977" s="21"/>
      <c r="D977" s="21"/>
      <c r="E977" s="21"/>
      <c r="F977" s="2"/>
      <c r="G977" s="2"/>
      <c r="H977" s="35"/>
      <c r="I977" s="21"/>
      <c r="J977" s="21"/>
      <c r="K977" s="21"/>
      <c r="L977" s="21"/>
      <c r="M977" s="21"/>
      <c r="N977" s="21"/>
      <c r="O977" s="21"/>
      <c r="P977" s="21"/>
      <c r="Q977" s="2"/>
      <c r="R977" s="2"/>
      <c r="S977" s="2"/>
      <c r="T977" s="2"/>
      <c r="U977" s="2"/>
      <c r="V977" s="2"/>
      <c r="W977" s="2"/>
      <c r="X977" s="2"/>
      <c r="Y977" s="2"/>
      <c r="Z977" s="2"/>
      <c r="AA977" s="2"/>
      <c r="AB977" s="2"/>
    </row>
    <row r="978">
      <c r="A978" s="2"/>
      <c r="B978" s="21"/>
      <c r="C978" s="21"/>
      <c r="D978" s="21"/>
      <c r="E978" s="21"/>
      <c r="F978" s="2"/>
      <c r="G978" s="2"/>
      <c r="H978" s="35"/>
      <c r="I978" s="21"/>
      <c r="J978" s="21"/>
      <c r="K978" s="21"/>
      <c r="L978" s="21"/>
      <c r="M978" s="21"/>
      <c r="N978" s="21"/>
      <c r="O978" s="21"/>
      <c r="P978" s="21"/>
      <c r="Q978" s="2"/>
      <c r="R978" s="2"/>
      <c r="S978" s="2"/>
      <c r="T978" s="2"/>
      <c r="U978" s="2"/>
      <c r="V978" s="2"/>
      <c r="W978" s="2"/>
      <c r="X978" s="2"/>
      <c r="Y978" s="2"/>
      <c r="Z978" s="2"/>
      <c r="AA978" s="2"/>
      <c r="AB978" s="2"/>
    </row>
    <row r="979">
      <c r="A979" s="2"/>
      <c r="B979" s="21"/>
      <c r="C979" s="21"/>
      <c r="D979" s="21"/>
      <c r="E979" s="21"/>
      <c r="F979" s="2"/>
      <c r="G979" s="2"/>
      <c r="H979" s="35"/>
      <c r="I979" s="21"/>
      <c r="J979" s="21"/>
      <c r="K979" s="21"/>
      <c r="L979" s="21"/>
      <c r="M979" s="21"/>
      <c r="N979" s="21"/>
      <c r="O979" s="21"/>
      <c r="P979" s="21"/>
      <c r="Q979" s="2"/>
      <c r="R979" s="2"/>
      <c r="S979" s="2"/>
      <c r="T979" s="2"/>
      <c r="U979" s="2"/>
      <c r="V979" s="2"/>
      <c r="W979" s="2"/>
      <c r="X979" s="2"/>
      <c r="Y979" s="2"/>
      <c r="Z979" s="2"/>
      <c r="AA979" s="2"/>
      <c r="AB979" s="2"/>
    </row>
    <row r="980">
      <c r="A980" s="2"/>
      <c r="B980" s="21"/>
      <c r="C980" s="21"/>
      <c r="D980" s="21"/>
      <c r="E980" s="21"/>
      <c r="F980" s="2"/>
      <c r="G980" s="2"/>
      <c r="H980" s="35"/>
      <c r="I980" s="21"/>
      <c r="J980" s="21"/>
      <c r="K980" s="21"/>
      <c r="L980" s="21"/>
      <c r="M980" s="21"/>
      <c r="N980" s="21"/>
      <c r="O980" s="21"/>
      <c r="P980" s="21"/>
      <c r="Q980" s="2"/>
      <c r="R980" s="2"/>
      <c r="S980" s="2"/>
      <c r="T980" s="2"/>
      <c r="U980" s="2"/>
      <c r="V980" s="2"/>
      <c r="W980" s="2"/>
      <c r="X980" s="2"/>
      <c r="Y980" s="2"/>
      <c r="Z980" s="2"/>
      <c r="AA980" s="2"/>
      <c r="AB980" s="2"/>
    </row>
    <row r="981">
      <c r="A981" s="2"/>
      <c r="B981" s="21"/>
      <c r="C981" s="21"/>
      <c r="D981" s="21"/>
      <c r="E981" s="21"/>
      <c r="F981" s="2"/>
      <c r="G981" s="2"/>
      <c r="H981" s="35"/>
      <c r="I981" s="21"/>
      <c r="J981" s="21"/>
      <c r="K981" s="21"/>
      <c r="L981" s="21"/>
      <c r="M981" s="21"/>
      <c r="N981" s="21"/>
      <c r="O981" s="21"/>
      <c r="P981" s="21"/>
      <c r="Q981" s="2"/>
      <c r="R981" s="2"/>
      <c r="S981" s="2"/>
      <c r="T981" s="2"/>
      <c r="U981" s="2"/>
      <c r="V981" s="2"/>
      <c r="W981" s="2"/>
      <c r="X981" s="2"/>
      <c r="Y981" s="2"/>
      <c r="Z981" s="2"/>
      <c r="AA981" s="2"/>
      <c r="AB981" s="2"/>
    </row>
    <row r="982">
      <c r="A982" s="2"/>
      <c r="B982" s="21"/>
      <c r="C982" s="21"/>
      <c r="D982" s="21"/>
      <c r="E982" s="21"/>
      <c r="F982" s="2"/>
      <c r="G982" s="2"/>
      <c r="H982" s="35"/>
      <c r="I982" s="21"/>
      <c r="J982" s="21"/>
      <c r="K982" s="21"/>
      <c r="L982" s="21"/>
      <c r="M982" s="21"/>
      <c r="N982" s="21"/>
      <c r="O982" s="21"/>
      <c r="P982" s="21"/>
      <c r="Q982" s="2"/>
      <c r="R982" s="2"/>
      <c r="S982" s="2"/>
      <c r="T982" s="2"/>
      <c r="U982" s="2"/>
      <c r="V982" s="2"/>
      <c r="W982" s="2"/>
      <c r="X982" s="2"/>
      <c r="Y982" s="2"/>
      <c r="Z982" s="2"/>
      <c r="AA982" s="2"/>
      <c r="AB982" s="2"/>
    </row>
    <row r="983">
      <c r="A983" s="2"/>
      <c r="B983" s="21"/>
      <c r="C983" s="21"/>
      <c r="D983" s="21"/>
      <c r="E983" s="21"/>
      <c r="F983" s="2"/>
      <c r="G983" s="2"/>
      <c r="H983" s="35"/>
      <c r="I983" s="21"/>
      <c r="J983" s="21"/>
      <c r="K983" s="21"/>
      <c r="L983" s="21"/>
      <c r="M983" s="21"/>
      <c r="N983" s="21"/>
      <c r="O983" s="21"/>
      <c r="P983" s="21"/>
      <c r="Q983" s="2"/>
      <c r="R983" s="2"/>
      <c r="S983" s="2"/>
      <c r="T983" s="2"/>
      <c r="U983" s="2"/>
      <c r="V983" s="2"/>
      <c r="W983" s="2"/>
      <c r="X983" s="2"/>
      <c r="Y983" s="2"/>
      <c r="Z983" s="2"/>
      <c r="AA983" s="2"/>
      <c r="AB983" s="2"/>
    </row>
    <row r="984">
      <c r="A984" s="2"/>
      <c r="B984" s="21"/>
      <c r="C984" s="21"/>
      <c r="D984" s="21"/>
      <c r="E984" s="21"/>
      <c r="F984" s="2"/>
      <c r="G984" s="2"/>
      <c r="H984" s="35"/>
      <c r="I984" s="21"/>
      <c r="J984" s="21"/>
      <c r="K984" s="21"/>
      <c r="L984" s="21"/>
      <c r="M984" s="21"/>
      <c r="N984" s="21"/>
      <c r="O984" s="21"/>
      <c r="P984" s="21"/>
      <c r="Q984" s="2"/>
      <c r="R984" s="2"/>
      <c r="S984" s="2"/>
      <c r="T984" s="2"/>
      <c r="U984" s="2"/>
      <c r="V984" s="2"/>
      <c r="W984" s="2"/>
      <c r="X984" s="2"/>
      <c r="Y984" s="2"/>
      <c r="Z984" s="2"/>
      <c r="AA984" s="2"/>
      <c r="AB984" s="2"/>
    </row>
    <row r="985">
      <c r="A985" s="2"/>
      <c r="B985" s="21"/>
      <c r="C985" s="21"/>
      <c r="D985" s="21"/>
      <c r="E985" s="21"/>
      <c r="F985" s="2"/>
      <c r="G985" s="2"/>
      <c r="H985" s="35"/>
      <c r="I985" s="21"/>
      <c r="J985" s="21"/>
      <c r="K985" s="21"/>
      <c r="L985" s="21"/>
      <c r="M985" s="21"/>
      <c r="N985" s="21"/>
      <c r="O985" s="21"/>
      <c r="P985" s="21"/>
      <c r="Q985" s="2"/>
      <c r="R985" s="2"/>
      <c r="S985" s="2"/>
      <c r="T985" s="2"/>
      <c r="U985" s="2"/>
      <c r="V985" s="2"/>
      <c r="W985" s="2"/>
      <c r="X985" s="2"/>
      <c r="Y985" s="2"/>
      <c r="Z985" s="2"/>
      <c r="AA985" s="2"/>
      <c r="AB985" s="2"/>
    </row>
    <row r="986">
      <c r="A986" s="2"/>
      <c r="B986" s="21"/>
      <c r="C986" s="21"/>
      <c r="D986" s="21"/>
      <c r="E986" s="21"/>
      <c r="F986" s="2"/>
      <c r="G986" s="2"/>
      <c r="H986" s="35"/>
      <c r="I986" s="21"/>
      <c r="J986" s="21"/>
      <c r="K986" s="21"/>
      <c r="L986" s="21"/>
      <c r="M986" s="21"/>
      <c r="N986" s="21"/>
      <c r="O986" s="21"/>
      <c r="P986" s="21"/>
      <c r="Q986" s="2"/>
      <c r="R986" s="2"/>
      <c r="S986" s="2"/>
      <c r="T986" s="2"/>
      <c r="U986" s="2"/>
      <c r="V986" s="2"/>
      <c r="W986" s="2"/>
      <c r="X986" s="2"/>
      <c r="Y986" s="2"/>
      <c r="Z986" s="2"/>
      <c r="AA986" s="2"/>
      <c r="AB986" s="2"/>
    </row>
    <row r="987">
      <c r="A987" s="2"/>
      <c r="B987" s="21"/>
      <c r="C987" s="21"/>
      <c r="D987" s="21"/>
      <c r="E987" s="21"/>
      <c r="F987" s="2"/>
      <c r="G987" s="2"/>
      <c r="H987" s="35"/>
      <c r="I987" s="21"/>
      <c r="J987" s="21"/>
      <c r="K987" s="21"/>
      <c r="L987" s="21"/>
      <c r="M987" s="21"/>
      <c r="N987" s="21"/>
      <c r="O987" s="21"/>
      <c r="P987" s="21"/>
      <c r="Q987" s="2"/>
      <c r="R987" s="2"/>
      <c r="S987" s="2"/>
      <c r="T987" s="2"/>
      <c r="U987" s="2"/>
      <c r="V987" s="2"/>
      <c r="W987" s="2"/>
      <c r="X987" s="2"/>
      <c r="Y987" s="2"/>
      <c r="Z987" s="2"/>
      <c r="AA987" s="2"/>
      <c r="AB987" s="2"/>
    </row>
    <row r="988">
      <c r="A988" s="2"/>
      <c r="B988" s="21"/>
      <c r="C988" s="21"/>
      <c r="D988" s="21"/>
      <c r="E988" s="21"/>
      <c r="F988" s="2"/>
      <c r="G988" s="2"/>
      <c r="H988" s="35"/>
      <c r="I988" s="21"/>
      <c r="J988" s="21"/>
      <c r="K988" s="21"/>
      <c r="L988" s="21"/>
      <c r="M988" s="21"/>
      <c r="N988" s="21"/>
      <c r="O988" s="21"/>
      <c r="P988" s="21"/>
      <c r="Q988" s="2"/>
      <c r="R988" s="2"/>
      <c r="S988" s="2"/>
      <c r="T988" s="2"/>
      <c r="U988" s="2"/>
      <c r="V988" s="2"/>
      <c r="W988" s="2"/>
      <c r="X988" s="2"/>
      <c r="Y988" s="2"/>
      <c r="Z988" s="2"/>
      <c r="AA988" s="2"/>
      <c r="AB988" s="2"/>
    </row>
    <row r="989">
      <c r="A989" s="2"/>
      <c r="B989" s="21"/>
      <c r="C989" s="21"/>
      <c r="D989" s="21"/>
      <c r="E989" s="21"/>
      <c r="F989" s="2"/>
      <c r="G989" s="2"/>
      <c r="H989" s="35"/>
      <c r="I989" s="21"/>
      <c r="J989" s="21"/>
      <c r="K989" s="21"/>
      <c r="L989" s="21"/>
      <c r="M989" s="21"/>
      <c r="N989" s="21"/>
      <c r="O989" s="21"/>
      <c r="P989" s="21"/>
      <c r="Q989" s="2"/>
      <c r="R989" s="2"/>
      <c r="S989" s="2"/>
      <c r="T989" s="2"/>
      <c r="U989" s="2"/>
      <c r="V989" s="2"/>
      <c r="W989" s="2"/>
      <c r="X989" s="2"/>
      <c r="Y989" s="2"/>
      <c r="Z989" s="2"/>
      <c r="AA989" s="2"/>
      <c r="AB989" s="2"/>
    </row>
    <row r="990">
      <c r="A990" s="2"/>
      <c r="B990" s="21"/>
      <c r="C990" s="21"/>
      <c r="D990" s="21"/>
      <c r="E990" s="21"/>
      <c r="F990" s="2"/>
      <c r="G990" s="2"/>
      <c r="H990" s="35"/>
      <c r="I990" s="21"/>
      <c r="J990" s="21"/>
      <c r="K990" s="21"/>
      <c r="L990" s="21"/>
      <c r="M990" s="21"/>
      <c r="N990" s="21"/>
      <c r="O990" s="21"/>
      <c r="P990" s="21"/>
      <c r="Q990" s="2"/>
      <c r="R990" s="2"/>
      <c r="S990" s="2"/>
      <c r="T990" s="2"/>
      <c r="U990" s="2"/>
      <c r="V990" s="2"/>
      <c r="W990" s="2"/>
      <c r="X990" s="2"/>
      <c r="Y990" s="2"/>
      <c r="Z990" s="2"/>
      <c r="AA990" s="2"/>
      <c r="AB990" s="2"/>
    </row>
    <row r="991">
      <c r="A991" s="2"/>
      <c r="B991" s="21"/>
      <c r="C991" s="21"/>
      <c r="D991" s="21"/>
      <c r="E991" s="21"/>
      <c r="F991" s="2"/>
      <c r="G991" s="2"/>
      <c r="H991" s="35"/>
      <c r="I991" s="21"/>
      <c r="J991" s="21"/>
      <c r="K991" s="21"/>
      <c r="L991" s="21"/>
      <c r="M991" s="21"/>
      <c r="N991" s="21"/>
      <c r="O991" s="21"/>
      <c r="P991" s="21"/>
      <c r="Q991" s="2"/>
      <c r="R991" s="2"/>
      <c r="S991" s="2"/>
      <c r="T991" s="2"/>
      <c r="U991" s="2"/>
      <c r="V991" s="2"/>
      <c r="W991" s="2"/>
      <c r="X991" s="2"/>
      <c r="Y991" s="2"/>
      <c r="Z991" s="2"/>
      <c r="AA991" s="2"/>
      <c r="AB991" s="2"/>
    </row>
    <row r="992">
      <c r="A992" s="2"/>
      <c r="B992" s="21"/>
      <c r="C992" s="21"/>
      <c r="D992" s="21"/>
      <c r="E992" s="21"/>
      <c r="F992" s="2"/>
      <c r="G992" s="2"/>
      <c r="H992" s="35"/>
      <c r="I992" s="21"/>
      <c r="J992" s="21"/>
      <c r="K992" s="21"/>
      <c r="L992" s="21"/>
      <c r="M992" s="21"/>
      <c r="N992" s="21"/>
      <c r="O992" s="21"/>
      <c r="P992" s="21"/>
      <c r="Q992" s="2"/>
      <c r="R992" s="2"/>
      <c r="S992" s="2"/>
      <c r="T992" s="2"/>
      <c r="U992" s="2"/>
      <c r="V992" s="2"/>
      <c r="W992" s="2"/>
      <c r="X992" s="2"/>
      <c r="Y992" s="2"/>
      <c r="Z992" s="2"/>
      <c r="AA992" s="2"/>
      <c r="AB992" s="2"/>
    </row>
    <row r="993">
      <c r="A993" s="2"/>
      <c r="B993" s="21"/>
      <c r="C993" s="21"/>
      <c r="D993" s="21"/>
      <c r="E993" s="21"/>
      <c r="F993" s="2"/>
      <c r="G993" s="2"/>
      <c r="H993" s="35"/>
      <c r="I993" s="21"/>
      <c r="J993" s="21"/>
      <c r="K993" s="21"/>
      <c r="L993" s="21"/>
      <c r="M993" s="21"/>
      <c r="N993" s="21"/>
      <c r="O993" s="21"/>
      <c r="P993" s="21"/>
      <c r="Q993" s="2"/>
      <c r="R993" s="2"/>
      <c r="S993" s="2"/>
      <c r="T993" s="2"/>
      <c r="U993" s="2"/>
      <c r="V993" s="2"/>
      <c r="W993" s="2"/>
      <c r="X993" s="2"/>
      <c r="Y993" s="2"/>
      <c r="Z993" s="2"/>
      <c r="AA993" s="2"/>
      <c r="AB993" s="2"/>
    </row>
    <row r="994">
      <c r="A994" s="2"/>
      <c r="B994" s="21"/>
      <c r="C994" s="21"/>
      <c r="D994" s="21"/>
      <c r="E994" s="21"/>
      <c r="F994" s="2"/>
      <c r="G994" s="2"/>
      <c r="H994" s="35"/>
      <c r="I994" s="21"/>
      <c r="J994" s="21"/>
      <c r="K994" s="21"/>
      <c r="L994" s="21"/>
      <c r="M994" s="21"/>
      <c r="N994" s="21"/>
      <c r="O994" s="21"/>
      <c r="P994" s="21"/>
      <c r="Q994" s="2"/>
      <c r="R994" s="2"/>
      <c r="S994" s="2"/>
      <c r="T994" s="2"/>
      <c r="U994" s="2"/>
      <c r="V994" s="2"/>
      <c r="W994" s="2"/>
      <c r="X994" s="2"/>
      <c r="Y994" s="2"/>
      <c r="Z994" s="2"/>
      <c r="AA994" s="2"/>
      <c r="AB994" s="2"/>
    </row>
    <row r="995">
      <c r="A995" s="2"/>
      <c r="B995" s="21"/>
      <c r="C995" s="21"/>
      <c r="D995" s="21"/>
      <c r="E995" s="21"/>
      <c r="F995" s="2"/>
      <c r="G995" s="2"/>
      <c r="H995" s="35"/>
      <c r="I995" s="21"/>
      <c r="J995" s="21"/>
      <c r="K995" s="21"/>
      <c r="L995" s="21"/>
      <c r="M995" s="21"/>
      <c r="N995" s="21"/>
      <c r="O995" s="21"/>
      <c r="P995" s="21"/>
      <c r="Q995" s="2"/>
      <c r="R995" s="2"/>
      <c r="S995" s="2"/>
      <c r="T995" s="2"/>
      <c r="U995" s="2"/>
      <c r="V995" s="2"/>
      <c r="W995" s="2"/>
      <c r="X995" s="2"/>
      <c r="Y995" s="2"/>
      <c r="Z995" s="2"/>
      <c r="AA995" s="2"/>
      <c r="AB995" s="2"/>
    </row>
    <row r="996">
      <c r="A996" s="2"/>
      <c r="B996" s="21"/>
      <c r="C996" s="21"/>
      <c r="D996" s="21"/>
      <c r="E996" s="21"/>
      <c r="F996" s="2"/>
      <c r="G996" s="2"/>
      <c r="H996" s="35"/>
      <c r="I996" s="21"/>
      <c r="J996" s="21"/>
      <c r="K996" s="21"/>
      <c r="L996" s="21"/>
      <c r="M996" s="21"/>
      <c r="N996" s="21"/>
      <c r="O996" s="21"/>
      <c r="P996" s="21"/>
      <c r="Q996" s="2"/>
      <c r="R996" s="2"/>
      <c r="S996" s="2"/>
      <c r="T996" s="2"/>
      <c r="U996" s="2"/>
      <c r="V996" s="2"/>
      <c r="W996" s="2"/>
      <c r="X996" s="2"/>
      <c r="Y996" s="2"/>
      <c r="Z996" s="2"/>
      <c r="AA996" s="2"/>
      <c r="AB996" s="2"/>
    </row>
    <row r="997">
      <c r="A997" s="2"/>
      <c r="B997" s="21"/>
      <c r="C997" s="21"/>
      <c r="D997" s="21"/>
      <c r="E997" s="21"/>
      <c r="F997" s="2"/>
      <c r="G997" s="2"/>
      <c r="H997" s="35"/>
      <c r="I997" s="21"/>
      <c r="J997" s="21"/>
      <c r="K997" s="21"/>
      <c r="L997" s="21"/>
      <c r="M997" s="21"/>
      <c r="N997" s="21"/>
      <c r="O997" s="21"/>
      <c r="P997" s="21"/>
      <c r="Q997" s="2"/>
      <c r="R997" s="2"/>
      <c r="S997" s="2"/>
      <c r="T997" s="2"/>
      <c r="U997" s="2"/>
      <c r="V997" s="2"/>
      <c r="W997" s="2"/>
      <c r="X997" s="2"/>
      <c r="Y997" s="2"/>
      <c r="Z997" s="2"/>
      <c r="AA997" s="2"/>
      <c r="AB997" s="2"/>
    </row>
    <row r="998">
      <c r="A998" s="2"/>
      <c r="B998" s="21"/>
      <c r="C998" s="21"/>
      <c r="D998" s="21"/>
      <c r="E998" s="21"/>
      <c r="F998" s="2"/>
      <c r="G998" s="2"/>
      <c r="H998" s="35"/>
      <c r="I998" s="21"/>
      <c r="J998" s="21"/>
      <c r="K998" s="21"/>
      <c r="L998" s="21"/>
      <c r="M998" s="21"/>
      <c r="N998" s="21"/>
      <c r="O998" s="21"/>
      <c r="P998" s="21"/>
      <c r="Q998" s="2"/>
      <c r="R998" s="2"/>
      <c r="S998" s="2"/>
      <c r="T998" s="2"/>
      <c r="U998" s="2"/>
      <c r="V998" s="2"/>
      <c r="W998" s="2"/>
      <c r="X998" s="2"/>
      <c r="Y998" s="2"/>
      <c r="Z998" s="2"/>
      <c r="AA998" s="2"/>
      <c r="AB998" s="2"/>
    </row>
    <row r="999">
      <c r="A999" s="2"/>
      <c r="B999" s="21"/>
      <c r="C999" s="21"/>
      <c r="D999" s="21"/>
      <c r="E999" s="21"/>
      <c r="F999" s="2"/>
      <c r="G999" s="2"/>
      <c r="H999" s="35"/>
      <c r="I999" s="21"/>
      <c r="J999" s="21"/>
      <c r="K999" s="21"/>
      <c r="L999" s="21"/>
      <c r="M999" s="21"/>
      <c r="N999" s="21"/>
      <c r="O999" s="21"/>
      <c r="P999" s="21"/>
      <c r="Q999" s="2"/>
      <c r="R999" s="2"/>
      <c r="S999" s="2"/>
      <c r="T999" s="2"/>
      <c r="U999" s="2"/>
      <c r="V999" s="2"/>
      <c r="W999" s="2"/>
      <c r="X999" s="2"/>
      <c r="Y999" s="2"/>
      <c r="Z999" s="2"/>
      <c r="AA999" s="2"/>
      <c r="AB999" s="2"/>
    </row>
  </sheetData>
  <dataValidations>
    <dataValidation type="custom" allowBlank="1" showDropDown="1" sqref="A2:A146">
      <formula1>AND(ISNUMBER(A2),(NOT(OR(NOT(ISERROR(DATEVALUE(A2))), AND(ISNUMBER(A2), LEFT(CELL("format", A2))="D")))))</formula1>
    </dataValidation>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2.75"/>
    <col customWidth="1" min="5" max="5" width="12.75"/>
    <col customWidth="1" min="9" max="9" width="12.75"/>
  </cols>
  <sheetData>
    <row r="1">
      <c r="A1" s="20" t="s">
        <v>0</v>
      </c>
      <c r="B1" s="20" t="s">
        <v>1</v>
      </c>
      <c r="C1" s="20" t="s">
        <v>2</v>
      </c>
      <c r="D1" s="20" t="s">
        <v>3</v>
      </c>
      <c r="E1" s="20" t="s">
        <v>4</v>
      </c>
      <c r="F1" s="21"/>
      <c r="G1" s="21"/>
      <c r="H1" s="1" t="s">
        <v>5</v>
      </c>
      <c r="I1" s="20" t="s">
        <v>6</v>
      </c>
      <c r="J1" s="1" t="s">
        <v>7</v>
      </c>
      <c r="K1" s="20" t="s">
        <v>4</v>
      </c>
      <c r="L1" s="3"/>
      <c r="M1" s="22"/>
      <c r="N1" s="3"/>
      <c r="O1" s="22"/>
      <c r="P1" s="3"/>
      <c r="Q1" s="19"/>
      <c r="R1" s="19"/>
      <c r="S1" s="19"/>
      <c r="T1" s="19"/>
      <c r="U1" s="19"/>
      <c r="V1" s="19"/>
      <c r="W1" s="19"/>
      <c r="X1" s="19"/>
      <c r="Y1" s="19"/>
      <c r="Z1" s="19"/>
    </row>
    <row r="2">
      <c r="A2" s="23">
        <v>1.0</v>
      </c>
      <c r="B2" s="24" t="s">
        <v>1298</v>
      </c>
      <c r="C2" s="24" t="s">
        <v>1299</v>
      </c>
      <c r="D2" s="24" t="s">
        <v>1300</v>
      </c>
      <c r="E2" s="24" t="s">
        <v>1301</v>
      </c>
      <c r="F2" s="21"/>
      <c r="G2" s="21"/>
      <c r="H2" s="4" t="str">
        <f>IFERROR(__xludf.DUMMYFUNCTION("GOOGLETRANSLATE(B2, ""en"", ""zh"")"),"在功夫比赛中，参赛者必须表演一系列高踢、中踢和低踢。设置这些不同踢法的主要目的是什么？")</f>
        <v>在功夫比赛中，参赛者必须表演一系列高踢、中踢和低踢。设置这些不同踢法的主要目的是什么？</v>
      </c>
      <c r="I2" s="4" t="str">
        <f>IFERROR(__xludf.DUMMYFUNCTION("GOOGLETRANSLATE(C2, ""en"", ""zh"")"),"A) 迷惑对手，B) 展示多面性，C) 消耗对手体力，D) 对对手不敬")</f>
        <v>A) 迷惑对手，B) 展示多面性，C) 消耗对手体力，D) 对对手不敬</v>
      </c>
      <c r="J2" s="4" t="str">
        <f>IFERROR(__xludf.DUMMYFUNCTION("GOOGLETRANSLATE(D2, ""en"", ""zh"")"),"B) 展示多功能性")</f>
        <v>B) 展示多功能性</v>
      </c>
      <c r="K2" s="4" t="str">
        <f>IFERROR(__xludf.DUMMYFUNCTION("GOOGLETRANSLATE(E2, ""en"", ""zh"")"),"在功夫中，不同的踢腿级别展现了练习者的技巧和适应能力，突显了他们在各种情况下战斗的能力。")</f>
        <v>在功夫中，不同的踢腿级别展现了练习者的技巧和适应能力，突显了他们在各种情况下战斗的能力。</v>
      </c>
      <c r="L2" s="21"/>
      <c r="M2" s="22"/>
      <c r="N2" s="22"/>
      <c r="O2" s="22"/>
      <c r="P2" s="22"/>
      <c r="Q2" s="19"/>
      <c r="R2" s="19"/>
      <c r="S2" s="19"/>
      <c r="T2" s="19"/>
      <c r="U2" s="19"/>
      <c r="V2" s="19"/>
      <c r="W2" s="19"/>
      <c r="X2" s="19"/>
      <c r="Y2" s="19"/>
      <c r="Z2" s="19"/>
    </row>
    <row r="3">
      <c r="A3" s="23">
        <v>2.0</v>
      </c>
      <c r="B3" s="24" t="s">
        <v>1302</v>
      </c>
      <c r="C3" s="24" t="s">
        <v>1303</v>
      </c>
      <c r="D3" s="24" t="s">
        <v>1304</v>
      </c>
      <c r="E3" s="24" t="s">
        <v>1305</v>
      </c>
      <c r="F3" s="21"/>
      <c r="G3" s="21"/>
      <c r="H3" s="4" t="str">
        <f>IFERROR(__xludf.DUMMYFUNCTION("GOOGLETRANSLATE(B3, ""en"", ""zh"")"),"在功夫搏斗中，一名武者会采取低姿，并专注于保持平衡。这种站姿的优势是什么？")</f>
        <v>在功夫搏斗中，一名武者会采取低姿，并专注于保持平衡。这种站姿的优势是什么？</v>
      </c>
      <c r="I3" s="4" t="str">
        <f>IFERROR(__xludf.DUMMYFUNCTION("GOOGLETRANSLATE(C3, ""en"", ""zh"")"),"A) 更快的攻击速度，B) 更强的拳击力量，C) 更强的稳定性和防御力，D) 更高的跳跃能力")</f>
        <v>A) 更快的攻击速度，B) 更强的拳击力量，C) 更强的稳定性和防御力，D) 更高的跳跃能力</v>
      </c>
      <c r="J3" s="4" t="str">
        <f>IFERROR(__xludf.DUMMYFUNCTION("GOOGLETRANSLATE(D3, ""en"", ""zh"")"),"C) 增强稳定性和防御能力")</f>
        <v>C) 增强稳定性和防御能力</v>
      </c>
      <c r="K3" s="4" t="str">
        <f>IFERROR(__xludf.DUMMYFUNCTION("GOOGLETRANSLATE(E3, ""en"", ""zh"")"),"功夫中的低位站姿，如马步，能提供更好的平衡性，使对手更难将练习者击倒。")</f>
        <v>功夫中的低位站姿，如马步，能提供更好的平衡性，使对手更难将练习者击倒。</v>
      </c>
      <c r="L3" s="22"/>
      <c r="M3" s="22"/>
      <c r="N3" s="22"/>
      <c r="O3" s="22"/>
      <c r="P3" s="22"/>
      <c r="Q3" s="19"/>
      <c r="R3" s="19"/>
      <c r="S3" s="19"/>
      <c r="T3" s="19"/>
      <c r="U3" s="19"/>
      <c r="V3" s="19"/>
      <c r="W3" s="19"/>
      <c r="X3" s="19"/>
      <c r="Y3" s="19"/>
      <c r="Z3" s="19"/>
    </row>
    <row r="4">
      <c r="A4" s="23">
        <v>3.0</v>
      </c>
      <c r="B4" s="24" t="s">
        <v>1306</v>
      </c>
      <c r="C4" s="24" t="s">
        <v>1307</v>
      </c>
      <c r="D4" s="24" t="s">
        <v>1308</v>
      </c>
      <c r="E4" s="24" t="s">
        <v>1309</v>
      </c>
      <c r="F4" s="21"/>
      <c r="G4" s="21"/>
      <c r="H4" s="4" t="str">
        <f>IFERROR(__xludf.DUMMYFUNCTION("GOOGLETRANSLATE(B4, ""en"", ""zh"")"),"在一场功夫比赛中，一名选手会快速出拳，然后突然停顿一下。这种停顿最可能的战术原因是什么？")</f>
        <v>在一场功夫比赛中，一名选手会快速出拳，然后突然停顿一下。这种停顿最可能的战术原因是什么？</v>
      </c>
      <c r="I4" s="4" t="str">
        <f>IFERROR(__xludf.DUMMYFUNCTION("GOOGLETRANSLATE(C4, ""en"", ""zh"")"),"A) 休息，B) 迷惑对手并创造机会，C) 炫耀力量，D) 表示投降")</f>
        <v>A) 休息，B) 迷惑对手并创造机会，C) 炫耀力量，D) 表示投降</v>
      </c>
      <c r="J4" s="4" t="str">
        <f>IFERROR(__xludf.DUMMYFUNCTION("GOOGLETRANSLATE(D4, ""en"", ""zh"")"),"B) 迷惑对手并创造进攻机会")</f>
        <v>B) 迷惑对手并创造进攻机会</v>
      </c>
      <c r="K4" s="4" t="str">
        <f>IFERROR(__xludf.DUMMYFUNCTION("GOOGLETRANSLATE(E4, ""en"", ""zh"")"),"停顿让对手误判下一步行动，从而创造出在对手最不准备的时候发动攻击的机会。")</f>
        <v>停顿让对手误判下一步行动，从而创造出在对手最不准备的时候发动攻击的机会。</v>
      </c>
      <c r="L4" s="22"/>
      <c r="M4" s="22"/>
      <c r="N4" s="22"/>
      <c r="O4" s="22"/>
      <c r="P4" s="22"/>
      <c r="Q4" s="19"/>
      <c r="R4" s="19"/>
      <c r="S4" s="19"/>
      <c r="T4" s="19"/>
      <c r="U4" s="19"/>
      <c r="V4" s="19"/>
      <c r="W4" s="19"/>
      <c r="X4" s="19"/>
      <c r="Y4" s="19"/>
      <c r="Z4" s="19"/>
    </row>
    <row r="5">
      <c r="A5" s="23">
        <v>4.0</v>
      </c>
      <c r="B5" s="24" t="s">
        <v>1310</v>
      </c>
      <c r="C5" s="24" t="s">
        <v>1311</v>
      </c>
      <c r="D5" s="24" t="s">
        <v>1312</v>
      </c>
      <c r="E5" s="24" t="s">
        <v>1313</v>
      </c>
      <c r="F5" s="21"/>
      <c r="G5" s="21"/>
      <c r="H5" s="4" t="str">
        <f>IFERROR(__xludf.DUMMYFUNCTION("GOOGLETRANSLATE(B5, ""en"", ""zh"")"),"在功夫表演中，练习者会精准地完成一套协调的手脚动作。这种动作叫做什么？")</f>
        <v>在功夫表演中，练习者会精准地完成一套协调的手脚动作。这种动作叫做什么？</v>
      </c>
      <c r="I5" s="4" t="str">
        <f>IFERROR(__xludf.DUMMYFUNCTION("GOOGLETRANSLATE(C5, ""en"", ""zh"")"),"A) 套路，B) 形式，C) 搏击，D) 技术")</f>
        <v>A) 套路，B) 形式，C) 搏击，D) 技术</v>
      </c>
      <c r="J5" s="4" t="str">
        <f>IFERROR(__xludf.DUMMYFUNCTION("GOOGLETRANSLATE(D5, ""en"", ""zh"")"),"B) 表格")</f>
        <v>B) 表格</v>
      </c>
      <c r="K5" s="4" t="str">
        <f>IFERROR(__xludf.DUMMYFUNCTION("GOOGLETRANSLATE(E5, ""en"", ""zh"")"),"“套路”（或中文中的“套路”）是功夫中展示技巧、平衡和协调性的编排动作序列。")</f>
        <v>“套路”（或中文中的“套路”）是功夫中展示技巧、平衡和协调性的编排动作序列。</v>
      </c>
      <c r="L5" s="39"/>
      <c r="M5" s="39"/>
      <c r="N5" s="22"/>
      <c r="O5" s="22"/>
      <c r="P5" s="22"/>
      <c r="Q5" s="19"/>
      <c r="R5" s="19"/>
      <c r="S5" s="19"/>
      <c r="T5" s="19"/>
      <c r="U5" s="19"/>
      <c r="V5" s="19"/>
      <c r="W5" s="19"/>
      <c r="X5" s="19"/>
      <c r="Y5" s="19"/>
      <c r="Z5" s="19"/>
    </row>
    <row r="6">
      <c r="A6" s="23">
        <v>5.0</v>
      </c>
      <c r="B6" s="24" t="s">
        <v>1314</v>
      </c>
      <c r="C6" s="24" t="s">
        <v>1315</v>
      </c>
      <c r="D6" s="24" t="s">
        <v>1316</v>
      </c>
      <c r="E6" s="24" t="s">
        <v>1317</v>
      </c>
      <c r="F6" s="21"/>
      <c r="G6" s="21"/>
      <c r="H6" s="4" t="str">
        <f>IFERROR(__xludf.DUMMYFUNCTION("GOOGLETRANSLATE(B6, ""en"", ""zh"")"),"哪种功夫流派以其流畅、圆润的动作和对内力（气）的重视而闻名？")</f>
        <v>哪种功夫流派以其流畅、圆润的动作和对内力（气）的重视而闻名？</v>
      </c>
      <c r="I6" s="4" t="str">
        <f>IFERROR(__xludf.DUMMYFUNCTION("GOOGLETRANSLATE(C6, ""en"", ""zh"")"),"A)咏春拳，B)太极拳，C)少林拳，D)螳螂拳")</f>
        <v>A)咏春拳，B)太极拳，C)少林拳，D)螳螂拳</v>
      </c>
      <c r="J6" s="4" t="str">
        <f>IFERROR(__xludf.DUMMYFUNCTION("GOOGLETRANSLATE(D6, ""en"", ""zh"")"),"B) 太极拳")</f>
        <v>B) 太极拳</v>
      </c>
      <c r="K6" s="4" t="str">
        <f>IFERROR(__xludf.DUMMYFUNCTION("GOOGLETRANSLATE(E6, ""en"", ""zh"")"),"太极拳是一种内家拳，强调流畅的动作，旨在培养和平衡体内的能量（气）。")</f>
        <v>太极拳是一种内家拳，强调流畅的动作，旨在培养和平衡体内的能量（气）。</v>
      </c>
      <c r="L6" s="22"/>
      <c r="M6" s="22"/>
      <c r="N6" s="21"/>
      <c r="O6" s="22"/>
      <c r="P6" s="22"/>
      <c r="Q6" s="19"/>
      <c r="R6" s="19"/>
      <c r="S6" s="19"/>
      <c r="T6" s="19"/>
      <c r="U6" s="19"/>
      <c r="V6" s="19"/>
      <c r="W6" s="19"/>
      <c r="X6" s="19"/>
      <c r="Y6" s="19"/>
      <c r="Z6" s="19"/>
    </row>
    <row r="7">
      <c r="A7" s="23">
        <v>6.0</v>
      </c>
      <c r="B7" s="24" t="s">
        <v>1318</v>
      </c>
      <c r="C7" s="24" t="s">
        <v>1319</v>
      </c>
      <c r="D7" s="24" t="s">
        <v>1320</v>
      </c>
      <c r="E7" s="24" t="s">
        <v>1321</v>
      </c>
      <c r="F7" s="21"/>
      <c r="G7" s="21"/>
      <c r="H7" s="4" t="str">
        <f>IFERROR(__xludf.DUMMYFUNCTION("GOOGLETRANSLATE(B7, ""en"", ""zh"")"),"一位功夫高手面对一位臂展远超自己的对手。为了抵消对手的优势，他应该优先使用哪种技巧？")</f>
        <v>一位功夫高手面对一位臂展远超自己的对手。为了抵消对手的优势，他应该优先使用哪种技巧？</v>
      </c>
      <c r="I7" s="4" t="str">
        <f>IFERROR(__xludf.DUMMYFUNCTION("GOOGLETRANSLATE(C7, ""en"", ""zh"")"),"A）肘击，B）低扫，C）远距离踢击，D）近距离打击")</f>
        <v>A）肘击，B）低扫，C）远距离踢击，D）近距离打击</v>
      </c>
      <c r="J7" s="4" t="str">
        <f>IFERROR(__xludf.DUMMYFUNCTION("GOOGLETRANSLATE(D7, ""en"", ""zh"")"),"D）近距离打击")</f>
        <v>D）近距离打击</v>
      </c>
      <c r="K7" s="4" t="str">
        <f>IFERROR(__xludf.DUMMYFUNCTION("GOOGLETRANSLATE(E7, ""en"", ""zh"")"),"近距离打击，如拳击或肘击，对付身材较高的对手非常有效，可以削弱他们的臂展优势。")</f>
        <v>近距离打击，如拳击或肘击，对付身材较高的对手非常有效，可以削弱他们的臂展优势。</v>
      </c>
      <c r="L7" s="21"/>
      <c r="M7" s="22"/>
      <c r="N7" s="22"/>
      <c r="O7" s="22"/>
      <c r="P7" s="21"/>
      <c r="Q7" s="19"/>
      <c r="R7" s="19"/>
      <c r="S7" s="19"/>
      <c r="T7" s="19"/>
      <c r="U7" s="19"/>
      <c r="V7" s="19"/>
      <c r="W7" s="19"/>
      <c r="X7" s="19"/>
      <c r="Y7" s="19"/>
      <c r="Z7" s="19"/>
    </row>
    <row r="8">
      <c r="A8" s="23">
        <v>7.0</v>
      </c>
      <c r="B8" s="24" t="s">
        <v>1322</v>
      </c>
      <c r="C8" s="24" t="s">
        <v>1323</v>
      </c>
      <c r="D8" s="24" t="s">
        <v>1324</v>
      </c>
      <c r="E8" s="24" t="s">
        <v>1325</v>
      </c>
      <c r="F8" s="21"/>
      <c r="G8" s="21"/>
      <c r="H8" s="4" t="str">
        <f>IFERROR(__xludf.DUMMYFUNCTION("GOOGLETRANSLATE(B8, ""en"", ""zh"")"),"一名功夫练习者在遭到多方攻击时正在战斗。在这种情况下，哪种策略最为重要？")</f>
        <v>一名功夫练习者在遭到多方攻击时正在战斗。在这种情况下，哪种策略最为重要？</v>
      </c>
      <c r="I8" s="4" t="str">
        <f>IFERROR(__xludf.DUMMYFUNCTION("GOOGLETRANSLATE(C8, ""en"", ""zh"")"),"A）速度和敏捷性，B）单手攻击一手防御，C）持续移动和闪避，D）强力反击")</f>
        <v>A）速度和敏捷性，B）单手攻击一手防御，C）持续移动和闪避，D）强力反击</v>
      </c>
      <c r="J8" s="4" t="str">
        <f>IFERROR(__xludf.DUMMYFUNCTION("GOOGLETRANSLATE(D8, ""en"", ""zh"")"),"C) 持续移动和躲避")</f>
        <v>C) 持续移动和躲避</v>
      </c>
      <c r="K8" s="4" t="str">
        <f>IFERROR(__xludf.DUMMYFUNCTION("GOOGLETRANSLATE(E8, ""en"", ""zh"")"),"在多敌多的局面下，不断移动、躲避和保持机动性是避免被压制的关键。")</f>
        <v>在多敌多的局面下，不断移动、躲避和保持机动性是避免被压制的关键。</v>
      </c>
      <c r="L8" s="21"/>
      <c r="M8" s="22"/>
      <c r="N8" s="22"/>
      <c r="O8" s="22"/>
      <c r="P8" s="22"/>
      <c r="Q8" s="19"/>
      <c r="R8" s="19"/>
      <c r="S8" s="19"/>
      <c r="T8" s="19"/>
      <c r="U8" s="19"/>
      <c r="V8" s="19"/>
      <c r="W8" s="19"/>
      <c r="X8" s="19"/>
      <c r="Y8" s="19"/>
      <c r="Z8" s="19"/>
    </row>
    <row r="9">
      <c r="A9" s="23">
        <v>8.0</v>
      </c>
      <c r="B9" s="24" t="s">
        <v>1326</v>
      </c>
      <c r="C9" s="24" t="s">
        <v>1327</v>
      </c>
      <c r="D9" s="24" t="s">
        <v>1328</v>
      </c>
      <c r="E9" s="24" t="s">
        <v>1329</v>
      </c>
      <c r="F9" s="21"/>
      <c r="G9" s="21"/>
      <c r="H9" s="4" t="str">
        <f>IFERROR(__xludf.DUMMYFUNCTION("GOOGLETRANSLATE(B9, ""en"", ""zh"")"),"一位功夫高手用前臂格挡来袭的踢击。这种技巧叫什么？")</f>
        <v>一位功夫高手用前臂格挡来袭的踢击。这种技巧叫什么？</v>
      </c>
      <c r="I9" s="4" t="str">
        <f>IFERROR(__xludf.DUMMYFUNCTION("GOOGLETRANSLATE(C9, ""en"", ""zh"")"),"A) 柔道投技，B) 格挡，C) 扫技，D) 招架")</f>
        <v>A) 柔道投技，B) 格挡，C) 扫技，D) 招架</v>
      </c>
      <c r="J9" s="4" t="str">
        <f>IFERROR(__xludf.DUMMYFUNCTION("GOOGLETRANSLATE(D9, ""en"", ""zh"")"),"B) 块")</f>
        <v>B) 块</v>
      </c>
      <c r="K9" s="4" t="str">
        <f>IFERROR(__xludf.DUMMYFUNCTION("GOOGLETRANSLATE(E9, ""en"", ""zh"")"),"格挡是指利用身体部位（例如前臂）来吸收或偏转对手的攻击，通常是为了保护要害部位。")</f>
        <v>格挡是指利用身体部位（例如前臂）来吸收或偏转对手的攻击，通常是为了保护要害部位。</v>
      </c>
      <c r="L9" s="22"/>
      <c r="M9" s="22"/>
      <c r="N9" s="22"/>
      <c r="O9" s="22"/>
      <c r="P9" s="22"/>
      <c r="Q9" s="19"/>
      <c r="R9" s="19"/>
      <c r="S9" s="19"/>
      <c r="T9" s="19"/>
      <c r="U9" s="19"/>
      <c r="V9" s="19"/>
      <c r="W9" s="19"/>
      <c r="X9" s="19"/>
      <c r="Y9" s="19"/>
      <c r="Z9" s="19"/>
    </row>
    <row r="10">
      <c r="A10" s="23">
        <v>9.0</v>
      </c>
      <c r="B10" s="24" t="s">
        <v>1330</v>
      </c>
      <c r="C10" s="24" t="s">
        <v>1331</v>
      </c>
      <c r="D10" s="24" t="s">
        <v>1332</v>
      </c>
      <c r="E10" s="24" t="s">
        <v>1333</v>
      </c>
      <c r="F10" s="21"/>
      <c r="G10" s="21"/>
      <c r="H10" s="4" t="str">
        <f>IFERROR(__xludf.DUMMYFUNCTION("GOOGLETRANSLATE(B10, ""en"", ""zh"")"),"在功夫中，下列哪项最能描述习武者在战斗中的心理状态？")</f>
        <v>在功夫中，下列哪项最能描述习武者在战斗中的心理状态？</v>
      </c>
      <c r="I10" s="4" t="str">
        <f>IFERROR(__xludf.DUMMYFUNCTION("GOOGLETRANSLATE(C10, ""en"", ""zh"")"),"A) 愤怒，B) 专注冷静，C) 恐惧，D) 不知所措")</f>
        <v>A) 愤怒，B) 专注冷静，C) 恐惧，D) 不知所措</v>
      </c>
      <c r="J10" s="4" t="str">
        <f>IFERROR(__xludf.DUMMYFUNCTION("GOOGLETRANSLATE(D10, ""en"", ""zh"")"),"B) 专注而冷静")</f>
        <v>B) 专注而冷静</v>
      </c>
      <c r="K10" s="4" t="str">
        <f>IFERROR(__xludf.DUMMYFUNCTION("GOOGLETRANSLATE(E10, ""en"", ""zh"")"),"在功夫中，保持头脑清醒、专注和冷静至关重要，因为这能让练习者在压力下迅速做出果断的行动。")</f>
        <v>在功夫中，保持头脑清醒、专注和冷静至关重要，因为这能让练习者在压力下迅速做出果断的行动。</v>
      </c>
      <c r="L10" s="21"/>
      <c r="M10" s="22"/>
      <c r="N10" s="21"/>
      <c r="O10" s="22"/>
      <c r="P10" s="22"/>
      <c r="Q10" s="19"/>
      <c r="R10" s="19"/>
      <c r="S10" s="19"/>
      <c r="T10" s="19"/>
      <c r="U10" s="19"/>
      <c r="V10" s="19"/>
      <c r="W10" s="19"/>
      <c r="X10" s="19"/>
      <c r="Y10" s="19"/>
      <c r="Z10" s="19"/>
    </row>
    <row r="11">
      <c r="A11" s="23">
        <v>10.0</v>
      </c>
      <c r="B11" s="24" t="s">
        <v>1334</v>
      </c>
      <c r="C11" s="24" t="s">
        <v>1335</v>
      </c>
      <c r="D11" s="24" t="s">
        <v>1336</v>
      </c>
      <c r="E11" s="24" t="s">
        <v>1337</v>
      </c>
      <c r="F11" s="21"/>
      <c r="G11" s="21"/>
      <c r="H11" s="4" t="str">
        <f>IFERROR(__xludf.DUMMYFUNCTION("GOOGLETRANSLATE(B11, ""en"", ""zh"")"),"在一场功夫比赛中，一名选手使出了飞踢。这项技术的目的是什么？")</f>
        <v>在一场功夫比赛中，一名选手使出了飞踢。这项技术的目的是什么？</v>
      </c>
      <c r="I11" s="4" t="str">
        <f>IFERROR(__xludf.DUMMYFUNCTION("GOOGLETRANSLATE(C11, ""en"", ""zh"")"),"A) 为了炫耀，B) 为了发动突袭，C) 为了获得敏捷性加分，D) 为了展示力量")</f>
        <v>A) 为了炫耀，B) 为了发动突袭，C) 为了获得敏捷性加分，D) 为了展示力量</v>
      </c>
      <c r="J11" s="4" t="str">
        <f>IFERROR(__xludf.DUMMYFUNCTION("GOOGLETRANSLATE(D11, ""en"", ""zh"")"),"B) 发动突袭")</f>
        <v>B) 发动突袭</v>
      </c>
      <c r="K11" s="4" t="str">
        <f>IFERROR(__xludf.DUMMYFUNCTION("GOOGLETRANSLATE(E11, ""en"", ""zh"")"),"飞踢以出其不意的速度和力量出其不意地攻击对手，使其难以应对。")</f>
        <v>飞踢以出其不意的速度和力量出其不意地攻击对手，使其难以应对。</v>
      </c>
      <c r="L11" s="22"/>
      <c r="M11" s="22"/>
      <c r="N11" s="21"/>
      <c r="O11" s="22"/>
      <c r="P11" s="22"/>
      <c r="Q11" s="19"/>
      <c r="R11" s="19"/>
      <c r="S11" s="19"/>
      <c r="T11" s="19"/>
      <c r="U11" s="19"/>
      <c r="V11" s="19"/>
      <c r="W11" s="19"/>
      <c r="X11" s="19"/>
      <c r="Y11" s="19"/>
      <c r="Z11" s="19"/>
    </row>
    <row r="12">
      <c r="A12" s="23">
        <v>11.0</v>
      </c>
      <c r="B12" s="24" t="s">
        <v>1338</v>
      </c>
      <c r="C12" s="24" t="s">
        <v>1339</v>
      </c>
      <c r="D12" s="24" t="s">
        <v>1340</v>
      </c>
      <c r="E12" s="24" t="s">
        <v>1341</v>
      </c>
      <c r="F12" s="21"/>
      <c r="G12" s="21"/>
      <c r="H12" s="4" t="str">
        <f>IFERROR(__xludf.DUMMYFUNCTION("GOOGLETRANSLATE(B12, ""en"", ""zh"")"),"哪种功夫流派主要注重近身搏斗，快速、直接地攻击身体的脆弱部位？")</f>
        <v>哪种功夫流派主要注重近身搏斗，快速、直接地攻击身体的脆弱部位？</v>
      </c>
      <c r="I12" s="4" t="str">
        <f>IFERROR(__xludf.DUMMYFUNCTION("GOOGLETRANSLATE(C12, ""en"", ""zh"")"),"A) 咏春拳、B) 太极拳、C) 功夫、D) 北少林")</f>
        <v>A) 咏春拳、B) 太极拳、C) 功夫、D) 北少林</v>
      </c>
      <c r="J12" s="4" t="str">
        <f>IFERROR(__xludf.DUMMYFUNCTION("GOOGLETRANSLATE(D12, ""en"", ""zh"")"),"A)咏春拳")</f>
        <v>A)咏春拳</v>
      </c>
      <c r="K12" s="4" t="str">
        <f>IFERROR(__xludf.DUMMYFUNCTION("GOOGLETRANSLATE(E12, ""en"", ""zh"")"),"咏春拳强调近身搏斗，以快速、直接的打击攻击眼睛、喉咙和太阳神经丛等弱点。")</f>
        <v>咏春拳强调近身搏斗，以快速、直接的打击攻击眼睛、喉咙和太阳神经丛等弱点。</v>
      </c>
      <c r="L12" s="22"/>
      <c r="M12" s="22"/>
      <c r="N12" s="21"/>
      <c r="O12" s="22"/>
      <c r="P12" s="21"/>
      <c r="Q12" s="19"/>
      <c r="R12" s="19"/>
      <c r="S12" s="19"/>
      <c r="T12" s="19"/>
      <c r="U12" s="19"/>
      <c r="V12" s="19"/>
      <c r="W12" s="19"/>
      <c r="X12" s="19"/>
      <c r="Y12" s="19"/>
      <c r="Z12" s="19"/>
    </row>
    <row r="13">
      <c r="A13" s="23">
        <v>12.0</v>
      </c>
      <c r="B13" s="24" t="s">
        <v>1342</v>
      </c>
      <c r="C13" s="24" t="s">
        <v>1343</v>
      </c>
      <c r="D13" s="24" t="s">
        <v>1344</v>
      </c>
      <c r="E13" s="24" t="s">
        <v>1345</v>
      </c>
      <c r="F13" s="21"/>
      <c r="G13" s="21"/>
      <c r="H13" s="4" t="str">
        <f>IFERROR(__xludf.DUMMYFUNCTION("GOOGLETRANSLATE(B13, ""en"", ""zh"")"),"一位功夫练习者面对一位使用长矛的对手。在传统功夫中，通常使用哪种武器来对抗长矛？")</f>
        <v>一位功夫练习者面对一位使用长矛的对手。在传统功夫中，通常使用哪种武器来对抗长矛？</v>
      </c>
      <c r="I13" s="4" t="str">
        <f>IFERROR(__xludf.DUMMYFUNCTION("GOOGLETRANSLATE(C13, ""en"", ""zh"")"),"A) 阔剑，B) 棍棒，C) 双节棍，D) 斧头")</f>
        <v>A) 阔剑，B) 棍棒，C) 双节棍，D) 斧头</v>
      </c>
      <c r="J13" s="4" t="str">
        <f>IFERROR(__xludf.DUMMYFUNCTION("GOOGLETRANSLATE(D13, ""en"", ""zh"")"),"B) 员工")</f>
        <v>B) 员工</v>
      </c>
      <c r="K13" s="4" t="str">
        <f>IFERROR(__xludf.DUMMYFUNCTION("GOOGLETRANSLATE(E13, ""en"", ""zh"")"),"在功夫中，棍棒常用于对抗长矛等较长的武器，使练习者能够格挡、招架或缴械对手。")</f>
        <v>在功夫中，棍棒常用于对抗长矛等较长的武器，使练习者能够格挡、招架或缴械对手。</v>
      </c>
      <c r="L13" s="22"/>
      <c r="M13" s="22"/>
      <c r="N13" s="22"/>
      <c r="O13" s="22"/>
      <c r="P13" s="22"/>
      <c r="Q13" s="19"/>
      <c r="R13" s="19"/>
      <c r="S13" s="19"/>
      <c r="T13" s="19"/>
      <c r="U13" s="19"/>
      <c r="V13" s="19"/>
      <c r="W13" s="19"/>
      <c r="X13" s="19"/>
      <c r="Y13" s="19"/>
      <c r="Z13" s="19"/>
    </row>
    <row r="14">
      <c r="A14" s="23">
        <v>13.0</v>
      </c>
      <c r="B14" s="24" t="s">
        <v>1346</v>
      </c>
      <c r="C14" s="24" t="s">
        <v>1347</v>
      </c>
      <c r="D14" s="24" t="s">
        <v>1348</v>
      </c>
      <c r="E14" s="24" t="s">
        <v>1349</v>
      </c>
      <c r="F14" s="21"/>
      <c r="G14" s="21"/>
      <c r="H14" s="4" t="str">
        <f>IFERROR(__xludf.DUMMYFUNCTION("GOOGLETRANSLATE(B14, ""en"", ""zh"")"),"下列哪种功夫技巧是用来破除对手的防御或防守的？")</f>
        <v>下列哪种功夫技巧是用来破除对手的防御或防守的？</v>
      </c>
      <c r="I14" s="4" t="str">
        <f>IFERROR(__xludf.DUMMYFUNCTION("GOOGLETRANSLATE(C14, ""en"", ""zh"")"),"A) 扫腿，B) 佯攻，C) 刺拳，D) 格挡")</f>
        <v>A) 扫腿，B) 佯攻，C) 刺拳，D) 格挡</v>
      </c>
      <c r="J14" s="4" t="str">
        <f>IFERROR(__xludf.DUMMYFUNCTION("GOOGLETRANSLATE(D14, ""en"", ""zh"")"),"B) 佯攻")</f>
        <v>B) 佯攻</v>
      </c>
      <c r="K14" s="4" t="str">
        <f>IFERROR(__xludf.DUMMYFUNCTION("GOOGLETRANSLATE(E14, ""en"", ""zh"")"),"佯攻是一种欺骗性的招式，它误导对手做出某种反应，从而为真正的攻击创造机会。")</f>
        <v>佯攻是一种欺骗性的招式，它误导对手做出某种反应，从而为真正的攻击创造机会。</v>
      </c>
      <c r="L14" s="22"/>
      <c r="M14" s="22"/>
      <c r="N14" s="21"/>
      <c r="O14" s="22"/>
      <c r="P14" s="21"/>
      <c r="Q14" s="19"/>
      <c r="R14" s="19"/>
      <c r="S14" s="19"/>
      <c r="T14" s="19"/>
      <c r="U14" s="19"/>
      <c r="V14" s="19"/>
      <c r="W14" s="19"/>
      <c r="X14" s="19"/>
      <c r="Y14" s="19"/>
      <c r="Z14" s="19"/>
    </row>
    <row r="15">
      <c r="A15" s="23">
        <v>14.0</v>
      </c>
      <c r="B15" s="24" t="s">
        <v>1350</v>
      </c>
      <c r="C15" s="24" t="s">
        <v>1351</v>
      </c>
      <c r="D15" s="24" t="s">
        <v>1352</v>
      </c>
      <c r="E15" s="24" t="s">
        <v>1353</v>
      </c>
      <c r="F15" s="21"/>
      <c r="G15" s="21"/>
      <c r="H15" s="4" t="str">
        <f>IFERROR(__xludf.DUMMYFUNCTION("GOOGLETRANSLATE(B15, ""en"", ""zh"")"),"在一场功夫比赛中，一名选手被击倒在地后迅速起身，并保持较低的重心。这个动作的目的是什么？")</f>
        <v>在一场功夫比赛中，一名选手被击倒在地后迅速起身，并保持较低的重心。这个动作的目的是什么？</v>
      </c>
      <c r="I15" s="4" t="str">
        <f>IFERROR(__xludf.DUMMYFUNCTION("GOOGLETRANSLATE(C15, ""en"", ""zh"")"),"A) 为了逃脱，B) 为了防御进一步的攻击，C) 为了消耗对手的体力，D) 为了表示投降")</f>
        <v>A) 为了逃脱，B) 为了防御进一步的攻击，C) 为了消耗对手的体力，D) 为了表示投降</v>
      </c>
      <c r="J15" s="4" t="str">
        <f>IFERROR(__xludf.DUMMYFUNCTION("GOOGLETRANSLATE(D15, ""en"", ""zh"")"),"B）防御进一步的打击")</f>
        <v>B）防御进一步的打击</v>
      </c>
      <c r="K15" s="4" t="str">
        <f>IFERROR(__xludf.DUMMYFUNCTION("GOOGLETRANSLATE(E15, ""en"", ""zh"")"),"快速起身并保持低姿态，可以让战士重新获得防御位置，并最大限度地减少受到进一步攻击的可能性。")</f>
        <v>快速起身并保持低姿态，可以让战士重新获得防御位置，并最大限度地减少受到进一步攻击的可能性。</v>
      </c>
      <c r="L15" s="21"/>
      <c r="M15" s="22"/>
      <c r="N15" s="21"/>
      <c r="O15" s="22"/>
      <c r="P15" s="21"/>
      <c r="Q15" s="19"/>
      <c r="R15" s="19"/>
      <c r="S15" s="19"/>
      <c r="T15" s="19"/>
      <c r="U15" s="19"/>
      <c r="V15" s="19"/>
      <c r="W15" s="19"/>
      <c r="X15" s="19"/>
      <c r="Y15" s="19"/>
      <c r="Z15" s="19"/>
    </row>
    <row r="16">
      <c r="A16" s="23">
        <v>15.0</v>
      </c>
      <c r="B16" s="24" t="s">
        <v>1354</v>
      </c>
      <c r="C16" s="24" t="s">
        <v>1355</v>
      </c>
      <c r="D16" s="24" t="s">
        <v>1356</v>
      </c>
      <c r="E16" s="24" t="s">
        <v>1357</v>
      </c>
      <c r="F16" s="21"/>
      <c r="G16" s="21"/>
      <c r="H16" s="4" t="str">
        <f>IFERROR(__xludf.DUMMYFUNCTION("GOOGLETRANSLATE(B16, ""en"", ""zh"")"),"功夫练习者被教导在训练中避免使用过大的力量。这主要是为什么呢？")</f>
        <v>功夫练习者被教导在训练中避免使用过大的力量。这主要是为什么呢？</v>
      </c>
      <c r="I16" s="4" t="str">
        <f>IFERROR(__xludf.DUMMYFUNCTION("GOOGLETRANSLATE(C16, ""en"", ""zh"")"),"A) 提高柔韧性，B) 避免受伤并保存体力，C) 为后续使用保存力量，D) 专注于技术")</f>
        <v>A) 提高柔韧性，B) 避免受伤并保存体力，C) 为后续使用保存力量，D) 专注于技术</v>
      </c>
      <c r="J16" s="4" t="str">
        <f>IFERROR(__xludf.DUMMYFUNCTION("GOOGLETRANSLATE(D16, ""en"", ""zh"")"),"B) 为避免受伤并保存能量")</f>
        <v>B) 为避免受伤并保存能量</v>
      </c>
      <c r="K16" s="4" t="str">
        <f>IFERROR(__xludf.DUMMYFUNCTION("GOOGLETRANSLATE(E16, ""en"", ""zh"")"),"以可控的力量进行训练可以防止受伤，提高效率，并确保练习者能够在比赛或战斗中保持充沛的精力。")</f>
        <v>以可控的力量进行训练可以防止受伤，提高效率，并确保练习者能够在比赛或战斗中保持充沛的精力。</v>
      </c>
      <c r="L16" s="22"/>
      <c r="M16" s="22"/>
      <c r="N16" s="22"/>
      <c r="O16" s="22"/>
      <c r="P16" s="21"/>
      <c r="Q16" s="19"/>
      <c r="R16" s="19"/>
      <c r="S16" s="19"/>
      <c r="T16" s="19"/>
      <c r="U16" s="19"/>
      <c r="V16" s="19"/>
      <c r="W16" s="19"/>
      <c r="X16" s="19"/>
      <c r="Y16" s="19"/>
      <c r="Z16" s="19"/>
    </row>
    <row r="17">
      <c r="A17" s="23">
        <v>16.0</v>
      </c>
      <c r="B17" s="24" t="s">
        <v>1358</v>
      </c>
      <c r="C17" s="24" t="s">
        <v>1359</v>
      </c>
      <c r="D17" s="24" t="s">
        <v>1360</v>
      </c>
      <c r="E17" s="24" t="s">
        <v>1361</v>
      </c>
      <c r="F17" s="21"/>
      <c r="G17" s="21"/>
      <c r="H17" s="4" t="str">
        <f>IFERROR(__xludf.DUMMYFUNCTION("GOOGLETRANSLATE(B17, ""en"", ""zh"")"),"一位功夫练习者正在快速连续地进行一系列拳击和踢腿动作。这种技术的主要优势是什么？")</f>
        <v>一位功夫练习者正在快速连续地进行一系列拳击和踢腿动作。这种技术的主要优势是什么？</v>
      </c>
      <c r="I17" s="4" t="str">
        <f>IFERROR(__xludf.DUMMYFUNCTION("GOOGLETRANSLATE(C17, ""en"", ""zh"")"),"A) 以速度压制对手，B) 节省体力，C) 展示力量，D) 以不可预测性迷惑对手")</f>
        <v>A) 以速度压制对手，B) 节省体力，C) 展示力量，D) 以不可预测性迷惑对手</v>
      </c>
      <c r="J17" s="4" t="str">
        <f>IFERROR(__xludf.DUMMYFUNCTION("GOOGLETRANSLATE(D17, ""en"", ""zh"")"),"A) 以速度压制对手")</f>
        <v>A) 以速度压制对手</v>
      </c>
      <c r="K17" s="4" t="str">
        <f>IFERROR(__xludf.DUMMYFUNCTION("GOOGLETRANSLATE(E17, ""en"", ""zh"")"),"快速出拳和踢腿的目的是扰乱对手的节奏，创造进攻机会，使对手难以防守。")</f>
        <v>快速出拳和踢腿的目的是扰乱对手的节奏，创造进攻机会，使对手难以防守。</v>
      </c>
      <c r="L17" s="22"/>
      <c r="M17" s="22"/>
      <c r="N17" s="22"/>
      <c r="O17" s="22"/>
      <c r="P17" s="21"/>
      <c r="Q17" s="19"/>
      <c r="R17" s="19"/>
      <c r="S17" s="19"/>
      <c r="T17" s="19"/>
      <c r="U17" s="19"/>
      <c r="V17" s="19"/>
      <c r="W17" s="19"/>
      <c r="X17" s="19"/>
      <c r="Y17" s="19"/>
      <c r="Z17" s="19"/>
    </row>
    <row r="18">
      <c r="A18" s="23">
        <v>17.0</v>
      </c>
      <c r="B18" s="24" t="s">
        <v>1362</v>
      </c>
      <c r="C18" s="24" t="s">
        <v>1363</v>
      </c>
      <c r="D18" s="24" t="s">
        <v>1364</v>
      </c>
      <c r="E18" s="24" t="s">
        <v>1365</v>
      </c>
      <c r="F18" s="21"/>
      <c r="G18" s="21"/>
      <c r="H18" s="4" t="str">
        <f>IFERROR(__xludf.DUMMYFUNCTION("GOOGLETRANSLATE(B18, ""en"", ""zh"")"),"一位功夫练习者用剑表演一系列动作，展现出精准度和控制力。这套动作的主要重点是什么？")</f>
        <v>一位功夫练习者用剑表演一系列动作，展现出精准度和控制力。这套动作的主要重点是什么？</v>
      </c>
      <c r="I18" s="4" t="str">
        <f>IFERROR(__xludf.DUMMYFUNCTION("GOOGLETRANSLATE(C18, ""en"", ""zh"")"),"A) 力量，B) 优雅，C) 速度，D) 强度")</f>
        <v>A) 力量，B) 优雅，C) 速度，D) 强度</v>
      </c>
      <c r="J18" s="4" t="str">
        <f>IFERROR(__xludf.DUMMYFUNCTION("GOOGLETRANSLATE(D18, ""en"", ""zh"")"),"B) 恩典")</f>
        <v>B) 恩典</v>
      </c>
      <c r="K18" s="4" t="str">
        <f>IFERROR(__xludf.DUMMYFUNCTION("GOOGLETRANSLATE(E18, ""en"", ""zh"")"),"功夫中的剑术套路往往强调优雅和流畅，旨在展现动作的精准性和对武器的控制力。")</f>
        <v>功夫中的剑术套路往往强调优雅和流畅，旨在展现动作的精准性和对武器的控制力。</v>
      </c>
      <c r="L18" s="21"/>
      <c r="M18" s="22"/>
      <c r="N18" s="22"/>
      <c r="O18" s="22"/>
      <c r="P18" s="22"/>
      <c r="Q18" s="19"/>
      <c r="R18" s="19"/>
      <c r="S18" s="19"/>
      <c r="T18" s="19"/>
      <c r="U18" s="19"/>
      <c r="V18" s="19"/>
      <c r="W18" s="19"/>
      <c r="X18" s="19"/>
      <c r="Y18" s="19"/>
      <c r="Z18" s="19"/>
    </row>
    <row r="19">
      <c r="A19" s="23">
        <v>18.0</v>
      </c>
      <c r="B19" s="24" t="s">
        <v>1366</v>
      </c>
      <c r="C19" s="24" t="s">
        <v>1367</v>
      </c>
      <c r="D19" s="24" t="s">
        <v>1368</v>
      </c>
      <c r="E19" s="24" t="s">
        <v>1369</v>
      </c>
      <c r="F19" s="21"/>
      <c r="G19" s="21"/>
      <c r="H19" s="4" t="str">
        <f>IFERROR(__xludf.DUMMYFUNCTION("GOOGLETRANSLATE(B19, ""en"", ""zh"")"),"在一场功夫比赛中，一名选手通过侧身躲过对手的拳击，并用反手拳进行反击。这一动作的主要优势是什么？")</f>
        <v>在一场功夫比赛中，一名选手通过侧身躲过对手的拳击，并用反手拳进行反击。这一动作的主要优势是什么？</v>
      </c>
      <c r="I19" s="4" t="str">
        <f>IFERROR(__xludf.DUMMYFUNCTION("GOOGLETRANSLATE(C19, ""en"", ""zh"")"),"A) 提升攻击速度，B) 通过闪避提升防御力，C) 消耗对手体力，D) 迷惑对手")</f>
        <v>A) 提升攻击速度，B) 通过闪避提升防御力，C) 消耗对手体力，D) 迷惑对手</v>
      </c>
      <c r="J19" s="4" t="str">
        <f>IFERROR(__xludf.DUMMYFUNCTION("GOOGLETRANSLATE(D19, ""en"", ""zh"")"),"B) 通过闪避提高防御能力")</f>
        <v>B) 通过闪避提高防御能力</v>
      </c>
      <c r="K19" s="4" t="str">
        <f>IFERROR(__xludf.DUMMYFUNCTION("GOOGLETRANSLATE(E19, ""en"", ""zh"")"),"通过闪避和反击，战士们避免受到伤害，同时伺机发动直接攻击，展现了攻防兼备的技巧。")</f>
        <v>通过闪避和反击，战士们避免受到伤害，同时伺机发动直接攻击，展现了攻防兼备的技巧。</v>
      </c>
      <c r="L19" s="22"/>
      <c r="M19" s="22"/>
      <c r="N19" s="21"/>
      <c r="O19" s="22"/>
      <c r="P19" s="22"/>
      <c r="Q19" s="19"/>
      <c r="R19" s="19"/>
      <c r="S19" s="19"/>
      <c r="T19" s="19"/>
      <c r="U19" s="19"/>
      <c r="V19" s="19"/>
      <c r="W19" s="19"/>
      <c r="X19" s="19"/>
      <c r="Y19" s="19"/>
      <c r="Z19" s="19"/>
    </row>
    <row r="20">
      <c r="A20" s="23">
        <v>19.0</v>
      </c>
      <c r="B20" s="24" t="s">
        <v>1370</v>
      </c>
      <c r="C20" s="24" t="s">
        <v>1371</v>
      </c>
      <c r="D20" s="24" t="s">
        <v>1372</v>
      </c>
      <c r="E20" s="24" t="s">
        <v>1373</v>
      </c>
      <c r="F20" s="21"/>
      <c r="G20" s="21"/>
      <c r="H20" s="4" t="str">
        <f>IFERROR(__xludf.DUMMYFUNCTION("GOOGLETRANSLATE(B20, ""en"", ""zh"")"),"一位功夫选手用手臂做圆周运动来改变对手的攻击方向。这种技巧叫什么？")</f>
        <v>一位功夫选手用手臂做圆周运动来改变对手的攻击方向。这种技巧叫什么？</v>
      </c>
      <c r="I20" s="4" t="str">
        <f>IFERROR(__xludf.DUMMYFUNCTION("GOOGLETRANSLATE(C20, ""en"", ""zh"")"),"A) 格挡，B) 阻挡，C) 扫腿，D) 流畅技术")</f>
        <v>A) 格挡，B) 阻挡，C) 扫腿，D) 流畅技术</v>
      </c>
      <c r="J20" s="4" t="str">
        <f>IFERROR(__xludf.DUMMYFUNCTION("GOOGLETRANSLATE(D20, ""en"", ""zh"")"),"A) 格挡")</f>
        <v>A) 格挡</v>
      </c>
      <c r="K20" s="4" t="str">
        <f>IFERROR(__xludf.DUMMYFUNCTION("GOOGLETRANSLATE(E20, ""en"", ""zh"")"),"格挡是指用圆周运动改变对手的攻击方向，从而偏转攻击并为反击创造机会。")</f>
        <v>格挡是指用圆周运动改变对手的攻击方向，从而偏转攻击并为反击创造机会。</v>
      </c>
      <c r="L20" s="22"/>
      <c r="M20" s="22"/>
      <c r="N20" s="21"/>
      <c r="O20" s="22"/>
      <c r="P20" s="21"/>
      <c r="Q20" s="19"/>
      <c r="R20" s="19"/>
      <c r="S20" s="19"/>
      <c r="T20" s="19"/>
      <c r="U20" s="19"/>
      <c r="V20" s="19"/>
      <c r="W20" s="19"/>
      <c r="X20" s="19"/>
      <c r="Y20" s="19"/>
      <c r="Z20" s="19"/>
    </row>
    <row r="21">
      <c r="A21" s="23">
        <v>20.0</v>
      </c>
      <c r="B21" s="24" t="s">
        <v>1374</v>
      </c>
      <c r="C21" s="24" t="s">
        <v>1375</v>
      </c>
      <c r="D21" s="24" t="s">
        <v>1376</v>
      </c>
      <c r="E21" s="24" t="s">
        <v>1377</v>
      </c>
      <c r="F21" s="21"/>
      <c r="G21" s="21"/>
      <c r="H21" s="4" t="str">
        <f>IFERROR(__xludf.DUMMYFUNCTION("GOOGLETRANSLATE(B21, ""en"", ""zh"")"),"在一场功夫表演中，一名练习者使出一记跳跃旋踢击中对手。这一精彩动作的主要目的是什么？")</f>
        <v>在一场功夫表演中，一名练习者使出一记跳跃旋踢击中对手。这一精彩动作的主要目的是什么？</v>
      </c>
      <c r="I21" s="4" t="str">
        <f>IFERROR(__xludf.DUMMYFUNCTION("GOOGLETRANSLATE(C21, ""en"", ""zh"")"),"A) 为了展现敏捷性，B) 为了出其不意地攻击对手，C) 为了增强攻击力，D) 为了躲避")</f>
        <v>A) 为了展现敏捷性，B) 为了出其不意地攻击对手，C) 为了增强攻击力，D) 为了躲避</v>
      </c>
      <c r="J21" s="4" t="str">
        <f>IFERROR(__xludf.DUMMYFUNCTION("GOOGLETRANSLATE(D21, ""en"", ""zh"")"),"B）出其不意地攻击对手")</f>
        <v>B）出其不意地攻击对手</v>
      </c>
      <c r="K21" s="4" t="str">
        <f>IFERROR(__xludf.DUMMYFUNCTION("GOOGLETRANSLATE(E21, ""en"", ""zh"")"),"跳跃旋转踢通常用于出其不意地攻击对手，利用速度和出其不意的因素。")</f>
        <v>跳跃旋转踢通常用于出其不意地攻击对手，利用速度和出其不意的因素。</v>
      </c>
      <c r="L21" s="22"/>
      <c r="M21" s="22"/>
      <c r="N21" s="21"/>
      <c r="O21" s="22"/>
      <c r="P21" s="22"/>
      <c r="Q21" s="19"/>
      <c r="R21" s="19"/>
      <c r="S21" s="19"/>
      <c r="T21" s="19"/>
      <c r="U21" s="19"/>
      <c r="V21" s="19"/>
      <c r="W21" s="19"/>
      <c r="X21" s="19"/>
      <c r="Y21" s="19"/>
      <c r="Z21" s="19"/>
    </row>
    <row r="22">
      <c r="A22" s="23">
        <v>21.0</v>
      </c>
      <c r="B22" s="24" t="s">
        <v>1378</v>
      </c>
      <c r="C22" s="24" t="s">
        <v>1379</v>
      </c>
      <c r="D22" s="24" t="s">
        <v>1380</v>
      </c>
      <c r="E22" s="24" t="s">
        <v>1381</v>
      </c>
      <c r="F22" s="21"/>
      <c r="G22" s="21"/>
      <c r="H22" s="4" t="str">
        <f>IFERROR(__xludf.DUMMYFUNCTION("GOOGLETRANSLATE(B22, ""en"", ""zh"")"),"在功夫对练中，一位习练者会采用一种将重心均匀分布在双腿之间的站姿。这种站姿有什么好处？")</f>
        <v>在功夫对练中，一位习练者会采用一种将重心均匀分布在双腿之间的站姿。这种站姿有什么好处？</v>
      </c>
      <c r="I22" s="4" t="str">
        <f>IFERROR(__xludf.DUMMYFUNCTION("GOOGLETRANSLATE(C22, ""en"", ""zh"")"),"A) 机动性增强，B) 出拳力量增强，C) 攻守平衡，D) 跳跃能力更强")</f>
        <v>A) 机动性增强，B) 出拳力量增强，C) 攻守平衡，D) 跳跃能力更强</v>
      </c>
      <c r="J22" s="4" t="str">
        <f>IFERROR(__xludf.DUMMYFUNCTION("GOOGLETRANSLATE(D22, ""en"", ""zh"")"),"C) 攻守平衡")</f>
        <v>C) 攻守平衡</v>
      </c>
      <c r="K22" s="4" t="str">
        <f>IFERROR(__xludf.DUMMYFUNCTION("GOOGLETRANSLATE(E22, ""en"", ""zh"")"),"平衡的站姿可以让练习者在进攻和防守之间快速转换，从而保持稳定并做好行动准备。")</f>
        <v>平衡的站姿可以让练习者在进攻和防守之间快速转换，从而保持稳定并做好行动准备。</v>
      </c>
      <c r="L22" s="22"/>
      <c r="M22" s="22"/>
      <c r="N22" s="22"/>
      <c r="O22" s="22"/>
      <c r="P22" s="22"/>
      <c r="Q22" s="19"/>
      <c r="R22" s="19"/>
      <c r="S22" s="19"/>
      <c r="T22" s="19"/>
      <c r="U22" s="19"/>
      <c r="V22" s="19"/>
      <c r="W22" s="19"/>
      <c r="X22" s="19"/>
      <c r="Y22" s="19"/>
      <c r="Z22" s="19"/>
    </row>
    <row r="23">
      <c r="A23" s="23">
        <v>22.0</v>
      </c>
      <c r="B23" s="24" t="s">
        <v>1382</v>
      </c>
      <c r="C23" s="24" t="s">
        <v>1383</v>
      </c>
      <c r="D23" s="24" t="s">
        <v>1384</v>
      </c>
      <c r="E23" s="24" t="s">
        <v>1385</v>
      </c>
      <c r="F23" s="21"/>
      <c r="G23" s="21"/>
      <c r="H23" s="4" t="str">
        <f>IFERROR(__xludf.DUMMYFUNCTION("GOOGLETRANSLATE(B23, ""en"", ""zh"")"),"在功夫中，“五形拳”包括虎拳、鹤拳、豹拳、蛇拳和龙拳。虎拳和鹤拳的主要区别是什么？")</f>
        <v>在功夫中，“五形拳”包括虎拳、鹤拳、豹拳、蛇拳和龙拳。虎拳和鹤拳的主要区别是什么？</v>
      </c>
      <c r="I23" s="4" t="str">
        <f>IFERROR(__xludf.DUMMYFUNCTION("GOOGLETRANSLATE(C23, ""en"", ""zh"")"),"A) 虎注重速度，鹤注重力量；B) 虎注重力量，鹤注重优雅；C) 虎使用高踢腿，鹤使用低踢腿；D) 虎运用内力，鹤运用外力。")</f>
        <v>A) 虎注重速度，鹤注重力量；B) 虎注重力量，鹤注重优雅；C) 虎使用高踢腿，鹤使用低踢腿；D) 虎运用内力，鹤运用外力。</v>
      </c>
      <c r="J23" s="4" t="str">
        <f>IFERROR(__xludf.DUMMYFUNCTION("GOOGLETRANSLATE(D23, ""en"", ""zh"")"),"B) 虎注重力量，鹤强调优雅")</f>
        <v>B) 虎注重力量，鹤强调优雅</v>
      </c>
      <c r="K23" s="4" t="str">
        <f>IFERROR(__xludf.DUMMYFUNCTION("GOOGLETRANSLATE(E23, ""en"", ""zh"")"),"虎式拳法风格激进，注重强劲有力的直接攻击；而鹤式拳法风格则强调动作的优雅、敏捷和精准。")</f>
        <v>虎式拳法风格激进，注重强劲有力的直接攻击；而鹤式拳法风格则强调动作的优雅、敏捷和精准。</v>
      </c>
      <c r="L23" s="21"/>
      <c r="M23" s="22"/>
      <c r="N23" s="22"/>
      <c r="O23" s="22"/>
      <c r="P23" s="21"/>
      <c r="Q23" s="19"/>
      <c r="R23" s="19"/>
      <c r="S23" s="19"/>
      <c r="T23" s="19"/>
      <c r="U23" s="19"/>
      <c r="V23" s="19"/>
      <c r="W23" s="19"/>
      <c r="X23" s="19"/>
      <c r="Y23" s="19"/>
      <c r="Z23" s="19"/>
    </row>
    <row r="24">
      <c r="A24" s="23">
        <v>23.0</v>
      </c>
      <c r="B24" s="40" t="s">
        <v>1386</v>
      </c>
      <c r="C24" s="40" t="s">
        <v>1387</v>
      </c>
      <c r="D24" s="40" t="s">
        <v>1388</v>
      </c>
      <c r="E24" s="40" t="s">
        <v>1389</v>
      </c>
      <c r="F24" s="41"/>
      <c r="G24" s="41"/>
      <c r="H24" s="4" t="str">
        <f>IFERROR(__xludf.DUMMYFUNCTION("GOOGLETRANSLATE(B24, ""en"", ""zh"")"),"一位功夫练习者运用咏春拳来防御一系列快速攻击。在这种情况下，咏春拳的哪项特点最为有效？")</f>
        <v>一位功夫练习者运用咏春拳来防御一系列快速攻击。在这种情况下，咏春拳的哪项特点最为有效？</v>
      </c>
      <c r="I24" s="4" t="str">
        <f>IFERROR(__xludf.DUMMYFUNCTION("GOOGLETRANSLATE(C24, ""en"", ""zh"")"),"A) 强力踢击，B) 近距离快速打击，C) 力量型招式，D) 高空技巧")</f>
        <v>A) 强力踢击，B) 近距离快速打击，C) 力量型招式，D) 高空技巧</v>
      </c>
      <c r="J24" s="4" t="str">
        <f>IFERROR(__xludf.DUMMYFUNCTION("GOOGLETRANSLATE(D24, ""en"", ""zh"")"),"B) 近距离快速打击")</f>
        <v>B) 近距离快速打击</v>
      </c>
      <c r="K24" s="4" t="str">
        <f>IFERROR(__xludf.DUMMYFUNCTION("GOOGLETRANSLATE(E24, ""en"", ""zh"")"),"咏春拳专为近身搏斗而设计，强调快速、直接地攻击对手的弱点，因此非常适合防御快速攻击。")</f>
        <v>咏春拳专为近身搏斗而设计，强调快速、直接地攻击对手的弱点，因此非常适合防御快速攻击。</v>
      </c>
      <c r="L24" s="39"/>
      <c r="M24" s="39"/>
      <c r="N24" s="39"/>
      <c r="O24" s="39"/>
      <c r="P24" s="39"/>
      <c r="Q24" s="19"/>
      <c r="R24" s="19"/>
      <c r="S24" s="19"/>
      <c r="T24" s="19"/>
      <c r="U24" s="19"/>
      <c r="V24" s="19"/>
      <c r="W24" s="19"/>
      <c r="X24" s="19"/>
      <c r="Y24" s="19"/>
      <c r="Z24" s="19"/>
    </row>
    <row r="25">
      <c r="A25" s="23">
        <v>24.0</v>
      </c>
      <c r="B25" s="24" t="s">
        <v>1390</v>
      </c>
      <c r="C25" s="24" t="s">
        <v>1391</v>
      </c>
      <c r="D25" s="24" t="s">
        <v>1392</v>
      </c>
      <c r="E25" s="24" t="s">
        <v>1393</v>
      </c>
      <c r="F25" s="21"/>
      <c r="G25" s="21"/>
      <c r="H25" s="4" t="str">
        <f>IFERROR(__xludf.DUMMYFUNCTION("GOOGLETRANSLATE(B25, ""en"", ""zh"")"),"在功夫训练中，练习者会先进行一系列低踢，然后迅速过渡到高踢。这种训练方法的目的是什么？")</f>
        <v>在功夫训练中，练习者会先进行一系列低踢，然后迅速过渡到高踢。这种训练方法的目的是什么？</v>
      </c>
      <c r="I25" s="4" t="str">
        <f>IFERROR(__xludf.DUMMYFUNCTION("GOOGLETRANSLATE(C25, ""en"", ""zh"")"),"A) 增强耐力，B) 提高步法和灵活性，C) 迷惑对手，D) 提高平衡能力")</f>
        <v>A) 增强耐力，B) 提高步法和灵活性，C) 迷惑对手，D) 提高平衡能力</v>
      </c>
      <c r="J25" s="4" t="str">
        <f>IFERROR(__xludf.DUMMYFUNCTION("GOOGLETRANSLATE(D25, ""en"", ""zh"")"),"B) 提高步法和柔韧性")</f>
        <v>B) 提高步法和柔韧性</v>
      </c>
      <c r="K25" s="4" t="str">
        <f>IFERROR(__xludf.DUMMYFUNCTION("GOOGLETRANSLATE(E25, ""en"", ""zh"")"),"低踢和高踢的交替训练可以锻炼练习者的敏捷性和灵活性，使对手更难预测他们的下一步动作。")</f>
        <v>低踢和高踢的交替训练可以锻炼练习者的敏捷性和灵活性，使对手更难预测他们的下一步动作。</v>
      </c>
      <c r="L25" s="22"/>
      <c r="M25" s="22"/>
      <c r="N25" s="21"/>
      <c r="O25" s="22"/>
      <c r="P25" s="22"/>
      <c r="Q25" s="19"/>
      <c r="R25" s="19"/>
      <c r="S25" s="19"/>
      <c r="T25" s="19"/>
      <c r="U25" s="19"/>
      <c r="V25" s="19"/>
      <c r="W25" s="19"/>
      <c r="X25" s="19"/>
      <c r="Y25" s="19"/>
      <c r="Z25" s="19"/>
    </row>
    <row r="26">
      <c r="A26" s="23">
        <v>25.0</v>
      </c>
      <c r="B26" s="40" t="s">
        <v>1394</v>
      </c>
      <c r="C26" s="40" t="s">
        <v>1395</v>
      </c>
      <c r="D26" s="40" t="s">
        <v>1396</v>
      </c>
      <c r="E26" s="40" t="s">
        <v>1397</v>
      </c>
      <c r="F26" s="41"/>
      <c r="G26" s="41"/>
      <c r="H26" s="4" t="str">
        <f>IFERROR(__xludf.DUMMYFUNCTION("GOOGLETRANSLATE(B26, ""en"", ""zh"")"),"一位功夫高手用手掌格挡对方的拳头，然后迅速跟进反击。这种技巧通常被称为什么？")</f>
        <v>一位功夫高手用手掌格挡对方的拳头，然后迅速跟进反击。这种技巧通常被称为什么？</v>
      </c>
      <c r="I26" s="4" t="str">
        <f>IFERROR(__xludf.DUMMYFUNCTION("GOOGLETRANSLATE(C26, ""en"", ""zh"")"),"A) 掌击，B) 格挡反击，C) 招架，D) 投掷")</f>
        <v>A) 掌击，B) 格挡反击，C) 招架，D) 投掷</v>
      </c>
      <c r="J26" s="4" t="str">
        <f>IFERROR(__xludf.DUMMYFUNCTION("GOOGLETRANSLATE(D26, ""en"", ""zh"")"),"B) 格挡和反击")</f>
        <v>B) 格挡和反击</v>
      </c>
      <c r="K26" s="4" t="str">
        <f>IFERROR(__xludf.DUMMYFUNCTION("GOOGLETRANSLATE(E26, ""en"", ""zh"")"),"格挡和反击是一项基本技术，战士们通过格挡攻击并立即进行反击。")</f>
        <v>格挡和反击是一项基本技术，战士们通过格挡攻击并立即进行反击。</v>
      </c>
      <c r="L26" s="39"/>
      <c r="M26" s="39"/>
      <c r="N26" s="41"/>
      <c r="O26" s="39"/>
      <c r="P26" s="39"/>
      <c r="Q26" s="19"/>
      <c r="R26" s="19"/>
      <c r="S26" s="19"/>
      <c r="T26" s="19"/>
      <c r="U26" s="19"/>
      <c r="V26" s="19"/>
      <c r="W26" s="19"/>
      <c r="X26" s="19"/>
      <c r="Y26" s="19"/>
      <c r="Z26" s="19"/>
    </row>
    <row r="27">
      <c r="A27" s="23">
        <v>26.0</v>
      </c>
      <c r="B27" s="24" t="s">
        <v>1398</v>
      </c>
      <c r="C27" s="24" t="s">
        <v>1399</v>
      </c>
      <c r="D27" s="24" t="s">
        <v>1400</v>
      </c>
      <c r="E27" s="24" t="s">
        <v>1401</v>
      </c>
      <c r="F27" s="21"/>
      <c r="G27" s="21"/>
      <c r="H27" s="4" t="str">
        <f>IFERROR(__xludf.DUMMYFUNCTION("GOOGLETRANSLATE(B27, ""en"", ""zh"")"),"在一场功夫比赛中，一名选手使用双腿扫腿将对手摔倒在地。这项技术的目的是什么？")</f>
        <v>在一场功夫比赛中，一名选手使用双腿扫腿将对手摔倒在地。这项技术的目的是什么？</v>
      </c>
      <c r="I27" s="4" t="str">
        <f>IFERROR(__xludf.DUMMYFUNCTION("GOOGLETRANSLATE(C27, ""en"", ""zh"")"),"A) 防御攻击，B) 扰乱对手平衡，为后续攻击创造机会，C) 威慑对手，D) 展示力量")</f>
        <v>A) 防御攻击，B) 扰乱对手平衡，为后续攻击创造机会，C) 威慑对手，D) 展示力量</v>
      </c>
      <c r="J27" s="4" t="str">
        <f>IFERROR(__xludf.DUMMYFUNCTION("GOOGLETRANSLATE(D27, ""en"", ""zh"")"),"B) 扰乱对手平衡，为后续攻击创造机会")</f>
        <v>B) 扰乱对手平衡，为后续攻击创造机会</v>
      </c>
      <c r="K27" s="4" t="str">
        <f>IFERROR(__xludf.DUMMYFUNCTION("GOOGLETRANSLATE(E27, ""en"", ""zh"")"),"双腿扫腿用于使对手失去平衡，将其摔倒在地，这样拳击手就可以迅速跟进其他打击或控制技巧。")</f>
        <v>双腿扫腿用于使对手失去平衡，将其摔倒在地，这样拳击手就可以迅速跟进其他打击或控制技巧。</v>
      </c>
      <c r="L27" s="21"/>
      <c r="M27" s="22"/>
      <c r="N27" s="21"/>
      <c r="O27" s="22"/>
      <c r="P27" s="22"/>
      <c r="Q27" s="19"/>
      <c r="R27" s="19"/>
      <c r="S27" s="19"/>
      <c r="T27" s="19"/>
      <c r="U27" s="19"/>
      <c r="V27" s="19"/>
      <c r="W27" s="19"/>
      <c r="X27" s="19"/>
      <c r="Y27" s="19"/>
      <c r="Z27" s="19"/>
    </row>
    <row r="28">
      <c r="A28" s="23">
        <v>27.0</v>
      </c>
      <c r="B28" s="24" t="s">
        <v>1402</v>
      </c>
      <c r="C28" s="24" t="s">
        <v>1403</v>
      </c>
      <c r="D28" s="24" t="s">
        <v>1404</v>
      </c>
      <c r="E28" s="24" t="s">
        <v>1405</v>
      </c>
      <c r="F28" s="21"/>
      <c r="G28" s="21"/>
      <c r="H28" s="4" t="str">
        <f>IFERROR(__xludf.DUMMYFUNCTION("GOOGLETRANSLATE(B28, ""en"", ""zh"")"),"一位功夫练习者在进行一系列拳击动作时采用低站姿。在实战中采用低站姿的主要目的是什么？")</f>
        <v>一位功夫练习者在进行一系列拳击动作时采用低站姿。在实战中采用低站姿的主要目的是什么？</v>
      </c>
      <c r="I28" s="4" t="str">
        <f>IFERROR(__xludf.DUMMYFUNCTION("GOOGLETRANSLATE(C28, ""en"", ""zh"")"),"A) 增强力量，B) 提高练习者的灵活性，C) 增强防御和稳定性，D) 炫耀")</f>
        <v>A) 增强力量，B) 提高练习者的灵活性，C) 增强防御和稳定性，D) 炫耀</v>
      </c>
      <c r="J28" s="4" t="str">
        <f>IFERROR(__xludf.DUMMYFUNCTION("GOOGLETRANSLATE(D28, ""en"", ""zh"")"),"C) 提高防御和稳定性")</f>
        <v>C) 提高防御和稳定性</v>
      </c>
      <c r="K28" s="4" t="str">
        <f>IFERROR(__xludf.DUMMYFUNCTION("GOOGLETRANSLATE(E28, ""en"", ""zh"")"),"低位站姿可以提高练习者的平衡能力，使对手更难将其击倒，同时为强力打击提供坚实的基础。")</f>
        <v>低位站姿可以提高练习者的平衡能力，使对手更难将其击倒，同时为强力打击提供坚实的基础。</v>
      </c>
      <c r="L28" s="22"/>
      <c r="M28" s="22"/>
      <c r="N28" s="21"/>
      <c r="O28" s="22"/>
      <c r="P28" s="22"/>
      <c r="Q28" s="19"/>
      <c r="R28" s="19"/>
      <c r="S28" s="19"/>
      <c r="T28" s="19"/>
      <c r="U28" s="19"/>
      <c r="V28" s="19"/>
      <c r="W28" s="19"/>
      <c r="X28" s="19"/>
      <c r="Y28" s="19"/>
      <c r="Z28" s="19"/>
    </row>
    <row r="29">
      <c r="A29" s="23">
        <v>28.0</v>
      </c>
      <c r="B29" s="24" t="s">
        <v>1406</v>
      </c>
      <c r="C29" s="24" t="s">
        <v>1407</v>
      </c>
      <c r="D29" s="24" t="s">
        <v>1408</v>
      </c>
      <c r="E29" s="24" t="s">
        <v>1409</v>
      </c>
      <c r="F29" s="21"/>
      <c r="G29" s="21"/>
      <c r="H29" s="4" t="str">
        <f>IFERROR(__xludf.DUMMYFUNCTION("GOOGLETRANSLATE(B29, ""en"", ""zh"")"),"一位功夫高手使用了一种名为“铁砂掌”的技巧。这种技巧的目的是什么？")</f>
        <v>一位功夫高手使用了一种名为“铁砂掌”的技巧。这种技巧的目的是什么？</v>
      </c>
      <c r="I29" s="4" t="str">
        <f>IFERROR(__xludf.DUMMYFUNCTION("GOOGLETRANSLATE(C29, ""en"", ""zh"")"),"A) 提高速度，B) 提高精准度，C) 增强掌力，D) 增强柔韧性")</f>
        <v>A) 提高速度，B) 提高精准度，C) 增强掌力，D) 增强柔韧性</v>
      </c>
      <c r="J29" s="4" t="str">
        <f>IFERROR(__xludf.DUMMYFUNCTION("GOOGLETRANSLATE(D29, ""en"", ""zh"")"),"C) 增强掌力，以便更有力地击打")</f>
        <v>C) 增强掌力，以便更有力地击打</v>
      </c>
      <c r="K29" s="4" t="str">
        <f>IFERROR(__xludf.DUMMYFUNCTION("GOOGLETRANSLATE(E29, ""en"", ""zh"")"),"“铁砂掌”技术旨在锻炼手掌，增强其打击力量，使练习者能够发出更有力的打击。")</f>
        <v>“铁砂掌”技术旨在锻炼手掌，增强其打击力量，使练习者能够发出更有力的打击。</v>
      </c>
      <c r="L29" s="22"/>
      <c r="M29" s="22"/>
      <c r="N29" s="22"/>
      <c r="O29" s="22"/>
      <c r="P29" s="22"/>
      <c r="Q29" s="19"/>
      <c r="R29" s="19"/>
      <c r="S29" s="19"/>
      <c r="T29" s="19"/>
      <c r="U29" s="19"/>
      <c r="V29" s="19"/>
      <c r="W29" s="19"/>
      <c r="X29" s="19"/>
      <c r="Y29" s="19"/>
      <c r="Z29" s="19"/>
    </row>
    <row r="30">
      <c r="A30" s="23">
        <v>29.0</v>
      </c>
      <c r="B30" s="24" t="s">
        <v>1410</v>
      </c>
      <c r="C30" s="24" t="s">
        <v>1411</v>
      </c>
      <c r="D30" s="24" t="s">
        <v>1412</v>
      </c>
      <c r="E30" s="24" t="s">
        <v>1413</v>
      </c>
      <c r="F30" s="21"/>
      <c r="G30" s="21"/>
      <c r="H30" s="4" t="str">
        <f>IFERROR(__xludf.DUMMYFUNCTION("GOOGLETRANSLATE(B30, ""en"", ""zh"")"),"在一场功夫比赛中，一名选手使出了一记快速的转身后踢。这一招的主要目的是什么？")</f>
        <v>在一场功夫比赛中，一名选手使出了一记快速的转身后踢。这一招的主要目的是什么？</v>
      </c>
      <c r="I30" s="4" t="str">
        <f>IFERROR(__xludf.DUMMYFUNCTION("GOOGLETRANSLATE(C30, ""en"", ""zh"")"),"A) 迷惑对手，B) 躲避攻击，C) 加快攻击速度，D) 从远处给予强力一击")</f>
        <v>A) 迷惑对手，B) 躲避攻击，C) 加快攻击速度，D) 从远处给予强力一击</v>
      </c>
      <c r="J30" s="4" t="str">
        <f>IFERROR(__xludf.DUMMYFUNCTION("GOOGLETRANSLATE(D30, ""en"", ""zh"")"),"D) 从远处给予强力一击")</f>
        <v>D) 从远处给予强力一击</v>
      </c>
      <c r="K30" s="4" t="str">
        <f>IFERROR(__xludf.DUMMYFUNCTION("GOOGLETRANSLATE(E30, ""en"", ""zh"")"),"转身后踢是一个高冲击力的动作，它利用身体的旋转力量从较远的距离发出强有力的攻击。")</f>
        <v>转身后踢是一个高冲击力的动作，它利用身体的旋转力量从较远的距离发出强有力的攻击。</v>
      </c>
      <c r="L30" s="21"/>
      <c r="M30" s="22"/>
      <c r="N30" s="21"/>
      <c r="O30" s="22"/>
      <c r="P30" s="22"/>
      <c r="Q30" s="19"/>
      <c r="R30" s="19"/>
      <c r="S30" s="19"/>
      <c r="T30" s="19"/>
      <c r="U30" s="19"/>
      <c r="V30" s="19"/>
      <c r="W30" s="19"/>
      <c r="X30" s="19"/>
      <c r="Y30" s="19"/>
      <c r="Z30" s="19"/>
    </row>
    <row r="31">
      <c r="A31" s="23">
        <v>30.0</v>
      </c>
      <c r="B31" s="24" t="s">
        <v>1414</v>
      </c>
      <c r="C31" s="24" t="s">
        <v>1415</v>
      </c>
      <c r="D31" s="24" t="s">
        <v>1416</v>
      </c>
      <c r="E31" s="24" t="s">
        <v>1417</v>
      </c>
      <c r="F31" s="21"/>
      <c r="G31" s="21"/>
      <c r="H31" s="4" t="str">
        <f>IFERROR(__xludf.DUMMYFUNCTION("GOOGLETRANSLATE(B31, ""en"", ""zh"")"),"在功夫中，练习者会运用“推手”来练习平衡感和灵敏度。这种训练的主要目的是什么？")</f>
        <v>在功夫中，练习者会运用“推手”来练习平衡感和灵敏度。这种训练的主要目的是什么？</v>
      </c>
      <c r="I31" s="4" t="str">
        <f>IFERROR(__xludf.DUMMYFUNCTION("GOOGLETRANSLATE(C31, ""en"", ""zh"")"),"A) 提高速度，B) 锻炼快速反应能力，C) 培养对对手力量和意图的敏感度，D) 增强肌肉力量")</f>
        <v>A) 提高速度，B) 锻炼快速反应能力，C) 培养对对手力量和意图的敏感度，D) 增强肌肉力量</v>
      </c>
      <c r="J31" s="4" t="str">
        <f>IFERROR(__xludf.DUMMYFUNCTION("GOOGLETRANSLATE(D31, ""en"", ""zh"")"),"C）培养对对手力量和意图的敏感度")</f>
        <v>C）培养对对手力量和意图的敏感度</v>
      </c>
      <c r="K31" s="4" t="str">
        <f>IFERROR(__xludf.DUMMYFUNCTION("GOOGLETRANSLATE(E31, ""en"", ""zh"")"),"“推手”是太极拳中的一种训练练习，可以增强练习者感受和应对对手动作和力量的能力。")</f>
        <v>“推手”是太极拳中的一种训练练习，可以增强练习者感受和应对对手动作和力量的能力。</v>
      </c>
      <c r="L31" s="22"/>
      <c r="M31" s="22"/>
      <c r="N31" s="22"/>
      <c r="O31" s="22"/>
      <c r="P31" s="21"/>
      <c r="Q31" s="19"/>
      <c r="R31" s="19"/>
      <c r="S31" s="19"/>
      <c r="T31" s="19"/>
      <c r="U31" s="19"/>
      <c r="V31" s="19"/>
      <c r="W31" s="19"/>
      <c r="X31" s="19"/>
      <c r="Y31" s="19"/>
      <c r="Z31" s="19"/>
    </row>
    <row r="32">
      <c r="A32" s="23">
        <v>31.0</v>
      </c>
      <c r="B32" s="24" t="s">
        <v>1418</v>
      </c>
      <c r="C32" s="24" t="s">
        <v>1419</v>
      </c>
      <c r="D32" s="24" t="s">
        <v>1420</v>
      </c>
      <c r="E32" s="24" t="s">
        <v>1421</v>
      </c>
      <c r="F32" s="21"/>
      <c r="G32" s="21"/>
      <c r="H32" s="4" t="str">
        <f>IFERROR(__xludf.DUMMYFUNCTION("GOOGLETRANSLATE(B32, ""en"", ""zh"")"),"功夫练习者使用佯攻来迷惑对手。佯攻在比赛中的目的是什么？")</f>
        <v>功夫练习者使用佯攻来迷惑对手。佯攻在比赛中的目的是什么？</v>
      </c>
      <c r="I32" s="4" t="str">
        <f>IFERROR(__xludf.DUMMYFUNCTION("GOOGLETRANSLATE(C32, ""en"", ""zh"")"),"A) 分散对手注意力，B) 迷惑并误导对手做出错误反应，C) 积蓄能量，D) 迫使对手犯错")</f>
        <v>A) 分散对手注意力，B) 迷惑并误导对手做出错误反应，C) 积蓄能量，D) 迫使对手犯错</v>
      </c>
      <c r="J32" s="4" t="str">
        <f>IFERROR(__xludf.DUMMYFUNCTION("GOOGLETRANSLATE(D32, ""en"", ""zh"")"),"B) 迷惑和误导对手，使其做出错误反应")</f>
        <v>B) 迷惑和误导对手，使其做出错误反应</v>
      </c>
      <c r="K32" s="4" t="str">
        <f>IFERROR(__xludf.DUMMYFUNCTION("GOOGLETRANSLATE(E32, ""en"", ""zh"")"),"佯攻是一种欺骗性的招式，旨在误导对手，通过吸引对手的注意力，使其无法攻击真正的目标，从而为真正的攻击创造机会。")</f>
        <v>佯攻是一种欺骗性的招式，旨在误导对手，通过吸引对手的注意力，使其无法攻击真正的目标，从而为真正的攻击创造机会。</v>
      </c>
      <c r="L32" s="22"/>
      <c r="M32" s="22"/>
      <c r="N32" s="21"/>
      <c r="O32" s="22"/>
      <c r="P32" s="22"/>
      <c r="Q32" s="19"/>
      <c r="R32" s="19"/>
      <c r="S32" s="19"/>
      <c r="T32" s="19"/>
      <c r="U32" s="19"/>
      <c r="V32" s="19"/>
      <c r="W32" s="19"/>
      <c r="X32" s="19"/>
      <c r="Y32" s="19"/>
      <c r="Z32" s="19"/>
    </row>
    <row r="33">
      <c r="A33" s="23">
        <v>32.0</v>
      </c>
      <c r="B33" s="24" t="s">
        <v>1422</v>
      </c>
      <c r="C33" s="24" t="s">
        <v>1423</v>
      </c>
      <c r="D33" s="24" t="s">
        <v>1424</v>
      </c>
      <c r="E33" s="24" t="s">
        <v>1425</v>
      </c>
      <c r="F33" s="21"/>
      <c r="G33" s="21"/>
      <c r="H33" s="4" t="str">
        <f>IFERROR(__xludf.DUMMYFUNCTION("GOOGLETRANSLATE(B33, ""en"", ""zh"")"),"在功夫训练中，练习者会单腿站立并保持平衡来表演一套动作。这种练习的目的是什么？")</f>
        <v>在功夫训练中，练习者会单腿站立并保持平衡来表演一套动作。这种练习的目的是什么？</v>
      </c>
      <c r="I33" s="4" t="str">
        <f>IFERROR(__xludf.DUMMYFUNCTION("GOOGLETRANSLATE(C33, ""en"", ""zh"")"),"A) 增强核心力量，B) 提高平衡性和控制力，C) 练习防身技巧，D) 提高柔韧性")</f>
        <v>A) 增强核心力量，B) 提高平衡性和控制力，C) 练习防身技巧，D) 提高柔韧性</v>
      </c>
      <c r="J33" s="4" t="str">
        <f>IFERROR(__xludf.DUMMYFUNCTION("GOOGLETRANSLATE(D33, ""en"", ""zh"")"),"B) 增强平衡性和控制力")</f>
        <v>B) 增强平衡性和控制力</v>
      </c>
      <c r="K33" s="4" t="str">
        <f>IFERROR(__xludf.DUMMYFUNCTION("GOOGLETRANSLATE(E33, ""en"", ""zh"")"),"单腿站立可以提高稳定性和控制力，这对于执行精确动作和避免在战斗中失去平衡至关重要。")</f>
        <v>单腿站立可以提高稳定性和控制力，这对于执行精确动作和避免在战斗中失去平衡至关重要。</v>
      </c>
      <c r="L33" s="22"/>
      <c r="M33" s="22"/>
      <c r="N33" s="21"/>
      <c r="O33" s="22"/>
      <c r="P33" s="22"/>
      <c r="Q33" s="19"/>
      <c r="R33" s="19"/>
      <c r="S33" s="19"/>
      <c r="T33" s="19"/>
      <c r="U33" s="19"/>
      <c r="V33" s="19"/>
      <c r="W33" s="19"/>
      <c r="X33" s="19"/>
      <c r="Y33" s="19"/>
      <c r="Z33" s="19"/>
    </row>
    <row r="34">
      <c r="A34" s="23">
        <v>33.0</v>
      </c>
      <c r="B34" s="24" t="s">
        <v>1426</v>
      </c>
      <c r="C34" s="24" t="s">
        <v>1427</v>
      </c>
      <c r="D34" s="24" t="s">
        <v>1428</v>
      </c>
      <c r="E34" s="24" t="s">
        <v>1429</v>
      </c>
      <c r="F34" s="21"/>
      <c r="G34" s="21"/>
      <c r="H34" s="4" t="str">
        <f>IFERROR(__xludf.DUMMYFUNCTION("GOOGLETRANSLATE(B34, ""en"", ""zh"")"),"一位功夫练习者在训练中使用“马步”。这种步法的主要好处是什么？")</f>
        <v>一位功夫练习者在训练中使用“马步”。这种步法的主要好处是什么？</v>
      </c>
      <c r="I34" s="4" t="str">
        <f>IFERROR(__xludf.DUMMYFUNCTION("GOOGLETRANSLATE(C34, ""en"", ""zh"")"),"A) 增强柔韧性，B) 提高灵活性，C) 增强下肢稳定性和力量，D) 提高速度")</f>
        <v>A) 增强柔韧性，B) 提高灵活性，C) 增强下肢稳定性和力量，D) 提高速度</v>
      </c>
      <c r="J34" s="4" t="str">
        <f>IFERROR(__xludf.DUMMYFUNCTION("GOOGLETRANSLATE(D34, ""en"", ""zh"")"),"C) 增强下肢的稳定性和力量")</f>
        <v>C) 增强下肢的稳定性和力量</v>
      </c>
      <c r="K34" s="4" t="str">
        <f>IFERROR(__xludf.DUMMYFUNCTION("GOOGLETRANSLATE(E34, ""en"", ""zh"")"),"马步可以增强腿部力量，提高平衡能力，为进攻和防守技术奠定坚实的基础。")</f>
        <v>马步可以增强腿部力量，提高平衡能力，为进攻和防守技术奠定坚实的基础。</v>
      </c>
      <c r="L34" s="22"/>
      <c r="M34" s="22"/>
      <c r="N34" s="22"/>
      <c r="O34" s="22"/>
      <c r="P34" s="22"/>
      <c r="Q34" s="19"/>
      <c r="R34" s="19"/>
      <c r="S34" s="19"/>
      <c r="T34" s="19"/>
      <c r="U34" s="19"/>
      <c r="V34" s="19"/>
      <c r="W34" s="19"/>
      <c r="X34" s="19"/>
      <c r="Y34" s="19"/>
      <c r="Z34" s="19"/>
    </row>
    <row r="35">
      <c r="A35" s="23">
        <v>34.0</v>
      </c>
      <c r="B35" s="24" t="s">
        <v>1430</v>
      </c>
      <c r="C35" s="24" t="s">
        <v>1431</v>
      </c>
      <c r="D35" s="24" t="s">
        <v>1432</v>
      </c>
      <c r="E35" s="24" t="s">
        <v>1433</v>
      </c>
      <c r="F35" s="21"/>
      <c r="G35" s="21"/>
      <c r="H35" s="4" t="str">
        <f>IFERROR(__xludf.DUMMYFUNCTION("GOOGLETRANSLATE(B35, ""en"", ""zh"")"),"在一场功夫比赛中，一名选手快速出拳，包括一系列刺拳和勾拳，然后迅速后退。这种战术的主要目的是什么？")</f>
        <v>在一场功夫比赛中，一名选手快速出拳，包括一系列刺拳和勾拳，然后迅速后退。这种战术的主要目的是什么？</v>
      </c>
      <c r="I35" s="4" t="str">
        <f>IFERROR(__xludf.DUMMYFUNCTION("GOOGLETRANSLATE(C35, ""en"", ""zh"")"),"A) 以力量压制对手，B) 试探对手的防守，C) 拉开距离并分析对手的反应，D) 消耗对手的体力")</f>
        <v>A) 以力量压制对手，B) 试探对手的防守，C) 拉开距离并分析对手的反应，D) 消耗对手的体力</v>
      </c>
      <c r="J35" s="4" t="str">
        <f>IFERROR(__xludf.DUMMYFUNCTION("GOOGLETRANSLATE(D35, ""en"", ""zh"")"),"C) 拉开距离并分析对手的反应")</f>
        <v>C) 拉开距离并分析对手的反应</v>
      </c>
      <c r="K35" s="4" t="str">
        <f>IFERROR(__xludf.DUMMYFUNCTION("GOOGLETRANSLATE(E35, ""en"", ""zh"")"),"通过快速进攻和撤退，练习者迫使对手做出反应，从而评估对手的防御能力。")</f>
        <v>通过快速进攻和撤退，练习者迫使对手做出反应，从而评估对手的防御能力。</v>
      </c>
      <c r="L35" s="22"/>
      <c r="M35" s="22"/>
      <c r="N35" s="22"/>
      <c r="O35" s="22"/>
      <c r="P35" s="22"/>
      <c r="Q35" s="19"/>
      <c r="R35" s="19"/>
      <c r="S35" s="19"/>
      <c r="T35" s="19"/>
      <c r="U35" s="19"/>
      <c r="V35" s="19"/>
      <c r="W35" s="19"/>
      <c r="X35" s="19"/>
      <c r="Y35" s="19"/>
      <c r="Z35" s="19"/>
    </row>
    <row r="36">
      <c r="A36" s="23">
        <v>35.0</v>
      </c>
      <c r="B36" s="24" t="s">
        <v>1434</v>
      </c>
      <c r="C36" s="24" t="s">
        <v>1435</v>
      </c>
      <c r="D36" s="24" t="s">
        <v>1436</v>
      </c>
      <c r="E36" s="24" t="s">
        <v>1437</v>
      </c>
      <c r="F36" s="21"/>
      <c r="G36" s="21"/>
      <c r="H36" s="4" t="str">
        <f>IFERROR(__xludf.DUMMYFUNCTION("GOOGLETRANSLATE(B36, ""en"", ""zh"")"),"一位功夫高手抬起膝盖，格挡对方踢来的腿击。这种防御技巧叫什么？")</f>
        <v>一位功夫高手抬起膝盖，格挡对方踢来的腿击。这种防御技巧叫什么？</v>
      </c>
      <c r="I36" s="4" t="str">
        <f>IFERROR(__xludf.DUMMYFUNCTION("GOOGLETRANSLATE(C36, ""en"", ""zh"")"),"A) 格挡，B) 格挡，C) 抓住，D) 防守")</f>
        <v>A) 格挡，B) 格挡，C) 抓住，D) 防守</v>
      </c>
      <c r="J36" s="4" t="str">
        <f>IFERROR(__xludf.DUMMYFUNCTION("GOOGLETRANSLATE(D36, ""en"", ""zh"")"),"B) 检查")</f>
        <v>B) 检查</v>
      </c>
      <c r="K36" s="4" t="str">
        <f>IFERROR(__xludf.DUMMYFUNCTION("GOOGLETRANSLATE(E36, ""en"", ""zh"")"),"“格挡”是指抬起膝盖来阻挡来袭的攻击，既能提供防御，又能创造反击的机会。")</f>
        <v>“格挡”是指抬起膝盖来阻挡来袭的攻击，既能提供防御，又能创造反击的机会。</v>
      </c>
      <c r="L36" s="22"/>
      <c r="M36" s="22"/>
      <c r="N36" s="22"/>
      <c r="O36" s="22"/>
      <c r="P36" s="22"/>
      <c r="Q36" s="19"/>
      <c r="R36" s="19"/>
      <c r="S36" s="19"/>
      <c r="T36" s="19"/>
      <c r="U36" s="19"/>
      <c r="V36" s="19"/>
      <c r="W36" s="19"/>
      <c r="X36" s="19"/>
      <c r="Y36" s="19"/>
      <c r="Z36" s="19"/>
    </row>
    <row r="37">
      <c r="A37" s="23">
        <v>36.0</v>
      </c>
      <c r="B37" s="24" t="s">
        <v>1438</v>
      </c>
      <c r="C37" s="24" t="s">
        <v>1439</v>
      </c>
      <c r="D37" s="24" t="s">
        <v>1440</v>
      </c>
      <c r="E37" s="24" t="s">
        <v>1441</v>
      </c>
      <c r="F37" s="21"/>
      <c r="G37" s="21"/>
      <c r="H37" s="4" t="str">
        <f>IFERROR(__xludf.DUMMYFUNCTION("GOOGLETRANSLATE(B37, ""en"", ""zh"")"),"一位功夫高手使用“北斗神拳”作为终结技。是什么让这招如此有效？")</f>
        <v>一位功夫高手使用“北斗神拳”作为终结技。是什么让这招如此有效？</v>
      </c>
      <c r="I37" s="4" t="str">
        <f>IFERROR(__xludf.DUMMYFUNCTION("GOOGLETRANSLATE(C37, ""en"", ""zh"")"),"A) 它以快速的连续拳击施展，B) 它精准地攻击弱点，C) 它以强大的力量压制对手，D) 它使用迷惑性的佯攻")</f>
        <v>A) 它以快速的连续拳击施展，B) 它精准地攻击弱点，C) 它以强大的力量压制对手，D) 它使用迷惑性的佯攻</v>
      </c>
      <c r="J37" s="4" t="str">
        <f>IFERROR(__xludf.DUMMYFUNCTION("GOOGLETRANSLATE(D37, ""en"", ""zh"")"),"B) 它能精准地攻击弱点。")</f>
        <v>B) 它能精准地攻击弱点。</v>
      </c>
      <c r="K37" s="4" t="str">
        <f>IFERROR(__xludf.DUMMYFUNCTION("GOOGLETRANSLATE(E37, ""en"", ""zh"")"),"这一招着重攻击对手身体的弱点，以精准度和准确性造成最大的打击。")</f>
        <v>这一招着重攻击对手身体的弱点，以精准度和准确性造成最大的打击。</v>
      </c>
      <c r="L37" s="22"/>
      <c r="M37" s="22"/>
      <c r="N37" s="22"/>
      <c r="O37" s="22"/>
      <c r="P37" s="22"/>
      <c r="Q37" s="19"/>
      <c r="R37" s="19"/>
      <c r="S37" s="19"/>
      <c r="T37" s="19"/>
      <c r="U37" s="19"/>
      <c r="V37" s="19"/>
      <c r="W37" s="19"/>
      <c r="X37" s="19"/>
      <c r="Y37" s="19"/>
      <c r="Z37" s="19"/>
    </row>
    <row r="38">
      <c r="A38" s="23">
        <v>37.0</v>
      </c>
      <c r="B38" s="40" t="s">
        <v>1442</v>
      </c>
      <c r="C38" s="40" t="s">
        <v>1443</v>
      </c>
      <c r="D38" s="40" t="s">
        <v>1444</v>
      </c>
      <c r="E38" s="40" t="s">
        <v>1445</v>
      </c>
      <c r="F38" s="41"/>
      <c r="G38" s="41"/>
      <c r="H38" s="4" t="str">
        <f>IFERROR(__xludf.DUMMYFUNCTION("GOOGLETRANSLATE(B38, ""en"", ""zh"")"),"一位功夫练习者使用“龙式”拳法与对手对战。这种拳法的独特之处是什么？")</f>
        <v>一位功夫练习者使用“龙式”拳法与对手对战。这种拳法的独特之处是什么？</v>
      </c>
      <c r="I38" s="4" t="str">
        <f>IFERROR(__xludf.DUMMYFUNCTION("GOOGLETRANSLATE(C38, ""en"", ""zh"")"),"A）注重高踢腿，B）采用低位站姿和防守技巧，C）强调流畅的圆形动作，D）运用重击")</f>
        <v>A）注重高踢腿，B）采用低位站姿和防守技巧，C）强调流畅的圆形动作，D）运用重击</v>
      </c>
      <c r="J38" s="4" t="str">
        <f>IFERROR(__xludf.DUMMYFUNCTION("GOOGLETRANSLATE(D38, ""en"", ""zh"")"),"C) 强调流畅和圆周运动")</f>
        <v>C) 强调流畅和圆周运动</v>
      </c>
      <c r="K38" s="4" t="str">
        <f>IFERROR(__xludf.DUMMYFUNCTION("GOOGLETRANSLATE(E38, ""en"", ""zh"")"),"龙式拳法强调流畅性和圆润的动作，利用身体的自然律动来精准地躲闪和攻击。")</f>
        <v>龙式拳法强调流畅性和圆润的动作，利用身体的自然律动来精准地躲闪和攻击。</v>
      </c>
      <c r="L38" s="39"/>
      <c r="M38" s="39"/>
      <c r="N38" s="39"/>
      <c r="O38" s="39"/>
      <c r="P38" s="39"/>
      <c r="Q38" s="19"/>
      <c r="R38" s="19"/>
      <c r="S38" s="19"/>
      <c r="T38" s="19"/>
      <c r="U38" s="19"/>
      <c r="V38" s="19"/>
      <c r="W38" s="19"/>
      <c r="X38" s="19"/>
      <c r="Y38" s="19"/>
      <c r="Z38" s="19"/>
    </row>
    <row r="39">
      <c r="A39" s="23">
        <v>38.0</v>
      </c>
      <c r="B39" s="24" t="s">
        <v>1446</v>
      </c>
      <c r="C39" s="24" t="s">
        <v>1447</v>
      </c>
      <c r="D39" s="24" t="s">
        <v>1448</v>
      </c>
      <c r="E39" s="24" t="s">
        <v>1449</v>
      </c>
      <c r="F39" s="21"/>
      <c r="G39" s="21"/>
      <c r="H39" s="4" t="str">
        <f>IFERROR(__xludf.DUMMYFUNCTION("GOOGLETRANSLATE(B39, ""en"", ""zh"")"),"在功夫对练中，一名习练者用前臂格挡对手的攻击，然后以拳击反击。这种技巧叫什么？")</f>
        <v>在功夫对练中，一名习练者用前臂格挡对手的攻击，然后以拳击反击。这种技巧叫什么？</v>
      </c>
      <c r="I39" s="4" t="str">
        <f>IFERROR(__xludf.DUMMYFUNCTION("GOOGLETRANSLATE(C39, ""en"", ""zh"")"),"A) 格挡反击，B) 格挡反击，C) 偏转反击，D) 接球反击")</f>
        <v>A) 格挡反击，B) 格挡反击，C) 偏转反击，D) 接球反击</v>
      </c>
      <c r="J39" s="4" t="str">
        <f>IFERROR(__xludf.DUMMYFUNCTION("GOOGLETRANSLATE(D39, ""en"", ""zh"")"),"A) 格挡与反击")</f>
        <v>A) 格挡与反击</v>
      </c>
      <c r="K39" s="4" t="str">
        <f>IFERROR(__xludf.DUMMYFUNCTION("GOOGLETRANSLATE(E39, ""en"", ""zh"")"),"“格挡反击”技巧是指先化解对手的攻击，然后立即进行反击。")</f>
        <v>“格挡反击”技巧是指先化解对手的攻击，然后立即进行反击。</v>
      </c>
      <c r="L39" s="22"/>
      <c r="M39" s="22"/>
      <c r="N39" s="22"/>
      <c r="O39" s="22"/>
      <c r="P39" s="22"/>
      <c r="Q39" s="19"/>
      <c r="R39" s="19"/>
      <c r="S39" s="19"/>
      <c r="T39" s="19"/>
      <c r="U39" s="19"/>
      <c r="V39" s="19"/>
      <c r="W39" s="19"/>
      <c r="X39" s="19"/>
      <c r="Y39" s="19"/>
      <c r="Z39" s="19"/>
    </row>
    <row r="40">
      <c r="A40" s="23">
        <v>39.0</v>
      </c>
      <c r="B40" s="24" t="s">
        <v>1450</v>
      </c>
      <c r="C40" s="24" t="s">
        <v>1451</v>
      </c>
      <c r="D40" s="24" t="s">
        <v>1452</v>
      </c>
      <c r="E40" s="24" t="s">
        <v>1453</v>
      </c>
      <c r="F40" s="21"/>
      <c r="G40" s="21"/>
      <c r="H40" s="4" t="str">
        <f>IFERROR(__xludf.DUMMYFUNCTION("GOOGLETRANSLATE(B40, ""en"", ""zh"")"),"一位功夫高手展示了一系列快速的肘击。在近身格斗中使用肘击的主要优势是什么？")</f>
        <v>一位功夫高手展示了一系列快速的肘击。在近身格斗中使用肘击的主要优势是什么？</v>
      </c>
      <c r="I40" s="4" t="str">
        <f>IFERROR(__xludf.DUMMYFUNCTION("GOOGLETRANSLATE(C40, ""en"", ""zh"")"),"A) 射程增加，B) 狭小空间内威力增强，C) 移动速度加快，D) 能够偏转攻击")</f>
        <v>A) 射程增加，B) 狭小空间内威力增强，C) 移动速度加快，D) 能够偏转攻击</v>
      </c>
      <c r="J40" s="4" t="str">
        <f>IFERROR(__xludf.DUMMYFUNCTION("GOOGLETRANSLATE(D40, ""en"", ""zh"")"),"B) 在狭小空间内增强功率")</f>
        <v>B) 在狭小空间内增强功率</v>
      </c>
      <c r="K40" s="4" t="str">
        <f>IFERROR(__xludf.DUMMYFUNCTION("GOOGLETRANSLATE(E40, ""en"", ""zh"")"),"肘击是威力强大的近距离攻击，能产生巨大的力量，因此在狭窄或缠斗的情况下非常有效。")</f>
        <v>肘击是威力强大的近距离攻击，能产生巨大的力量，因此在狭窄或缠斗的情况下非常有效。</v>
      </c>
      <c r="L40" s="22"/>
      <c r="M40" s="22"/>
      <c r="N40" s="22"/>
      <c r="O40" s="22"/>
      <c r="P40" s="22"/>
      <c r="Q40" s="19"/>
      <c r="R40" s="19"/>
      <c r="S40" s="19"/>
      <c r="T40" s="19"/>
      <c r="U40" s="19"/>
      <c r="V40" s="19"/>
      <c r="W40" s="19"/>
      <c r="X40" s="19"/>
      <c r="Y40" s="19"/>
      <c r="Z40" s="19"/>
    </row>
    <row r="41">
      <c r="A41" s="23">
        <v>40.0</v>
      </c>
      <c r="B41" s="24" t="s">
        <v>1454</v>
      </c>
      <c r="C41" s="24" t="s">
        <v>1455</v>
      </c>
      <c r="D41" s="24" t="s">
        <v>1456</v>
      </c>
      <c r="E41" s="24" t="s">
        <v>1457</v>
      </c>
      <c r="F41" s="21"/>
      <c r="G41" s="21"/>
      <c r="H41" s="4" t="str">
        <f>IFERROR(__xludf.DUMMYFUNCTION("GOOGLETRANSLATE(B41, ""en"", ""zh"")"),"一位功夫练习者正在练习“五形拳”。这种训练有助于培养哪些能力？")</f>
        <v>一位功夫练习者正在练习“五形拳”。这种训练有助于培养哪些能力？</v>
      </c>
      <c r="I41" s="4" t="str">
        <f>IFERROR(__xludf.DUMMYFUNCTION("GOOGLETRANSLATE(C41, ""en"", ""zh"")"),"A) 灵活性，B) 心理素质和专注力，C) 力量和敏捷性，D) 速度和反应时间")</f>
        <v>A) 灵活性，B) 心理素质和专注力，C) 力量和敏捷性，D) 速度和反应时间</v>
      </c>
      <c r="J41" s="4" t="str">
        <f>IFERROR(__xludf.DUMMYFUNCTION("GOOGLETRANSLATE(D41, ""en"", ""zh"")"),"C）力量和敏捷性")</f>
        <v>C）力量和敏捷性</v>
      </c>
      <c r="K41" s="4" t="str">
        <f>IFERROR(__xludf.DUMMYFUNCTION("GOOGLETRANSLATE(E41, ""en"", ""zh"")"),"“五形拳”融合了不同动物的动作，有助于增强力量、敏捷性和战斗中的灵活性。")</f>
        <v>“五形拳”融合了不同动物的动作，有助于增强力量、敏捷性和战斗中的灵活性。</v>
      </c>
      <c r="L41" s="22"/>
      <c r="M41" s="22"/>
      <c r="N41" s="21"/>
      <c r="O41" s="22"/>
      <c r="P41" s="22"/>
      <c r="Q41" s="19"/>
      <c r="R41" s="19"/>
      <c r="S41" s="19"/>
      <c r="T41" s="19"/>
      <c r="U41" s="19"/>
      <c r="V41" s="19"/>
      <c r="W41" s="19"/>
      <c r="X41" s="19"/>
      <c r="Y41" s="19"/>
      <c r="Z41" s="19"/>
    </row>
    <row r="42">
      <c r="A42" s="23">
        <v>41.0</v>
      </c>
      <c r="B42" s="24" t="s">
        <v>1458</v>
      </c>
      <c r="C42" s="24" t="s">
        <v>1459</v>
      </c>
      <c r="D42" s="24" t="s">
        <v>1460</v>
      </c>
      <c r="E42" s="24" t="s">
        <v>1461</v>
      </c>
      <c r="F42" s="21"/>
      <c r="G42" s="21"/>
      <c r="H42" s="4" t="str">
        <f>IFERROR(__xludf.DUMMYFUNCTION("GOOGLETRANSLATE(B42, ""en"", ""zh"")"),"在功夫比赛中，一名习练者会使出旋身后拳。这项技术的主要目的是什么？")</f>
        <v>在功夫比赛中，一名习练者会使出旋身后拳。这项技术的主要目的是什么？</v>
      </c>
      <c r="I42" s="4" t="str">
        <f>IFERROR(__xludf.DUMMYFUNCTION("GOOGLETRANSLATE(C42, ""en"", ""zh"")"),"A) 出其不意地攻击对手，B) 迷惑对手，C) 给予对手致命一击，D) 躲避")</f>
        <v>A) 出其不意地攻击对手，B) 迷惑对手，C) 给予对手致命一击，D) 躲避</v>
      </c>
      <c r="J42" s="4" t="str">
        <f>IFERROR(__xludf.DUMMYFUNCTION("GOOGLETRANSLATE(D42, ""en"", ""zh"")"),"A）出其不意地攻击对手")</f>
        <v>A）出其不意地攻击对手</v>
      </c>
      <c r="K42" s="4" t="str">
        <f>IFERROR(__xludf.DUMMYFUNCTION("GOOGLETRANSLATE(E42, ""en"", ""zh"")"),"旋转反拳通常用来以出其不意的角度出其不意地攻击对手，使对手更难防御或预判攻击。")</f>
        <v>旋转反拳通常用来以出其不意的角度出其不意地攻击对手，使对手更难防御或预判攻击。</v>
      </c>
      <c r="L42" s="22"/>
      <c r="M42" s="22"/>
      <c r="N42" s="22"/>
      <c r="O42" s="22"/>
      <c r="P42" s="22"/>
      <c r="Q42" s="19"/>
      <c r="R42" s="19"/>
      <c r="S42" s="19"/>
      <c r="T42" s="19"/>
      <c r="U42" s="19"/>
      <c r="V42" s="19"/>
      <c r="W42" s="19"/>
      <c r="X42" s="19"/>
      <c r="Y42" s="19"/>
      <c r="Z42" s="19"/>
    </row>
    <row r="43">
      <c r="A43" s="23">
        <v>42.0</v>
      </c>
      <c r="B43" s="24" t="s">
        <v>1462</v>
      </c>
      <c r="C43" s="24" t="s">
        <v>1463</v>
      </c>
      <c r="D43" s="24" t="s">
        <v>1464</v>
      </c>
      <c r="E43" s="24" t="s">
        <v>1465</v>
      </c>
      <c r="F43" s="21"/>
      <c r="G43" s="21"/>
      <c r="H43" s="4" t="str">
        <f>IFERROR(__xludf.DUMMYFUNCTION("GOOGLETRANSLATE(B43, ""en"", ""zh"")"),"功夫练习者在练习套路时会进行一系列缓慢而沉稳的动作。在训练中缓慢地进行技术动作的目的是什么？")</f>
        <v>功夫练习者在练习套路时会进行一系列缓慢而沉稳的动作。在训练中缓慢地进行技术动作的目的是什么？</v>
      </c>
      <c r="I43" s="4" t="str">
        <f>IFERROR(__xludf.DUMMYFUNCTION("GOOGLETRANSLATE(C43, ""en"", ""zh"")"),"A) 建立肌肉记忆，B) 提高速度，C) 使练习者疲惫，D) 展示力量")</f>
        <v>A) 建立肌肉记忆，B) 提高速度，C) 使练习者疲惫，D) 展示力量</v>
      </c>
      <c r="J43" s="4" t="str">
        <f>IFERROR(__xludf.DUMMYFUNCTION("GOOGLETRANSLATE(D43, ""en"", ""zh"")"),"A) 建立肌肉记忆")</f>
        <v>A) 建立肌肉记忆</v>
      </c>
      <c r="K43" s="4" t="str">
        <f>IFERROR(__xludf.DUMMYFUNCTION("GOOGLETRANSLATE(E43, ""en"", ""zh"")"),"缓慢的练习有助于完善技术并养成正确的动作模式，从而更容易在战斗中快速运用这些动作。")</f>
        <v>缓慢的练习有助于完善技术并养成正确的动作模式，从而更容易在战斗中快速运用这些动作。</v>
      </c>
      <c r="L43" s="21"/>
      <c r="M43" s="22"/>
      <c r="N43" s="21"/>
      <c r="O43" s="22"/>
      <c r="P43" s="22"/>
      <c r="Q43" s="19"/>
      <c r="R43" s="19"/>
      <c r="S43" s="19"/>
      <c r="T43" s="19"/>
      <c r="U43" s="19"/>
      <c r="V43" s="19"/>
      <c r="W43" s="19"/>
      <c r="X43" s="19"/>
      <c r="Y43" s="19"/>
      <c r="Z43" s="19"/>
    </row>
    <row r="44">
      <c r="A44" s="23">
        <v>43.0</v>
      </c>
      <c r="B44" s="24" t="s">
        <v>1466</v>
      </c>
      <c r="C44" s="24" t="s">
        <v>1467</v>
      </c>
      <c r="D44" s="24" t="s">
        <v>1468</v>
      </c>
      <c r="E44" s="24" t="s">
        <v>1469</v>
      </c>
      <c r="F44" s="21"/>
      <c r="G44" s="21"/>
      <c r="H44" s="4" t="str">
        <f>IFERROR(__xludf.DUMMYFUNCTION("GOOGLETRANSLATE(B44, ""en"", ""zh"")"),"在一场功夫比赛中，一名选手通过翻滚来躲避攻击。在这种情况下，翻滚的目的是什么？")</f>
        <v>在一场功夫比赛中，一名选手通过翻滚来躲避攻击。在这种情况下，翻滚的目的是什么？</v>
      </c>
      <c r="I44" s="4" t="str">
        <f>IFERROR(__xludf.DUMMYFUNCTION("GOOGLETRANSLATE(C44, ""en"", ""zh"")"),"A) 避免被击中并保持移动能力，B) 消耗对手体力，C) 快速重新定位，D) 增强力量")</f>
        <v>A) 避免被击中并保持移动能力，B) 消耗对手体力，C) 快速重新定位，D) 增强力量</v>
      </c>
      <c r="J44" s="4" t="str">
        <f>IFERROR(__xludf.DUMMYFUNCTION("GOOGLETRANSLATE(D44, ""en"", ""zh"")"),"A) 在保持移动的同时避免被击中")</f>
        <v>A) 在保持移动的同时避免被击中</v>
      </c>
      <c r="K44" s="4" t="str">
        <f>IFERROR(__xludf.DUMMYFUNCTION("GOOGLETRANSLATE(E44, ""en"", ""zh"")"),"翻滚可以让战士在移动中躲避攻击，随时准备反击或重新调整位置以施展后续技术。")</f>
        <v>翻滚可以让战士在移动中躲避攻击，随时准备反击或重新调整位置以施展后续技术。</v>
      </c>
      <c r="L44" s="22"/>
      <c r="M44" s="22"/>
      <c r="N44" s="22"/>
      <c r="O44" s="22"/>
      <c r="P44" s="22"/>
      <c r="Q44" s="19"/>
      <c r="R44" s="19"/>
      <c r="S44" s="19"/>
      <c r="T44" s="19"/>
      <c r="U44" s="19"/>
      <c r="V44" s="19"/>
      <c r="W44" s="19"/>
      <c r="X44" s="19"/>
      <c r="Y44" s="19"/>
      <c r="Z44" s="19"/>
    </row>
    <row r="45">
      <c r="A45" s="23">
        <v>44.0</v>
      </c>
      <c r="B45" s="24" t="s">
        <v>1470</v>
      </c>
      <c r="C45" s="24" t="s">
        <v>1471</v>
      </c>
      <c r="D45" s="24" t="s">
        <v>1472</v>
      </c>
      <c r="E45" s="24" t="s">
        <v>1473</v>
      </c>
      <c r="F45" s="21"/>
      <c r="G45" s="21"/>
      <c r="H45" s="4" t="str">
        <f>IFERROR(__xludf.DUMMYFUNCTION("GOOGLETRANSLATE(B45, ""en"", ""zh"")"),"在功夫搏斗中，练习者使用“双掌击”将对手击退。使用这种技巧的主要优势是什么？")</f>
        <v>在功夫搏斗中，练习者使用“双掌击”将对手击退。使用这种技巧的主要优势是什么？</v>
      </c>
      <c r="I45" s="4" t="str">
        <f>IFERROR(__xludf.DUMMYFUNCTION("GOOGLETRANSLATE(C45, ""en"", ""zh"")"),"A) 它可以突破对手的防御，B) 它可以产生最大威力，C) 它可以拉开战士与对手之间的距离，D) 它可以迷惑对手")</f>
        <v>A) 它可以突破对手的防御，B) 它可以产生最大威力，C) 它可以拉开战士与对手之间的距离，D) 它可以迷惑对手</v>
      </c>
      <c r="J45" s="4" t="str">
        <f>IFERROR(__xludf.DUMMYFUNCTION("GOOGLETRANSLATE(D45, ""en"", ""zh"")"),"C) 它拉开了战斗者和对手之间的距离")</f>
        <v>C) 它拉开了战斗者和对手之间的距离</v>
      </c>
      <c r="K45" s="4" t="str">
        <f>IFERROR(__xludf.DUMMYFUNCTION("GOOGLETRANSLATE(E45, ""en"", ""zh"")"),"双掌击常用于将对手击退，创造空间，使拳击手能够控制比赛中的距离。")</f>
        <v>双掌击常用于将对手击退，创造空间，使拳击手能够控制比赛中的距离。</v>
      </c>
      <c r="L45" s="22"/>
      <c r="M45" s="22"/>
      <c r="N45" s="22"/>
      <c r="O45" s="22"/>
      <c r="P45" s="22"/>
      <c r="Q45" s="19"/>
      <c r="R45" s="19"/>
      <c r="S45" s="19"/>
      <c r="T45" s="19"/>
      <c r="U45" s="19"/>
      <c r="V45" s="19"/>
      <c r="W45" s="19"/>
      <c r="X45" s="19"/>
      <c r="Y45" s="19"/>
      <c r="Z45" s="19"/>
    </row>
    <row r="46">
      <c r="A46" s="23">
        <v>45.0</v>
      </c>
      <c r="B46" s="24" t="s">
        <v>1474</v>
      </c>
      <c r="C46" s="24" t="s">
        <v>1475</v>
      </c>
      <c r="D46" s="24" t="s">
        <v>1476</v>
      </c>
      <c r="E46" s="24" t="s">
        <v>1477</v>
      </c>
      <c r="F46" s="21"/>
      <c r="G46" s="21"/>
      <c r="H46" s="4" t="str">
        <f>IFERROR(__xludf.DUMMYFUNCTION("GOOGLETRANSLATE(B46, ""en"", ""zh"")"),"一位功夫高手正在练习太极拳。太极拳训练的主要重点是什么？")</f>
        <v>一位功夫高手正在练习太极拳。太极拳训练的主要重点是什么？</v>
      </c>
      <c r="I46" s="4" t="str">
        <f>IFERROR(__xludf.DUMMYFUNCTION("GOOGLETRANSLATE(C46, ""en"", ""zh"")"),"A) 快速出击，B) 优雅流畅的动作，C) 力量训练，D) 速度和敏捷性")</f>
        <v>A) 快速出击，B) 优雅流畅的动作，C) 力量训练，D) 速度和敏捷性</v>
      </c>
      <c r="J46" s="4" t="str">
        <f>IFERROR(__xludf.DUMMYFUNCTION("GOOGLETRANSLATE(D46, ""en"", ""zh"")"),"B) 优雅流畅的动作")</f>
        <v>B) 优雅流畅的动作</v>
      </c>
      <c r="K46" s="4" t="str">
        <f>IFERROR(__xludf.DUMMYFUNCTION("GOOGLETRANSLATE(E46, ""en"", ""zh"")"),"太极拳以其缓慢、优雅的动作和对流畅性的强调而闻名，注重平衡、放松和内力的培养。")</f>
        <v>太极拳以其缓慢、优雅的动作和对流畅性的强调而闻名，注重平衡、放松和内力的培养。</v>
      </c>
      <c r="L46" s="22"/>
      <c r="M46" s="22"/>
      <c r="N46" s="21"/>
      <c r="O46" s="22"/>
      <c r="P46" s="22"/>
      <c r="Q46" s="19"/>
      <c r="R46" s="19"/>
      <c r="S46" s="19"/>
      <c r="T46" s="19"/>
      <c r="U46" s="19"/>
      <c r="V46" s="19"/>
      <c r="W46" s="19"/>
      <c r="X46" s="19"/>
      <c r="Y46" s="19"/>
      <c r="Z46" s="19"/>
    </row>
    <row r="47">
      <c r="A47" s="23">
        <v>46.0</v>
      </c>
      <c r="B47" s="24" t="s">
        <v>1478</v>
      </c>
      <c r="C47" s="24" t="s">
        <v>1479</v>
      </c>
      <c r="D47" s="24" t="s">
        <v>1480</v>
      </c>
      <c r="E47" s="24" t="s">
        <v>1481</v>
      </c>
      <c r="F47" s="21"/>
      <c r="G47" s="21"/>
      <c r="H47" s="4" t="str">
        <f>IFERROR(__xludf.DUMMYFUNCTION("GOOGLETRANSLATE(B47, ""en"", ""zh"")"),"在一次对练中，一位功夫练习者用后空翻躲开了对方的攻击。在实战中使用后空翻的目的是什么？")</f>
        <v>在一次对练中，一位功夫练习者用后空翻躲开了对方的攻击。在实战中使用后空翻的目的是什么？</v>
      </c>
      <c r="I47" s="4" t="str">
        <f>IFERROR(__xludf.DUMMYFUNCTION("GOOGLETRANSLATE(C47, ""en"", ""zh"")"),"A) 出其不意地攻击对手，B) 获得位置优势，C) 消耗对手的体力，D) 躲避攻击并拉开距离")</f>
        <v>A) 出其不意地攻击对手，B) 获得位置优势，C) 消耗对手的体力，D) 躲避攻击并拉开距离</v>
      </c>
      <c r="J47" s="4" t="str">
        <f>IFERROR(__xludf.DUMMYFUNCTION("GOOGLETRANSLATE(D47, ""en"", ""zh"")"),"D) 躲避攻击并拉开距离")</f>
        <v>D) 躲避攻击并拉开距离</v>
      </c>
      <c r="K47" s="4" t="str">
        <f>IFERROR(__xludf.DUMMYFUNCTION("GOOGLETRANSLATE(E47, ""en"", ""zh"")"),"后空翻是一种高级技巧，用于躲避攻击，同时拉开练习者和对手之间的距离，从而创造反击的机会。")</f>
        <v>后空翻是一种高级技巧，用于躲避攻击，同时拉开练习者和对手之间的距离，从而创造反击的机会。</v>
      </c>
      <c r="L47" s="21"/>
      <c r="M47" s="22"/>
      <c r="N47" s="21"/>
      <c r="O47" s="22"/>
      <c r="P47" s="22"/>
      <c r="Q47" s="19"/>
      <c r="R47" s="19"/>
      <c r="S47" s="19"/>
      <c r="T47" s="19"/>
      <c r="U47" s="19"/>
      <c r="V47" s="19"/>
      <c r="W47" s="19"/>
      <c r="X47" s="19"/>
      <c r="Y47" s="19"/>
      <c r="Z47" s="19"/>
    </row>
    <row r="48">
      <c r="A48" s="23">
        <v>47.0</v>
      </c>
      <c r="B48" s="24" t="s">
        <v>1482</v>
      </c>
      <c r="C48" s="24" t="s">
        <v>1483</v>
      </c>
      <c r="D48" s="24" t="s">
        <v>1484</v>
      </c>
      <c r="E48" s="24" t="s">
        <v>1485</v>
      </c>
      <c r="F48" s="21"/>
      <c r="G48" s="21"/>
      <c r="H48" s="4" t="str">
        <f>IFERROR(__xludf.DUMMYFUNCTION("GOOGLETRANSLATE(B48, ""en"", ""zh"")"),"功夫练习者运用“内力”施展技法。功夫中的“内力”指的是什么？")</f>
        <v>功夫练习者运用“内力”施展技法。功夫中的“内力”指的是什么？</v>
      </c>
      <c r="I48" s="4" t="str">
        <f>IFERROR(__xludf.DUMMYFUNCTION("GOOGLETRANSLATE(C48, ""en"", ""zh"")"),"A) 出拳的速度和力量，B) 精神集中和对气（能量）的控制，C) 肌肉力量，D) 以最大力量击打的能力")</f>
        <v>A) 出拳的速度和力量，B) 精神集中和对气（能量）的控制，C) 肌肉力量，D) 以最大力量击打的能力</v>
      </c>
      <c r="J48" s="4" t="str">
        <f>IFERROR(__xludf.DUMMYFUNCTION("GOOGLETRANSLATE(D48, ""en"", ""zh"")"),"B) 精神集中和气（能量）控制")</f>
        <v>B) 精神集中和气（能量）控制</v>
      </c>
      <c r="K48" s="4" t="str">
        <f>IFERROR(__xludf.DUMMYFUNCTION("GOOGLETRANSLATE(E48, ""en"", ""zh"")"),"“内力”是指控制和引导身体内部能量（气）以提高力量、专注力和战斗效率的能力。")</f>
        <v>“内力”是指控制和引导身体内部能量（气）以提高力量、专注力和战斗效率的能力。</v>
      </c>
      <c r="L48" s="22"/>
      <c r="M48" s="22"/>
      <c r="N48" s="22"/>
      <c r="O48" s="22"/>
      <c r="P48" s="22"/>
      <c r="Q48" s="19"/>
      <c r="R48" s="19"/>
      <c r="S48" s="19"/>
      <c r="T48" s="19"/>
      <c r="U48" s="19"/>
      <c r="V48" s="19"/>
      <c r="W48" s="19"/>
      <c r="X48" s="19"/>
      <c r="Y48" s="19"/>
      <c r="Z48" s="19"/>
    </row>
    <row r="49">
      <c r="A49" s="23">
        <v>48.0</v>
      </c>
      <c r="B49" s="24" t="s">
        <v>1486</v>
      </c>
      <c r="C49" s="24" t="s">
        <v>1487</v>
      </c>
      <c r="D49" s="24" t="s">
        <v>1488</v>
      </c>
      <c r="E49" s="24" t="s">
        <v>1489</v>
      </c>
      <c r="F49" s="21"/>
      <c r="G49" s="21"/>
      <c r="H49" s="4" t="str">
        <f>IFERROR(__xludf.DUMMYFUNCTION("GOOGLETRANSLATE(B49, ""en"", ""zh"")"),"在功夫比赛中，选手会使用快速的拳脚组合。在功夫中使用组合拳的主要好处是什么？")</f>
        <v>在功夫比赛中，选手会使用快速的拳脚组合。在功夫中使用组合拳的主要好处是什么？</v>
      </c>
      <c r="I49" s="4" t="str">
        <f>IFERROR(__xludf.DUMMYFUNCTION("GOOGLETRANSLATE(C49, ""en"", ""zh"")"),"A) 以力量压制对手，B) 突破对手的防守并创造机会，C) 迷惑对手，D) 消耗对手的体力")</f>
        <v>A) 以力量压制对手，B) 突破对手的防守并创造机会，C) 迷惑对手，D) 消耗对手的体力</v>
      </c>
      <c r="J49" s="4" t="str">
        <f>IFERROR(__xludf.DUMMYFUNCTION("GOOGLETRANSLATE(D49, ""en"", ""zh"")"),"B）突破对手的防守，创造进攻机会")</f>
        <v>B）突破对手的防守，创造进攻机会</v>
      </c>
      <c r="K49" s="4" t="str">
        <f>IFERROR(__xludf.DUMMYFUNCTION("GOOGLETRANSLATE(E49, ""en"", ""zh"")"),"结合不同的技术迫使对手防御多种攻击，从而增加找到机会进行决定性打击的机会。")</f>
        <v>结合不同的技术迫使对手防御多种攻击，从而增加找到机会进行决定性打击的机会。</v>
      </c>
      <c r="L49" s="22"/>
      <c r="M49" s="22"/>
      <c r="N49" s="22"/>
      <c r="O49" s="22"/>
      <c r="P49" s="22"/>
      <c r="Q49" s="19"/>
      <c r="R49" s="19"/>
      <c r="S49" s="19"/>
      <c r="T49" s="19"/>
      <c r="U49" s="19"/>
      <c r="V49" s="19"/>
      <c r="W49" s="19"/>
      <c r="X49" s="19"/>
      <c r="Y49" s="19"/>
      <c r="Z49" s="19"/>
    </row>
    <row r="50">
      <c r="A50" s="23">
        <v>49.0</v>
      </c>
      <c r="B50" s="24" t="s">
        <v>1490</v>
      </c>
      <c r="C50" s="24" t="s">
        <v>1491</v>
      </c>
      <c r="D50" s="24" t="s">
        <v>1492</v>
      </c>
      <c r="E50" s="24" t="s">
        <v>1493</v>
      </c>
      <c r="F50" s="21"/>
      <c r="G50" s="21"/>
      <c r="H50" s="4" t="str">
        <f>IFERROR(__xludf.DUMMYFUNCTION("GOOGLETRANSLATE(B50, ""en"", ""zh"")"),"一位功夫练习者在对练中使出一记高扫腿。扫腿在实战中的主要目的是什么？")</f>
        <v>一位功夫练习者在对练中使出一记高扫腿。扫腿在实战中的主要目的是什么？</v>
      </c>
      <c r="I50" s="4" t="str">
        <f>IFERROR(__xludf.DUMMYFUNCTION("GOOGLETRANSLATE(C50, ""en"", ""zh"")"),"A) 使对手失去平衡，B) 对头部进行强力打击，C) 提高机动性，D) 迷惑对手")</f>
        <v>A) 使对手失去平衡，B) 对头部进行强力打击，C) 提高机动性，D) 迷惑对手</v>
      </c>
      <c r="J50" s="4" t="str">
        <f>IFERROR(__xludf.DUMMYFUNCTION("GOOGLETRANSLATE(D50, ""en"", ""zh"")"),"A) 使对手失去平衡")</f>
        <v>A) 使对手失去平衡</v>
      </c>
      <c r="K50" s="4" t="str">
        <f>IFERROR(__xludf.DUMMYFUNCTION("GOOGLETRANSLATE(E50, ""en"", ""zh"")"),"扫踢旨在攻击对手的下半身或腿部，使对手失去平衡，从而更容易进行地面打击或其他技术。")</f>
        <v>扫踢旨在攻击对手的下半身或腿部，使对手失去平衡，从而更容易进行地面打击或其他技术。</v>
      </c>
      <c r="L50" s="22"/>
      <c r="M50" s="22"/>
      <c r="N50" s="22"/>
      <c r="O50" s="39"/>
      <c r="P50" s="22"/>
      <c r="Q50" s="19"/>
      <c r="R50" s="19"/>
      <c r="S50" s="19"/>
      <c r="T50" s="19"/>
      <c r="U50" s="19"/>
      <c r="V50" s="19"/>
      <c r="W50" s="19"/>
      <c r="X50" s="19"/>
      <c r="Y50" s="19"/>
      <c r="Z50" s="19"/>
    </row>
    <row r="51">
      <c r="A51" s="23">
        <v>50.0</v>
      </c>
      <c r="B51" s="24" t="s">
        <v>1494</v>
      </c>
      <c r="C51" s="24" t="s">
        <v>1495</v>
      </c>
      <c r="D51" s="24" t="s">
        <v>1496</v>
      </c>
      <c r="E51" s="24" t="s">
        <v>1497</v>
      </c>
      <c r="F51" s="21"/>
      <c r="G51" s="21"/>
      <c r="H51" s="4" t="str">
        <f>IFERROR(__xludf.DUMMYFUNCTION("GOOGLETRANSLATE(B51, ""en"", ""zh"")"),"在功夫中，习练者运用“蛇形拳”击败对手。这种拳法的主要特点是什么？")</f>
        <v>在功夫中，习练者运用“蛇形拳”击败对手。这种拳法的主要特点是什么？</v>
      </c>
      <c r="I51" s="4" t="str">
        <f>IFERROR(__xludf.DUMMYFUNCTION("GOOGLETRANSLATE(C51, ""en"", ""zh"")"),"A) 快速而灵活的打击，B) 强劲而缓慢的动作，C) 防御性和圆形攻击，D) 平衡且扎实的打击")</f>
        <v>A) 快速而灵活的打击，B) 强劲而缓慢的动作，C) 防御性和圆形攻击，D) 平衡且扎实的打击</v>
      </c>
      <c r="J51" s="4" t="str">
        <f>IFERROR(__xludf.DUMMYFUNCTION("GOOGLETRANSLATE(D51, ""en"", ""zh"")"),"A) 快速而难以捉摸的攻击")</f>
        <v>A) 快速而难以捉摸的攻击</v>
      </c>
      <c r="K51" s="4" t="str">
        <f>IFERROR(__xludf.DUMMYFUNCTION("GOOGLETRANSLATE(E51, ""en"", ""zh"")"),"蛇形拳注重快速、蛇形的动作和迷惑性的攻击，利用练习者的敏捷性来躲避和精准地攻击。")</f>
        <v>蛇形拳注重快速、蛇形的动作和迷惑性的攻击，利用练习者的敏捷性来躲避和精准地攻击。</v>
      </c>
      <c r="L51" s="22"/>
      <c r="M51" s="22"/>
      <c r="N51" s="21"/>
      <c r="O51" s="22"/>
      <c r="P51" s="22"/>
      <c r="Q51" s="19"/>
      <c r="R51" s="19"/>
      <c r="S51" s="19"/>
      <c r="T51" s="19"/>
      <c r="U51" s="19"/>
      <c r="V51" s="19"/>
      <c r="W51" s="19"/>
      <c r="X51" s="19"/>
      <c r="Y51" s="19"/>
      <c r="Z51" s="19"/>
    </row>
    <row r="52">
      <c r="A52" s="23">
        <v>51.0</v>
      </c>
      <c r="B52" s="24" t="s">
        <v>1498</v>
      </c>
      <c r="C52" s="24" t="s">
        <v>1499</v>
      </c>
      <c r="D52" s="24" t="s">
        <v>1500</v>
      </c>
      <c r="E52" s="24" t="s">
        <v>1501</v>
      </c>
      <c r="F52" s="21"/>
      <c r="G52" s="21"/>
      <c r="H52" s="4" t="str">
        <f>IFERROR(__xludf.DUMMYFUNCTION("GOOGLETRANSLATE(B52, ""en"", ""zh"")"),"在功夫训练中，一名学生正在练习深呼吸。为什么深呼吸在功夫中如此重要？")</f>
        <v>在功夫训练中，一名学生正在练习深呼吸。为什么深呼吸在功夫中如此重要？</v>
      </c>
      <c r="I52" s="4" t="str">
        <f>IFERROR(__xludf.DUMMYFUNCTION("GOOGLETRANSLATE(C52, ""en"", ""zh"")"),"A) 增强耐力，B) 提高专注力和能量流动，C) 消耗对手体力，D) 提高速度")</f>
        <v>A) 增强耐力，B) 提高专注力和能量流动，C) 消耗对手体力，D) 提高速度</v>
      </c>
      <c r="J52" s="4" t="str">
        <f>IFERROR(__xludf.DUMMYFUNCTION("GOOGLETRANSLATE(D52, ""en"", ""zh"")"),"B) 改善专注力和能量流动")</f>
        <v>B) 改善专注力和能量流动</v>
      </c>
      <c r="K52" s="4" t="str">
        <f>IFERROR(__xludf.DUMMYFUNCTION("GOOGLETRANSLATE(E52, ""en"", ""zh"")"),"深呼吸有助于练习者集中精神，控制能量（气），增强体能和战斗表现。")</f>
        <v>深呼吸有助于练习者集中精神，控制能量（气），增强体能和战斗表现。</v>
      </c>
      <c r="L52" s="22"/>
      <c r="M52" s="22"/>
      <c r="N52" s="21"/>
      <c r="O52" s="22"/>
      <c r="P52" s="22"/>
      <c r="Q52" s="19"/>
      <c r="R52" s="19"/>
      <c r="S52" s="19"/>
      <c r="T52" s="19"/>
      <c r="U52" s="19"/>
      <c r="V52" s="19"/>
      <c r="W52" s="19"/>
      <c r="X52" s="19"/>
      <c r="Y52" s="19"/>
      <c r="Z52" s="19"/>
    </row>
    <row r="53">
      <c r="A53" s="42">
        <v>52.0</v>
      </c>
      <c r="B53" s="24" t="s">
        <v>1502</v>
      </c>
      <c r="C53" s="24" t="s">
        <v>1503</v>
      </c>
      <c r="D53" s="24" t="s">
        <v>1504</v>
      </c>
      <c r="E53" s="24" t="s">
        <v>1505</v>
      </c>
      <c r="F53" s="21"/>
      <c r="G53" s="21"/>
      <c r="H53" s="4" t="str">
        <f>IFERROR(__xludf.DUMMYFUNCTION("GOOGLETRANSLATE(B53, ""en"", ""zh"")"),"功夫的核心原则是什么？它强调以最小的努力达到最大的效果。")</f>
        <v>功夫的核心原则是什么？它强调以最小的努力达到最大的效果。</v>
      </c>
      <c r="I53" s="4" t="str">
        <f>IFERROR(__xludf.DUMMYFUNCTION("GOOGLETRANSLATE(C53, ""en"", ""zh"")"),"A) 池，B) 展庄，C) 吴伟，D) 静")</f>
        <v>A) 池，B) 展庄，C) 吴伟，D) 静</v>
      </c>
      <c r="J53" s="4" t="str">
        <f>IFERROR(__xludf.DUMMYFUNCTION("GOOGLETRANSLATE(D53, ""en"", ""zh"")"),"C) 吴伟")</f>
        <v>C) 吴伟</v>
      </c>
      <c r="K53" s="4" t="str">
        <f>IFERROR(__xludf.DUMMYFUNCTION("GOOGLETRANSLATE(E53, ""en"", ""zh"")"),"无为是行动的原则，它讲究自然流畅，用最小的努力去完成动作。")</f>
        <v>无为是行动的原则，它讲究自然流畅，用最小的努力去完成动作。</v>
      </c>
      <c r="L53" s="22"/>
      <c r="M53" s="22"/>
      <c r="N53" s="22"/>
      <c r="O53" s="22"/>
      <c r="P53" s="21"/>
      <c r="Q53" s="19"/>
      <c r="R53" s="19"/>
      <c r="S53" s="19"/>
      <c r="T53" s="19"/>
      <c r="U53" s="19"/>
      <c r="V53" s="19"/>
      <c r="W53" s="19"/>
      <c r="X53" s="19"/>
      <c r="Y53" s="19"/>
      <c r="Z53" s="19"/>
    </row>
    <row r="54">
      <c r="A54" s="42">
        <v>53.0</v>
      </c>
      <c r="B54" s="24" t="s">
        <v>1506</v>
      </c>
      <c r="C54" s="24" t="s">
        <v>1507</v>
      </c>
      <c r="D54" s="24" t="s">
        <v>1340</v>
      </c>
      <c r="E54" s="24" t="s">
        <v>1508</v>
      </c>
      <c r="F54" s="21"/>
      <c r="G54" s="21"/>
      <c r="H54" s="4" t="str">
        <f>IFERROR(__xludf.DUMMYFUNCTION("GOOGLETRANSLATE(B54, ""en"", ""zh"")"),"哪种功夫的特​​点是运用速度和精准度来制服对手？")</f>
        <v>哪种功夫的特​​点是运用速度和精准度来制服对手？</v>
      </c>
      <c r="I54" s="4" t="str">
        <f>IFERROR(__xludf.DUMMYFUNCTION("GOOGLETRANSLATE(C54, ""en"", ""zh"")"),"A) 咏春拳、B) 少林拳、C) 太极拳、D) 武术")</f>
        <v>A) 咏春拳、B) 少林拳、C) 太极拳、D) 武术</v>
      </c>
      <c r="J54" s="4" t="str">
        <f>IFERROR(__xludf.DUMMYFUNCTION("GOOGLETRANSLATE(D54, ""en"", ""zh"")"),"A)咏春拳")</f>
        <v>A)咏春拳</v>
      </c>
      <c r="K54" s="4" t="str">
        <f>IFERROR(__xludf.DUMMYFUNCTION("GOOGLETRANSLATE(E54, ""en"", ""zh"")"),"咏春拳强调快速、精准的打击和近身搏斗，以迅速制服对手。")</f>
        <v>咏春拳强调快速、精准的打击和近身搏斗，以迅速制服对手。</v>
      </c>
      <c r="L54" s="21"/>
      <c r="M54" s="22"/>
      <c r="N54" s="21"/>
      <c r="O54" s="22"/>
      <c r="P54" s="22"/>
      <c r="Q54" s="19"/>
      <c r="R54" s="19"/>
      <c r="S54" s="19"/>
      <c r="T54" s="19"/>
      <c r="U54" s="19"/>
      <c r="V54" s="19"/>
      <c r="W54" s="19"/>
      <c r="X54" s="19"/>
      <c r="Y54" s="19"/>
      <c r="Z54" s="19"/>
    </row>
    <row r="55">
      <c r="A55" s="42">
        <v>54.0</v>
      </c>
      <c r="B55" s="24" t="s">
        <v>1509</v>
      </c>
      <c r="C55" s="24" t="s">
        <v>1510</v>
      </c>
      <c r="D55" s="24" t="s">
        <v>1316</v>
      </c>
      <c r="E55" s="24" t="s">
        <v>1511</v>
      </c>
      <c r="F55" s="21"/>
      <c r="G55" s="21"/>
      <c r="H55" s="4" t="str">
        <f>IFERROR(__xludf.DUMMYFUNCTION("GOOGLETRANSLATE(B55, ""en"", ""zh"")"),"哪种功夫流派以注重灵活性、流畅的动作和柔和的技巧而闻名？")</f>
        <v>哪种功夫流派以注重灵活性、流畅的动作和柔和的技巧而闻名？</v>
      </c>
      <c r="I55" s="4" t="str">
        <f>IFERROR(__xludf.DUMMYFUNCTION("GOOGLETRANSLATE(C55, ""en"", ""zh"")"),"A) 八卦掌、B) 太极拳、C) 少林寺、D) 武术")</f>
        <v>A) 八卦掌、B) 太极拳、C) 少林寺、D) 武术</v>
      </c>
      <c r="J55" s="4" t="str">
        <f>IFERROR(__xludf.DUMMYFUNCTION("GOOGLETRANSLATE(D55, ""en"", ""zh"")"),"B) 太极拳")</f>
        <v>B) 太极拳</v>
      </c>
      <c r="K55" s="4" t="str">
        <f>IFERROR(__xludf.DUMMYFUNCTION("GOOGLETRANSLATE(E55, ""en"", ""zh"")"),"太极拳是一种柔和的运动风格，强调缓慢、流畅的动作，以促进健康和平衡。")</f>
        <v>太极拳是一种柔和的运动风格，强调缓慢、流畅的动作，以促进健康和平衡。</v>
      </c>
      <c r="L55" s="21"/>
      <c r="M55" s="22"/>
      <c r="N55" s="21"/>
      <c r="O55" s="22"/>
      <c r="P55" s="22"/>
      <c r="Q55" s="19"/>
      <c r="R55" s="19"/>
      <c r="S55" s="19"/>
      <c r="T55" s="19"/>
      <c r="U55" s="19"/>
      <c r="V55" s="19"/>
      <c r="W55" s="19"/>
      <c r="X55" s="19"/>
      <c r="Y55" s="19"/>
      <c r="Z55" s="19"/>
    </row>
    <row r="56">
      <c r="A56" s="42">
        <v>55.0</v>
      </c>
      <c r="B56" s="24" t="s">
        <v>1512</v>
      </c>
      <c r="C56" s="24" t="s">
        <v>1513</v>
      </c>
      <c r="D56" s="24" t="s">
        <v>1316</v>
      </c>
      <c r="E56" s="24" t="s">
        <v>1514</v>
      </c>
      <c r="F56" s="21"/>
      <c r="G56" s="21"/>
      <c r="H56" s="4" t="str">
        <f>IFERROR(__xludf.DUMMYFUNCTION("GOOGLETRANSLATE(B56, ""en"", ""zh"")"),"哪种功夫流派以反击和转移对手能量而闻名？")</f>
        <v>哪种功夫流派以反击和转移对手能量而闻名？</v>
      </c>
      <c r="I56" s="4" t="str">
        <f>IFERROR(__xludf.DUMMYFUNCTION("GOOGLETRANSLATE(C56, ""en"", ""zh"")"),"A) 咏春拳、B) 太极拳、C) 洪拳、D) 螳螂")</f>
        <v>A) 咏春拳、B) 太极拳、C) 洪拳、D) 螳螂</v>
      </c>
      <c r="J56" s="4" t="str">
        <f>IFERROR(__xludf.DUMMYFUNCTION("GOOGLETRANSLATE(D56, ""en"", ""zh"")"),"B) 太极拳")</f>
        <v>B) 太极拳</v>
      </c>
      <c r="K56" s="4" t="str">
        <f>IFERROR(__xludf.DUMMYFUNCTION("GOOGLETRANSLATE(E56, ""en"", ""zh"")"),"太极拳强调通过流畅的动作来引导对手的能量并进行反击。")</f>
        <v>太极拳强调通过流畅的动作来引导对手的能量并进行反击。</v>
      </c>
      <c r="L56" s="22"/>
      <c r="M56" s="22"/>
      <c r="N56" s="21"/>
      <c r="O56" s="22"/>
      <c r="P56" s="21"/>
      <c r="Q56" s="19"/>
      <c r="R56" s="19"/>
      <c r="S56" s="19"/>
      <c r="T56" s="19"/>
      <c r="U56" s="19"/>
      <c r="V56" s="19"/>
      <c r="W56" s="19"/>
      <c r="X56" s="19"/>
      <c r="Y56" s="19"/>
      <c r="Z56" s="19"/>
    </row>
    <row r="57">
      <c r="A57" s="42">
        <v>56.0</v>
      </c>
      <c r="B57" s="24" t="s">
        <v>1515</v>
      </c>
      <c r="C57" s="24" t="s">
        <v>1516</v>
      </c>
      <c r="D57" s="24" t="s">
        <v>1517</v>
      </c>
      <c r="E57" s="24" t="s">
        <v>1518</v>
      </c>
      <c r="F57" s="21"/>
      <c r="G57" s="21"/>
      <c r="H57" s="4" t="str">
        <f>IFERROR(__xludf.DUMMYFUNCTION("GOOGLETRANSLATE(B57, ""en"", ""zh"")"),"哪种功夫流派以强调强劲快速的打击和低姿态而闻名？")</f>
        <v>哪种功夫流派以强调强劲快速的打击和低姿态而闻名？</v>
      </c>
      <c r="I57" s="4" t="str">
        <f>IFERROR(__xludf.DUMMYFUNCTION("GOOGLETRANSLATE(C57, ""en"", ""zh"")"),"A) 洪拳、B) 咏春、C) 太极、D) 八卦掌")</f>
        <v>A) 洪拳、B) 咏春、C) 太极、D) 八卦掌</v>
      </c>
      <c r="J57" s="4" t="str">
        <f>IFERROR(__xludf.DUMMYFUNCTION("GOOGLETRANSLATE(D57, ""en"", ""zh"")"),"A)洪拳")</f>
        <v>A)洪拳</v>
      </c>
      <c r="K57" s="4" t="str">
        <f>IFERROR(__xludf.DUMMYFUNCTION("GOOGLETRANSLATE(E57, ""en"", ""zh"")"),"洪拳以其强劲的低位站姿和快速有力的打击而闻名。")</f>
        <v>洪拳以其强劲的低位站姿和快速有力的打击而闻名。</v>
      </c>
      <c r="L57" s="22"/>
      <c r="M57" s="22"/>
      <c r="N57" s="22"/>
      <c r="O57" s="22"/>
      <c r="P57" s="22"/>
      <c r="Q57" s="19"/>
      <c r="R57" s="19"/>
      <c r="S57" s="19"/>
      <c r="T57" s="19"/>
      <c r="U57" s="19"/>
      <c r="V57" s="19"/>
      <c r="W57" s="19"/>
      <c r="X57" s="19"/>
      <c r="Y57" s="19"/>
      <c r="Z57" s="19"/>
    </row>
    <row r="58">
      <c r="A58" s="23">
        <v>57.0</v>
      </c>
      <c r="B58" s="12" t="s">
        <v>1519</v>
      </c>
      <c r="C58" s="12" t="s">
        <v>1520</v>
      </c>
      <c r="D58" s="12" t="s">
        <v>1521</v>
      </c>
      <c r="E58" s="43"/>
      <c r="F58" s="21"/>
      <c r="G58" s="21"/>
      <c r="H58" s="4" t="str">
        <f>IFERROR(__xludf.DUMMYFUNCTION("GOOGLETRANSLATE(B58, ""en"", ""zh"")"),"在实战练习中，对手攻击你的左侧。你如何应对？")</f>
        <v>在实战练习中，对手攻击你的左侧。你如何应对？</v>
      </c>
      <c r="I58" s="4" t="str">
        <f>IFERROR(__xludf.DUMMYFUNCTION("GOOGLETRANSLATE(C58, ""en"", ""zh"")"),"A) 格挡反击 B) 无视 C) 向后闪避 D) 向前迈步")</f>
        <v>A) 格挡反击 B) 无视 C) 向后闪避 D) 向前迈步</v>
      </c>
      <c r="J58" s="4" t="str">
        <f>IFERROR(__xludf.DUMMYFUNCTION("GOOGLETRANSLATE(D58, ""en"", ""zh"")"),"A) 格挡和反击")</f>
        <v>A) 格挡和反击</v>
      </c>
      <c r="K58" s="4" t="str">
        <f>IFERROR(__xludf.DUMMYFUNCTION("GOOGLETRANSLATE(E58, ""en"", ""zh"")"),"#VALUE!")</f>
        <v>#VALUE!</v>
      </c>
      <c r="L58" s="21"/>
      <c r="M58" s="21"/>
      <c r="N58" s="21"/>
      <c r="O58" s="21"/>
      <c r="P58" s="21"/>
      <c r="Q58" s="19"/>
      <c r="R58" s="19"/>
      <c r="S58" s="19"/>
      <c r="T58" s="19"/>
      <c r="U58" s="19"/>
      <c r="V58" s="19"/>
      <c r="W58" s="19"/>
      <c r="X58" s="19"/>
      <c r="Y58" s="19"/>
      <c r="Z58" s="19"/>
    </row>
    <row r="59">
      <c r="A59" s="23">
        <v>58.0</v>
      </c>
      <c r="B59" s="12" t="s">
        <v>1522</v>
      </c>
      <c r="C59" s="12" t="s">
        <v>1523</v>
      </c>
      <c r="D59" s="12" t="s">
        <v>1524</v>
      </c>
      <c r="E59" s="43"/>
      <c r="F59" s="21"/>
      <c r="G59" s="21"/>
      <c r="H59" s="4" t="str">
        <f>IFERROR(__xludf.DUMMYFUNCTION("GOOGLETRANSLATE(B59, ""en"", ""zh"")"),"你发现对手防守中存在漏洞。你最好的应对策略是什么？")</f>
        <v>你发现对手防守中存在漏洞。你最好的应对策略是什么？</v>
      </c>
      <c r="I59" s="4" t="str">
        <f>IFERROR(__xludf.DUMMYFUNCTION("GOOGLETRANSLATE(C59, ""en"", ""zh"")"),"A) 立即攻击 B) 等待 C) 撤退 D) 佯攻")</f>
        <v>A) 立即攻击 B) 等待 C) 撤退 D) 佯攻</v>
      </c>
      <c r="J59" s="4" t="str">
        <f>IFERROR(__xludf.DUMMYFUNCTION("GOOGLETRANSLATE(D59, ""en"", ""zh"")"),"A) 立即打击")</f>
        <v>A) 立即打击</v>
      </c>
      <c r="K59" s="4" t="str">
        <f>IFERROR(__xludf.DUMMYFUNCTION("GOOGLETRANSLATE(E59, ""en"", ""zh"")"),"#VALUE!")</f>
        <v>#VALUE!</v>
      </c>
      <c r="L59" s="21"/>
      <c r="M59" s="21"/>
      <c r="N59" s="21"/>
      <c r="O59" s="21"/>
      <c r="P59" s="21"/>
      <c r="Q59" s="19"/>
      <c r="R59" s="19"/>
      <c r="S59" s="19"/>
      <c r="T59" s="19"/>
      <c r="U59" s="19"/>
      <c r="V59" s="19"/>
      <c r="W59" s="19"/>
      <c r="X59" s="19"/>
      <c r="Y59" s="19"/>
      <c r="Z59" s="19"/>
    </row>
    <row r="60">
      <c r="A60" s="23">
        <v>59.0</v>
      </c>
      <c r="B60" s="12" t="s">
        <v>1525</v>
      </c>
      <c r="C60" s="12" t="s">
        <v>1526</v>
      </c>
      <c r="D60" s="12" t="s">
        <v>1527</v>
      </c>
      <c r="E60" s="43"/>
      <c r="F60" s="21"/>
      <c r="G60" s="21"/>
      <c r="H60" s="4" t="str">
        <f>IFERROR(__xludf.DUMMYFUNCTION("GOOGLETRANSLATE(B60, ""en"", ""zh"")"),"对手先虚晃一招打高位，然后突然低位攻击。你应该如何应对？")</f>
        <v>对手先虚晃一招打高位，然后突然低位攻击。你应该如何应对？</v>
      </c>
      <c r="I60" s="4" t="str">
        <f>IFERROR(__xludf.DUMMYFUNCTION("GOOGLETRANSLATE(C60, ""en"", ""zh"")"),"A) 调整防守姿势 B) 忽略 C) 向前迈步 D) 跳跃")</f>
        <v>A) 调整防守姿势 B) 忽略 C) 向前迈步 D) 跳跃</v>
      </c>
      <c r="J60" s="4" t="str">
        <f>IFERROR(__xludf.DUMMYFUNCTION("GOOGLETRANSLATE(D60, ""en"", ""zh"")"),"A) 调整防守姿势和站姿")</f>
        <v>A) 调整防守姿势和站姿</v>
      </c>
      <c r="K60" s="4" t="str">
        <f>IFERROR(__xludf.DUMMYFUNCTION("GOOGLETRANSLATE(E60, ""en"", ""zh"")"),"#VALUE!")</f>
        <v>#VALUE!</v>
      </c>
      <c r="L60" s="21"/>
      <c r="M60" s="21"/>
      <c r="N60" s="21"/>
      <c r="O60" s="21"/>
      <c r="P60" s="21"/>
      <c r="Q60" s="19"/>
      <c r="R60" s="19"/>
      <c r="S60" s="19"/>
      <c r="T60" s="19"/>
      <c r="U60" s="19"/>
      <c r="V60" s="19"/>
      <c r="W60" s="19"/>
      <c r="X60" s="19"/>
      <c r="Y60" s="19"/>
      <c r="Z60" s="19"/>
    </row>
    <row r="61">
      <c r="A61" s="23">
        <v>60.0</v>
      </c>
      <c r="B61" s="12" t="s">
        <v>1528</v>
      </c>
      <c r="C61" s="12" t="s">
        <v>1529</v>
      </c>
      <c r="D61" s="12" t="s">
        <v>1530</v>
      </c>
      <c r="E61" s="27"/>
      <c r="F61" s="21"/>
      <c r="G61" s="21"/>
      <c r="H61" s="4" t="str">
        <f>IFERROR(__xludf.DUMMYFUNCTION("GOOGLETRANSLATE(B61, ""en"", ""zh"")"),"训练过程中，你感觉身体失去平衡。你应该如何恢复？")</f>
        <v>训练过程中，你感觉身体失去平衡。你应该如何恢复？</v>
      </c>
      <c r="I61" s="4" t="str">
        <f>IFERROR(__xludf.DUMMYFUNCTION("GOOGLETRANSLATE(C61, ""en"", ""zh"")"),"A) 恢复中心和姿势 B) 无视 C) 停止 D) 撤退")</f>
        <v>A) 恢复中心和姿势 B) 无视 C) 停止 D) 撤退</v>
      </c>
      <c r="J61" s="4" t="str">
        <f>IFERROR(__xludf.DUMMYFUNCTION("GOOGLETRANSLATE(D61, ""en"", ""zh"")"),"A) 恢复中心位置和站姿")</f>
        <v>A) 恢复中心位置和站姿</v>
      </c>
      <c r="K61" s="4" t="str">
        <f>IFERROR(__xludf.DUMMYFUNCTION("GOOGLETRANSLATE(E61, ""en"", ""zh"")"),"#VALUE!")</f>
        <v>#VALUE!</v>
      </c>
      <c r="L61" s="21"/>
      <c r="M61" s="21"/>
      <c r="N61" s="21"/>
      <c r="O61" s="21"/>
      <c r="P61" s="21"/>
      <c r="Q61" s="19"/>
      <c r="R61" s="19"/>
      <c r="S61" s="19"/>
      <c r="T61" s="19"/>
      <c r="U61" s="19"/>
      <c r="V61" s="19"/>
      <c r="W61" s="19"/>
      <c r="X61" s="19"/>
      <c r="Y61" s="19"/>
      <c r="Z61" s="19"/>
    </row>
    <row r="62">
      <c r="A62" s="42">
        <v>61.0</v>
      </c>
      <c r="B62" s="12" t="s">
        <v>1531</v>
      </c>
      <c r="C62" s="12" t="s">
        <v>1532</v>
      </c>
      <c r="D62" s="12" t="s">
        <v>1533</v>
      </c>
      <c r="E62" s="27"/>
      <c r="F62" s="21"/>
      <c r="G62" s="21"/>
      <c r="H62" s="4" t="str">
        <f>IFERROR(__xludf.DUMMYFUNCTION("GOOGLETRANSLATE(B62, ""en"", ""zh"")"),"你注意到对手在踢球时用力过猛。他们的策略是什么？")</f>
        <v>你注意到对手在踢球时用力过猛。他们的策略是什么？</v>
      </c>
      <c r="I62" s="4" t="str">
        <f>IFERROR(__xludf.DUMMYFUNCTION("GOOGLETRANSLATE(C62, ""en"", ""zh"")"),"A) 闪避反击 B) 无视 C) 向前迈步 D) 跳跃")</f>
        <v>A) 闪避反击 B) 无视 C) 向前迈步 D) 跳跃</v>
      </c>
      <c r="J62" s="4" t="str">
        <f>IFERROR(__xludf.DUMMYFUNCTION("GOOGLETRANSLATE(D62, ""en"", ""zh"")"),"A) 规避和反击")</f>
        <v>A) 规避和反击</v>
      </c>
      <c r="K62" s="4" t="str">
        <f>IFERROR(__xludf.DUMMYFUNCTION("GOOGLETRANSLATE(E62, ""en"", ""zh"")"),"#VALUE!")</f>
        <v>#VALUE!</v>
      </c>
      <c r="L62" s="21"/>
      <c r="M62" s="21"/>
      <c r="N62" s="21"/>
      <c r="O62" s="21"/>
      <c r="P62" s="21"/>
      <c r="Q62" s="19"/>
      <c r="R62" s="19"/>
      <c r="S62" s="19"/>
      <c r="T62" s="19"/>
      <c r="U62" s="19"/>
      <c r="V62" s="19"/>
      <c r="W62" s="19"/>
      <c r="X62" s="19"/>
      <c r="Y62" s="19"/>
      <c r="Z62" s="19"/>
    </row>
    <row r="63">
      <c r="A63" s="42">
        <v>62.0</v>
      </c>
      <c r="B63" s="12" t="s">
        <v>1534</v>
      </c>
      <c r="C63" s="12" t="s">
        <v>1535</v>
      </c>
      <c r="D63" s="12" t="s">
        <v>1536</v>
      </c>
      <c r="E63" s="27"/>
      <c r="F63" s="21"/>
      <c r="G63" s="21"/>
      <c r="H63" s="4" t="str">
        <f>IFERROR(__xludf.DUMMYFUNCTION("GOOGLETRANSLATE(B63, ""en"", ""zh"")"),"在练习套路时，你的动作比较慢。最佳方法是什么？")</f>
        <v>在练习套路时，你的动作比较慢。最佳方法是什么？</v>
      </c>
      <c r="I63" s="4" t="str">
        <f>IFERROR(__xludf.DUMMYFUNCTION("GOOGLETRANSLATE(C63, ""en"", ""zh"")"),"A) 注重节奏 B) 忽略节奏 C) 跳过某些步骤 D) 随机加速")</f>
        <v>A) 注重节奏 B) 忽略节奏 C) 跳过某些步骤 D) 随机加速</v>
      </c>
      <c r="J63" s="4" t="str">
        <f>IFERROR(__xludf.DUMMYFUNCTION("GOOGLETRANSLATE(D63, ""en"", ""zh"")"),"A) 注重节奏")</f>
        <v>A) 注重节奏</v>
      </c>
      <c r="K63" s="4" t="str">
        <f>IFERROR(__xludf.DUMMYFUNCTION("GOOGLETRANSLATE(E63, ""en"", ""zh"")"),"#VALUE!")</f>
        <v>#VALUE!</v>
      </c>
      <c r="L63" s="21"/>
      <c r="M63" s="21"/>
      <c r="N63" s="21"/>
      <c r="O63" s="21"/>
      <c r="P63" s="21"/>
      <c r="Q63" s="19"/>
      <c r="R63" s="19"/>
      <c r="S63" s="19"/>
      <c r="T63" s="19"/>
      <c r="U63" s="19"/>
      <c r="V63" s="19"/>
      <c r="W63" s="19"/>
      <c r="X63" s="19"/>
      <c r="Y63" s="19"/>
      <c r="Z63" s="19"/>
    </row>
    <row r="64">
      <c r="A64" s="42">
        <v>63.0</v>
      </c>
      <c r="B64" s="12" t="s">
        <v>1537</v>
      </c>
      <c r="C64" s="12" t="s">
        <v>1538</v>
      </c>
      <c r="D64" s="12" t="s">
        <v>1539</v>
      </c>
      <c r="E64" s="27"/>
      <c r="F64" s="21"/>
      <c r="G64" s="21"/>
      <c r="H64" s="4" t="str">
        <f>IFERROR(__xludf.DUMMYFUNCTION("GOOGLETRANSLATE(B64, ""en"", ""zh"")"),"对手试图缠斗，你该如何防守？")</f>
        <v>对手试图缠斗，你该如何防守？</v>
      </c>
      <c r="I64" s="4" t="str">
        <f>IFERROR(__xludf.DUMMYFUNCTION("GOOGLETRANSLATE(C64, ""en"", ""zh"")"),"A) 挣脱并拉开距离 B) 无视 C) 向前迈步 D) 让步")</f>
        <v>A) 挣脱并拉开距离 B) 无视 C) 向前迈步 D) 让步</v>
      </c>
      <c r="J64" s="4" t="str">
        <f>IFERROR(__xludf.DUMMYFUNCTION("GOOGLETRANSLATE(D64, ""en"", ""zh"")"),"A) 松开握持并拉开距离")</f>
        <v>A) 松开握持并拉开距离</v>
      </c>
      <c r="K64" s="4" t="str">
        <f>IFERROR(__xludf.DUMMYFUNCTION("GOOGLETRANSLATE(E64, ""en"", ""zh"")"),"#VALUE!")</f>
        <v>#VALUE!</v>
      </c>
      <c r="L64" s="21"/>
      <c r="M64" s="21"/>
      <c r="N64" s="21"/>
      <c r="O64" s="21"/>
      <c r="P64" s="21"/>
      <c r="Q64" s="19"/>
      <c r="R64" s="19"/>
      <c r="S64" s="19"/>
      <c r="T64" s="19"/>
      <c r="U64" s="19"/>
      <c r="V64" s="19"/>
      <c r="W64" s="19"/>
      <c r="X64" s="19"/>
      <c r="Y64" s="19"/>
      <c r="Z64" s="19"/>
    </row>
    <row r="65">
      <c r="A65" s="42">
        <v>64.0</v>
      </c>
      <c r="B65" s="12" t="s">
        <v>1540</v>
      </c>
      <c r="C65" s="12" t="s">
        <v>1541</v>
      </c>
      <c r="D65" s="12" t="s">
        <v>1542</v>
      </c>
      <c r="E65" s="27"/>
      <c r="F65" s="21"/>
      <c r="G65" s="21"/>
      <c r="H65" s="4" t="str">
        <f>IFERROR(__xludf.DUMMYFUNCTION("GOOGLETRANSLATE(B65, ""en"", ""zh"")"),"在实战训练中，你被逼到了角落。你会如何应对？")</f>
        <v>在实战训练中，你被逼到了角落。你会如何应对？</v>
      </c>
      <c r="I65" s="4" t="str">
        <f>IFERROR(__xludf.DUMMYFUNCTION("GOOGLETRANSLATE(C65, ""en"", ""zh"")"),"A) 转身反击 B) 无视 C) 后退 D) 随机攻击")</f>
        <v>A) 转身反击 B) 无视 C) 后退 D) 随机攻击</v>
      </c>
      <c r="J65" s="4" t="str">
        <f>IFERROR(__xludf.DUMMYFUNCTION("GOOGLETRANSLATE(D65, ""en"", ""zh"")"),"A) 枢轴和反击")</f>
        <v>A) 枢轴和反击</v>
      </c>
      <c r="K65" s="4" t="str">
        <f>IFERROR(__xludf.DUMMYFUNCTION("GOOGLETRANSLATE(E65, ""en"", ""zh"")"),"#VALUE!")</f>
        <v>#VALUE!</v>
      </c>
      <c r="L65" s="21"/>
      <c r="M65" s="21"/>
      <c r="N65" s="21"/>
      <c r="O65" s="21"/>
      <c r="P65" s="21"/>
      <c r="Q65" s="19"/>
      <c r="R65" s="19"/>
      <c r="S65" s="19"/>
      <c r="T65" s="19"/>
      <c r="U65" s="19"/>
      <c r="V65" s="19"/>
      <c r="W65" s="19"/>
      <c r="X65" s="19"/>
      <c r="Y65" s="19"/>
      <c r="Z65" s="19"/>
    </row>
    <row r="66">
      <c r="A66" s="42">
        <v>65.0</v>
      </c>
      <c r="B66" s="12" t="s">
        <v>1543</v>
      </c>
      <c r="C66" s="12" t="s">
        <v>1544</v>
      </c>
      <c r="D66" s="12" t="s">
        <v>1545</v>
      </c>
      <c r="E66" s="27"/>
      <c r="F66" s="21"/>
      <c r="G66" s="21"/>
      <c r="H66" s="4" t="str">
        <f>IFERROR(__xludf.DUMMYFUNCTION("GOOGLETRANSLATE(B66, ""en"", ""zh"")"),"战斗中，对手突然发动快速攻击。你应该如何应对？")</f>
        <v>战斗中，对手突然发动快速攻击。你应该如何应对？</v>
      </c>
      <c r="I66" s="4" t="str">
        <f>IFERROR(__xludf.DUMMYFUNCTION("GOOGLETRANSLATE(C66, ""en"", ""zh"")"),"A) 防御并计时 B) 无视 C) 撤退 D) 随机攻击")</f>
        <v>A) 防御并计时 B) 无视 C) 撤退 D) 随机攻击</v>
      </c>
      <c r="J66" s="4" t="str">
        <f>IFERROR(__xludf.DUMMYFUNCTION("GOOGLETRANSLATE(D66, ""en"", ""zh"")"),"A) 防守和时间计数器")</f>
        <v>A) 防守和时间计数器</v>
      </c>
      <c r="K66" s="4" t="str">
        <f>IFERROR(__xludf.DUMMYFUNCTION("GOOGLETRANSLATE(E66, ""en"", ""zh"")"),"#VALUE!")</f>
        <v>#VALUE!</v>
      </c>
      <c r="L66" s="21"/>
      <c r="M66" s="21"/>
      <c r="N66" s="21"/>
      <c r="O66" s="21"/>
      <c r="P66" s="21"/>
      <c r="Q66" s="19"/>
      <c r="R66" s="19"/>
      <c r="S66" s="19"/>
      <c r="T66" s="19"/>
      <c r="U66" s="19"/>
      <c r="V66" s="19"/>
      <c r="W66" s="19"/>
      <c r="X66" s="19"/>
      <c r="Y66" s="19"/>
      <c r="Z66" s="19"/>
    </row>
    <row r="67">
      <c r="A67" s="15">
        <v>66.0</v>
      </c>
      <c r="B67" s="12" t="s">
        <v>1546</v>
      </c>
      <c r="C67" s="12" t="s">
        <v>1547</v>
      </c>
      <c r="D67" s="12" t="s">
        <v>1548</v>
      </c>
      <c r="E67" s="27"/>
      <c r="F67" s="21"/>
      <c r="G67" s="21"/>
      <c r="H67" s="4" t="str">
        <f>IFERROR(__xludf.DUMMYFUNCTION("GOOGLETRANSLATE(B67, ""en"", ""zh"")"),"对手攻击你的弱点。最佳应对策略是什么？")</f>
        <v>对手攻击你的弱点。最佳应对策略是什么？</v>
      </c>
      <c r="I67" s="4" t="str">
        <f>IFERROR(__xludf.DUMMYFUNCTION("GOOGLETRANSLATE(C67, ""en"", ""zh"")"),"A) 调整站姿和防守姿势 B) 无视 C) 向前迈一步 D) 随意踢击")</f>
        <v>A) 调整站姿和防守姿势 B) 无视 C) 向前迈一步 D) 随意踢击</v>
      </c>
      <c r="J67" s="4" t="str">
        <f>IFERROR(__xludf.DUMMYFUNCTION("GOOGLETRANSLATE(D67, ""en"", ""zh"")"),"A) 调整站姿和防守姿势")</f>
        <v>A) 调整站姿和防守姿势</v>
      </c>
      <c r="K67" s="4" t="str">
        <f>IFERROR(__xludf.DUMMYFUNCTION("GOOGLETRANSLATE(E67, ""en"", ""zh"")"),"#VALUE!")</f>
        <v>#VALUE!</v>
      </c>
      <c r="L67" s="21"/>
      <c r="M67" s="21"/>
      <c r="N67" s="21"/>
      <c r="O67" s="21"/>
      <c r="P67" s="21"/>
      <c r="Q67" s="19"/>
      <c r="R67" s="19"/>
      <c r="S67" s="19"/>
      <c r="T67" s="19"/>
      <c r="U67" s="19"/>
      <c r="V67" s="19"/>
      <c r="W67" s="19"/>
      <c r="X67" s="19"/>
      <c r="Y67" s="19"/>
      <c r="Z67" s="19"/>
    </row>
    <row r="68">
      <c r="A68" s="15">
        <v>67.0</v>
      </c>
      <c r="B68" s="12" t="s">
        <v>1549</v>
      </c>
      <c r="C68" s="12" t="s">
        <v>1550</v>
      </c>
      <c r="D68" s="12" t="s">
        <v>1551</v>
      </c>
      <c r="E68" s="27"/>
      <c r="F68" s="21"/>
      <c r="G68" s="21"/>
      <c r="H68" s="4" t="str">
        <f>IFERROR(__xludf.DUMMYFUNCTION("GOOGLETRANSLATE(B68, ""en"", ""zh"")"),"训练中，你的射门失误了。你应该如何调整？")</f>
        <v>训练中，你的射门失误了。你应该如何调整？</v>
      </c>
      <c r="I68" s="4" t="str">
        <f>IFERROR(__xludf.DUMMYFUNCTION("GOOGLETRANSLATE(C68, ""en"", ""zh"")"),"A) 重置并调整角度 B) 忽略 C) 停止 D) 跳跃")</f>
        <v>A) 重置并调整角度 B) 忽略 C) 停止 D) 跳跃</v>
      </c>
      <c r="J68" s="4" t="str">
        <f>IFERROR(__xludf.DUMMYFUNCTION("GOOGLETRANSLATE(D68, ""en"", ""zh"")"),"A) 重置并调整角度")</f>
        <v>A) 重置并调整角度</v>
      </c>
      <c r="K68" s="4" t="str">
        <f>IFERROR(__xludf.DUMMYFUNCTION("GOOGLETRANSLATE(E68, ""en"", ""zh"")"),"#VALUE!")</f>
        <v>#VALUE!</v>
      </c>
      <c r="L68" s="21"/>
      <c r="M68" s="21"/>
      <c r="N68" s="21"/>
      <c r="O68" s="21"/>
      <c r="P68" s="21"/>
      <c r="Q68" s="19"/>
      <c r="R68" s="19"/>
      <c r="S68" s="19"/>
      <c r="T68" s="19"/>
      <c r="U68" s="19"/>
      <c r="V68" s="19"/>
      <c r="W68" s="19"/>
      <c r="X68" s="19"/>
      <c r="Y68" s="19"/>
      <c r="Z68" s="19"/>
    </row>
    <row r="69">
      <c r="A69" s="15">
        <v>68.0</v>
      </c>
      <c r="B69" s="12" t="s">
        <v>1552</v>
      </c>
      <c r="C69" s="12" t="s">
        <v>1553</v>
      </c>
      <c r="D69" s="12" t="s">
        <v>1554</v>
      </c>
      <c r="E69" s="27"/>
      <c r="F69" s="21"/>
      <c r="G69" s="21"/>
      <c r="H69" s="4" t="str">
        <f>IFERROR(__xludf.DUMMYFUNCTION("GOOGLETRANSLATE(B69, ""en"", ""zh"")"),"你发现有机会进行佯攻。正确的做法是什么？")</f>
        <v>你发现有机会进行佯攻。正确的做法是什么？</v>
      </c>
      <c r="I69" s="4" t="str">
        <f>IFERROR(__xludf.DUMMYFUNCTION("GOOGLETRANSLATE(C69, ""en"", ""zh"")"),"A) 佯攻 B) 无视 C) 后退 D) 随机攻击")</f>
        <v>A) 佯攻 B) 无视 C) 后退 D) 随机攻击</v>
      </c>
      <c r="J69" s="4" t="str">
        <f>IFERROR(__xludf.DUMMYFUNCTION("GOOGLETRANSLATE(D69, ""en"", ""zh"")"),"A）执行佯攻")</f>
        <v>A）执行佯攻</v>
      </c>
      <c r="K69" s="4" t="str">
        <f>IFERROR(__xludf.DUMMYFUNCTION("GOOGLETRANSLATE(E69, ""en"", ""zh"")"),"#VALUE!")</f>
        <v>#VALUE!</v>
      </c>
      <c r="L69" s="21"/>
      <c r="M69" s="21"/>
      <c r="N69" s="21"/>
      <c r="O69" s="21"/>
      <c r="P69" s="21"/>
      <c r="Q69" s="19"/>
      <c r="R69" s="19"/>
      <c r="S69" s="19"/>
      <c r="T69" s="19"/>
      <c r="U69" s="19"/>
      <c r="V69" s="19"/>
      <c r="W69" s="19"/>
      <c r="X69" s="19"/>
      <c r="Y69" s="19"/>
      <c r="Z69" s="19"/>
    </row>
    <row r="70">
      <c r="A70" s="15">
        <v>69.0</v>
      </c>
      <c r="B70" s="12" t="s">
        <v>1555</v>
      </c>
      <c r="C70" s="12" t="s">
        <v>1556</v>
      </c>
      <c r="D70" s="12" t="s">
        <v>1557</v>
      </c>
      <c r="E70" s="27"/>
      <c r="F70" s="21"/>
      <c r="G70" s="21"/>
      <c r="H70" s="4" t="str">
        <f>IFERROR(__xludf.DUMMYFUNCTION("GOOGLETRANSLATE(B70, ""en"", ""zh"")"),"训练过程中，你的精力突然下降。如何才能保持训练状态？")</f>
        <v>训练过程中，你的精力突然下降。如何才能保持训练状态？</v>
      </c>
      <c r="I70" s="4" t="str">
        <f>IFERROR(__xludf.DUMMYFUNCTION("GOOGLETRANSLATE(C70, ""en"", ""zh"")"),"A) 调节呼吸并集中注意力 B) 忽略 C) 停止 D) 随意移动")</f>
        <v>A) 调节呼吸并集中注意力 B) 忽略 C) 停止 D) 随意移动</v>
      </c>
      <c r="J70" s="4" t="str">
        <f>IFERROR(__xludf.DUMMYFUNCTION("GOOGLETRANSLATE(D70, ""en"", ""zh"")"),"A) 调节呼吸并集中注意力")</f>
        <v>A) 调节呼吸并集中注意力</v>
      </c>
      <c r="K70" s="4" t="str">
        <f>IFERROR(__xludf.DUMMYFUNCTION("GOOGLETRANSLATE(E70, ""en"", ""zh"")"),"#VALUE!")</f>
        <v>#VALUE!</v>
      </c>
      <c r="L70" s="21"/>
      <c r="M70" s="21"/>
      <c r="N70" s="21"/>
      <c r="O70" s="21"/>
      <c r="P70" s="21"/>
      <c r="Q70" s="19"/>
      <c r="R70" s="19"/>
      <c r="S70" s="19"/>
      <c r="T70" s="19"/>
      <c r="U70" s="19"/>
      <c r="V70" s="19"/>
      <c r="W70" s="19"/>
      <c r="X70" s="19"/>
      <c r="Y70" s="19"/>
      <c r="Z70" s="19"/>
    </row>
    <row r="71">
      <c r="A71" s="15">
        <v>70.0</v>
      </c>
      <c r="B71" s="12" t="s">
        <v>1558</v>
      </c>
      <c r="C71" s="12" t="s">
        <v>1559</v>
      </c>
      <c r="D71" s="12" t="s">
        <v>1560</v>
      </c>
      <c r="E71" s="27"/>
      <c r="F71" s="21"/>
      <c r="G71" s="21"/>
      <c r="H71" s="4" t="str">
        <f>IFERROR(__xludf.DUMMYFUNCTION("GOOGLETRANSLATE(B71, ""en"", ""zh"")"),"对手从意想不到的角度发起攻击，你应该如何应对？")</f>
        <v>对手从意想不到的角度发起攻击，你应该如何应对？</v>
      </c>
      <c r="I71" s="4" t="str">
        <f>IFERROR(__xludf.DUMMYFUNCTION("GOOGLETRANSLATE(C71, ""en"", ""zh"")"),"A) 调整防御姿势并反击 B) 无视 C) 向前迈一步 D) 后退")</f>
        <v>A) 调整防御姿势并反击 B) 无视 C) 向前迈一步 D) 后退</v>
      </c>
      <c r="J71" s="4" t="str">
        <f>IFERROR(__xludf.DUMMYFUNCTION("GOOGLETRANSLATE(D71, ""en"", ""zh"")"),"A) 调整防护罩和计数器")</f>
        <v>A) 调整防护罩和计数器</v>
      </c>
      <c r="K71" s="4" t="str">
        <f>IFERROR(__xludf.DUMMYFUNCTION("GOOGLETRANSLATE(E71, ""en"", ""zh"")"),"#VALUE!")</f>
        <v>#VALUE!</v>
      </c>
      <c r="L71" s="21"/>
      <c r="M71" s="21"/>
      <c r="N71" s="21"/>
      <c r="O71" s="21"/>
      <c r="P71" s="21"/>
      <c r="Q71" s="19"/>
      <c r="R71" s="19"/>
      <c r="S71" s="19"/>
      <c r="T71" s="19"/>
      <c r="U71" s="19"/>
      <c r="V71" s="19"/>
      <c r="W71" s="19"/>
      <c r="X71" s="19"/>
      <c r="Y71" s="19"/>
      <c r="Z71" s="19"/>
    </row>
    <row r="72">
      <c r="A72" s="15">
        <v>71.0</v>
      </c>
      <c r="B72" s="12" t="s">
        <v>1561</v>
      </c>
      <c r="C72" s="12" t="s">
        <v>1562</v>
      </c>
      <c r="D72" s="12" t="s">
        <v>1563</v>
      </c>
      <c r="E72" s="27"/>
      <c r="F72" s="21"/>
      <c r="G72" s="21"/>
      <c r="H72" s="4" t="str">
        <f>IFERROR(__xludf.DUMMYFUNCTION("GOOGLETRANSLATE(B72, ""en"", ""zh"")"),"你发现对手连招后出现了一个破绽。接下来该做什么？")</f>
        <v>你发现对手连招后出现了一个破绽。接下来该做什么？</v>
      </c>
      <c r="I72" s="4" t="str">
        <f>IFERROR(__xludf.DUMMYFUNCTION("GOOGLETRANSLATE(C72, ""en"", ""zh"")"),"A) 攻击 B) 无视 C) 后退 D) 佯攻")</f>
        <v>A) 攻击 B) 无视 C) 后退 D) 佯攻</v>
      </c>
      <c r="J72" s="4" t="str">
        <f>IFERROR(__xludf.DUMMYFUNCTION("GOOGLETRANSLATE(D72, ""en"", ""zh"")"),"A）罢工")</f>
        <v>A）罢工</v>
      </c>
      <c r="K72" s="4" t="str">
        <f>IFERROR(__xludf.DUMMYFUNCTION("GOOGLETRANSLATE(E72, ""en"", ""zh"")"),"#VALUE!")</f>
        <v>#VALUE!</v>
      </c>
      <c r="L72" s="21"/>
      <c r="M72" s="21"/>
      <c r="N72" s="21"/>
      <c r="O72" s="21"/>
      <c r="P72" s="21"/>
      <c r="Q72" s="19"/>
      <c r="R72" s="19"/>
      <c r="S72" s="19"/>
      <c r="T72" s="19"/>
      <c r="U72" s="19"/>
      <c r="V72" s="19"/>
      <c r="W72" s="19"/>
      <c r="X72" s="19"/>
      <c r="Y72" s="19"/>
      <c r="Z72" s="19"/>
    </row>
    <row r="73">
      <c r="A73" s="15">
        <v>72.0</v>
      </c>
      <c r="B73" s="12" t="s">
        <v>1564</v>
      </c>
      <c r="C73" s="12" t="s">
        <v>1565</v>
      </c>
      <c r="D73" s="12" t="s">
        <v>1566</v>
      </c>
      <c r="E73" s="27"/>
      <c r="F73" s="21"/>
      <c r="G73" s="21"/>
      <c r="H73" s="4" t="str">
        <f>IFERROR(__xludf.DUMMYFUNCTION("GOOGLETRANSLATE(B73, ""en"", ""zh"")"),"对手试图扫腿，你如何防守？")</f>
        <v>对手试图扫腿，你如何防守？</v>
      </c>
      <c r="I73" s="4" t="str">
        <f>IFERROR(__xludf.DUMMYFUNCTION("GOOGLETRANSLATE(C73, ""en"", ""zh"")"),"A) 跳跃或阻挡 B) 无视 C) 向前迈一步 D) 放行")</f>
        <v>A) 跳跃或阻挡 B) 无视 C) 向前迈一步 D) 放行</v>
      </c>
      <c r="J73" s="4" t="str">
        <f>IFERROR(__xludf.DUMMYFUNCTION("GOOGLETRANSLATE(D73, ""en"", ""zh"")"),"A) 跳跃或格挡")</f>
        <v>A) 跳跃或格挡</v>
      </c>
      <c r="K73" s="4" t="str">
        <f>IFERROR(__xludf.DUMMYFUNCTION("GOOGLETRANSLATE(E73, ""en"", ""zh"")"),"#VALUE!")</f>
        <v>#VALUE!</v>
      </c>
      <c r="L73" s="21"/>
      <c r="M73" s="21"/>
      <c r="N73" s="21"/>
      <c r="O73" s="21"/>
      <c r="P73" s="21"/>
      <c r="Q73" s="19"/>
      <c r="R73" s="19"/>
      <c r="S73" s="19"/>
      <c r="T73" s="19"/>
      <c r="U73" s="19"/>
      <c r="V73" s="19"/>
      <c r="W73" s="19"/>
      <c r="X73" s="19"/>
      <c r="Y73" s="19"/>
      <c r="Z73" s="19"/>
    </row>
    <row r="74">
      <c r="A74" s="15">
        <v>73.0</v>
      </c>
      <c r="B74" s="12" t="s">
        <v>1567</v>
      </c>
      <c r="C74" s="12" t="s">
        <v>1568</v>
      </c>
      <c r="D74" s="12" t="s">
        <v>1569</v>
      </c>
      <c r="E74" s="27"/>
      <c r="F74" s="21"/>
      <c r="G74" s="21"/>
      <c r="H74" s="4" t="str">
        <f>IFERROR(__xludf.DUMMYFUNCTION("GOOGLETRANSLATE(B74, ""en"", ""zh"")"),"在实战练习中，你的站姿不稳定。你应该怎么做？")</f>
        <v>在实战练习中，你的站姿不稳定。你应该怎么做？</v>
      </c>
      <c r="I74" s="4" t="str">
        <f>IFERROR(__xludf.DUMMYFUNCTION("GOOGLETRANSLATE(C74, ""en"", ""zh"")"),"A) 恢复平衡 B) 忽略 C) 前进 D) 后退")</f>
        <v>A) 恢复平衡 B) 忽略 C) 前进 D) 后退</v>
      </c>
      <c r="J74" s="4" t="str">
        <f>IFERROR(__xludf.DUMMYFUNCTION("GOOGLETRANSLATE(D74, ""en"", ""zh"")"),"A) 恢复平衡")</f>
        <v>A) 恢复平衡</v>
      </c>
      <c r="K74" s="4" t="str">
        <f>IFERROR(__xludf.DUMMYFUNCTION("GOOGLETRANSLATE(E74, ""en"", ""zh"")"),"#VALUE!")</f>
        <v>#VALUE!</v>
      </c>
      <c r="L74" s="21"/>
      <c r="M74" s="21"/>
      <c r="N74" s="21"/>
      <c r="O74" s="21"/>
      <c r="P74" s="21"/>
      <c r="Q74" s="19"/>
      <c r="R74" s="19"/>
      <c r="S74" s="19"/>
      <c r="T74" s="19"/>
      <c r="U74" s="19"/>
      <c r="V74" s="19"/>
      <c r="W74" s="19"/>
      <c r="X74" s="19"/>
      <c r="Y74" s="19"/>
      <c r="Z74" s="19"/>
    </row>
    <row r="75">
      <c r="A75" s="15">
        <v>74.0</v>
      </c>
      <c r="B75" s="12" t="s">
        <v>1570</v>
      </c>
      <c r="C75" s="12" t="s">
        <v>1571</v>
      </c>
      <c r="D75" s="12" t="s">
        <v>1572</v>
      </c>
      <c r="E75" s="27"/>
      <c r="F75" s="21"/>
      <c r="G75" s="21"/>
      <c r="H75" s="4" t="str">
        <f>IFERROR(__xludf.DUMMYFUNCTION("GOOGLETRANSLATE(B75, ""en"", ""zh"")"),"对手使用低扫腿佯攻，你应该如何应对？")</f>
        <v>对手使用低扫腿佯攻，你应该如何应对？</v>
      </c>
      <c r="I75" s="4" t="str">
        <f>IFERROR(__xludf.DUMMYFUNCTION("GOOGLETRANSLATE(C75, ""en"", ""zh"")"),"A) 举起防御 B) 无视 C) 向前迈一步 D) 随机反击")</f>
        <v>A) 举起防御 B) 无视 C) 向前迈一步 D) 随机反击</v>
      </c>
      <c r="J75" s="4" t="str">
        <f>IFERROR(__xludf.DUMMYFUNCTION("GOOGLETRANSLATE(D75, ""en"", ""zh"")"),"A）加强防御")</f>
        <v>A）加强防御</v>
      </c>
      <c r="K75" s="4" t="str">
        <f>IFERROR(__xludf.DUMMYFUNCTION("GOOGLETRANSLATE(E75, ""en"", ""zh"")"),"#VALUE!")</f>
        <v>#VALUE!</v>
      </c>
      <c r="L75" s="21"/>
      <c r="M75" s="21"/>
      <c r="N75" s="21"/>
      <c r="O75" s="21"/>
      <c r="P75" s="21"/>
      <c r="Q75" s="19"/>
      <c r="R75" s="19"/>
      <c r="S75" s="19"/>
      <c r="T75" s="19"/>
      <c r="U75" s="19"/>
      <c r="V75" s="19"/>
      <c r="W75" s="19"/>
      <c r="X75" s="19"/>
      <c r="Y75" s="19"/>
      <c r="Z75" s="19"/>
    </row>
    <row r="76">
      <c r="A76" s="17">
        <v>75.0</v>
      </c>
      <c r="B76" s="12" t="s">
        <v>1573</v>
      </c>
      <c r="C76" s="12" t="s">
        <v>1574</v>
      </c>
      <c r="D76" s="12" t="s">
        <v>1575</v>
      </c>
      <c r="E76" s="27"/>
      <c r="F76" s="21"/>
      <c r="G76" s="21"/>
      <c r="H76" s="4" t="str">
        <f>IFERROR(__xludf.DUMMYFUNCTION("GOOGLETRANSLATE(B76, ""en"", ""zh"")"),"你发起进攻，但对手有效防御。你该如何应对？")</f>
        <v>你发起进攻，但对手有效防御。你该如何应对？</v>
      </c>
      <c r="I76" s="4" t="str">
        <f>IFERROR(__xludf.DUMMYFUNCTION("GOOGLETRANSLATE(C76, ""en"", ""zh"")"),"A) 调整技术 B) 无视 C) 后退 D) 随机攻击")</f>
        <v>A) 调整技术 B) 无视 C) 后退 D) 随机攻击</v>
      </c>
      <c r="J76" s="4" t="str">
        <f>IFERROR(__xludf.DUMMYFUNCTION("GOOGLETRANSLATE(D76, ""en"", ""zh"")"),"A) 调整技术")</f>
        <v>A) 调整技术</v>
      </c>
      <c r="K76" s="4" t="str">
        <f>IFERROR(__xludf.DUMMYFUNCTION("GOOGLETRANSLATE(E76, ""en"", ""zh"")"),"#VALUE!")</f>
        <v>#VALUE!</v>
      </c>
      <c r="L76" s="21"/>
      <c r="M76" s="21"/>
      <c r="N76" s="21"/>
      <c r="O76" s="21"/>
      <c r="P76" s="21"/>
      <c r="Q76" s="19"/>
      <c r="R76" s="19"/>
      <c r="S76" s="19"/>
      <c r="T76" s="19"/>
      <c r="U76" s="19"/>
      <c r="V76" s="19"/>
      <c r="W76" s="19"/>
      <c r="X76" s="19"/>
      <c r="Y76" s="19"/>
      <c r="Z76" s="19"/>
    </row>
    <row r="77">
      <c r="A77" s="17">
        <v>76.0</v>
      </c>
      <c r="B77" s="12" t="s">
        <v>1576</v>
      </c>
      <c r="C77" s="12" t="s">
        <v>1577</v>
      </c>
      <c r="D77" s="12" t="s">
        <v>1578</v>
      </c>
      <c r="E77" s="27"/>
      <c r="F77" s="21"/>
      <c r="G77" s="21"/>
      <c r="H77" s="4" t="str">
        <f>IFERROR(__xludf.DUMMYFUNCTION("GOOGLETRANSLATE(B77, ""en"", ""zh"")"),"训练中，对手突然抓住你的手腕。你会如何反应？")</f>
        <v>训练中，对手突然抓住你的手腕。你会如何反应？</v>
      </c>
      <c r="I77" s="4" t="str">
        <f>IFERROR(__xludf.DUMMYFUNCTION("GOOGLETRANSLATE(C77, ""en"", ""zh"")"),"A) 挣脱 B) 无视 C) 向前迈一步 D) 让步")</f>
        <v>A) 挣脱 B) 无视 C) 向前迈一步 D) 让步</v>
      </c>
      <c r="J77" s="4" t="str">
        <f>IFERROR(__xludf.DUMMYFUNCTION("GOOGLETRANSLATE(D77, ""en"", ""zh"")"),"A) 打破僵局")</f>
        <v>A) 打破僵局</v>
      </c>
      <c r="K77" s="4" t="str">
        <f>IFERROR(__xludf.DUMMYFUNCTION("GOOGLETRANSLATE(E77, ""en"", ""zh"")"),"#VALUE!")</f>
        <v>#VALUE!</v>
      </c>
      <c r="L77" s="21"/>
      <c r="M77" s="21"/>
      <c r="N77" s="21"/>
      <c r="O77" s="21"/>
      <c r="P77" s="21"/>
      <c r="Q77" s="19"/>
      <c r="R77" s="19"/>
      <c r="S77" s="19"/>
      <c r="T77" s="19"/>
      <c r="U77" s="19"/>
      <c r="V77" s="19"/>
      <c r="W77" s="19"/>
      <c r="X77" s="19"/>
      <c r="Y77" s="19"/>
      <c r="Z77" s="19"/>
    </row>
    <row r="78">
      <c r="A78" s="17">
        <v>77.0</v>
      </c>
      <c r="B78" s="12" t="s">
        <v>1579</v>
      </c>
      <c r="C78" s="12" t="s">
        <v>1580</v>
      </c>
      <c r="D78" s="12" t="s">
        <v>1581</v>
      </c>
      <c r="E78" s="27"/>
      <c r="F78" s="21"/>
      <c r="G78" s="21"/>
      <c r="H78" s="4" t="str">
        <f>IFERROR(__xludf.DUMMYFUNCTION("GOOGLETRANSLATE(B78, ""en"", ""zh"")"),"你发现有机会施展组合攻击。你会怎么做？")</f>
        <v>你发现有机会施展组合攻击。你会怎么做？</v>
      </c>
      <c r="I78" s="4" t="str">
        <f>IFERROR(__xludf.DUMMYFUNCTION("GOOGLETRANSLATE(C78, ""en"", ""zh"")"),"A) 执行组合 B) 忽略 C) 后退 D) 暂停")</f>
        <v>A) 执行组合 B) 忽略 C) 后退 D) 暂停</v>
      </c>
      <c r="J78" s="4" t="str">
        <f>IFERROR(__xludf.DUMMYFUNCTION("GOOGLETRANSLATE(D78, ""en"", ""zh"")"),"A) 执行组合")</f>
        <v>A) 执行组合</v>
      </c>
      <c r="K78" s="4" t="str">
        <f>IFERROR(__xludf.DUMMYFUNCTION("GOOGLETRANSLATE(E78, ""en"", ""zh"")"),"#VALUE!")</f>
        <v>#VALUE!</v>
      </c>
      <c r="L78" s="21"/>
      <c r="M78" s="21"/>
      <c r="N78" s="21"/>
      <c r="O78" s="21"/>
      <c r="P78" s="21"/>
      <c r="Q78" s="19"/>
      <c r="R78" s="19"/>
      <c r="S78" s="19"/>
      <c r="T78" s="19"/>
      <c r="U78" s="19"/>
      <c r="V78" s="19"/>
      <c r="W78" s="19"/>
      <c r="X78" s="19"/>
      <c r="Y78" s="19"/>
      <c r="Z78" s="19"/>
    </row>
    <row r="79">
      <c r="A79" s="17">
        <v>78.0</v>
      </c>
      <c r="B79" s="12" t="s">
        <v>1582</v>
      </c>
      <c r="C79" s="12" t="s">
        <v>1583</v>
      </c>
      <c r="D79" s="12" t="s">
        <v>1584</v>
      </c>
      <c r="E79" s="27"/>
      <c r="F79" s="21"/>
      <c r="G79" s="21"/>
      <c r="H79" s="4" t="str">
        <f>IFERROR(__xludf.DUMMYFUNCTION("GOOGLETRANSLATE(B79, ""en"", ""zh"")"),"对手虚晃一招来迷惑你，你应该如何应对？")</f>
        <v>对手虚晃一招来迷惑你，你应该如何应对？</v>
      </c>
      <c r="I79" s="4" t="str">
        <f>IFERROR(__xludf.DUMMYFUNCTION("GOOGLETRANSLATE(C79, ""en"", ""zh"")"),"A) 保持专注并观察 B) 忽略 C) 向前迈步 D) 随机攻击")</f>
        <v>A) 保持专注并观察 B) 忽略 C) 向前迈步 D) 随机攻击</v>
      </c>
      <c r="J79" s="4" t="str">
        <f>IFERROR(__xludf.DUMMYFUNCTION("GOOGLETRANSLATE(D79, ""en"", ""zh"")"),"A) 保持专注并观察")</f>
        <v>A) 保持专注并观察</v>
      </c>
      <c r="K79" s="4" t="str">
        <f>IFERROR(__xludf.DUMMYFUNCTION("GOOGLETRANSLATE(E79, ""en"", ""zh"")"),"#VALUE!")</f>
        <v>#VALUE!</v>
      </c>
      <c r="L79" s="21"/>
      <c r="M79" s="21"/>
      <c r="N79" s="21"/>
      <c r="O79" s="21"/>
      <c r="P79" s="21"/>
      <c r="Q79" s="19"/>
      <c r="R79" s="19"/>
      <c r="S79" s="19"/>
      <c r="T79" s="19"/>
      <c r="U79" s="19"/>
      <c r="V79" s="19"/>
      <c r="W79" s="19"/>
      <c r="X79" s="19"/>
      <c r="Y79" s="19"/>
      <c r="Z79" s="19"/>
    </row>
    <row r="80">
      <c r="A80" s="17">
        <v>79.0</v>
      </c>
      <c r="B80" s="12" t="s">
        <v>1585</v>
      </c>
      <c r="C80" s="12" t="s">
        <v>1586</v>
      </c>
      <c r="D80" s="12" t="s">
        <v>1587</v>
      </c>
      <c r="E80" s="27"/>
      <c r="F80" s="21"/>
      <c r="G80" s="21"/>
      <c r="H80" s="4" t="str">
        <f>IFERROR(__xludf.DUMMYFUNCTION("GOOGLETRANSLATE(B80, ""en"", ""zh"")"),"战斗中，对手进攻过猛。最佳应对策略是什么？")</f>
        <v>战斗中，对手进攻过猛。最佳应对策略是什么？</v>
      </c>
      <c r="I80" s="4" t="str">
        <f>IFERROR(__xludf.DUMMYFUNCTION("GOOGLETRANSLATE(C80, ""en"", ""zh"")"),"A) 反击 B) 无视 C) 撤退 D) 佯攻")</f>
        <v>A) 反击 B) 无视 C) 撤退 D) 佯攻</v>
      </c>
      <c r="J80" s="4" t="str">
        <f>IFERROR(__xludf.DUMMYFUNCTION("GOOGLETRANSLATE(D80, ""en"", ""zh"")"),"A）反击")</f>
        <v>A）反击</v>
      </c>
      <c r="K80" s="4" t="str">
        <f>IFERROR(__xludf.DUMMYFUNCTION("GOOGLETRANSLATE(E80, ""en"", ""zh"")"),"#VALUE!")</f>
        <v>#VALUE!</v>
      </c>
      <c r="L80" s="21"/>
      <c r="M80" s="21"/>
      <c r="N80" s="21"/>
      <c r="O80" s="21"/>
      <c r="P80" s="21"/>
      <c r="Q80" s="19"/>
      <c r="R80" s="19"/>
      <c r="S80" s="19"/>
      <c r="T80" s="19"/>
      <c r="U80" s="19"/>
      <c r="V80" s="19"/>
      <c r="W80" s="19"/>
      <c r="X80" s="19"/>
      <c r="Y80" s="19"/>
      <c r="Z80" s="19"/>
    </row>
    <row r="81">
      <c r="A81" s="17">
        <v>80.0</v>
      </c>
      <c r="B81" s="12" t="s">
        <v>1588</v>
      </c>
      <c r="C81" s="12" t="s">
        <v>1589</v>
      </c>
      <c r="D81" s="12" t="s">
        <v>1590</v>
      </c>
      <c r="E81" s="27"/>
      <c r="F81" s="21"/>
      <c r="G81" s="21"/>
      <c r="H81" s="4" t="str">
        <f>IFERROR(__xludf.DUMMYFUNCTION("GOOGLETRANSLATE(B81, ""en"", ""zh"")"),"对手从上方发起攻击，你如何防御？")</f>
        <v>对手从上方发起攻击，你如何防御？</v>
      </c>
      <c r="I81" s="4" t="str">
        <f>IFERROR(__xludf.DUMMYFUNCTION("GOOGLETRANSLATE(C81, ""en"", ""zh"")"),"A) 阻挡或引导 B) 无视 C) 向前迈一步 D) 跳跃")</f>
        <v>A) 阻挡或引导 B) 无视 C) 向前迈一步 D) 跳跃</v>
      </c>
      <c r="J81" s="4" t="str">
        <f>IFERROR(__xludf.DUMMYFUNCTION("GOOGLETRANSLATE(D81, ""en"", ""zh"")"),"A) 阻止或重定向")</f>
        <v>A) 阻止或重定向</v>
      </c>
      <c r="K81" s="4" t="str">
        <f>IFERROR(__xludf.DUMMYFUNCTION("GOOGLETRANSLATE(E81, ""en"", ""zh"")"),"#VALUE!")</f>
        <v>#VALUE!</v>
      </c>
      <c r="L81" s="21"/>
      <c r="M81" s="21"/>
      <c r="N81" s="21"/>
      <c r="O81" s="21"/>
      <c r="P81" s="21"/>
      <c r="Q81" s="19"/>
      <c r="R81" s="19"/>
      <c r="S81" s="19"/>
      <c r="T81" s="19"/>
      <c r="U81" s="19"/>
      <c r="V81" s="19"/>
      <c r="W81" s="19"/>
      <c r="X81" s="19"/>
      <c r="Y81" s="19"/>
      <c r="Z81" s="19"/>
    </row>
    <row r="82">
      <c r="A82" s="17">
        <v>81.0</v>
      </c>
      <c r="B82" s="12" t="s">
        <v>1591</v>
      </c>
      <c r="C82" s="12" t="s">
        <v>1592</v>
      </c>
      <c r="D82" s="12" t="s">
        <v>1524</v>
      </c>
      <c r="E82" s="27"/>
      <c r="F82" s="21"/>
      <c r="G82" s="21"/>
      <c r="H82" s="4" t="str">
        <f>IFERROR(__xludf.DUMMYFUNCTION("GOOGLETRANSLATE(B82, ""en"", ""zh"")"),"你注意到对手踢腿后站姿出现破绽。该出手吗？")</f>
        <v>你注意到对手踢腿后站姿出现破绽。该出手吗？</v>
      </c>
      <c r="I82" s="4" t="str">
        <f>IFERROR(__xludf.DUMMYFUNCTION("GOOGLETRANSLATE(C82, ""en"", ""zh"")"),"A) 立即出击 B) 无视 C) 后退 D) 假踢")</f>
        <v>A) 立即出击 B) 无视 C) 后退 D) 假踢</v>
      </c>
      <c r="J82" s="4" t="str">
        <f>IFERROR(__xludf.DUMMYFUNCTION("GOOGLETRANSLATE(D82, ""en"", ""zh"")"),"A) 立即打击")</f>
        <v>A) 立即打击</v>
      </c>
      <c r="K82" s="4" t="str">
        <f>IFERROR(__xludf.DUMMYFUNCTION("GOOGLETRANSLATE(E82, ""en"", ""zh"")"),"#VALUE!")</f>
        <v>#VALUE!</v>
      </c>
      <c r="L82" s="21"/>
      <c r="M82" s="21"/>
      <c r="N82" s="21"/>
      <c r="O82" s="21"/>
      <c r="P82" s="21"/>
      <c r="Q82" s="19"/>
      <c r="R82" s="19"/>
      <c r="S82" s="19"/>
      <c r="T82" s="19"/>
      <c r="U82" s="19"/>
      <c r="V82" s="19"/>
      <c r="W82" s="19"/>
      <c r="X82" s="19"/>
      <c r="Y82" s="19"/>
      <c r="Z82" s="19"/>
    </row>
    <row r="83">
      <c r="A83" s="17">
        <v>82.0</v>
      </c>
      <c r="B83" s="12" t="s">
        <v>1593</v>
      </c>
      <c r="C83" s="12" t="s">
        <v>1594</v>
      </c>
      <c r="D83" s="12" t="s">
        <v>1595</v>
      </c>
      <c r="E83" s="27"/>
      <c r="F83" s="21"/>
      <c r="G83" s="21"/>
      <c r="H83" s="4" t="str">
        <f>IFERROR(__xludf.DUMMYFUNCTION("GOOGLETRANSLATE(B83, ""en"", ""zh"")"),"练习过程中，你感到疲劳。你应该如何保持良好的动作姿势？")</f>
        <v>练习过程中，你感到疲劳。你应该如何保持良好的动作姿势？</v>
      </c>
      <c r="I83" s="4" t="str">
        <f>IFERROR(__xludf.DUMMYFUNCTION("GOOGLETRANSLATE(C83, ""en"", ""zh"")"),"A) 调节呼吸和步伐 B) 忽略 C) 停止 D) 随机移动")</f>
        <v>A) 调节呼吸和步伐 B) 忽略 C) 停止 D) 随机移动</v>
      </c>
      <c r="J83" s="4" t="str">
        <f>IFERROR(__xludf.DUMMYFUNCTION("GOOGLETRANSLATE(D83, ""en"", ""zh"")"),"A) 调节呼吸和节奏")</f>
        <v>A) 调节呼吸和节奏</v>
      </c>
      <c r="K83" s="4" t="str">
        <f>IFERROR(__xludf.DUMMYFUNCTION("GOOGLETRANSLATE(E83, ""en"", ""zh"")"),"#VALUE!")</f>
        <v>#VALUE!</v>
      </c>
      <c r="L83" s="21"/>
      <c r="M83" s="21"/>
      <c r="N83" s="21"/>
      <c r="O83" s="21"/>
      <c r="P83" s="21"/>
      <c r="Q83" s="19"/>
      <c r="R83" s="19"/>
      <c r="S83" s="19"/>
      <c r="T83" s="19"/>
      <c r="U83" s="19"/>
      <c r="V83" s="19"/>
      <c r="W83" s="19"/>
      <c r="X83" s="19"/>
      <c r="Y83" s="19"/>
      <c r="Z83" s="19"/>
    </row>
    <row r="84">
      <c r="A84" s="17">
        <v>83.0</v>
      </c>
      <c r="B84" s="12" t="s">
        <v>1596</v>
      </c>
      <c r="C84" s="12" t="s">
        <v>1597</v>
      </c>
      <c r="D84" s="12" t="s">
        <v>1598</v>
      </c>
      <c r="E84" s="27"/>
      <c r="F84" s="21"/>
      <c r="G84" s="21"/>
      <c r="H84" s="4" t="str">
        <f>IFERROR(__xludf.DUMMYFUNCTION("GOOGLETRANSLATE(B84, ""en"", ""zh"")"),"对手攻势很猛，你如何控制距离？")</f>
        <v>对手攻势很猛，你如何控制距离？</v>
      </c>
      <c r="I84" s="4" t="str">
        <f>IFERROR(__xludf.DUMMYFUNCTION("GOOGLETRANSLATE(C84, ""en"", ""zh"")"),"A) 后退反击 B) 无视 C) 上前 D) 佯攻")</f>
        <v>A) 后退反击 B) 无视 C) 上前 D) 佯攻</v>
      </c>
      <c r="J84" s="4" t="str">
        <f>IFERROR(__xludf.DUMMYFUNCTION("GOOGLETRANSLATE(D84, ""en"", ""zh"")"),"A) 后退并反击")</f>
        <v>A) 后退并反击</v>
      </c>
      <c r="K84" s="4" t="str">
        <f>IFERROR(__xludf.DUMMYFUNCTION("GOOGLETRANSLATE(E84, ""en"", ""zh"")"),"#VALUE!")</f>
        <v>#VALUE!</v>
      </c>
      <c r="L84" s="21"/>
      <c r="M84" s="21"/>
      <c r="N84" s="21"/>
      <c r="O84" s="21"/>
      <c r="P84" s="21"/>
      <c r="Q84" s="19"/>
      <c r="R84" s="19"/>
      <c r="S84" s="19"/>
      <c r="T84" s="19"/>
      <c r="U84" s="19"/>
      <c r="V84" s="19"/>
      <c r="W84" s="19"/>
      <c r="X84" s="19"/>
      <c r="Y84" s="19"/>
      <c r="Z84" s="19"/>
    </row>
    <row r="85">
      <c r="A85" s="17">
        <v>84.0</v>
      </c>
      <c r="B85" s="12" t="s">
        <v>1599</v>
      </c>
      <c r="C85" s="12" t="s">
        <v>1600</v>
      </c>
      <c r="D85" s="12" t="s">
        <v>1601</v>
      </c>
      <c r="E85" s="27"/>
      <c r="F85" s="21"/>
      <c r="G85" s="21"/>
      <c r="H85" s="4" t="str">
        <f>IFERROR(__xludf.DUMMYFUNCTION("GOOGLETRANSLATE(B85, ""en"", ""zh"")"),"你可以用扫腿来干扰对手。你的下一步是什么？")</f>
        <v>你可以用扫腿来干扰对手。你的下一步是什么？</v>
      </c>
      <c r="I85" s="4" t="str">
        <f>IFERROR(__xludf.DUMMYFUNCTION("GOOGLETRANSLATE(C85, ""en"", ""zh"")"),"A) 执行扫荡 B) 忽略 C) 后退 D) 暂停")</f>
        <v>A) 执行扫荡 B) 忽略 C) 后退 D) 暂停</v>
      </c>
      <c r="J85" s="4" t="str">
        <f>IFERROR(__xludf.DUMMYFUNCTION("GOOGLETRANSLATE(D85, ""en"", ""zh"")"),"A) 执行扫描")</f>
        <v>A) 执行扫描</v>
      </c>
      <c r="K85" s="4" t="str">
        <f>IFERROR(__xludf.DUMMYFUNCTION("GOOGLETRANSLATE(E85, ""en"", ""zh"")"),"#VALUE!")</f>
        <v>#VALUE!</v>
      </c>
      <c r="L85" s="21"/>
      <c r="M85" s="21"/>
      <c r="N85" s="21"/>
      <c r="O85" s="21"/>
      <c r="P85" s="21"/>
      <c r="Q85" s="19"/>
      <c r="R85" s="19"/>
      <c r="S85" s="19"/>
      <c r="T85" s="19"/>
      <c r="U85" s="19"/>
      <c r="V85" s="19"/>
      <c r="W85" s="19"/>
      <c r="X85" s="19"/>
      <c r="Y85" s="19"/>
      <c r="Z85" s="19"/>
    </row>
    <row r="86">
      <c r="A86" s="17">
        <v>85.0</v>
      </c>
      <c r="B86" s="12" t="s">
        <v>1602</v>
      </c>
      <c r="C86" s="12" t="s">
        <v>1603</v>
      </c>
      <c r="D86" s="12" t="s">
        <v>1604</v>
      </c>
      <c r="E86" s="27"/>
      <c r="F86" s="21"/>
      <c r="G86" s="21"/>
      <c r="H86" s="4" t="str">
        <f>IFERROR(__xludf.DUMMYFUNCTION("GOOGLETRANSLATE(B86, ""en"", ""zh"")"),"战斗中，对手挡住了你的攻击。你如何应对？")</f>
        <v>战斗中，对手挡住了你的攻击。你如何应对？</v>
      </c>
      <c r="I86" s="4" t="str">
        <f>IFERROR(__xludf.DUMMYFUNCTION("GOOGLETRANSLATE(C86, ""en"", ""zh"")"),"A) 调整角度 B) 忽略 C) 向前迈一步 D) 跳跃")</f>
        <v>A) 调整角度 B) 忽略 C) 向前迈一步 D) 跳跃</v>
      </c>
      <c r="J86" s="4" t="str">
        <f>IFERROR(__xludf.DUMMYFUNCTION("GOOGLETRANSLATE(D86, ""en"", ""zh"")"),"A) 调整角度")</f>
        <v>A) 调整角度</v>
      </c>
      <c r="K86" s="4" t="str">
        <f>IFERROR(__xludf.DUMMYFUNCTION("GOOGLETRANSLATE(E86, ""en"", ""zh"")"),"#VALUE!")</f>
        <v>#VALUE!</v>
      </c>
      <c r="L86" s="21"/>
      <c r="M86" s="21"/>
      <c r="N86" s="21"/>
      <c r="O86" s="21"/>
      <c r="P86" s="21"/>
      <c r="Q86" s="19"/>
      <c r="R86" s="19"/>
      <c r="S86" s="19"/>
      <c r="T86" s="19"/>
      <c r="U86" s="19"/>
      <c r="V86" s="19"/>
      <c r="W86" s="19"/>
      <c r="X86" s="19"/>
      <c r="Y86" s="19"/>
      <c r="Z86" s="19"/>
    </row>
    <row r="87">
      <c r="A87" s="17">
        <v>86.0</v>
      </c>
      <c r="B87" s="12" t="s">
        <v>1605</v>
      </c>
      <c r="C87" s="12" t="s">
        <v>1606</v>
      </c>
      <c r="D87" s="12" t="s">
        <v>1607</v>
      </c>
      <c r="E87" s="27"/>
      <c r="F87" s="21"/>
      <c r="G87" s="21"/>
      <c r="H87" s="4" t="str">
        <f>IFERROR(__xludf.DUMMYFUNCTION("GOOGLETRANSLATE(B87, ""en"", ""zh"")"),"你发现自己的脚步动作不对劲。你应该如何纠正？")</f>
        <v>你发现自己的脚步动作不对劲。你应该如何纠正？</v>
      </c>
      <c r="I87" s="4" t="str">
        <f>IFERROR(__xludf.DUMMYFUNCTION("GOOGLETRANSLATE(C87, ""en"", ""zh"")"),"A) 重置站姿和步法 B) 忽略 C) 后退 D) 停止")</f>
        <v>A) 重置站姿和步法 B) 忽略 C) 后退 D) 停止</v>
      </c>
      <c r="J87" s="4" t="str">
        <f>IFERROR(__xludf.DUMMYFUNCTION("GOOGLETRANSLATE(D87, ""en"", ""zh"")"),"A) 重置姿势和步法")</f>
        <v>A) 重置姿势和步法</v>
      </c>
      <c r="K87" s="4" t="str">
        <f>IFERROR(__xludf.DUMMYFUNCTION("GOOGLETRANSLATE(E87, ""en"", ""zh"")"),"#VALUE!")</f>
        <v>#VALUE!</v>
      </c>
      <c r="L87" s="21"/>
      <c r="M87" s="21"/>
      <c r="N87" s="21"/>
      <c r="O87" s="21"/>
      <c r="P87" s="21"/>
      <c r="Q87" s="19"/>
      <c r="R87" s="19"/>
      <c r="S87" s="19"/>
      <c r="T87" s="19"/>
      <c r="U87" s="19"/>
      <c r="V87" s="19"/>
      <c r="W87" s="19"/>
      <c r="X87" s="19"/>
      <c r="Y87" s="19"/>
      <c r="Z87" s="19"/>
    </row>
    <row r="88">
      <c r="A88" s="17">
        <v>87.0</v>
      </c>
      <c r="B88" s="12" t="s">
        <v>1608</v>
      </c>
      <c r="C88" s="12" t="s">
        <v>1609</v>
      </c>
      <c r="D88" s="12" t="s">
        <v>1610</v>
      </c>
      <c r="E88" s="27"/>
      <c r="F88" s="21"/>
      <c r="G88" s="21"/>
      <c r="H88" s="4" t="str">
        <f>IFERROR(__xludf.DUMMYFUNCTION("GOOGLETRANSLATE(B88, ""en"", ""zh"")"),"对手先虚晃一招打低位，然后突然打高位。该如何应对？")</f>
        <v>对手先虚晃一招打低位，然后突然打高位。该如何应对？</v>
      </c>
      <c r="I88" s="4" t="str">
        <f>IFERROR(__xludf.DUMMYFUNCTION("GOOGLETRANSLATE(C88, ""en"", ""zh"")"),"A) 调整防守姿势 B) 忽略 C) 向前迈步 D) 跳跃")</f>
        <v>A) 调整防守姿势 B) 忽略 C) 向前迈步 D) 跳跃</v>
      </c>
      <c r="J88" s="4" t="str">
        <f>IFERROR(__xludf.DUMMYFUNCTION("GOOGLETRANSLATE(D88, ""en"", ""zh"")"),"A) 调整护罩")</f>
        <v>A) 调整护罩</v>
      </c>
      <c r="K88" s="4" t="str">
        <f>IFERROR(__xludf.DUMMYFUNCTION("GOOGLETRANSLATE(E88, ""en"", ""zh"")"),"#VALUE!")</f>
        <v>#VALUE!</v>
      </c>
      <c r="L88" s="21"/>
      <c r="M88" s="21"/>
      <c r="N88" s="21"/>
      <c r="O88" s="21"/>
      <c r="P88" s="21"/>
      <c r="Q88" s="19"/>
      <c r="R88" s="19"/>
      <c r="S88" s="19"/>
      <c r="T88" s="19"/>
      <c r="U88" s="19"/>
      <c r="V88" s="19"/>
      <c r="W88" s="19"/>
      <c r="X88" s="19"/>
      <c r="Y88" s="19"/>
      <c r="Z88" s="19"/>
    </row>
    <row r="89">
      <c r="A89" s="17">
        <v>88.0</v>
      </c>
      <c r="B89" s="12" t="s">
        <v>1611</v>
      </c>
      <c r="C89" s="12" t="s">
        <v>1612</v>
      </c>
      <c r="D89" s="12" t="s">
        <v>1613</v>
      </c>
      <c r="E89" s="27"/>
      <c r="F89" s="21"/>
      <c r="G89" s="21"/>
      <c r="H89" s="4" t="str">
        <f>IFERROR(__xludf.DUMMYFUNCTION("GOOGLETRANSLATE(B89, ""en"", ""zh"")"),"训练中途，你发现对手的弱点。该怎么做？")</f>
        <v>训练中途，你发现对手的弱点。该怎么做？</v>
      </c>
      <c r="I89" s="4" t="str">
        <f>IFERROR(__xludf.DUMMYFUNCTION("GOOGLETRANSLATE(C89, ""en"", ""zh"")"),"A) 攻击弱点 B) 无视 C) 后退 D) 佯攻")</f>
        <v>A) 攻击弱点 B) 无视 C) 后退 D) 佯攻</v>
      </c>
      <c r="J89" s="4" t="str">
        <f>IFERROR(__xludf.DUMMYFUNCTION("GOOGLETRANSLATE(D89, ""en"", ""zh"")"),"A) 目标薄弱区域")</f>
        <v>A) 目标薄弱区域</v>
      </c>
      <c r="K89" s="4" t="str">
        <f>IFERROR(__xludf.DUMMYFUNCTION("GOOGLETRANSLATE(E89, ""en"", ""zh"")"),"#VALUE!")</f>
        <v>#VALUE!</v>
      </c>
      <c r="L89" s="21"/>
      <c r="M89" s="21"/>
      <c r="N89" s="21"/>
      <c r="O89" s="21"/>
      <c r="P89" s="21"/>
      <c r="Q89" s="19"/>
      <c r="R89" s="19"/>
      <c r="S89" s="19"/>
      <c r="T89" s="19"/>
      <c r="U89" s="19"/>
      <c r="V89" s="19"/>
      <c r="W89" s="19"/>
      <c r="X89" s="19"/>
      <c r="Y89" s="19"/>
      <c r="Z89" s="19"/>
    </row>
    <row r="90">
      <c r="A90" s="17">
        <v>89.0</v>
      </c>
      <c r="B90" s="12" t="s">
        <v>1614</v>
      </c>
      <c r="C90" s="12" t="s">
        <v>1615</v>
      </c>
      <c r="D90" s="12" t="s">
        <v>1616</v>
      </c>
      <c r="E90" s="27"/>
      <c r="F90" s="21"/>
      <c r="G90" s="21"/>
      <c r="H90" s="4" t="str">
        <f>IFERROR(__xludf.DUMMYFUNCTION("GOOGLETRANSLATE(B90, ""en"", ""zh"")"),"对手快速虚晃，你如何保持优势？")</f>
        <v>对手快速虚晃，你如何保持优势？</v>
      </c>
      <c r="I90" s="4" t="str">
        <f>IFERROR(__xludf.DUMMYFUNCTION("GOOGLETRANSLATE(C90, ""en"", ""zh"")"),"A) 注重时机 B) 忽略 C) 向前迈一步 D) 随机反击")</f>
        <v>A) 注重时机 B) 忽略 C) 向前迈一步 D) 随机反击</v>
      </c>
      <c r="J90" s="4" t="str">
        <f>IFERROR(__xludf.DUMMYFUNCTION("GOOGLETRANSLATE(D90, ""en"", ""zh"")"),"A) 注重时机")</f>
        <v>A) 注重时机</v>
      </c>
      <c r="K90" s="4" t="str">
        <f>IFERROR(__xludf.DUMMYFUNCTION("GOOGLETRANSLATE(E90, ""en"", ""zh"")"),"#VALUE!")</f>
        <v>#VALUE!</v>
      </c>
      <c r="L90" s="21"/>
      <c r="M90" s="21"/>
      <c r="N90" s="21"/>
      <c r="O90" s="21"/>
      <c r="P90" s="21"/>
      <c r="Q90" s="19"/>
      <c r="R90" s="19"/>
      <c r="S90" s="19"/>
      <c r="T90" s="19"/>
      <c r="U90" s="19"/>
      <c r="V90" s="19"/>
      <c r="W90" s="19"/>
      <c r="X90" s="19"/>
      <c r="Y90" s="19"/>
      <c r="Z90" s="19"/>
    </row>
    <row r="91">
      <c r="A91" s="17">
        <v>90.0</v>
      </c>
      <c r="B91" s="12" t="s">
        <v>1617</v>
      </c>
      <c r="C91" s="12" t="s">
        <v>1618</v>
      </c>
      <c r="D91" s="12" t="s">
        <v>1542</v>
      </c>
      <c r="E91" s="27"/>
      <c r="F91" s="21"/>
      <c r="G91" s="21"/>
      <c r="H91" s="4" t="str">
        <f>IFERROR(__xludf.DUMMYFUNCTION("GOOGLETRANSLATE(B91, ""en"", ""zh"")"),"你已被逼入绝境。你的防御策略是什么？")</f>
        <v>你已被逼入绝境。你的防御策略是什么？</v>
      </c>
      <c r="I91" s="4" t="str">
        <f>IFERROR(__xludf.DUMMYFUNCTION("GOOGLETRANSLATE(C91, ""en"", ""zh"")"),"A) 转向并反击 B) 忽略 C) 退后 D) 让步")</f>
        <v>A) 转向并反击 B) 忽略 C) 退后 D) 让步</v>
      </c>
      <c r="J91" s="4" t="str">
        <f>IFERROR(__xludf.DUMMYFUNCTION("GOOGLETRANSLATE(D91, ""en"", ""zh"")"),"A) 枢轴和反击")</f>
        <v>A) 枢轴和反击</v>
      </c>
      <c r="K91" s="4" t="str">
        <f>IFERROR(__xludf.DUMMYFUNCTION("GOOGLETRANSLATE(E91, ""en"", ""zh"")"),"#VALUE!")</f>
        <v>#VALUE!</v>
      </c>
      <c r="L91" s="21"/>
      <c r="M91" s="21"/>
      <c r="N91" s="21"/>
      <c r="O91" s="21"/>
      <c r="P91" s="21"/>
      <c r="Q91" s="19"/>
      <c r="R91" s="19"/>
      <c r="S91" s="19"/>
      <c r="T91" s="19"/>
      <c r="U91" s="19"/>
      <c r="V91" s="19"/>
      <c r="W91" s="19"/>
      <c r="X91" s="19"/>
      <c r="Y91" s="19"/>
      <c r="Z91" s="19"/>
    </row>
    <row r="92">
      <c r="A92" s="17">
        <v>91.0</v>
      </c>
      <c r="B92" s="12" t="s">
        <v>1619</v>
      </c>
      <c r="C92" s="12" t="s">
        <v>1620</v>
      </c>
      <c r="D92" s="12" t="s">
        <v>1521</v>
      </c>
      <c r="E92" s="27"/>
      <c r="F92" s="21"/>
      <c r="G92" s="21"/>
      <c r="H92" s="4" t="str">
        <f>IFERROR(__xludf.DUMMYFUNCTION("GOOGLETRANSLATE(B92, ""en"", ""zh"")"),"对手从左侧发起进攻，你如何应对？")</f>
        <v>对手从左侧发起进攻，你如何应对？</v>
      </c>
      <c r="I92" s="4" t="str">
        <f>IFERROR(__xludf.DUMMYFUNCTION("GOOGLETRANSLATE(C92, ""en"", ""zh"")"),"A) 格挡反击 B) 无视 C) 向前迈步 D) 跳跃")</f>
        <v>A) 格挡反击 B) 无视 C) 向前迈步 D) 跳跃</v>
      </c>
      <c r="J92" s="4" t="str">
        <f>IFERROR(__xludf.DUMMYFUNCTION("GOOGLETRANSLATE(D92, ""en"", ""zh"")"),"A) 格挡和反击")</f>
        <v>A) 格挡和反击</v>
      </c>
      <c r="K92" s="4" t="str">
        <f>IFERROR(__xludf.DUMMYFUNCTION("GOOGLETRANSLATE(E92, ""en"", ""zh"")"),"#VALUE!")</f>
        <v>#VALUE!</v>
      </c>
      <c r="L92" s="21"/>
      <c r="M92" s="21"/>
      <c r="N92" s="21"/>
      <c r="O92" s="21"/>
      <c r="P92" s="21"/>
      <c r="Q92" s="19"/>
      <c r="R92" s="19"/>
      <c r="S92" s="19"/>
      <c r="T92" s="19"/>
      <c r="U92" s="19"/>
      <c r="V92" s="19"/>
      <c r="W92" s="19"/>
      <c r="X92" s="19"/>
      <c r="Y92" s="19"/>
      <c r="Z92" s="19"/>
    </row>
    <row r="93">
      <c r="A93" s="17">
        <v>92.0</v>
      </c>
      <c r="B93" s="12" t="s">
        <v>1621</v>
      </c>
      <c r="C93" s="12" t="s">
        <v>1622</v>
      </c>
      <c r="D93" s="12" t="s">
        <v>1587</v>
      </c>
      <c r="E93" s="27"/>
      <c r="F93" s="21"/>
      <c r="G93" s="21"/>
      <c r="H93" s="4" t="str">
        <f>IFERROR(__xludf.DUMMYFUNCTION("GOOGLETRANSLATE(B93, ""en"", ""zh"")"),"在实战练习中，你的对手动作过大。你会如何应对？")</f>
        <v>在实战练习中，你的对手动作过大。你会如何应对？</v>
      </c>
      <c r="I93" s="4" t="str">
        <f>IFERROR(__xludf.DUMMYFUNCTION("GOOGLETRANSLATE(C93, ""en"", ""zh"")"),"A) 反击 B) 无视 C) 后退 D) 佯攻")</f>
        <v>A) 反击 B) 无视 C) 后退 D) 佯攻</v>
      </c>
      <c r="J93" s="4" t="str">
        <f>IFERROR(__xludf.DUMMYFUNCTION("GOOGLETRANSLATE(D93, ""en"", ""zh"")"),"A）反击")</f>
        <v>A）反击</v>
      </c>
      <c r="K93" s="4" t="str">
        <f>IFERROR(__xludf.DUMMYFUNCTION("GOOGLETRANSLATE(E93, ""en"", ""zh"")"),"#VALUE!")</f>
        <v>#VALUE!</v>
      </c>
      <c r="L93" s="21"/>
      <c r="M93" s="21"/>
      <c r="N93" s="21"/>
      <c r="O93" s="21"/>
      <c r="P93" s="21"/>
      <c r="Q93" s="19"/>
      <c r="R93" s="19"/>
      <c r="S93" s="19"/>
      <c r="T93" s="19"/>
      <c r="U93" s="19"/>
      <c r="V93" s="19"/>
      <c r="W93" s="19"/>
      <c r="X93" s="19"/>
      <c r="Y93" s="19"/>
      <c r="Z93" s="19"/>
    </row>
    <row r="94">
      <c r="A94" s="17">
        <v>93.0</v>
      </c>
      <c r="B94" s="12" t="s">
        <v>1623</v>
      </c>
      <c r="C94" s="12" t="s">
        <v>1577</v>
      </c>
      <c r="D94" s="12" t="s">
        <v>1578</v>
      </c>
      <c r="E94" s="27"/>
      <c r="F94" s="21"/>
      <c r="G94" s="21"/>
      <c r="H94" s="4" t="str">
        <f>IFERROR(__xludf.DUMMYFUNCTION("GOOGLETRANSLATE(B94, ""en"", ""zh"")"),"对手试图抓住并扔出你。你会怎么做？")</f>
        <v>对手试图抓住并扔出你。你会怎么做？</v>
      </c>
      <c r="I94" s="4" t="str">
        <f>IFERROR(__xludf.DUMMYFUNCTION("GOOGLETRANSLATE(C94, ""en"", ""zh"")"),"A) 挣脱 B) 无视 C) 向前迈一步 D) 让步")</f>
        <v>A) 挣脱 B) 无视 C) 向前迈一步 D) 让步</v>
      </c>
      <c r="J94" s="4" t="str">
        <f>IFERROR(__xludf.DUMMYFUNCTION("GOOGLETRANSLATE(D94, ""en"", ""zh"")"),"A) 打破僵局")</f>
        <v>A) 打破僵局</v>
      </c>
      <c r="K94" s="4" t="str">
        <f>IFERROR(__xludf.DUMMYFUNCTION("GOOGLETRANSLATE(E94, ""en"", ""zh"")"),"#VALUE!")</f>
        <v>#VALUE!</v>
      </c>
      <c r="L94" s="21"/>
      <c r="M94" s="21"/>
      <c r="N94" s="21"/>
      <c r="O94" s="21"/>
      <c r="P94" s="21"/>
      <c r="Q94" s="19"/>
      <c r="R94" s="19"/>
      <c r="S94" s="19"/>
      <c r="T94" s="19"/>
      <c r="U94" s="19"/>
      <c r="V94" s="19"/>
      <c r="W94" s="19"/>
      <c r="X94" s="19"/>
      <c r="Y94" s="19"/>
      <c r="Z94" s="19"/>
    </row>
    <row r="95">
      <c r="A95" s="17">
        <v>94.0</v>
      </c>
      <c r="B95" s="12" t="s">
        <v>1624</v>
      </c>
      <c r="C95" s="12" t="s">
        <v>1625</v>
      </c>
      <c r="D95" s="12" t="s">
        <v>1626</v>
      </c>
      <c r="E95" s="27"/>
      <c r="F95" s="21"/>
      <c r="G95" s="21"/>
      <c r="H95" s="4" t="str">
        <f>IFERROR(__xludf.DUMMYFUNCTION("GOOGLETRANSLATE(B95, ""en"", ""zh"")"),"练习过程中，你的踢球失误了。该如何应对？")</f>
        <v>练习过程中，你的踢球失误了。该如何应对？</v>
      </c>
      <c r="I95" s="4" t="str">
        <f>IFERROR(__xludf.DUMMYFUNCTION("GOOGLETRANSLATE(C95, ""en"", ""zh"")"),"A) 调整角度并攻击 B) 无视 C) 后退 D) 暂停")</f>
        <v>A) 调整角度并攻击 B) 无视 C) 后退 D) 暂停</v>
      </c>
      <c r="J95" s="4" t="str">
        <f>IFERROR(__xludf.DUMMYFUNCTION("GOOGLETRANSLATE(D95, ""en"", ""zh"")"),"A) 调整角度和冲击")</f>
        <v>A) 调整角度和冲击</v>
      </c>
      <c r="K95" s="4" t="str">
        <f>IFERROR(__xludf.DUMMYFUNCTION("GOOGLETRANSLATE(E95, ""en"", ""zh"")"),"#VALUE!")</f>
        <v>#VALUE!</v>
      </c>
      <c r="L95" s="21"/>
      <c r="M95" s="21"/>
      <c r="N95" s="21"/>
      <c r="O95" s="21"/>
      <c r="P95" s="21"/>
      <c r="Q95" s="19"/>
      <c r="R95" s="19"/>
      <c r="S95" s="19"/>
      <c r="T95" s="19"/>
      <c r="U95" s="19"/>
      <c r="V95" s="19"/>
      <c r="W95" s="19"/>
      <c r="X95" s="19"/>
      <c r="Y95" s="19"/>
      <c r="Z95" s="19"/>
    </row>
    <row r="96">
      <c r="A96" s="17">
        <v>95.0</v>
      </c>
      <c r="B96" s="12" t="s">
        <v>1627</v>
      </c>
      <c r="C96" s="12" t="s">
        <v>1628</v>
      </c>
      <c r="D96" s="12" t="s">
        <v>1581</v>
      </c>
      <c r="E96" s="27"/>
      <c r="F96" s="21"/>
      <c r="G96" s="21"/>
      <c r="H96" s="4" t="str">
        <f>IFERROR(__xludf.DUMMYFUNCTION("GOOGLETRANSLATE(B96, ""en"", ""zh"")"),"你看到了组合攻击的机会。行动吗？")</f>
        <v>你看到了组合攻击的机会。行动吗？</v>
      </c>
      <c r="I96" s="4" t="str">
        <f>IFERROR(__xludf.DUMMYFUNCTION("GOOGLETRANSLATE(C96, ""en"", ""zh"")"),"A) 执行组合技 B) 无视 C) 后退 D) 假动作")</f>
        <v>A) 执行组合技 B) 无视 C) 后退 D) 假动作</v>
      </c>
      <c r="J96" s="4" t="str">
        <f>IFERROR(__xludf.DUMMYFUNCTION("GOOGLETRANSLATE(D96, ""en"", ""zh"")"),"A) 执行组合")</f>
        <v>A) 执行组合</v>
      </c>
      <c r="K96" s="4" t="str">
        <f>IFERROR(__xludf.DUMMYFUNCTION("GOOGLETRANSLATE(E96, ""en"", ""zh"")"),"#VALUE!")</f>
        <v>#VALUE!</v>
      </c>
      <c r="L96" s="21"/>
      <c r="M96" s="21"/>
      <c r="N96" s="21"/>
      <c r="O96" s="21"/>
      <c r="P96" s="21"/>
      <c r="Q96" s="19"/>
      <c r="R96" s="19"/>
      <c r="S96" s="19"/>
      <c r="T96" s="19"/>
      <c r="U96" s="19"/>
      <c r="V96" s="19"/>
      <c r="W96" s="19"/>
      <c r="X96" s="19"/>
      <c r="Y96" s="19"/>
      <c r="Z96" s="19"/>
    </row>
    <row r="97">
      <c r="A97" s="17">
        <v>96.0</v>
      </c>
      <c r="B97" s="12" t="s">
        <v>1629</v>
      </c>
      <c r="C97" s="12" t="s">
        <v>1630</v>
      </c>
      <c r="D97" s="12" t="s">
        <v>1631</v>
      </c>
      <c r="E97" s="27"/>
      <c r="F97" s="21"/>
      <c r="G97" s="21"/>
      <c r="H97" s="4" t="str">
        <f>IFERROR(__xludf.DUMMYFUNCTION("GOOGLETRANSLATE(B97, ""en"", ""zh"")"),"对手进攻难以预测，该如何防守？")</f>
        <v>对手进攻难以预测，该如何防守？</v>
      </c>
      <c r="I97" s="4" t="str">
        <f>IFERROR(__xludf.DUMMYFUNCTION("GOOGLETRANSLATE(C97, ""en"", ""zh"")"),"A) 保持警惕并调整策略 B) 忽略 C) 向前迈一步 D) 随机反击")</f>
        <v>A) 保持警惕并调整策略 B) 忽略 C) 向前迈一步 D) 随机反击</v>
      </c>
      <c r="J97" s="4" t="str">
        <f>IFERROR(__xludf.DUMMYFUNCTION("GOOGLETRANSLATE(D97, ""en"", ""zh"")"),"A) 保持警惕并做出调整")</f>
        <v>A) 保持警惕并做出调整</v>
      </c>
      <c r="K97" s="4" t="str">
        <f>IFERROR(__xludf.DUMMYFUNCTION("GOOGLETRANSLATE(E97, ""en"", ""zh"")"),"#VALUE!")</f>
        <v>#VALUE!</v>
      </c>
      <c r="L97" s="21"/>
      <c r="M97" s="21"/>
      <c r="N97" s="21"/>
      <c r="O97" s="21"/>
      <c r="P97" s="21"/>
      <c r="Q97" s="19"/>
      <c r="R97" s="19"/>
      <c r="S97" s="19"/>
      <c r="T97" s="19"/>
      <c r="U97" s="19"/>
      <c r="V97" s="19"/>
      <c r="W97" s="19"/>
      <c r="X97" s="19"/>
      <c r="Y97" s="19"/>
      <c r="Z97" s="19"/>
    </row>
    <row r="98">
      <c r="A98" s="17">
        <v>97.0</v>
      </c>
      <c r="B98" s="12" t="s">
        <v>1632</v>
      </c>
      <c r="C98" s="12" t="s">
        <v>1633</v>
      </c>
      <c r="D98" s="12" t="s">
        <v>1634</v>
      </c>
      <c r="E98" s="27"/>
      <c r="F98" s="21"/>
      <c r="G98" s="21"/>
      <c r="H98" s="4" t="str">
        <f>IFERROR(__xludf.DUMMYFUNCTION("GOOGLETRANSLATE(B98, ""en"", ""zh"")"),"战斗中途，你的防御出现漏洞。该怎么办？")</f>
        <v>战斗中途，你的防御出现漏洞。该怎么办？</v>
      </c>
      <c r="I98" s="4" t="str">
        <f>IFERROR(__xludf.DUMMYFUNCTION("GOOGLETRANSLATE(C98, ""en"", ""zh"")"),"A) 加强防守 B) 无视 C) 后退 D) 跳跃")</f>
        <v>A) 加强防守 B) 无视 C) 后退 D) 跳跃</v>
      </c>
      <c r="J98" s="4" t="str">
        <f>IFERROR(__xludf.DUMMYFUNCTION("GOOGLETRANSLATE(D98, ""en"", ""zh"")"),"A）加强守卫")</f>
        <v>A）加强守卫</v>
      </c>
      <c r="K98" s="4" t="str">
        <f>IFERROR(__xludf.DUMMYFUNCTION("GOOGLETRANSLATE(E98, ""en"", ""zh"")"),"#VALUE!")</f>
        <v>#VALUE!</v>
      </c>
      <c r="L98" s="21"/>
      <c r="M98" s="21"/>
      <c r="N98" s="21"/>
      <c r="O98" s="21"/>
      <c r="P98" s="21"/>
      <c r="Q98" s="19"/>
      <c r="R98" s="19"/>
      <c r="S98" s="19"/>
      <c r="T98" s="19"/>
      <c r="U98" s="19"/>
      <c r="V98" s="19"/>
      <c r="W98" s="19"/>
      <c r="X98" s="19"/>
      <c r="Y98" s="19"/>
      <c r="Z98" s="19"/>
    </row>
    <row r="99">
      <c r="A99" s="17">
        <v>98.0</v>
      </c>
      <c r="B99" s="12" t="s">
        <v>1635</v>
      </c>
      <c r="C99" s="12" t="s">
        <v>1636</v>
      </c>
      <c r="D99" s="12" t="s">
        <v>1637</v>
      </c>
      <c r="E99" s="27"/>
      <c r="F99" s="21"/>
      <c r="G99" s="21"/>
      <c r="H99" s="4" t="str">
        <f>IFERROR(__xludf.DUMMYFUNCTION("GOOGLETRANSLATE(B99, ""en"", ""zh"")"),"对手先假动作打高位再打低位，你如何应对？")</f>
        <v>对手先假动作打高位再打低位，你如何应对？</v>
      </c>
      <c r="I99" s="4" t="str">
        <f>IFERROR(__xludf.DUMMYFUNCTION("GOOGLETRANSLATE(C99, ""en"", ""zh"")"),"A) 调整防守姿势和时机 B) 无视 C) 向前迈步 D) 假动作")</f>
        <v>A) 调整防守姿势和时机 B) 无视 C) 向前迈步 D) 假动作</v>
      </c>
      <c r="J99" s="4" t="str">
        <f>IFERROR(__xludf.DUMMYFUNCTION("GOOGLETRANSLATE(D99, ""en"", ""zh"")"),"A) 调整防护罩和定时")</f>
        <v>A) 调整防护罩和定时</v>
      </c>
      <c r="K99" s="4" t="str">
        <f>IFERROR(__xludf.DUMMYFUNCTION("GOOGLETRANSLATE(E99, ""en"", ""zh"")"),"#VALUE!")</f>
        <v>#VALUE!</v>
      </c>
      <c r="L99" s="21"/>
      <c r="M99" s="21"/>
      <c r="N99" s="21"/>
      <c r="O99" s="21"/>
      <c r="P99" s="21"/>
      <c r="Q99" s="19"/>
      <c r="R99" s="19"/>
      <c r="S99" s="19"/>
      <c r="T99" s="19"/>
      <c r="U99" s="19"/>
      <c r="V99" s="19"/>
      <c r="W99" s="19"/>
      <c r="X99" s="19"/>
      <c r="Y99" s="19"/>
      <c r="Z99" s="19"/>
    </row>
    <row r="100">
      <c r="A100" s="17">
        <v>99.0</v>
      </c>
      <c r="B100" s="12" t="s">
        <v>1638</v>
      </c>
      <c r="C100" s="12" t="s">
        <v>1639</v>
      </c>
      <c r="D100" s="12" t="s">
        <v>1563</v>
      </c>
      <c r="E100" s="27"/>
      <c r="F100" s="21"/>
      <c r="G100" s="21"/>
      <c r="H100" s="4" t="str">
        <f>IFERROR(__xludf.DUMMYFUNCTION("GOOGLETRANSLATE(B100, ""en"", ""zh"")"),"你注意到对手格挡后出现了空档。该出手吗？")</f>
        <v>你注意到对手格挡后出现了空档。该出手吗？</v>
      </c>
      <c r="I100" s="4" t="str">
        <f>IFERROR(__xludf.DUMMYFUNCTION("GOOGLETRANSLATE(C100, ""en"", ""zh"")"),"A) 攻击 B) 无视 C) 后退 D) 暂停")</f>
        <v>A) 攻击 B) 无视 C) 后退 D) 暂停</v>
      </c>
      <c r="J100" s="4" t="str">
        <f>IFERROR(__xludf.DUMMYFUNCTION("GOOGLETRANSLATE(D100, ""en"", ""zh"")"),"A）罢工")</f>
        <v>A）罢工</v>
      </c>
      <c r="K100" s="4" t="str">
        <f>IFERROR(__xludf.DUMMYFUNCTION("GOOGLETRANSLATE(E100, ""en"", ""zh"")"),"#VALUE!")</f>
        <v>#VALUE!</v>
      </c>
      <c r="L100" s="21"/>
      <c r="M100" s="21"/>
      <c r="N100" s="21"/>
      <c r="O100" s="21"/>
      <c r="P100" s="21"/>
      <c r="Q100" s="19"/>
      <c r="R100" s="19"/>
      <c r="S100" s="19"/>
      <c r="T100" s="19"/>
      <c r="U100" s="19"/>
      <c r="V100" s="19"/>
      <c r="W100" s="19"/>
      <c r="X100" s="19"/>
      <c r="Y100" s="19"/>
      <c r="Z100" s="19"/>
    </row>
    <row r="101">
      <c r="A101" s="17">
        <v>100.0</v>
      </c>
      <c r="B101" s="12" t="s">
        <v>1640</v>
      </c>
      <c r="C101" s="12" t="s">
        <v>1641</v>
      </c>
      <c r="D101" s="12" t="s">
        <v>1642</v>
      </c>
      <c r="E101" s="27"/>
      <c r="F101" s="21"/>
      <c r="G101" s="21"/>
      <c r="H101" s="4" t="str">
        <f>IFERROR(__xludf.DUMMYFUNCTION("GOOGLETRANSLATE(B101, ""en"", ""zh"")"),"训练中途，对手发起猛烈进攻。如何应对？")</f>
        <v>训练中途，对手发起猛烈进攻。如何应对？</v>
      </c>
      <c r="I101" s="4" t="str">
        <f>IFERROR(__xludf.DUMMYFUNCTION("GOOGLETRANSLATE(C101, ""en"", ""zh"")"),"A) 保持距离并反击 B) 无视 C) 上前一步 D) 虚晃一枪")</f>
        <v>A) 保持距离并反击 B) 无视 C) 上前一步 D) 虚晃一枪</v>
      </c>
      <c r="J101" s="4" t="str">
        <f>IFERROR(__xludf.DUMMYFUNCTION("GOOGLETRANSLATE(D101, ""en"", ""zh"")"),"A) 保持距离并反击")</f>
        <v>A) 保持距离并反击</v>
      </c>
      <c r="K101" s="4" t="str">
        <f>IFERROR(__xludf.DUMMYFUNCTION("GOOGLETRANSLATE(E101, ""en"", ""zh"")"),"#VALUE!")</f>
        <v>#VALUE!</v>
      </c>
      <c r="L101" s="21"/>
      <c r="M101" s="21"/>
      <c r="N101" s="21"/>
      <c r="O101" s="21"/>
      <c r="P101" s="21"/>
      <c r="Q101" s="19"/>
      <c r="R101" s="19"/>
      <c r="S101" s="19"/>
      <c r="T101" s="19"/>
      <c r="U101" s="19"/>
      <c r="V101" s="19"/>
      <c r="W101" s="19"/>
      <c r="X101" s="19"/>
      <c r="Y101" s="19"/>
      <c r="Z101" s="19"/>
    </row>
    <row r="102">
      <c r="A102" s="17">
        <v>101.0</v>
      </c>
      <c r="B102" s="12" t="s">
        <v>1643</v>
      </c>
      <c r="C102" s="12" t="s">
        <v>1644</v>
      </c>
      <c r="D102" s="12" t="s">
        <v>1099</v>
      </c>
      <c r="E102" s="27"/>
      <c r="F102" s="21"/>
      <c r="G102" s="21"/>
      <c r="H102" s="4" t="str">
        <f>IFERROR(__xludf.DUMMYFUNCTION("GOOGLETRANSLATE(B102, ""en"", ""zh"")"),"对手攻击弱点。最佳应对策略是什么？")</f>
        <v>对手攻击弱点。最佳应对策略是什么？</v>
      </c>
      <c r="I102" s="4" t="str">
        <f>IFERROR(__xludf.DUMMYFUNCTION("GOOGLETRANSLATE(C102, ""en"", ""zh"")"),"A) 调整站姿 B) 无视 C) 向前迈一步 D) 让步")</f>
        <v>A) 调整站姿 B) 无视 C) 向前迈一步 D) 让步</v>
      </c>
      <c r="J102" s="4" t="str">
        <f>IFERROR(__xludf.DUMMYFUNCTION("GOOGLETRANSLATE(D102, ""en"", ""zh"")"),"A）调整站姿")</f>
        <v>A）调整站姿</v>
      </c>
      <c r="K102" s="4" t="str">
        <f>IFERROR(__xludf.DUMMYFUNCTION("GOOGLETRANSLATE(E102, ""en"", ""zh"")"),"#VALUE!")</f>
        <v>#VALUE!</v>
      </c>
      <c r="L102" s="21"/>
      <c r="M102" s="21"/>
      <c r="N102" s="21"/>
      <c r="O102" s="21"/>
      <c r="P102" s="21"/>
      <c r="Q102" s="19"/>
      <c r="R102" s="19"/>
      <c r="S102" s="19"/>
      <c r="T102" s="19"/>
      <c r="U102" s="19"/>
      <c r="V102" s="19"/>
      <c r="W102" s="19"/>
      <c r="X102" s="19"/>
      <c r="Y102" s="19"/>
      <c r="Z102" s="19"/>
    </row>
    <row r="103">
      <c r="A103" s="17">
        <v>102.0</v>
      </c>
      <c r="B103" s="12" t="s">
        <v>1645</v>
      </c>
      <c r="C103" s="12" t="s">
        <v>1646</v>
      </c>
      <c r="D103" s="12" t="s">
        <v>1626</v>
      </c>
      <c r="E103" s="27"/>
      <c r="F103" s="21"/>
      <c r="G103" s="21"/>
      <c r="H103" s="4" t="str">
        <f>IFERROR(__xludf.DUMMYFUNCTION("GOOGLETRANSLATE(B103, ""en"", ""zh"")"),"战斗中，对手挡住了你的踢击。你该如何应对？")</f>
        <v>战斗中，对手挡住了你的踢击。你该如何应对？</v>
      </c>
      <c r="I103" s="4" t="str">
        <f>IFERROR(__xludf.DUMMYFUNCTION("GOOGLETRANSLATE(C103, ""en"", ""zh"")"),"A) 调整角度并攻击 B) 无视 C) 后退 D) 假踢")</f>
        <v>A) 调整角度并攻击 B) 无视 C) 后退 D) 假踢</v>
      </c>
      <c r="J103" s="4" t="str">
        <f>IFERROR(__xludf.DUMMYFUNCTION("GOOGLETRANSLATE(D103, ""en"", ""zh"")"),"A) 调整角度和冲击")</f>
        <v>A) 调整角度和冲击</v>
      </c>
      <c r="K103" s="4" t="str">
        <f>IFERROR(__xludf.DUMMYFUNCTION("GOOGLETRANSLATE(E103, ""en"", ""zh"")"),"#VALUE!")</f>
        <v>#VALUE!</v>
      </c>
      <c r="L103" s="21"/>
      <c r="M103" s="21"/>
      <c r="N103" s="21"/>
      <c r="O103" s="21"/>
      <c r="P103" s="21"/>
      <c r="Q103" s="19"/>
      <c r="R103" s="19"/>
      <c r="S103" s="19"/>
      <c r="T103" s="19"/>
      <c r="U103" s="19"/>
      <c r="V103" s="19"/>
      <c r="W103" s="19"/>
      <c r="X103" s="19"/>
      <c r="Y103" s="19"/>
      <c r="Z103" s="19"/>
    </row>
    <row r="104">
      <c r="A104" s="17">
        <v>103.0</v>
      </c>
      <c r="B104" s="12" t="s">
        <v>1647</v>
      </c>
      <c r="C104" s="12" t="s">
        <v>1648</v>
      </c>
      <c r="D104" s="12" t="s">
        <v>1554</v>
      </c>
      <c r="E104" s="27"/>
      <c r="F104" s="21"/>
      <c r="G104" s="21"/>
      <c r="H104" s="4" t="str">
        <f>IFERROR(__xludf.DUMMYFUNCTION("GOOGLETRANSLATE(B104, ""en"", ""zh"")"),"你可以用佯攻来打开对手的防线。操作？")</f>
        <v>你可以用佯攻来打开对手的防线。操作？</v>
      </c>
      <c r="I104" s="4" t="str">
        <f>IFERROR(__xludf.DUMMYFUNCTION("GOOGLETRANSLATE(C104, ""en"", ""zh"")"),"A) 佯攻 B) 无视 C) 后退 D) 暂停")</f>
        <v>A) 佯攻 B) 无视 C) 后退 D) 暂停</v>
      </c>
      <c r="J104" s="4" t="str">
        <f>IFERROR(__xludf.DUMMYFUNCTION("GOOGLETRANSLATE(D104, ""en"", ""zh"")"),"A）执行佯攻")</f>
        <v>A）执行佯攻</v>
      </c>
      <c r="K104" s="4" t="str">
        <f>IFERROR(__xludf.DUMMYFUNCTION("GOOGLETRANSLATE(E104, ""en"", ""zh"")"),"#VALUE!")</f>
        <v>#VALUE!</v>
      </c>
      <c r="L104" s="21"/>
      <c r="M104" s="21"/>
      <c r="N104" s="21"/>
      <c r="O104" s="21"/>
      <c r="P104" s="21"/>
      <c r="Q104" s="19"/>
      <c r="R104" s="19"/>
      <c r="S104" s="19"/>
      <c r="T104" s="19"/>
      <c r="U104" s="19"/>
      <c r="V104" s="19"/>
      <c r="W104" s="19"/>
      <c r="X104" s="19"/>
      <c r="Y104" s="19"/>
      <c r="Z104" s="19"/>
    </row>
    <row r="105">
      <c r="A105" s="17">
        <v>104.0</v>
      </c>
      <c r="B105" s="12" t="s">
        <v>1649</v>
      </c>
      <c r="C105" s="12" t="s">
        <v>1650</v>
      </c>
      <c r="D105" s="12" t="s">
        <v>1578</v>
      </c>
      <c r="E105" s="27"/>
      <c r="F105" s="21"/>
      <c r="G105" s="21"/>
      <c r="H105" s="4" t="str">
        <f>IFERROR(__xludf.DUMMYFUNCTION("GOOGLETRANSLATE(B105, ""en"", ""zh"")"),"训练中，对手突然抓住你的腿。你该如何应对？")</f>
        <v>训练中，对手突然抓住你的腿。你该如何应对？</v>
      </c>
      <c r="I105" s="4" t="str">
        <f>IFERROR(__xludf.DUMMYFUNCTION("GOOGLETRANSLATE(C105, ""en"", ""zh"")"),"A) 解除控制 B) 无视 C) 后退 D) 让步")</f>
        <v>A) 解除控制 B) 无视 C) 后退 D) 让步</v>
      </c>
      <c r="J105" s="4" t="str">
        <f>IFERROR(__xludf.DUMMYFUNCTION("GOOGLETRANSLATE(D105, ""en"", ""zh"")"),"A) 打破僵局")</f>
        <v>A) 打破僵局</v>
      </c>
      <c r="K105" s="4" t="str">
        <f>IFERROR(__xludf.DUMMYFUNCTION("GOOGLETRANSLATE(E105, ""en"", ""zh"")"),"#VALUE!")</f>
        <v>#VALUE!</v>
      </c>
      <c r="L105" s="21"/>
      <c r="M105" s="21"/>
      <c r="N105" s="21"/>
      <c r="O105" s="21"/>
      <c r="P105" s="21"/>
      <c r="Q105" s="19"/>
      <c r="R105" s="19"/>
      <c r="S105" s="19"/>
      <c r="T105" s="19"/>
      <c r="U105" s="19"/>
      <c r="V105" s="19"/>
      <c r="W105" s="19"/>
      <c r="X105" s="19"/>
      <c r="Y105" s="19"/>
      <c r="Z105" s="19"/>
    </row>
    <row r="106">
      <c r="A106" s="17">
        <v>105.0</v>
      </c>
      <c r="B106" s="12" t="s">
        <v>1651</v>
      </c>
      <c r="C106" s="12" t="s">
        <v>1622</v>
      </c>
      <c r="D106" s="12" t="s">
        <v>1587</v>
      </c>
      <c r="E106" s="27"/>
      <c r="F106" s="21"/>
      <c r="G106" s="21"/>
      <c r="H106" s="4" t="str">
        <f>IFERROR(__xludf.DUMMYFUNCTION("GOOGLETRANSLATE(B106, ""en"", ""zh"")"),"对手过度扩张，你如何抓住机会？")</f>
        <v>对手过度扩张，你如何抓住机会？</v>
      </c>
      <c r="I106" s="4" t="str">
        <f>IFERROR(__xludf.DUMMYFUNCTION("GOOGLETRANSLATE(C106, ""en"", ""zh"")"),"A) 反击 B) 无视 C) 后退 D) 佯攻")</f>
        <v>A) 反击 B) 无视 C) 后退 D) 佯攻</v>
      </c>
      <c r="J106" s="4" t="str">
        <f>IFERROR(__xludf.DUMMYFUNCTION("GOOGLETRANSLATE(D106, ""en"", ""zh"")"),"A）反击")</f>
        <v>A）反击</v>
      </c>
      <c r="K106" s="4" t="str">
        <f>IFERROR(__xludf.DUMMYFUNCTION("GOOGLETRANSLATE(E106, ""en"", ""zh"")"),"#VALUE!")</f>
        <v>#VALUE!</v>
      </c>
      <c r="L106" s="21"/>
      <c r="M106" s="21"/>
      <c r="N106" s="21"/>
      <c r="O106" s="21"/>
      <c r="P106" s="21"/>
      <c r="Q106" s="19"/>
      <c r="R106" s="19"/>
      <c r="S106" s="19"/>
      <c r="T106" s="19"/>
      <c r="U106" s="19"/>
      <c r="V106" s="19"/>
      <c r="W106" s="19"/>
      <c r="X106" s="19"/>
      <c r="Y106" s="19"/>
      <c r="Z106" s="19"/>
    </row>
    <row r="107">
      <c r="A107" s="17">
        <v>106.0</v>
      </c>
      <c r="B107" s="12" t="s">
        <v>1652</v>
      </c>
      <c r="C107" s="12" t="s">
        <v>1653</v>
      </c>
      <c r="D107" s="12" t="s">
        <v>1569</v>
      </c>
      <c r="E107" s="27"/>
      <c r="F107" s="21"/>
      <c r="G107" s="21"/>
      <c r="H107" s="4" t="str">
        <f>IFERROR(__xludf.DUMMYFUNCTION("GOOGLETRANSLATE(B107, ""en"", ""zh"")"),"在实战练习中，你的站姿突然摇晃。如何恢复？")</f>
        <v>在实战练习中，你的站姿突然摇晃。如何恢复？</v>
      </c>
      <c r="I107" s="4" t="str">
        <f>IFERROR(__xludf.DUMMYFUNCTION("GOOGLETRANSLATE(C107, ""en"", ""zh"")"),"A) 恢复平衡 B) 忽略 C) 向前迈一步 D) 暂停")</f>
        <v>A) 恢复平衡 B) 忽略 C) 向前迈一步 D) 暂停</v>
      </c>
      <c r="J107" s="4" t="str">
        <f>IFERROR(__xludf.DUMMYFUNCTION("GOOGLETRANSLATE(D107, ""en"", ""zh"")"),"A) 恢复平衡")</f>
        <v>A) 恢复平衡</v>
      </c>
      <c r="K107" s="4" t="str">
        <f>IFERROR(__xludf.DUMMYFUNCTION("GOOGLETRANSLATE(E107, ""en"", ""zh"")"),"#VALUE!")</f>
        <v>#VALUE!</v>
      </c>
      <c r="L107" s="21"/>
      <c r="M107" s="21"/>
      <c r="N107" s="21"/>
      <c r="O107" s="21"/>
      <c r="P107" s="21"/>
      <c r="Q107" s="19"/>
      <c r="R107" s="19"/>
      <c r="S107" s="19"/>
      <c r="T107" s="19"/>
      <c r="U107" s="19"/>
      <c r="V107" s="19"/>
      <c r="W107" s="19"/>
      <c r="X107" s="19"/>
      <c r="Y107" s="19"/>
      <c r="Z107" s="19"/>
    </row>
    <row r="108">
      <c r="A108" s="17">
        <v>107.0</v>
      </c>
      <c r="B108" s="12" t="s">
        <v>1654</v>
      </c>
      <c r="C108" s="12" t="s">
        <v>1655</v>
      </c>
      <c r="D108" s="12" t="s">
        <v>1656</v>
      </c>
      <c r="E108" s="27"/>
      <c r="F108" s="21"/>
      <c r="G108" s="21"/>
      <c r="H108" s="4" t="str">
        <f>IFERROR(__xludf.DUMMYFUNCTION("GOOGLETRANSLATE(B108, ""en"", ""zh"")"),"对手不断虚晃，你该如何应对？")</f>
        <v>对手不断虚晃，你该如何应对？</v>
      </c>
      <c r="I108" s="4" t="str">
        <f>IFERROR(__xludf.DUMMYFUNCTION("GOOGLETRANSLATE(C108, ""en"", ""zh"")"),"A) 集中注意力并预判 B) 忽略 C) 向前迈步 D) 随机反击")</f>
        <v>A) 集中注意力并预判 B) 忽略 C) 向前迈步 D) 随机反击</v>
      </c>
      <c r="J108" s="4" t="str">
        <f>IFERROR(__xludf.DUMMYFUNCTION("GOOGLETRANSLATE(D108, ""en"", ""zh"")"),"A) 集中精力并做出预测")</f>
        <v>A) 集中精力并做出预测</v>
      </c>
      <c r="K108" s="4" t="str">
        <f>IFERROR(__xludf.DUMMYFUNCTION("GOOGLETRANSLATE(E108, ""en"", ""zh"")"),"#VALUE!")</f>
        <v>#VALUE!</v>
      </c>
      <c r="L108" s="21"/>
      <c r="M108" s="21"/>
      <c r="N108" s="21"/>
      <c r="O108" s="21"/>
      <c r="P108" s="21"/>
      <c r="Q108" s="19"/>
      <c r="R108" s="19"/>
      <c r="S108" s="19"/>
      <c r="T108" s="19"/>
      <c r="U108" s="19"/>
      <c r="V108" s="19"/>
      <c r="W108" s="19"/>
      <c r="X108" s="19"/>
      <c r="Y108" s="19"/>
      <c r="Z108" s="19"/>
    </row>
    <row r="109">
      <c r="A109" s="17">
        <v>108.0</v>
      </c>
      <c r="B109" s="12" t="s">
        <v>1657</v>
      </c>
      <c r="C109" s="12" t="s">
        <v>1658</v>
      </c>
      <c r="D109" s="12" t="s">
        <v>1659</v>
      </c>
      <c r="E109" s="27"/>
      <c r="F109" s="21"/>
      <c r="G109" s="21"/>
      <c r="H109" s="4" t="str">
        <f>IFERROR(__xludf.DUMMYFUNCTION("GOOGLETRANSLATE(B109, ""en"", ""zh"")"),"穿梭机压力很高（如果用于武器训练）。应该如何应对？")</f>
        <v>穿梭机压力很高（如果用于武器训练）。应该如何应对？</v>
      </c>
      <c r="I109" s="4" t="str">
        <f>IFERROR(__xludf.DUMMYFUNCTION("GOOGLETRANSLATE(C109, ""en"", ""zh"")"),"A) 跳击 B) 无视 C) 后撤 D) 让步")</f>
        <v>A) 跳击 B) 无视 C) 后撤 D) 让步</v>
      </c>
      <c r="J109" s="4" t="str">
        <f>IFERROR(__xludf.DUMMYFUNCTION("GOOGLETRANSLATE(D109, ""en"", ""zh"")"),"A) 跳跃攻击")</f>
        <v>A) 跳跃攻击</v>
      </c>
      <c r="K109" s="4" t="str">
        <f>IFERROR(__xludf.DUMMYFUNCTION("GOOGLETRANSLATE(E109, ""en"", ""zh"")"),"#VALUE!")</f>
        <v>#VALUE!</v>
      </c>
      <c r="L109" s="21"/>
      <c r="M109" s="21"/>
      <c r="N109" s="21"/>
      <c r="O109" s="21"/>
      <c r="P109" s="21"/>
      <c r="Q109" s="19"/>
      <c r="R109" s="19"/>
      <c r="S109" s="19"/>
      <c r="T109" s="19"/>
      <c r="U109" s="19"/>
      <c r="V109" s="19"/>
      <c r="W109" s="19"/>
      <c r="X109" s="19"/>
      <c r="Y109" s="19"/>
      <c r="Z109" s="19"/>
    </row>
    <row r="110">
      <c r="A110" s="17">
        <v>109.0</v>
      </c>
      <c r="B110" s="12" t="s">
        <v>1660</v>
      </c>
      <c r="C110" s="12" t="s">
        <v>1620</v>
      </c>
      <c r="D110" s="12" t="s">
        <v>1521</v>
      </c>
      <c r="E110" s="27"/>
      <c r="F110" s="21"/>
      <c r="G110" s="21"/>
      <c r="H110" s="4" t="str">
        <f>IFERROR(__xludf.DUMMYFUNCTION("GOOGLETRANSLATE(B110, ""en"", ""zh"")"),"对手突然踢腿。应对措施？")</f>
        <v>对手突然踢腿。应对措施？</v>
      </c>
      <c r="I110" s="4" t="str">
        <f>IFERROR(__xludf.DUMMYFUNCTION("GOOGLETRANSLATE(C110, ""en"", ""zh"")"),"A) 格挡反击 B) 无视 C) 向前迈步 D) 跳跃")</f>
        <v>A) 格挡反击 B) 无视 C) 向前迈步 D) 跳跃</v>
      </c>
      <c r="J110" s="4" t="str">
        <f>IFERROR(__xludf.DUMMYFUNCTION("GOOGLETRANSLATE(D110, ""en"", ""zh"")"),"A) 格挡和反击")</f>
        <v>A) 格挡和反击</v>
      </c>
      <c r="K110" s="4" t="str">
        <f>IFERROR(__xludf.DUMMYFUNCTION("GOOGLETRANSLATE(E110, ""en"", ""zh"")"),"#VALUE!")</f>
        <v>#VALUE!</v>
      </c>
      <c r="L110" s="21"/>
      <c r="M110" s="21"/>
      <c r="N110" s="21"/>
      <c r="O110" s="21"/>
      <c r="P110" s="21"/>
      <c r="Q110" s="19"/>
      <c r="R110" s="19"/>
      <c r="S110" s="19"/>
      <c r="T110" s="19"/>
      <c r="U110" s="19"/>
      <c r="V110" s="19"/>
      <c r="W110" s="19"/>
      <c r="X110" s="19"/>
      <c r="Y110" s="19"/>
      <c r="Z110" s="19"/>
    </row>
    <row r="111">
      <c r="A111" s="17">
        <v>110.0</v>
      </c>
      <c r="B111" s="12" t="s">
        <v>1661</v>
      </c>
      <c r="C111" s="12" t="s">
        <v>1662</v>
      </c>
      <c r="D111" s="12" t="s">
        <v>1610</v>
      </c>
      <c r="E111" s="27"/>
      <c r="F111" s="21"/>
      <c r="G111" s="21"/>
      <c r="H111" s="4" t="str">
        <f>IFERROR(__xludf.DUMMYFUNCTION("GOOGLETRANSLATE(B111, ""en"", ""zh"")"),"战斗中，对手向你的中心施压。该怎么做？")</f>
        <v>战斗中，对手向你的中心施压。该怎么做？</v>
      </c>
      <c r="I111" s="4" t="str">
        <f>IFERROR(__xludf.DUMMYFUNCTION("GOOGLETRANSLATE(C111, ""en"", ""zh"")"),"A) 调整防守姿势 B) 无视 C) 向前迈步 D) 假动作")</f>
        <v>A) 调整防守姿势 B) 无视 C) 向前迈步 D) 假动作</v>
      </c>
      <c r="J111" s="4" t="str">
        <f>IFERROR(__xludf.DUMMYFUNCTION("GOOGLETRANSLATE(D111, ""en"", ""zh"")"),"A) 调整护罩")</f>
        <v>A) 调整护罩</v>
      </c>
      <c r="K111" s="4" t="str">
        <f>IFERROR(__xludf.DUMMYFUNCTION("GOOGLETRANSLATE(E111, ""en"", ""zh"")"),"#VALUE!")</f>
        <v>#VALUE!</v>
      </c>
      <c r="L111" s="21"/>
      <c r="M111" s="21"/>
      <c r="N111" s="21"/>
      <c r="O111" s="21"/>
      <c r="P111" s="21"/>
      <c r="Q111" s="19"/>
      <c r="R111" s="19"/>
      <c r="S111" s="19"/>
      <c r="T111" s="19"/>
      <c r="U111" s="19"/>
      <c r="V111" s="19"/>
      <c r="W111" s="19"/>
      <c r="X111" s="19"/>
      <c r="Y111" s="19"/>
      <c r="Z111" s="19"/>
    </row>
    <row r="112">
      <c r="A112" s="17">
        <v>111.0</v>
      </c>
      <c r="B112" s="12" t="s">
        <v>1663</v>
      </c>
      <c r="C112" s="12" t="s">
        <v>1664</v>
      </c>
      <c r="D112" s="12" t="s">
        <v>1613</v>
      </c>
      <c r="E112" s="27"/>
      <c r="F112" s="21"/>
      <c r="G112" s="21"/>
      <c r="H112" s="4" t="str">
        <f>IFERROR(__xludf.DUMMYFUNCTION("GOOGLETRANSLATE(B112, ""en"", ""zh"")"),"你注意到对手的站姿不稳。该出手吗？")</f>
        <v>你注意到对手的站姿不稳。该出手吗？</v>
      </c>
      <c r="I112" s="4" t="str">
        <f>IFERROR(__xludf.DUMMYFUNCTION("GOOGLETRANSLATE(C112, ""en"", ""zh"")"),"A) 瞄准薄弱环节 B) 忽略 C) 后退 D) 暂停")</f>
        <v>A) 瞄准薄弱环节 B) 忽略 C) 后退 D) 暂停</v>
      </c>
      <c r="J112" s="4" t="str">
        <f>IFERROR(__xludf.DUMMYFUNCTION("GOOGLETRANSLATE(D112, ""en"", ""zh"")"),"A) 目标薄弱区域")</f>
        <v>A) 目标薄弱区域</v>
      </c>
      <c r="K112" s="4" t="str">
        <f>IFERROR(__xludf.DUMMYFUNCTION("GOOGLETRANSLATE(E112, ""en"", ""zh"")"),"#VALUE!")</f>
        <v>#VALUE!</v>
      </c>
      <c r="L112" s="21"/>
      <c r="M112" s="21"/>
      <c r="N112" s="21"/>
      <c r="O112" s="21"/>
      <c r="P112" s="21"/>
      <c r="Q112" s="19"/>
      <c r="R112" s="19"/>
      <c r="S112" s="19"/>
      <c r="T112" s="19"/>
      <c r="U112" s="19"/>
      <c r="V112" s="19"/>
      <c r="W112" s="19"/>
      <c r="X112" s="19"/>
      <c r="Y112" s="19"/>
      <c r="Z112" s="19"/>
    </row>
    <row r="113">
      <c r="A113" s="17">
        <v>112.0</v>
      </c>
      <c r="B113" s="12" t="s">
        <v>1665</v>
      </c>
      <c r="C113" s="12" t="s">
        <v>1666</v>
      </c>
      <c r="D113" s="12" t="s">
        <v>1667</v>
      </c>
      <c r="E113" s="27"/>
      <c r="F113" s="21"/>
      <c r="G113" s="21"/>
      <c r="H113" s="4" t="str">
        <f>IFERROR(__xludf.DUMMYFUNCTION("GOOGLETRANSLATE(B113, ""en"", ""zh"")"),"训练过程中，疲劳会影响注意力。解决方法是什么？")</f>
        <v>训练过程中，疲劳会影响注意力。解决方法是什么？</v>
      </c>
      <c r="I113" s="4" t="str">
        <f>IFERROR(__xludf.DUMMYFUNCTION("GOOGLETRANSLATE(C113, ""en"", ""zh"")"),"A) 调节呼吸并保持技巧 B) 忽略 C) 停止 D) 暂停")</f>
        <v>A) 调节呼吸并保持技巧 B) 忽略 C) 停止 D) 暂停</v>
      </c>
      <c r="J113" s="4" t="str">
        <f>IFERROR(__xludf.DUMMYFUNCTION("GOOGLETRANSLATE(D113, ""en"", ""zh"")"),"A) 调节呼吸并保持技术")</f>
        <v>A) 调节呼吸并保持技术</v>
      </c>
      <c r="K113" s="4" t="str">
        <f>IFERROR(__xludf.DUMMYFUNCTION("GOOGLETRANSLATE(E113, ""en"", ""zh"")"),"#VALUE!")</f>
        <v>#VALUE!</v>
      </c>
      <c r="L113" s="21"/>
      <c r="M113" s="21"/>
      <c r="N113" s="21"/>
      <c r="O113" s="21"/>
      <c r="P113" s="21"/>
      <c r="Q113" s="19"/>
      <c r="R113" s="19"/>
      <c r="S113" s="19"/>
      <c r="T113" s="19"/>
      <c r="U113" s="19"/>
      <c r="V113" s="19"/>
      <c r="W113" s="19"/>
      <c r="X113" s="19"/>
      <c r="Y113" s="19"/>
      <c r="Z113" s="19"/>
    </row>
    <row r="114">
      <c r="A114" s="17">
        <v>113.0</v>
      </c>
      <c r="B114" s="12" t="s">
        <v>1668</v>
      </c>
      <c r="C114" s="12" t="s">
        <v>1669</v>
      </c>
      <c r="D114" s="12" t="s">
        <v>1670</v>
      </c>
      <c r="E114" s="27"/>
      <c r="F114" s="21"/>
      <c r="G114" s="21"/>
      <c r="H114" s="4" t="str">
        <f>IFERROR(__xludf.DUMMYFUNCTION("GOOGLETRANSLATE(B114, ""en"", ""zh"")"),"对手使用组合拳进攻，如何应对？")</f>
        <v>对手使用组合拳进攻，如何应对？</v>
      </c>
      <c r="I114" s="4" t="str">
        <f>IFERROR(__xludf.DUMMYFUNCTION("GOOGLETRANSLATE(C114, ""en"", ""zh"")"),"A) 防守反击 B) 无视 C) 向前迈步 D) 跳跃")</f>
        <v>A) 防守反击 B) 无视 C) 向前迈步 D) 跳跃</v>
      </c>
      <c r="J114" s="4" t="str">
        <f>IFERROR(__xludf.DUMMYFUNCTION("GOOGLETRANSLATE(D114, ""en"", ""zh"")"),"A) 防御与反击")</f>
        <v>A) 防御与反击</v>
      </c>
      <c r="K114" s="4" t="str">
        <f>IFERROR(__xludf.DUMMYFUNCTION("GOOGLETRANSLATE(E114, ""en"", ""zh"")"),"#VALUE!")</f>
        <v>#VALUE!</v>
      </c>
      <c r="L114" s="21"/>
      <c r="M114" s="21"/>
      <c r="N114" s="21"/>
      <c r="O114" s="21"/>
      <c r="P114" s="21"/>
      <c r="Q114" s="19"/>
      <c r="R114" s="19"/>
      <c r="S114" s="19"/>
      <c r="T114" s="19"/>
      <c r="U114" s="19"/>
      <c r="V114" s="19"/>
      <c r="W114" s="19"/>
      <c r="X114" s="19"/>
      <c r="Y114" s="19"/>
      <c r="Z114" s="19"/>
    </row>
    <row r="115">
      <c r="A115" s="17">
        <v>114.0</v>
      </c>
      <c r="B115" s="12" t="s">
        <v>1671</v>
      </c>
      <c r="C115" s="12" t="s">
        <v>1672</v>
      </c>
      <c r="D115" s="12" t="s">
        <v>1607</v>
      </c>
      <c r="E115" s="27"/>
      <c r="F115" s="21"/>
      <c r="G115" s="21"/>
      <c r="H115" s="4" t="str">
        <f>IFERROR(__xludf.DUMMYFUNCTION("GOOGLETRANSLATE(B115, ""en"", ""zh"")"),"战斗中途，你的步法失灵了。如何补救？")</f>
        <v>战斗中途，你的步法失灵了。如何补救？</v>
      </c>
      <c r="I115" s="4" t="str">
        <f>IFERROR(__xludf.DUMMYFUNCTION("GOOGLETRANSLATE(C115, ""en"", ""zh"")"),"A) 重置姿势和步法 B) 忽略 C) 后退一步 D) 暂停")</f>
        <v>A) 重置姿势和步法 B) 忽略 C) 后退一步 D) 暂停</v>
      </c>
      <c r="J115" s="4" t="str">
        <f>IFERROR(__xludf.DUMMYFUNCTION("GOOGLETRANSLATE(D115, ""en"", ""zh"")"),"A) 重置姿势和步法")</f>
        <v>A) 重置姿势和步法</v>
      </c>
      <c r="K115" s="4" t="str">
        <f>IFERROR(__xludf.DUMMYFUNCTION("GOOGLETRANSLATE(E115, ""en"", ""zh"")"),"#VALUE!")</f>
        <v>#VALUE!</v>
      </c>
      <c r="L115" s="21"/>
      <c r="M115" s="21"/>
      <c r="N115" s="21"/>
      <c r="O115" s="21"/>
      <c r="P115" s="21"/>
      <c r="Q115" s="19"/>
      <c r="R115" s="19"/>
      <c r="S115" s="19"/>
      <c r="T115" s="19"/>
      <c r="U115" s="19"/>
      <c r="V115" s="19"/>
      <c r="W115" s="19"/>
      <c r="X115" s="19"/>
      <c r="Y115" s="19"/>
      <c r="Z115" s="19"/>
    </row>
    <row r="116">
      <c r="A116" s="17">
        <v>115.0</v>
      </c>
      <c r="B116" s="12" t="s">
        <v>1673</v>
      </c>
      <c r="C116" s="12" t="s">
        <v>1674</v>
      </c>
      <c r="D116" s="12" t="s">
        <v>1634</v>
      </c>
      <c r="E116" s="27"/>
      <c r="F116" s="21"/>
      <c r="G116" s="21"/>
      <c r="H116" s="4" t="str">
        <f>IFERROR(__xludf.DUMMYFUNCTION("GOOGLETRANSLATE(B116, ""en"", ""zh"")"),"对手攻击你的薄弱防守环节，你该如何应对？")</f>
        <v>对手攻击你的薄弱防守环节，你该如何应对？</v>
      </c>
      <c r="I116" s="4" t="str">
        <f>IFERROR(__xludf.DUMMYFUNCTION("GOOGLETRANSLATE(C116, ""en"", ""zh"")"),"A) 加强守卫 B) 无视 C) 向前一步 D) 随机反击")</f>
        <v>A) 加强守卫 B) 无视 C) 向前一步 D) 随机反击</v>
      </c>
      <c r="J116" s="4" t="str">
        <f>IFERROR(__xludf.DUMMYFUNCTION("GOOGLETRANSLATE(D116, ""en"", ""zh"")"),"A）加强守卫")</f>
        <v>A）加强守卫</v>
      </c>
      <c r="K116" s="4" t="str">
        <f>IFERROR(__xludf.DUMMYFUNCTION("GOOGLETRANSLATE(E116, ""en"", ""zh"")"),"#VALUE!")</f>
        <v>#VALUE!</v>
      </c>
      <c r="L116" s="21"/>
      <c r="M116" s="21"/>
      <c r="N116" s="21"/>
      <c r="O116" s="21"/>
      <c r="P116" s="21"/>
      <c r="Q116" s="19"/>
      <c r="R116" s="19"/>
      <c r="S116" s="19"/>
      <c r="T116" s="19"/>
      <c r="U116" s="19"/>
      <c r="V116" s="19"/>
      <c r="W116" s="19"/>
      <c r="X116" s="19"/>
      <c r="Y116" s="19"/>
      <c r="Z116" s="19"/>
    </row>
    <row r="117">
      <c r="A117" s="17">
        <v>116.0</v>
      </c>
      <c r="B117" s="12" t="s">
        <v>1675</v>
      </c>
      <c r="C117" s="12" t="s">
        <v>1676</v>
      </c>
      <c r="D117" s="12" t="s">
        <v>1677</v>
      </c>
      <c r="E117" s="27"/>
      <c r="F117" s="21"/>
      <c r="G117" s="21"/>
      <c r="H117" s="4" t="str">
        <f>IFERROR(__xludf.DUMMYFUNCTION("GOOGLETRANSLATE(B117, ""en"", ""zh"")"),"训练进行到一半，队友节奏跟不上。怎么办？")</f>
        <v>训练进行到一半，队友节奏跟不上。怎么办？</v>
      </c>
      <c r="I117" s="4" t="str">
        <f>IFERROR(__xludf.DUMMYFUNCTION("GOOGLETRANSLATE(C117, ""en"", ""zh"")"),"A) 调整位置并沟通 B) 忽略 C) 后退 D) 暂停")</f>
        <v>A) 调整位置并沟通 B) 忽略 C) 后退 D) 暂停</v>
      </c>
      <c r="J117" s="4" t="str">
        <f>IFERROR(__xludf.DUMMYFUNCTION("GOOGLETRANSLATE(D117, ""en"", ""zh"")"),"A) 调整位置并沟通")</f>
        <v>A) 调整位置并沟通</v>
      </c>
      <c r="K117" s="4" t="str">
        <f>IFERROR(__xludf.DUMMYFUNCTION("GOOGLETRANSLATE(E117, ""en"", ""zh"")"),"#VALUE!")</f>
        <v>#VALUE!</v>
      </c>
      <c r="L117" s="21"/>
      <c r="M117" s="21"/>
      <c r="N117" s="21"/>
      <c r="O117" s="21"/>
      <c r="P117" s="21"/>
      <c r="Q117" s="19"/>
      <c r="R117" s="19"/>
      <c r="S117" s="19"/>
      <c r="T117" s="19"/>
      <c r="U117" s="19"/>
      <c r="V117" s="19"/>
      <c r="W117" s="19"/>
      <c r="X117" s="19"/>
      <c r="Y117" s="19"/>
      <c r="Z117" s="19"/>
    </row>
    <row r="118">
      <c r="A118" s="17">
        <v>117.0</v>
      </c>
      <c r="B118" s="12" t="s">
        <v>1678</v>
      </c>
      <c r="C118" s="12" t="s">
        <v>1679</v>
      </c>
      <c r="D118" s="12" t="s">
        <v>1165</v>
      </c>
      <c r="E118" s="27"/>
      <c r="F118" s="21"/>
      <c r="G118" s="21"/>
      <c r="H118" s="4" t="str">
        <f>IFERROR(__xludf.DUMMYFUNCTION("GOOGLETRANSLATE(B118, ""en"", ""zh"")"),"对手先向左虚晃，再向右虚晃。应对策略是什么？")</f>
        <v>对手先向左虚晃，再向右虚晃。应对策略是什么？</v>
      </c>
      <c r="I118" s="4" t="str">
        <f>IFERROR(__xludf.DUMMYFUNCTION("GOOGLETRANSLATE(C118, ""en"", ""zh"")"),"A) 横向调整 B) 无视 C) 向前迈一步 D) 假动作")</f>
        <v>A) 横向调整 B) 无视 C) 向前迈一步 D) 假动作</v>
      </c>
      <c r="J118" s="4" t="str">
        <f>IFERROR(__xludf.DUMMYFUNCTION("GOOGLETRANSLATE(D118, ""en"", ""zh"")"),"A) 横向调整")</f>
        <v>A) 横向调整</v>
      </c>
      <c r="K118" s="4" t="str">
        <f>IFERROR(__xludf.DUMMYFUNCTION("GOOGLETRANSLATE(E118, ""en"", ""zh"")"),"#VALUE!")</f>
        <v>#VALUE!</v>
      </c>
      <c r="L118" s="21"/>
      <c r="M118" s="21"/>
      <c r="N118" s="21"/>
      <c r="O118" s="21"/>
      <c r="P118" s="21"/>
      <c r="Q118" s="19"/>
      <c r="R118" s="19"/>
      <c r="S118" s="19"/>
      <c r="T118" s="19"/>
      <c r="U118" s="19"/>
      <c r="V118" s="19"/>
      <c r="W118" s="19"/>
      <c r="X118" s="19"/>
      <c r="Y118" s="19"/>
      <c r="Z118" s="19"/>
    </row>
    <row r="119">
      <c r="A119" s="17">
        <v>118.0</v>
      </c>
      <c r="B119" s="12" t="s">
        <v>1680</v>
      </c>
      <c r="C119" s="12" t="s">
        <v>1681</v>
      </c>
      <c r="D119" s="12" t="s">
        <v>1604</v>
      </c>
      <c r="E119" s="27"/>
      <c r="F119" s="21"/>
      <c r="G119" s="21"/>
      <c r="H119" s="4" t="str">
        <f>IFERROR(__xludf.DUMMYFUNCTION("GOOGLETRANSLATE(B119, ""en"", ""zh"")"),"战斗中，你的攻击被格挡。要不要移动？")</f>
        <v>战斗中，你的攻击被格挡。要不要移动？</v>
      </c>
      <c r="I119" s="4" t="str">
        <f>IFERROR(__xludf.DUMMYFUNCTION("GOOGLETRANSLATE(C119, ""en"", ""zh"")"),"A) 调整角度 B) 忽略 C) 后退 D) 假动作")</f>
        <v>A) 调整角度 B) 忽略 C) 后退 D) 假动作</v>
      </c>
      <c r="J119" s="4" t="str">
        <f>IFERROR(__xludf.DUMMYFUNCTION("GOOGLETRANSLATE(D119, ""en"", ""zh"")"),"A) 调整角度")</f>
        <v>A) 调整角度</v>
      </c>
      <c r="K119" s="4" t="str">
        <f>IFERROR(__xludf.DUMMYFUNCTION("GOOGLETRANSLATE(E119, ""en"", ""zh"")"),"#VALUE!")</f>
        <v>#VALUE!</v>
      </c>
      <c r="L119" s="21"/>
      <c r="M119" s="21"/>
      <c r="N119" s="21"/>
      <c r="O119" s="21"/>
      <c r="P119" s="21"/>
      <c r="Q119" s="19"/>
      <c r="R119" s="19"/>
      <c r="S119" s="19"/>
      <c r="T119" s="19"/>
      <c r="U119" s="19"/>
      <c r="V119" s="19"/>
      <c r="W119" s="19"/>
      <c r="X119" s="19"/>
      <c r="Y119" s="19"/>
      <c r="Z119" s="19"/>
    </row>
    <row r="120">
      <c r="A120" s="17">
        <v>119.0</v>
      </c>
      <c r="B120" s="12" t="s">
        <v>1682</v>
      </c>
      <c r="C120" s="12" t="s">
        <v>1683</v>
      </c>
      <c r="D120" s="12" t="s">
        <v>1684</v>
      </c>
      <c r="E120" s="27"/>
      <c r="F120" s="21"/>
      <c r="G120" s="21"/>
      <c r="H120" s="4" t="str">
        <f>IFERROR(__xludf.DUMMYFUNCTION("GOOGLETRANSLATE(B120, ""en"", ""zh"")"),"对手突然后撤，引诱你上钩。你会如何应对？")</f>
        <v>对手突然后撤，引诱你上钩。你会如何应对？</v>
      </c>
      <c r="I120" s="4" t="str">
        <f>IFERROR(__xludf.DUMMYFUNCTION("GOOGLETRANSLATE(C120, ""en"", ""zh"")"),"A) 保持距离并观察 B) 无视 C) 向前迈一步 D) 跳跃")</f>
        <v>A) 保持距离并观察 B) 无视 C) 向前迈一步 D) 跳跃</v>
      </c>
      <c r="J120" s="4" t="str">
        <f>IFERROR(__xludf.DUMMYFUNCTION("GOOGLETRANSLATE(D120, ""en"", ""zh"")"),"A) 保持距离并观察")</f>
        <v>A) 保持距离并观察</v>
      </c>
      <c r="K120" s="4" t="str">
        <f>IFERROR(__xludf.DUMMYFUNCTION("GOOGLETRANSLATE(E120, ""en"", ""zh"")"),"#VALUE!")</f>
        <v>#VALUE!</v>
      </c>
      <c r="L120" s="21"/>
      <c r="M120" s="21"/>
      <c r="N120" s="21"/>
      <c r="O120" s="21"/>
      <c r="P120" s="21"/>
      <c r="Q120" s="19"/>
      <c r="R120" s="19"/>
      <c r="S120" s="19"/>
      <c r="T120" s="19"/>
      <c r="U120" s="19"/>
      <c r="V120" s="19"/>
      <c r="W120" s="19"/>
      <c r="X120" s="19"/>
      <c r="Y120" s="19"/>
      <c r="Z120" s="19"/>
    </row>
    <row r="121">
      <c r="A121" s="17">
        <v>120.0</v>
      </c>
      <c r="B121" s="12" t="s">
        <v>1685</v>
      </c>
      <c r="C121" s="12" t="s">
        <v>1622</v>
      </c>
      <c r="D121" s="12" t="s">
        <v>1587</v>
      </c>
      <c r="E121" s="27"/>
      <c r="F121" s="21"/>
      <c r="G121" s="21"/>
      <c r="H121" s="4" t="str">
        <f>IFERROR(__xludf.DUMMYFUNCTION("GOOGLETRANSLATE(B121, ""en"", ""zh"")"),"你注意到对手身体前倾幅度过大。最佳应对策略是什么？")</f>
        <v>你注意到对手身体前倾幅度过大。最佳应对策略是什么？</v>
      </c>
      <c r="I121" s="4" t="str">
        <f>IFERROR(__xludf.DUMMYFUNCTION("GOOGLETRANSLATE(C121, ""en"", ""zh"")"),"A) 反击 B) 无视 C) 后退 D) 佯攻")</f>
        <v>A) 反击 B) 无视 C) 后退 D) 佯攻</v>
      </c>
      <c r="J121" s="4" t="str">
        <f>IFERROR(__xludf.DUMMYFUNCTION("GOOGLETRANSLATE(D121, ""en"", ""zh"")"),"A）反击")</f>
        <v>A）反击</v>
      </c>
      <c r="K121" s="4" t="str">
        <f>IFERROR(__xludf.DUMMYFUNCTION("GOOGLETRANSLATE(E121, ""en"", ""zh"")"),"#VALUE!")</f>
        <v>#VALUE!</v>
      </c>
      <c r="L121" s="21"/>
      <c r="M121" s="21"/>
      <c r="N121" s="21"/>
      <c r="O121" s="21"/>
      <c r="P121" s="21"/>
      <c r="Q121" s="19"/>
      <c r="R121" s="19"/>
      <c r="S121" s="19"/>
      <c r="T121" s="19"/>
      <c r="U121" s="19"/>
      <c r="V121" s="19"/>
      <c r="W121" s="19"/>
      <c r="X121" s="19"/>
      <c r="Y121" s="19"/>
      <c r="Z121" s="19"/>
    </row>
    <row r="122">
      <c r="A122" s="17">
        <v>121.0</v>
      </c>
      <c r="B122" s="12" t="s">
        <v>1686</v>
      </c>
      <c r="C122" s="12" t="s">
        <v>1687</v>
      </c>
      <c r="D122" s="12" t="s">
        <v>1688</v>
      </c>
      <c r="E122" s="27"/>
      <c r="F122" s="21"/>
      <c r="G122" s="21"/>
      <c r="H122" s="4" t="str">
        <f>IFERROR(__xludf.DUMMYFUNCTION("GOOGLETRANSLATE(B122, ""en"", ""zh"")"),"在实战练习中，你的对手突然改变节奏。你会如何应对？")</f>
        <v>在实战练习中，你的对手突然改变节奏。你会如何应对？</v>
      </c>
      <c r="I122" s="4" t="str">
        <f>IFERROR(__xludf.DUMMYFUNCTION("GOOGLETRANSLATE(C122, ""en"", ""zh"")"),"A) 调整时机并防守 B) 无视 C) 向前迈步 D) 跳跃")</f>
        <v>A) 调整时机并防守 B) 无视 C) 向前迈步 D) 跳跃</v>
      </c>
      <c r="J122" s="4" t="str">
        <f>IFERROR(__xludf.DUMMYFUNCTION("GOOGLETRANSLATE(D122, ""en"", ""zh"")"),"A) 调整时机和防守")</f>
        <v>A) 调整时机和防守</v>
      </c>
      <c r="K122" s="4" t="str">
        <f>IFERROR(__xludf.DUMMYFUNCTION("GOOGLETRANSLATE(E122, ""en"", ""zh"")"),"#VALUE!")</f>
        <v>#VALUE!</v>
      </c>
      <c r="L122" s="21"/>
      <c r="M122" s="21"/>
      <c r="N122" s="21"/>
      <c r="O122" s="21"/>
      <c r="P122" s="21"/>
      <c r="Q122" s="19"/>
      <c r="R122" s="19"/>
      <c r="S122" s="19"/>
      <c r="T122" s="19"/>
      <c r="U122" s="19"/>
      <c r="V122" s="19"/>
      <c r="W122" s="19"/>
      <c r="X122" s="19"/>
      <c r="Y122" s="19"/>
      <c r="Z122" s="19"/>
    </row>
    <row r="123">
      <c r="A123" s="17">
        <v>122.0</v>
      </c>
      <c r="B123" s="12" t="s">
        <v>1689</v>
      </c>
      <c r="C123" s="12" t="s">
        <v>1690</v>
      </c>
      <c r="D123" s="12" t="s">
        <v>1527</v>
      </c>
      <c r="E123" s="27"/>
      <c r="F123" s="21"/>
      <c r="G123" s="21"/>
      <c r="H123" s="4" t="str">
        <f>IFERROR(__xludf.DUMMYFUNCTION("GOOGLETRANSLATE(B123, ""en"", ""zh"")"),"对手佯装低踢，然后突然高踢。应对方法？")</f>
        <v>对手佯装低踢，然后突然高踢。应对方法？</v>
      </c>
      <c r="I123" s="4" t="str">
        <f>IFERROR(__xludf.DUMMYFUNCTION("GOOGLETRANSLATE(C123, ""en"", ""zh"")"),"A) 调整防守姿势 B) 无视 C) 后退 D) 跳跃")</f>
        <v>A) 调整防守姿势 B) 无视 C) 后退 D) 跳跃</v>
      </c>
      <c r="J123" s="4" t="str">
        <f>IFERROR(__xludf.DUMMYFUNCTION("GOOGLETRANSLATE(D123, ""en"", ""zh"")"),"A) 调整防守姿势和站姿")</f>
        <v>A) 调整防守姿势和站姿</v>
      </c>
      <c r="K123" s="4" t="str">
        <f>IFERROR(__xludf.DUMMYFUNCTION("GOOGLETRANSLATE(E123, ""en"", ""zh"")"),"#VALUE!")</f>
        <v>#VALUE!</v>
      </c>
      <c r="L123" s="21"/>
      <c r="M123" s="21"/>
      <c r="N123" s="21"/>
      <c r="O123" s="21"/>
      <c r="P123" s="21"/>
      <c r="Q123" s="19"/>
      <c r="R123" s="19"/>
      <c r="S123" s="19"/>
      <c r="T123" s="19"/>
      <c r="U123" s="19"/>
      <c r="V123" s="19"/>
      <c r="W123" s="19"/>
      <c r="X123" s="19"/>
      <c r="Y123" s="19"/>
      <c r="Z123" s="19"/>
    </row>
    <row r="124">
      <c r="A124" s="17">
        <v>123.0</v>
      </c>
      <c r="B124" s="12" t="s">
        <v>1691</v>
      </c>
      <c r="C124" s="12" t="s">
        <v>1692</v>
      </c>
      <c r="D124" s="12" t="s">
        <v>1693</v>
      </c>
      <c r="E124" s="27"/>
      <c r="F124" s="21"/>
      <c r="G124" s="21"/>
      <c r="H124" s="4" t="str">
        <f>IFERROR(__xludf.DUMMYFUNCTION("GOOGLETRANSLATE(B124, ""en"", ""zh"")"),"你被逼到了墙角，你会如何应对？")</f>
        <v>你被逼到了墙角，你会如何应对？</v>
      </c>
      <c r="I124" s="4" t="str">
        <f>IFERROR(__xludf.DUMMYFUNCTION("GOOGLETRANSLATE(C124, ""en"", ""zh"")"),"A) 转身攻击 B) 无视 C) 后退 D) 让步")</f>
        <v>A) 转身攻击 B) 无视 C) 后退 D) 让步</v>
      </c>
      <c r="J124" s="4" t="str">
        <f>IFERROR(__xludf.DUMMYFUNCTION("GOOGLETRANSLATE(D124, ""en"", ""zh"")"),"A) 转身和打击")</f>
        <v>A) 转身和打击</v>
      </c>
      <c r="K124" s="4" t="str">
        <f>IFERROR(__xludf.DUMMYFUNCTION("GOOGLETRANSLATE(E124, ""en"", ""zh"")"),"#VALUE!")</f>
        <v>#VALUE!</v>
      </c>
      <c r="L124" s="21"/>
      <c r="M124" s="21"/>
      <c r="N124" s="21"/>
      <c r="O124" s="21"/>
      <c r="P124" s="21"/>
      <c r="Q124" s="19"/>
      <c r="R124" s="19"/>
      <c r="S124" s="19"/>
      <c r="T124" s="19"/>
      <c r="U124" s="19"/>
      <c r="V124" s="19"/>
      <c r="W124" s="19"/>
      <c r="X124" s="19"/>
      <c r="Y124" s="19"/>
      <c r="Z124" s="19"/>
    </row>
    <row r="125">
      <c r="A125" s="17">
        <v>124.0</v>
      </c>
      <c r="B125" s="12" t="s">
        <v>1694</v>
      </c>
      <c r="C125" s="12" t="s">
        <v>1695</v>
      </c>
      <c r="D125" s="12" t="s">
        <v>1696</v>
      </c>
      <c r="E125" s="27"/>
      <c r="F125" s="21"/>
      <c r="G125" s="21"/>
      <c r="H125" s="4" t="str">
        <f>IFERROR(__xludf.DUMMYFUNCTION("GOOGLETRANSLATE(B125, ""en"", ""zh"")"),"练习过程中，对手使出佯攻。应该如何应对？")</f>
        <v>练习过程中，对手使出佯攻。应该如何应对？</v>
      </c>
      <c r="I125" s="4" t="str">
        <f>IFERROR(__xludf.DUMMYFUNCTION("GOOGLETRANSLATE(C125, ""en"", ""zh"")"),"A) 挣脱并反击 B) 无视 C) 后退 D) 让步")</f>
        <v>A) 挣脱并反击 B) 无视 C) 后退 D) 让步</v>
      </c>
      <c r="J125" s="4" t="str">
        <f>IFERROR(__xludf.DUMMYFUNCTION("GOOGLETRANSLATE(D125, ""en"", ""zh"")"),"A) 挣脱控制并反击")</f>
        <v>A) 挣脱控制并反击</v>
      </c>
      <c r="K125" s="4" t="str">
        <f>IFERROR(__xludf.DUMMYFUNCTION("GOOGLETRANSLATE(E125, ""en"", ""zh"")"),"#VALUE!")</f>
        <v>#VALUE!</v>
      </c>
      <c r="L125" s="21"/>
      <c r="M125" s="21"/>
      <c r="N125" s="21"/>
      <c r="O125" s="21"/>
      <c r="P125" s="21"/>
      <c r="Q125" s="19"/>
      <c r="R125" s="19"/>
      <c r="S125" s="19"/>
      <c r="T125" s="19"/>
      <c r="U125" s="19"/>
      <c r="V125" s="19"/>
      <c r="W125" s="19"/>
      <c r="X125" s="19"/>
      <c r="Y125" s="19"/>
      <c r="Z125" s="19"/>
    </row>
    <row r="126">
      <c r="A126" s="17">
        <v>125.0</v>
      </c>
      <c r="B126" s="12" t="s">
        <v>1697</v>
      </c>
      <c r="C126" s="12" t="s">
        <v>1698</v>
      </c>
      <c r="D126" s="12" t="s">
        <v>1699</v>
      </c>
      <c r="E126" s="27"/>
      <c r="F126" s="21"/>
      <c r="G126" s="21"/>
      <c r="H126" s="4" t="str">
        <f>IFERROR(__xludf.DUMMYFUNCTION("GOOGLETRANSLATE(B126, ""en"", ""zh"")"),"对手连续快速发起攻击，你应该如何应对？")</f>
        <v>对手连续快速发起攻击，你应该如何应对？</v>
      </c>
      <c r="I126" s="4" t="str">
        <f>IFERROR(__xludf.DUMMYFUNCTION("GOOGLETRANSLATE(C126, ""en"", ""zh"")"),"A) 专注于防守和时机 B) 忽略 C) 向前迈步 D) 跳跃")</f>
        <v>A) 专注于防守和时机 B) 忽略 C) 向前迈步 D) 跳跃</v>
      </c>
      <c r="J126" s="4" t="str">
        <f>IFERROR(__xludf.DUMMYFUNCTION("GOOGLETRANSLATE(D126, ""en"", ""zh"")"),"A) 注重防守和时机把握")</f>
        <v>A) 注重防守和时机把握</v>
      </c>
      <c r="K126" s="4" t="str">
        <f>IFERROR(__xludf.DUMMYFUNCTION("GOOGLETRANSLATE(E126, ""en"", ""zh"")"),"#VALUE!")</f>
        <v>#VALUE!</v>
      </c>
      <c r="L126" s="21"/>
      <c r="M126" s="21"/>
      <c r="N126" s="21"/>
      <c r="O126" s="21"/>
      <c r="P126" s="21"/>
      <c r="Q126" s="19"/>
      <c r="R126" s="19"/>
      <c r="S126" s="19"/>
      <c r="T126" s="19"/>
      <c r="U126" s="19"/>
      <c r="V126" s="19"/>
      <c r="W126" s="19"/>
      <c r="X126" s="19"/>
      <c r="Y126" s="19"/>
      <c r="Z126" s="19"/>
    </row>
    <row r="127">
      <c r="A127" s="17">
        <v>126.0</v>
      </c>
      <c r="B127" s="12" t="s">
        <v>1700</v>
      </c>
      <c r="C127" s="12" t="s">
        <v>1701</v>
      </c>
      <c r="D127" s="12" t="s">
        <v>1702</v>
      </c>
      <c r="E127" s="27"/>
      <c r="F127" s="21"/>
      <c r="G127" s="21"/>
      <c r="H127" s="4" t="str">
        <f>IFERROR(__xludf.DUMMYFUNCTION("GOOGLETRANSLATE(B127, ""en"", ""zh"")"),"你发现一个可以高踢的机会。你会怎么做？")</f>
        <v>你发现一个可以高踢的机会。你会怎么做？</v>
      </c>
      <c r="I127" s="4" t="str">
        <f>IFERROR(__xludf.DUMMYFUNCTION("GOOGLETRANSLATE(C127, ""en"", ""zh"")"),"A) 使出高踢 B) 无视 C) 后退 D) 假动作")</f>
        <v>A) 使出高踢 B) 无视 C) 后退 D) 假动作</v>
      </c>
      <c r="J127" s="4" t="str">
        <f>IFERROR(__xludf.DUMMYFUNCTION("GOOGLETRANSLATE(D127, ""en"", ""zh"")"),"A）踢高腿")</f>
        <v>A）踢高腿</v>
      </c>
      <c r="K127" s="4" t="str">
        <f>IFERROR(__xludf.DUMMYFUNCTION("GOOGLETRANSLATE(E127, ""en"", ""zh"")"),"#VALUE!")</f>
        <v>#VALUE!</v>
      </c>
      <c r="L127" s="21"/>
      <c r="M127" s="21"/>
      <c r="N127" s="21"/>
      <c r="O127" s="21"/>
      <c r="P127" s="21"/>
      <c r="Q127" s="19"/>
      <c r="R127" s="19"/>
      <c r="S127" s="19"/>
      <c r="T127" s="19"/>
      <c r="U127" s="19"/>
      <c r="V127" s="19"/>
      <c r="W127" s="19"/>
      <c r="X127" s="19"/>
      <c r="Y127" s="19"/>
      <c r="Z127" s="19"/>
    </row>
    <row r="128">
      <c r="A128" s="17">
        <v>127.0</v>
      </c>
      <c r="B128" s="12" t="s">
        <v>1703</v>
      </c>
      <c r="C128" s="12" t="s">
        <v>1622</v>
      </c>
      <c r="D128" s="12" t="s">
        <v>1587</v>
      </c>
      <c r="E128" s="27"/>
      <c r="F128" s="21"/>
      <c r="G128" s="21"/>
      <c r="H128" s="4" t="str">
        <f>IFERROR(__xludf.DUMMYFUNCTION("GOOGLETRANSLATE(B128, ""en"", ""zh"")"),"对手出拳过猛，如何抓住机会？")</f>
        <v>对手出拳过猛，如何抓住机会？</v>
      </c>
      <c r="I128" s="4" t="str">
        <f>IFERROR(__xludf.DUMMYFUNCTION("GOOGLETRANSLATE(C128, ""en"", ""zh"")"),"A) 反击 B) 无视 C) 后退 D) 佯攻")</f>
        <v>A) 反击 B) 无视 C) 后退 D) 佯攻</v>
      </c>
      <c r="J128" s="4" t="str">
        <f>IFERROR(__xludf.DUMMYFUNCTION("GOOGLETRANSLATE(D128, ""en"", ""zh"")"),"A）反击")</f>
        <v>A）反击</v>
      </c>
      <c r="K128" s="4" t="str">
        <f>IFERROR(__xludf.DUMMYFUNCTION("GOOGLETRANSLATE(E128, ""en"", ""zh"")"),"#VALUE!")</f>
        <v>#VALUE!</v>
      </c>
      <c r="L128" s="21"/>
      <c r="M128" s="21"/>
      <c r="N128" s="21"/>
      <c r="O128" s="21"/>
      <c r="P128" s="21"/>
      <c r="Q128" s="19"/>
      <c r="R128" s="19"/>
      <c r="S128" s="19"/>
      <c r="T128" s="19"/>
      <c r="U128" s="19"/>
      <c r="V128" s="19"/>
      <c r="W128" s="19"/>
      <c r="X128" s="19"/>
      <c r="Y128" s="19"/>
      <c r="Z128" s="19"/>
    </row>
    <row r="129">
      <c r="A129" s="17">
        <v>128.0</v>
      </c>
      <c r="B129" s="12" t="s">
        <v>1704</v>
      </c>
      <c r="C129" s="12" t="s">
        <v>1705</v>
      </c>
      <c r="D129" s="12" t="s">
        <v>1634</v>
      </c>
      <c r="E129" s="27"/>
      <c r="F129" s="21"/>
      <c r="G129" s="21"/>
      <c r="H129" s="4" t="str">
        <f>IFERROR(__xludf.DUMMYFUNCTION("GOOGLETRANSLATE(B129, ""en"", ""zh"")"),"在实战练习中，对手瞄准你的下防守。你会如何应对？")</f>
        <v>在实战练习中，对手瞄准你的下防守。你会如何应对？</v>
      </c>
      <c r="I129" s="4" t="str">
        <f>IFERROR(__xludf.DUMMYFUNCTION("GOOGLETRANSLATE(C129, ""en"", ""zh"")"),"A) 加强防守 B) 无视 C) 向前迈一步 D) 跳跃")</f>
        <v>A) 加强防守 B) 无视 C) 向前迈一步 D) 跳跃</v>
      </c>
      <c r="J129" s="4" t="str">
        <f>IFERROR(__xludf.DUMMYFUNCTION("GOOGLETRANSLATE(D129, ""en"", ""zh"")"),"A）加强守卫")</f>
        <v>A）加强守卫</v>
      </c>
      <c r="K129" s="4" t="str">
        <f>IFERROR(__xludf.DUMMYFUNCTION("GOOGLETRANSLATE(E129, ""en"", ""zh"")"),"#VALUE!")</f>
        <v>#VALUE!</v>
      </c>
      <c r="L129" s="21"/>
      <c r="M129" s="21"/>
      <c r="N129" s="21"/>
      <c r="O129" s="21"/>
      <c r="P129" s="21"/>
      <c r="Q129" s="19"/>
      <c r="R129" s="19"/>
      <c r="S129" s="19"/>
      <c r="T129" s="19"/>
      <c r="U129" s="19"/>
      <c r="V129" s="19"/>
      <c r="W129" s="19"/>
      <c r="X129" s="19"/>
      <c r="Y129" s="19"/>
      <c r="Z129" s="19"/>
    </row>
    <row r="130">
      <c r="A130" s="17">
        <v>129.0</v>
      </c>
      <c r="B130" s="12" t="s">
        <v>1706</v>
      </c>
      <c r="C130" s="12" t="s">
        <v>1707</v>
      </c>
      <c r="D130" s="12" t="s">
        <v>1192</v>
      </c>
      <c r="E130" s="27"/>
      <c r="F130" s="21"/>
      <c r="G130" s="21"/>
      <c r="H130" s="4" t="str">
        <f>IFERROR(__xludf.DUMMYFUNCTION("GOOGLETRANSLATE(B130, ""en"", ""zh"")"),"你发现对手的行动很有规律。你该如何利用这一点？")</f>
        <v>你发现对手的行动很有规律。你该如何利用这一点？</v>
      </c>
      <c r="I130" s="4" t="str">
        <f>IFERROR(__xludf.DUMMYFUNCTION("GOOGLETRANSLATE(C130, ""en"", ""zh"")"),"A) 预判并反击 B) 无视 C) 上前一步 D) 佯攻")</f>
        <v>A) 预判并反击 B) 无视 C) 上前一步 D) 佯攻</v>
      </c>
      <c r="J130" s="4" t="str">
        <f>IFERROR(__xludf.DUMMYFUNCTION("GOOGLETRANSLATE(D130, ""en"", ""zh"")"),"A) 预判并应对")</f>
        <v>A) 预判并应对</v>
      </c>
      <c r="K130" s="4" t="str">
        <f>IFERROR(__xludf.DUMMYFUNCTION("GOOGLETRANSLATE(E130, ""en"", ""zh"")"),"#VALUE!")</f>
        <v>#VALUE!</v>
      </c>
      <c r="L130" s="21"/>
      <c r="M130" s="21"/>
      <c r="N130" s="21"/>
      <c r="O130" s="21"/>
      <c r="P130" s="21"/>
      <c r="Q130" s="19"/>
      <c r="R130" s="19"/>
      <c r="S130" s="19"/>
      <c r="T130" s="19"/>
      <c r="U130" s="19"/>
      <c r="V130" s="19"/>
      <c r="W130" s="19"/>
      <c r="X130" s="19"/>
      <c r="Y130" s="19"/>
      <c r="Z130" s="19"/>
    </row>
    <row r="131">
      <c r="A131" s="17">
        <v>130.0</v>
      </c>
      <c r="B131" s="12" t="s">
        <v>1708</v>
      </c>
      <c r="C131" s="12" t="s">
        <v>1709</v>
      </c>
      <c r="D131" s="12" t="s">
        <v>1165</v>
      </c>
      <c r="E131" s="27"/>
      <c r="F131" s="21"/>
      <c r="G131" s="21"/>
      <c r="H131" s="4" t="str">
        <f>IFERROR(__xludf.DUMMYFUNCTION("GOOGLETRANSLATE(B131, ""en"", ""zh"")"),"对手佯攻并向左移动。你如何应对？")</f>
        <v>对手佯攻并向左移动。你如何应对？</v>
      </c>
      <c r="I131" s="4" t="str">
        <f>IFERROR(__xludf.DUMMYFUNCTION("GOOGLETRANSLATE(C131, ""en"", ""zh"")"),"A) 横向调整 B) 无视 C) 向前迈一步 D) 佯攻")</f>
        <v>A) 横向调整 B) 无视 C) 向前迈一步 D) 佯攻</v>
      </c>
      <c r="J131" s="4" t="str">
        <f>IFERROR(__xludf.DUMMYFUNCTION("GOOGLETRANSLATE(D131, ""en"", ""zh"")"),"A) 横向调整")</f>
        <v>A) 横向调整</v>
      </c>
      <c r="K131" s="4" t="str">
        <f>IFERROR(__xludf.DUMMYFUNCTION("GOOGLETRANSLATE(E131, ""en"", ""zh"")"),"#VALUE!")</f>
        <v>#VALUE!</v>
      </c>
      <c r="L131" s="21"/>
      <c r="M131" s="21"/>
      <c r="N131" s="21"/>
      <c r="O131" s="21"/>
      <c r="P131" s="21"/>
      <c r="Q131" s="19"/>
      <c r="R131" s="19"/>
      <c r="S131" s="19"/>
      <c r="T131" s="19"/>
      <c r="U131" s="19"/>
      <c r="V131" s="19"/>
      <c r="W131" s="19"/>
      <c r="X131" s="19"/>
      <c r="Y131" s="19"/>
      <c r="Z131" s="19"/>
    </row>
    <row r="132">
      <c r="A132" s="17">
        <v>131.0</v>
      </c>
      <c r="B132" s="12" t="s">
        <v>1710</v>
      </c>
      <c r="C132" s="12" t="s">
        <v>1711</v>
      </c>
      <c r="D132" s="12" t="s">
        <v>1712</v>
      </c>
      <c r="E132" s="27"/>
      <c r="F132" s="21"/>
      <c r="G132" s="21"/>
      <c r="H132" s="4" t="str">
        <f>IFERROR(__xludf.DUMMYFUNCTION("GOOGLETRANSLATE(B132, ""en"", ""zh"")"),"战斗中途，你的体力下降了。最佳应对方法是什么？")</f>
        <v>战斗中途，你的体力下降了。最佳应对方法是什么？</v>
      </c>
      <c r="I132" s="4" t="str">
        <f>IFERROR(__xludf.DUMMYFUNCTION("GOOGLETRANSLATE(C132, ""en"", ""zh"")"),"A) 调节呼吸并保持节奏 B) 忽略 C) 后退 D) 暂停")</f>
        <v>A) 调节呼吸并保持节奏 B) 忽略 C) 后退 D) 暂停</v>
      </c>
      <c r="J132" s="4" t="str">
        <f>IFERROR(__xludf.DUMMYFUNCTION("GOOGLETRANSLATE(D132, ""en"", ""zh"")"),"A) 调节呼吸并保持节奏")</f>
        <v>A) 调节呼吸并保持节奏</v>
      </c>
      <c r="K132" s="4" t="str">
        <f>IFERROR(__xludf.DUMMYFUNCTION("GOOGLETRANSLATE(E132, ""en"", ""zh"")"),"#VALUE!")</f>
        <v>#VALUE!</v>
      </c>
      <c r="L132" s="21"/>
      <c r="M132" s="21"/>
      <c r="N132" s="21"/>
      <c r="O132" s="21"/>
      <c r="P132" s="21"/>
      <c r="Q132" s="19"/>
      <c r="R132" s="19"/>
      <c r="S132" s="19"/>
      <c r="T132" s="19"/>
      <c r="U132" s="19"/>
      <c r="V132" s="19"/>
      <c r="W132" s="19"/>
      <c r="X132" s="19"/>
      <c r="Y132" s="19"/>
      <c r="Z132" s="19"/>
    </row>
    <row r="133">
      <c r="A133" s="17">
        <v>132.0</v>
      </c>
      <c r="B133" s="12" t="s">
        <v>1713</v>
      </c>
      <c r="C133" s="12" t="s">
        <v>1714</v>
      </c>
      <c r="D133" s="12" t="s">
        <v>1521</v>
      </c>
      <c r="E133" s="27"/>
      <c r="F133" s="21"/>
      <c r="G133" s="21"/>
      <c r="H133" s="4" t="str">
        <f>IFERROR(__xludf.DUMMYFUNCTION("GOOGLETRANSLATE(B133, ""en"", ""zh"")"),"对手突然使用肘击，你会如何应对？")</f>
        <v>对手突然使用肘击，你会如何应对？</v>
      </c>
      <c r="I133" s="4" t="str">
        <f>IFERROR(__xludf.DUMMYFUNCTION("GOOGLETRANSLATE(C133, ""en"", ""zh"")"),"A) 阻挡并反击 B) 无视 C) 后退 D) 让步")</f>
        <v>A) 阻挡并反击 B) 无视 C) 后退 D) 让步</v>
      </c>
      <c r="J133" s="4" t="str">
        <f>IFERROR(__xludf.DUMMYFUNCTION("GOOGLETRANSLATE(D133, ""en"", ""zh"")"),"A) 格挡和反击")</f>
        <v>A) 格挡和反击</v>
      </c>
      <c r="K133" s="4" t="str">
        <f>IFERROR(__xludf.DUMMYFUNCTION("GOOGLETRANSLATE(E133, ""en"", ""zh"")"),"#VALUE!")</f>
        <v>#VALUE!</v>
      </c>
      <c r="L133" s="21"/>
      <c r="M133" s="21"/>
      <c r="N133" s="21"/>
      <c r="O133" s="21"/>
      <c r="P133" s="21"/>
      <c r="Q133" s="19"/>
      <c r="R133" s="19"/>
      <c r="S133" s="19"/>
      <c r="T133" s="19"/>
      <c r="U133" s="19"/>
      <c r="V133" s="19"/>
      <c r="W133" s="19"/>
      <c r="X133" s="19"/>
      <c r="Y133" s="19"/>
      <c r="Z133" s="19"/>
    </row>
    <row r="134">
      <c r="A134" s="17">
        <v>133.0</v>
      </c>
      <c r="B134" s="12" t="s">
        <v>1715</v>
      </c>
      <c r="C134" s="12" t="s">
        <v>1716</v>
      </c>
      <c r="D134" s="12" t="s">
        <v>1717</v>
      </c>
      <c r="E134" s="27"/>
      <c r="F134" s="21"/>
      <c r="G134" s="21"/>
      <c r="H134" s="4" t="str">
        <f>IFERROR(__xludf.DUMMYFUNCTION("GOOGLETRANSLATE(B134, ""en"", ""zh"")"),"你正准备使出组合拳，但对手预判到了。行动？")</f>
        <v>你正准备使出组合拳，但对手预判到了。行动？</v>
      </c>
      <c r="I134" s="4" t="str">
        <f>IFERROR(__xludf.DUMMYFUNCTION("GOOGLETRANSLATE(C134, ""en"", ""zh"")"),"A) 修改组合 B) 忽略 C) 后退 D) 暂停")</f>
        <v>A) 修改组合 B) 忽略 C) 后退 D) 暂停</v>
      </c>
      <c r="J134" s="4" t="str">
        <f>IFERROR(__xludf.DUMMYFUNCTION("GOOGLETRANSLATE(D134, ""en"", ""zh"")"),"A) 修改组合")</f>
        <v>A) 修改组合</v>
      </c>
      <c r="K134" s="4" t="str">
        <f>IFERROR(__xludf.DUMMYFUNCTION("GOOGLETRANSLATE(E134, ""en"", ""zh"")"),"#VALUE!")</f>
        <v>#VALUE!</v>
      </c>
      <c r="L134" s="21"/>
      <c r="M134" s="21"/>
      <c r="N134" s="21"/>
      <c r="O134" s="21"/>
      <c r="P134" s="21"/>
      <c r="Q134" s="19"/>
      <c r="R134" s="19"/>
      <c r="S134" s="19"/>
      <c r="T134" s="19"/>
      <c r="U134" s="19"/>
      <c r="V134" s="19"/>
      <c r="W134" s="19"/>
      <c r="X134" s="19"/>
      <c r="Y134" s="19"/>
      <c r="Z134" s="19"/>
    </row>
    <row r="135">
      <c r="A135" s="17">
        <v>134.0</v>
      </c>
      <c r="B135" s="12" t="s">
        <v>1718</v>
      </c>
      <c r="C135" s="12" t="s">
        <v>1719</v>
      </c>
      <c r="D135" s="12" t="s">
        <v>1720</v>
      </c>
      <c r="E135" s="27"/>
      <c r="F135" s="21"/>
      <c r="G135" s="21"/>
      <c r="H135" s="4" t="str">
        <f>IFERROR(__xludf.DUMMYFUNCTION("GOOGLETRANSLATE(B135, ""en"", ""zh"")"),"练习过程中，你的平衡感突然丧失。你该如何恢复？")</f>
        <v>练习过程中，你的平衡感突然丧失。你该如何恢复？</v>
      </c>
      <c r="I135" s="4" t="str">
        <f>IFERROR(__xludf.DUMMYFUNCTION("GOOGLETRANSLATE(C135, ""en"", ""zh"")"),"A) 恢复姿势 B) 无视 C) 后退 D) 暂停")</f>
        <v>A) 恢复姿势 B) 无视 C) 后退 D) 暂停</v>
      </c>
      <c r="J135" s="4" t="str">
        <f>IFERROR(__xludf.DUMMYFUNCTION("GOOGLETRANSLATE(D135, ""en"", ""zh"")"),"A) 恢复姿势")</f>
        <v>A) 恢复姿势</v>
      </c>
      <c r="K135" s="4" t="str">
        <f>IFERROR(__xludf.DUMMYFUNCTION("GOOGLETRANSLATE(E135, ""en"", ""zh"")"),"#VALUE!")</f>
        <v>#VALUE!</v>
      </c>
      <c r="L135" s="21"/>
      <c r="M135" s="21"/>
      <c r="N135" s="21"/>
      <c r="O135" s="21"/>
      <c r="P135" s="21"/>
      <c r="Q135" s="19"/>
      <c r="R135" s="19"/>
      <c r="S135" s="19"/>
      <c r="T135" s="19"/>
      <c r="U135" s="19"/>
      <c r="V135" s="19"/>
      <c r="W135" s="19"/>
      <c r="X135" s="19"/>
      <c r="Y135" s="19"/>
      <c r="Z135" s="19"/>
    </row>
    <row r="136">
      <c r="A136" s="17">
        <v>135.0</v>
      </c>
      <c r="B136" s="12" t="s">
        <v>1721</v>
      </c>
      <c r="C136" s="12" t="s">
        <v>1620</v>
      </c>
      <c r="D136" s="12" t="s">
        <v>1521</v>
      </c>
      <c r="E136" s="27"/>
      <c r="F136" s="21"/>
      <c r="G136" s="21"/>
      <c r="H136" s="4" t="str">
        <f>IFERROR(__xludf.DUMMYFUNCTION("GOOGLETRANSLATE(B136, ""en"", ""zh"")"),"对手从右侧发起猛攻。应对之策是什么？")</f>
        <v>对手从右侧发起猛攻。应对之策是什么？</v>
      </c>
      <c r="I136" s="4" t="str">
        <f>IFERROR(__xludf.DUMMYFUNCTION("GOOGLETRANSLATE(C136, ""en"", ""zh"")"),"A) 格挡反击 B) 无视 C) 向前迈步 D) 跳跃")</f>
        <v>A) 格挡反击 B) 无视 C) 向前迈步 D) 跳跃</v>
      </c>
      <c r="J136" s="4" t="str">
        <f>IFERROR(__xludf.DUMMYFUNCTION("GOOGLETRANSLATE(D136, ""en"", ""zh"")"),"A) 格挡和反击")</f>
        <v>A) 格挡和反击</v>
      </c>
      <c r="K136" s="4" t="str">
        <f>IFERROR(__xludf.DUMMYFUNCTION("GOOGLETRANSLATE(E136, ""en"", ""zh"")"),"#VALUE!")</f>
        <v>#VALUE!</v>
      </c>
      <c r="L136" s="21"/>
      <c r="M136" s="21"/>
      <c r="N136" s="21"/>
      <c r="O136" s="21"/>
      <c r="P136" s="21"/>
      <c r="Q136" s="19"/>
      <c r="R136" s="19"/>
      <c r="S136" s="19"/>
      <c r="T136" s="19"/>
      <c r="U136" s="19"/>
      <c r="V136" s="19"/>
      <c r="W136" s="19"/>
      <c r="X136" s="19"/>
      <c r="Y136" s="19"/>
      <c r="Z136" s="19"/>
    </row>
    <row r="137">
      <c r="A137" s="18">
        <v>136.0</v>
      </c>
      <c r="B137" s="12" t="s">
        <v>1722</v>
      </c>
      <c r="C137" s="12" t="s">
        <v>1723</v>
      </c>
      <c r="D137" s="12" t="s">
        <v>1601</v>
      </c>
      <c r="E137" s="27"/>
      <c r="F137" s="21"/>
      <c r="G137" s="21"/>
      <c r="H137" s="4" t="str">
        <f>IFERROR(__xludf.DUMMYFUNCTION("GOOGLETRANSLATE(B137, ""en"", ""zh"")"),"你发现有机会扫倒对手的腿，你会怎么做？")</f>
        <v>你发现有机会扫倒对手的腿，你会怎么做？</v>
      </c>
      <c r="I137" s="4" t="str">
        <f>IFERROR(__xludf.DUMMYFUNCTION("GOOGLETRANSLATE(C137, ""en"", ""zh"")"),"A) 执行扫腿 B) 无视 C) 后退 D) 假动作")</f>
        <v>A) 执行扫腿 B) 无视 C) 后退 D) 假动作</v>
      </c>
      <c r="J137" s="4" t="str">
        <f>IFERROR(__xludf.DUMMYFUNCTION("GOOGLETRANSLATE(D137, ""en"", ""zh"")"),"A) 执行扫描")</f>
        <v>A) 执行扫描</v>
      </c>
      <c r="K137" s="4" t="str">
        <f>IFERROR(__xludf.DUMMYFUNCTION("GOOGLETRANSLATE(E137, ""en"", ""zh"")"),"#VALUE!")</f>
        <v>#VALUE!</v>
      </c>
      <c r="L137" s="21"/>
      <c r="M137" s="21"/>
      <c r="N137" s="21"/>
      <c r="O137" s="21"/>
      <c r="P137" s="21"/>
      <c r="Q137" s="19"/>
      <c r="R137" s="19"/>
      <c r="S137" s="19"/>
      <c r="T137" s="19"/>
      <c r="U137" s="19"/>
      <c r="V137" s="19"/>
      <c r="W137" s="19"/>
      <c r="X137" s="19"/>
      <c r="Y137" s="19"/>
      <c r="Z137" s="19"/>
    </row>
    <row r="138">
      <c r="A138" s="18">
        <v>137.0</v>
      </c>
      <c r="B138" s="12" t="s">
        <v>1724</v>
      </c>
      <c r="C138" s="12" t="s">
        <v>1655</v>
      </c>
      <c r="D138" s="12" t="s">
        <v>1656</v>
      </c>
      <c r="E138" s="27"/>
      <c r="F138" s="21"/>
      <c r="G138" s="21"/>
      <c r="H138" s="4" t="str">
        <f>IFERROR(__xludf.DUMMYFUNCTION("GOOGLETRANSLATE(B138, ""en"", ""zh"")"),"在实战练习中，你的对手使用了迷惑性的步法。你该如何应对？")</f>
        <v>在实战练习中，你的对手使用了迷惑性的步法。你该如何应对？</v>
      </c>
      <c r="I138" s="4" t="str">
        <f>IFERROR(__xludf.DUMMYFUNCTION("GOOGLETRANSLATE(C138, ""en"", ""zh"")"),"A) 集中注意力并预判 B) 忽略 C) 向前迈步 D) 随机反击")</f>
        <v>A) 集中注意力并预判 B) 忽略 C) 向前迈步 D) 随机反击</v>
      </c>
      <c r="J138" s="4" t="str">
        <f>IFERROR(__xludf.DUMMYFUNCTION("GOOGLETRANSLATE(D138, ""en"", ""zh"")"),"A) 集中精力并做出预测")</f>
        <v>A) 集中精力并做出预测</v>
      </c>
      <c r="K138" s="4" t="str">
        <f>IFERROR(__xludf.DUMMYFUNCTION("GOOGLETRANSLATE(E138, ""en"", ""zh"")"),"#VALUE!")</f>
        <v>#VALUE!</v>
      </c>
      <c r="L138" s="21"/>
      <c r="M138" s="21"/>
      <c r="N138" s="21"/>
      <c r="O138" s="21"/>
      <c r="P138" s="21"/>
      <c r="Q138" s="19"/>
      <c r="R138" s="19"/>
      <c r="S138" s="19"/>
      <c r="T138" s="19"/>
      <c r="U138" s="19"/>
      <c r="V138" s="19"/>
      <c r="W138" s="19"/>
      <c r="X138" s="19"/>
      <c r="Y138" s="19"/>
      <c r="Z138" s="19"/>
    </row>
    <row r="139">
      <c r="A139" s="18">
        <v>138.0</v>
      </c>
      <c r="B139" s="12" t="s">
        <v>1725</v>
      </c>
      <c r="C139" s="12" t="s">
        <v>1636</v>
      </c>
      <c r="D139" s="12" t="s">
        <v>1637</v>
      </c>
      <c r="E139" s="27"/>
      <c r="F139" s="21"/>
      <c r="G139" s="21"/>
      <c r="H139" s="4" t="str">
        <f>IFERROR(__xludf.DUMMYFUNCTION("GOOGLETRANSLATE(B139, ""en"", ""zh"")"),"对手交替使用高低假动作。你如何防守？")</f>
        <v>对手交替使用高低假动作。你如何防守？</v>
      </c>
      <c r="I139" s="4" t="str">
        <f>IFERROR(__xludf.DUMMYFUNCTION("GOOGLETRANSLATE(C139, ""en"", ""zh"")"),"A) 调整防守姿势和时机 B) 无视 C) 向前迈步 D) 假动作")</f>
        <v>A) 调整防守姿势和时机 B) 无视 C) 向前迈步 D) 假动作</v>
      </c>
      <c r="J139" s="4" t="str">
        <f>IFERROR(__xludf.DUMMYFUNCTION("GOOGLETRANSLATE(D139, ""en"", ""zh"")"),"A) 调整防护罩和定时")</f>
        <v>A) 调整防护罩和定时</v>
      </c>
      <c r="K139" s="4" t="str">
        <f>IFERROR(__xludf.DUMMYFUNCTION("GOOGLETRANSLATE(E139, ""en"", ""zh"")"),"#VALUE!")</f>
        <v>#VALUE!</v>
      </c>
      <c r="L139" s="21"/>
      <c r="M139" s="21"/>
      <c r="N139" s="21"/>
      <c r="O139" s="21"/>
      <c r="P139" s="21"/>
      <c r="Q139" s="19"/>
      <c r="R139" s="19"/>
      <c r="S139" s="19"/>
      <c r="T139" s="19"/>
      <c r="U139" s="19"/>
      <c r="V139" s="19"/>
      <c r="W139" s="19"/>
      <c r="X139" s="19"/>
      <c r="Y139" s="19"/>
      <c r="Z139" s="19"/>
    </row>
    <row r="140">
      <c r="A140" s="18">
        <v>139.0</v>
      </c>
      <c r="B140" s="12" t="s">
        <v>1726</v>
      </c>
      <c r="C140" s="12" t="s">
        <v>1592</v>
      </c>
      <c r="D140" s="12" t="s">
        <v>1524</v>
      </c>
      <c r="E140" s="27"/>
      <c r="F140" s="21"/>
      <c r="G140" s="21"/>
      <c r="H140" s="4" t="str">
        <f>IFERROR(__xludf.DUMMYFUNCTION("GOOGLETRANSLATE(B140, ""en"", ""zh"")"),"你注意到对手出拳后站姿出现空隙。你该如何应对？")</f>
        <v>你注意到对手出拳后站姿出现空隙。你该如何应对？</v>
      </c>
      <c r="I140" s="4" t="str">
        <f>IFERROR(__xludf.DUMMYFUNCTION("GOOGLETRANSLATE(C140, ""en"", ""zh"")"),"A) 立即出击 B) 无视 C) 后退 D) 假踢")</f>
        <v>A) 立即出击 B) 无视 C) 后退 D) 假踢</v>
      </c>
      <c r="J140" s="4" t="str">
        <f>IFERROR(__xludf.DUMMYFUNCTION("GOOGLETRANSLATE(D140, ""en"", ""zh"")"),"A) 立即打击")</f>
        <v>A) 立即打击</v>
      </c>
      <c r="K140" s="4" t="str">
        <f>IFERROR(__xludf.DUMMYFUNCTION("GOOGLETRANSLATE(E140, ""en"", ""zh"")"),"#VALUE!")</f>
        <v>#VALUE!</v>
      </c>
      <c r="L140" s="21"/>
      <c r="M140" s="21"/>
      <c r="N140" s="21"/>
      <c r="O140" s="21"/>
      <c r="P140" s="21"/>
      <c r="Q140" s="19"/>
      <c r="R140" s="19"/>
      <c r="S140" s="19"/>
      <c r="T140" s="19"/>
      <c r="U140" s="19"/>
      <c r="V140" s="19"/>
      <c r="W140" s="19"/>
      <c r="X140" s="19"/>
      <c r="Y140" s="19"/>
      <c r="Z140" s="19"/>
    </row>
    <row r="141">
      <c r="A141" s="18">
        <v>140.0</v>
      </c>
      <c r="B141" s="12" t="s">
        <v>1727</v>
      </c>
      <c r="C141" s="12" t="s">
        <v>1728</v>
      </c>
      <c r="D141" s="12" t="s">
        <v>1533</v>
      </c>
      <c r="E141" s="27"/>
      <c r="F141" s="21"/>
      <c r="G141" s="21"/>
      <c r="H141" s="4" t="str">
        <f>IFERROR(__xludf.DUMMYFUNCTION("GOOGLETRANSLATE(B141, ""en"", ""zh"")"),"战斗中，对手出拳时用力过猛，你会如何应对？")</f>
        <v>战斗中，对手出拳时用力过猛，你会如何应对？</v>
      </c>
      <c r="I141" s="4" t="str">
        <f>IFERROR(__xludf.DUMMYFUNCTION("GOOGLETRANSLATE(C141, ""en"", ""zh"")"),"A) 躲避并反击 B) 无视 C) 后撤 D) 佯攻")</f>
        <v>A) 躲避并反击 B) 无视 C) 后撤 D) 佯攻</v>
      </c>
      <c r="J141" s="4" t="str">
        <f>IFERROR(__xludf.DUMMYFUNCTION("GOOGLETRANSLATE(D141, ""en"", ""zh"")"),"A) 规避和反击")</f>
        <v>A) 规避和反击</v>
      </c>
      <c r="K141" s="4" t="str">
        <f>IFERROR(__xludf.DUMMYFUNCTION("GOOGLETRANSLATE(E141, ""en"", ""zh"")"),"#VALUE!")</f>
        <v>#VALUE!</v>
      </c>
      <c r="L141" s="21"/>
      <c r="M141" s="21"/>
      <c r="N141" s="21"/>
      <c r="O141" s="21"/>
      <c r="P141" s="21"/>
      <c r="Q141" s="19"/>
      <c r="R141" s="19"/>
      <c r="S141" s="19"/>
      <c r="T141" s="19"/>
      <c r="U141" s="19"/>
      <c r="V141" s="19"/>
      <c r="W141" s="19"/>
      <c r="X141" s="19"/>
      <c r="Y141" s="19"/>
      <c r="Z141" s="19"/>
    </row>
    <row r="142">
      <c r="A142" s="18">
        <v>141.0</v>
      </c>
      <c r="B142" s="12" t="s">
        <v>1729</v>
      </c>
      <c r="C142" s="12" t="s">
        <v>1650</v>
      </c>
      <c r="D142" s="12" t="s">
        <v>1578</v>
      </c>
      <c r="E142" s="27"/>
      <c r="F142" s="21"/>
      <c r="G142" s="21"/>
      <c r="H142" s="4" t="str">
        <f>IFERROR(__xludf.DUMMYFUNCTION("GOOGLETRANSLATE(B142, ""en"", ""zh"")"),"对手抓住你的手腕。最佳应对措施是什么？")</f>
        <v>对手抓住你的手腕。最佳应对措施是什么？</v>
      </c>
      <c r="I142" s="4" t="str">
        <f>IFERROR(__xludf.DUMMYFUNCTION("GOOGLETRANSLATE(C142, ""en"", ""zh"")"),"A) 解除控制 B) 无视 C) 后退 D) 让步")</f>
        <v>A) 解除控制 B) 无视 C) 后退 D) 让步</v>
      </c>
      <c r="J142" s="4" t="str">
        <f>IFERROR(__xludf.DUMMYFUNCTION("GOOGLETRANSLATE(D142, ""en"", ""zh"")"),"A) 打破僵局")</f>
        <v>A) 打破僵局</v>
      </c>
      <c r="K142" s="4" t="str">
        <f>IFERROR(__xludf.DUMMYFUNCTION("GOOGLETRANSLATE(E142, ""en"", ""zh"")"),"#VALUE!")</f>
        <v>#VALUE!</v>
      </c>
      <c r="L142" s="21"/>
      <c r="M142" s="21"/>
      <c r="N142" s="21"/>
      <c r="O142" s="21"/>
      <c r="P142" s="21"/>
      <c r="Q142" s="19"/>
      <c r="R142" s="19"/>
      <c r="S142" s="19"/>
      <c r="T142" s="19"/>
      <c r="U142" s="19"/>
      <c r="V142" s="19"/>
      <c r="W142" s="19"/>
      <c r="X142" s="19"/>
      <c r="Y142" s="19"/>
      <c r="Z142" s="19"/>
    </row>
    <row r="143">
      <c r="A143" s="18">
        <v>142.0</v>
      </c>
      <c r="B143" s="12" t="s">
        <v>1730</v>
      </c>
      <c r="C143" s="12" t="s">
        <v>1618</v>
      </c>
      <c r="D143" s="12" t="s">
        <v>1542</v>
      </c>
      <c r="E143" s="27"/>
      <c r="F143" s="21"/>
      <c r="G143" s="21"/>
      <c r="H143" s="4" t="str">
        <f>IFERROR(__xludf.DUMMYFUNCTION("GOOGLETRANSLATE(B143, ""en"", ""zh"")"),"你已被逼到绝境，该如何防守？")</f>
        <v>你已被逼到绝境，该如何防守？</v>
      </c>
      <c r="I143" s="4" t="str">
        <f>IFERROR(__xludf.DUMMYFUNCTION("GOOGLETRANSLATE(C143, ""en"", ""zh"")"),"A) 转向并反击 B) 忽略 C) 退后 D) 让步")</f>
        <v>A) 转向并反击 B) 忽略 C) 退后 D) 让步</v>
      </c>
      <c r="J143" s="4" t="str">
        <f>IFERROR(__xludf.DUMMYFUNCTION("GOOGLETRANSLATE(D143, ""en"", ""zh"")"),"A) 枢轴和反击")</f>
        <v>A) 枢轴和反击</v>
      </c>
      <c r="K143" s="4" t="str">
        <f>IFERROR(__xludf.DUMMYFUNCTION("GOOGLETRANSLATE(E143, ""en"", ""zh"")"),"#VALUE!")</f>
        <v>#VALUE!</v>
      </c>
      <c r="L143" s="21"/>
      <c r="M143" s="21"/>
      <c r="N143" s="21"/>
      <c r="O143" s="21"/>
      <c r="P143" s="21"/>
      <c r="Q143" s="19"/>
      <c r="R143" s="19"/>
      <c r="S143" s="19"/>
      <c r="T143" s="19"/>
      <c r="U143" s="19"/>
      <c r="V143" s="19"/>
      <c r="W143" s="19"/>
      <c r="X143" s="19"/>
      <c r="Y143" s="19"/>
      <c r="Z143" s="19"/>
    </row>
    <row r="144">
      <c r="A144" s="18">
        <v>143.0</v>
      </c>
      <c r="B144" s="12" t="s">
        <v>1731</v>
      </c>
      <c r="C144" s="12" t="s">
        <v>1609</v>
      </c>
      <c r="D144" s="12" t="s">
        <v>1610</v>
      </c>
      <c r="E144" s="27"/>
      <c r="F144" s="21"/>
      <c r="G144" s="21"/>
      <c r="H144" s="4" t="str">
        <f>IFERROR(__xludf.DUMMYFUNCTION("GOOGLETRANSLATE(B144, ""en"", ""zh"")"),"训练进行中，对手从意想不到的角度发起攻击。如何应对？")</f>
        <v>训练进行中，对手从意想不到的角度发起攻击。如何应对？</v>
      </c>
      <c r="I144" s="4" t="str">
        <f>IFERROR(__xludf.DUMMYFUNCTION("GOOGLETRANSLATE(C144, ""en"", ""zh"")"),"A) 调整防守姿势 B) 忽略 C) 向前迈步 D) 跳跃")</f>
        <v>A) 调整防守姿势 B) 忽略 C) 向前迈步 D) 跳跃</v>
      </c>
      <c r="J144" s="4" t="str">
        <f>IFERROR(__xludf.DUMMYFUNCTION("GOOGLETRANSLATE(D144, ""en"", ""zh"")"),"A) 调整护罩")</f>
        <v>A) 调整护罩</v>
      </c>
      <c r="K144" s="4" t="str">
        <f>IFERROR(__xludf.DUMMYFUNCTION("GOOGLETRANSLATE(E144, ""en"", ""zh"")"),"#VALUE!")</f>
        <v>#VALUE!</v>
      </c>
      <c r="L144" s="21"/>
      <c r="M144" s="21"/>
      <c r="N144" s="21"/>
      <c r="O144" s="21"/>
      <c r="P144" s="21"/>
      <c r="Q144" s="19"/>
      <c r="R144" s="19"/>
      <c r="S144" s="19"/>
      <c r="T144" s="19"/>
      <c r="U144" s="19"/>
      <c r="V144" s="19"/>
      <c r="W144" s="19"/>
      <c r="X144" s="19"/>
      <c r="Y144" s="19"/>
      <c r="Z144" s="19"/>
    </row>
    <row r="145">
      <c r="A145" s="18">
        <v>144.0</v>
      </c>
      <c r="B145" s="12" t="s">
        <v>1732</v>
      </c>
      <c r="C145" s="12" t="s">
        <v>1644</v>
      </c>
      <c r="D145" s="12" t="s">
        <v>1099</v>
      </c>
      <c r="E145" s="27"/>
      <c r="F145" s="21"/>
      <c r="G145" s="21"/>
      <c r="H145" s="4" t="str">
        <f>IFERROR(__xludf.DUMMYFUNCTION("GOOGLETRANSLATE(B145, ""en"", ""zh"")"),"对手攻击你的非惯用脚。你该如何应对？")</f>
        <v>对手攻击你的非惯用脚。你该如何应对？</v>
      </c>
      <c r="I145" s="4" t="str">
        <f>IFERROR(__xludf.DUMMYFUNCTION("GOOGLETRANSLATE(C145, ""en"", ""zh"")"),"A) 调整站姿 B) 无视 C) 向前迈一步 D) 让步")</f>
        <v>A) 调整站姿 B) 无视 C) 向前迈一步 D) 让步</v>
      </c>
      <c r="J145" s="4" t="str">
        <f>IFERROR(__xludf.DUMMYFUNCTION("GOOGLETRANSLATE(D145, ""en"", ""zh"")"),"A）调整站姿")</f>
        <v>A）调整站姿</v>
      </c>
      <c r="K145" s="4" t="str">
        <f>IFERROR(__xludf.DUMMYFUNCTION("GOOGLETRANSLATE(E145, ""en"", ""zh"")"),"#VALUE!")</f>
        <v>#VALUE!</v>
      </c>
      <c r="L145" s="21"/>
      <c r="M145" s="21"/>
      <c r="N145" s="21"/>
      <c r="O145" s="21"/>
      <c r="P145" s="21"/>
      <c r="Q145" s="19"/>
      <c r="R145" s="19"/>
      <c r="S145" s="19"/>
      <c r="T145" s="19"/>
      <c r="U145" s="19"/>
      <c r="V145" s="19"/>
      <c r="W145" s="19"/>
      <c r="X145" s="19"/>
      <c r="Y145" s="19"/>
      <c r="Z145" s="19"/>
    </row>
    <row r="146">
      <c r="A146" s="18">
        <v>145.0</v>
      </c>
      <c r="B146" s="12" t="s">
        <v>1733</v>
      </c>
      <c r="C146" s="12" t="s">
        <v>1734</v>
      </c>
      <c r="D146" s="12" t="s">
        <v>1735</v>
      </c>
      <c r="E146" s="27"/>
      <c r="F146" s="21"/>
      <c r="G146" s="21"/>
      <c r="H146" s="4" t="str">
        <f>IFERROR(__xludf.DUMMYFUNCTION("GOOGLETRANSLATE(B146, ""en"", ""zh"")"),"实战中途，你的组合拳失败了。你的下一步是什么？")</f>
        <v>实战中途，你的组合拳失败了。你的下一步是什么？</v>
      </c>
      <c r="I146" s="4" t="str">
        <f>IFERROR(__xludf.DUMMYFUNCTION("GOOGLETRANSLATE(C146, ""en"", ""zh"")"),"A) 重置并调整 B) 忽略 C) 后退 D) 暂停")</f>
        <v>A) 重置并调整 B) 忽略 C) 后退 D) 暂停</v>
      </c>
      <c r="J146" s="4" t="str">
        <f>IFERROR(__xludf.DUMMYFUNCTION("GOOGLETRANSLATE(D146, ""en"", ""zh"")"),"A) 重置和调整")</f>
        <v>A) 重置和调整</v>
      </c>
      <c r="K146" s="4" t="str">
        <f>IFERROR(__xludf.DUMMYFUNCTION("GOOGLETRANSLATE(E146, ""en"", ""zh"")"),"#VALUE!")</f>
        <v>#VALUE!</v>
      </c>
      <c r="L146" s="21"/>
      <c r="M146" s="21"/>
      <c r="N146" s="21"/>
      <c r="O146" s="21"/>
      <c r="P146" s="21"/>
      <c r="Q146" s="19"/>
      <c r="R146" s="19"/>
      <c r="S146" s="19"/>
      <c r="T146" s="19"/>
      <c r="U146" s="19"/>
      <c r="V146" s="19"/>
      <c r="W146" s="19"/>
      <c r="X146" s="19"/>
      <c r="Y146" s="19"/>
      <c r="Z146" s="19"/>
    </row>
    <row r="147">
      <c r="A147" s="21"/>
      <c r="B147" s="21"/>
      <c r="C147" s="21"/>
      <c r="D147" s="21"/>
      <c r="E147" s="21"/>
      <c r="F147" s="21"/>
      <c r="G147" s="21"/>
      <c r="H147" s="2"/>
      <c r="I147" s="21"/>
      <c r="J147" s="21"/>
      <c r="K147" s="21"/>
      <c r="L147" s="21"/>
      <c r="M147" s="21"/>
      <c r="N147" s="21"/>
      <c r="O147" s="21"/>
      <c r="P147" s="21"/>
      <c r="Q147" s="19"/>
      <c r="R147" s="19"/>
      <c r="S147" s="19"/>
      <c r="T147" s="19"/>
      <c r="U147" s="19"/>
      <c r="V147" s="19"/>
      <c r="W147" s="19"/>
      <c r="X147" s="19"/>
      <c r="Y147" s="19"/>
      <c r="Z147" s="19"/>
    </row>
    <row r="148">
      <c r="A148" s="21"/>
      <c r="B148" s="21"/>
      <c r="C148" s="21"/>
      <c r="D148" s="21"/>
      <c r="E148" s="21"/>
      <c r="F148" s="21"/>
      <c r="G148" s="21"/>
      <c r="H148" s="2"/>
      <c r="I148" s="21"/>
      <c r="J148" s="21"/>
      <c r="K148" s="21"/>
      <c r="L148" s="21"/>
      <c r="M148" s="21"/>
      <c r="N148" s="21"/>
      <c r="O148" s="21"/>
      <c r="P148" s="21"/>
      <c r="Q148" s="19"/>
      <c r="R148" s="19"/>
      <c r="S148" s="19"/>
      <c r="T148" s="19"/>
      <c r="U148" s="19"/>
      <c r="V148" s="19"/>
      <c r="W148" s="19"/>
      <c r="X148" s="19"/>
      <c r="Y148" s="19"/>
      <c r="Z148" s="19"/>
    </row>
    <row r="149">
      <c r="A149" s="21"/>
      <c r="B149" s="21"/>
      <c r="C149" s="21"/>
      <c r="D149" s="21"/>
      <c r="E149" s="21"/>
      <c r="F149" s="21"/>
      <c r="G149" s="21"/>
      <c r="H149" s="2"/>
      <c r="I149" s="21"/>
      <c r="J149" s="21"/>
      <c r="K149" s="21"/>
      <c r="L149" s="21"/>
      <c r="M149" s="21"/>
      <c r="N149" s="21"/>
      <c r="O149" s="21"/>
      <c r="P149" s="21"/>
      <c r="Q149" s="19"/>
      <c r="R149" s="19"/>
      <c r="S149" s="19"/>
      <c r="T149" s="19"/>
      <c r="U149" s="19"/>
      <c r="V149" s="19"/>
      <c r="W149" s="19"/>
      <c r="X149" s="19"/>
      <c r="Y149" s="19"/>
      <c r="Z149" s="19"/>
    </row>
    <row r="150">
      <c r="A150" s="21"/>
      <c r="B150" s="21"/>
      <c r="C150" s="21"/>
      <c r="D150" s="21"/>
      <c r="E150" s="21"/>
      <c r="F150" s="21"/>
      <c r="G150" s="21"/>
      <c r="H150" s="2"/>
      <c r="I150" s="21"/>
      <c r="J150" s="21"/>
      <c r="K150" s="21"/>
      <c r="L150" s="21"/>
      <c r="M150" s="21"/>
      <c r="N150" s="21"/>
      <c r="O150" s="21"/>
      <c r="P150" s="21"/>
      <c r="Q150" s="19"/>
      <c r="R150" s="19"/>
      <c r="S150" s="19"/>
      <c r="T150" s="19"/>
      <c r="U150" s="19"/>
      <c r="V150" s="19"/>
      <c r="W150" s="19"/>
      <c r="X150" s="19"/>
      <c r="Y150" s="19"/>
      <c r="Z150" s="19"/>
    </row>
    <row r="151">
      <c r="A151" s="21"/>
      <c r="B151" s="21"/>
      <c r="C151" s="21"/>
      <c r="D151" s="21"/>
      <c r="E151" s="21"/>
      <c r="F151" s="21"/>
      <c r="G151" s="21"/>
      <c r="H151" s="2"/>
      <c r="I151" s="21"/>
      <c r="J151" s="21"/>
      <c r="K151" s="21"/>
      <c r="L151" s="21"/>
      <c r="M151" s="21"/>
      <c r="N151" s="21"/>
      <c r="O151" s="21"/>
      <c r="P151" s="21"/>
      <c r="Q151" s="19"/>
      <c r="R151" s="19"/>
      <c r="S151" s="19"/>
      <c r="T151" s="19"/>
      <c r="U151" s="19"/>
      <c r="V151" s="19"/>
      <c r="W151" s="19"/>
      <c r="X151" s="19"/>
      <c r="Y151" s="19"/>
      <c r="Z151" s="19"/>
    </row>
    <row r="152">
      <c r="A152" s="21"/>
      <c r="B152" s="21"/>
      <c r="C152" s="21"/>
      <c r="D152" s="21"/>
      <c r="E152" s="21"/>
      <c r="F152" s="21"/>
      <c r="G152" s="21"/>
      <c r="H152" s="2"/>
      <c r="I152" s="21"/>
      <c r="J152" s="21"/>
      <c r="K152" s="21"/>
      <c r="L152" s="21"/>
      <c r="M152" s="21"/>
      <c r="N152" s="21"/>
      <c r="O152" s="21"/>
      <c r="P152" s="21"/>
      <c r="Q152" s="19"/>
      <c r="R152" s="19"/>
      <c r="S152" s="19"/>
      <c r="T152" s="19"/>
      <c r="U152" s="19"/>
      <c r="V152" s="19"/>
      <c r="W152" s="19"/>
      <c r="X152" s="19"/>
      <c r="Y152" s="19"/>
      <c r="Z152" s="19"/>
    </row>
    <row r="153">
      <c r="A153" s="21"/>
      <c r="B153" s="21"/>
      <c r="C153" s="21"/>
      <c r="D153" s="21"/>
      <c r="E153" s="21"/>
      <c r="F153" s="21"/>
      <c r="G153" s="21"/>
      <c r="H153" s="2"/>
      <c r="I153" s="21"/>
      <c r="J153" s="21"/>
      <c r="K153" s="21"/>
      <c r="L153" s="21"/>
      <c r="M153" s="21"/>
      <c r="N153" s="21"/>
      <c r="O153" s="21"/>
      <c r="P153" s="21"/>
      <c r="Q153" s="19"/>
      <c r="R153" s="19"/>
      <c r="S153" s="19"/>
      <c r="T153" s="19"/>
      <c r="U153" s="19"/>
      <c r="V153" s="19"/>
      <c r="W153" s="19"/>
      <c r="X153" s="19"/>
      <c r="Y153" s="19"/>
      <c r="Z153" s="19"/>
    </row>
    <row r="154">
      <c r="A154" s="21"/>
      <c r="B154" s="21"/>
      <c r="C154" s="21"/>
      <c r="D154" s="21"/>
      <c r="E154" s="21"/>
      <c r="F154" s="21"/>
      <c r="G154" s="21"/>
      <c r="H154" s="2"/>
      <c r="I154" s="21"/>
      <c r="J154" s="21"/>
      <c r="K154" s="21"/>
      <c r="L154" s="21"/>
      <c r="M154" s="21"/>
      <c r="N154" s="21"/>
      <c r="O154" s="21"/>
      <c r="P154" s="21"/>
      <c r="Q154" s="19"/>
      <c r="R154" s="19"/>
      <c r="S154" s="19"/>
      <c r="T154" s="19"/>
      <c r="U154" s="19"/>
      <c r="V154" s="19"/>
      <c r="W154" s="19"/>
      <c r="X154" s="19"/>
      <c r="Y154" s="19"/>
      <c r="Z154" s="19"/>
    </row>
    <row r="155">
      <c r="A155" s="21"/>
      <c r="B155" s="21"/>
      <c r="C155" s="21"/>
      <c r="D155" s="21"/>
      <c r="E155" s="21"/>
      <c r="F155" s="21"/>
      <c r="G155" s="21"/>
      <c r="H155" s="2"/>
      <c r="I155" s="21"/>
      <c r="J155" s="21"/>
      <c r="K155" s="21"/>
      <c r="L155" s="21"/>
      <c r="M155" s="21"/>
      <c r="N155" s="21"/>
      <c r="O155" s="21"/>
      <c r="P155" s="21"/>
      <c r="Q155" s="19"/>
      <c r="R155" s="19"/>
      <c r="S155" s="19"/>
      <c r="T155" s="19"/>
      <c r="U155" s="19"/>
      <c r="V155" s="19"/>
      <c r="W155" s="19"/>
      <c r="X155" s="19"/>
      <c r="Y155" s="19"/>
      <c r="Z155" s="19"/>
    </row>
    <row r="156">
      <c r="A156" s="21"/>
      <c r="B156" s="21"/>
      <c r="C156" s="21"/>
      <c r="D156" s="21"/>
      <c r="E156" s="21"/>
      <c r="F156" s="21"/>
      <c r="G156" s="21"/>
      <c r="H156" s="2"/>
      <c r="I156" s="21"/>
      <c r="J156" s="21"/>
      <c r="K156" s="21"/>
      <c r="L156" s="21"/>
      <c r="M156" s="21"/>
      <c r="N156" s="21"/>
      <c r="O156" s="21"/>
      <c r="P156" s="21"/>
      <c r="Q156" s="19"/>
      <c r="R156" s="19"/>
      <c r="S156" s="19"/>
      <c r="T156" s="19"/>
      <c r="U156" s="19"/>
      <c r="V156" s="19"/>
      <c r="W156" s="19"/>
      <c r="X156" s="19"/>
      <c r="Y156" s="19"/>
      <c r="Z156" s="19"/>
    </row>
    <row r="157">
      <c r="A157" s="21"/>
      <c r="B157" s="21"/>
      <c r="C157" s="21"/>
      <c r="D157" s="21"/>
      <c r="E157" s="21"/>
      <c r="F157" s="21"/>
      <c r="G157" s="21"/>
      <c r="H157" s="2"/>
      <c r="I157" s="21"/>
      <c r="J157" s="21"/>
      <c r="K157" s="21"/>
      <c r="L157" s="21"/>
      <c r="M157" s="21"/>
      <c r="N157" s="21"/>
      <c r="O157" s="21"/>
      <c r="P157" s="21"/>
      <c r="Q157" s="19"/>
      <c r="R157" s="19"/>
      <c r="S157" s="19"/>
      <c r="T157" s="19"/>
      <c r="U157" s="19"/>
      <c r="V157" s="19"/>
      <c r="W157" s="19"/>
      <c r="X157" s="19"/>
      <c r="Y157" s="19"/>
      <c r="Z157" s="19"/>
    </row>
    <row r="158">
      <c r="A158" s="21"/>
      <c r="B158" s="21"/>
      <c r="C158" s="21"/>
      <c r="D158" s="21"/>
      <c r="E158" s="21"/>
      <c r="F158" s="21"/>
      <c r="G158" s="21"/>
      <c r="H158" s="2"/>
      <c r="I158" s="21"/>
      <c r="J158" s="21"/>
      <c r="K158" s="21"/>
      <c r="L158" s="21"/>
      <c r="M158" s="21"/>
      <c r="N158" s="21"/>
      <c r="O158" s="21"/>
      <c r="P158" s="21"/>
      <c r="Q158" s="19"/>
      <c r="R158" s="19"/>
      <c r="S158" s="19"/>
      <c r="T158" s="19"/>
      <c r="U158" s="19"/>
      <c r="V158" s="19"/>
      <c r="W158" s="19"/>
      <c r="X158" s="19"/>
      <c r="Y158" s="19"/>
      <c r="Z158" s="19"/>
    </row>
    <row r="159">
      <c r="A159" s="21"/>
      <c r="B159" s="21"/>
      <c r="C159" s="21"/>
      <c r="D159" s="21"/>
      <c r="E159" s="21"/>
      <c r="F159" s="21"/>
      <c r="G159" s="21"/>
      <c r="H159" s="2"/>
      <c r="I159" s="21"/>
      <c r="J159" s="21"/>
      <c r="K159" s="21"/>
      <c r="L159" s="21"/>
      <c r="M159" s="21"/>
      <c r="N159" s="21"/>
      <c r="O159" s="21"/>
      <c r="P159" s="21"/>
      <c r="Q159" s="19"/>
      <c r="R159" s="19"/>
      <c r="S159" s="19"/>
      <c r="T159" s="19"/>
      <c r="U159" s="19"/>
      <c r="V159" s="19"/>
      <c r="W159" s="19"/>
      <c r="X159" s="19"/>
      <c r="Y159" s="19"/>
      <c r="Z159" s="19"/>
    </row>
    <row r="160">
      <c r="A160" s="21"/>
      <c r="B160" s="21"/>
      <c r="C160" s="21"/>
      <c r="D160" s="21"/>
      <c r="E160" s="21"/>
      <c r="F160" s="21"/>
      <c r="G160" s="21"/>
      <c r="H160" s="2"/>
      <c r="I160" s="21"/>
      <c r="J160" s="21"/>
      <c r="K160" s="21"/>
      <c r="L160" s="21"/>
      <c r="M160" s="21"/>
      <c r="N160" s="21"/>
      <c r="O160" s="21"/>
      <c r="P160" s="21"/>
      <c r="Q160" s="19"/>
      <c r="R160" s="19"/>
      <c r="S160" s="19"/>
      <c r="T160" s="19"/>
      <c r="U160" s="19"/>
      <c r="V160" s="19"/>
      <c r="W160" s="19"/>
      <c r="X160" s="19"/>
      <c r="Y160" s="19"/>
      <c r="Z160" s="19"/>
    </row>
    <row r="161">
      <c r="A161" s="21"/>
      <c r="B161" s="21"/>
      <c r="C161" s="21"/>
      <c r="D161" s="21"/>
      <c r="E161" s="21"/>
      <c r="F161" s="21"/>
      <c r="G161" s="21"/>
      <c r="H161" s="2"/>
      <c r="I161" s="21"/>
      <c r="J161" s="21"/>
      <c r="K161" s="21"/>
      <c r="L161" s="21"/>
      <c r="M161" s="21"/>
      <c r="N161" s="21"/>
      <c r="O161" s="21"/>
      <c r="P161" s="21"/>
      <c r="Q161" s="19"/>
      <c r="R161" s="19"/>
      <c r="S161" s="19"/>
      <c r="T161" s="19"/>
      <c r="U161" s="19"/>
      <c r="V161" s="19"/>
      <c r="W161" s="19"/>
      <c r="X161" s="19"/>
      <c r="Y161" s="19"/>
      <c r="Z161" s="19"/>
    </row>
    <row r="162">
      <c r="A162" s="21"/>
      <c r="B162" s="21"/>
      <c r="C162" s="21"/>
      <c r="D162" s="21"/>
      <c r="E162" s="21"/>
      <c r="F162" s="21"/>
      <c r="G162" s="21"/>
      <c r="H162" s="2"/>
      <c r="I162" s="21"/>
      <c r="J162" s="21"/>
      <c r="K162" s="21"/>
      <c r="L162" s="21"/>
      <c r="M162" s="21"/>
      <c r="N162" s="21"/>
      <c r="O162" s="21"/>
      <c r="P162" s="21"/>
      <c r="Q162" s="19"/>
      <c r="R162" s="19"/>
      <c r="S162" s="19"/>
      <c r="T162" s="19"/>
      <c r="U162" s="19"/>
      <c r="V162" s="19"/>
      <c r="W162" s="19"/>
      <c r="X162" s="19"/>
      <c r="Y162" s="19"/>
      <c r="Z162" s="19"/>
    </row>
    <row r="163">
      <c r="A163" s="21"/>
      <c r="B163" s="21"/>
      <c r="C163" s="21"/>
      <c r="D163" s="21"/>
      <c r="E163" s="21"/>
      <c r="F163" s="21"/>
      <c r="G163" s="21"/>
      <c r="H163" s="2"/>
      <c r="I163" s="21"/>
      <c r="J163" s="21"/>
      <c r="K163" s="21"/>
      <c r="L163" s="21"/>
      <c r="M163" s="21"/>
      <c r="N163" s="21"/>
      <c r="O163" s="21"/>
      <c r="P163" s="21"/>
      <c r="Q163" s="19"/>
      <c r="R163" s="19"/>
      <c r="S163" s="19"/>
      <c r="T163" s="19"/>
      <c r="U163" s="19"/>
      <c r="V163" s="19"/>
      <c r="W163" s="19"/>
      <c r="X163" s="19"/>
      <c r="Y163" s="19"/>
      <c r="Z163" s="19"/>
    </row>
    <row r="164">
      <c r="A164" s="21"/>
      <c r="B164" s="21"/>
      <c r="C164" s="21"/>
      <c r="D164" s="21"/>
      <c r="E164" s="21"/>
      <c r="F164" s="21"/>
      <c r="G164" s="21"/>
      <c r="H164" s="2"/>
      <c r="I164" s="21"/>
      <c r="J164" s="21"/>
      <c r="K164" s="21"/>
      <c r="L164" s="21"/>
      <c r="M164" s="21"/>
      <c r="N164" s="21"/>
      <c r="O164" s="21"/>
      <c r="P164" s="21"/>
      <c r="Q164" s="19"/>
      <c r="R164" s="19"/>
      <c r="S164" s="19"/>
      <c r="T164" s="19"/>
      <c r="U164" s="19"/>
      <c r="V164" s="19"/>
      <c r="W164" s="19"/>
      <c r="X164" s="19"/>
      <c r="Y164" s="19"/>
      <c r="Z164" s="19"/>
    </row>
    <row r="165">
      <c r="A165" s="21"/>
      <c r="B165" s="21"/>
      <c r="C165" s="21"/>
      <c r="D165" s="21"/>
      <c r="E165" s="21"/>
      <c r="F165" s="21"/>
      <c r="G165" s="21"/>
      <c r="H165" s="2"/>
      <c r="I165" s="21"/>
      <c r="J165" s="21"/>
      <c r="K165" s="21"/>
      <c r="L165" s="21"/>
      <c r="M165" s="21"/>
      <c r="N165" s="21"/>
      <c r="O165" s="21"/>
      <c r="P165" s="21"/>
      <c r="Q165" s="19"/>
      <c r="R165" s="19"/>
      <c r="S165" s="19"/>
      <c r="T165" s="19"/>
      <c r="U165" s="19"/>
      <c r="V165" s="19"/>
      <c r="W165" s="19"/>
      <c r="X165" s="19"/>
      <c r="Y165" s="19"/>
      <c r="Z165" s="19"/>
    </row>
    <row r="166">
      <c r="A166" s="21"/>
      <c r="B166" s="21"/>
      <c r="C166" s="21"/>
      <c r="D166" s="21"/>
      <c r="E166" s="21"/>
      <c r="F166" s="21"/>
      <c r="G166" s="21"/>
      <c r="H166" s="2"/>
      <c r="I166" s="21"/>
      <c r="J166" s="21"/>
      <c r="K166" s="21"/>
      <c r="L166" s="21"/>
      <c r="M166" s="21"/>
      <c r="N166" s="21"/>
      <c r="O166" s="21"/>
      <c r="P166" s="21"/>
      <c r="Q166" s="19"/>
      <c r="R166" s="19"/>
      <c r="S166" s="19"/>
      <c r="T166" s="19"/>
      <c r="U166" s="19"/>
      <c r="V166" s="19"/>
      <c r="W166" s="19"/>
      <c r="X166" s="19"/>
      <c r="Y166" s="19"/>
      <c r="Z166" s="19"/>
    </row>
    <row r="167">
      <c r="A167" s="21"/>
      <c r="B167" s="21"/>
      <c r="C167" s="21"/>
      <c r="D167" s="21"/>
      <c r="E167" s="21"/>
      <c r="F167" s="21"/>
      <c r="G167" s="21"/>
      <c r="H167" s="2"/>
      <c r="I167" s="21"/>
      <c r="J167" s="21"/>
      <c r="K167" s="21"/>
      <c r="L167" s="21"/>
      <c r="M167" s="21"/>
      <c r="N167" s="21"/>
      <c r="O167" s="21"/>
      <c r="P167" s="21"/>
      <c r="Q167" s="19"/>
      <c r="R167" s="19"/>
      <c r="S167" s="19"/>
      <c r="T167" s="19"/>
      <c r="U167" s="19"/>
      <c r="V167" s="19"/>
      <c r="W167" s="19"/>
      <c r="X167" s="19"/>
      <c r="Y167" s="19"/>
      <c r="Z167" s="19"/>
    </row>
    <row r="168">
      <c r="A168" s="21"/>
      <c r="B168" s="21"/>
      <c r="C168" s="21"/>
      <c r="D168" s="21"/>
      <c r="E168" s="21"/>
      <c r="F168" s="21"/>
      <c r="G168" s="21"/>
      <c r="H168" s="2"/>
      <c r="I168" s="21"/>
      <c r="J168" s="21"/>
      <c r="K168" s="21"/>
      <c r="L168" s="21"/>
      <c r="M168" s="21"/>
      <c r="N168" s="21"/>
      <c r="O168" s="21"/>
      <c r="P168" s="21"/>
      <c r="Q168" s="19"/>
      <c r="R168" s="19"/>
      <c r="S168" s="19"/>
      <c r="T168" s="19"/>
      <c r="U168" s="19"/>
      <c r="V168" s="19"/>
      <c r="W168" s="19"/>
      <c r="X168" s="19"/>
      <c r="Y168" s="19"/>
      <c r="Z168" s="19"/>
    </row>
    <row r="169">
      <c r="A169" s="21"/>
      <c r="B169" s="21"/>
      <c r="C169" s="21"/>
      <c r="D169" s="21"/>
      <c r="E169" s="21"/>
      <c r="F169" s="21"/>
      <c r="G169" s="21"/>
      <c r="H169" s="2"/>
      <c r="I169" s="21"/>
      <c r="J169" s="21"/>
      <c r="K169" s="21"/>
      <c r="L169" s="21"/>
      <c r="M169" s="21"/>
      <c r="N169" s="21"/>
      <c r="O169" s="21"/>
      <c r="P169" s="21"/>
      <c r="Q169" s="19"/>
      <c r="R169" s="19"/>
      <c r="S169" s="19"/>
      <c r="T169" s="19"/>
      <c r="U169" s="19"/>
      <c r="V169" s="19"/>
      <c r="W169" s="19"/>
      <c r="X169" s="19"/>
      <c r="Y169" s="19"/>
      <c r="Z169" s="19"/>
    </row>
    <row r="170">
      <c r="A170" s="21"/>
      <c r="B170" s="21"/>
      <c r="C170" s="21"/>
      <c r="D170" s="21"/>
      <c r="E170" s="21"/>
      <c r="F170" s="21"/>
      <c r="G170" s="21"/>
      <c r="H170" s="2"/>
      <c r="I170" s="21"/>
      <c r="J170" s="21"/>
      <c r="K170" s="21"/>
      <c r="L170" s="21"/>
      <c r="M170" s="21"/>
      <c r="N170" s="21"/>
      <c r="O170" s="21"/>
      <c r="P170" s="21"/>
      <c r="Q170" s="19"/>
      <c r="R170" s="19"/>
      <c r="S170" s="19"/>
      <c r="T170" s="19"/>
      <c r="U170" s="19"/>
      <c r="V170" s="19"/>
      <c r="W170" s="19"/>
      <c r="X170" s="19"/>
      <c r="Y170" s="19"/>
      <c r="Z170" s="19"/>
    </row>
    <row r="171">
      <c r="A171" s="21"/>
      <c r="B171" s="21"/>
      <c r="C171" s="21"/>
      <c r="D171" s="21"/>
      <c r="E171" s="21"/>
      <c r="F171" s="21"/>
      <c r="G171" s="21"/>
      <c r="H171" s="2"/>
      <c r="I171" s="21"/>
      <c r="J171" s="21"/>
      <c r="K171" s="21"/>
      <c r="L171" s="21"/>
      <c r="M171" s="21"/>
      <c r="N171" s="21"/>
      <c r="O171" s="21"/>
      <c r="P171" s="21"/>
      <c r="Q171" s="19"/>
      <c r="R171" s="19"/>
      <c r="S171" s="19"/>
      <c r="T171" s="19"/>
      <c r="U171" s="19"/>
      <c r="V171" s="19"/>
      <c r="W171" s="19"/>
      <c r="X171" s="19"/>
      <c r="Y171" s="19"/>
      <c r="Z171" s="19"/>
    </row>
    <row r="172">
      <c r="A172" s="21"/>
      <c r="B172" s="21"/>
      <c r="C172" s="21"/>
      <c r="D172" s="21"/>
      <c r="E172" s="21"/>
      <c r="F172" s="21"/>
      <c r="G172" s="21"/>
      <c r="H172" s="2"/>
      <c r="I172" s="21"/>
      <c r="J172" s="21"/>
      <c r="K172" s="21"/>
      <c r="L172" s="21"/>
      <c r="M172" s="21"/>
      <c r="N172" s="21"/>
      <c r="O172" s="21"/>
      <c r="P172" s="21"/>
      <c r="Q172" s="19"/>
      <c r="R172" s="19"/>
      <c r="S172" s="19"/>
      <c r="T172" s="19"/>
      <c r="U172" s="19"/>
      <c r="V172" s="19"/>
      <c r="W172" s="19"/>
      <c r="X172" s="19"/>
      <c r="Y172" s="19"/>
      <c r="Z172" s="19"/>
    </row>
    <row r="173">
      <c r="A173" s="21"/>
      <c r="B173" s="21"/>
      <c r="C173" s="21"/>
      <c r="D173" s="21"/>
      <c r="E173" s="21"/>
      <c r="F173" s="21"/>
      <c r="G173" s="21"/>
      <c r="H173" s="2"/>
      <c r="I173" s="21"/>
      <c r="J173" s="21"/>
      <c r="K173" s="21"/>
      <c r="L173" s="21"/>
      <c r="M173" s="21"/>
      <c r="N173" s="21"/>
      <c r="O173" s="21"/>
      <c r="P173" s="21"/>
      <c r="Q173" s="19"/>
      <c r="R173" s="19"/>
      <c r="S173" s="19"/>
      <c r="T173" s="19"/>
      <c r="U173" s="19"/>
      <c r="V173" s="19"/>
      <c r="W173" s="19"/>
      <c r="X173" s="19"/>
      <c r="Y173" s="19"/>
      <c r="Z173" s="19"/>
    </row>
    <row r="174">
      <c r="A174" s="21"/>
      <c r="B174" s="21"/>
      <c r="C174" s="21"/>
      <c r="D174" s="21"/>
      <c r="E174" s="21"/>
      <c r="F174" s="21"/>
      <c r="G174" s="21"/>
      <c r="H174" s="2"/>
      <c r="I174" s="21"/>
      <c r="J174" s="21"/>
      <c r="K174" s="21"/>
      <c r="L174" s="21"/>
      <c r="M174" s="21"/>
      <c r="N174" s="21"/>
      <c r="O174" s="21"/>
      <c r="P174" s="21"/>
      <c r="Q174" s="19"/>
      <c r="R174" s="19"/>
      <c r="S174" s="19"/>
      <c r="T174" s="19"/>
      <c r="U174" s="19"/>
      <c r="V174" s="19"/>
      <c r="W174" s="19"/>
      <c r="X174" s="19"/>
      <c r="Y174" s="19"/>
      <c r="Z174" s="19"/>
    </row>
    <row r="175">
      <c r="A175" s="21"/>
      <c r="B175" s="21"/>
      <c r="C175" s="21"/>
      <c r="D175" s="21"/>
      <c r="E175" s="21"/>
      <c r="F175" s="21"/>
      <c r="G175" s="21"/>
      <c r="H175" s="2"/>
      <c r="I175" s="21"/>
      <c r="J175" s="21"/>
      <c r="K175" s="21"/>
      <c r="L175" s="21"/>
      <c r="M175" s="21"/>
      <c r="N175" s="21"/>
      <c r="O175" s="21"/>
      <c r="P175" s="21"/>
      <c r="Q175" s="19"/>
      <c r="R175" s="19"/>
      <c r="S175" s="19"/>
      <c r="T175" s="19"/>
      <c r="U175" s="19"/>
      <c r="V175" s="19"/>
      <c r="W175" s="19"/>
      <c r="X175" s="19"/>
      <c r="Y175" s="19"/>
      <c r="Z175" s="19"/>
    </row>
    <row r="176">
      <c r="A176" s="21"/>
      <c r="B176" s="21"/>
      <c r="C176" s="21"/>
      <c r="D176" s="21"/>
      <c r="E176" s="21"/>
      <c r="F176" s="21"/>
      <c r="G176" s="21"/>
      <c r="H176" s="2"/>
      <c r="I176" s="21"/>
      <c r="J176" s="21"/>
      <c r="K176" s="21"/>
      <c r="L176" s="21"/>
      <c r="M176" s="21"/>
      <c r="N176" s="21"/>
      <c r="O176" s="21"/>
      <c r="P176" s="21"/>
      <c r="Q176" s="19"/>
      <c r="R176" s="19"/>
      <c r="S176" s="19"/>
      <c r="T176" s="19"/>
      <c r="U176" s="19"/>
      <c r="V176" s="19"/>
      <c r="W176" s="19"/>
      <c r="X176" s="19"/>
      <c r="Y176" s="19"/>
      <c r="Z176" s="19"/>
    </row>
    <row r="177">
      <c r="A177" s="21"/>
      <c r="B177" s="21"/>
      <c r="C177" s="21"/>
      <c r="D177" s="21"/>
      <c r="E177" s="21"/>
      <c r="F177" s="21"/>
      <c r="G177" s="21"/>
      <c r="H177" s="2"/>
      <c r="I177" s="21"/>
      <c r="J177" s="21"/>
      <c r="K177" s="21"/>
      <c r="L177" s="21"/>
      <c r="M177" s="21"/>
      <c r="N177" s="21"/>
      <c r="O177" s="21"/>
      <c r="P177" s="21"/>
      <c r="Q177" s="19"/>
      <c r="R177" s="19"/>
      <c r="S177" s="19"/>
      <c r="T177" s="19"/>
      <c r="U177" s="19"/>
      <c r="V177" s="19"/>
      <c r="W177" s="19"/>
      <c r="X177" s="19"/>
      <c r="Y177" s="19"/>
      <c r="Z177" s="19"/>
    </row>
    <row r="178">
      <c r="A178" s="21"/>
      <c r="B178" s="21"/>
      <c r="C178" s="21"/>
      <c r="D178" s="21"/>
      <c r="E178" s="21"/>
      <c r="F178" s="21"/>
      <c r="G178" s="21"/>
      <c r="H178" s="2"/>
      <c r="I178" s="21"/>
      <c r="J178" s="21"/>
      <c r="K178" s="21"/>
      <c r="L178" s="21"/>
      <c r="M178" s="21"/>
      <c r="N178" s="21"/>
      <c r="O178" s="21"/>
      <c r="P178" s="21"/>
      <c r="Q178" s="19"/>
      <c r="R178" s="19"/>
      <c r="S178" s="19"/>
      <c r="T178" s="19"/>
      <c r="U178" s="19"/>
      <c r="V178" s="19"/>
      <c r="W178" s="19"/>
      <c r="X178" s="19"/>
      <c r="Y178" s="19"/>
      <c r="Z178" s="19"/>
    </row>
    <row r="179">
      <c r="A179" s="21"/>
      <c r="B179" s="21"/>
      <c r="C179" s="21"/>
      <c r="D179" s="21"/>
      <c r="E179" s="21"/>
      <c r="F179" s="21"/>
      <c r="G179" s="21"/>
      <c r="H179" s="2"/>
      <c r="I179" s="21"/>
      <c r="J179" s="21"/>
      <c r="K179" s="21"/>
      <c r="L179" s="21"/>
      <c r="M179" s="21"/>
      <c r="N179" s="21"/>
      <c r="O179" s="21"/>
      <c r="P179" s="21"/>
      <c r="Q179" s="19"/>
      <c r="R179" s="19"/>
      <c r="S179" s="19"/>
      <c r="T179" s="19"/>
      <c r="U179" s="19"/>
      <c r="V179" s="19"/>
      <c r="W179" s="19"/>
      <c r="X179" s="19"/>
      <c r="Y179" s="19"/>
      <c r="Z179" s="19"/>
    </row>
    <row r="180">
      <c r="A180" s="21"/>
      <c r="B180" s="21"/>
      <c r="C180" s="21"/>
      <c r="D180" s="21"/>
      <c r="E180" s="21"/>
      <c r="F180" s="21"/>
      <c r="G180" s="21"/>
      <c r="H180" s="2"/>
      <c r="I180" s="21"/>
      <c r="J180" s="21"/>
      <c r="K180" s="21"/>
      <c r="L180" s="21"/>
      <c r="M180" s="21"/>
      <c r="N180" s="21"/>
      <c r="O180" s="21"/>
      <c r="P180" s="21"/>
      <c r="Q180" s="19"/>
      <c r="R180" s="19"/>
      <c r="S180" s="19"/>
      <c r="T180" s="19"/>
      <c r="U180" s="19"/>
      <c r="V180" s="19"/>
      <c r="W180" s="19"/>
      <c r="X180" s="19"/>
      <c r="Y180" s="19"/>
      <c r="Z180" s="19"/>
    </row>
    <row r="181">
      <c r="A181" s="21"/>
      <c r="B181" s="21"/>
      <c r="C181" s="21"/>
      <c r="D181" s="21"/>
      <c r="E181" s="21"/>
      <c r="F181" s="21"/>
      <c r="G181" s="21"/>
      <c r="H181" s="2"/>
      <c r="I181" s="21"/>
      <c r="J181" s="21"/>
      <c r="K181" s="21"/>
      <c r="L181" s="21"/>
      <c r="M181" s="21"/>
      <c r="N181" s="21"/>
      <c r="O181" s="21"/>
      <c r="P181" s="21"/>
      <c r="Q181" s="19"/>
      <c r="R181" s="19"/>
      <c r="S181" s="19"/>
      <c r="T181" s="19"/>
      <c r="U181" s="19"/>
      <c r="V181" s="19"/>
      <c r="W181" s="19"/>
      <c r="X181" s="19"/>
      <c r="Y181" s="19"/>
      <c r="Z181" s="19"/>
    </row>
    <row r="182">
      <c r="A182" s="21"/>
      <c r="B182" s="21"/>
      <c r="C182" s="21"/>
      <c r="D182" s="21"/>
      <c r="E182" s="21"/>
      <c r="F182" s="21"/>
      <c r="G182" s="21"/>
      <c r="H182" s="2"/>
      <c r="I182" s="21"/>
      <c r="J182" s="21"/>
      <c r="K182" s="21"/>
      <c r="L182" s="21"/>
      <c r="M182" s="21"/>
      <c r="N182" s="21"/>
      <c r="O182" s="21"/>
      <c r="P182" s="21"/>
      <c r="Q182" s="19"/>
      <c r="R182" s="19"/>
      <c r="S182" s="19"/>
      <c r="T182" s="19"/>
      <c r="U182" s="19"/>
      <c r="V182" s="19"/>
      <c r="W182" s="19"/>
      <c r="X182" s="19"/>
      <c r="Y182" s="19"/>
      <c r="Z182" s="19"/>
    </row>
    <row r="183">
      <c r="A183" s="21"/>
      <c r="B183" s="21"/>
      <c r="C183" s="21"/>
      <c r="D183" s="21"/>
      <c r="E183" s="21"/>
      <c r="F183" s="21"/>
      <c r="G183" s="21"/>
      <c r="H183" s="2"/>
      <c r="I183" s="21"/>
      <c r="J183" s="21"/>
      <c r="K183" s="21"/>
      <c r="L183" s="21"/>
      <c r="M183" s="21"/>
      <c r="N183" s="21"/>
      <c r="O183" s="21"/>
      <c r="P183" s="21"/>
      <c r="Q183" s="19"/>
      <c r="R183" s="19"/>
      <c r="S183" s="19"/>
      <c r="T183" s="19"/>
      <c r="U183" s="19"/>
      <c r="V183" s="19"/>
      <c r="W183" s="19"/>
      <c r="X183" s="19"/>
      <c r="Y183" s="19"/>
      <c r="Z183" s="19"/>
    </row>
    <row r="184">
      <c r="A184" s="21"/>
      <c r="B184" s="21"/>
      <c r="C184" s="21"/>
      <c r="D184" s="21"/>
      <c r="E184" s="21"/>
      <c r="F184" s="21"/>
      <c r="G184" s="21"/>
      <c r="H184" s="2"/>
      <c r="I184" s="21"/>
      <c r="J184" s="21"/>
      <c r="K184" s="21"/>
      <c r="L184" s="21"/>
      <c r="M184" s="21"/>
      <c r="N184" s="21"/>
      <c r="O184" s="21"/>
      <c r="P184" s="21"/>
      <c r="Q184" s="19"/>
      <c r="R184" s="19"/>
      <c r="S184" s="19"/>
      <c r="T184" s="19"/>
      <c r="U184" s="19"/>
      <c r="V184" s="19"/>
      <c r="W184" s="19"/>
      <c r="X184" s="19"/>
      <c r="Y184" s="19"/>
      <c r="Z184" s="19"/>
    </row>
    <row r="185">
      <c r="A185" s="21"/>
      <c r="B185" s="21"/>
      <c r="C185" s="21"/>
      <c r="D185" s="21"/>
      <c r="E185" s="21"/>
      <c r="F185" s="21"/>
      <c r="G185" s="21"/>
      <c r="H185" s="2"/>
      <c r="I185" s="21"/>
      <c r="J185" s="21"/>
      <c r="K185" s="21"/>
      <c r="L185" s="21"/>
      <c r="M185" s="21"/>
      <c r="N185" s="21"/>
      <c r="O185" s="21"/>
      <c r="P185" s="21"/>
      <c r="Q185" s="19"/>
      <c r="R185" s="19"/>
      <c r="S185" s="19"/>
      <c r="T185" s="19"/>
      <c r="U185" s="19"/>
      <c r="V185" s="19"/>
      <c r="W185" s="19"/>
      <c r="X185" s="19"/>
      <c r="Y185" s="19"/>
      <c r="Z185" s="19"/>
    </row>
    <row r="186">
      <c r="A186" s="21"/>
      <c r="B186" s="21"/>
      <c r="C186" s="21"/>
      <c r="D186" s="21"/>
      <c r="E186" s="21"/>
      <c r="F186" s="21"/>
      <c r="G186" s="21"/>
      <c r="H186" s="2"/>
      <c r="I186" s="21"/>
      <c r="J186" s="21"/>
      <c r="K186" s="21"/>
      <c r="L186" s="21"/>
      <c r="M186" s="21"/>
      <c r="N186" s="21"/>
      <c r="O186" s="21"/>
      <c r="P186" s="21"/>
      <c r="Q186" s="19"/>
      <c r="R186" s="19"/>
      <c r="S186" s="19"/>
      <c r="T186" s="19"/>
      <c r="U186" s="19"/>
      <c r="V186" s="19"/>
      <c r="W186" s="19"/>
      <c r="X186" s="19"/>
      <c r="Y186" s="19"/>
      <c r="Z186" s="19"/>
    </row>
    <row r="187">
      <c r="A187" s="21"/>
      <c r="B187" s="21"/>
      <c r="C187" s="21"/>
      <c r="D187" s="21"/>
      <c r="E187" s="21"/>
      <c r="F187" s="21"/>
      <c r="G187" s="21"/>
      <c r="H187" s="2"/>
      <c r="I187" s="21"/>
      <c r="J187" s="21"/>
      <c r="K187" s="21"/>
      <c r="L187" s="21"/>
      <c r="M187" s="21"/>
      <c r="N187" s="21"/>
      <c r="O187" s="21"/>
      <c r="P187" s="21"/>
      <c r="Q187" s="19"/>
      <c r="R187" s="19"/>
      <c r="S187" s="19"/>
      <c r="T187" s="19"/>
      <c r="U187" s="19"/>
      <c r="V187" s="19"/>
      <c r="W187" s="19"/>
      <c r="X187" s="19"/>
      <c r="Y187" s="19"/>
      <c r="Z187" s="19"/>
    </row>
    <row r="188">
      <c r="A188" s="21"/>
      <c r="B188" s="21"/>
      <c r="C188" s="21"/>
      <c r="D188" s="21"/>
      <c r="E188" s="21"/>
      <c r="F188" s="21"/>
      <c r="G188" s="21"/>
      <c r="H188" s="2"/>
      <c r="I188" s="21"/>
      <c r="J188" s="21"/>
      <c r="K188" s="21"/>
      <c r="L188" s="21"/>
      <c r="M188" s="21"/>
      <c r="N188" s="21"/>
      <c r="O188" s="21"/>
      <c r="P188" s="21"/>
      <c r="Q188" s="19"/>
      <c r="R188" s="19"/>
      <c r="S188" s="19"/>
      <c r="T188" s="19"/>
      <c r="U188" s="19"/>
      <c r="V188" s="19"/>
      <c r="W188" s="19"/>
      <c r="X188" s="19"/>
      <c r="Y188" s="19"/>
      <c r="Z188" s="19"/>
    </row>
    <row r="189">
      <c r="A189" s="21"/>
      <c r="B189" s="21"/>
      <c r="C189" s="21"/>
      <c r="D189" s="21"/>
      <c r="E189" s="21"/>
      <c r="F189" s="21"/>
      <c r="G189" s="21"/>
      <c r="H189" s="2"/>
      <c r="I189" s="21"/>
      <c r="J189" s="21"/>
      <c r="K189" s="21"/>
      <c r="L189" s="21"/>
      <c r="M189" s="21"/>
      <c r="N189" s="21"/>
      <c r="O189" s="21"/>
      <c r="P189" s="21"/>
      <c r="Q189" s="19"/>
      <c r="R189" s="19"/>
      <c r="S189" s="19"/>
      <c r="T189" s="19"/>
      <c r="U189" s="19"/>
      <c r="V189" s="19"/>
      <c r="W189" s="19"/>
      <c r="X189" s="19"/>
      <c r="Y189" s="19"/>
      <c r="Z189" s="19"/>
    </row>
    <row r="190">
      <c r="A190" s="21"/>
      <c r="B190" s="21"/>
      <c r="C190" s="21"/>
      <c r="D190" s="21"/>
      <c r="E190" s="21"/>
      <c r="F190" s="21"/>
      <c r="G190" s="21"/>
      <c r="H190" s="2"/>
      <c r="I190" s="21"/>
      <c r="J190" s="21"/>
      <c r="K190" s="21"/>
      <c r="L190" s="21"/>
      <c r="M190" s="21"/>
      <c r="N190" s="21"/>
      <c r="O190" s="21"/>
      <c r="P190" s="21"/>
      <c r="Q190" s="19"/>
      <c r="R190" s="19"/>
      <c r="S190" s="19"/>
      <c r="T190" s="19"/>
      <c r="U190" s="19"/>
      <c r="V190" s="19"/>
      <c r="W190" s="19"/>
      <c r="X190" s="19"/>
      <c r="Y190" s="19"/>
      <c r="Z190" s="19"/>
    </row>
    <row r="191">
      <c r="A191" s="21"/>
      <c r="B191" s="21"/>
      <c r="C191" s="21"/>
      <c r="D191" s="21"/>
      <c r="E191" s="21"/>
      <c r="F191" s="21"/>
      <c r="G191" s="21"/>
      <c r="H191" s="2"/>
      <c r="I191" s="21"/>
      <c r="J191" s="21"/>
      <c r="K191" s="21"/>
      <c r="L191" s="21"/>
      <c r="M191" s="21"/>
      <c r="N191" s="21"/>
      <c r="O191" s="21"/>
      <c r="P191" s="21"/>
      <c r="Q191" s="19"/>
      <c r="R191" s="19"/>
      <c r="S191" s="19"/>
      <c r="T191" s="19"/>
      <c r="U191" s="19"/>
      <c r="V191" s="19"/>
      <c r="W191" s="19"/>
      <c r="X191" s="19"/>
      <c r="Y191" s="19"/>
      <c r="Z191" s="19"/>
    </row>
    <row r="192">
      <c r="A192" s="21"/>
      <c r="B192" s="21"/>
      <c r="C192" s="21"/>
      <c r="D192" s="21"/>
      <c r="E192" s="21"/>
      <c r="F192" s="21"/>
      <c r="G192" s="21"/>
      <c r="H192" s="2"/>
      <c r="I192" s="21"/>
      <c r="J192" s="21"/>
      <c r="K192" s="21"/>
      <c r="L192" s="21"/>
      <c r="M192" s="21"/>
      <c r="N192" s="21"/>
      <c r="O192" s="21"/>
      <c r="P192" s="21"/>
      <c r="Q192" s="19"/>
      <c r="R192" s="19"/>
      <c r="S192" s="19"/>
      <c r="T192" s="19"/>
      <c r="U192" s="19"/>
      <c r="V192" s="19"/>
      <c r="W192" s="19"/>
      <c r="X192" s="19"/>
      <c r="Y192" s="19"/>
      <c r="Z192" s="19"/>
    </row>
    <row r="193">
      <c r="A193" s="21"/>
      <c r="B193" s="21"/>
      <c r="C193" s="21"/>
      <c r="D193" s="21"/>
      <c r="E193" s="21"/>
      <c r="F193" s="21"/>
      <c r="G193" s="21"/>
      <c r="H193" s="2"/>
      <c r="I193" s="21"/>
      <c r="J193" s="21"/>
      <c r="K193" s="21"/>
      <c r="L193" s="21"/>
      <c r="M193" s="21"/>
      <c r="N193" s="21"/>
      <c r="O193" s="21"/>
      <c r="P193" s="21"/>
      <c r="Q193" s="19"/>
      <c r="R193" s="19"/>
      <c r="S193" s="19"/>
      <c r="T193" s="19"/>
      <c r="U193" s="19"/>
      <c r="V193" s="19"/>
      <c r="W193" s="19"/>
      <c r="X193" s="19"/>
      <c r="Y193" s="19"/>
      <c r="Z193" s="19"/>
    </row>
    <row r="194">
      <c r="A194" s="21"/>
      <c r="B194" s="21"/>
      <c r="C194" s="21"/>
      <c r="D194" s="21"/>
      <c r="E194" s="21"/>
      <c r="F194" s="21"/>
      <c r="G194" s="21"/>
      <c r="H194" s="2"/>
      <c r="I194" s="21"/>
      <c r="J194" s="21"/>
      <c r="K194" s="21"/>
      <c r="L194" s="21"/>
      <c r="M194" s="21"/>
      <c r="N194" s="21"/>
      <c r="O194" s="21"/>
      <c r="P194" s="21"/>
      <c r="Q194" s="19"/>
      <c r="R194" s="19"/>
      <c r="S194" s="19"/>
      <c r="T194" s="19"/>
      <c r="U194" s="19"/>
      <c r="V194" s="19"/>
      <c r="W194" s="19"/>
      <c r="X194" s="19"/>
      <c r="Y194" s="19"/>
      <c r="Z194" s="19"/>
    </row>
    <row r="195">
      <c r="A195" s="21"/>
      <c r="B195" s="21"/>
      <c r="C195" s="21"/>
      <c r="D195" s="21"/>
      <c r="E195" s="21"/>
      <c r="F195" s="21"/>
      <c r="G195" s="21"/>
      <c r="H195" s="2"/>
      <c r="I195" s="21"/>
      <c r="J195" s="21"/>
      <c r="K195" s="21"/>
      <c r="L195" s="21"/>
      <c r="M195" s="21"/>
      <c r="N195" s="21"/>
      <c r="O195" s="21"/>
      <c r="P195" s="21"/>
      <c r="Q195" s="19"/>
      <c r="R195" s="19"/>
      <c r="S195" s="19"/>
      <c r="T195" s="19"/>
      <c r="U195" s="19"/>
      <c r="V195" s="19"/>
      <c r="W195" s="19"/>
      <c r="X195" s="19"/>
      <c r="Y195" s="19"/>
      <c r="Z195" s="19"/>
    </row>
    <row r="196">
      <c r="A196" s="21"/>
      <c r="B196" s="21"/>
      <c r="C196" s="21"/>
      <c r="D196" s="21"/>
      <c r="E196" s="21"/>
      <c r="F196" s="21"/>
      <c r="G196" s="21"/>
      <c r="H196" s="2"/>
      <c r="I196" s="21"/>
      <c r="J196" s="21"/>
      <c r="K196" s="21"/>
      <c r="L196" s="21"/>
      <c r="M196" s="21"/>
      <c r="N196" s="21"/>
      <c r="O196" s="21"/>
      <c r="P196" s="21"/>
      <c r="Q196" s="19"/>
      <c r="R196" s="19"/>
      <c r="S196" s="19"/>
      <c r="T196" s="19"/>
      <c r="U196" s="19"/>
      <c r="V196" s="19"/>
      <c r="W196" s="19"/>
      <c r="X196" s="19"/>
      <c r="Y196" s="19"/>
      <c r="Z196" s="19"/>
    </row>
    <row r="197">
      <c r="A197" s="21"/>
      <c r="B197" s="21"/>
      <c r="C197" s="21"/>
      <c r="D197" s="21"/>
      <c r="E197" s="21"/>
      <c r="F197" s="21"/>
      <c r="G197" s="21"/>
      <c r="H197" s="2"/>
      <c r="I197" s="21"/>
      <c r="J197" s="21"/>
      <c r="K197" s="21"/>
      <c r="L197" s="21"/>
      <c r="M197" s="21"/>
      <c r="N197" s="21"/>
      <c r="O197" s="21"/>
      <c r="P197" s="21"/>
      <c r="Q197" s="19"/>
      <c r="R197" s="19"/>
      <c r="S197" s="19"/>
      <c r="T197" s="19"/>
      <c r="U197" s="19"/>
      <c r="V197" s="19"/>
      <c r="W197" s="19"/>
      <c r="X197" s="19"/>
      <c r="Y197" s="19"/>
      <c r="Z197" s="19"/>
    </row>
    <row r="198">
      <c r="A198" s="21"/>
      <c r="B198" s="21"/>
      <c r="C198" s="21"/>
      <c r="D198" s="21"/>
      <c r="E198" s="21"/>
      <c r="F198" s="21"/>
      <c r="G198" s="21"/>
      <c r="H198" s="2"/>
      <c r="I198" s="21"/>
      <c r="J198" s="21"/>
      <c r="K198" s="21"/>
      <c r="L198" s="21"/>
      <c r="M198" s="21"/>
      <c r="N198" s="21"/>
      <c r="O198" s="21"/>
      <c r="P198" s="21"/>
      <c r="Q198" s="19"/>
      <c r="R198" s="19"/>
      <c r="S198" s="19"/>
      <c r="T198" s="19"/>
      <c r="U198" s="19"/>
      <c r="V198" s="19"/>
      <c r="W198" s="19"/>
      <c r="X198" s="19"/>
      <c r="Y198" s="19"/>
      <c r="Z198" s="19"/>
    </row>
    <row r="199">
      <c r="A199" s="21"/>
      <c r="B199" s="21"/>
      <c r="C199" s="21"/>
      <c r="D199" s="21"/>
      <c r="E199" s="21"/>
      <c r="F199" s="21"/>
      <c r="G199" s="21"/>
      <c r="H199" s="2"/>
      <c r="I199" s="21"/>
      <c r="J199" s="21"/>
      <c r="K199" s="21"/>
      <c r="L199" s="21"/>
      <c r="M199" s="21"/>
      <c r="N199" s="21"/>
      <c r="O199" s="21"/>
      <c r="P199" s="21"/>
      <c r="Q199" s="19"/>
      <c r="R199" s="19"/>
      <c r="S199" s="19"/>
      <c r="T199" s="19"/>
      <c r="U199" s="19"/>
      <c r="V199" s="19"/>
      <c r="W199" s="19"/>
      <c r="X199" s="19"/>
      <c r="Y199" s="19"/>
      <c r="Z199" s="19"/>
    </row>
    <row r="200">
      <c r="A200" s="21"/>
      <c r="B200" s="21"/>
      <c r="C200" s="21"/>
      <c r="D200" s="21"/>
      <c r="E200" s="21"/>
      <c r="F200" s="21"/>
      <c r="G200" s="21"/>
      <c r="H200" s="2"/>
      <c r="I200" s="21"/>
      <c r="J200" s="21"/>
      <c r="K200" s="21"/>
      <c r="L200" s="21"/>
      <c r="M200" s="21"/>
      <c r="N200" s="21"/>
      <c r="O200" s="21"/>
      <c r="P200" s="21"/>
      <c r="Q200" s="19"/>
      <c r="R200" s="19"/>
      <c r="S200" s="19"/>
      <c r="T200" s="19"/>
      <c r="U200" s="19"/>
      <c r="V200" s="19"/>
      <c r="W200" s="19"/>
      <c r="X200" s="19"/>
      <c r="Y200" s="19"/>
      <c r="Z200" s="19"/>
    </row>
    <row r="201">
      <c r="A201" s="21"/>
      <c r="B201" s="21"/>
      <c r="C201" s="21"/>
      <c r="D201" s="21"/>
      <c r="E201" s="21"/>
      <c r="F201" s="21"/>
      <c r="G201" s="21"/>
      <c r="H201" s="2"/>
      <c r="I201" s="21"/>
      <c r="J201" s="21"/>
      <c r="K201" s="21"/>
      <c r="L201" s="21"/>
      <c r="M201" s="21"/>
      <c r="N201" s="21"/>
      <c r="O201" s="21"/>
      <c r="P201" s="21"/>
      <c r="Q201" s="19"/>
      <c r="R201" s="19"/>
      <c r="S201" s="19"/>
      <c r="T201" s="19"/>
      <c r="U201" s="19"/>
      <c r="V201" s="19"/>
      <c r="W201" s="19"/>
      <c r="X201" s="19"/>
      <c r="Y201" s="19"/>
      <c r="Z201" s="19"/>
    </row>
    <row r="202">
      <c r="A202" s="21"/>
      <c r="B202" s="21"/>
      <c r="C202" s="21"/>
      <c r="D202" s="21"/>
      <c r="E202" s="21"/>
      <c r="F202" s="21"/>
      <c r="G202" s="21"/>
      <c r="H202" s="2"/>
      <c r="I202" s="21"/>
      <c r="J202" s="21"/>
      <c r="K202" s="21"/>
      <c r="L202" s="21"/>
      <c r="M202" s="21"/>
      <c r="N202" s="21"/>
      <c r="O202" s="21"/>
      <c r="P202" s="21"/>
      <c r="Q202" s="19"/>
      <c r="R202" s="19"/>
      <c r="S202" s="19"/>
      <c r="T202" s="19"/>
      <c r="U202" s="19"/>
      <c r="V202" s="19"/>
      <c r="W202" s="19"/>
      <c r="X202" s="19"/>
      <c r="Y202" s="19"/>
      <c r="Z202" s="19"/>
    </row>
    <row r="203">
      <c r="A203" s="21"/>
      <c r="B203" s="21"/>
      <c r="C203" s="21"/>
      <c r="D203" s="21"/>
      <c r="E203" s="21"/>
      <c r="F203" s="21"/>
      <c r="G203" s="21"/>
      <c r="H203" s="2"/>
      <c r="I203" s="21"/>
      <c r="J203" s="21"/>
      <c r="K203" s="21"/>
      <c r="L203" s="21"/>
      <c r="M203" s="21"/>
      <c r="N203" s="21"/>
      <c r="O203" s="21"/>
      <c r="P203" s="21"/>
      <c r="Q203" s="19"/>
      <c r="R203" s="19"/>
      <c r="S203" s="19"/>
      <c r="T203" s="19"/>
      <c r="U203" s="19"/>
      <c r="V203" s="19"/>
      <c r="W203" s="19"/>
      <c r="X203" s="19"/>
      <c r="Y203" s="19"/>
      <c r="Z203" s="19"/>
    </row>
    <row r="204">
      <c r="A204" s="21"/>
      <c r="B204" s="21"/>
      <c r="C204" s="21"/>
      <c r="D204" s="21"/>
      <c r="E204" s="21"/>
      <c r="F204" s="21"/>
      <c r="G204" s="21"/>
      <c r="H204" s="2"/>
      <c r="I204" s="21"/>
      <c r="J204" s="21"/>
      <c r="K204" s="21"/>
      <c r="L204" s="21"/>
      <c r="M204" s="21"/>
      <c r="N204" s="21"/>
      <c r="O204" s="21"/>
      <c r="P204" s="21"/>
      <c r="Q204" s="19"/>
      <c r="R204" s="19"/>
      <c r="S204" s="19"/>
      <c r="T204" s="19"/>
      <c r="U204" s="19"/>
      <c r="V204" s="19"/>
      <c r="W204" s="19"/>
      <c r="X204" s="19"/>
      <c r="Y204" s="19"/>
      <c r="Z204" s="19"/>
    </row>
    <row r="205">
      <c r="A205" s="21"/>
      <c r="B205" s="21"/>
      <c r="C205" s="21"/>
      <c r="D205" s="21"/>
      <c r="E205" s="21"/>
      <c r="F205" s="21"/>
      <c r="G205" s="21"/>
      <c r="H205" s="2"/>
      <c r="I205" s="21"/>
      <c r="J205" s="21"/>
      <c r="K205" s="21"/>
      <c r="L205" s="21"/>
      <c r="M205" s="21"/>
      <c r="N205" s="21"/>
      <c r="O205" s="21"/>
      <c r="P205" s="21"/>
      <c r="Q205" s="19"/>
      <c r="R205" s="19"/>
      <c r="S205" s="19"/>
      <c r="T205" s="19"/>
      <c r="U205" s="19"/>
      <c r="V205" s="19"/>
      <c r="W205" s="19"/>
      <c r="X205" s="19"/>
      <c r="Y205" s="19"/>
      <c r="Z205" s="19"/>
    </row>
    <row r="206">
      <c r="A206" s="21"/>
      <c r="B206" s="21"/>
      <c r="C206" s="21"/>
      <c r="D206" s="21"/>
      <c r="E206" s="21"/>
      <c r="F206" s="21"/>
      <c r="G206" s="21"/>
      <c r="H206" s="2"/>
      <c r="I206" s="21"/>
      <c r="J206" s="21"/>
      <c r="K206" s="21"/>
      <c r="L206" s="21"/>
      <c r="M206" s="21"/>
      <c r="N206" s="21"/>
      <c r="O206" s="21"/>
      <c r="P206" s="21"/>
      <c r="Q206" s="19"/>
      <c r="R206" s="19"/>
      <c r="S206" s="19"/>
      <c r="T206" s="19"/>
      <c r="U206" s="19"/>
      <c r="V206" s="19"/>
      <c r="W206" s="19"/>
      <c r="X206" s="19"/>
      <c r="Y206" s="19"/>
      <c r="Z206" s="19"/>
    </row>
    <row r="207">
      <c r="A207" s="21"/>
      <c r="B207" s="21"/>
      <c r="C207" s="21"/>
      <c r="D207" s="21"/>
      <c r="E207" s="21"/>
      <c r="F207" s="21"/>
      <c r="G207" s="21"/>
      <c r="H207" s="2"/>
      <c r="I207" s="21"/>
      <c r="J207" s="21"/>
      <c r="K207" s="21"/>
      <c r="L207" s="21"/>
      <c r="M207" s="21"/>
      <c r="N207" s="21"/>
      <c r="O207" s="21"/>
      <c r="P207" s="21"/>
      <c r="Q207" s="19"/>
      <c r="R207" s="19"/>
      <c r="S207" s="19"/>
      <c r="T207" s="19"/>
      <c r="U207" s="19"/>
      <c r="V207" s="19"/>
      <c r="W207" s="19"/>
      <c r="X207" s="19"/>
      <c r="Y207" s="19"/>
      <c r="Z207" s="19"/>
    </row>
    <row r="208">
      <c r="A208" s="21"/>
      <c r="B208" s="21"/>
      <c r="C208" s="21"/>
      <c r="D208" s="21"/>
      <c r="E208" s="21"/>
      <c r="F208" s="21"/>
      <c r="G208" s="21"/>
      <c r="H208" s="2"/>
      <c r="I208" s="21"/>
      <c r="J208" s="21"/>
      <c r="K208" s="21"/>
      <c r="L208" s="21"/>
      <c r="M208" s="21"/>
      <c r="N208" s="21"/>
      <c r="O208" s="21"/>
      <c r="P208" s="21"/>
      <c r="Q208" s="19"/>
      <c r="R208" s="19"/>
      <c r="S208" s="19"/>
      <c r="T208" s="19"/>
      <c r="U208" s="19"/>
      <c r="V208" s="19"/>
      <c r="W208" s="19"/>
      <c r="X208" s="19"/>
      <c r="Y208" s="19"/>
      <c r="Z208" s="19"/>
    </row>
    <row r="209">
      <c r="A209" s="21"/>
      <c r="B209" s="21"/>
      <c r="C209" s="21"/>
      <c r="D209" s="21"/>
      <c r="E209" s="21"/>
      <c r="F209" s="21"/>
      <c r="G209" s="21"/>
      <c r="H209" s="2"/>
      <c r="I209" s="21"/>
      <c r="J209" s="21"/>
      <c r="K209" s="21"/>
      <c r="L209" s="21"/>
      <c r="M209" s="21"/>
      <c r="N209" s="21"/>
      <c r="O209" s="21"/>
      <c r="P209" s="21"/>
      <c r="Q209" s="19"/>
      <c r="R209" s="19"/>
      <c r="S209" s="19"/>
      <c r="T209" s="19"/>
      <c r="U209" s="19"/>
      <c r="V209" s="19"/>
      <c r="W209" s="19"/>
      <c r="X209" s="19"/>
      <c r="Y209" s="19"/>
      <c r="Z209" s="19"/>
    </row>
    <row r="210">
      <c r="A210" s="21"/>
      <c r="B210" s="21"/>
      <c r="C210" s="21"/>
      <c r="D210" s="21"/>
      <c r="E210" s="21"/>
      <c r="F210" s="21"/>
      <c r="G210" s="21"/>
      <c r="H210" s="2"/>
      <c r="I210" s="21"/>
      <c r="J210" s="21"/>
      <c r="K210" s="21"/>
      <c r="L210" s="21"/>
      <c r="M210" s="21"/>
      <c r="N210" s="21"/>
      <c r="O210" s="21"/>
      <c r="P210" s="21"/>
      <c r="Q210" s="19"/>
      <c r="R210" s="19"/>
      <c r="S210" s="19"/>
      <c r="T210" s="19"/>
      <c r="U210" s="19"/>
      <c r="V210" s="19"/>
      <c r="W210" s="19"/>
      <c r="X210" s="19"/>
      <c r="Y210" s="19"/>
      <c r="Z210" s="19"/>
    </row>
    <row r="211">
      <c r="A211" s="21"/>
      <c r="B211" s="21"/>
      <c r="C211" s="21"/>
      <c r="D211" s="21"/>
      <c r="E211" s="21"/>
      <c r="F211" s="21"/>
      <c r="G211" s="21"/>
      <c r="H211" s="2"/>
      <c r="I211" s="21"/>
      <c r="J211" s="21"/>
      <c r="K211" s="21"/>
      <c r="L211" s="21"/>
      <c r="M211" s="21"/>
      <c r="N211" s="21"/>
      <c r="O211" s="21"/>
      <c r="P211" s="21"/>
      <c r="Q211" s="19"/>
      <c r="R211" s="19"/>
      <c r="S211" s="19"/>
      <c r="T211" s="19"/>
      <c r="U211" s="19"/>
      <c r="V211" s="19"/>
      <c r="W211" s="19"/>
      <c r="X211" s="19"/>
      <c r="Y211" s="19"/>
      <c r="Z211" s="19"/>
    </row>
    <row r="212">
      <c r="A212" s="21"/>
      <c r="B212" s="21"/>
      <c r="C212" s="21"/>
      <c r="D212" s="21"/>
      <c r="E212" s="21"/>
      <c r="F212" s="21"/>
      <c r="G212" s="21"/>
      <c r="H212" s="2"/>
      <c r="I212" s="21"/>
      <c r="J212" s="21"/>
      <c r="K212" s="21"/>
      <c r="L212" s="21"/>
      <c r="M212" s="21"/>
      <c r="N212" s="21"/>
      <c r="O212" s="21"/>
      <c r="P212" s="21"/>
      <c r="Q212" s="19"/>
      <c r="R212" s="19"/>
      <c r="S212" s="19"/>
      <c r="T212" s="19"/>
      <c r="U212" s="19"/>
      <c r="V212" s="19"/>
      <c r="W212" s="19"/>
      <c r="X212" s="19"/>
      <c r="Y212" s="19"/>
      <c r="Z212" s="19"/>
    </row>
    <row r="213">
      <c r="A213" s="21"/>
      <c r="B213" s="21"/>
      <c r="C213" s="21"/>
      <c r="D213" s="21"/>
      <c r="E213" s="21"/>
      <c r="F213" s="21"/>
      <c r="G213" s="21"/>
      <c r="H213" s="2"/>
      <c r="I213" s="21"/>
      <c r="J213" s="21"/>
      <c r="K213" s="21"/>
      <c r="L213" s="21"/>
      <c r="M213" s="21"/>
      <c r="N213" s="21"/>
      <c r="O213" s="21"/>
      <c r="P213" s="21"/>
      <c r="Q213" s="19"/>
      <c r="R213" s="19"/>
      <c r="S213" s="19"/>
      <c r="T213" s="19"/>
      <c r="U213" s="19"/>
      <c r="V213" s="19"/>
      <c r="W213" s="19"/>
      <c r="X213" s="19"/>
      <c r="Y213" s="19"/>
      <c r="Z213" s="19"/>
    </row>
    <row r="214">
      <c r="A214" s="21"/>
      <c r="B214" s="21"/>
      <c r="C214" s="21"/>
      <c r="D214" s="21"/>
      <c r="E214" s="21"/>
      <c r="F214" s="21"/>
      <c r="G214" s="21"/>
      <c r="H214" s="2"/>
      <c r="I214" s="21"/>
      <c r="J214" s="21"/>
      <c r="K214" s="21"/>
      <c r="L214" s="21"/>
      <c r="M214" s="21"/>
      <c r="N214" s="21"/>
      <c r="O214" s="21"/>
      <c r="P214" s="21"/>
      <c r="Q214" s="19"/>
      <c r="R214" s="19"/>
      <c r="S214" s="19"/>
      <c r="T214" s="19"/>
      <c r="U214" s="19"/>
      <c r="V214" s="19"/>
      <c r="W214" s="19"/>
      <c r="X214" s="19"/>
      <c r="Y214" s="19"/>
      <c r="Z214" s="19"/>
    </row>
    <row r="215">
      <c r="A215" s="21"/>
      <c r="B215" s="21"/>
      <c r="C215" s="21"/>
      <c r="D215" s="21"/>
      <c r="E215" s="21"/>
      <c r="F215" s="21"/>
      <c r="G215" s="21"/>
      <c r="H215" s="2"/>
      <c r="I215" s="21"/>
      <c r="J215" s="21"/>
      <c r="K215" s="21"/>
      <c r="L215" s="21"/>
      <c r="M215" s="21"/>
      <c r="N215" s="21"/>
      <c r="O215" s="21"/>
      <c r="P215" s="21"/>
      <c r="Q215" s="19"/>
      <c r="R215" s="19"/>
      <c r="S215" s="19"/>
      <c r="T215" s="19"/>
      <c r="U215" s="19"/>
      <c r="V215" s="19"/>
      <c r="W215" s="19"/>
      <c r="X215" s="19"/>
      <c r="Y215" s="19"/>
      <c r="Z215" s="19"/>
    </row>
    <row r="216">
      <c r="A216" s="21"/>
      <c r="B216" s="21"/>
      <c r="C216" s="21"/>
      <c r="D216" s="21"/>
      <c r="E216" s="21"/>
      <c r="F216" s="21"/>
      <c r="G216" s="21"/>
      <c r="H216" s="2"/>
      <c r="I216" s="21"/>
      <c r="J216" s="21"/>
      <c r="K216" s="21"/>
      <c r="L216" s="21"/>
      <c r="M216" s="21"/>
      <c r="N216" s="21"/>
      <c r="O216" s="21"/>
      <c r="P216" s="21"/>
      <c r="Q216" s="19"/>
      <c r="R216" s="19"/>
      <c r="S216" s="19"/>
      <c r="T216" s="19"/>
      <c r="U216" s="19"/>
      <c r="V216" s="19"/>
      <c r="W216" s="19"/>
      <c r="X216" s="19"/>
      <c r="Y216" s="19"/>
      <c r="Z216" s="19"/>
    </row>
    <row r="217">
      <c r="A217" s="21"/>
      <c r="B217" s="21"/>
      <c r="C217" s="21"/>
      <c r="D217" s="21"/>
      <c r="E217" s="21"/>
      <c r="F217" s="21"/>
      <c r="G217" s="21"/>
      <c r="H217" s="2"/>
      <c r="I217" s="21"/>
      <c r="J217" s="21"/>
      <c r="K217" s="21"/>
      <c r="L217" s="21"/>
      <c r="M217" s="21"/>
      <c r="N217" s="21"/>
      <c r="O217" s="21"/>
      <c r="P217" s="21"/>
      <c r="Q217" s="19"/>
      <c r="R217" s="19"/>
      <c r="S217" s="19"/>
      <c r="T217" s="19"/>
      <c r="U217" s="19"/>
      <c r="V217" s="19"/>
      <c r="W217" s="19"/>
      <c r="X217" s="19"/>
      <c r="Y217" s="19"/>
      <c r="Z217" s="19"/>
    </row>
    <row r="218">
      <c r="A218" s="21"/>
      <c r="B218" s="21"/>
      <c r="C218" s="21"/>
      <c r="D218" s="21"/>
      <c r="E218" s="21"/>
      <c r="F218" s="21"/>
      <c r="G218" s="21"/>
      <c r="H218" s="2"/>
      <c r="I218" s="21"/>
      <c r="J218" s="21"/>
      <c r="K218" s="21"/>
      <c r="L218" s="21"/>
      <c r="M218" s="21"/>
      <c r="N218" s="21"/>
      <c r="O218" s="21"/>
      <c r="P218" s="21"/>
      <c r="Q218" s="19"/>
      <c r="R218" s="19"/>
      <c r="S218" s="19"/>
      <c r="T218" s="19"/>
      <c r="U218" s="19"/>
      <c r="V218" s="19"/>
      <c r="W218" s="19"/>
      <c r="X218" s="19"/>
      <c r="Y218" s="19"/>
      <c r="Z218" s="19"/>
    </row>
    <row r="219">
      <c r="A219" s="21"/>
      <c r="B219" s="21"/>
      <c r="C219" s="21"/>
      <c r="D219" s="21"/>
      <c r="E219" s="21"/>
      <c r="F219" s="21"/>
      <c r="G219" s="21"/>
      <c r="H219" s="2"/>
      <c r="I219" s="21"/>
      <c r="J219" s="21"/>
      <c r="K219" s="21"/>
      <c r="L219" s="21"/>
      <c r="M219" s="21"/>
      <c r="N219" s="21"/>
      <c r="O219" s="21"/>
      <c r="P219" s="21"/>
      <c r="Q219" s="19"/>
      <c r="R219" s="19"/>
      <c r="S219" s="19"/>
      <c r="T219" s="19"/>
      <c r="U219" s="19"/>
      <c r="V219" s="19"/>
      <c r="W219" s="19"/>
      <c r="X219" s="19"/>
      <c r="Y219" s="19"/>
      <c r="Z219" s="19"/>
    </row>
    <row r="220">
      <c r="A220" s="21"/>
      <c r="B220" s="21"/>
      <c r="C220" s="21"/>
      <c r="D220" s="21"/>
      <c r="E220" s="21"/>
      <c r="F220" s="21"/>
      <c r="G220" s="21"/>
      <c r="H220" s="2"/>
      <c r="I220" s="21"/>
      <c r="J220" s="21"/>
      <c r="K220" s="21"/>
      <c r="L220" s="21"/>
      <c r="M220" s="21"/>
      <c r="N220" s="21"/>
      <c r="O220" s="21"/>
      <c r="P220" s="21"/>
      <c r="Q220" s="19"/>
      <c r="R220" s="19"/>
      <c r="S220" s="19"/>
      <c r="T220" s="19"/>
      <c r="U220" s="19"/>
      <c r="V220" s="19"/>
      <c r="W220" s="19"/>
      <c r="X220" s="19"/>
      <c r="Y220" s="19"/>
      <c r="Z220" s="19"/>
    </row>
    <row r="221">
      <c r="A221" s="21"/>
      <c r="B221" s="21"/>
      <c r="C221" s="21"/>
      <c r="D221" s="21"/>
      <c r="E221" s="21"/>
      <c r="F221" s="21"/>
      <c r="G221" s="21"/>
      <c r="H221" s="2"/>
      <c r="I221" s="21"/>
      <c r="J221" s="21"/>
      <c r="K221" s="21"/>
      <c r="L221" s="21"/>
      <c r="M221" s="21"/>
      <c r="N221" s="21"/>
      <c r="O221" s="21"/>
      <c r="P221" s="21"/>
      <c r="Q221" s="19"/>
      <c r="R221" s="19"/>
      <c r="S221" s="19"/>
      <c r="T221" s="19"/>
      <c r="U221" s="19"/>
      <c r="V221" s="19"/>
      <c r="W221" s="19"/>
      <c r="X221" s="19"/>
      <c r="Y221" s="19"/>
      <c r="Z221" s="19"/>
    </row>
    <row r="222">
      <c r="A222" s="21"/>
      <c r="B222" s="21"/>
      <c r="C222" s="21"/>
      <c r="D222" s="21"/>
      <c r="E222" s="21"/>
      <c r="F222" s="21"/>
      <c r="G222" s="21"/>
      <c r="H222" s="2"/>
      <c r="I222" s="21"/>
      <c r="J222" s="21"/>
      <c r="K222" s="21"/>
      <c r="L222" s="21"/>
      <c r="M222" s="21"/>
      <c r="N222" s="21"/>
      <c r="O222" s="21"/>
      <c r="P222" s="21"/>
      <c r="Q222" s="19"/>
      <c r="R222" s="19"/>
      <c r="S222" s="19"/>
      <c r="T222" s="19"/>
      <c r="U222" s="19"/>
      <c r="V222" s="19"/>
      <c r="W222" s="19"/>
      <c r="X222" s="19"/>
      <c r="Y222" s="19"/>
      <c r="Z222" s="19"/>
    </row>
    <row r="223">
      <c r="A223" s="21"/>
      <c r="B223" s="21"/>
      <c r="C223" s="21"/>
      <c r="D223" s="21"/>
      <c r="E223" s="21"/>
      <c r="F223" s="21"/>
      <c r="G223" s="21"/>
      <c r="H223" s="2"/>
      <c r="I223" s="21"/>
      <c r="J223" s="21"/>
      <c r="K223" s="21"/>
      <c r="L223" s="21"/>
      <c r="M223" s="21"/>
      <c r="N223" s="21"/>
      <c r="O223" s="21"/>
      <c r="P223" s="21"/>
      <c r="Q223" s="19"/>
      <c r="R223" s="19"/>
      <c r="S223" s="19"/>
      <c r="T223" s="19"/>
      <c r="U223" s="19"/>
      <c r="V223" s="19"/>
      <c r="W223" s="19"/>
      <c r="X223" s="19"/>
      <c r="Y223" s="19"/>
      <c r="Z223" s="19"/>
    </row>
    <row r="224">
      <c r="A224" s="21"/>
      <c r="B224" s="21"/>
      <c r="C224" s="21"/>
      <c r="D224" s="21"/>
      <c r="E224" s="21"/>
      <c r="F224" s="21"/>
      <c r="G224" s="21"/>
      <c r="H224" s="2"/>
      <c r="I224" s="21"/>
      <c r="J224" s="21"/>
      <c r="K224" s="21"/>
      <c r="L224" s="21"/>
      <c r="M224" s="21"/>
      <c r="N224" s="21"/>
      <c r="O224" s="21"/>
      <c r="P224" s="21"/>
      <c r="Q224" s="19"/>
      <c r="R224" s="19"/>
      <c r="S224" s="19"/>
      <c r="T224" s="19"/>
      <c r="U224" s="19"/>
      <c r="V224" s="19"/>
      <c r="W224" s="19"/>
      <c r="X224" s="19"/>
      <c r="Y224" s="19"/>
      <c r="Z224" s="19"/>
    </row>
    <row r="225">
      <c r="A225" s="21"/>
      <c r="B225" s="21"/>
      <c r="C225" s="21"/>
      <c r="D225" s="21"/>
      <c r="E225" s="21"/>
      <c r="F225" s="21"/>
      <c r="G225" s="21"/>
      <c r="H225" s="2"/>
      <c r="I225" s="21"/>
      <c r="J225" s="21"/>
      <c r="K225" s="21"/>
      <c r="L225" s="21"/>
      <c r="M225" s="21"/>
      <c r="N225" s="21"/>
      <c r="O225" s="21"/>
      <c r="P225" s="21"/>
      <c r="Q225" s="19"/>
      <c r="R225" s="19"/>
      <c r="S225" s="19"/>
      <c r="T225" s="19"/>
      <c r="U225" s="19"/>
      <c r="V225" s="19"/>
      <c r="W225" s="19"/>
      <c r="X225" s="19"/>
      <c r="Y225" s="19"/>
      <c r="Z225" s="19"/>
    </row>
    <row r="226">
      <c r="A226" s="21"/>
      <c r="B226" s="21"/>
      <c r="C226" s="21"/>
      <c r="D226" s="21"/>
      <c r="E226" s="21"/>
      <c r="F226" s="21"/>
      <c r="G226" s="21"/>
      <c r="H226" s="2"/>
      <c r="I226" s="21"/>
      <c r="J226" s="21"/>
      <c r="K226" s="21"/>
      <c r="L226" s="21"/>
      <c r="M226" s="21"/>
      <c r="N226" s="21"/>
      <c r="O226" s="21"/>
      <c r="P226" s="21"/>
      <c r="Q226" s="19"/>
      <c r="R226" s="19"/>
      <c r="S226" s="19"/>
      <c r="T226" s="19"/>
      <c r="U226" s="19"/>
      <c r="V226" s="19"/>
      <c r="W226" s="19"/>
      <c r="X226" s="19"/>
      <c r="Y226" s="19"/>
      <c r="Z226" s="19"/>
    </row>
    <row r="227">
      <c r="A227" s="21"/>
      <c r="B227" s="21"/>
      <c r="C227" s="21"/>
      <c r="D227" s="21"/>
      <c r="E227" s="21"/>
      <c r="F227" s="21"/>
      <c r="G227" s="21"/>
      <c r="H227" s="2"/>
      <c r="I227" s="21"/>
      <c r="J227" s="21"/>
      <c r="K227" s="21"/>
      <c r="L227" s="21"/>
      <c r="M227" s="21"/>
      <c r="N227" s="21"/>
      <c r="O227" s="21"/>
      <c r="P227" s="21"/>
      <c r="Q227" s="19"/>
      <c r="R227" s="19"/>
      <c r="S227" s="19"/>
      <c r="T227" s="19"/>
      <c r="U227" s="19"/>
      <c r="V227" s="19"/>
      <c r="W227" s="19"/>
      <c r="X227" s="19"/>
      <c r="Y227" s="19"/>
      <c r="Z227" s="19"/>
    </row>
    <row r="228">
      <c r="A228" s="21"/>
      <c r="B228" s="21"/>
      <c r="C228" s="21"/>
      <c r="D228" s="21"/>
      <c r="E228" s="21"/>
      <c r="F228" s="21"/>
      <c r="G228" s="21"/>
      <c r="H228" s="2"/>
      <c r="I228" s="21"/>
      <c r="J228" s="21"/>
      <c r="K228" s="21"/>
      <c r="L228" s="21"/>
      <c r="M228" s="21"/>
      <c r="N228" s="21"/>
      <c r="O228" s="21"/>
      <c r="P228" s="21"/>
      <c r="Q228" s="19"/>
      <c r="R228" s="19"/>
      <c r="S228" s="19"/>
      <c r="T228" s="19"/>
      <c r="U228" s="19"/>
      <c r="V228" s="19"/>
      <c r="W228" s="19"/>
      <c r="X228" s="19"/>
      <c r="Y228" s="19"/>
      <c r="Z228" s="19"/>
    </row>
    <row r="229">
      <c r="A229" s="21"/>
      <c r="B229" s="21"/>
      <c r="C229" s="21"/>
      <c r="D229" s="21"/>
      <c r="E229" s="21"/>
      <c r="F229" s="21"/>
      <c r="G229" s="21"/>
      <c r="H229" s="2"/>
      <c r="I229" s="21"/>
      <c r="J229" s="21"/>
      <c r="K229" s="21"/>
      <c r="L229" s="21"/>
      <c r="M229" s="21"/>
      <c r="N229" s="21"/>
      <c r="O229" s="21"/>
      <c r="P229" s="21"/>
      <c r="Q229" s="19"/>
      <c r="R229" s="19"/>
      <c r="S229" s="19"/>
      <c r="T229" s="19"/>
      <c r="U229" s="19"/>
      <c r="V229" s="19"/>
      <c r="W229" s="19"/>
      <c r="X229" s="19"/>
      <c r="Y229" s="19"/>
      <c r="Z229" s="19"/>
    </row>
    <row r="230">
      <c r="A230" s="21"/>
      <c r="B230" s="21"/>
      <c r="C230" s="21"/>
      <c r="D230" s="21"/>
      <c r="E230" s="21"/>
      <c r="F230" s="21"/>
      <c r="G230" s="21"/>
      <c r="H230" s="2"/>
      <c r="I230" s="21"/>
      <c r="J230" s="21"/>
      <c r="K230" s="21"/>
      <c r="L230" s="21"/>
      <c r="M230" s="21"/>
      <c r="N230" s="21"/>
      <c r="O230" s="21"/>
      <c r="P230" s="21"/>
      <c r="Q230" s="19"/>
      <c r="R230" s="19"/>
      <c r="S230" s="19"/>
      <c r="T230" s="19"/>
      <c r="U230" s="19"/>
      <c r="V230" s="19"/>
      <c r="W230" s="19"/>
      <c r="X230" s="19"/>
      <c r="Y230" s="19"/>
      <c r="Z230" s="19"/>
    </row>
    <row r="231">
      <c r="A231" s="21"/>
      <c r="B231" s="21"/>
      <c r="C231" s="21"/>
      <c r="D231" s="21"/>
      <c r="E231" s="21"/>
      <c r="F231" s="21"/>
      <c r="G231" s="21"/>
      <c r="H231" s="2"/>
      <c r="I231" s="21"/>
      <c r="J231" s="21"/>
      <c r="K231" s="21"/>
      <c r="L231" s="21"/>
      <c r="M231" s="21"/>
      <c r="N231" s="21"/>
      <c r="O231" s="21"/>
      <c r="P231" s="21"/>
      <c r="Q231" s="19"/>
      <c r="R231" s="19"/>
      <c r="S231" s="19"/>
      <c r="T231" s="19"/>
      <c r="U231" s="19"/>
      <c r="V231" s="19"/>
      <c r="W231" s="19"/>
      <c r="X231" s="19"/>
      <c r="Y231" s="19"/>
      <c r="Z231" s="19"/>
    </row>
    <row r="232">
      <c r="A232" s="21"/>
      <c r="B232" s="21"/>
      <c r="C232" s="21"/>
      <c r="D232" s="21"/>
      <c r="E232" s="21"/>
      <c r="F232" s="21"/>
      <c r="G232" s="21"/>
      <c r="H232" s="2"/>
      <c r="I232" s="21"/>
      <c r="J232" s="21"/>
      <c r="K232" s="21"/>
      <c r="L232" s="21"/>
      <c r="M232" s="21"/>
      <c r="N232" s="21"/>
      <c r="O232" s="21"/>
      <c r="P232" s="21"/>
      <c r="Q232" s="19"/>
      <c r="R232" s="19"/>
      <c r="S232" s="19"/>
      <c r="T232" s="19"/>
      <c r="U232" s="19"/>
      <c r="V232" s="19"/>
      <c r="W232" s="19"/>
      <c r="X232" s="19"/>
      <c r="Y232" s="19"/>
      <c r="Z232" s="19"/>
    </row>
    <row r="233">
      <c r="A233" s="21"/>
      <c r="B233" s="21"/>
      <c r="C233" s="21"/>
      <c r="D233" s="21"/>
      <c r="E233" s="21"/>
      <c r="F233" s="21"/>
      <c r="G233" s="21"/>
      <c r="H233" s="2"/>
      <c r="I233" s="21"/>
      <c r="J233" s="21"/>
      <c r="K233" s="21"/>
      <c r="L233" s="21"/>
      <c r="M233" s="21"/>
      <c r="N233" s="21"/>
      <c r="O233" s="21"/>
      <c r="P233" s="21"/>
      <c r="Q233" s="19"/>
      <c r="R233" s="19"/>
      <c r="S233" s="19"/>
      <c r="T233" s="19"/>
      <c r="U233" s="19"/>
      <c r="V233" s="19"/>
      <c r="W233" s="19"/>
      <c r="X233" s="19"/>
      <c r="Y233" s="19"/>
      <c r="Z233" s="19"/>
    </row>
    <row r="234">
      <c r="A234" s="21"/>
      <c r="B234" s="21"/>
      <c r="C234" s="21"/>
      <c r="D234" s="21"/>
      <c r="E234" s="21"/>
      <c r="F234" s="21"/>
      <c r="G234" s="21"/>
      <c r="H234" s="2"/>
      <c r="I234" s="21"/>
      <c r="J234" s="21"/>
      <c r="K234" s="21"/>
      <c r="L234" s="21"/>
      <c r="M234" s="21"/>
      <c r="N234" s="21"/>
      <c r="O234" s="21"/>
      <c r="P234" s="21"/>
      <c r="Q234" s="19"/>
      <c r="R234" s="19"/>
      <c r="S234" s="19"/>
      <c r="T234" s="19"/>
      <c r="U234" s="19"/>
      <c r="V234" s="19"/>
      <c r="W234" s="19"/>
      <c r="X234" s="19"/>
      <c r="Y234" s="19"/>
      <c r="Z234" s="19"/>
    </row>
    <row r="235">
      <c r="A235" s="21"/>
      <c r="B235" s="21"/>
      <c r="C235" s="21"/>
      <c r="D235" s="21"/>
      <c r="E235" s="21"/>
      <c r="F235" s="21"/>
      <c r="G235" s="21"/>
      <c r="H235" s="2"/>
      <c r="I235" s="21"/>
      <c r="J235" s="21"/>
      <c r="K235" s="21"/>
      <c r="L235" s="21"/>
      <c r="M235" s="21"/>
      <c r="N235" s="21"/>
      <c r="O235" s="21"/>
      <c r="P235" s="21"/>
      <c r="Q235" s="19"/>
      <c r="R235" s="19"/>
      <c r="S235" s="19"/>
      <c r="T235" s="19"/>
      <c r="U235" s="19"/>
      <c r="V235" s="19"/>
      <c r="W235" s="19"/>
      <c r="X235" s="19"/>
      <c r="Y235" s="19"/>
      <c r="Z235" s="19"/>
    </row>
    <row r="236">
      <c r="A236" s="21"/>
      <c r="B236" s="21"/>
      <c r="C236" s="21"/>
      <c r="D236" s="21"/>
      <c r="E236" s="21"/>
      <c r="F236" s="21"/>
      <c r="G236" s="21"/>
      <c r="H236" s="2"/>
      <c r="I236" s="21"/>
      <c r="J236" s="21"/>
      <c r="K236" s="21"/>
      <c r="L236" s="21"/>
      <c r="M236" s="21"/>
      <c r="N236" s="21"/>
      <c r="O236" s="21"/>
      <c r="P236" s="21"/>
      <c r="Q236" s="19"/>
      <c r="R236" s="19"/>
      <c r="S236" s="19"/>
      <c r="T236" s="19"/>
      <c r="U236" s="19"/>
      <c r="V236" s="19"/>
      <c r="W236" s="19"/>
      <c r="X236" s="19"/>
      <c r="Y236" s="19"/>
      <c r="Z236" s="19"/>
    </row>
    <row r="237">
      <c r="A237" s="21"/>
      <c r="B237" s="21"/>
      <c r="C237" s="21"/>
      <c r="D237" s="21"/>
      <c r="E237" s="21"/>
      <c r="F237" s="21"/>
      <c r="G237" s="21"/>
      <c r="H237" s="2"/>
      <c r="I237" s="21"/>
      <c r="J237" s="21"/>
      <c r="K237" s="21"/>
      <c r="L237" s="21"/>
      <c r="M237" s="21"/>
      <c r="N237" s="21"/>
      <c r="O237" s="21"/>
      <c r="P237" s="21"/>
      <c r="Q237" s="19"/>
      <c r="R237" s="19"/>
      <c r="S237" s="19"/>
      <c r="T237" s="19"/>
      <c r="U237" s="19"/>
      <c r="V237" s="19"/>
      <c r="W237" s="19"/>
      <c r="X237" s="19"/>
      <c r="Y237" s="19"/>
      <c r="Z237" s="19"/>
    </row>
    <row r="238">
      <c r="A238" s="21"/>
      <c r="B238" s="21"/>
      <c r="C238" s="21"/>
      <c r="D238" s="21"/>
      <c r="E238" s="21"/>
      <c r="F238" s="21"/>
      <c r="G238" s="21"/>
      <c r="H238" s="2"/>
      <c r="I238" s="21"/>
      <c r="J238" s="21"/>
      <c r="K238" s="21"/>
      <c r="L238" s="21"/>
      <c r="M238" s="21"/>
      <c r="N238" s="21"/>
      <c r="O238" s="21"/>
      <c r="P238" s="21"/>
      <c r="Q238" s="19"/>
      <c r="R238" s="19"/>
      <c r="S238" s="19"/>
      <c r="T238" s="19"/>
      <c r="U238" s="19"/>
      <c r="V238" s="19"/>
      <c r="W238" s="19"/>
      <c r="X238" s="19"/>
      <c r="Y238" s="19"/>
      <c r="Z238" s="19"/>
    </row>
    <row r="239">
      <c r="A239" s="21"/>
      <c r="B239" s="21"/>
      <c r="C239" s="21"/>
      <c r="D239" s="21"/>
      <c r="E239" s="21"/>
      <c r="F239" s="21"/>
      <c r="G239" s="21"/>
      <c r="H239" s="2"/>
      <c r="I239" s="21"/>
      <c r="J239" s="21"/>
      <c r="K239" s="21"/>
      <c r="L239" s="21"/>
      <c r="M239" s="21"/>
      <c r="N239" s="21"/>
      <c r="O239" s="21"/>
      <c r="P239" s="21"/>
      <c r="Q239" s="19"/>
      <c r="R239" s="19"/>
      <c r="S239" s="19"/>
      <c r="T239" s="19"/>
      <c r="U239" s="19"/>
      <c r="V239" s="19"/>
      <c r="W239" s="19"/>
      <c r="X239" s="19"/>
      <c r="Y239" s="19"/>
      <c r="Z239" s="19"/>
    </row>
    <row r="240">
      <c r="A240" s="21"/>
      <c r="B240" s="21"/>
      <c r="C240" s="21"/>
      <c r="D240" s="21"/>
      <c r="E240" s="21"/>
      <c r="F240" s="21"/>
      <c r="G240" s="21"/>
      <c r="H240" s="2"/>
      <c r="I240" s="21"/>
      <c r="J240" s="21"/>
      <c r="K240" s="21"/>
      <c r="L240" s="21"/>
      <c r="M240" s="21"/>
      <c r="N240" s="21"/>
      <c r="O240" s="21"/>
      <c r="P240" s="21"/>
      <c r="Q240" s="19"/>
      <c r="R240" s="19"/>
      <c r="S240" s="19"/>
      <c r="T240" s="19"/>
      <c r="U240" s="19"/>
      <c r="V240" s="19"/>
      <c r="W240" s="19"/>
      <c r="X240" s="19"/>
      <c r="Y240" s="19"/>
      <c r="Z240" s="19"/>
    </row>
    <row r="241">
      <c r="A241" s="21"/>
      <c r="B241" s="21"/>
      <c r="C241" s="21"/>
      <c r="D241" s="21"/>
      <c r="E241" s="21"/>
      <c r="F241" s="21"/>
      <c r="G241" s="21"/>
      <c r="H241" s="2"/>
      <c r="I241" s="21"/>
      <c r="J241" s="21"/>
      <c r="K241" s="21"/>
      <c r="L241" s="21"/>
      <c r="M241" s="21"/>
      <c r="N241" s="21"/>
      <c r="O241" s="21"/>
      <c r="P241" s="21"/>
      <c r="Q241" s="19"/>
      <c r="R241" s="19"/>
      <c r="S241" s="19"/>
      <c r="T241" s="19"/>
      <c r="U241" s="19"/>
      <c r="V241" s="19"/>
      <c r="W241" s="19"/>
      <c r="X241" s="19"/>
      <c r="Y241" s="19"/>
      <c r="Z241" s="19"/>
    </row>
    <row r="242">
      <c r="A242" s="21"/>
      <c r="B242" s="21"/>
      <c r="C242" s="21"/>
      <c r="D242" s="21"/>
      <c r="E242" s="21"/>
      <c r="F242" s="21"/>
      <c r="G242" s="21"/>
      <c r="H242" s="2"/>
      <c r="I242" s="21"/>
      <c r="J242" s="21"/>
      <c r="K242" s="21"/>
      <c r="L242" s="21"/>
      <c r="M242" s="21"/>
      <c r="N242" s="21"/>
      <c r="O242" s="21"/>
      <c r="P242" s="21"/>
      <c r="Q242" s="19"/>
      <c r="R242" s="19"/>
      <c r="S242" s="19"/>
      <c r="T242" s="19"/>
      <c r="U242" s="19"/>
      <c r="V242" s="19"/>
      <c r="W242" s="19"/>
      <c r="X242" s="19"/>
      <c r="Y242" s="19"/>
      <c r="Z242" s="19"/>
    </row>
    <row r="243">
      <c r="A243" s="21"/>
      <c r="B243" s="21"/>
      <c r="C243" s="21"/>
      <c r="D243" s="21"/>
      <c r="E243" s="21"/>
      <c r="F243" s="21"/>
      <c r="G243" s="21"/>
      <c r="H243" s="2"/>
      <c r="I243" s="21"/>
      <c r="J243" s="21"/>
      <c r="K243" s="21"/>
      <c r="L243" s="21"/>
      <c r="M243" s="21"/>
      <c r="N243" s="21"/>
      <c r="O243" s="21"/>
      <c r="P243" s="21"/>
      <c r="Q243" s="19"/>
      <c r="R243" s="19"/>
      <c r="S243" s="19"/>
      <c r="T243" s="19"/>
      <c r="U243" s="19"/>
      <c r="V243" s="19"/>
      <c r="W243" s="19"/>
      <c r="X243" s="19"/>
      <c r="Y243" s="19"/>
      <c r="Z243" s="19"/>
    </row>
    <row r="244">
      <c r="A244" s="21"/>
      <c r="B244" s="21"/>
      <c r="C244" s="21"/>
      <c r="D244" s="21"/>
      <c r="E244" s="21"/>
      <c r="F244" s="21"/>
      <c r="G244" s="21"/>
      <c r="H244" s="2"/>
      <c r="I244" s="21"/>
      <c r="J244" s="21"/>
      <c r="K244" s="21"/>
      <c r="L244" s="21"/>
      <c r="M244" s="21"/>
      <c r="N244" s="21"/>
      <c r="O244" s="21"/>
      <c r="P244" s="21"/>
      <c r="Q244" s="19"/>
      <c r="R244" s="19"/>
      <c r="S244" s="19"/>
      <c r="T244" s="19"/>
      <c r="U244" s="19"/>
      <c r="V244" s="19"/>
      <c r="W244" s="19"/>
      <c r="X244" s="19"/>
      <c r="Y244" s="19"/>
      <c r="Z244" s="19"/>
    </row>
    <row r="245">
      <c r="A245" s="21"/>
      <c r="B245" s="21"/>
      <c r="C245" s="21"/>
      <c r="D245" s="21"/>
      <c r="E245" s="21"/>
      <c r="F245" s="21"/>
      <c r="G245" s="21"/>
      <c r="H245" s="2"/>
      <c r="I245" s="21"/>
      <c r="J245" s="21"/>
      <c r="K245" s="21"/>
      <c r="L245" s="21"/>
      <c r="M245" s="21"/>
      <c r="N245" s="21"/>
      <c r="O245" s="21"/>
      <c r="P245" s="21"/>
      <c r="Q245" s="19"/>
      <c r="R245" s="19"/>
      <c r="S245" s="19"/>
      <c r="T245" s="19"/>
      <c r="U245" s="19"/>
      <c r="V245" s="19"/>
      <c r="W245" s="19"/>
      <c r="X245" s="19"/>
      <c r="Y245" s="19"/>
      <c r="Z245" s="19"/>
    </row>
    <row r="246">
      <c r="A246" s="21"/>
      <c r="B246" s="21"/>
      <c r="C246" s="21"/>
      <c r="D246" s="21"/>
      <c r="E246" s="21"/>
      <c r="F246" s="21"/>
      <c r="G246" s="21"/>
      <c r="H246" s="2"/>
      <c r="I246" s="21"/>
      <c r="J246" s="21"/>
      <c r="K246" s="21"/>
      <c r="L246" s="21"/>
      <c r="M246" s="21"/>
      <c r="N246" s="21"/>
      <c r="O246" s="21"/>
      <c r="P246" s="21"/>
      <c r="Q246" s="19"/>
      <c r="R246" s="19"/>
      <c r="S246" s="19"/>
      <c r="T246" s="19"/>
      <c r="U246" s="19"/>
      <c r="V246" s="19"/>
      <c r="W246" s="19"/>
      <c r="X246" s="19"/>
      <c r="Y246" s="19"/>
      <c r="Z246" s="19"/>
    </row>
    <row r="247">
      <c r="A247" s="21"/>
      <c r="B247" s="21"/>
      <c r="C247" s="21"/>
      <c r="D247" s="21"/>
      <c r="E247" s="21"/>
      <c r="F247" s="21"/>
      <c r="G247" s="21"/>
      <c r="H247" s="2"/>
      <c r="I247" s="21"/>
      <c r="J247" s="21"/>
      <c r="K247" s="21"/>
      <c r="L247" s="21"/>
      <c r="M247" s="21"/>
      <c r="N247" s="21"/>
      <c r="O247" s="21"/>
      <c r="P247" s="21"/>
      <c r="Q247" s="19"/>
      <c r="R247" s="19"/>
      <c r="S247" s="19"/>
      <c r="T247" s="19"/>
      <c r="U247" s="19"/>
      <c r="V247" s="19"/>
      <c r="W247" s="19"/>
      <c r="X247" s="19"/>
      <c r="Y247" s="19"/>
      <c r="Z247" s="19"/>
    </row>
    <row r="248">
      <c r="A248" s="21"/>
      <c r="B248" s="21"/>
      <c r="C248" s="21"/>
      <c r="D248" s="21"/>
      <c r="E248" s="21"/>
      <c r="F248" s="21"/>
      <c r="G248" s="21"/>
      <c r="H248" s="2"/>
      <c r="I248" s="21"/>
      <c r="J248" s="21"/>
      <c r="K248" s="21"/>
      <c r="L248" s="21"/>
      <c r="M248" s="21"/>
      <c r="N248" s="21"/>
      <c r="O248" s="21"/>
      <c r="P248" s="21"/>
      <c r="Q248" s="19"/>
      <c r="R248" s="19"/>
      <c r="S248" s="19"/>
      <c r="T248" s="19"/>
      <c r="U248" s="19"/>
      <c r="V248" s="19"/>
      <c r="W248" s="19"/>
      <c r="X248" s="19"/>
      <c r="Y248" s="19"/>
      <c r="Z248" s="19"/>
    </row>
    <row r="249">
      <c r="A249" s="21"/>
      <c r="B249" s="21"/>
      <c r="C249" s="21"/>
      <c r="D249" s="21"/>
      <c r="E249" s="21"/>
      <c r="F249" s="21"/>
      <c r="G249" s="21"/>
      <c r="H249" s="2"/>
      <c r="I249" s="21"/>
      <c r="J249" s="21"/>
      <c r="K249" s="21"/>
      <c r="L249" s="21"/>
      <c r="M249" s="21"/>
      <c r="N249" s="21"/>
      <c r="O249" s="21"/>
      <c r="P249" s="21"/>
      <c r="Q249" s="19"/>
      <c r="R249" s="19"/>
      <c r="S249" s="19"/>
      <c r="T249" s="19"/>
      <c r="U249" s="19"/>
      <c r="V249" s="19"/>
      <c r="W249" s="19"/>
      <c r="X249" s="19"/>
      <c r="Y249" s="19"/>
      <c r="Z249" s="19"/>
    </row>
    <row r="250">
      <c r="A250" s="21"/>
      <c r="B250" s="21"/>
      <c r="C250" s="21"/>
      <c r="D250" s="21"/>
      <c r="E250" s="21"/>
      <c r="F250" s="21"/>
      <c r="G250" s="21"/>
      <c r="H250" s="2"/>
      <c r="I250" s="21"/>
      <c r="J250" s="21"/>
      <c r="K250" s="21"/>
      <c r="L250" s="21"/>
      <c r="M250" s="21"/>
      <c r="N250" s="21"/>
      <c r="O250" s="21"/>
      <c r="P250" s="21"/>
      <c r="Q250" s="19"/>
      <c r="R250" s="19"/>
      <c r="S250" s="19"/>
      <c r="T250" s="19"/>
      <c r="U250" s="19"/>
      <c r="V250" s="19"/>
      <c r="W250" s="19"/>
      <c r="X250" s="19"/>
      <c r="Y250" s="19"/>
      <c r="Z250" s="19"/>
    </row>
    <row r="251">
      <c r="A251" s="21"/>
      <c r="B251" s="21"/>
      <c r="C251" s="21"/>
      <c r="D251" s="21"/>
      <c r="E251" s="21"/>
      <c r="F251" s="21"/>
      <c r="G251" s="21"/>
      <c r="H251" s="2"/>
      <c r="I251" s="21"/>
      <c r="J251" s="21"/>
      <c r="K251" s="21"/>
      <c r="L251" s="21"/>
      <c r="M251" s="21"/>
      <c r="N251" s="21"/>
      <c r="O251" s="21"/>
      <c r="P251" s="21"/>
      <c r="Q251" s="19"/>
      <c r="R251" s="19"/>
      <c r="S251" s="19"/>
      <c r="T251" s="19"/>
      <c r="U251" s="19"/>
      <c r="V251" s="19"/>
      <c r="W251" s="19"/>
      <c r="X251" s="19"/>
      <c r="Y251" s="19"/>
      <c r="Z251" s="19"/>
    </row>
    <row r="252">
      <c r="A252" s="21"/>
      <c r="B252" s="21"/>
      <c r="C252" s="21"/>
      <c r="D252" s="21"/>
      <c r="E252" s="21"/>
      <c r="F252" s="21"/>
      <c r="G252" s="21"/>
      <c r="H252" s="2"/>
      <c r="I252" s="21"/>
      <c r="J252" s="21"/>
      <c r="K252" s="21"/>
      <c r="L252" s="21"/>
      <c r="M252" s="21"/>
      <c r="N252" s="21"/>
      <c r="O252" s="21"/>
      <c r="P252" s="21"/>
      <c r="Q252" s="19"/>
      <c r="R252" s="19"/>
      <c r="S252" s="19"/>
      <c r="T252" s="19"/>
      <c r="U252" s="19"/>
      <c r="V252" s="19"/>
      <c r="W252" s="19"/>
      <c r="X252" s="19"/>
      <c r="Y252" s="19"/>
      <c r="Z252" s="19"/>
    </row>
    <row r="253">
      <c r="A253" s="21"/>
      <c r="B253" s="21"/>
      <c r="C253" s="21"/>
      <c r="D253" s="21"/>
      <c r="E253" s="21"/>
      <c r="F253" s="21"/>
      <c r="G253" s="21"/>
      <c r="H253" s="2"/>
      <c r="I253" s="21"/>
      <c r="J253" s="21"/>
      <c r="K253" s="21"/>
      <c r="L253" s="21"/>
      <c r="M253" s="21"/>
      <c r="N253" s="21"/>
      <c r="O253" s="21"/>
      <c r="P253" s="21"/>
      <c r="Q253" s="19"/>
      <c r="R253" s="19"/>
      <c r="S253" s="19"/>
      <c r="T253" s="19"/>
      <c r="U253" s="19"/>
      <c r="V253" s="19"/>
      <c r="W253" s="19"/>
      <c r="X253" s="19"/>
      <c r="Y253" s="19"/>
      <c r="Z253" s="19"/>
    </row>
    <row r="254">
      <c r="A254" s="21"/>
      <c r="B254" s="21"/>
      <c r="C254" s="21"/>
      <c r="D254" s="21"/>
      <c r="E254" s="21"/>
      <c r="F254" s="21"/>
      <c r="G254" s="21"/>
      <c r="H254" s="2"/>
      <c r="I254" s="21"/>
      <c r="J254" s="21"/>
      <c r="K254" s="21"/>
      <c r="L254" s="21"/>
      <c r="M254" s="21"/>
      <c r="N254" s="21"/>
      <c r="O254" s="21"/>
      <c r="P254" s="21"/>
      <c r="Q254" s="19"/>
      <c r="R254" s="19"/>
      <c r="S254" s="19"/>
      <c r="T254" s="19"/>
      <c r="U254" s="19"/>
      <c r="V254" s="19"/>
      <c r="W254" s="19"/>
      <c r="X254" s="19"/>
      <c r="Y254" s="19"/>
      <c r="Z254" s="19"/>
    </row>
    <row r="255">
      <c r="A255" s="21"/>
      <c r="B255" s="21"/>
      <c r="C255" s="21"/>
      <c r="D255" s="21"/>
      <c r="E255" s="21"/>
      <c r="F255" s="21"/>
      <c r="G255" s="21"/>
      <c r="H255" s="2"/>
      <c r="I255" s="21"/>
      <c r="J255" s="21"/>
      <c r="K255" s="21"/>
      <c r="L255" s="21"/>
      <c r="M255" s="21"/>
      <c r="N255" s="21"/>
      <c r="O255" s="21"/>
      <c r="P255" s="21"/>
      <c r="Q255" s="19"/>
      <c r="R255" s="19"/>
      <c r="S255" s="19"/>
      <c r="T255" s="19"/>
      <c r="U255" s="19"/>
      <c r="V255" s="19"/>
      <c r="W255" s="19"/>
      <c r="X255" s="19"/>
      <c r="Y255" s="19"/>
      <c r="Z255" s="19"/>
    </row>
    <row r="256">
      <c r="A256" s="21"/>
      <c r="B256" s="21"/>
      <c r="C256" s="21"/>
      <c r="D256" s="21"/>
      <c r="E256" s="21"/>
      <c r="F256" s="21"/>
      <c r="G256" s="21"/>
      <c r="H256" s="2"/>
      <c r="I256" s="21"/>
      <c r="J256" s="21"/>
      <c r="K256" s="21"/>
      <c r="L256" s="21"/>
      <c r="M256" s="21"/>
      <c r="N256" s="21"/>
      <c r="O256" s="21"/>
      <c r="P256" s="21"/>
      <c r="Q256" s="19"/>
      <c r="R256" s="19"/>
      <c r="S256" s="19"/>
      <c r="T256" s="19"/>
      <c r="U256" s="19"/>
      <c r="V256" s="19"/>
      <c r="W256" s="19"/>
      <c r="X256" s="19"/>
      <c r="Y256" s="19"/>
      <c r="Z256" s="19"/>
    </row>
    <row r="257">
      <c r="A257" s="21"/>
      <c r="B257" s="21"/>
      <c r="C257" s="21"/>
      <c r="D257" s="21"/>
      <c r="E257" s="21"/>
      <c r="F257" s="21"/>
      <c r="G257" s="21"/>
      <c r="H257" s="2"/>
      <c r="I257" s="21"/>
      <c r="J257" s="21"/>
      <c r="K257" s="21"/>
      <c r="L257" s="21"/>
      <c r="M257" s="21"/>
      <c r="N257" s="21"/>
      <c r="O257" s="21"/>
      <c r="P257" s="21"/>
      <c r="Q257" s="19"/>
      <c r="R257" s="19"/>
      <c r="S257" s="19"/>
      <c r="T257" s="19"/>
      <c r="U257" s="19"/>
      <c r="V257" s="19"/>
      <c r="W257" s="19"/>
      <c r="X257" s="19"/>
      <c r="Y257" s="19"/>
      <c r="Z257" s="19"/>
    </row>
    <row r="258">
      <c r="A258" s="21"/>
      <c r="B258" s="21"/>
      <c r="C258" s="21"/>
      <c r="D258" s="21"/>
      <c r="E258" s="21"/>
      <c r="F258" s="21"/>
      <c r="G258" s="21"/>
      <c r="H258" s="2"/>
      <c r="I258" s="21"/>
      <c r="J258" s="21"/>
      <c r="K258" s="21"/>
      <c r="L258" s="21"/>
      <c r="M258" s="21"/>
      <c r="N258" s="21"/>
      <c r="O258" s="21"/>
      <c r="P258" s="21"/>
      <c r="Q258" s="19"/>
      <c r="R258" s="19"/>
      <c r="S258" s="19"/>
      <c r="T258" s="19"/>
      <c r="U258" s="19"/>
      <c r="V258" s="19"/>
      <c r="W258" s="19"/>
      <c r="X258" s="19"/>
      <c r="Y258" s="19"/>
      <c r="Z258" s="19"/>
    </row>
    <row r="259">
      <c r="A259" s="21"/>
      <c r="B259" s="21"/>
      <c r="C259" s="21"/>
      <c r="D259" s="21"/>
      <c r="E259" s="21"/>
      <c r="F259" s="21"/>
      <c r="G259" s="21"/>
      <c r="H259" s="2"/>
      <c r="I259" s="21"/>
      <c r="J259" s="21"/>
      <c r="K259" s="21"/>
      <c r="L259" s="21"/>
      <c r="M259" s="21"/>
      <c r="N259" s="21"/>
      <c r="O259" s="21"/>
      <c r="P259" s="21"/>
      <c r="Q259" s="19"/>
      <c r="R259" s="19"/>
      <c r="S259" s="19"/>
      <c r="T259" s="19"/>
      <c r="U259" s="19"/>
      <c r="V259" s="19"/>
      <c r="W259" s="19"/>
      <c r="X259" s="19"/>
      <c r="Y259" s="19"/>
      <c r="Z259" s="19"/>
    </row>
    <row r="260">
      <c r="A260" s="21"/>
      <c r="B260" s="21"/>
      <c r="C260" s="21"/>
      <c r="D260" s="21"/>
      <c r="E260" s="21"/>
      <c r="F260" s="21"/>
      <c r="G260" s="21"/>
      <c r="H260" s="2"/>
      <c r="I260" s="21"/>
      <c r="J260" s="21"/>
      <c r="K260" s="21"/>
      <c r="L260" s="21"/>
      <c r="M260" s="21"/>
      <c r="N260" s="21"/>
      <c r="O260" s="21"/>
      <c r="P260" s="21"/>
      <c r="Q260" s="19"/>
      <c r="R260" s="19"/>
      <c r="S260" s="19"/>
      <c r="T260" s="19"/>
      <c r="U260" s="19"/>
      <c r="V260" s="19"/>
      <c r="W260" s="19"/>
      <c r="X260" s="19"/>
      <c r="Y260" s="19"/>
      <c r="Z260" s="19"/>
    </row>
    <row r="261">
      <c r="A261" s="21"/>
      <c r="B261" s="21"/>
      <c r="C261" s="21"/>
      <c r="D261" s="21"/>
      <c r="E261" s="21"/>
      <c r="F261" s="21"/>
      <c r="G261" s="21"/>
      <c r="H261" s="2"/>
      <c r="I261" s="21"/>
      <c r="J261" s="21"/>
      <c r="K261" s="21"/>
      <c r="L261" s="21"/>
      <c r="M261" s="21"/>
      <c r="N261" s="21"/>
      <c r="O261" s="21"/>
      <c r="P261" s="21"/>
      <c r="Q261" s="19"/>
      <c r="R261" s="19"/>
      <c r="S261" s="19"/>
      <c r="T261" s="19"/>
      <c r="U261" s="19"/>
      <c r="V261" s="19"/>
      <c r="W261" s="19"/>
      <c r="X261" s="19"/>
      <c r="Y261" s="19"/>
      <c r="Z261" s="19"/>
    </row>
    <row r="262">
      <c r="A262" s="21"/>
      <c r="B262" s="21"/>
      <c r="C262" s="21"/>
      <c r="D262" s="21"/>
      <c r="E262" s="21"/>
      <c r="F262" s="21"/>
      <c r="G262" s="21"/>
      <c r="H262" s="2"/>
      <c r="I262" s="21"/>
      <c r="J262" s="21"/>
      <c r="K262" s="21"/>
      <c r="L262" s="21"/>
      <c r="M262" s="21"/>
      <c r="N262" s="21"/>
      <c r="O262" s="21"/>
      <c r="P262" s="21"/>
      <c r="Q262" s="19"/>
      <c r="R262" s="19"/>
      <c r="S262" s="19"/>
      <c r="T262" s="19"/>
      <c r="U262" s="19"/>
      <c r="V262" s="19"/>
      <c r="W262" s="19"/>
      <c r="X262" s="19"/>
      <c r="Y262" s="19"/>
      <c r="Z262" s="19"/>
    </row>
    <row r="263">
      <c r="A263" s="21"/>
      <c r="B263" s="21"/>
      <c r="C263" s="21"/>
      <c r="D263" s="21"/>
      <c r="E263" s="21"/>
      <c r="F263" s="21"/>
      <c r="G263" s="21"/>
      <c r="H263" s="2"/>
      <c r="I263" s="21"/>
      <c r="J263" s="21"/>
      <c r="K263" s="21"/>
      <c r="L263" s="21"/>
      <c r="M263" s="21"/>
      <c r="N263" s="21"/>
      <c r="O263" s="21"/>
      <c r="P263" s="21"/>
      <c r="Q263" s="19"/>
      <c r="R263" s="19"/>
      <c r="S263" s="19"/>
      <c r="T263" s="19"/>
      <c r="U263" s="19"/>
      <c r="V263" s="19"/>
      <c r="W263" s="19"/>
      <c r="X263" s="19"/>
      <c r="Y263" s="19"/>
      <c r="Z263" s="19"/>
    </row>
    <row r="264">
      <c r="A264" s="21"/>
      <c r="B264" s="21"/>
      <c r="C264" s="21"/>
      <c r="D264" s="21"/>
      <c r="E264" s="21"/>
      <c r="F264" s="21"/>
      <c r="G264" s="21"/>
      <c r="H264" s="2"/>
      <c r="I264" s="21"/>
      <c r="J264" s="21"/>
      <c r="K264" s="21"/>
      <c r="L264" s="21"/>
      <c r="M264" s="21"/>
      <c r="N264" s="21"/>
      <c r="O264" s="21"/>
      <c r="P264" s="21"/>
      <c r="Q264" s="19"/>
      <c r="R264" s="19"/>
      <c r="S264" s="19"/>
      <c r="T264" s="19"/>
      <c r="U264" s="19"/>
      <c r="V264" s="19"/>
      <c r="W264" s="19"/>
      <c r="X264" s="19"/>
      <c r="Y264" s="19"/>
      <c r="Z264" s="19"/>
    </row>
    <row r="265">
      <c r="A265" s="21"/>
      <c r="B265" s="21"/>
      <c r="C265" s="21"/>
      <c r="D265" s="21"/>
      <c r="E265" s="21"/>
      <c r="F265" s="21"/>
      <c r="G265" s="21"/>
      <c r="H265" s="2"/>
      <c r="I265" s="21"/>
      <c r="J265" s="21"/>
      <c r="K265" s="21"/>
      <c r="L265" s="21"/>
      <c r="M265" s="21"/>
      <c r="N265" s="21"/>
      <c r="O265" s="21"/>
      <c r="P265" s="21"/>
      <c r="Q265" s="19"/>
      <c r="R265" s="19"/>
      <c r="S265" s="19"/>
      <c r="T265" s="19"/>
      <c r="U265" s="19"/>
      <c r="V265" s="19"/>
      <c r="W265" s="19"/>
      <c r="X265" s="19"/>
      <c r="Y265" s="19"/>
      <c r="Z265" s="19"/>
    </row>
    <row r="266">
      <c r="A266" s="21"/>
      <c r="B266" s="21"/>
      <c r="C266" s="21"/>
      <c r="D266" s="21"/>
      <c r="E266" s="21"/>
      <c r="F266" s="21"/>
      <c r="G266" s="21"/>
      <c r="H266" s="2"/>
      <c r="I266" s="21"/>
      <c r="J266" s="21"/>
      <c r="K266" s="21"/>
      <c r="L266" s="21"/>
      <c r="M266" s="21"/>
      <c r="N266" s="21"/>
      <c r="O266" s="21"/>
      <c r="P266" s="21"/>
      <c r="Q266" s="19"/>
      <c r="R266" s="19"/>
      <c r="S266" s="19"/>
      <c r="T266" s="19"/>
      <c r="U266" s="19"/>
      <c r="V266" s="19"/>
      <c r="W266" s="19"/>
      <c r="X266" s="19"/>
      <c r="Y266" s="19"/>
      <c r="Z266" s="19"/>
    </row>
    <row r="267">
      <c r="A267" s="21"/>
      <c r="B267" s="21"/>
      <c r="C267" s="21"/>
      <c r="D267" s="21"/>
      <c r="E267" s="21"/>
      <c r="F267" s="21"/>
      <c r="G267" s="21"/>
      <c r="H267" s="2"/>
      <c r="I267" s="21"/>
      <c r="J267" s="21"/>
      <c r="K267" s="21"/>
      <c r="L267" s="21"/>
      <c r="M267" s="21"/>
      <c r="N267" s="21"/>
      <c r="O267" s="21"/>
      <c r="P267" s="21"/>
      <c r="Q267" s="19"/>
      <c r="R267" s="19"/>
      <c r="S267" s="19"/>
      <c r="T267" s="19"/>
      <c r="U267" s="19"/>
      <c r="V267" s="19"/>
      <c r="W267" s="19"/>
      <c r="X267" s="19"/>
      <c r="Y267" s="19"/>
      <c r="Z267" s="19"/>
    </row>
    <row r="268">
      <c r="A268" s="21"/>
      <c r="B268" s="21"/>
      <c r="C268" s="21"/>
      <c r="D268" s="21"/>
      <c r="E268" s="21"/>
      <c r="F268" s="21"/>
      <c r="G268" s="21"/>
      <c r="H268" s="2"/>
      <c r="I268" s="21"/>
      <c r="J268" s="21"/>
      <c r="K268" s="21"/>
      <c r="L268" s="21"/>
      <c r="M268" s="21"/>
      <c r="N268" s="21"/>
      <c r="O268" s="21"/>
      <c r="P268" s="21"/>
      <c r="Q268" s="19"/>
      <c r="R268" s="19"/>
      <c r="S268" s="19"/>
      <c r="T268" s="19"/>
      <c r="U268" s="19"/>
      <c r="V268" s="19"/>
      <c r="W268" s="19"/>
      <c r="X268" s="19"/>
      <c r="Y268" s="19"/>
      <c r="Z268" s="19"/>
    </row>
    <row r="269">
      <c r="A269" s="21"/>
      <c r="B269" s="21"/>
      <c r="C269" s="21"/>
      <c r="D269" s="21"/>
      <c r="E269" s="21"/>
      <c r="F269" s="21"/>
      <c r="G269" s="21"/>
      <c r="H269" s="2"/>
      <c r="I269" s="21"/>
      <c r="J269" s="21"/>
      <c r="K269" s="21"/>
      <c r="L269" s="21"/>
      <c r="M269" s="21"/>
      <c r="N269" s="21"/>
      <c r="O269" s="21"/>
      <c r="P269" s="21"/>
      <c r="Q269" s="19"/>
      <c r="R269" s="19"/>
      <c r="S269" s="19"/>
      <c r="T269" s="19"/>
      <c r="U269" s="19"/>
      <c r="V269" s="19"/>
      <c r="W269" s="19"/>
      <c r="X269" s="19"/>
      <c r="Y269" s="19"/>
      <c r="Z269" s="19"/>
    </row>
    <row r="270">
      <c r="A270" s="21"/>
      <c r="B270" s="21"/>
      <c r="C270" s="21"/>
      <c r="D270" s="21"/>
      <c r="E270" s="21"/>
      <c r="F270" s="21"/>
      <c r="G270" s="21"/>
      <c r="H270" s="2"/>
      <c r="I270" s="21"/>
      <c r="J270" s="21"/>
      <c r="K270" s="21"/>
      <c r="L270" s="21"/>
      <c r="M270" s="21"/>
      <c r="N270" s="21"/>
      <c r="O270" s="21"/>
      <c r="P270" s="21"/>
      <c r="Q270" s="19"/>
      <c r="R270" s="19"/>
      <c r="S270" s="19"/>
      <c r="T270" s="19"/>
      <c r="U270" s="19"/>
      <c r="V270" s="19"/>
      <c r="W270" s="19"/>
      <c r="X270" s="19"/>
      <c r="Y270" s="19"/>
      <c r="Z270" s="19"/>
    </row>
    <row r="271">
      <c r="A271" s="21"/>
      <c r="B271" s="21"/>
      <c r="C271" s="21"/>
      <c r="D271" s="21"/>
      <c r="E271" s="21"/>
      <c r="F271" s="21"/>
      <c r="G271" s="21"/>
      <c r="H271" s="2"/>
      <c r="I271" s="21"/>
      <c r="J271" s="21"/>
      <c r="K271" s="21"/>
      <c r="L271" s="21"/>
      <c r="M271" s="21"/>
      <c r="N271" s="21"/>
      <c r="O271" s="21"/>
      <c r="P271" s="21"/>
      <c r="Q271" s="19"/>
      <c r="R271" s="19"/>
      <c r="S271" s="19"/>
      <c r="T271" s="19"/>
      <c r="U271" s="19"/>
      <c r="V271" s="19"/>
      <c r="W271" s="19"/>
      <c r="X271" s="19"/>
      <c r="Y271" s="19"/>
      <c r="Z271" s="19"/>
    </row>
    <row r="272">
      <c r="A272" s="21"/>
      <c r="B272" s="21"/>
      <c r="C272" s="21"/>
      <c r="D272" s="21"/>
      <c r="E272" s="21"/>
      <c r="F272" s="21"/>
      <c r="G272" s="21"/>
      <c r="H272" s="2"/>
      <c r="I272" s="21"/>
      <c r="J272" s="21"/>
      <c r="K272" s="21"/>
      <c r="L272" s="21"/>
      <c r="M272" s="21"/>
      <c r="N272" s="21"/>
      <c r="O272" s="21"/>
      <c r="P272" s="21"/>
      <c r="Q272" s="19"/>
      <c r="R272" s="19"/>
      <c r="S272" s="19"/>
      <c r="T272" s="19"/>
      <c r="U272" s="19"/>
      <c r="V272" s="19"/>
      <c r="W272" s="19"/>
      <c r="X272" s="19"/>
      <c r="Y272" s="19"/>
      <c r="Z272" s="19"/>
    </row>
    <row r="273">
      <c r="A273" s="21"/>
      <c r="B273" s="21"/>
      <c r="C273" s="21"/>
      <c r="D273" s="21"/>
      <c r="E273" s="21"/>
      <c r="F273" s="21"/>
      <c r="G273" s="21"/>
      <c r="H273" s="2"/>
      <c r="I273" s="21"/>
      <c r="J273" s="21"/>
      <c r="K273" s="21"/>
      <c r="L273" s="21"/>
      <c r="M273" s="21"/>
      <c r="N273" s="21"/>
      <c r="O273" s="21"/>
      <c r="P273" s="21"/>
      <c r="Q273" s="19"/>
      <c r="R273" s="19"/>
      <c r="S273" s="19"/>
      <c r="T273" s="19"/>
      <c r="U273" s="19"/>
      <c r="V273" s="19"/>
      <c r="W273" s="19"/>
      <c r="X273" s="19"/>
      <c r="Y273" s="19"/>
      <c r="Z273" s="19"/>
    </row>
    <row r="274">
      <c r="A274" s="21"/>
      <c r="B274" s="21"/>
      <c r="C274" s="21"/>
      <c r="D274" s="21"/>
      <c r="E274" s="21"/>
      <c r="F274" s="21"/>
      <c r="G274" s="21"/>
      <c r="H274" s="2"/>
      <c r="I274" s="21"/>
      <c r="J274" s="21"/>
      <c r="K274" s="21"/>
      <c r="L274" s="21"/>
      <c r="M274" s="21"/>
      <c r="N274" s="21"/>
      <c r="O274" s="21"/>
      <c r="P274" s="21"/>
      <c r="Q274" s="19"/>
      <c r="R274" s="19"/>
      <c r="S274" s="19"/>
      <c r="T274" s="19"/>
      <c r="U274" s="19"/>
      <c r="V274" s="19"/>
      <c r="W274" s="19"/>
      <c r="X274" s="19"/>
      <c r="Y274" s="19"/>
      <c r="Z274" s="19"/>
    </row>
    <row r="275">
      <c r="A275" s="21"/>
      <c r="B275" s="21"/>
      <c r="C275" s="21"/>
      <c r="D275" s="21"/>
      <c r="E275" s="21"/>
      <c r="F275" s="21"/>
      <c r="G275" s="21"/>
      <c r="H275" s="2"/>
      <c r="I275" s="21"/>
      <c r="J275" s="21"/>
      <c r="K275" s="21"/>
      <c r="L275" s="21"/>
      <c r="M275" s="21"/>
      <c r="N275" s="21"/>
      <c r="O275" s="21"/>
      <c r="P275" s="21"/>
      <c r="Q275" s="19"/>
      <c r="R275" s="19"/>
      <c r="S275" s="19"/>
      <c r="T275" s="19"/>
      <c r="U275" s="19"/>
      <c r="V275" s="19"/>
      <c r="W275" s="19"/>
      <c r="X275" s="19"/>
      <c r="Y275" s="19"/>
      <c r="Z275" s="19"/>
    </row>
    <row r="276">
      <c r="A276" s="21"/>
      <c r="B276" s="21"/>
      <c r="C276" s="21"/>
      <c r="D276" s="21"/>
      <c r="E276" s="21"/>
      <c r="F276" s="21"/>
      <c r="G276" s="21"/>
      <c r="H276" s="2"/>
      <c r="I276" s="21"/>
      <c r="J276" s="21"/>
      <c r="K276" s="21"/>
      <c r="L276" s="21"/>
      <c r="M276" s="21"/>
      <c r="N276" s="21"/>
      <c r="O276" s="21"/>
      <c r="P276" s="21"/>
      <c r="Q276" s="19"/>
      <c r="R276" s="19"/>
      <c r="S276" s="19"/>
      <c r="T276" s="19"/>
      <c r="U276" s="19"/>
      <c r="V276" s="19"/>
      <c r="W276" s="19"/>
      <c r="X276" s="19"/>
      <c r="Y276" s="19"/>
      <c r="Z276" s="19"/>
    </row>
    <row r="277">
      <c r="A277" s="21"/>
      <c r="B277" s="21"/>
      <c r="C277" s="21"/>
      <c r="D277" s="21"/>
      <c r="E277" s="21"/>
      <c r="F277" s="21"/>
      <c r="G277" s="21"/>
      <c r="H277" s="2"/>
      <c r="I277" s="21"/>
      <c r="J277" s="21"/>
      <c r="K277" s="21"/>
      <c r="L277" s="21"/>
      <c r="M277" s="21"/>
      <c r="N277" s="21"/>
      <c r="O277" s="21"/>
      <c r="P277" s="21"/>
      <c r="Q277" s="19"/>
      <c r="R277" s="19"/>
      <c r="S277" s="19"/>
      <c r="T277" s="19"/>
      <c r="U277" s="19"/>
      <c r="V277" s="19"/>
      <c r="W277" s="19"/>
      <c r="X277" s="19"/>
      <c r="Y277" s="19"/>
      <c r="Z277" s="19"/>
    </row>
    <row r="278">
      <c r="A278" s="21"/>
      <c r="B278" s="21"/>
      <c r="C278" s="21"/>
      <c r="D278" s="21"/>
      <c r="E278" s="21"/>
      <c r="F278" s="21"/>
      <c r="G278" s="21"/>
      <c r="H278" s="2"/>
      <c r="I278" s="21"/>
      <c r="J278" s="21"/>
      <c r="K278" s="21"/>
      <c r="L278" s="21"/>
      <c r="M278" s="21"/>
      <c r="N278" s="21"/>
      <c r="O278" s="21"/>
      <c r="P278" s="21"/>
      <c r="Q278" s="19"/>
      <c r="R278" s="19"/>
      <c r="S278" s="19"/>
      <c r="T278" s="19"/>
      <c r="U278" s="19"/>
      <c r="V278" s="19"/>
      <c r="W278" s="19"/>
      <c r="X278" s="19"/>
      <c r="Y278" s="19"/>
      <c r="Z278" s="19"/>
    </row>
    <row r="279">
      <c r="A279" s="21"/>
      <c r="B279" s="21"/>
      <c r="C279" s="21"/>
      <c r="D279" s="21"/>
      <c r="E279" s="21"/>
      <c r="F279" s="21"/>
      <c r="G279" s="21"/>
      <c r="H279" s="2"/>
      <c r="I279" s="21"/>
      <c r="J279" s="21"/>
      <c r="K279" s="21"/>
      <c r="L279" s="21"/>
      <c r="M279" s="21"/>
      <c r="N279" s="21"/>
      <c r="O279" s="21"/>
      <c r="P279" s="21"/>
      <c r="Q279" s="19"/>
      <c r="R279" s="19"/>
      <c r="S279" s="19"/>
      <c r="T279" s="19"/>
      <c r="U279" s="19"/>
      <c r="V279" s="19"/>
      <c r="W279" s="19"/>
      <c r="X279" s="19"/>
      <c r="Y279" s="19"/>
      <c r="Z279" s="19"/>
    </row>
    <row r="280">
      <c r="A280" s="21"/>
      <c r="B280" s="21"/>
      <c r="C280" s="21"/>
      <c r="D280" s="21"/>
      <c r="E280" s="21"/>
      <c r="F280" s="21"/>
      <c r="G280" s="21"/>
      <c r="H280" s="2"/>
      <c r="I280" s="21"/>
      <c r="J280" s="21"/>
      <c r="K280" s="21"/>
      <c r="L280" s="21"/>
      <c r="M280" s="21"/>
      <c r="N280" s="21"/>
      <c r="O280" s="21"/>
      <c r="P280" s="21"/>
      <c r="Q280" s="19"/>
      <c r="R280" s="19"/>
      <c r="S280" s="19"/>
      <c r="T280" s="19"/>
      <c r="U280" s="19"/>
      <c r="V280" s="19"/>
      <c r="W280" s="19"/>
      <c r="X280" s="19"/>
      <c r="Y280" s="19"/>
      <c r="Z280" s="19"/>
    </row>
    <row r="281">
      <c r="A281" s="21"/>
      <c r="B281" s="21"/>
      <c r="C281" s="21"/>
      <c r="D281" s="21"/>
      <c r="E281" s="21"/>
      <c r="F281" s="21"/>
      <c r="G281" s="21"/>
      <c r="H281" s="2"/>
      <c r="I281" s="21"/>
      <c r="J281" s="21"/>
      <c r="K281" s="21"/>
      <c r="L281" s="21"/>
      <c r="M281" s="21"/>
      <c r="N281" s="21"/>
      <c r="O281" s="21"/>
      <c r="P281" s="21"/>
      <c r="Q281" s="19"/>
      <c r="R281" s="19"/>
      <c r="S281" s="19"/>
      <c r="T281" s="19"/>
      <c r="U281" s="19"/>
      <c r="V281" s="19"/>
      <c r="W281" s="19"/>
      <c r="X281" s="19"/>
      <c r="Y281" s="19"/>
      <c r="Z281" s="19"/>
    </row>
    <row r="282">
      <c r="A282" s="21"/>
      <c r="B282" s="21"/>
      <c r="C282" s="21"/>
      <c r="D282" s="21"/>
      <c r="E282" s="21"/>
      <c r="F282" s="21"/>
      <c r="G282" s="21"/>
      <c r="H282" s="2"/>
      <c r="I282" s="21"/>
      <c r="J282" s="21"/>
      <c r="K282" s="21"/>
      <c r="L282" s="21"/>
      <c r="M282" s="21"/>
      <c r="N282" s="21"/>
      <c r="O282" s="21"/>
      <c r="P282" s="21"/>
      <c r="Q282" s="19"/>
      <c r="R282" s="19"/>
      <c r="S282" s="19"/>
      <c r="T282" s="19"/>
      <c r="U282" s="19"/>
      <c r="V282" s="19"/>
      <c r="W282" s="19"/>
      <c r="X282" s="19"/>
      <c r="Y282" s="19"/>
      <c r="Z282" s="19"/>
    </row>
    <row r="283">
      <c r="A283" s="21"/>
      <c r="B283" s="21"/>
      <c r="C283" s="21"/>
      <c r="D283" s="21"/>
      <c r="E283" s="21"/>
      <c r="F283" s="21"/>
      <c r="G283" s="21"/>
      <c r="H283" s="2"/>
      <c r="I283" s="21"/>
      <c r="J283" s="21"/>
      <c r="K283" s="21"/>
      <c r="L283" s="21"/>
      <c r="M283" s="21"/>
      <c r="N283" s="21"/>
      <c r="O283" s="21"/>
      <c r="P283" s="21"/>
      <c r="Q283" s="19"/>
      <c r="R283" s="19"/>
      <c r="S283" s="19"/>
      <c r="T283" s="19"/>
      <c r="U283" s="19"/>
      <c r="V283" s="19"/>
      <c r="W283" s="19"/>
      <c r="X283" s="19"/>
      <c r="Y283" s="19"/>
      <c r="Z283" s="19"/>
    </row>
    <row r="284">
      <c r="A284" s="21"/>
      <c r="B284" s="21"/>
      <c r="C284" s="21"/>
      <c r="D284" s="21"/>
      <c r="E284" s="21"/>
      <c r="F284" s="21"/>
      <c r="G284" s="21"/>
      <c r="H284" s="2"/>
      <c r="I284" s="21"/>
      <c r="J284" s="21"/>
      <c r="K284" s="21"/>
      <c r="L284" s="21"/>
      <c r="M284" s="21"/>
      <c r="N284" s="21"/>
      <c r="O284" s="21"/>
      <c r="P284" s="21"/>
      <c r="Q284" s="19"/>
      <c r="R284" s="19"/>
      <c r="S284" s="19"/>
      <c r="T284" s="19"/>
      <c r="U284" s="19"/>
      <c r="V284" s="19"/>
      <c r="W284" s="19"/>
      <c r="X284" s="19"/>
      <c r="Y284" s="19"/>
      <c r="Z284" s="19"/>
    </row>
    <row r="285">
      <c r="A285" s="21"/>
      <c r="B285" s="21"/>
      <c r="C285" s="21"/>
      <c r="D285" s="21"/>
      <c r="E285" s="21"/>
      <c r="F285" s="21"/>
      <c r="G285" s="21"/>
      <c r="H285" s="2"/>
      <c r="I285" s="21"/>
      <c r="J285" s="21"/>
      <c r="K285" s="21"/>
      <c r="L285" s="21"/>
      <c r="M285" s="21"/>
      <c r="N285" s="21"/>
      <c r="O285" s="21"/>
      <c r="P285" s="21"/>
      <c r="Q285" s="19"/>
      <c r="R285" s="19"/>
      <c r="S285" s="19"/>
      <c r="T285" s="19"/>
      <c r="U285" s="19"/>
      <c r="V285" s="19"/>
      <c r="W285" s="19"/>
      <c r="X285" s="19"/>
      <c r="Y285" s="19"/>
      <c r="Z285" s="19"/>
    </row>
    <row r="286">
      <c r="A286" s="21"/>
      <c r="B286" s="21"/>
      <c r="C286" s="21"/>
      <c r="D286" s="21"/>
      <c r="E286" s="21"/>
      <c r="F286" s="21"/>
      <c r="G286" s="21"/>
      <c r="H286" s="2"/>
      <c r="I286" s="21"/>
      <c r="J286" s="21"/>
      <c r="K286" s="21"/>
      <c r="L286" s="21"/>
      <c r="M286" s="21"/>
      <c r="N286" s="21"/>
      <c r="O286" s="21"/>
      <c r="P286" s="21"/>
      <c r="Q286" s="19"/>
      <c r="R286" s="19"/>
      <c r="S286" s="19"/>
      <c r="T286" s="19"/>
      <c r="U286" s="19"/>
      <c r="V286" s="19"/>
      <c r="W286" s="19"/>
      <c r="X286" s="19"/>
      <c r="Y286" s="19"/>
      <c r="Z286" s="19"/>
    </row>
    <row r="287">
      <c r="A287" s="21"/>
      <c r="B287" s="21"/>
      <c r="C287" s="21"/>
      <c r="D287" s="21"/>
      <c r="E287" s="21"/>
      <c r="F287" s="21"/>
      <c r="G287" s="21"/>
      <c r="H287" s="2"/>
      <c r="I287" s="21"/>
      <c r="J287" s="21"/>
      <c r="K287" s="21"/>
      <c r="L287" s="21"/>
      <c r="M287" s="21"/>
      <c r="N287" s="21"/>
      <c r="O287" s="21"/>
      <c r="P287" s="21"/>
      <c r="Q287" s="19"/>
      <c r="R287" s="19"/>
      <c r="S287" s="19"/>
      <c r="T287" s="19"/>
      <c r="U287" s="19"/>
      <c r="V287" s="19"/>
      <c r="W287" s="19"/>
      <c r="X287" s="19"/>
      <c r="Y287" s="19"/>
      <c r="Z287" s="19"/>
    </row>
    <row r="288">
      <c r="A288" s="21"/>
      <c r="B288" s="21"/>
      <c r="C288" s="21"/>
      <c r="D288" s="21"/>
      <c r="E288" s="21"/>
      <c r="F288" s="21"/>
      <c r="G288" s="21"/>
      <c r="H288" s="2"/>
      <c r="I288" s="21"/>
      <c r="J288" s="21"/>
      <c r="K288" s="21"/>
      <c r="L288" s="21"/>
      <c r="M288" s="21"/>
      <c r="N288" s="21"/>
      <c r="O288" s="21"/>
      <c r="P288" s="21"/>
      <c r="Q288" s="19"/>
      <c r="R288" s="19"/>
      <c r="S288" s="19"/>
      <c r="T288" s="19"/>
      <c r="U288" s="19"/>
      <c r="V288" s="19"/>
      <c r="W288" s="19"/>
      <c r="X288" s="19"/>
      <c r="Y288" s="19"/>
      <c r="Z288" s="19"/>
    </row>
    <row r="289">
      <c r="A289" s="21"/>
      <c r="B289" s="21"/>
      <c r="C289" s="21"/>
      <c r="D289" s="21"/>
      <c r="E289" s="21"/>
      <c r="F289" s="21"/>
      <c r="G289" s="21"/>
      <c r="H289" s="2"/>
      <c r="I289" s="21"/>
      <c r="J289" s="21"/>
      <c r="K289" s="21"/>
      <c r="L289" s="21"/>
      <c r="M289" s="21"/>
      <c r="N289" s="21"/>
      <c r="O289" s="21"/>
      <c r="P289" s="21"/>
      <c r="Q289" s="19"/>
      <c r="R289" s="19"/>
      <c r="S289" s="19"/>
      <c r="T289" s="19"/>
      <c r="U289" s="19"/>
      <c r="V289" s="19"/>
      <c r="W289" s="19"/>
      <c r="X289" s="19"/>
      <c r="Y289" s="19"/>
      <c r="Z289" s="19"/>
    </row>
    <row r="290">
      <c r="A290" s="21"/>
      <c r="B290" s="21"/>
      <c r="C290" s="21"/>
      <c r="D290" s="21"/>
      <c r="E290" s="21"/>
      <c r="F290" s="21"/>
      <c r="G290" s="21"/>
      <c r="H290" s="2"/>
      <c r="I290" s="21"/>
      <c r="J290" s="21"/>
      <c r="K290" s="21"/>
      <c r="L290" s="21"/>
      <c r="M290" s="21"/>
      <c r="N290" s="21"/>
      <c r="O290" s="21"/>
      <c r="P290" s="21"/>
      <c r="Q290" s="19"/>
      <c r="R290" s="19"/>
      <c r="S290" s="19"/>
      <c r="T290" s="19"/>
      <c r="U290" s="19"/>
      <c r="V290" s="19"/>
      <c r="W290" s="19"/>
      <c r="X290" s="19"/>
      <c r="Y290" s="19"/>
      <c r="Z290" s="19"/>
    </row>
    <row r="291">
      <c r="A291" s="21"/>
      <c r="B291" s="21"/>
      <c r="C291" s="21"/>
      <c r="D291" s="21"/>
      <c r="E291" s="21"/>
      <c r="F291" s="21"/>
      <c r="G291" s="21"/>
      <c r="H291" s="2"/>
      <c r="I291" s="21"/>
      <c r="J291" s="21"/>
      <c r="K291" s="21"/>
      <c r="L291" s="21"/>
      <c r="M291" s="21"/>
      <c r="N291" s="21"/>
      <c r="O291" s="21"/>
      <c r="P291" s="21"/>
      <c r="Q291" s="19"/>
      <c r="R291" s="19"/>
      <c r="S291" s="19"/>
      <c r="T291" s="19"/>
      <c r="U291" s="19"/>
      <c r="V291" s="19"/>
      <c r="W291" s="19"/>
      <c r="X291" s="19"/>
      <c r="Y291" s="19"/>
      <c r="Z291" s="19"/>
    </row>
    <row r="292">
      <c r="A292" s="21"/>
      <c r="B292" s="21"/>
      <c r="C292" s="21"/>
      <c r="D292" s="21"/>
      <c r="E292" s="21"/>
      <c r="F292" s="21"/>
      <c r="G292" s="21"/>
      <c r="H292" s="2"/>
      <c r="I292" s="21"/>
      <c r="J292" s="21"/>
      <c r="K292" s="21"/>
      <c r="L292" s="21"/>
      <c r="M292" s="21"/>
      <c r="N292" s="21"/>
      <c r="O292" s="21"/>
      <c r="P292" s="21"/>
      <c r="Q292" s="19"/>
      <c r="R292" s="19"/>
      <c r="S292" s="19"/>
      <c r="T292" s="19"/>
      <c r="U292" s="19"/>
      <c r="V292" s="19"/>
      <c r="W292" s="19"/>
      <c r="X292" s="19"/>
      <c r="Y292" s="19"/>
      <c r="Z292" s="19"/>
    </row>
    <row r="293">
      <c r="A293" s="21"/>
      <c r="B293" s="21"/>
      <c r="C293" s="21"/>
      <c r="D293" s="21"/>
      <c r="E293" s="21"/>
      <c r="F293" s="21"/>
      <c r="G293" s="21"/>
      <c r="H293" s="2"/>
      <c r="I293" s="21"/>
      <c r="J293" s="21"/>
      <c r="K293" s="21"/>
      <c r="L293" s="21"/>
      <c r="M293" s="21"/>
      <c r="N293" s="21"/>
      <c r="O293" s="21"/>
      <c r="P293" s="21"/>
      <c r="Q293" s="19"/>
      <c r="R293" s="19"/>
      <c r="S293" s="19"/>
      <c r="T293" s="19"/>
      <c r="U293" s="19"/>
      <c r="V293" s="19"/>
      <c r="W293" s="19"/>
      <c r="X293" s="19"/>
      <c r="Y293" s="19"/>
      <c r="Z293" s="19"/>
    </row>
    <row r="294">
      <c r="A294" s="21"/>
      <c r="B294" s="21"/>
      <c r="C294" s="21"/>
      <c r="D294" s="21"/>
      <c r="E294" s="21"/>
      <c r="F294" s="21"/>
      <c r="G294" s="21"/>
      <c r="H294" s="2"/>
      <c r="I294" s="21"/>
      <c r="J294" s="21"/>
      <c r="K294" s="21"/>
      <c r="L294" s="21"/>
      <c r="M294" s="21"/>
      <c r="N294" s="21"/>
      <c r="O294" s="21"/>
      <c r="P294" s="21"/>
      <c r="Q294" s="19"/>
      <c r="R294" s="19"/>
      <c r="S294" s="19"/>
      <c r="T294" s="19"/>
      <c r="U294" s="19"/>
      <c r="V294" s="19"/>
      <c r="W294" s="19"/>
      <c r="X294" s="19"/>
      <c r="Y294" s="19"/>
      <c r="Z294" s="19"/>
    </row>
    <row r="295">
      <c r="A295" s="21"/>
      <c r="B295" s="21"/>
      <c r="C295" s="21"/>
      <c r="D295" s="21"/>
      <c r="E295" s="21"/>
      <c r="F295" s="21"/>
      <c r="G295" s="21"/>
      <c r="H295" s="2"/>
      <c r="I295" s="21"/>
      <c r="J295" s="21"/>
      <c r="K295" s="21"/>
      <c r="L295" s="21"/>
      <c r="M295" s="21"/>
      <c r="N295" s="21"/>
      <c r="O295" s="21"/>
      <c r="P295" s="21"/>
      <c r="Q295" s="19"/>
      <c r="R295" s="19"/>
      <c r="S295" s="19"/>
      <c r="T295" s="19"/>
      <c r="U295" s="19"/>
      <c r="V295" s="19"/>
      <c r="W295" s="19"/>
      <c r="X295" s="19"/>
      <c r="Y295" s="19"/>
      <c r="Z295" s="19"/>
    </row>
    <row r="296">
      <c r="A296" s="21"/>
      <c r="B296" s="21"/>
      <c r="C296" s="21"/>
      <c r="D296" s="21"/>
      <c r="E296" s="21"/>
      <c r="F296" s="21"/>
      <c r="G296" s="21"/>
      <c r="H296" s="2"/>
      <c r="I296" s="21"/>
      <c r="J296" s="21"/>
      <c r="K296" s="21"/>
      <c r="L296" s="21"/>
      <c r="M296" s="21"/>
      <c r="N296" s="21"/>
      <c r="O296" s="21"/>
      <c r="P296" s="21"/>
      <c r="Q296" s="19"/>
      <c r="R296" s="19"/>
      <c r="S296" s="19"/>
      <c r="T296" s="19"/>
      <c r="U296" s="19"/>
      <c r="V296" s="19"/>
      <c r="W296" s="19"/>
      <c r="X296" s="19"/>
      <c r="Y296" s="19"/>
      <c r="Z296" s="19"/>
    </row>
    <row r="297">
      <c r="A297" s="21"/>
      <c r="B297" s="21"/>
      <c r="C297" s="21"/>
      <c r="D297" s="21"/>
      <c r="E297" s="21"/>
      <c r="F297" s="21"/>
      <c r="G297" s="21"/>
      <c r="H297" s="2"/>
      <c r="I297" s="21"/>
      <c r="J297" s="21"/>
      <c r="K297" s="21"/>
      <c r="L297" s="21"/>
      <c r="M297" s="21"/>
      <c r="N297" s="21"/>
      <c r="O297" s="21"/>
      <c r="P297" s="21"/>
      <c r="Q297" s="19"/>
      <c r="R297" s="19"/>
      <c r="S297" s="19"/>
      <c r="T297" s="19"/>
      <c r="U297" s="19"/>
      <c r="V297" s="19"/>
      <c r="W297" s="19"/>
      <c r="X297" s="19"/>
      <c r="Y297" s="19"/>
      <c r="Z297" s="19"/>
    </row>
    <row r="298">
      <c r="A298" s="21"/>
      <c r="B298" s="21"/>
      <c r="C298" s="21"/>
      <c r="D298" s="21"/>
      <c r="E298" s="21"/>
      <c r="F298" s="21"/>
      <c r="G298" s="21"/>
      <c r="H298" s="2"/>
      <c r="I298" s="21"/>
      <c r="J298" s="21"/>
      <c r="K298" s="21"/>
      <c r="L298" s="21"/>
      <c r="M298" s="21"/>
      <c r="N298" s="21"/>
      <c r="O298" s="21"/>
      <c r="P298" s="21"/>
      <c r="Q298" s="19"/>
      <c r="R298" s="19"/>
      <c r="S298" s="19"/>
      <c r="T298" s="19"/>
      <c r="U298" s="19"/>
      <c r="V298" s="19"/>
      <c r="W298" s="19"/>
      <c r="X298" s="19"/>
      <c r="Y298" s="19"/>
      <c r="Z298" s="19"/>
    </row>
    <row r="299">
      <c r="A299" s="21"/>
      <c r="B299" s="21"/>
      <c r="C299" s="21"/>
      <c r="D299" s="21"/>
      <c r="E299" s="21"/>
      <c r="F299" s="21"/>
      <c r="G299" s="21"/>
      <c r="H299" s="2"/>
      <c r="I299" s="21"/>
      <c r="J299" s="21"/>
      <c r="K299" s="21"/>
      <c r="L299" s="21"/>
      <c r="M299" s="21"/>
      <c r="N299" s="21"/>
      <c r="O299" s="21"/>
      <c r="P299" s="21"/>
      <c r="Q299" s="19"/>
      <c r="R299" s="19"/>
      <c r="S299" s="19"/>
      <c r="T299" s="19"/>
      <c r="U299" s="19"/>
      <c r="V299" s="19"/>
      <c r="W299" s="19"/>
      <c r="X299" s="19"/>
      <c r="Y299" s="19"/>
      <c r="Z299" s="19"/>
    </row>
    <row r="300">
      <c r="A300" s="21"/>
      <c r="B300" s="21"/>
      <c r="C300" s="21"/>
      <c r="D300" s="21"/>
      <c r="E300" s="21"/>
      <c r="F300" s="21"/>
      <c r="G300" s="21"/>
      <c r="H300" s="2"/>
      <c r="I300" s="21"/>
      <c r="J300" s="21"/>
      <c r="K300" s="21"/>
      <c r="L300" s="21"/>
      <c r="M300" s="21"/>
      <c r="N300" s="21"/>
      <c r="O300" s="21"/>
      <c r="P300" s="21"/>
      <c r="Q300" s="19"/>
      <c r="R300" s="19"/>
      <c r="S300" s="19"/>
      <c r="T300" s="19"/>
      <c r="U300" s="19"/>
      <c r="V300" s="19"/>
      <c r="W300" s="19"/>
      <c r="X300" s="19"/>
      <c r="Y300" s="19"/>
      <c r="Z300" s="19"/>
    </row>
    <row r="301">
      <c r="A301" s="21"/>
      <c r="B301" s="21"/>
      <c r="C301" s="21"/>
      <c r="D301" s="21"/>
      <c r="E301" s="21"/>
      <c r="F301" s="21"/>
      <c r="G301" s="21"/>
      <c r="H301" s="2"/>
      <c r="I301" s="21"/>
      <c r="J301" s="21"/>
      <c r="K301" s="21"/>
      <c r="L301" s="21"/>
      <c r="M301" s="21"/>
      <c r="N301" s="21"/>
      <c r="O301" s="21"/>
      <c r="P301" s="21"/>
      <c r="Q301" s="19"/>
      <c r="R301" s="19"/>
      <c r="S301" s="19"/>
      <c r="T301" s="19"/>
      <c r="U301" s="19"/>
      <c r="V301" s="19"/>
      <c r="W301" s="19"/>
      <c r="X301" s="19"/>
      <c r="Y301" s="19"/>
      <c r="Z301" s="19"/>
    </row>
    <row r="302">
      <c r="A302" s="21"/>
      <c r="B302" s="21"/>
      <c r="C302" s="21"/>
      <c r="D302" s="21"/>
      <c r="E302" s="21"/>
      <c r="F302" s="21"/>
      <c r="G302" s="21"/>
      <c r="H302" s="2"/>
      <c r="I302" s="21"/>
      <c r="J302" s="21"/>
      <c r="K302" s="21"/>
      <c r="L302" s="21"/>
      <c r="M302" s="21"/>
      <c r="N302" s="21"/>
      <c r="O302" s="21"/>
      <c r="P302" s="21"/>
      <c r="Q302" s="19"/>
      <c r="R302" s="19"/>
      <c r="S302" s="19"/>
      <c r="T302" s="19"/>
      <c r="U302" s="19"/>
      <c r="V302" s="19"/>
      <c r="W302" s="19"/>
      <c r="X302" s="19"/>
      <c r="Y302" s="19"/>
      <c r="Z302" s="19"/>
    </row>
    <row r="303">
      <c r="A303" s="21"/>
      <c r="B303" s="21"/>
      <c r="C303" s="21"/>
      <c r="D303" s="21"/>
      <c r="E303" s="21"/>
      <c r="F303" s="21"/>
      <c r="G303" s="21"/>
      <c r="H303" s="2"/>
      <c r="I303" s="21"/>
      <c r="J303" s="21"/>
      <c r="K303" s="21"/>
      <c r="L303" s="21"/>
      <c r="M303" s="21"/>
      <c r="N303" s="21"/>
      <c r="O303" s="21"/>
      <c r="P303" s="21"/>
      <c r="Q303" s="19"/>
      <c r="R303" s="19"/>
      <c r="S303" s="19"/>
      <c r="T303" s="19"/>
      <c r="U303" s="19"/>
      <c r="V303" s="19"/>
      <c r="W303" s="19"/>
      <c r="X303" s="19"/>
      <c r="Y303" s="19"/>
      <c r="Z303" s="19"/>
    </row>
    <row r="304">
      <c r="A304" s="21"/>
      <c r="B304" s="21"/>
      <c r="C304" s="21"/>
      <c r="D304" s="21"/>
      <c r="E304" s="21"/>
      <c r="F304" s="21"/>
      <c r="G304" s="21"/>
      <c r="H304" s="2"/>
      <c r="I304" s="21"/>
      <c r="J304" s="21"/>
      <c r="K304" s="21"/>
      <c r="L304" s="21"/>
      <c r="M304" s="21"/>
      <c r="N304" s="21"/>
      <c r="O304" s="21"/>
      <c r="P304" s="21"/>
      <c r="Q304" s="19"/>
      <c r="R304" s="19"/>
      <c r="S304" s="19"/>
      <c r="T304" s="19"/>
      <c r="U304" s="19"/>
      <c r="V304" s="19"/>
      <c r="W304" s="19"/>
      <c r="X304" s="19"/>
      <c r="Y304" s="19"/>
      <c r="Z304" s="19"/>
    </row>
    <row r="305">
      <c r="A305" s="21"/>
      <c r="B305" s="21"/>
      <c r="C305" s="21"/>
      <c r="D305" s="21"/>
      <c r="E305" s="21"/>
      <c r="F305" s="21"/>
      <c r="G305" s="21"/>
      <c r="H305" s="2"/>
      <c r="I305" s="21"/>
      <c r="J305" s="21"/>
      <c r="K305" s="21"/>
      <c r="L305" s="21"/>
      <c r="M305" s="21"/>
      <c r="N305" s="21"/>
      <c r="O305" s="21"/>
      <c r="P305" s="21"/>
      <c r="Q305" s="19"/>
      <c r="R305" s="19"/>
      <c r="S305" s="19"/>
      <c r="T305" s="19"/>
      <c r="U305" s="19"/>
      <c r="V305" s="19"/>
      <c r="W305" s="19"/>
      <c r="X305" s="19"/>
      <c r="Y305" s="19"/>
      <c r="Z305" s="19"/>
    </row>
    <row r="306">
      <c r="A306" s="21"/>
      <c r="B306" s="21"/>
      <c r="C306" s="21"/>
      <c r="D306" s="21"/>
      <c r="E306" s="21"/>
      <c r="F306" s="21"/>
      <c r="G306" s="21"/>
      <c r="H306" s="2"/>
      <c r="I306" s="21"/>
      <c r="J306" s="21"/>
      <c r="K306" s="21"/>
      <c r="L306" s="21"/>
      <c r="M306" s="21"/>
      <c r="N306" s="21"/>
      <c r="O306" s="21"/>
      <c r="P306" s="21"/>
      <c r="Q306" s="19"/>
      <c r="R306" s="19"/>
      <c r="S306" s="19"/>
      <c r="T306" s="19"/>
      <c r="U306" s="19"/>
      <c r="V306" s="19"/>
      <c r="W306" s="19"/>
      <c r="X306" s="19"/>
      <c r="Y306" s="19"/>
      <c r="Z306" s="19"/>
    </row>
    <row r="307">
      <c r="A307" s="21"/>
      <c r="B307" s="21"/>
      <c r="C307" s="21"/>
      <c r="D307" s="21"/>
      <c r="E307" s="21"/>
      <c r="F307" s="21"/>
      <c r="G307" s="21"/>
      <c r="H307" s="2"/>
      <c r="I307" s="21"/>
      <c r="J307" s="21"/>
      <c r="K307" s="21"/>
      <c r="L307" s="21"/>
      <c r="M307" s="21"/>
      <c r="N307" s="21"/>
      <c r="O307" s="21"/>
      <c r="P307" s="21"/>
      <c r="Q307" s="19"/>
      <c r="R307" s="19"/>
      <c r="S307" s="19"/>
      <c r="T307" s="19"/>
      <c r="U307" s="19"/>
      <c r="V307" s="19"/>
      <c r="W307" s="19"/>
      <c r="X307" s="19"/>
      <c r="Y307" s="19"/>
      <c r="Z307" s="19"/>
    </row>
    <row r="308">
      <c r="A308" s="21"/>
      <c r="B308" s="21"/>
      <c r="C308" s="21"/>
      <c r="D308" s="21"/>
      <c r="E308" s="21"/>
      <c r="F308" s="21"/>
      <c r="G308" s="21"/>
      <c r="H308" s="2"/>
      <c r="I308" s="21"/>
      <c r="J308" s="21"/>
      <c r="K308" s="21"/>
      <c r="L308" s="21"/>
      <c r="M308" s="21"/>
      <c r="N308" s="21"/>
      <c r="O308" s="21"/>
      <c r="P308" s="21"/>
      <c r="Q308" s="19"/>
      <c r="R308" s="19"/>
      <c r="S308" s="19"/>
      <c r="T308" s="19"/>
      <c r="U308" s="19"/>
      <c r="V308" s="19"/>
      <c r="W308" s="19"/>
      <c r="X308" s="19"/>
      <c r="Y308" s="19"/>
      <c r="Z308" s="19"/>
    </row>
    <row r="309">
      <c r="A309" s="21"/>
      <c r="B309" s="21"/>
      <c r="C309" s="21"/>
      <c r="D309" s="21"/>
      <c r="E309" s="21"/>
      <c r="F309" s="21"/>
      <c r="G309" s="21"/>
      <c r="H309" s="2"/>
      <c r="I309" s="21"/>
      <c r="J309" s="21"/>
      <c r="K309" s="21"/>
      <c r="L309" s="21"/>
      <c r="M309" s="21"/>
      <c r="N309" s="21"/>
      <c r="O309" s="21"/>
      <c r="P309" s="21"/>
      <c r="Q309" s="19"/>
      <c r="R309" s="19"/>
      <c r="S309" s="19"/>
      <c r="T309" s="19"/>
      <c r="U309" s="19"/>
      <c r="V309" s="19"/>
      <c r="W309" s="19"/>
      <c r="X309" s="19"/>
      <c r="Y309" s="19"/>
      <c r="Z309" s="19"/>
    </row>
    <row r="310">
      <c r="A310" s="21"/>
      <c r="B310" s="21"/>
      <c r="C310" s="21"/>
      <c r="D310" s="21"/>
      <c r="E310" s="21"/>
      <c r="F310" s="21"/>
      <c r="G310" s="21"/>
      <c r="H310" s="2"/>
      <c r="I310" s="21"/>
      <c r="J310" s="21"/>
      <c r="K310" s="21"/>
      <c r="L310" s="21"/>
      <c r="M310" s="21"/>
      <c r="N310" s="21"/>
      <c r="O310" s="21"/>
      <c r="P310" s="21"/>
      <c r="Q310" s="19"/>
      <c r="R310" s="19"/>
      <c r="S310" s="19"/>
      <c r="T310" s="19"/>
      <c r="U310" s="19"/>
      <c r="V310" s="19"/>
      <c r="W310" s="19"/>
      <c r="X310" s="19"/>
      <c r="Y310" s="19"/>
      <c r="Z310" s="19"/>
    </row>
    <row r="311">
      <c r="A311" s="21"/>
      <c r="B311" s="21"/>
      <c r="C311" s="21"/>
      <c r="D311" s="21"/>
      <c r="E311" s="21"/>
      <c r="F311" s="21"/>
      <c r="G311" s="21"/>
      <c r="H311" s="2"/>
      <c r="I311" s="21"/>
      <c r="J311" s="21"/>
      <c r="K311" s="21"/>
      <c r="L311" s="21"/>
      <c r="M311" s="21"/>
      <c r="N311" s="21"/>
      <c r="O311" s="21"/>
      <c r="P311" s="21"/>
      <c r="Q311" s="19"/>
      <c r="R311" s="19"/>
      <c r="S311" s="19"/>
      <c r="T311" s="19"/>
      <c r="U311" s="19"/>
      <c r="V311" s="19"/>
      <c r="W311" s="19"/>
      <c r="X311" s="19"/>
      <c r="Y311" s="19"/>
      <c r="Z311" s="19"/>
    </row>
    <row r="312">
      <c r="A312" s="21"/>
      <c r="B312" s="21"/>
      <c r="C312" s="21"/>
      <c r="D312" s="21"/>
      <c r="E312" s="21"/>
      <c r="F312" s="21"/>
      <c r="G312" s="21"/>
      <c r="H312" s="2"/>
      <c r="I312" s="21"/>
      <c r="J312" s="21"/>
      <c r="K312" s="21"/>
      <c r="L312" s="21"/>
      <c r="M312" s="21"/>
      <c r="N312" s="21"/>
      <c r="O312" s="21"/>
      <c r="P312" s="21"/>
      <c r="Q312" s="19"/>
      <c r="R312" s="19"/>
      <c r="S312" s="19"/>
      <c r="T312" s="19"/>
      <c r="U312" s="19"/>
      <c r="V312" s="19"/>
      <c r="W312" s="19"/>
      <c r="X312" s="19"/>
      <c r="Y312" s="19"/>
      <c r="Z312" s="19"/>
    </row>
    <row r="313">
      <c r="A313" s="21"/>
      <c r="B313" s="21"/>
      <c r="C313" s="21"/>
      <c r="D313" s="21"/>
      <c r="E313" s="21"/>
      <c r="F313" s="21"/>
      <c r="G313" s="21"/>
      <c r="H313" s="2"/>
      <c r="I313" s="21"/>
      <c r="J313" s="21"/>
      <c r="K313" s="21"/>
      <c r="L313" s="21"/>
      <c r="M313" s="21"/>
      <c r="N313" s="21"/>
      <c r="O313" s="21"/>
      <c r="P313" s="21"/>
      <c r="Q313" s="19"/>
      <c r="R313" s="19"/>
      <c r="S313" s="19"/>
      <c r="T313" s="19"/>
      <c r="U313" s="19"/>
      <c r="V313" s="19"/>
      <c r="W313" s="19"/>
      <c r="X313" s="19"/>
      <c r="Y313" s="19"/>
      <c r="Z313" s="19"/>
    </row>
    <row r="314">
      <c r="A314" s="21"/>
      <c r="B314" s="21"/>
      <c r="C314" s="21"/>
      <c r="D314" s="21"/>
      <c r="E314" s="21"/>
      <c r="F314" s="21"/>
      <c r="G314" s="21"/>
      <c r="H314" s="2"/>
      <c r="I314" s="21"/>
      <c r="J314" s="21"/>
      <c r="K314" s="21"/>
      <c r="L314" s="21"/>
      <c r="M314" s="21"/>
      <c r="N314" s="21"/>
      <c r="O314" s="21"/>
      <c r="P314" s="21"/>
      <c r="Q314" s="19"/>
      <c r="R314" s="19"/>
      <c r="S314" s="19"/>
      <c r="T314" s="19"/>
      <c r="U314" s="19"/>
      <c r="V314" s="19"/>
      <c r="W314" s="19"/>
      <c r="X314" s="19"/>
      <c r="Y314" s="19"/>
      <c r="Z314" s="19"/>
    </row>
    <row r="315">
      <c r="A315" s="21"/>
      <c r="B315" s="21"/>
      <c r="C315" s="21"/>
      <c r="D315" s="21"/>
      <c r="E315" s="21"/>
      <c r="F315" s="21"/>
      <c r="G315" s="21"/>
      <c r="H315" s="2"/>
      <c r="I315" s="21"/>
      <c r="J315" s="21"/>
      <c r="K315" s="21"/>
      <c r="L315" s="21"/>
      <c r="M315" s="21"/>
      <c r="N315" s="21"/>
      <c r="O315" s="21"/>
      <c r="P315" s="21"/>
      <c r="Q315" s="19"/>
      <c r="R315" s="19"/>
      <c r="S315" s="19"/>
      <c r="T315" s="19"/>
      <c r="U315" s="19"/>
      <c r="V315" s="19"/>
      <c r="W315" s="19"/>
      <c r="X315" s="19"/>
      <c r="Y315" s="19"/>
      <c r="Z315" s="19"/>
    </row>
    <row r="316">
      <c r="A316" s="21"/>
      <c r="B316" s="21"/>
      <c r="C316" s="21"/>
      <c r="D316" s="21"/>
      <c r="E316" s="21"/>
      <c r="F316" s="21"/>
      <c r="G316" s="21"/>
      <c r="H316" s="2"/>
      <c r="I316" s="21"/>
      <c r="J316" s="21"/>
      <c r="K316" s="21"/>
      <c r="L316" s="21"/>
      <c r="M316" s="21"/>
      <c r="N316" s="21"/>
      <c r="O316" s="21"/>
      <c r="P316" s="21"/>
      <c r="Q316" s="19"/>
      <c r="R316" s="19"/>
      <c r="S316" s="19"/>
      <c r="T316" s="19"/>
      <c r="U316" s="19"/>
      <c r="V316" s="19"/>
      <c r="W316" s="19"/>
      <c r="X316" s="19"/>
      <c r="Y316" s="19"/>
      <c r="Z316" s="19"/>
    </row>
    <row r="317">
      <c r="A317" s="21"/>
      <c r="B317" s="21"/>
      <c r="C317" s="21"/>
      <c r="D317" s="21"/>
      <c r="E317" s="21"/>
      <c r="F317" s="21"/>
      <c r="G317" s="21"/>
      <c r="H317" s="2"/>
      <c r="I317" s="21"/>
      <c r="J317" s="21"/>
      <c r="K317" s="21"/>
      <c r="L317" s="21"/>
      <c r="M317" s="21"/>
      <c r="N317" s="21"/>
      <c r="O317" s="21"/>
      <c r="P317" s="21"/>
      <c r="Q317" s="19"/>
      <c r="R317" s="19"/>
      <c r="S317" s="19"/>
      <c r="T317" s="19"/>
      <c r="U317" s="19"/>
      <c r="V317" s="19"/>
      <c r="W317" s="19"/>
      <c r="X317" s="19"/>
      <c r="Y317" s="19"/>
      <c r="Z317" s="19"/>
    </row>
    <row r="318">
      <c r="A318" s="21"/>
      <c r="B318" s="21"/>
      <c r="C318" s="21"/>
      <c r="D318" s="21"/>
      <c r="E318" s="21"/>
      <c r="F318" s="21"/>
      <c r="G318" s="21"/>
      <c r="H318" s="2"/>
      <c r="I318" s="21"/>
      <c r="J318" s="21"/>
      <c r="K318" s="21"/>
      <c r="L318" s="21"/>
      <c r="M318" s="21"/>
      <c r="N318" s="21"/>
      <c r="O318" s="21"/>
      <c r="P318" s="21"/>
      <c r="Q318" s="19"/>
      <c r="R318" s="19"/>
      <c r="S318" s="19"/>
      <c r="T318" s="19"/>
      <c r="U318" s="19"/>
      <c r="V318" s="19"/>
      <c r="W318" s="19"/>
      <c r="X318" s="19"/>
      <c r="Y318" s="19"/>
      <c r="Z318" s="19"/>
    </row>
    <row r="319">
      <c r="A319" s="21"/>
      <c r="B319" s="21"/>
      <c r="C319" s="21"/>
      <c r="D319" s="21"/>
      <c r="E319" s="21"/>
      <c r="F319" s="21"/>
      <c r="G319" s="21"/>
      <c r="H319" s="2"/>
      <c r="I319" s="21"/>
      <c r="J319" s="21"/>
      <c r="K319" s="21"/>
      <c r="L319" s="21"/>
      <c r="M319" s="21"/>
      <c r="N319" s="21"/>
      <c r="O319" s="21"/>
      <c r="P319" s="21"/>
      <c r="Q319" s="19"/>
      <c r="R319" s="19"/>
      <c r="S319" s="19"/>
      <c r="T319" s="19"/>
      <c r="U319" s="19"/>
      <c r="V319" s="19"/>
      <c r="W319" s="19"/>
      <c r="X319" s="19"/>
      <c r="Y319" s="19"/>
      <c r="Z319" s="19"/>
    </row>
    <row r="320">
      <c r="A320" s="21"/>
      <c r="B320" s="21"/>
      <c r="C320" s="21"/>
      <c r="D320" s="21"/>
      <c r="E320" s="21"/>
      <c r="F320" s="21"/>
      <c r="G320" s="21"/>
      <c r="H320" s="2"/>
      <c r="I320" s="21"/>
      <c r="J320" s="21"/>
      <c r="K320" s="21"/>
      <c r="L320" s="21"/>
      <c r="M320" s="21"/>
      <c r="N320" s="21"/>
      <c r="O320" s="21"/>
      <c r="P320" s="21"/>
      <c r="Q320" s="19"/>
      <c r="R320" s="19"/>
      <c r="S320" s="19"/>
      <c r="T320" s="19"/>
      <c r="U320" s="19"/>
      <c r="V320" s="19"/>
      <c r="W320" s="19"/>
      <c r="X320" s="19"/>
      <c r="Y320" s="19"/>
      <c r="Z320" s="19"/>
    </row>
    <row r="321">
      <c r="A321" s="21"/>
      <c r="B321" s="21"/>
      <c r="C321" s="21"/>
      <c r="D321" s="21"/>
      <c r="E321" s="21"/>
      <c r="F321" s="21"/>
      <c r="G321" s="21"/>
      <c r="H321" s="2"/>
      <c r="I321" s="21"/>
      <c r="J321" s="21"/>
      <c r="K321" s="21"/>
      <c r="L321" s="21"/>
      <c r="M321" s="21"/>
      <c r="N321" s="21"/>
      <c r="O321" s="21"/>
      <c r="P321" s="21"/>
      <c r="Q321" s="19"/>
      <c r="R321" s="19"/>
      <c r="S321" s="19"/>
      <c r="T321" s="19"/>
      <c r="U321" s="19"/>
      <c r="V321" s="19"/>
      <c r="W321" s="19"/>
      <c r="X321" s="19"/>
      <c r="Y321" s="19"/>
      <c r="Z321" s="19"/>
    </row>
    <row r="322">
      <c r="A322" s="21"/>
      <c r="B322" s="21"/>
      <c r="C322" s="21"/>
      <c r="D322" s="21"/>
      <c r="E322" s="21"/>
      <c r="F322" s="21"/>
      <c r="G322" s="21"/>
      <c r="H322" s="2"/>
      <c r="I322" s="21"/>
      <c r="J322" s="21"/>
      <c r="K322" s="21"/>
      <c r="L322" s="21"/>
      <c r="M322" s="21"/>
      <c r="N322" s="21"/>
      <c r="O322" s="21"/>
      <c r="P322" s="21"/>
      <c r="Q322" s="19"/>
      <c r="R322" s="19"/>
      <c r="S322" s="19"/>
      <c r="T322" s="19"/>
      <c r="U322" s="19"/>
      <c r="V322" s="19"/>
      <c r="W322" s="19"/>
      <c r="X322" s="19"/>
      <c r="Y322" s="19"/>
      <c r="Z322" s="19"/>
    </row>
    <row r="323">
      <c r="A323" s="21"/>
      <c r="B323" s="21"/>
      <c r="C323" s="21"/>
      <c r="D323" s="21"/>
      <c r="E323" s="21"/>
      <c r="F323" s="21"/>
      <c r="G323" s="21"/>
      <c r="H323" s="2"/>
      <c r="I323" s="21"/>
      <c r="J323" s="21"/>
      <c r="K323" s="21"/>
      <c r="L323" s="21"/>
      <c r="M323" s="21"/>
      <c r="N323" s="21"/>
      <c r="O323" s="21"/>
      <c r="P323" s="21"/>
      <c r="Q323" s="19"/>
      <c r="R323" s="19"/>
      <c r="S323" s="19"/>
      <c r="T323" s="19"/>
      <c r="U323" s="19"/>
      <c r="V323" s="19"/>
      <c r="W323" s="19"/>
      <c r="X323" s="19"/>
      <c r="Y323" s="19"/>
      <c r="Z323" s="19"/>
    </row>
    <row r="324">
      <c r="A324" s="21"/>
      <c r="B324" s="21"/>
      <c r="C324" s="21"/>
      <c r="D324" s="21"/>
      <c r="E324" s="21"/>
      <c r="F324" s="21"/>
      <c r="G324" s="21"/>
      <c r="H324" s="2"/>
      <c r="I324" s="21"/>
      <c r="J324" s="21"/>
      <c r="K324" s="21"/>
      <c r="L324" s="21"/>
      <c r="M324" s="21"/>
      <c r="N324" s="21"/>
      <c r="O324" s="21"/>
      <c r="P324" s="21"/>
      <c r="Q324" s="19"/>
      <c r="R324" s="19"/>
      <c r="S324" s="19"/>
      <c r="T324" s="19"/>
      <c r="U324" s="19"/>
      <c r="V324" s="19"/>
      <c r="W324" s="19"/>
      <c r="X324" s="19"/>
      <c r="Y324" s="19"/>
      <c r="Z324" s="19"/>
    </row>
    <row r="325">
      <c r="A325" s="21"/>
      <c r="B325" s="21"/>
      <c r="C325" s="21"/>
      <c r="D325" s="21"/>
      <c r="E325" s="21"/>
      <c r="F325" s="21"/>
      <c r="G325" s="21"/>
      <c r="H325" s="2"/>
      <c r="I325" s="21"/>
      <c r="J325" s="21"/>
      <c r="K325" s="21"/>
      <c r="L325" s="21"/>
      <c r="M325" s="21"/>
      <c r="N325" s="21"/>
      <c r="O325" s="21"/>
      <c r="P325" s="21"/>
      <c r="Q325" s="19"/>
      <c r="R325" s="19"/>
      <c r="S325" s="19"/>
      <c r="T325" s="19"/>
      <c r="U325" s="19"/>
      <c r="V325" s="19"/>
      <c r="W325" s="19"/>
      <c r="X325" s="19"/>
      <c r="Y325" s="19"/>
      <c r="Z325" s="19"/>
    </row>
    <row r="326">
      <c r="A326" s="21"/>
      <c r="B326" s="21"/>
      <c r="C326" s="21"/>
      <c r="D326" s="21"/>
      <c r="E326" s="21"/>
      <c r="F326" s="21"/>
      <c r="G326" s="21"/>
      <c r="H326" s="2"/>
      <c r="I326" s="21"/>
      <c r="J326" s="21"/>
      <c r="K326" s="21"/>
      <c r="L326" s="21"/>
      <c r="M326" s="21"/>
      <c r="N326" s="21"/>
      <c r="O326" s="21"/>
      <c r="P326" s="21"/>
      <c r="Q326" s="19"/>
      <c r="R326" s="19"/>
      <c r="S326" s="19"/>
      <c r="T326" s="19"/>
      <c r="U326" s="19"/>
      <c r="V326" s="19"/>
      <c r="W326" s="19"/>
      <c r="X326" s="19"/>
      <c r="Y326" s="19"/>
      <c r="Z326" s="19"/>
    </row>
    <row r="327">
      <c r="A327" s="21"/>
      <c r="B327" s="21"/>
      <c r="C327" s="21"/>
      <c r="D327" s="21"/>
      <c r="E327" s="21"/>
      <c r="F327" s="21"/>
      <c r="G327" s="21"/>
      <c r="H327" s="2"/>
      <c r="I327" s="21"/>
      <c r="J327" s="21"/>
      <c r="K327" s="21"/>
      <c r="L327" s="21"/>
      <c r="M327" s="21"/>
      <c r="N327" s="21"/>
      <c r="O327" s="21"/>
      <c r="P327" s="21"/>
      <c r="Q327" s="19"/>
      <c r="R327" s="19"/>
      <c r="S327" s="19"/>
      <c r="T327" s="19"/>
      <c r="U327" s="19"/>
      <c r="V327" s="19"/>
      <c r="W327" s="19"/>
      <c r="X327" s="19"/>
      <c r="Y327" s="19"/>
      <c r="Z327" s="19"/>
    </row>
    <row r="328">
      <c r="A328" s="21"/>
      <c r="B328" s="21"/>
      <c r="C328" s="21"/>
      <c r="D328" s="21"/>
      <c r="E328" s="21"/>
      <c r="F328" s="21"/>
      <c r="G328" s="21"/>
      <c r="H328" s="2"/>
      <c r="I328" s="21"/>
      <c r="J328" s="21"/>
      <c r="K328" s="21"/>
      <c r="L328" s="21"/>
      <c r="M328" s="21"/>
      <c r="N328" s="21"/>
      <c r="O328" s="21"/>
      <c r="P328" s="21"/>
      <c r="Q328" s="19"/>
      <c r="R328" s="19"/>
      <c r="S328" s="19"/>
      <c r="T328" s="19"/>
      <c r="U328" s="19"/>
      <c r="V328" s="19"/>
      <c r="W328" s="19"/>
      <c r="X328" s="19"/>
      <c r="Y328" s="19"/>
      <c r="Z328" s="19"/>
    </row>
    <row r="329">
      <c r="A329" s="21"/>
      <c r="B329" s="21"/>
      <c r="C329" s="21"/>
      <c r="D329" s="21"/>
      <c r="E329" s="21"/>
      <c r="F329" s="21"/>
      <c r="G329" s="21"/>
      <c r="H329" s="2"/>
      <c r="I329" s="21"/>
      <c r="J329" s="21"/>
      <c r="K329" s="21"/>
      <c r="L329" s="21"/>
      <c r="M329" s="21"/>
      <c r="N329" s="21"/>
      <c r="O329" s="21"/>
      <c r="P329" s="21"/>
      <c r="Q329" s="19"/>
      <c r="R329" s="19"/>
      <c r="S329" s="19"/>
      <c r="T329" s="19"/>
      <c r="U329" s="19"/>
      <c r="V329" s="19"/>
      <c r="W329" s="19"/>
      <c r="X329" s="19"/>
      <c r="Y329" s="19"/>
      <c r="Z329" s="19"/>
    </row>
    <row r="330">
      <c r="A330" s="21"/>
      <c r="B330" s="21"/>
      <c r="C330" s="21"/>
      <c r="D330" s="21"/>
      <c r="E330" s="21"/>
      <c r="F330" s="21"/>
      <c r="G330" s="21"/>
      <c r="H330" s="2"/>
      <c r="I330" s="21"/>
      <c r="J330" s="21"/>
      <c r="K330" s="21"/>
      <c r="L330" s="21"/>
      <c r="M330" s="21"/>
      <c r="N330" s="21"/>
      <c r="O330" s="21"/>
      <c r="P330" s="21"/>
      <c r="Q330" s="19"/>
      <c r="R330" s="19"/>
      <c r="S330" s="19"/>
      <c r="T330" s="19"/>
      <c r="U330" s="19"/>
      <c r="V330" s="19"/>
      <c r="W330" s="19"/>
      <c r="X330" s="19"/>
      <c r="Y330" s="19"/>
      <c r="Z330" s="19"/>
    </row>
    <row r="331">
      <c r="A331" s="21"/>
      <c r="B331" s="21"/>
      <c r="C331" s="21"/>
      <c r="D331" s="21"/>
      <c r="E331" s="21"/>
      <c r="F331" s="21"/>
      <c r="G331" s="21"/>
      <c r="H331" s="2"/>
      <c r="I331" s="21"/>
      <c r="J331" s="21"/>
      <c r="K331" s="21"/>
      <c r="L331" s="21"/>
      <c r="M331" s="21"/>
      <c r="N331" s="21"/>
      <c r="O331" s="21"/>
      <c r="P331" s="21"/>
      <c r="Q331" s="19"/>
      <c r="R331" s="19"/>
      <c r="S331" s="19"/>
      <c r="T331" s="19"/>
      <c r="U331" s="19"/>
      <c r="V331" s="19"/>
      <c r="W331" s="19"/>
      <c r="X331" s="19"/>
      <c r="Y331" s="19"/>
      <c r="Z331" s="19"/>
    </row>
    <row r="332">
      <c r="A332" s="21"/>
      <c r="B332" s="21"/>
      <c r="C332" s="21"/>
      <c r="D332" s="21"/>
      <c r="E332" s="21"/>
      <c r="F332" s="21"/>
      <c r="G332" s="21"/>
      <c r="H332" s="2"/>
      <c r="I332" s="21"/>
      <c r="J332" s="21"/>
      <c r="K332" s="21"/>
      <c r="L332" s="21"/>
      <c r="M332" s="21"/>
      <c r="N332" s="21"/>
      <c r="O332" s="21"/>
      <c r="P332" s="21"/>
      <c r="Q332" s="19"/>
      <c r="R332" s="19"/>
      <c r="S332" s="19"/>
      <c r="T332" s="19"/>
      <c r="U332" s="19"/>
      <c r="V332" s="19"/>
      <c r="W332" s="19"/>
      <c r="X332" s="19"/>
      <c r="Y332" s="19"/>
      <c r="Z332" s="19"/>
    </row>
    <row r="333">
      <c r="A333" s="21"/>
      <c r="B333" s="21"/>
      <c r="C333" s="21"/>
      <c r="D333" s="21"/>
      <c r="E333" s="21"/>
      <c r="F333" s="21"/>
      <c r="G333" s="21"/>
      <c r="H333" s="2"/>
      <c r="I333" s="21"/>
      <c r="J333" s="21"/>
      <c r="K333" s="21"/>
      <c r="L333" s="21"/>
      <c r="M333" s="21"/>
      <c r="N333" s="21"/>
      <c r="O333" s="21"/>
      <c r="P333" s="21"/>
      <c r="Q333" s="19"/>
      <c r="R333" s="19"/>
      <c r="S333" s="19"/>
      <c r="T333" s="19"/>
      <c r="U333" s="19"/>
      <c r="V333" s="19"/>
      <c r="W333" s="19"/>
      <c r="X333" s="19"/>
      <c r="Y333" s="19"/>
      <c r="Z333" s="19"/>
    </row>
    <row r="334">
      <c r="A334" s="21"/>
      <c r="B334" s="21"/>
      <c r="C334" s="21"/>
      <c r="D334" s="21"/>
      <c r="E334" s="21"/>
      <c r="F334" s="21"/>
      <c r="G334" s="21"/>
      <c r="H334" s="2"/>
      <c r="I334" s="21"/>
      <c r="J334" s="21"/>
      <c r="K334" s="21"/>
      <c r="L334" s="21"/>
      <c r="M334" s="21"/>
      <c r="N334" s="21"/>
      <c r="O334" s="21"/>
      <c r="P334" s="21"/>
      <c r="Q334" s="19"/>
      <c r="R334" s="19"/>
      <c r="S334" s="19"/>
      <c r="T334" s="19"/>
      <c r="U334" s="19"/>
      <c r="V334" s="19"/>
      <c r="W334" s="19"/>
      <c r="X334" s="19"/>
      <c r="Y334" s="19"/>
      <c r="Z334" s="19"/>
    </row>
    <row r="335">
      <c r="A335" s="21"/>
      <c r="B335" s="21"/>
      <c r="C335" s="21"/>
      <c r="D335" s="21"/>
      <c r="E335" s="21"/>
      <c r="F335" s="21"/>
      <c r="G335" s="21"/>
      <c r="H335" s="2"/>
      <c r="I335" s="21"/>
      <c r="J335" s="21"/>
      <c r="K335" s="21"/>
      <c r="L335" s="21"/>
      <c r="M335" s="21"/>
      <c r="N335" s="21"/>
      <c r="O335" s="21"/>
      <c r="P335" s="21"/>
      <c r="Q335" s="19"/>
      <c r="R335" s="19"/>
      <c r="S335" s="19"/>
      <c r="T335" s="19"/>
      <c r="U335" s="19"/>
      <c r="V335" s="19"/>
      <c r="W335" s="19"/>
      <c r="X335" s="19"/>
      <c r="Y335" s="19"/>
      <c r="Z335" s="19"/>
    </row>
    <row r="336">
      <c r="A336" s="21"/>
      <c r="B336" s="21"/>
      <c r="C336" s="21"/>
      <c r="D336" s="21"/>
      <c r="E336" s="21"/>
      <c r="F336" s="21"/>
      <c r="G336" s="21"/>
      <c r="H336" s="2"/>
      <c r="I336" s="21"/>
      <c r="J336" s="21"/>
      <c r="K336" s="21"/>
      <c r="L336" s="21"/>
      <c r="M336" s="21"/>
      <c r="N336" s="21"/>
      <c r="O336" s="21"/>
      <c r="P336" s="21"/>
      <c r="Q336" s="19"/>
      <c r="R336" s="19"/>
      <c r="S336" s="19"/>
      <c r="T336" s="19"/>
      <c r="U336" s="19"/>
      <c r="V336" s="19"/>
      <c r="W336" s="19"/>
      <c r="X336" s="19"/>
      <c r="Y336" s="19"/>
      <c r="Z336" s="19"/>
    </row>
    <row r="337">
      <c r="A337" s="21"/>
      <c r="B337" s="21"/>
      <c r="C337" s="21"/>
      <c r="D337" s="21"/>
      <c r="E337" s="21"/>
      <c r="F337" s="21"/>
      <c r="G337" s="21"/>
      <c r="H337" s="2"/>
      <c r="I337" s="21"/>
      <c r="J337" s="21"/>
      <c r="K337" s="21"/>
      <c r="L337" s="21"/>
      <c r="M337" s="21"/>
      <c r="N337" s="21"/>
      <c r="O337" s="21"/>
      <c r="P337" s="21"/>
      <c r="Q337" s="19"/>
      <c r="R337" s="19"/>
      <c r="S337" s="19"/>
      <c r="T337" s="19"/>
      <c r="U337" s="19"/>
      <c r="V337" s="19"/>
      <c r="W337" s="19"/>
      <c r="X337" s="19"/>
      <c r="Y337" s="19"/>
      <c r="Z337" s="19"/>
    </row>
    <row r="338">
      <c r="A338" s="21"/>
      <c r="B338" s="21"/>
      <c r="C338" s="21"/>
      <c r="D338" s="21"/>
      <c r="E338" s="21"/>
      <c r="F338" s="21"/>
      <c r="G338" s="21"/>
      <c r="H338" s="2"/>
      <c r="I338" s="21"/>
      <c r="J338" s="21"/>
      <c r="K338" s="21"/>
      <c r="L338" s="21"/>
      <c r="M338" s="21"/>
      <c r="N338" s="21"/>
      <c r="O338" s="21"/>
      <c r="P338" s="21"/>
      <c r="Q338" s="19"/>
      <c r="R338" s="19"/>
      <c r="S338" s="19"/>
      <c r="T338" s="19"/>
      <c r="U338" s="19"/>
      <c r="V338" s="19"/>
      <c r="W338" s="19"/>
      <c r="X338" s="19"/>
      <c r="Y338" s="19"/>
      <c r="Z338" s="19"/>
    </row>
    <row r="339">
      <c r="A339" s="21"/>
      <c r="B339" s="21"/>
      <c r="C339" s="21"/>
      <c r="D339" s="21"/>
      <c r="E339" s="21"/>
      <c r="F339" s="21"/>
      <c r="G339" s="21"/>
      <c r="H339" s="2"/>
      <c r="I339" s="21"/>
      <c r="J339" s="21"/>
      <c r="K339" s="21"/>
      <c r="L339" s="21"/>
      <c r="M339" s="21"/>
      <c r="N339" s="21"/>
      <c r="O339" s="21"/>
      <c r="P339" s="21"/>
      <c r="Q339" s="19"/>
      <c r="R339" s="19"/>
      <c r="S339" s="19"/>
      <c r="T339" s="19"/>
      <c r="U339" s="19"/>
      <c r="V339" s="19"/>
      <c r="W339" s="19"/>
      <c r="X339" s="19"/>
      <c r="Y339" s="19"/>
      <c r="Z339" s="19"/>
    </row>
    <row r="340">
      <c r="A340" s="21"/>
      <c r="B340" s="21"/>
      <c r="C340" s="21"/>
      <c r="D340" s="21"/>
      <c r="E340" s="21"/>
      <c r="F340" s="21"/>
      <c r="G340" s="21"/>
      <c r="H340" s="2"/>
      <c r="I340" s="21"/>
      <c r="J340" s="21"/>
      <c r="K340" s="21"/>
      <c r="L340" s="21"/>
      <c r="M340" s="21"/>
      <c r="N340" s="21"/>
      <c r="O340" s="21"/>
      <c r="P340" s="21"/>
      <c r="Q340" s="19"/>
      <c r="R340" s="19"/>
      <c r="S340" s="19"/>
      <c r="T340" s="19"/>
      <c r="U340" s="19"/>
      <c r="V340" s="19"/>
      <c r="W340" s="19"/>
      <c r="X340" s="19"/>
      <c r="Y340" s="19"/>
      <c r="Z340" s="19"/>
    </row>
    <row r="341">
      <c r="A341" s="21"/>
      <c r="B341" s="21"/>
      <c r="C341" s="21"/>
      <c r="D341" s="21"/>
      <c r="E341" s="21"/>
      <c r="F341" s="21"/>
      <c r="G341" s="21"/>
      <c r="H341" s="2"/>
      <c r="I341" s="21"/>
      <c r="J341" s="21"/>
      <c r="K341" s="21"/>
      <c r="L341" s="21"/>
      <c r="M341" s="21"/>
      <c r="N341" s="21"/>
      <c r="O341" s="21"/>
      <c r="P341" s="21"/>
      <c r="Q341" s="19"/>
      <c r="R341" s="19"/>
      <c r="S341" s="19"/>
      <c r="T341" s="19"/>
      <c r="U341" s="19"/>
      <c r="V341" s="19"/>
      <c r="W341" s="19"/>
      <c r="X341" s="19"/>
      <c r="Y341" s="19"/>
      <c r="Z341" s="19"/>
    </row>
    <row r="342">
      <c r="A342" s="21"/>
      <c r="B342" s="21"/>
      <c r="C342" s="21"/>
      <c r="D342" s="21"/>
      <c r="E342" s="21"/>
      <c r="F342" s="21"/>
      <c r="G342" s="21"/>
      <c r="H342" s="2"/>
      <c r="I342" s="21"/>
      <c r="J342" s="21"/>
      <c r="K342" s="21"/>
      <c r="L342" s="21"/>
      <c r="M342" s="21"/>
      <c r="N342" s="21"/>
      <c r="O342" s="21"/>
      <c r="P342" s="21"/>
      <c r="Q342" s="19"/>
      <c r="R342" s="19"/>
      <c r="S342" s="19"/>
      <c r="T342" s="19"/>
      <c r="U342" s="19"/>
      <c r="V342" s="19"/>
      <c r="W342" s="19"/>
      <c r="X342" s="19"/>
      <c r="Y342" s="19"/>
      <c r="Z342" s="19"/>
    </row>
    <row r="343">
      <c r="A343" s="21"/>
      <c r="B343" s="21"/>
      <c r="C343" s="21"/>
      <c r="D343" s="21"/>
      <c r="E343" s="21"/>
      <c r="F343" s="21"/>
      <c r="G343" s="21"/>
      <c r="H343" s="2"/>
      <c r="I343" s="21"/>
      <c r="J343" s="21"/>
      <c r="K343" s="21"/>
      <c r="L343" s="21"/>
      <c r="M343" s="21"/>
      <c r="N343" s="21"/>
      <c r="O343" s="21"/>
      <c r="P343" s="21"/>
      <c r="Q343" s="19"/>
      <c r="R343" s="19"/>
      <c r="S343" s="19"/>
      <c r="T343" s="19"/>
      <c r="U343" s="19"/>
      <c r="V343" s="19"/>
      <c r="W343" s="19"/>
      <c r="X343" s="19"/>
      <c r="Y343" s="19"/>
      <c r="Z343" s="19"/>
    </row>
    <row r="344">
      <c r="A344" s="21"/>
      <c r="B344" s="21"/>
      <c r="C344" s="21"/>
      <c r="D344" s="21"/>
      <c r="E344" s="21"/>
      <c r="F344" s="21"/>
      <c r="G344" s="21"/>
      <c r="H344" s="2"/>
      <c r="I344" s="21"/>
      <c r="J344" s="21"/>
      <c r="K344" s="21"/>
      <c r="L344" s="21"/>
      <c r="M344" s="21"/>
      <c r="N344" s="21"/>
      <c r="O344" s="21"/>
      <c r="P344" s="21"/>
      <c r="Q344" s="19"/>
      <c r="R344" s="19"/>
      <c r="S344" s="19"/>
      <c r="T344" s="19"/>
      <c r="U344" s="19"/>
      <c r="V344" s="19"/>
      <c r="W344" s="19"/>
      <c r="X344" s="19"/>
      <c r="Y344" s="19"/>
      <c r="Z344" s="19"/>
    </row>
    <row r="345">
      <c r="A345" s="21"/>
      <c r="B345" s="21"/>
      <c r="C345" s="21"/>
      <c r="D345" s="21"/>
      <c r="E345" s="21"/>
      <c r="F345" s="21"/>
      <c r="G345" s="21"/>
      <c r="H345" s="2"/>
      <c r="I345" s="21"/>
      <c r="J345" s="21"/>
      <c r="K345" s="21"/>
      <c r="L345" s="21"/>
      <c r="M345" s="21"/>
      <c r="N345" s="21"/>
      <c r="O345" s="21"/>
      <c r="P345" s="21"/>
      <c r="Q345" s="19"/>
      <c r="R345" s="19"/>
      <c r="S345" s="19"/>
      <c r="T345" s="19"/>
      <c r="U345" s="19"/>
      <c r="V345" s="19"/>
      <c r="W345" s="19"/>
      <c r="X345" s="19"/>
      <c r="Y345" s="19"/>
      <c r="Z345" s="19"/>
    </row>
    <row r="346">
      <c r="A346" s="21"/>
      <c r="B346" s="21"/>
      <c r="C346" s="21"/>
      <c r="D346" s="21"/>
      <c r="E346" s="21"/>
      <c r="F346" s="21"/>
      <c r="G346" s="21"/>
      <c r="H346" s="2"/>
      <c r="I346" s="21"/>
      <c r="J346" s="21"/>
      <c r="K346" s="21"/>
      <c r="L346" s="21"/>
      <c r="M346" s="21"/>
      <c r="N346" s="21"/>
      <c r="O346" s="21"/>
      <c r="P346" s="21"/>
      <c r="Q346" s="19"/>
      <c r="R346" s="19"/>
      <c r="S346" s="19"/>
      <c r="T346" s="19"/>
      <c r="U346" s="19"/>
      <c r="V346" s="19"/>
      <c r="W346" s="19"/>
      <c r="X346" s="19"/>
      <c r="Y346" s="19"/>
      <c r="Z346" s="19"/>
    </row>
    <row r="347">
      <c r="A347" s="21"/>
      <c r="B347" s="21"/>
      <c r="C347" s="21"/>
      <c r="D347" s="21"/>
      <c r="E347" s="21"/>
      <c r="F347" s="21"/>
      <c r="G347" s="21"/>
      <c r="H347" s="2"/>
      <c r="I347" s="21"/>
      <c r="J347" s="21"/>
      <c r="K347" s="21"/>
      <c r="L347" s="21"/>
      <c r="M347" s="21"/>
      <c r="N347" s="21"/>
      <c r="O347" s="21"/>
      <c r="P347" s="21"/>
      <c r="Q347" s="19"/>
      <c r="R347" s="19"/>
      <c r="S347" s="19"/>
      <c r="T347" s="19"/>
      <c r="U347" s="19"/>
      <c r="V347" s="19"/>
      <c r="W347" s="19"/>
      <c r="X347" s="19"/>
      <c r="Y347" s="19"/>
      <c r="Z347" s="19"/>
    </row>
    <row r="348">
      <c r="A348" s="21"/>
      <c r="B348" s="21"/>
      <c r="C348" s="21"/>
      <c r="D348" s="21"/>
      <c r="E348" s="21"/>
      <c r="F348" s="21"/>
      <c r="G348" s="21"/>
      <c r="H348" s="2"/>
      <c r="I348" s="21"/>
      <c r="J348" s="21"/>
      <c r="K348" s="21"/>
      <c r="L348" s="21"/>
      <c r="M348" s="21"/>
      <c r="N348" s="21"/>
      <c r="O348" s="21"/>
      <c r="P348" s="21"/>
      <c r="Q348" s="19"/>
      <c r="R348" s="19"/>
      <c r="S348" s="19"/>
      <c r="T348" s="19"/>
      <c r="U348" s="19"/>
      <c r="V348" s="19"/>
      <c r="W348" s="19"/>
      <c r="X348" s="19"/>
      <c r="Y348" s="19"/>
      <c r="Z348" s="19"/>
    </row>
    <row r="349">
      <c r="A349" s="21"/>
      <c r="B349" s="21"/>
      <c r="C349" s="21"/>
      <c r="D349" s="21"/>
      <c r="E349" s="21"/>
      <c r="F349" s="21"/>
      <c r="G349" s="21"/>
      <c r="H349" s="2"/>
      <c r="I349" s="21"/>
      <c r="J349" s="21"/>
      <c r="K349" s="21"/>
      <c r="L349" s="21"/>
      <c r="M349" s="21"/>
      <c r="N349" s="21"/>
      <c r="O349" s="21"/>
      <c r="P349" s="21"/>
      <c r="Q349" s="19"/>
      <c r="R349" s="19"/>
      <c r="S349" s="19"/>
      <c r="T349" s="19"/>
      <c r="U349" s="19"/>
      <c r="V349" s="19"/>
      <c r="W349" s="19"/>
      <c r="X349" s="19"/>
      <c r="Y349" s="19"/>
      <c r="Z349" s="19"/>
    </row>
    <row r="350">
      <c r="A350" s="21"/>
      <c r="B350" s="21"/>
      <c r="C350" s="21"/>
      <c r="D350" s="21"/>
      <c r="E350" s="21"/>
      <c r="F350" s="21"/>
      <c r="G350" s="21"/>
      <c r="H350" s="2"/>
      <c r="I350" s="21"/>
      <c r="J350" s="21"/>
      <c r="K350" s="21"/>
      <c r="L350" s="21"/>
      <c r="M350" s="21"/>
      <c r="N350" s="21"/>
      <c r="O350" s="21"/>
      <c r="P350" s="21"/>
      <c r="Q350" s="19"/>
      <c r="R350" s="19"/>
      <c r="S350" s="19"/>
      <c r="T350" s="19"/>
      <c r="U350" s="19"/>
      <c r="V350" s="19"/>
      <c r="W350" s="19"/>
      <c r="X350" s="19"/>
      <c r="Y350" s="19"/>
      <c r="Z350" s="19"/>
    </row>
    <row r="351">
      <c r="A351" s="21"/>
      <c r="B351" s="21"/>
      <c r="C351" s="21"/>
      <c r="D351" s="21"/>
      <c r="E351" s="21"/>
      <c r="F351" s="21"/>
      <c r="G351" s="21"/>
      <c r="H351" s="2"/>
      <c r="I351" s="21"/>
      <c r="J351" s="21"/>
      <c r="K351" s="21"/>
      <c r="L351" s="21"/>
      <c r="M351" s="21"/>
      <c r="N351" s="21"/>
      <c r="O351" s="21"/>
      <c r="P351" s="21"/>
      <c r="Q351" s="19"/>
      <c r="R351" s="19"/>
      <c r="S351" s="19"/>
      <c r="T351" s="19"/>
      <c r="U351" s="19"/>
      <c r="V351" s="19"/>
      <c r="W351" s="19"/>
      <c r="X351" s="19"/>
      <c r="Y351" s="19"/>
      <c r="Z351" s="19"/>
    </row>
    <row r="352">
      <c r="A352" s="21"/>
      <c r="B352" s="21"/>
      <c r="C352" s="21"/>
      <c r="D352" s="21"/>
      <c r="E352" s="21"/>
      <c r="F352" s="21"/>
      <c r="G352" s="21"/>
      <c r="H352" s="2"/>
      <c r="I352" s="21"/>
      <c r="J352" s="21"/>
      <c r="K352" s="21"/>
      <c r="L352" s="21"/>
      <c r="M352" s="21"/>
      <c r="N352" s="21"/>
      <c r="O352" s="21"/>
      <c r="P352" s="21"/>
      <c r="Q352" s="19"/>
      <c r="R352" s="19"/>
      <c r="S352" s="19"/>
      <c r="T352" s="19"/>
      <c r="U352" s="19"/>
      <c r="V352" s="19"/>
      <c r="W352" s="19"/>
      <c r="X352" s="19"/>
      <c r="Y352" s="19"/>
      <c r="Z352" s="19"/>
    </row>
    <row r="353">
      <c r="A353" s="21"/>
      <c r="B353" s="21"/>
      <c r="C353" s="21"/>
      <c r="D353" s="21"/>
      <c r="E353" s="21"/>
      <c r="F353" s="21"/>
      <c r="G353" s="21"/>
      <c r="H353" s="2"/>
      <c r="I353" s="21"/>
      <c r="J353" s="21"/>
      <c r="K353" s="21"/>
      <c r="L353" s="21"/>
      <c r="M353" s="21"/>
      <c r="N353" s="21"/>
      <c r="O353" s="21"/>
      <c r="P353" s="21"/>
      <c r="Q353" s="19"/>
      <c r="R353" s="19"/>
      <c r="S353" s="19"/>
      <c r="T353" s="19"/>
      <c r="U353" s="19"/>
      <c r="V353" s="19"/>
      <c r="W353" s="19"/>
      <c r="X353" s="19"/>
      <c r="Y353" s="19"/>
      <c r="Z353" s="19"/>
    </row>
    <row r="354">
      <c r="A354" s="21"/>
      <c r="B354" s="21"/>
      <c r="C354" s="21"/>
      <c r="D354" s="21"/>
      <c r="E354" s="21"/>
      <c r="F354" s="21"/>
      <c r="G354" s="21"/>
      <c r="H354" s="2"/>
      <c r="I354" s="21"/>
      <c r="J354" s="21"/>
      <c r="K354" s="21"/>
      <c r="L354" s="21"/>
      <c r="M354" s="21"/>
      <c r="N354" s="21"/>
      <c r="O354" s="21"/>
      <c r="P354" s="21"/>
      <c r="Q354" s="19"/>
      <c r="R354" s="19"/>
      <c r="S354" s="19"/>
      <c r="T354" s="19"/>
      <c r="U354" s="19"/>
      <c r="V354" s="19"/>
      <c r="W354" s="19"/>
      <c r="X354" s="19"/>
      <c r="Y354" s="19"/>
      <c r="Z354" s="19"/>
    </row>
    <row r="355">
      <c r="A355" s="21"/>
      <c r="B355" s="21"/>
      <c r="C355" s="21"/>
      <c r="D355" s="21"/>
      <c r="E355" s="21"/>
      <c r="F355" s="21"/>
      <c r="G355" s="21"/>
      <c r="H355" s="2"/>
      <c r="I355" s="21"/>
      <c r="J355" s="21"/>
      <c r="K355" s="21"/>
      <c r="L355" s="21"/>
      <c r="M355" s="21"/>
      <c r="N355" s="21"/>
      <c r="O355" s="21"/>
      <c r="P355" s="21"/>
      <c r="Q355" s="19"/>
      <c r="R355" s="19"/>
      <c r="S355" s="19"/>
      <c r="T355" s="19"/>
      <c r="U355" s="19"/>
      <c r="V355" s="19"/>
      <c r="W355" s="19"/>
      <c r="X355" s="19"/>
      <c r="Y355" s="19"/>
      <c r="Z355" s="19"/>
    </row>
    <row r="356">
      <c r="A356" s="21"/>
      <c r="B356" s="21"/>
      <c r="C356" s="21"/>
      <c r="D356" s="21"/>
      <c r="E356" s="21"/>
      <c r="F356" s="21"/>
      <c r="G356" s="21"/>
      <c r="H356" s="2"/>
      <c r="I356" s="21"/>
      <c r="J356" s="21"/>
      <c r="K356" s="21"/>
      <c r="L356" s="21"/>
      <c r="M356" s="21"/>
      <c r="N356" s="21"/>
      <c r="O356" s="21"/>
      <c r="P356" s="21"/>
      <c r="Q356" s="19"/>
      <c r="R356" s="19"/>
      <c r="S356" s="19"/>
      <c r="T356" s="19"/>
      <c r="U356" s="19"/>
      <c r="V356" s="19"/>
      <c r="W356" s="19"/>
      <c r="X356" s="19"/>
      <c r="Y356" s="19"/>
      <c r="Z356" s="19"/>
    </row>
    <row r="357">
      <c r="A357" s="21"/>
      <c r="B357" s="21"/>
      <c r="C357" s="21"/>
      <c r="D357" s="21"/>
      <c r="E357" s="21"/>
      <c r="F357" s="21"/>
      <c r="G357" s="21"/>
      <c r="H357" s="2"/>
      <c r="I357" s="21"/>
      <c r="J357" s="21"/>
      <c r="K357" s="21"/>
      <c r="L357" s="21"/>
      <c r="M357" s="21"/>
      <c r="N357" s="21"/>
      <c r="O357" s="21"/>
      <c r="P357" s="21"/>
      <c r="Q357" s="19"/>
      <c r="R357" s="19"/>
      <c r="S357" s="19"/>
      <c r="T357" s="19"/>
      <c r="U357" s="19"/>
      <c r="V357" s="19"/>
      <c r="W357" s="19"/>
      <c r="X357" s="19"/>
      <c r="Y357" s="19"/>
      <c r="Z357" s="19"/>
    </row>
    <row r="358">
      <c r="A358" s="21"/>
      <c r="B358" s="21"/>
      <c r="C358" s="21"/>
      <c r="D358" s="21"/>
      <c r="E358" s="21"/>
      <c r="F358" s="21"/>
      <c r="G358" s="21"/>
      <c r="H358" s="2"/>
      <c r="I358" s="21"/>
      <c r="J358" s="21"/>
      <c r="K358" s="21"/>
      <c r="L358" s="21"/>
      <c r="M358" s="21"/>
      <c r="N358" s="21"/>
      <c r="O358" s="21"/>
      <c r="P358" s="21"/>
      <c r="Q358" s="19"/>
      <c r="R358" s="19"/>
      <c r="S358" s="19"/>
      <c r="T358" s="19"/>
      <c r="U358" s="19"/>
      <c r="V358" s="19"/>
      <c r="W358" s="19"/>
      <c r="X358" s="19"/>
      <c r="Y358" s="19"/>
      <c r="Z358" s="19"/>
    </row>
    <row r="359">
      <c r="A359" s="21"/>
      <c r="B359" s="21"/>
      <c r="C359" s="21"/>
      <c r="D359" s="21"/>
      <c r="E359" s="21"/>
      <c r="F359" s="21"/>
      <c r="G359" s="21"/>
      <c r="H359" s="2"/>
      <c r="I359" s="21"/>
      <c r="J359" s="21"/>
      <c r="K359" s="21"/>
      <c r="L359" s="21"/>
      <c r="M359" s="21"/>
      <c r="N359" s="21"/>
      <c r="O359" s="21"/>
      <c r="P359" s="21"/>
      <c r="Q359" s="19"/>
      <c r="R359" s="19"/>
      <c r="S359" s="19"/>
      <c r="T359" s="19"/>
      <c r="U359" s="19"/>
      <c r="V359" s="19"/>
      <c r="W359" s="19"/>
      <c r="X359" s="19"/>
      <c r="Y359" s="19"/>
      <c r="Z359" s="19"/>
    </row>
    <row r="360">
      <c r="A360" s="21"/>
      <c r="B360" s="21"/>
      <c r="C360" s="21"/>
      <c r="D360" s="21"/>
      <c r="E360" s="21"/>
      <c r="F360" s="21"/>
      <c r="G360" s="21"/>
      <c r="H360" s="2"/>
      <c r="I360" s="21"/>
      <c r="J360" s="21"/>
      <c r="K360" s="21"/>
      <c r="L360" s="21"/>
      <c r="M360" s="21"/>
      <c r="N360" s="21"/>
      <c r="O360" s="21"/>
      <c r="P360" s="21"/>
      <c r="Q360" s="19"/>
      <c r="R360" s="19"/>
      <c r="S360" s="19"/>
      <c r="T360" s="19"/>
      <c r="U360" s="19"/>
      <c r="V360" s="19"/>
      <c r="W360" s="19"/>
      <c r="X360" s="19"/>
      <c r="Y360" s="19"/>
      <c r="Z360" s="19"/>
    </row>
    <row r="361">
      <c r="A361" s="21"/>
      <c r="B361" s="21"/>
      <c r="C361" s="21"/>
      <c r="D361" s="21"/>
      <c r="E361" s="21"/>
      <c r="F361" s="21"/>
      <c r="G361" s="21"/>
      <c r="H361" s="2"/>
      <c r="I361" s="21"/>
      <c r="J361" s="21"/>
      <c r="K361" s="21"/>
      <c r="L361" s="21"/>
      <c r="M361" s="21"/>
      <c r="N361" s="21"/>
      <c r="O361" s="21"/>
      <c r="P361" s="21"/>
      <c r="Q361" s="19"/>
      <c r="R361" s="19"/>
      <c r="S361" s="19"/>
      <c r="T361" s="19"/>
      <c r="U361" s="19"/>
      <c r="V361" s="19"/>
      <c r="W361" s="19"/>
      <c r="X361" s="19"/>
      <c r="Y361" s="19"/>
      <c r="Z361" s="19"/>
    </row>
    <row r="362">
      <c r="A362" s="21"/>
      <c r="B362" s="21"/>
      <c r="C362" s="21"/>
      <c r="D362" s="21"/>
      <c r="E362" s="21"/>
      <c r="F362" s="21"/>
      <c r="G362" s="21"/>
      <c r="H362" s="2"/>
      <c r="I362" s="21"/>
      <c r="J362" s="21"/>
      <c r="K362" s="21"/>
      <c r="L362" s="21"/>
      <c r="M362" s="21"/>
      <c r="N362" s="21"/>
      <c r="O362" s="21"/>
      <c r="P362" s="21"/>
      <c r="Q362" s="19"/>
      <c r="R362" s="19"/>
      <c r="S362" s="19"/>
      <c r="T362" s="19"/>
      <c r="U362" s="19"/>
      <c r="V362" s="19"/>
      <c r="W362" s="19"/>
      <c r="X362" s="19"/>
      <c r="Y362" s="19"/>
      <c r="Z362" s="19"/>
    </row>
    <row r="363">
      <c r="A363" s="21"/>
      <c r="B363" s="21"/>
      <c r="C363" s="21"/>
      <c r="D363" s="21"/>
      <c r="E363" s="21"/>
      <c r="F363" s="21"/>
      <c r="G363" s="21"/>
      <c r="H363" s="2"/>
      <c r="I363" s="21"/>
      <c r="J363" s="21"/>
      <c r="K363" s="21"/>
      <c r="L363" s="21"/>
      <c r="M363" s="21"/>
      <c r="N363" s="21"/>
      <c r="O363" s="21"/>
      <c r="P363" s="21"/>
      <c r="Q363" s="19"/>
      <c r="R363" s="19"/>
      <c r="S363" s="19"/>
      <c r="T363" s="19"/>
      <c r="U363" s="19"/>
      <c r="V363" s="19"/>
      <c r="W363" s="19"/>
      <c r="X363" s="19"/>
      <c r="Y363" s="19"/>
      <c r="Z363" s="19"/>
    </row>
    <row r="364">
      <c r="A364" s="21"/>
      <c r="B364" s="21"/>
      <c r="C364" s="21"/>
      <c r="D364" s="21"/>
      <c r="E364" s="21"/>
      <c r="F364" s="21"/>
      <c r="G364" s="21"/>
      <c r="H364" s="2"/>
      <c r="I364" s="21"/>
      <c r="J364" s="21"/>
      <c r="K364" s="21"/>
      <c r="L364" s="21"/>
      <c r="M364" s="21"/>
      <c r="N364" s="21"/>
      <c r="O364" s="21"/>
      <c r="P364" s="21"/>
      <c r="Q364" s="19"/>
      <c r="R364" s="19"/>
      <c r="S364" s="19"/>
      <c r="T364" s="19"/>
      <c r="U364" s="19"/>
      <c r="V364" s="19"/>
      <c r="W364" s="19"/>
      <c r="X364" s="19"/>
      <c r="Y364" s="19"/>
      <c r="Z364" s="19"/>
    </row>
    <row r="365">
      <c r="A365" s="21"/>
      <c r="B365" s="21"/>
      <c r="C365" s="21"/>
      <c r="D365" s="21"/>
      <c r="E365" s="21"/>
      <c r="F365" s="21"/>
      <c r="G365" s="21"/>
      <c r="H365" s="2"/>
      <c r="I365" s="21"/>
      <c r="J365" s="21"/>
      <c r="K365" s="21"/>
      <c r="L365" s="21"/>
      <c r="M365" s="21"/>
      <c r="N365" s="21"/>
      <c r="O365" s="21"/>
      <c r="P365" s="21"/>
      <c r="Q365" s="19"/>
      <c r="R365" s="19"/>
      <c r="S365" s="19"/>
      <c r="T365" s="19"/>
      <c r="U365" s="19"/>
      <c r="V365" s="19"/>
      <c r="W365" s="19"/>
      <c r="X365" s="19"/>
      <c r="Y365" s="19"/>
      <c r="Z365" s="19"/>
    </row>
    <row r="366">
      <c r="A366" s="21"/>
      <c r="B366" s="21"/>
      <c r="C366" s="21"/>
      <c r="D366" s="21"/>
      <c r="E366" s="21"/>
      <c r="F366" s="21"/>
      <c r="G366" s="21"/>
      <c r="H366" s="2"/>
      <c r="I366" s="21"/>
      <c r="J366" s="21"/>
      <c r="K366" s="21"/>
      <c r="L366" s="21"/>
      <c r="M366" s="21"/>
      <c r="N366" s="21"/>
      <c r="O366" s="21"/>
      <c r="P366" s="21"/>
      <c r="Q366" s="19"/>
      <c r="R366" s="19"/>
      <c r="S366" s="19"/>
      <c r="T366" s="19"/>
      <c r="U366" s="19"/>
      <c r="V366" s="19"/>
      <c r="W366" s="19"/>
      <c r="X366" s="19"/>
      <c r="Y366" s="19"/>
      <c r="Z366" s="19"/>
    </row>
    <row r="367">
      <c r="A367" s="21"/>
      <c r="B367" s="21"/>
      <c r="C367" s="21"/>
      <c r="D367" s="21"/>
      <c r="E367" s="21"/>
      <c r="F367" s="21"/>
      <c r="G367" s="21"/>
      <c r="H367" s="2"/>
      <c r="I367" s="21"/>
      <c r="J367" s="21"/>
      <c r="K367" s="21"/>
      <c r="L367" s="21"/>
      <c r="M367" s="21"/>
      <c r="N367" s="21"/>
      <c r="O367" s="21"/>
      <c r="P367" s="21"/>
      <c r="Q367" s="19"/>
      <c r="R367" s="19"/>
      <c r="S367" s="19"/>
      <c r="T367" s="19"/>
      <c r="U367" s="19"/>
      <c r="V367" s="19"/>
      <c r="W367" s="19"/>
      <c r="X367" s="19"/>
      <c r="Y367" s="19"/>
      <c r="Z367" s="19"/>
    </row>
    <row r="368">
      <c r="A368" s="21"/>
      <c r="B368" s="21"/>
      <c r="C368" s="21"/>
      <c r="D368" s="21"/>
      <c r="E368" s="21"/>
      <c r="F368" s="21"/>
      <c r="G368" s="21"/>
      <c r="H368" s="2"/>
      <c r="I368" s="21"/>
      <c r="J368" s="21"/>
      <c r="K368" s="21"/>
      <c r="L368" s="21"/>
      <c r="M368" s="21"/>
      <c r="N368" s="21"/>
      <c r="O368" s="21"/>
      <c r="P368" s="21"/>
      <c r="Q368" s="19"/>
      <c r="R368" s="19"/>
      <c r="S368" s="19"/>
      <c r="T368" s="19"/>
      <c r="U368" s="19"/>
      <c r="V368" s="19"/>
      <c r="W368" s="19"/>
      <c r="X368" s="19"/>
      <c r="Y368" s="19"/>
      <c r="Z368" s="19"/>
    </row>
    <row r="369">
      <c r="A369" s="21"/>
      <c r="B369" s="21"/>
      <c r="C369" s="21"/>
      <c r="D369" s="21"/>
      <c r="E369" s="21"/>
      <c r="F369" s="21"/>
      <c r="G369" s="21"/>
      <c r="H369" s="2"/>
      <c r="I369" s="21"/>
      <c r="J369" s="21"/>
      <c r="K369" s="21"/>
      <c r="L369" s="21"/>
      <c r="M369" s="21"/>
      <c r="N369" s="21"/>
      <c r="O369" s="21"/>
      <c r="P369" s="21"/>
      <c r="Q369" s="19"/>
      <c r="R369" s="19"/>
      <c r="S369" s="19"/>
      <c r="T369" s="19"/>
      <c r="U369" s="19"/>
      <c r="V369" s="19"/>
      <c r="W369" s="19"/>
      <c r="X369" s="19"/>
      <c r="Y369" s="19"/>
      <c r="Z369" s="19"/>
    </row>
    <row r="370">
      <c r="A370" s="21"/>
      <c r="B370" s="21"/>
      <c r="C370" s="21"/>
      <c r="D370" s="21"/>
      <c r="E370" s="21"/>
      <c r="F370" s="21"/>
      <c r="G370" s="21"/>
      <c r="H370" s="2"/>
      <c r="I370" s="21"/>
      <c r="J370" s="21"/>
      <c r="K370" s="21"/>
      <c r="L370" s="21"/>
      <c r="M370" s="21"/>
      <c r="N370" s="21"/>
      <c r="O370" s="21"/>
      <c r="P370" s="21"/>
      <c r="Q370" s="19"/>
      <c r="R370" s="19"/>
      <c r="S370" s="19"/>
      <c r="T370" s="19"/>
      <c r="U370" s="19"/>
      <c r="V370" s="19"/>
      <c r="W370" s="19"/>
      <c r="X370" s="19"/>
      <c r="Y370" s="19"/>
      <c r="Z370" s="19"/>
    </row>
    <row r="371">
      <c r="A371" s="21"/>
      <c r="B371" s="21"/>
      <c r="C371" s="21"/>
      <c r="D371" s="21"/>
      <c r="E371" s="21"/>
      <c r="F371" s="21"/>
      <c r="G371" s="21"/>
      <c r="H371" s="2"/>
      <c r="I371" s="21"/>
      <c r="J371" s="21"/>
      <c r="K371" s="21"/>
      <c r="L371" s="21"/>
      <c r="M371" s="21"/>
      <c r="N371" s="21"/>
      <c r="O371" s="21"/>
      <c r="P371" s="21"/>
      <c r="Q371" s="19"/>
      <c r="R371" s="19"/>
      <c r="S371" s="19"/>
      <c r="T371" s="19"/>
      <c r="U371" s="19"/>
      <c r="V371" s="19"/>
      <c r="W371" s="19"/>
      <c r="X371" s="19"/>
      <c r="Y371" s="19"/>
      <c r="Z371" s="19"/>
    </row>
    <row r="372">
      <c r="A372" s="21"/>
      <c r="B372" s="21"/>
      <c r="C372" s="21"/>
      <c r="D372" s="21"/>
      <c r="E372" s="21"/>
      <c r="F372" s="21"/>
      <c r="G372" s="21"/>
      <c r="H372" s="2"/>
      <c r="I372" s="21"/>
      <c r="J372" s="21"/>
      <c r="K372" s="21"/>
      <c r="L372" s="21"/>
      <c r="M372" s="21"/>
      <c r="N372" s="21"/>
      <c r="O372" s="21"/>
      <c r="P372" s="21"/>
      <c r="Q372" s="19"/>
      <c r="R372" s="19"/>
      <c r="S372" s="19"/>
      <c r="T372" s="19"/>
      <c r="U372" s="19"/>
      <c r="V372" s="19"/>
      <c r="W372" s="19"/>
      <c r="X372" s="19"/>
      <c r="Y372" s="19"/>
      <c r="Z372" s="19"/>
    </row>
    <row r="373">
      <c r="A373" s="21"/>
      <c r="B373" s="21"/>
      <c r="C373" s="21"/>
      <c r="D373" s="21"/>
      <c r="E373" s="21"/>
      <c r="F373" s="21"/>
      <c r="G373" s="21"/>
      <c r="H373" s="2"/>
      <c r="I373" s="21"/>
      <c r="J373" s="21"/>
      <c r="K373" s="21"/>
      <c r="L373" s="21"/>
      <c r="M373" s="21"/>
      <c r="N373" s="21"/>
      <c r="O373" s="21"/>
      <c r="P373" s="21"/>
      <c r="Q373" s="19"/>
      <c r="R373" s="19"/>
      <c r="S373" s="19"/>
      <c r="T373" s="19"/>
      <c r="U373" s="19"/>
      <c r="V373" s="19"/>
      <c r="W373" s="19"/>
      <c r="X373" s="19"/>
      <c r="Y373" s="19"/>
      <c r="Z373" s="19"/>
    </row>
    <row r="374">
      <c r="A374" s="21"/>
      <c r="B374" s="21"/>
      <c r="C374" s="21"/>
      <c r="D374" s="21"/>
      <c r="E374" s="21"/>
      <c r="F374" s="21"/>
      <c r="G374" s="21"/>
      <c r="H374" s="2"/>
      <c r="I374" s="21"/>
      <c r="J374" s="21"/>
      <c r="K374" s="21"/>
      <c r="L374" s="21"/>
      <c r="M374" s="21"/>
      <c r="N374" s="21"/>
      <c r="O374" s="21"/>
      <c r="P374" s="21"/>
      <c r="Q374" s="19"/>
      <c r="R374" s="19"/>
      <c r="S374" s="19"/>
      <c r="T374" s="19"/>
      <c r="U374" s="19"/>
      <c r="V374" s="19"/>
      <c r="W374" s="19"/>
      <c r="X374" s="19"/>
      <c r="Y374" s="19"/>
      <c r="Z374" s="19"/>
    </row>
    <row r="375">
      <c r="A375" s="21"/>
      <c r="B375" s="21"/>
      <c r="C375" s="21"/>
      <c r="D375" s="21"/>
      <c r="E375" s="21"/>
      <c r="F375" s="21"/>
      <c r="G375" s="21"/>
      <c r="H375" s="2"/>
      <c r="I375" s="21"/>
      <c r="J375" s="21"/>
      <c r="K375" s="21"/>
      <c r="L375" s="21"/>
      <c r="M375" s="21"/>
      <c r="N375" s="21"/>
      <c r="O375" s="21"/>
      <c r="P375" s="21"/>
      <c r="Q375" s="19"/>
      <c r="R375" s="19"/>
      <c r="S375" s="19"/>
      <c r="T375" s="19"/>
      <c r="U375" s="19"/>
      <c r="V375" s="19"/>
      <c r="W375" s="19"/>
      <c r="X375" s="19"/>
      <c r="Y375" s="19"/>
      <c r="Z375" s="19"/>
    </row>
    <row r="376">
      <c r="A376" s="21"/>
      <c r="B376" s="21"/>
      <c r="C376" s="21"/>
      <c r="D376" s="21"/>
      <c r="E376" s="21"/>
      <c r="F376" s="21"/>
      <c r="G376" s="21"/>
      <c r="H376" s="2"/>
      <c r="I376" s="21"/>
      <c r="J376" s="21"/>
      <c r="K376" s="21"/>
      <c r="L376" s="21"/>
      <c r="M376" s="21"/>
      <c r="N376" s="21"/>
      <c r="O376" s="21"/>
      <c r="P376" s="21"/>
      <c r="Q376" s="19"/>
      <c r="R376" s="19"/>
      <c r="S376" s="19"/>
      <c r="T376" s="19"/>
      <c r="U376" s="19"/>
      <c r="V376" s="19"/>
      <c r="W376" s="19"/>
      <c r="X376" s="19"/>
      <c r="Y376" s="19"/>
      <c r="Z376" s="19"/>
    </row>
    <row r="377">
      <c r="A377" s="21"/>
      <c r="B377" s="21"/>
      <c r="C377" s="21"/>
      <c r="D377" s="21"/>
      <c r="E377" s="21"/>
      <c r="F377" s="21"/>
      <c r="G377" s="21"/>
      <c r="H377" s="2"/>
      <c r="I377" s="21"/>
      <c r="J377" s="21"/>
      <c r="K377" s="21"/>
      <c r="L377" s="21"/>
      <c r="M377" s="21"/>
      <c r="N377" s="21"/>
      <c r="O377" s="21"/>
      <c r="P377" s="21"/>
      <c r="Q377" s="19"/>
      <c r="R377" s="19"/>
      <c r="S377" s="19"/>
      <c r="T377" s="19"/>
      <c r="U377" s="19"/>
      <c r="V377" s="19"/>
      <c r="W377" s="19"/>
      <c r="X377" s="19"/>
      <c r="Y377" s="19"/>
      <c r="Z377" s="19"/>
    </row>
    <row r="378">
      <c r="A378" s="21"/>
      <c r="B378" s="21"/>
      <c r="C378" s="21"/>
      <c r="D378" s="21"/>
      <c r="E378" s="21"/>
      <c r="F378" s="21"/>
      <c r="G378" s="21"/>
      <c r="H378" s="2"/>
      <c r="I378" s="21"/>
      <c r="J378" s="21"/>
      <c r="K378" s="21"/>
      <c r="L378" s="21"/>
      <c r="M378" s="21"/>
      <c r="N378" s="21"/>
      <c r="O378" s="21"/>
      <c r="P378" s="21"/>
      <c r="Q378" s="19"/>
      <c r="R378" s="19"/>
      <c r="S378" s="19"/>
      <c r="T378" s="19"/>
      <c r="U378" s="19"/>
      <c r="V378" s="19"/>
      <c r="W378" s="19"/>
      <c r="X378" s="19"/>
      <c r="Y378" s="19"/>
      <c r="Z378" s="19"/>
    </row>
    <row r="379">
      <c r="A379" s="21"/>
      <c r="B379" s="21"/>
      <c r="C379" s="21"/>
      <c r="D379" s="21"/>
      <c r="E379" s="21"/>
      <c r="F379" s="21"/>
      <c r="G379" s="21"/>
      <c r="H379" s="2"/>
      <c r="I379" s="21"/>
      <c r="J379" s="21"/>
      <c r="K379" s="21"/>
      <c r="L379" s="21"/>
      <c r="M379" s="21"/>
      <c r="N379" s="21"/>
      <c r="O379" s="21"/>
      <c r="P379" s="21"/>
      <c r="Q379" s="19"/>
      <c r="R379" s="19"/>
      <c r="S379" s="19"/>
      <c r="T379" s="19"/>
      <c r="U379" s="19"/>
      <c r="V379" s="19"/>
      <c r="W379" s="19"/>
      <c r="X379" s="19"/>
      <c r="Y379" s="19"/>
      <c r="Z379" s="19"/>
    </row>
    <row r="380">
      <c r="A380" s="21"/>
      <c r="B380" s="21"/>
      <c r="C380" s="21"/>
      <c r="D380" s="21"/>
      <c r="E380" s="21"/>
      <c r="F380" s="21"/>
      <c r="G380" s="21"/>
      <c r="H380" s="2"/>
      <c r="I380" s="21"/>
      <c r="J380" s="21"/>
      <c r="K380" s="21"/>
      <c r="L380" s="21"/>
      <c r="M380" s="21"/>
      <c r="N380" s="21"/>
      <c r="O380" s="21"/>
      <c r="P380" s="21"/>
      <c r="Q380" s="19"/>
      <c r="R380" s="19"/>
      <c r="S380" s="19"/>
      <c r="T380" s="19"/>
      <c r="U380" s="19"/>
      <c r="V380" s="19"/>
      <c r="W380" s="19"/>
      <c r="X380" s="19"/>
      <c r="Y380" s="19"/>
      <c r="Z380" s="19"/>
    </row>
    <row r="381">
      <c r="A381" s="21"/>
      <c r="B381" s="21"/>
      <c r="C381" s="21"/>
      <c r="D381" s="21"/>
      <c r="E381" s="21"/>
      <c r="F381" s="21"/>
      <c r="G381" s="21"/>
      <c r="H381" s="2"/>
      <c r="I381" s="21"/>
      <c r="J381" s="21"/>
      <c r="K381" s="21"/>
      <c r="L381" s="21"/>
      <c r="M381" s="21"/>
      <c r="N381" s="21"/>
      <c r="O381" s="21"/>
      <c r="P381" s="21"/>
      <c r="Q381" s="19"/>
      <c r="R381" s="19"/>
      <c r="S381" s="19"/>
      <c r="T381" s="19"/>
      <c r="U381" s="19"/>
      <c r="V381" s="19"/>
      <c r="W381" s="19"/>
      <c r="X381" s="19"/>
      <c r="Y381" s="19"/>
      <c r="Z381" s="19"/>
    </row>
    <row r="382">
      <c r="A382" s="21"/>
      <c r="B382" s="21"/>
      <c r="C382" s="21"/>
      <c r="D382" s="21"/>
      <c r="E382" s="21"/>
      <c r="F382" s="21"/>
      <c r="G382" s="21"/>
      <c r="H382" s="2"/>
      <c r="I382" s="21"/>
      <c r="J382" s="21"/>
      <c r="K382" s="21"/>
      <c r="L382" s="21"/>
      <c r="M382" s="21"/>
      <c r="N382" s="21"/>
      <c r="O382" s="21"/>
      <c r="P382" s="21"/>
      <c r="Q382" s="19"/>
      <c r="R382" s="19"/>
      <c r="S382" s="19"/>
      <c r="T382" s="19"/>
      <c r="U382" s="19"/>
      <c r="V382" s="19"/>
      <c r="W382" s="19"/>
      <c r="X382" s="19"/>
      <c r="Y382" s="19"/>
      <c r="Z382" s="19"/>
    </row>
    <row r="383">
      <c r="A383" s="21"/>
      <c r="B383" s="21"/>
      <c r="C383" s="21"/>
      <c r="D383" s="21"/>
      <c r="E383" s="21"/>
      <c r="F383" s="21"/>
      <c r="G383" s="21"/>
      <c r="H383" s="2"/>
      <c r="I383" s="21"/>
      <c r="J383" s="21"/>
      <c r="K383" s="21"/>
      <c r="L383" s="21"/>
      <c r="M383" s="21"/>
      <c r="N383" s="21"/>
      <c r="O383" s="21"/>
      <c r="P383" s="21"/>
      <c r="Q383" s="19"/>
      <c r="R383" s="19"/>
      <c r="S383" s="19"/>
      <c r="T383" s="19"/>
      <c r="U383" s="19"/>
      <c r="V383" s="19"/>
      <c r="W383" s="19"/>
      <c r="X383" s="19"/>
      <c r="Y383" s="19"/>
      <c r="Z383" s="19"/>
    </row>
    <row r="384">
      <c r="A384" s="21"/>
      <c r="B384" s="21"/>
      <c r="C384" s="21"/>
      <c r="D384" s="21"/>
      <c r="E384" s="21"/>
      <c r="F384" s="21"/>
      <c r="G384" s="21"/>
      <c r="H384" s="2"/>
      <c r="I384" s="21"/>
      <c r="J384" s="21"/>
      <c r="K384" s="21"/>
      <c r="L384" s="21"/>
      <c r="M384" s="21"/>
      <c r="N384" s="21"/>
      <c r="O384" s="21"/>
      <c r="P384" s="21"/>
      <c r="Q384" s="19"/>
      <c r="R384" s="19"/>
      <c r="S384" s="19"/>
      <c r="T384" s="19"/>
      <c r="U384" s="19"/>
      <c r="V384" s="19"/>
      <c r="W384" s="19"/>
      <c r="X384" s="19"/>
      <c r="Y384" s="19"/>
      <c r="Z384" s="19"/>
    </row>
    <row r="385">
      <c r="A385" s="21"/>
      <c r="B385" s="21"/>
      <c r="C385" s="21"/>
      <c r="D385" s="21"/>
      <c r="E385" s="21"/>
      <c r="F385" s="21"/>
      <c r="G385" s="21"/>
      <c r="H385" s="2"/>
      <c r="I385" s="21"/>
      <c r="J385" s="21"/>
      <c r="K385" s="21"/>
      <c r="L385" s="21"/>
      <c r="M385" s="21"/>
      <c r="N385" s="21"/>
      <c r="O385" s="21"/>
      <c r="P385" s="21"/>
      <c r="Q385" s="19"/>
      <c r="R385" s="19"/>
      <c r="S385" s="19"/>
      <c r="T385" s="19"/>
      <c r="U385" s="19"/>
      <c r="V385" s="19"/>
      <c r="W385" s="19"/>
      <c r="X385" s="19"/>
      <c r="Y385" s="19"/>
      <c r="Z385" s="19"/>
    </row>
    <row r="386">
      <c r="A386" s="21"/>
      <c r="B386" s="21"/>
      <c r="C386" s="21"/>
      <c r="D386" s="21"/>
      <c r="E386" s="21"/>
      <c r="F386" s="21"/>
      <c r="G386" s="21"/>
      <c r="H386" s="2"/>
      <c r="I386" s="21"/>
      <c r="J386" s="21"/>
      <c r="K386" s="21"/>
      <c r="L386" s="21"/>
      <c r="M386" s="21"/>
      <c r="N386" s="21"/>
      <c r="O386" s="21"/>
      <c r="P386" s="21"/>
      <c r="Q386" s="19"/>
      <c r="R386" s="19"/>
      <c r="S386" s="19"/>
      <c r="T386" s="19"/>
      <c r="U386" s="19"/>
      <c r="V386" s="19"/>
      <c r="W386" s="19"/>
      <c r="X386" s="19"/>
      <c r="Y386" s="19"/>
      <c r="Z386" s="19"/>
    </row>
    <row r="387">
      <c r="A387" s="21"/>
      <c r="B387" s="21"/>
      <c r="C387" s="21"/>
      <c r="D387" s="21"/>
      <c r="E387" s="21"/>
      <c r="F387" s="21"/>
      <c r="G387" s="21"/>
      <c r="H387" s="2"/>
      <c r="I387" s="21"/>
      <c r="J387" s="21"/>
      <c r="K387" s="21"/>
      <c r="L387" s="21"/>
      <c r="M387" s="21"/>
      <c r="N387" s="21"/>
      <c r="O387" s="21"/>
      <c r="P387" s="21"/>
      <c r="Q387" s="19"/>
      <c r="R387" s="19"/>
      <c r="S387" s="19"/>
      <c r="T387" s="19"/>
      <c r="U387" s="19"/>
      <c r="V387" s="19"/>
      <c r="W387" s="19"/>
      <c r="X387" s="19"/>
      <c r="Y387" s="19"/>
      <c r="Z387" s="19"/>
    </row>
    <row r="388">
      <c r="A388" s="21"/>
      <c r="B388" s="21"/>
      <c r="C388" s="21"/>
      <c r="D388" s="21"/>
      <c r="E388" s="21"/>
      <c r="F388" s="21"/>
      <c r="G388" s="21"/>
      <c r="H388" s="2"/>
      <c r="I388" s="21"/>
      <c r="J388" s="21"/>
      <c r="K388" s="21"/>
      <c r="L388" s="21"/>
      <c r="M388" s="21"/>
      <c r="N388" s="21"/>
      <c r="O388" s="21"/>
      <c r="P388" s="21"/>
      <c r="Q388" s="19"/>
      <c r="R388" s="19"/>
      <c r="S388" s="19"/>
      <c r="T388" s="19"/>
      <c r="U388" s="19"/>
      <c r="V388" s="19"/>
      <c r="W388" s="19"/>
      <c r="X388" s="19"/>
      <c r="Y388" s="19"/>
      <c r="Z388" s="19"/>
    </row>
    <row r="389">
      <c r="A389" s="21"/>
      <c r="B389" s="21"/>
      <c r="C389" s="21"/>
      <c r="D389" s="21"/>
      <c r="E389" s="21"/>
      <c r="F389" s="21"/>
      <c r="G389" s="21"/>
      <c r="H389" s="2"/>
      <c r="I389" s="21"/>
      <c r="J389" s="21"/>
      <c r="K389" s="21"/>
      <c r="L389" s="21"/>
      <c r="M389" s="21"/>
      <c r="N389" s="21"/>
      <c r="O389" s="21"/>
      <c r="P389" s="21"/>
      <c r="Q389" s="19"/>
      <c r="R389" s="19"/>
      <c r="S389" s="19"/>
      <c r="T389" s="19"/>
      <c r="U389" s="19"/>
      <c r="V389" s="19"/>
      <c r="W389" s="19"/>
      <c r="X389" s="19"/>
      <c r="Y389" s="19"/>
      <c r="Z389" s="19"/>
    </row>
    <row r="390">
      <c r="A390" s="21"/>
      <c r="B390" s="21"/>
      <c r="C390" s="21"/>
      <c r="D390" s="21"/>
      <c r="E390" s="21"/>
      <c r="F390" s="21"/>
      <c r="G390" s="21"/>
      <c r="H390" s="2"/>
      <c r="I390" s="21"/>
      <c r="J390" s="21"/>
      <c r="K390" s="21"/>
      <c r="L390" s="21"/>
      <c r="M390" s="21"/>
      <c r="N390" s="21"/>
      <c r="O390" s="21"/>
      <c r="P390" s="21"/>
      <c r="Q390" s="19"/>
      <c r="R390" s="19"/>
      <c r="S390" s="19"/>
      <c r="T390" s="19"/>
      <c r="U390" s="19"/>
      <c r="V390" s="19"/>
      <c r="W390" s="19"/>
      <c r="X390" s="19"/>
      <c r="Y390" s="19"/>
      <c r="Z390" s="19"/>
    </row>
    <row r="391">
      <c r="A391" s="21"/>
      <c r="B391" s="21"/>
      <c r="C391" s="21"/>
      <c r="D391" s="21"/>
      <c r="E391" s="21"/>
      <c r="F391" s="21"/>
      <c r="G391" s="21"/>
      <c r="H391" s="2"/>
      <c r="I391" s="21"/>
      <c r="J391" s="21"/>
      <c r="K391" s="21"/>
      <c r="L391" s="21"/>
      <c r="M391" s="21"/>
      <c r="N391" s="21"/>
      <c r="O391" s="21"/>
      <c r="P391" s="21"/>
      <c r="Q391" s="19"/>
      <c r="R391" s="19"/>
      <c r="S391" s="19"/>
      <c r="T391" s="19"/>
      <c r="U391" s="19"/>
      <c r="V391" s="19"/>
      <c r="W391" s="19"/>
      <c r="X391" s="19"/>
      <c r="Y391" s="19"/>
      <c r="Z391" s="19"/>
    </row>
    <row r="392">
      <c r="A392" s="21"/>
      <c r="B392" s="21"/>
      <c r="C392" s="21"/>
      <c r="D392" s="21"/>
      <c r="E392" s="21"/>
      <c r="F392" s="21"/>
      <c r="G392" s="21"/>
      <c r="H392" s="2"/>
      <c r="I392" s="21"/>
      <c r="J392" s="21"/>
      <c r="K392" s="21"/>
      <c r="L392" s="21"/>
      <c r="M392" s="21"/>
      <c r="N392" s="21"/>
      <c r="O392" s="21"/>
      <c r="P392" s="21"/>
      <c r="Q392" s="19"/>
      <c r="R392" s="19"/>
      <c r="S392" s="19"/>
      <c r="T392" s="19"/>
      <c r="U392" s="19"/>
      <c r="V392" s="19"/>
      <c r="W392" s="19"/>
      <c r="X392" s="19"/>
      <c r="Y392" s="19"/>
      <c r="Z392" s="19"/>
    </row>
    <row r="393">
      <c r="A393" s="21"/>
      <c r="B393" s="21"/>
      <c r="C393" s="21"/>
      <c r="D393" s="21"/>
      <c r="E393" s="21"/>
      <c r="F393" s="21"/>
      <c r="G393" s="21"/>
      <c r="H393" s="2"/>
      <c r="I393" s="21"/>
      <c r="J393" s="21"/>
      <c r="K393" s="21"/>
      <c r="L393" s="21"/>
      <c r="M393" s="21"/>
      <c r="N393" s="21"/>
      <c r="O393" s="21"/>
      <c r="P393" s="21"/>
      <c r="Q393" s="19"/>
      <c r="R393" s="19"/>
      <c r="S393" s="19"/>
      <c r="T393" s="19"/>
      <c r="U393" s="19"/>
      <c r="V393" s="19"/>
      <c r="W393" s="19"/>
      <c r="X393" s="19"/>
      <c r="Y393" s="19"/>
      <c r="Z393" s="19"/>
    </row>
    <row r="394">
      <c r="A394" s="21"/>
      <c r="B394" s="21"/>
      <c r="C394" s="21"/>
      <c r="D394" s="21"/>
      <c r="E394" s="21"/>
      <c r="F394" s="21"/>
      <c r="G394" s="21"/>
      <c r="H394" s="2"/>
      <c r="I394" s="21"/>
      <c r="J394" s="21"/>
      <c r="K394" s="21"/>
      <c r="L394" s="21"/>
      <c r="M394" s="21"/>
      <c r="N394" s="21"/>
      <c r="O394" s="21"/>
      <c r="P394" s="21"/>
      <c r="Q394" s="19"/>
      <c r="R394" s="19"/>
      <c r="S394" s="19"/>
      <c r="T394" s="19"/>
      <c r="U394" s="19"/>
      <c r="V394" s="19"/>
      <c r="W394" s="19"/>
      <c r="X394" s="19"/>
      <c r="Y394" s="19"/>
      <c r="Z394" s="19"/>
    </row>
    <row r="395">
      <c r="A395" s="21"/>
      <c r="B395" s="21"/>
      <c r="C395" s="21"/>
      <c r="D395" s="21"/>
      <c r="E395" s="21"/>
      <c r="F395" s="21"/>
      <c r="G395" s="21"/>
      <c r="H395" s="2"/>
      <c r="I395" s="21"/>
      <c r="J395" s="21"/>
      <c r="K395" s="21"/>
      <c r="L395" s="21"/>
      <c r="M395" s="21"/>
      <c r="N395" s="21"/>
      <c r="O395" s="21"/>
      <c r="P395" s="21"/>
      <c r="Q395" s="19"/>
      <c r="R395" s="19"/>
      <c r="S395" s="19"/>
      <c r="T395" s="19"/>
      <c r="U395" s="19"/>
      <c r="V395" s="19"/>
      <c r="W395" s="19"/>
      <c r="X395" s="19"/>
      <c r="Y395" s="19"/>
      <c r="Z395" s="19"/>
    </row>
    <row r="396">
      <c r="A396" s="21"/>
      <c r="B396" s="21"/>
      <c r="C396" s="21"/>
      <c r="D396" s="21"/>
      <c r="E396" s="21"/>
      <c r="F396" s="21"/>
      <c r="G396" s="21"/>
      <c r="H396" s="2"/>
      <c r="I396" s="21"/>
      <c r="J396" s="21"/>
      <c r="K396" s="21"/>
      <c r="L396" s="21"/>
      <c r="M396" s="21"/>
      <c r="N396" s="21"/>
      <c r="O396" s="21"/>
      <c r="P396" s="21"/>
      <c r="Q396" s="19"/>
      <c r="R396" s="19"/>
      <c r="S396" s="19"/>
      <c r="T396" s="19"/>
      <c r="U396" s="19"/>
      <c r="V396" s="19"/>
      <c r="W396" s="19"/>
      <c r="X396" s="19"/>
      <c r="Y396" s="19"/>
      <c r="Z396" s="19"/>
    </row>
    <row r="397">
      <c r="A397" s="21"/>
      <c r="B397" s="21"/>
      <c r="C397" s="21"/>
      <c r="D397" s="21"/>
      <c r="E397" s="21"/>
      <c r="F397" s="21"/>
      <c r="G397" s="21"/>
      <c r="H397" s="2"/>
      <c r="I397" s="21"/>
      <c r="J397" s="21"/>
      <c r="K397" s="21"/>
      <c r="L397" s="21"/>
      <c r="M397" s="21"/>
      <c r="N397" s="21"/>
      <c r="O397" s="21"/>
      <c r="P397" s="21"/>
      <c r="Q397" s="19"/>
      <c r="R397" s="19"/>
      <c r="S397" s="19"/>
      <c r="T397" s="19"/>
      <c r="U397" s="19"/>
      <c r="V397" s="19"/>
      <c r="W397" s="19"/>
      <c r="X397" s="19"/>
      <c r="Y397" s="19"/>
      <c r="Z397" s="19"/>
    </row>
    <row r="398">
      <c r="A398" s="21"/>
      <c r="B398" s="21"/>
      <c r="C398" s="21"/>
      <c r="D398" s="21"/>
      <c r="E398" s="21"/>
      <c r="F398" s="21"/>
      <c r="G398" s="21"/>
      <c r="H398" s="2"/>
      <c r="I398" s="21"/>
      <c r="J398" s="21"/>
      <c r="K398" s="21"/>
      <c r="L398" s="21"/>
      <c r="M398" s="21"/>
      <c r="N398" s="21"/>
      <c r="O398" s="21"/>
      <c r="P398" s="21"/>
      <c r="Q398" s="19"/>
      <c r="R398" s="19"/>
      <c r="S398" s="19"/>
      <c r="T398" s="19"/>
      <c r="U398" s="19"/>
      <c r="V398" s="19"/>
      <c r="W398" s="19"/>
      <c r="X398" s="19"/>
      <c r="Y398" s="19"/>
      <c r="Z398" s="19"/>
    </row>
    <row r="399">
      <c r="A399" s="21"/>
      <c r="B399" s="21"/>
      <c r="C399" s="21"/>
      <c r="D399" s="21"/>
      <c r="E399" s="21"/>
      <c r="F399" s="21"/>
      <c r="G399" s="21"/>
      <c r="H399" s="2"/>
      <c r="I399" s="21"/>
      <c r="J399" s="21"/>
      <c r="K399" s="21"/>
      <c r="L399" s="21"/>
      <c r="M399" s="21"/>
      <c r="N399" s="21"/>
      <c r="O399" s="21"/>
      <c r="P399" s="21"/>
      <c r="Q399" s="19"/>
      <c r="R399" s="19"/>
      <c r="S399" s="19"/>
      <c r="T399" s="19"/>
      <c r="U399" s="19"/>
      <c r="V399" s="19"/>
      <c r="W399" s="19"/>
      <c r="X399" s="19"/>
      <c r="Y399" s="19"/>
      <c r="Z399" s="19"/>
    </row>
    <row r="400">
      <c r="A400" s="21"/>
      <c r="B400" s="21"/>
      <c r="C400" s="21"/>
      <c r="D400" s="21"/>
      <c r="E400" s="21"/>
      <c r="F400" s="21"/>
      <c r="G400" s="21"/>
      <c r="H400" s="2"/>
      <c r="I400" s="21"/>
      <c r="J400" s="21"/>
      <c r="K400" s="21"/>
      <c r="L400" s="21"/>
      <c r="M400" s="21"/>
      <c r="N400" s="21"/>
      <c r="O400" s="21"/>
      <c r="P400" s="21"/>
      <c r="Q400" s="19"/>
      <c r="R400" s="19"/>
      <c r="S400" s="19"/>
      <c r="T400" s="19"/>
      <c r="U400" s="19"/>
      <c r="V400" s="19"/>
      <c r="W400" s="19"/>
      <c r="X400" s="19"/>
      <c r="Y400" s="19"/>
      <c r="Z400" s="19"/>
    </row>
    <row r="401">
      <c r="A401" s="21"/>
      <c r="B401" s="21"/>
      <c r="C401" s="21"/>
      <c r="D401" s="21"/>
      <c r="E401" s="21"/>
      <c r="F401" s="21"/>
      <c r="G401" s="21"/>
      <c r="H401" s="2"/>
      <c r="I401" s="21"/>
      <c r="J401" s="21"/>
      <c r="K401" s="21"/>
      <c r="L401" s="21"/>
      <c r="M401" s="21"/>
      <c r="N401" s="21"/>
      <c r="O401" s="21"/>
      <c r="P401" s="21"/>
      <c r="Q401" s="19"/>
      <c r="R401" s="19"/>
      <c r="S401" s="19"/>
      <c r="T401" s="19"/>
      <c r="U401" s="19"/>
      <c r="V401" s="19"/>
      <c r="W401" s="19"/>
      <c r="X401" s="19"/>
      <c r="Y401" s="19"/>
      <c r="Z401" s="19"/>
    </row>
    <row r="402">
      <c r="A402" s="21"/>
      <c r="B402" s="21"/>
      <c r="C402" s="21"/>
      <c r="D402" s="21"/>
      <c r="E402" s="21"/>
      <c r="F402" s="21"/>
      <c r="G402" s="21"/>
      <c r="H402" s="2"/>
      <c r="I402" s="21"/>
      <c r="J402" s="21"/>
      <c r="K402" s="21"/>
      <c r="L402" s="21"/>
      <c r="M402" s="21"/>
      <c r="N402" s="21"/>
      <c r="O402" s="21"/>
      <c r="P402" s="21"/>
      <c r="Q402" s="19"/>
      <c r="R402" s="19"/>
      <c r="S402" s="19"/>
      <c r="T402" s="19"/>
      <c r="U402" s="19"/>
      <c r="V402" s="19"/>
      <c r="W402" s="19"/>
      <c r="X402" s="19"/>
      <c r="Y402" s="19"/>
      <c r="Z402" s="19"/>
    </row>
    <row r="403">
      <c r="A403" s="21"/>
      <c r="B403" s="21"/>
      <c r="C403" s="21"/>
      <c r="D403" s="21"/>
      <c r="E403" s="21"/>
      <c r="F403" s="21"/>
      <c r="G403" s="21"/>
      <c r="H403" s="2"/>
      <c r="I403" s="21"/>
      <c r="J403" s="21"/>
      <c r="K403" s="21"/>
      <c r="L403" s="21"/>
      <c r="M403" s="21"/>
      <c r="N403" s="21"/>
      <c r="O403" s="21"/>
      <c r="P403" s="21"/>
      <c r="Q403" s="19"/>
      <c r="R403" s="19"/>
      <c r="S403" s="19"/>
      <c r="T403" s="19"/>
      <c r="U403" s="19"/>
      <c r="V403" s="19"/>
      <c r="W403" s="19"/>
      <c r="X403" s="19"/>
      <c r="Y403" s="19"/>
      <c r="Z403" s="19"/>
    </row>
    <row r="404">
      <c r="A404" s="21"/>
      <c r="B404" s="21"/>
      <c r="C404" s="21"/>
      <c r="D404" s="21"/>
      <c r="E404" s="21"/>
      <c r="F404" s="21"/>
      <c r="G404" s="21"/>
      <c r="H404" s="2"/>
      <c r="I404" s="21"/>
      <c r="J404" s="21"/>
      <c r="K404" s="21"/>
      <c r="L404" s="21"/>
      <c r="M404" s="21"/>
      <c r="N404" s="21"/>
      <c r="O404" s="21"/>
      <c r="P404" s="21"/>
      <c r="Q404" s="19"/>
      <c r="R404" s="19"/>
      <c r="S404" s="19"/>
      <c r="T404" s="19"/>
      <c r="U404" s="19"/>
      <c r="V404" s="19"/>
      <c r="W404" s="19"/>
      <c r="X404" s="19"/>
      <c r="Y404" s="19"/>
      <c r="Z404" s="19"/>
    </row>
    <row r="405">
      <c r="A405" s="21"/>
      <c r="B405" s="21"/>
      <c r="C405" s="21"/>
      <c r="D405" s="21"/>
      <c r="E405" s="21"/>
      <c r="F405" s="21"/>
      <c r="G405" s="21"/>
      <c r="H405" s="2"/>
      <c r="I405" s="21"/>
      <c r="J405" s="21"/>
      <c r="K405" s="21"/>
      <c r="L405" s="21"/>
      <c r="M405" s="21"/>
      <c r="N405" s="21"/>
      <c r="O405" s="21"/>
      <c r="P405" s="21"/>
      <c r="Q405" s="19"/>
      <c r="R405" s="19"/>
      <c r="S405" s="19"/>
      <c r="T405" s="19"/>
      <c r="U405" s="19"/>
      <c r="V405" s="19"/>
      <c r="W405" s="19"/>
      <c r="X405" s="19"/>
      <c r="Y405" s="19"/>
      <c r="Z405" s="19"/>
    </row>
    <row r="406">
      <c r="A406" s="21"/>
      <c r="B406" s="21"/>
      <c r="C406" s="21"/>
      <c r="D406" s="21"/>
      <c r="E406" s="21"/>
      <c r="F406" s="21"/>
      <c r="G406" s="21"/>
      <c r="H406" s="2"/>
      <c r="I406" s="21"/>
      <c r="J406" s="21"/>
      <c r="K406" s="21"/>
      <c r="L406" s="21"/>
      <c r="M406" s="21"/>
      <c r="N406" s="21"/>
      <c r="O406" s="21"/>
      <c r="P406" s="21"/>
      <c r="Q406" s="19"/>
      <c r="R406" s="19"/>
      <c r="S406" s="19"/>
      <c r="T406" s="19"/>
      <c r="U406" s="19"/>
      <c r="V406" s="19"/>
      <c r="W406" s="19"/>
      <c r="X406" s="19"/>
      <c r="Y406" s="19"/>
      <c r="Z406" s="19"/>
    </row>
    <row r="407">
      <c r="A407" s="21"/>
      <c r="B407" s="21"/>
      <c r="C407" s="21"/>
      <c r="D407" s="21"/>
      <c r="E407" s="21"/>
      <c r="F407" s="21"/>
      <c r="G407" s="21"/>
      <c r="H407" s="2"/>
      <c r="I407" s="21"/>
      <c r="J407" s="21"/>
      <c r="K407" s="21"/>
      <c r="L407" s="21"/>
      <c r="M407" s="21"/>
      <c r="N407" s="21"/>
      <c r="O407" s="21"/>
      <c r="P407" s="21"/>
      <c r="Q407" s="19"/>
      <c r="R407" s="19"/>
      <c r="S407" s="19"/>
      <c r="T407" s="19"/>
      <c r="U407" s="19"/>
      <c r="V407" s="19"/>
      <c r="W407" s="19"/>
      <c r="X407" s="19"/>
      <c r="Y407" s="19"/>
      <c r="Z407" s="19"/>
    </row>
    <row r="408">
      <c r="A408" s="21"/>
      <c r="B408" s="21"/>
      <c r="C408" s="21"/>
      <c r="D408" s="21"/>
      <c r="E408" s="21"/>
      <c r="F408" s="21"/>
      <c r="G408" s="21"/>
      <c r="H408" s="2"/>
      <c r="I408" s="21"/>
      <c r="J408" s="21"/>
      <c r="K408" s="21"/>
      <c r="L408" s="21"/>
      <c r="M408" s="21"/>
      <c r="N408" s="21"/>
      <c r="O408" s="21"/>
      <c r="P408" s="21"/>
      <c r="Q408" s="19"/>
      <c r="R408" s="19"/>
      <c r="S408" s="19"/>
      <c r="T408" s="19"/>
      <c r="U408" s="19"/>
      <c r="V408" s="19"/>
      <c r="W408" s="19"/>
      <c r="X408" s="19"/>
      <c r="Y408" s="19"/>
      <c r="Z408" s="19"/>
    </row>
    <row r="409">
      <c r="A409" s="21"/>
      <c r="B409" s="21"/>
      <c r="C409" s="21"/>
      <c r="D409" s="21"/>
      <c r="E409" s="21"/>
      <c r="F409" s="21"/>
      <c r="G409" s="21"/>
      <c r="H409" s="2"/>
      <c r="I409" s="21"/>
      <c r="J409" s="21"/>
      <c r="K409" s="21"/>
      <c r="L409" s="21"/>
      <c r="M409" s="21"/>
      <c r="N409" s="21"/>
      <c r="O409" s="21"/>
      <c r="P409" s="21"/>
      <c r="Q409" s="19"/>
      <c r="R409" s="19"/>
      <c r="S409" s="19"/>
      <c r="T409" s="19"/>
      <c r="U409" s="19"/>
      <c r="V409" s="19"/>
      <c r="W409" s="19"/>
      <c r="X409" s="19"/>
      <c r="Y409" s="19"/>
      <c r="Z409" s="19"/>
    </row>
    <row r="410">
      <c r="A410" s="21"/>
      <c r="B410" s="21"/>
      <c r="C410" s="21"/>
      <c r="D410" s="21"/>
      <c r="E410" s="21"/>
      <c r="F410" s="21"/>
      <c r="G410" s="21"/>
      <c r="H410" s="2"/>
      <c r="I410" s="21"/>
      <c r="J410" s="21"/>
      <c r="K410" s="21"/>
      <c r="L410" s="21"/>
      <c r="M410" s="21"/>
      <c r="N410" s="21"/>
      <c r="O410" s="21"/>
      <c r="P410" s="21"/>
      <c r="Q410" s="19"/>
      <c r="R410" s="19"/>
      <c r="S410" s="19"/>
      <c r="T410" s="19"/>
      <c r="U410" s="19"/>
      <c r="V410" s="19"/>
      <c r="W410" s="19"/>
      <c r="X410" s="19"/>
      <c r="Y410" s="19"/>
      <c r="Z410" s="19"/>
    </row>
    <row r="411">
      <c r="A411" s="21"/>
      <c r="B411" s="21"/>
      <c r="C411" s="21"/>
      <c r="D411" s="21"/>
      <c r="E411" s="21"/>
      <c r="F411" s="21"/>
      <c r="G411" s="21"/>
      <c r="H411" s="2"/>
      <c r="I411" s="21"/>
      <c r="J411" s="21"/>
      <c r="K411" s="21"/>
      <c r="L411" s="21"/>
      <c r="M411" s="21"/>
      <c r="N411" s="21"/>
      <c r="O411" s="21"/>
      <c r="P411" s="21"/>
      <c r="Q411" s="19"/>
      <c r="R411" s="19"/>
      <c r="S411" s="19"/>
      <c r="T411" s="19"/>
      <c r="U411" s="19"/>
      <c r="V411" s="19"/>
      <c r="W411" s="19"/>
      <c r="X411" s="19"/>
      <c r="Y411" s="19"/>
      <c r="Z411" s="19"/>
    </row>
    <row r="412">
      <c r="A412" s="21"/>
      <c r="B412" s="21"/>
      <c r="C412" s="21"/>
      <c r="D412" s="21"/>
      <c r="E412" s="21"/>
      <c r="F412" s="21"/>
      <c r="G412" s="21"/>
      <c r="H412" s="2"/>
      <c r="I412" s="21"/>
      <c r="J412" s="21"/>
      <c r="K412" s="21"/>
      <c r="L412" s="21"/>
      <c r="M412" s="21"/>
      <c r="N412" s="21"/>
      <c r="O412" s="21"/>
      <c r="P412" s="21"/>
      <c r="Q412" s="19"/>
      <c r="R412" s="19"/>
      <c r="S412" s="19"/>
      <c r="T412" s="19"/>
      <c r="U412" s="19"/>
      <c r="V412" s="19"/>
      <c r="W412" s="19"/>
      <c r="X412" s="19"/>
      <c r="Y412" s="19"/>
      <c r="Z412" s="19"/>
    </row>
    <row r="413">
      <c r="A413" s="21"/>
      <c r="B413" s="21"/>
      <c r="C413" s="21"/>
      <c r="D413" s="21"/>
      <c r="E413" s="21"/>
      <c r="F413" s="21"/>
      <c r="G413" s="21"/>
      <c r="H413" s="2"/>
      <c r="I413" s="21"/>
      <c r="J413" s="21"/>
      <c r="K413" s="21"/>
      <c r="L413" s="21"/>
      <c r="M413" s="21"/>
      <c r="N413" s="21"/>
      <c r="O413" s="21"/>
      <c r="P413" s="21"/>
      <c r="Q413" s="19"/>
      <c r="R413" s="19"/>
      <c r="S413" s="19"/>
      <c r="T413" s="19"/>
      <c r="U413" s="19"/>
      <c r="V413" s="19"/>
      <c r="W413" s="19"/>
      <c r="X413" s="19"/>
      <c r="Y413" s="19"/>
      <c r="Z413" s="19"/>
    </row>
    <row r="414">
      <c r="A414" s="21"/>
      <c r="B414" s="21"/>
      <c r="C414" s="21"/>
      <c r="D414" s="21"/>
      <c r="E414" s="21"/>
      <c r="F414" s="21"/>
      <c r="G414" s="21"/>
      <c r="H414" s="2"/>
      <c r="I414" s="21"/>
      <c r="J414" s="21"/>
      <c r="K414" s="21"/>
      <c r="L414" s="21"/>
      <c r="M414" s="21"/>
      <c r="N414" s="21"/>
      <c r="O414" s="21"/>
      <c r="P414" s="21"/>
      <c r="Q414" s="19"/>
      <c r="R414" s="19"/>
      <c r="S414" s="19"/>
      <c r="T414" s="19"/>
      <c r="U414" s="19"/>
      <c r="V414" s="19"/>
      <c r="W414" s="19"/>
      <c r="X414" s="19"/>
      <c r="Y414" s="19"/>
      <c r="Z414" s="19"/>
    </row>
    <row r="415">
      <c r="A415" s="21"/>
      <c r="B415" s="21"/>
      <c r="C415" s="21"/>
      <c r="D415" s="21"/>
      <c r="E415" s="21"/>
      <c r="F415" s="21"/>
      <c r="G415" s="21"/>
      <c r="H415" s="2"/>
      <c r="I415" s="21"/>
      <c r="J415" s="21"/>
      <c r="K415" s="21"/>
      <c r="L415" s="21"/>
      <c r="M415" s="21"/>
      <c r="N415" s="21"/>
      <c r="O415" s="21"/>
      <c r="P415" s="21"/>
      <c r="Q415" s="19"/>
      <c r="R415" s="19"/>
      <c r="S415" s="19"/>
      <c r="T415" s="19"/>
      <c r="U415" s="19"/>
      <c r="V415" s="19"/>
      <c r="W415" s="19"/>
      <c r="X415" s="19"/>
      <c r="Y415" s="19"/>
      <c r="Z415" s="19"/>
    </row>
    <row r="416">
      <c r="A416" s="21"/>
      <c r="B416" s="21"/>
      <c r="C416" s="21"/>
      <c r="D416" s="21"/>
      <c r="E416" s="21"/>
      <c r="F416" s="21"/>
      <c r="G416" s="21"/>
      <c r="H416" s="2"/>
      <c r="I416" s="21"/>
      <c r="J416" s="21"/>
      <c r="K416" s="21"/>
      <c r="L416" s="21"/>
      <c r="M416" s="21"/>
      <c r="N416" s="21"/>
      <c r="O416" s="21"/>
      <c r="P416" s="21"/>
      <c r="Q416" s="19"/>
      <c r="R416" s="19"/>
      <c r="S416" s="19"/>
      <c r="T416" s="19"/>
      <c r="U416" s="19"/>
      <c r="V416" s="19"/>
      <c r="W416" s="19"/>
      <c r="X416" s="19"/>
      <c r="Y416" s="19"/>
      <c r="Z416" s="19"/>
    </row>
    <row r="417">
      <c r="A417" s="21"/>
      <c r="B417" s="21"/>
      <c r="C417" s="21"/>
      <c r="D417" s="21"/>
      <c r="E417" s="21"/>
      <c r="F417" s="21"/>
      <c r="G417" s="21"/>
      <c r="H417" s="2"/>
      <c r="I417" s="21"/>
      <c r="J417" s="21"/>
      <c r="K417" s="21"/>
      <c r="L417" s="21"/>
      <c r="M417" s="21"/>
      <c r="N417" s="21"/>
      <c r="O417" s="21"/>
      <c r="P417" s="21"/>
      <c r="Q417" s="19"/>
      <c r="R417" s="19"/>
      <c r="S417" s="19"/>
      <c r="T417" s="19"/>
      <c r="U417" s="19"/>
      <c r="V417" s="19"/>
      <c r="W417" s="19"/>
      <c r="X417" s="19"/>
      <c r="Y417" s="19"/>
      <c r="Z417" s="19"/>
    </row>
    <row r="418">
      <c r="A418" s="21"/>
      <c r="B418" s="21"/>
      <c r="C418" s="21"/>
      <c r="D418" s="21"/>
      <c r="E418" s="21"/>
      <c r="F418" s="21"/>
      <c r="G418" s="21"/>
      <c r="H418" s="2"/>
      <c r="I418" s="21"/>
      <c r="J418" s="21"/>
      <c r="K418" s="21"/>
      <c r="L418" s="21"/>
      <c r="M418" s="21"/>
      <c r="N418" s="21"/>
      <c r="O418" s="21"/>
      <c r="P418" s="21"/>
      <c r="Q418" s="19"/>
      <c r="R418" s="19"/>
      <c r="S418" s="19"/>
      <c r="T418" s="19"/>
      <c r="U418" s="19"/>
      <c r="V418" s="19"/>
      <c r="W418" s="19"/>
      <c r="X418" s="19"/>
      <c r="Y418" s="19"/>
      <c r="Z418" s="19"/>
    </row>
    <row r="419">
      <c r="A419" s="21"/>
      <c r="B419" s="21"/>
      <c r="C419" s="21"/>
      <c r="D419" s="21"/>
      <c r="E419" s="21"/>
      <c r="F419" s="21"/>
      <c r="G419" s="21"/>
      <c r="H419" s="2"/>
      <c r="I419" s="21"/>
      <c r="J419" s="21"/>
      <c r="K419" s="21"/>
      <c r="L419" s="21"/>
      <c r="M419" s="21"/>
      <c r="N419" s="21"/>
      <c r="O419" s="21"/>
      <c r="P419" s="21"/>
      <c r="Q419" s="19"/>
      <c r="R419" s="19"/>
      <c r="S419" s="19"/>
      <c r="T419" s="19"/>
      <c r="U419" s="19"/>
      <c r="V419" s="19"/>
      <c r="W419" s="19"/>
      <c r="X419" s="19"/>
      <c r="Y419" s="19"/>
      <c r="Z419" s="19"/>
    </row>
    <row r="420">
      <c r="A420" s="21"/>
      <c r="B420" s="21"/>
      <c r="C420" s="21"/>
      <c r="D420" s="21"/>
      <c r="E420" s="21"/>
      <c r="F420" s="21"/>
      <c r="G420" s="21"/>
      <c r="H420" s="2"/>
      <c r="I420" s="21"/>
      <c r="J420" s="21"/>
      <c r="K420" s="21"/>
      <c r="L420" s="21"/>
      <c r="M420" s="21"/>
      <c r="N420" s="21"/>
      <c r="O420" s="21"/>
      <c r="P420" s="21"/>
      <c r="Q420" s="19"/>
      <c r="R420" s="19"/>
      <c r="S420" s="19"/>
      <c r="T420" s="19"/>
      <c r="U420" s="19"/>
      <c r="V420" s="19"/>
      <c r="W420" s="19"/>
      <c r="X420" s="19"/>
      <c r="Y420" s="19"/>
      <c r="Z420" s="19"/>
    </row>
    <row r="421">
      <c r="A421" s="21"/>
      <c r="B421" s="21"/>
      <c r="C421" s="21"/>
      <c r="D421" s="21"/>
      <c r="E421" s="21"/>
      <c r="F421" s="21"/>
      <c r="G421" s="21"/>
      <c r="H421" s="2"/>
      <c r="I421" s="21"/>
      <c r="J421" s="21"/>
      <c r="K421" s="21"/>
      <c r="L421" s="21"/>
      <c r="M421" s="21"/>
      <c r="N421" s="21"/>
      <c r="O421" s="21"/>
      <c r="P421" s="21"/>
      <c r="Q421" s="19"/>
      <c r="R421" s="19"/>
      <c r="S421" s="19"/>
      <c r="T421" s="19"/>
      <c r="U421" s="19"/>
      <c r="V421" s="19"/>
      <c r="W421" s="19"/>
      <c r="X421" s="19"/>
      <c r="Y421" s="19"/>
      <c r="Z421" s="19"/>
    </row>
    <row r="422">
      <c r="A422" s="21"/>
      <c r="B422" s="21"/>
      <c r="C422" s="21"/>
      <c r="D422" s="21"/>
      <c r="E422" s="21"/>
      <c r="F422" s="21"/>
      <c r="G422" s="21"/>
      <c r="H422" s="2"/>
      <c r="I422" s="21"/>
      <c r="J422" s="21"/>
      <c r="K422" s="21"/>
      <c r="L422" s="21"/>
      <c r="M422" s="21"/>
      <c r="N422" s="21"/>
      <c r="O422" s="21"/>
      <c r="P422" s="21"/>
      <c r="Q422" s="19"/>
      <c r="R422" s="19"/>
      <c r="S422" s="19"/>
      <c r="T422" s="19"/>
      <c r="U422" s="19"/>
      <c r="V422" s="19"/>
      <c r="W422" s="19"/>
      <c r="X422" s="19"/>
      <c r="Y422" s="19"/>
      <c r="Z422" s="19"/>
    </row>
    <row r="423">
      <c r="A423" s="21"/>
      <c r="B423" s="21"/>
      <c r="C423" s="21"/>
      <c r="D423" s="21"/>
      <c r="E423" s="21"/>
      <c r="F423" s="21"/>
      <c r="G423" s="21"/>
      <c r="H423" s="2"/>
      <c r="I423" s="21"/>
      <c r="J423" s="21"/>
      <c r="K423" s="21"/>
      <c r="L423" s="21"/>
      <c r="M423" s="21"/>
      <c r="N423" s="21"/>
      <c r="O423" s="21"/>
      <c r="P423" s="21"/>
      <c r="Q423" s="19"/>
      <c r="R423" s="19"/>
      <c r="S423" s="19"/>
      <c r="T423" s="19"/>
      <c r="U423" s="19"/>
      <c r="V423" s="19"/>
      <c r="W423" s="19"/>
      <c r="X423" s="19"/>
      <c r="Y423" s="19"/>
      <c r="Z423" s="19"/>
    </row>
    <row r="424">
      <c r="A424" s="21"/>
      <c r="B424" s="21"/>
      <c r="C424" s="21"/>
      <c r="D424" s="21"/>
      <c r="E424" s="21"/>
      <c r="F424" s="21"/>
      <c r="G424" s="21"/>
      <c r="H424" s="2"/>
      <c r="I424" s="21"/>
      <c r="J424" s="21"/>
      <c r="K424" s="21"/>
      <c r="L424" s="21"/>
      <c r="M424" s="21"/>
      <c r="N424" s="21"/>
      <c r="O424" s="21"/>
      <c r="P424" s="21"/>
      <c r="Q424" s="19"/>
      <c r="R424" s="19"/>
      <c r="S424" s="19"/>
      <c r="T424" s="19"/>
      <c r="U424" s="19"/>
      <c r="V424" s="19"/>
      <c r="W424" s="19"/>
      <c r="X424" s="19"/>
      <c r="Y424" s="19"/>
      <c r="Z424" s="19"/>
    </row>
    <row r="425">
      <c r="A425" s="21"/>
      <c r="B425" s="21"/>
      <c r="C425" s="21"/>
      <c r="D425" s="21"/>
      <c r="E425" s="21"/>
      <c r="F425" s="21"/>
      <c r="G425" s="21"/>
      <c r="H425" s="2"/>
      <c r="I425" s="21"/>
      <c r="J425" s="21"/>
      <c r="K425" s="21"/>
      <c r="L425" s="21"/>
      <c r="M425" s="21"/>
      <c r="N425" s="21"/>
      <c r="O425" s="21"/>
      <c r="P425" s="21"/>
      <c r="Q425" s="19"/>
      <c r="R425" s="19"/>
      <c r="S425" s="19"/>
      <c r="T425" s="19"/>
      <c r="U425" s="19"/>
      <c r="V425" s="19"/>
      <c r="W425" s="19"/>
      <c r="X425" s="19"/>
      <c r="Y425" s="19"/>
      <c r="Z425" s="19"/>
    </row>
    <row r="426">
      <c r="A426" s="21"/>
      <c r="B426" s="21"/>
      <c r="C426" s="21"/>
      <c r="D426" s="21"/>
      <c r="E426" s="21"/>
      <c r="F426" s="21"/>
      <c r="G426" s="21"/>
      <c r="H426" s="2"/>
      <c r="I426" s="21"/>
      <c r="J426" s="21"/>
      <c r="K426" s="21"/>
      <c r="L426" s="21"/>
      <c r="M426" s="21"/>
      <c r="N426" s="21"/>
      <c r="O426" s="21"/>
      <c r="P426" s="21"/>
      <c r="Q426" s="19"/>
      <c r="R426" s="19"/>
      <c r="S426" s="19"/>
      <c r="T426" s="19"/>
      <c r="U426" s="19"/>
      <c r="V426" s="19"/>
      <c r="W426" s="19"/>
      <c r="X426" s="19"/>
      <c r="Y426" s="19"/>
      <c r="Z426" s="19"/>
    </row>
    <row r="427">
      <c r="A427" s="21"/>
      <c r="B427" s="21"/>
      <c r="C427" s="21"/>
      <c r="D427" s="21"/>
      <c r="E427" s="21"/>
      <c r="F427" s="21"/>
      <c r="G427" s="21"/>
      <c r="H427" s="2"/>
      <c r="I427" s="21"/>
      <c r="J427" s="21"/>
      <c r="K427" s="21"/>
      <c r="L427" s="21"/>
      <c r="M427" s="21"/>
      <c r="N427" s="21"/>
      <c r="O427" s="21"/>
      <c r="P427" s="21"/>
      <c r="Q427" s="19"/>
      <c r="R427" s="19"/>
      <c r="S427" s="19"/>
      <c r="T427" s="19"/>
      <c r="U427" s="19"/>
      <c r="V427" s="19"/>
      <c r="W427" s="19"/>
      <c r="X427" s="19"/>
      <c r="Y427" s="19"/>
      <c r="Z427" s="19"/>
    </row>
    <row r="428">
      <c r="A428" s="21"/>
      <c r="B428" s="21"/>
      <c r="C428" s="21"/>
      <c r="D428" s="21"/>
      <c r="E428" s="21"/>
      <c r="F428" s="21"/>
      <c r="G428" s="21"/>
      <c r="H428" s="2"/>
      <c r="I428" s="21"/>
      <c r="J428" s="21"/>
      <c r="K428" s="21"/>
      <c r="L428" s="21"/>
      <c r="M428" s="21"/>
      <c r="N428" s="21"/>
      <c r="O428" s="21"/>
      <c r="P428" s="21"/>
      <c r="Q428" s="19"/>
      <c r="R428" s="19"/>
      <c r="S428" s="19"/>
      <c r="T428" s="19"/>
      <c r="U428" s="19"/>
      <c r="V428" s="19"/>
      <c r="W428" s="19"/>
      <c r="X428" s="19"/>
      <c r="Y428" s="19"/>
      <c r="Z428" s="19"/>
    </row>
    <row r="429">
      <c r="A429" s="21"/>
      <c r="B429" s="21"/>
      <c r="C429" s="21"/>
      <c r="D429" s="21"/>
      <c r="E429" s="21"/>
      <c r="F429" s="21"/>
      <c r="G429" s="21"/>
      <c r="H429" s="2"/>
      <c r="I429" s="21"/>
      <c r="J429" s="21"/>
      <c r="K429" s="21"/>
      <c r="L429" s="21"/>
      <c r="M429" s="21"/>
      <c r="N429" s="21"/>
      <c r="O429" s="21"/>
      <c r="P429" s="21"/>
      <c r="Q429" s="19"/>
      <c r="R429" s="19"/>
      <c r="S429" s="19"/>
      <c r="T429" s="19"/>
      <c r="U429" s="19"/>
      <c r="V429" s="19"/>
      <c r="W429" s="19"/>
      <c r="X429" s="19"/>
      <c r="Y429" s="19"/>
      <c r="Z429" s="19"/>
    </row>
    <row r="430">
      <c r="A430" s="21"/>
      <c r="B430" s="21"/>
      <c r="C430" s="21"/>
      <c r="D430" s="21"/>
      <c r="E430" s="21"/>
      <c r="F430" s="21"/>
      <c r="G430" s="21"/>
      <c r="H430" s="2"/>
      <c r="I430" s="21"/>
      <c r="J430" s="21"/>
      <c r="K430" s="21"/>
      <c r="L430" s="21"/>
      <c r="M430" s="21"/>
      <c r="N430" s="21"/>
      <c r="O430" s="21"/>
      <c r="P430" s="21"/>
      <c r="Q430" s="19"/>
      <c r="R430" s="19"/>
      <c r="S430" s="19"/>
      <c r="T430" s="19"/>
      <c r="U430" s="19"/>
      <c r="V430" s="19"/>
      <c r="W430" s="19"/>
      <c r="X430" s="19"/>
      <c r="Y430" s="19"/>
      <c r="Z430" s="19"/>
    </row>
    <row r="431">
      <c r="A431" s="21"/>
      <c r="B431" s="21"/>
      <c r="C431" s="21"/>
      <c r="D431" s="21"/>
      <c r="E431" s="21"/>
      <c r="F431" s="21"/>
      <c r="G431" s="21"/>
      <c r="H431" s="2"/>
      <c r="I431" s="21"/>
      <c r="J431" s="21"/>
      <c r="K431" s="21"/>
      <c r="L431" s="21"/>
      <c r="M431" s="21"/>
      <c r="N431" s="21"/>
      <c r="O431" s="21"/>
      <c r="P431" s="21"/>
      <c r="Q431" s="19"/>
      <c r="R431" s="19"/>
      <c r="S431" s="19"/>
      <c r="T431" s="19"/>
      <c r="U431" s="19"/>
      <c r="V431" s="19"/>
      <c r="W431" s="19"/>
      <c r="X431" s="19"/>
      <c r="Y431" s="19"/>
      <c r="Z431" s="19"/>
    </row>
    <row r="432">
      <c r="A432" s="21"/>
      <c r="B432" s="21"/>
      <c r="C432" s="21"/>
      <c r="D432" s="21"/>
      <c r="E432" s="21"/>
      <c r="F432" s="21"/>
      <c r="G432" s="21"/>
      <c r="H432" s="2"/>
      <c r="I432" s="21"/>
      <c r="J432" s="21"/>
      <c r="K432" s="21"/>
      <c r="L432" s="21"/>
      <c r="M432" s="21"/>
      <c r="N432" s="21"/>
      <c r="O432" s="21"/>
      <c r="P432" s="21"/>
      <c r="Q432" s="19"/>
      <c r="R432" s="19"/>
      <c r="S432" s="19"/>
      <c r="T432" s="19"/>
      <c r="U432" s="19"/>
      <c r="V432" s="19"/>
      <c r="W432" s="19"/>
      <c r="X432" s="19"/>
      <c r="Y432" s="19"/>
      <c r="Z432" s="19"/>
    </row>
    <row r="433">
      <c r="A433" s="21"/>
      <c r="B433" s="21"/>
      <c r="C433" s="21"/>
      <c r="D433" s="21"/>
      <c r="E433" s="21"/>
      <c r="F433" s="21"/>
      <c r="G433" s="21"/>
      <c r="H433" s="2"/>
      <c r="I433" s="21"/>
      <c r="J433" s="21"/>
      <c r="K433" s="21"/>
      <c r="L433" s="21"/>
      <c r="M433" s="21"/>
      <c r="N433" s="21"/>
      <c r="O433" s="21"/>
      <c r="P433" s="21"/>
      <c r="Q433" s="19"/>
      <c r="R433" s="19"/>
      <c r="S433" s="19"/>
      <c r="T433" s="19"/>
      <c r="U433" s="19"/>
      <c r="V433" s="19"/>
      <c r="W433" s="19"/>
      <c r="X433" s="19"/>
      <c r="Y433" s="19"/>
      <c r="Z433" s="19"/>
    </row>
    <row r="434">
      <c r="A434" s="21"/>
      <c r="B434" s="21"/>
      <c r="C434" s="21"/>
      <c r="D434" s="21"/>
      <c r="E434" s="21"/>
      <c r="F434" s="21"/>
      <c r="G434" s="21"/>
      <c r="H434" s="2"/>
      <c r="I434" s="21"/>
      <c r="J434" s="21"/>
      <c r="K434" s="21"/>
      <c r="L434" s="21"/>
      <c r="M434" s="21"/>
      <c r="N434" s="21"/>
      <c r="O434" s="21"/>
      <c r="P434" s="21"/>
      <c r="Q434" s="19"/>
      <c r="R434" s="19"/>
      <c r="S434" s="19"/>
      <c r="T434" s="19"/>
      <c r="U434" s="19"/>
      <c r="V434" s="19"/>
      <c r="W434" s="19"/>
      <c r="X434" s="19"/>
      <c r="Y434" s="19"/>
      <c r="Z434" s="19"/>
    </row>
    <row r="435">
      <c r="A435" s="21"/>
      <c r="B435" s="21"/>
      <c r="C435" s="21"/>
      <c r="D435" s="21"/>
      <c r="E435" s="21"/>
      <c r="F435" s="21"/>
      <c r="G435" s="21"/>
      <c r="H435" s="2"/>
      <c r="I435" s="21"/>
      <c r="J435" s="21"/>
      <c r="K435" s="21"/>
      <c r="L435" s="21"/>
      <c r="M435" s="21"/>
      <c r="N435" s="21"/>
      <c r="O435" s="21"/>
      <c r="P435" s="21"/>
      <c r="Q435" s="19"/>
      <c r="R435" s="19"/>
      <c r="S435" s="19"/>
      <c r="T435" s="19"/>
      <c r="U435" s="19"/>
      <c r="V435" s="19"/>
      <c r="W435" s="19"/>
      <c r="X435" s="19"/>
      <c r="Y435" s="19"/>
      <c r="Z435" s="19"/>
    </row>
    <row r="436">
      <c r="A436" s="21"/>
      <c r="B436" s="21"/>
      <c r="C436" s="21"/>
      <c r="D436" s="21"/>
      <c r="E436" s="21"/>
      <c r="F436" s="21"/>
      <c r="G436" s="21"/>
      <c r="H436" s="2"/>
      <c r="I436" s="21"/>
      <c r="J436" s="21"/>
      <c r="K436" s="21"/>
      <c r="L436" s="21"/>
      <c r="M436" s="21"/>
      <c r="N436" s="21"/>
      <c r="O436" s="21"/>
      <c r="P436" s="21"/>
      <c r="Q436" s="19"/>
      <c r="R436" s="19"/>
      <c r="S436" s="19"/>
      <c r="T436" s="19"/>
      <c r="U436" s="19"/>
      <c r="V436" s="19"/>
      <c r="W436" s="19"/>
      <c r="X436" s="19"/>
      <c r="Y436" s="19"/>
      <c r="Z436" s="19"/>
    </row>
    <row r="437">
      <c r="A437" s="21"/>
      <c r="B437" s="21"/>
      <c r="C437" s="21"/>
      <c r="D437" s="21"/>
      <c r="E437" s="21"/>
      <c r="F437" s="21"/>
      <c r="G437" s="21"/>
      <c r="H437" s="2"/>
      <c r="I437" s="21"/>
      <c r="J437" s="21"/>
      <c r="K437" s="21"/>
      <c r="L437" s="21"/>
      <c r="M437" s="21"/>
      <c r="N437" s="21"/>
      <c r="O437" s="21"/>
      <c r="P437" s="21"/>
      <c r="Q437" s="19"/>
      <c r="R437" s="19"/>
      <c r="S437" s="19"/>
      <c r="T437" s="19"/>
      <c r="U437" s="19"/>
      <c r="V437" s="19"/>
      <c r="W437" s="19"/>
      <c r="X437" s="19"/>
      <c r="Y437" s="19"/>
      <c r="Z437" s="19"/>
    </row>
    <row r="438">
      <c r="A438" s="21"/>
      <c r="B438" s="21"/>
      <c r="C438" s="21"/>
      <c r="D438" s="21"/>
      <c r="E438" s="21"/>
      <c r="F438" s="21"/>
      <c r="G438" s="21"/>
      <c r="H438" s="2"/>
      <c r="I438" s="21"/>
      <c r="J438" s="21"/>
      <c r="K438" s="21"/>
      <c r="L438" s="21"/>
      <c r="M438" s="21"/>
      <c r="N438" s="21"/>
      <c r="O438" s="21"/>
      <c r="P438" s="21"/>
      <c r="Q438" s="19"/>
      <c r="R438" s="19"/>
      <c r="S438" s="19"/>
      <c r="T438" s="19"/>
      <c r="U438" s="19"/>
      <c r="V438" s="19"/>
      <c r="W438" s="19"/>
      <c r="X438" s="19"/>
      <c r="Y438" s="19"/>
      <c r="Z438" s="19"/>
    </row>
    <row r="439">
      <c r="A439" s="21"/>
      <c r="B439" s="21"/>
      <c r="C439" s="21"/>
      <c r="D439" s="21"/>
      <c r="E439" s="21"/>
      <c r="F439" s="21"/>
      <c r="G439" s="21"/>
      <c r="H439" s="2"/>
      <c r="I439" s="21"/>
      <c r="J439" s="21"/>
      <c r="K439" s="21"/>
      <c r="L439" s="21"/>
      <c r="M439" s="21"/>
      <c r="N439" s="21"/>
      <c r="O439" s="21"/>
      <c r="P439" s="21"/>
      <c r="Q439" s="19"/>
      <c r="R439" s="19"/>
      <c r="S439" s="19"/>
      <c r="T439" s="19"/>
      <c r="U439" s="19"/>
      <c r="V439" s="19"/>
      <c r="W439" s="19"/>
      <c r="X439" s="19"/>
      <c r="Y439" s="19"/>
      <c r="Z439" s="19"/>
    </row>
    <row r="440">
      <c r="A440" s="21"/>
      <c r="B440" s="21"/>
      <c r="C440" s="21"/>
      <c r="D440" s="21"/>
      <c r="E440" s="21"/>
      <c r="F440" s="21"/>
      <c r="G440" s="21"/>
      <c r="H440" s="2"/>
      <c r="I440" s="21"/>
      <c r="J440" s="21"/>
      <c r="K440" s="21"/>
      <c r="L440" s="21"/>
      <c r="M440" s="21"/>
      <c r="N440" s="21"/>
      <c r="O440" s="21"/>
      <c r="P440" s="21"/>
      <c r="Q440" s="19"/>
      <c r="R440" s="19"/>
      <c r="S440" s="19"/>
      <c r="T440" s="19"/>
      <c r="U440" s="19"/>
      <c r="V440" s="19"/>
      <c r="W440" s="19"/>
      <c r="X440" s="19"/>
      <c r="Y440" s="19"/>
      <c r="Z440" s="19"/>
    </row>
    <row r="441">
      <c r="A441" s="21"/>
      <c r="B441" s="21"/>
      <c r="C441" s="21"/>
      <c r="D441" s="21"/>
      <c r="E441" s="21"/>
      <c r="F441" s="21"/>
      <c r="G441" s="21"/>
      <c r="H441" s="2"/>
      <c r="I441" s="21"/>
      <c r="J441" s="21"/>
      <c r="K441" s="21"/>
      <c r="L441" s="21"/>
      <c r="M441" s="21"/>
      <c r="N441" s="21"/>
      <c r="O441" s="21"/>
      <c r="P441" s="21"/>
      <c r="Q441" s="19"/>
      <c r="R441" s="19"/>
      <c r="S441" s="19"/>
      <c r="T441" s="19"/>
      <c r="U441" s="19"/>
      <c r="V441" s="19"/>
      <c r="W441" s="19"/>
      <c r="X441" s="19"/>
      <c r="Y441" s="19"/>
      <c r="Z441" s="19"/>
    </row>
    <row r="442">
      <c r="A442" s="21"/>
      <c r="B442" s="21"/>
      <c r="C442" s="21"/>
      <c r="D442" s="21"/>
      <c r="E442" s="21"/>
      <c r="F442" s="21"/>
      <c r="G442" s="21"/>
      <c r="H442" s="2"/>
      <c r="I442" s="21"/>
      <c r="J442" s="21"/>
      <c r="K442" s="21"/>
      <c r="L442" s="21"/>
      <c r="M442" s="21"/>
      <c r="N442" s="21"/>
      <c r="O442" s="21"/>
      <c r="P442" s="21"/>
      <c r="Q442" s="19"/>
      <c r="R442" s="19"/>
      <c r="S442" s="19"/>
      <c r="T442" s="19"/>
      <c r="U442" s="19"/>
      <c r="V442" s="19"/>
      <c r="W442" s="19"/>
      <c r="X442" s="19"/>
      <c r="Y442" s="19"/>
      <c r="Z442" s="19"/>
    </row>
    <row r="443">
      <c r="A443" s="21"/>
      <c r="B443" s="21"/>
      <c r="C443" s="21"/>
      <c r="D443" s="21"/>
      <c r="E443" s="21"/>
      <c r="F443" s="21"/>
      <c r="G443" s="21"/>
      <c r="H443" s="2"/>
      <c r="I443" s="21"/>
      <c r="J443" s="21"/>
      <c r="K443" s="21"/>
      <c r="L443" s="21"/>
      <c r="M443" s="21"/>
      <c r="N443" s="21"/>
      <c r="O443" s="21"/>
      <c r="P443" s="21"/>
      <c r="Q443" s="19"/>
      <c r="R443" s="19"/>
      <c r="S443" s="19"/>
      <c r="T443" s="19"/>
      <c r="U443" s="19"/>
      <c r="V443" s="19"/>
      <c r="W443" s="19"/>
      <c r="X443" s="19"/>
      <c r="Y443" s="19"/>
      <c r="Z443" s="19"/>
    </row>
    <row r="444">
      <c r="A444" s="21"/>
      <c r="B444" s="21"/>
      <c r="C444" s="21"/>
      <c r="D444" s="21"/>
      <c r="E444" s="21"/>
      <c r="F444" s="21"/>
      <c r="G444" s="21"/>
      <c r="H444" s="2"/>
      <c r="I444" s="21"/>
      <c r="J444" s="21"/>
      <c r="K444" s="21"/>
      <c r="L444" s="21"/>
      <c r="M444" s="21"/>
      <c r="N444" s="21"/>
      <c r="O444" s="21"/>
      <c r="P444" s="21"/>
      <c r="Q444" s="19"/>
      <c r="R444" s="19"/>
      <c r="S444" s="19"/>
      <c r="T444" s="19"/>
      <c r="U444" s="19"/>
      <c r="V444" s="19"/>
      <c r="W444" s="19"/>
      <c r="X444" s="19"/>
      <c r="Y444" s="19"/>
      <c r="Z444" s="19"/>
    </row>
    <row r="445">
      <c r="A445" s="21"/>
      <c r="B445" s="21"/>
      <c r="C445" s="21"/>
      <c r="D445" s="21"/>
      <c r="E445" s="21"/>
      <c r="F445" s="21"/>
      <c r="G445" s="21"/>
      <c r="H445" s="2"/>
      <c r="I445" s="21"/>
      <c r="J445" s="21"/>
      <c r="K445" s="21"/>
      <c r="L445" s="21"/>
      <c r="M445" s="21"/>
      <c r="N445" s="21"/>
      <c r="O445" s="21"/>
      <c r="P445" s="21"/>
      <c r="Q445" s="19"/>
      <c r="R445" s="19"/>
      <c r="S445" s="19"/>
      <c r="T445" s="19"/>
      <c r="U445" s="19"/>
      <c r="V445" s="19"/>
      <c r="W445" s="19"/>
      <c r="X445" s="19"/>
      <c r="Y445" s="19"/>
      <c r="Z445" s="19"/>
    </row>
    <row r="446">
      <c r="A446" s="21"/>
      <c r="B446" s="21"/>
      <c r="C446" s="21"/>
      <c r="D446" s="21"/>
      <c r="E446" s="21"/>
      <c r="F446" s="21"/>
      <c r="G446" s="21"/>
      <c r="H446" s="2"/>
      <c r="I446" s="21"/>
      <c r="J446" s="21"/>
      <c r="K446" s="21"/>
      <c r="L446" s="21"/>
      <c r="M446" s="21"/>
      <c r="N446" s="21"/>
      <c r="O446" s="21"/>
      <c r="P446" s="21"/>
      <c r="Q446" s="19"/>
      <c r="R446" s="19"/>
      <c r="S446" s="19"/>
      <c r="T446" s="19"/>
      <c r="U446" s="19"/>
      <c r="V446" s="19"/>
      <c r="W446" s="19"/>
      <c r="X446" s="19"/>
      <c r="Y446" s="19"/>
      <c r="Z446" s="19"/>
    </row>
    <row r="447">
      <c r="A447" s="21"/>
      <c r="B447" s="21"/>
      <c r="C447" s="21"/>
      <c r="D447" s="21"/>
      <c r="E447" s="21"/>
      <c r="F447" s="21"/>
      <c r="G447" s="21"/>
      <c r="H447" s="2"/>
      <c r="I447" s="21"/>
      <c r="J447" s="21"/>
      <c r="K447" s="21"/>
      <c r="L447" s="21"/>
      <c r="M447" s="21"/>
      <c r="N447" s="21"/>
      <c r="O447" s="21"/>
      <c r="P447" s="21"/>
      <c r="Q447" s="19"/>
      <c r="R447" s="19"/>
      <c r="S447" s="19"/>
      <c r="T447" s="19"/>
      <c r="U447" s="19"/>
      <c r="V447" s="19"/>
      <c r="W447" s="19"/>
      <c r="X447" s="19"/>
      <c r="Y447" s="19"/>
      <c r="Z447" s="19"/>
    </row>
    <row r="448">
      <c r="A448" s="21"/>
      <c r="B448" s="21"/>
      <c r="C448" s="21"/>
      <c r="D448" s="21"/>
      <c r="E448" s="21"/>
      <c r="F448" s="21"/>
      <c r="G448" s="21"/>
      <c r="H448" s="2"/>
      <c r="I448" s="21"/>
      <c r="J448" s="21"/>
      <c r="K448" s="21"/>
      <c r="L448" s="21"/>
      <c r="M448" s="21"/>
      <c r="N448" s="21"/>
      <c r="O448" s="21"/>
      <c r="P448" s="21"/>
      <c r="Q448" s="19"/>
      <c r="R448" s="19"/>
      <c r="S448" s="19"/>
      <c r="T448" s="19"/>
      <c r="U448" s="19"/>
      <c r="V448" s="19"/>
      <c r="W448" s="19"/>
      <c r="X448" s="19"/>
      <c r="Y448" s="19"/>
      <c r="Z448" s="19"/>
    </row>
    <row r="449">
      <c r="A449" s="21"/>
      <c r="B449" s="21"/>
      <c r="C449" s="21"/>
      <c r="D449" s="21"/>
      <c r="E449" s="21"/>
      <c r="F449" s="21"/>
      <c r="G449" s="21"/>
      <c r="H449" s="2"/>
      <c r="I449" s="21"/>
      <c r="J449" s="21"/>
      <c r="K449" s="21"/>
      <c r="L449" s="21"/>
      <c r="M449" s="21"/>
      <c r="N449" s="21"/>
      <c r="O449" s="21"/>
      <c r="P449" s="21"/>
      <c r="Q449" s="19"/>
      <c r="R449" s="19"/>
      <c r="S449" s="19"/>
      <c r="T449" s="19"/>
      <c r="U449" s="19"/>
      <c r="V449" s="19"/>
      <c r="W449" s="19"/>
      <c r="X449" s="19"/>
      <c r="Y449" s="19"/>
      <c r="Z449" s="19"/>
    </row>
    <row r="450">
      <c r="A450" s="21"/>
      <c r="B450" s="21"/>
      <c r="C450" s="21"/>
      <c r="D450" s="21"/>
      <c r="E450" s="21"/>
      <c r="F450" s="21"/>
      <c r="G450" s="21"/>
      <c r="H450" s="2"/>
      <c r="I450" s="21"/>
      <c r="J450" s="21"/>
      <c r="K450" s="21"/>
      <c r="L450" s="21"/>
      <c r="M450" s="21"/>
      <c r="N450" s="21"/>
      <c r="O450" s="21"/>
      <c r="P450" s="21"/>
      <c r="Q450" s="19"/>
      <c r="R450" s="19"/>
      <c r="S450" s="19"/>
      <c r="T450" s="19"/>
      <c r="U450" s="19"/>
      <c r="V450" s="19"/>
      <c r="W450" s="19"/>
      <c r="X450" s="19"/>
      <c r="Y450" s="19"/>
      <c r="Z450" s="19"/>
    </row>
    <row r="451">
      <c r="A451" s="21"/>
      <c r="B451" s="21"/>
      <c r="C451" s="21"/>
      <c r="D451" s="21"/>
      <c r="E451" s="21"/>
      <c r="F451" s="21"/>
      <c r="G451" s="21"/>
      <c r="H451" s="2"/>
      <c r="I451" s="21"/>
      <c r="J451" s="21"/>
      <c r="K451" s="21"/>
      <c r="L451" s="21"/>
      <c r="M451" s="21"/>
      <c r="N451" s="21"/>
      <c r="O451" s="21"/>
      <c r="P451" s="21"/>
      <c r="Q451" s="19"/>
      <c r="R451" s="19"/>
      <c r="S451" s="19"/>
      <c r="T451" s="19"/>
      <c r="U451" s="19"/>
      <c r="V451" s="19"/>
      <c r="W451" s="19"/>
      <c r="X451" s="19"/>
      <c r="Y451" s="19"/>
      <c r="Z451" s="19"/>
    </row>
    <row r="452">
      <c r="A452" s="21"/>
      <c r="B452" s="21"/>
      <c r="C452" s="21"/>
      <c r="D452" s="21"/>
      <c r="E452" s="21"/>
      <c r="F452" s="21"/>
      <c r="G452" s="21"/>
      <c r="H452" s="2"/>
      <c r="I452" s="21"/>
      <c r="J452" s="21"/>
      <c r="K452" s="21"/>
      <c r="L452" s="21"/>
      <c r="M452" s="21"/>
      <c r="N452" s="21"/>
      <c r="O452" s="21"/>
      <c r="P452" s="21"/>
      <c r="Q452" s="19"/>
      <c r="R452" s="19"/>
      <c r="S452" s="19"/>
      <c r="T452" s="19"/>
      <c r="U452" s="19"/>
      <c r="V452" s="19"/>
      <c r="W452" s="19"/>
      <c r="X452" s="19"/>
      <c r="Y452" s="19"/>
      <c r="Z452" s="19"/>
    </row>
    <row r="453">
      <c r="A453" s="21"/>
      <c r="B453" s="21"/>
      <c r="C453" s="21"/>
      <c r="D453" s="21"/>
      <c r="E453" s="21"/>
      <c r="F453" s="21"/>
      <c r="G453" s="21"/>
      <c r="H453" s="2"/>
      <c r="I453" s="21"/>
      <c r="J453" s="21"/>
      <c r="K453" s="21"/>
      <c r="L453" s="21"/>
      <c r="M453" s="21"/>
      <c r="N453" s="21"/>
      <c r="O453" s="21"/>
      <c r="P453" s="21"/>
      <c r="Q453" s="19"/>
      <c r="R453" s="19"/>
      <c r="S453" s="19"/>
      <c r="T453" s="19"/>
      <c r="U453" s="19"/>
      <c r="V453" s="19"/>
      <c r="W453" s="19"/>
      <c r="X453" s="19"/>
      <c r="Y453" s="19"/>
      <c r="Z453" s="19"/>
    </row>
    <row r="454">
      <c r="A454" s="21"/>
      <c r="B454" s="21"/>
      <c r="C454" s="21"/>
      <c r="D454" s="21"/>
      <c r="E454" s="21"/>
      <c r="F454" s="21"/>
      <c r="G454" s="21"/>
      <c r="H454" s="2"/>
      <c r="I454" s="21"/>
      <c r="J454" s="21"/>
      <c r="K454" s="21"/>
      <c r="L454" s="21"/>
      <c r="M454" s="21"/>
      <c r="N454" s="21"/>
      <c r="O454" s="21"/>
      <c r="P454" s="21"/>
      <c r="Q454" s="19"/>
      <c r="R454" s="19"/>
      <c r="S454" s="19"/>
      <c r="T454" s="19"/>
      <c r="U454" s="19"/>
      <c r="V454" s="19"/>
      <c r="W454" s="19"/>
      <c r="X454" s="19"/>
      <c r="Y454" s="19"/>
      <c r="Z454" s="19"/>
    </row>
    <row r="455">
      <c r="A455" s="21"/>
      <c r="B455" s="21"/>
      <c r="C455" s="21"/>
      <c r="D455" s="21"/>
      <c r="E455" s="21"/>
      <c r="F455" s="21"/>
      <c r="G455" s="21"/>
      <c r="H455" s="2"/>
      <c r="I455" s="21"/>
      <c r="J455" s="21"/>
      <c r="K455" s="21"/>
      <c r="L455" s="21"/>
      <c r="M455" s="21"/>
      <c r="N455" s="21"/>
      <c r="O455" s="21"/>
      <c r="P455" s="21"/>
      <c r="Q455" s="19"/>
      <c r="R455" s="19"/>
      <c r="S455" s="19"/>
      <c r="T455" s="19"/>
      <c r="U455" s="19"/>
      <c r="V455" s="19"/>
      <c r="W455" s="19"/>
      <c r="X455" s="19"/>
      <c r="Y455" s="19"/>
      <c r="Z455" s="19"/>
    </row>
    <row r="456">
      <c r="A456" s="21"/>
      <c r="B456" s="21"/>
      <c r="C456" s="21"/>
      <c r="D456" s="21"/>
      <c r="E456" s="21"/>
      <c r="F456" s="21"/>
      <c r="G456" s="21"/>
      <c r="H456" s="2"/>
      <c r="I456" s="21"/>
      <c r="J456" s="21"/>
      <c r="K456" s="21"/>
      <c r="L456" s="21"/>
      <c r="M456" s="21"/>
      <c r="N456" s="21"/>
      <c r="O456" s="21"/>
      <c r="P456" s="21"/>
      <c r="Q456" s="19"/>
      <c r="R456" s="19"/>
      <c r="S456" s="19"/>
      <c r="T456" s="19"/>
      <c r="U456" s="19"/>
      <c r="V456" s="19"/>
      <c r="W456" s="19"/>
      <c r="X456" s="19"/>
      <c r="Y456" s="19"/>
      <c r="Z456" s="19"/>
    </row>
    <row r="457">
      <c r="A457" s="21"/>
      <c r="B457" s="21"/>
      <c r="C457" s="21"/>
      <c r="D457" s="21"/>
      <c r="E457" s="21"/>
      <c r="F457" s="21"/>
      <c r="G457" s="21"/>
      <c r="H457" s="2"/>
      <c r="I457" s="21"/>
      <c r="J457" s="21"/>
      <c r="K457" s="21"/>
      <c r="L457" s="21"/>
      <c r="M457" s="21"/>
      <c r="N457" s="21"/>
      <c r="O457" s="21"/>
      <c r="P457" s="21"/>
      <c r="Q457" s="19"/>
      <c r="R457" s="19"/>
      <c r="S457" s="19"/>
      <c r="T457" s="19"/>
      <c r="U457" s="19"/>
      <c r="V457" s="19"/>
      <c r="W457" s="19"/>
      <c r="X457" s="19"/>
      <c r="Y457" s="19"/>
      <c r="Z457" s="19"/>
    </row>
    <row r="458">
      <c r="A458" s="21"/>
      <c r="B458" s="21"/>
      <c r="C458" s="21"/>
      <c r="D458" s="21"/>
      <c r="E458" s="21"/>
      <c r="F458" s="21"/>
      <c r="G458" s="21"/>
      <c r="H458" s="2"/>
      <c r="I458" s="21"/>
      <c r="J458" s="21"/>
      <c r="K458" s="21"/>
      <c r="L458" s="21"/>
      <c r="M458" s="21"/>
      <c r="N458" s="21"/>
      <c r="O458" s="21"/>
      <c r="P458" s="21"/>
      <c r="Q458" s="19"/>
      <c r="R458" s="19"/>
      <c r="S458" s="19"/>
      <c r="T458" s="19"/>
      <c r="U458" s="19"/>
      <c r="V458" s="19"/>
      <c r="W458" s="19"/>
      <c r="X458" s="19"/>
      <c r="Y458" s="19"/>
      <c r="Z458" s="19"/>
    </row>
    <row r="459">
      <c r="A459" s="21"/>
      <c r="B459" s="21"/>
      <c r="C459" s="21"/>
      <c r="D459" s="21"/>
      <c r="E459" s="21"/>
      <c r="F459" s="21"/>
      <c r="G459" s="21"/>
      <c r="H459" s="2"/>
      <c r="I459" s="21"/>
      <c r="J459" s="21"/>
      <c r="K459" s="21"/>
      <c r="L459" s="21"/>
      <c r="M459" s="21"/>
      <c r="N459" s="21"/>
      <c r="O459" s="21"/>
      <c r="P459" s="21"/>
      <c r="Q459" s="19"/>
      <c r="R459" s="19"/>
      <c r="S459" s="19"/>
      <c r="T459" s="19"/>
      <c r="U459" s="19"/>
      <c r="V459" s="19"/>
      <c r="W459" s="19"/>
      <c r="X459" s="19"/>
      <c r="Y459" s="19"/>
      <c r="Z459" s="19"/>
    </row>
    <row r="460">
      <c r="A460" s="21"/>
      <c r="B460" s="21"/>
      <c r="C460" s="21"/>
      <c r="D460" s="21"/>
      <c r="E460" s="21"/>
      <c r="F460" s="21"/>
      <c r="G460" s="21"/>
      <c r="H460" s="2"/>
      <c r="I460" s="21"/>
      <c r="J460" s="21"/>
      <c r="K460" s="21"/>
      <c r="L460" s="21"/>
      <c r="M460" s="21"/>
      <c r="N460" s="21"/>
      <c r="O460" s="21"/>
      <c r="P460" s="21"/>
      <c r="Q460" s="19"/>
      <c r="R460" s="19"/>
      <c r="S460" s="19"/>
      <c r="T460" s="19"/>
      <c r="U460" s="19"/>
      <c r="V460" s="19"/>
      <c r="W460" s="19"/>
      <c r="X460" s="19"/>
      <c r="Y460" s="19"/>
      <c r="Z460" s="19"/>
    </row>
    <row r="461">
      <c r="A461" s="21"/>
      <c r="B461" s="21"/>
      <c r="C461" s="21"/>
      <c r="D461" s="21"/>
      <c r="E461" s="21"/>
      <c r="F461" s="21"/>
      <c r="G461" s="21"/>
      <c r="H461" s="2"/>
      <c r="I461" s="21"/>
      <c r="J461" s="21"/>
      <c r="K461" s="21"/>
      <c r="L461" s="21"/>
      <c r="M461" s="21"/>
      <c r="N461" s="21"/>
      <c r="O461" s="21"/>
      <c r="P461" s="21"/>
      <c r="Q461" s="19"/>
      <c r="R461" s="19"/>
      <c r="S461" s="19"/>
      <c r="T461" s="19"/>
      <c r="U461" s="19"/>
      <c r="V461" s="19"/>
      <c r="W461" s="19"/>
      <c r="X461" s="19"/>
      <c r="Y461" s="19"/>
      <c r="Z461" s="19"/>
    </row>
    <row r="462">
      <c r="A462" s="21"/>
      <c r="B462" s="21"/>
      <c r="C462" s="21"/>
      <c r="D462" s="21"/>
      <c r="E462" s="21"/>
      <c r="F462" s="21"/>
      <c r="G462" s="21"/>
      <c r="H462" s="2"/>
      <c r="I462" s="21"/>
      <c r="J462" s="21"/>
      <c r="K462" s="21"/>
      <c r="L462" s="21"/>
      <c r="M462" s="21"/>
      <c r="N462" s="21"/>
      <c r="O462" s="21"/>
      <c r="P462" s="21"/>
      <c r="Q462" s="19"/>
      <c r="R462" s="19"/>
      <c r="S462" s="19"/>
      <c r="T462" s="19"/>
      <c r="U462" s="19"/>
      <c r="V462" s="19"/>
      <c r="W462" s="19"/>
      <c r="X462" s="19"/>
      <c r="Y462" s="19"/>
      <c r="Z462" s="19"/>
    </row>
    <row r="463">
      <c r="A463" s="21"/>
      <c r="B463" s="21"/>
      <c r="C463" s="21"/>
      <c r="D463" s="21"/>
      <c r="E463" s="21"/>
      <c r="F463" s="21"/>
      <c r="G463" s="21"/>
      <c r="H463" s="2"/>
      <c r="I463" s="21"/>
      <c r="J463" s="21"/>
      <c r="K463" s="21"/>
      <c r="L463" s="21"/>
      <c r="M463" s="21"/>
      <c r="N463" s="21"/>
      <c r="O463" s="21"/>
      <c r="P463" s="21"/>
      <c r="Q463" s="19"/>
      <c r="R463" s="19"/>
      <c r="S463" s="19"/>
      <c r="T463" s="19"/>
      <c r="U463" s="19"/>
      <c r="V463" s="19"/>
      <c r="W463" s="19"/>
      <c r="X463" s="19"/>
      <c r="Y463" s="19"/>
      <c r="Z463" s="19"/>
    </row>
    <row r="464">
      <c r="A464" s="21"/>
      <c r="B464" s="21"/>
      <c r="C464" s="21"/>
      <c r="D464" s="21"/>
      <c r="E464" s="21"/>
      <c r="F464" s="21"/>
      <c r="G464" s="21"/>
      <c r="H464" s="2"/>
      <c r="I464" s="21"/>
      <c r="J464" s="21"/>
      <c r="K464" s="21"/>
      <c r="L464" s="21"/>
      <c r="M464" s="21"/>
      <c r="N464" s="21"/>
      <c r="O464" s="21"/>
      <c r="P464" s="21"/>
      <c r="Q464" s="19"/>
      <c r="R464" s="19"/>
      <c r="S464" s="19"/>
      <c r="T464" s="19"/>
      <c r="U464" s="19"/>
      <c r="V464" s="19"/>
      <c r="W464" s="19"/>
      <c r="X464" s="19"/>
      <c r="Y464" s="19"/>
      <c r="Z464" s="19"/>
    </row>
    <row r="465">
      <c r="A465" s="21"/>
      <c r="B465" s="21"/>
      <c r="C465" s="21"/>
      <c r="D465" s="21"/>
      <c r="E465" s="21"/>
      <c r="F465" s="21"/>
      <c r="G465" s="21"/>
      <c r="H465" s="2"/>
      <c r="I465" s="21"/>
      <c r="J465" s="21"/>
      <c r="K465" s="21"/>
      <c r="L465" s="21"/>
      <c r="M465" s="21"/>
      <c r="N465" s="21"/>
      <c r="O465" s="21"/>
      <c r="P465" s="21"/>
      <c r="Q465" s="19"/>
      <c r="R465" s="19"/>
      <c r="S465" s="19"/>
      <c r="T465" s="19"/>
      <c r="U465" s="19"/>
      <c r="V465" s="19"/>
      <c r="W465" s="19"/>
      <c r="X465" s="19"/>
      <c r="Y465" s="19"/>
      <c r="Z465" s="19"/>
    </row>
    <row r="466">
      <c r="A466" s="21"/>
      <c r="B466" s="21"/>
      <c r="C466" s="21"/>
      <c r="D466" s="21"/>
      <c r="E466" s="21"/>
      <c r="F466" s="21"/>
      <c r="G466" s="21"/>
      <c r="H466" s="2"/>
      <c r="I466" s="21"/>
      <c r="J466" s="21"/>
      <c r="K466" s="21"/>
      <c r="L466" s="21"/>
      <c r="M466" s="21"/>
      <c r="N466" s="21"/>
      <c r="O466" s="21"/>
      <c r="P466" s="21"/>
      <c r="Q466" s="19"/>
      <c r="R466" s="19"/>
      <c r="S466" s="19"/>
      <c r="T466" s="19"/>
      <c r="U466" s="19"/>
      <c r="V466" s="19"/>
      <c r="W466" s="19"/>
      <c r="X466" s="19"/>
      <c r="Y466" s="19"/>
      <c r="Z466" s="19"/>
    </row>
    <row r="467">
      <c r="A467" s="21"/>
      <c r="B467" s="21"/>
      <c r="C467" s="21"/>
      <c r="D467" s="21"/>
      <c r="E467" s="21"/>
      <c r="F467" s="21"/>
      <c r="G467" s="21"/>
      <c r="H467" s="2"/>
      <c r="I467" s="21"/>
      <c r="J467" s="21"/>
      <c r="K467" s="21"/>
      <c r="L467" s="21"/>
      <c r="M467" s="21"/>
      <c r="N467" s="21"/>
      <c r="O467" s="21"/>
      <c r="P467" s="21"/>
      <c r="Q467" s="19"/>
      <c r="R467" s="19"/>
      <c r="S467" s="19"/>
      <c r="T467" s="19"/>
      <c r="U467" s="19"/>
      <c r="V467" s="19"/>
      <c r="W467" s="19"/>
      <c r="X467" s="19"/>
      <c r="Y467" s="19"/>
      <c r="Z467" s="19"/>
    </row>
    <row r="468">
      <c r="A468" s="21"/>
      <c r="B468" s="21"/>
      <c r="C468" s="21"/>
      <c r="D468" s="21"/>
      <c r="E468" s="21"/>
      <c r="F468" s="21"/>
      <c r="G468" s="21"/>
      <c r="H468" s="2"/>
      <c r="I468" s="21"/>
      <c r="J468" s="21"/>
      <c r="K468" s="21"/>
      <c r="L468" s="21"/>
      <c r="M468" s="21"/>
      <c r="N468" s="21"/>
      <c r="O468" s="21"/>
      <c r="P468" s="21"/>
      <c r="Q468" s="19"/>
      <c r="R468" s="19"/>
      <c r="S468" s="19"/>
      <c r="T468" s="19"/>
      <c r="U468" s="19"/>
      <c r="V468" s="19"/>
      <c r="W468" s="19"/>
      <c r="X468" s="19"/>
      <c r="Y468" s="19"/>
      <c r="Z468" s="19"/>
    </row>
    <row r="469">
      <c r="A469" s="21"/>
      <c r="B469" s="21"/>
      <c r="C469" s="21"/>
      <c r="D469" s="21"/>
      <c r="E469" s="21"/>
      <c r="F469" s="21"/>
      <c r="G469" s="21"/>
      <c r="H469" s="2"/>
      <c r="I469" s="21"/>
      <c r="J469" s="21"/>
      <c r="K469" s="21"/>
      <c r="L469" s="21"/>
      <c r="M469" s="21"/>
      <c r="N469" s="21"/>
      <c r="O469" s="21"/>
      <c r="P469" s="21"/>
      <c r="Q469" s="19"/>
      <c r="R469" s="19"/>
      <c r="S469" s="19"/>
      <c r="T469" s="19"/>
      <c r="U469" s="19"/>
      <c r="V469" s="19"/>
      <c r="W469" s="19"/>
      <c r="X469" s="19"/>
      <c r="Y469" s="19"/>
      <c r="Z469" s="19"/>
    </row>
    <row r="470">
      <c r="A470" s="21"/>
      <c r="B470" s="21"/>
      <c r="C470" s="21"/>
      <c r="D470" s="21"/>
      <c r="E470" s="21"/>
      <c r="F470" s="21"/>
      <c r="G470" s="21"/>
      <c r="H470" s="2"/>
      <c r="I470" s="21"/>
      <c r="J470" s="21"/>
      <c r="K470" s="21"/>
      <c r="L470" s="21"/>
      <c r="M470" s="21"/>
      <c r="N470" s="21"/>
      <c r="O470" s="21"/>
      <c r="P470" s="21"/>
      <c r="Q470" s="19"/>
      <c r="R470" s="19"/>
      <c r="S470" s="19"/>
      <c r="T470" s="19"/>
      <c r="U470" s="19"/>
      <c r="V470" s="19"/>
      <c r="W470" s="19"/>
      <c r="X470" s="19"/>
      <c r="Y470" s="19"/>
      <c r="Z470" s="19"/>
    </row>
    <row r="471">
      <c r="A471" s="21"/>
      <c r="B471" s="21"/>
      <c r="C471" s="21"/>
      <c r="D471" s="21"/>
      <c r="E471" s="21"/>
      <c r="F471" s="21"/>
      <c r="G471" s="21"/>
      <c r="H471" s="2"/>
      <c r="I471" s="21"/>
      <c r="J471" s="21"/>
      <c r="K471" s="21"/>
      <c r="L471" s="21"/>
      <c r="M471" s="21"/>
      <c r="N471" s="21"/>
      <c r="O471" s="21"/>
      <c r="P471" s="21"/>
      <c r="Q471" s="19"/>
      <c r="R471" s="19"/>
      <c r="S471" s="19"/>
      <c r="T471" s="19"/>
      <c r="U471" s="19"/>
      <c r="V471" s="19"/>
      <c r="W471" s="19"/>
      <c r="X471" s="19"/>
      <c r="Y471" s="19"/>
      <c r="Z471" s="19"/>
    </row>
    <row r="472">
      <c r="A472" s="21"/>
      <c r="B472" s="21"/>
      <c r="C472" s="21"/>
      <c r="D472" s="21"/>
      <c r="E472" s="21"/>
      <c r="F472" s="21"/>
      <c r="G472" s="21"/>
      <c r="H472" s="2"/>
      <c r="I472" s="21"/>
      <c r="J472" s="21"/>
      <c r="K472" s="21"/>
      <c r="L472" s="21"/>
      <c r="M472" s="21"/>
      <c r="N472" s="21"/>
      <c r="O472" s="21"/>
      <c r="P472" s="21"/>
      <c r="Q472" s="19"/>
      <c r="R472" s="19"/>
      <c r="S472" s="19"/>
      <c r="T472" s="19"/>
      <c r="U472" s="19"/>
      <c r="V472" s="19"/>
      <c r="W472" s="19"/>
      <c r="X472" s="19"/>
      <c r="Y472" s="19"/>
      <c r="Z472" s="19"/>
    </row>
    <row r="473">
      <c r="A473" s="21"/>
      <c r="B473" s="21"/>
      <c r="C473" s="21"/>
      <c r="D473" s="21"/>
      <c r="E473" s="21"/>
      <c r="F473" s="21"/>
      <c r="G473" s="21"/>
      <c r="H473" s="2"/>
      <c r="I473" s="21"/>
      <c r="J473" s="21"/>
      <c r="K473" s="21"/>
      <c r="L473" s="21"/>
      <c r="M473" s="21"/>
      <c r="N473" s="21"/>
      <c r="O473" s="21"/>
      <c r="P473" s="21"/>
      <c r="Q473" s="19"/>
      <c r="R473" s="19"/>
      <c r="S473" s="19"/>
      <c r="T473" s="19"/>
      <c r="U473" s="19"/>
      <c r="V473" s="19"/>
      <c r="W473" s="19"/>
      <c r="X473" s="19"/>
      <c r="Y473" s="19"/>
      <c r="Z473" s="19"/>
    </row>
    <row r="474">
      <c r="A474" s="21"/>
      <c r="B474" s="21"/>
      <c r="C474" s="21"/>
      <c r="D474" s="21"/>
      <c r="E474" s="21"/>
      <c r="F474" s="21"/>
      <c r="G474" s="21"/>
      <c r="H474" s="2"/>
      <c r="I474" s="21"/>
      <c r="J474" s="21"/>
      <c r="K474" s="21"/>
      <c r="L474" s="21"/>
      <c r="M474" s="21"/>
      <c r="N474" s="21"/>
      <c r="O474" s="21"/>
      <c r="P474" s="21"/>
      <c r="Q474" s="19"/>
      <c r="R474" s="19"/>
      <c r="S474" s="19"/>
      <c r="T474" s="19"/>
      <c r="U474" s="19"/>
      <c r="V474" s="19"/>
      <c r="W474" s="19"/>
      <c r="X474" s="19"/>
      <c r="Y474" s="19"/>
      <c r="Z474" s="19"/>
    </row>
    <row r="475">
      <c r="A475" s="21"/>
      <c r="B475" s="21"/>
      <c r="C475" s="21"/>
      <c r="D475" s="21"/>
      <c r="E475" s="21"/>
      <c r="F475" s="21"/>
      <c r="G475" s="21"/>
      <c r="H475" s="2"/>
      <c r="I475" s="21"/>
      <c r="J475" s="21"/>
      <c r="K475" s="21"/>
      <c r="L475" s="21"/>
      <c r="M475" s="21"/>
      <c r="N475" s="21"/>
      <c r="O475" s="21"/>
      <c r="P475" s="21"/>
      <c r="Q475" s="19"/>
      <c r="R475" s="19"/>
      <c r="S475" s="19"/>
      <c r="T475" s="19"/>
      <c r="U475" s="19"/>
      <c r="V475" s="19"/>
      <c r="W475" s="19"/>
      <c r="X475" s="19"/>
      <c r="Y475" s="19"/>
      <c r="Z475" s="19"/>
    </row>
    <row r="476">
      <c r="A476" s="21"/>
      <c r="B476" s="21"/>
      <c r="C476" s="21"/>
      <c r="D476" s="21"/>
      <c r="E476" s="21"/>
      <c r="F476" s="21"/>
      <c r="G476" s="21"/>
      <c r="H476" s="2"/>
      <c r="I476" s="21"/>
      <c r="J476" s="21"/>
      <c r="K476" s="21"/>
      <c r="L476" s="21"/>
      <c r="M476" s="21"/>
      <c r="N476" s="21"/>
      <c r="O476" s="21"/>
      <c r="P476" s="21"/>
      <c r="Q476" s="19"/>
      <c r="R476" s="19"/>
      <c r="S476" s="19"/>
      <c r="T476" s="19"/>
      <c r="U476" s="19"/>
      <c r="V476" s="19"/>
      <c r="W476" s="19"/>
      <c r="X476" s="19"/>
      <c r="Y476" s="19"/>
      <c r="Z476" s="19"/>
    </row>
    <row r="477">
      <c r="A477" s="21"/>
      <c r="B477" s="21"/>
      <c r="C477" s="21"/>
      <c r="D477" s="21"/>
      <c r="E477" s="21"/>
      <c r="F477" s="21"/>
      <c r="G477" s="21"/>
      <c r="H477" s="2"/>
      <c r="I477" s="21"/>
      <c r="J477" s="21"/>
      <c r="K477" s="21"/>
      <c r="L477" s="21"/>
      <c r="M477" s="21"/>
      <c r="N477" s="21"/>
      <c r="O477" s="21"/>
      <c r="P477" s="21"/>
      <c r="Q477" s="19"/>
      <c r="R477" s="19"/>
      <c r="S477" s="19"/>
      <c r="T477" s="19"/>
      <c r="U477" s="19"/>
      <c r="V477" s="19"/>
      <c r="W477" s="19"/>
      <c r="X477" s="19"/>
      <c r="Y477" s="19"/>
      <c r="Z477" s="19"/>
    </row>
    <row r="478">
      <c r="A478" s="21"/>
      <c r="B478" s="21"/>
      <c r="C478" s="21"/>
      <c r="D478" s="21"/>
      <c r="E478" s="21"/>
      <c r="F478" s="21"/>
      <c r="G478" s="21"/>
      <c r="H478" s="2"/>
      <c r="I478" s="21"/>
      <c r="J478" s="21"/>
      <c r="K478" s="21"/>
      <c r="L478" s="21"/>
      <c r="M478" s="21"/>
      <c r="N478" s="21"/>
      <c r="O478" s="21"/>
      <c r="P478" s="21"/>
      <c r="Q478" s="19"/>
      <c r="R478" s="19"/>
      <c r="S478" s="19"/>
      <c r="T478" s="19"/>
      <c r="U478" s="19"/>
      <c r="V478" s="19"/>
      <c r="W478" s="19"/>
      <c r="X478" s="19"/>
      <c r="Y478" s="19"/>
      <c r="Z478" s="19"/>
    </row>
    <row r="479">
      <c r="A479" s="21"/>
      <c r="B479" s="21"/>
      <c r="C479" s="21"/>
      <c r="D479" s="21"/>
      <c r="E479" s="21"/>
      <c r="F479" s="21"/>
      <c r="G479" s="21"/>
      <c r="H479" s="2"/>
      <c r="I479" s="21"/>
      <c r="J479" s="21"/>
      <c r="K479" s="21"/>
      <c r="L479" s="21"/>
      <c r="M479" s="21"/>
      <c r="N479" s="21"/>
      <c r="O479" s="21"/>
      <c r="P479" s="21"/>
      <c r="Q479" s="19"/>
      <c r="R479" s="19"/>
      <c r="S479" s="19"/>
      <c r="T479" s="19"/>
      <c r="U479" s="19"/>
      <c r="V479" s="19"/>
      <c r="W479" s="19"/>
      <c r="X479" s="19"/>
      <c r="Y479" s="19"/>
      <c r="Z479" s="19"/>
    </row>
    <row r="480">
      <c r="A480" s="21"/>
      <c r="B480" s="21"/>
      <c r="C480" s="21"/>
      <c r="D480" s="21"/>
      <c r="E480" s="21"/>
      <c r="F480" s="21"/>
      <c r="G480" s="21"/>
      <c r="H480" s="2"/>
      <c r="I480" s="21"/>
      <c r="J480" s="21"/>
      <c r="K480" s="21"/>
      <c r="L480" s="21"/>
      <c r="M480" s="21"/>
      <c r="N480" s="21"/>
      <c r="O480" s="21"/>
      <c r="P480" s="21"/>
      <c r="Q480" s="19"/>
      <c r="R480" s="19"/>
      <c r="S480" s="19"/>
      <c r="T480" s="19"/>
      <c r="U480" s="19"/>
      <c r="V480" s="19"/>
      <c r="W480" s="19"/>
      <c r="X480" s="19"/>
      <c r="Y480" s="19"/>
      <c r="Z480" s="19"/>
    </row>
    <row r="481">
      <c r="A481" s="21"/>
      <c r="B481" s="21"/>
      <c r="C481" s="21"/>
      <c r="D481" s="21"/>
      <c r="E481" s="21"/>
      <c r="F481" s="21"/>
      <c r="G481" s="21"/>
      <c r="H481" s="2"/>
      <c r="I481" s="21"/>
      <c r="J481" s="21"/>
      <c r="K481" s="21"/>
      <c r="L481" s="21"/>
      <c r="M481" s="21"/>
      <c r="N481" s="21"/>
      <c r="O481" s="21"/>
      <c r="P481" s="21"/>
      <c r="Q481" s="19"/>
      <c r="R481" s="19"/>
      <c r="S481" s="19"/>
      <c r="T481" s="19"/>
      <c r="U481" s="19"/>
      <c r="V481" s="19"/>
      <c r="W481" s="19"/>
      <c r="X481" s="19"/>
      <c r="Y481" s="19"/>
      <c r="Z481" s="19"/>
    </row>
    <row r="482">
      <c r="A482" s="21"/>
      <c r="B482" s="21"/>
      <c r="C482" s="21"/>
      <c r="D482" s="21"/>
      <c r="E482" s="21"/>
      <c r="F482" s="21"/>
      <c r="G482" s="21"/>
      <c r="H482" s="2"/>
      <c r="I482" s="21"/>
      <c r="J482" s="21"/>
      <c r="K482" s="21"/>
      <c r="L482" s="21"/>
      <c r="M482" s="21"/>
      <c r="N482" s="21"/>
      <c r="O482" s="21"/>
      <c r="P482" s="21"/>
      <c r="Q482" s="19"/>
      <c r="R482" s="19"/>
      <c r="S482" s="19"/>
      <c r="T482" s="19"/>
      <c r="U482" s="19"/>
      <c r="V482" s="19"/>
      <c r="W482" s="19"/>
      <c r="X482" s="19"/>
      <c r="Y482" s="19"/>
      <c r="Z482" s="19"/>
    </row>
    <row r="483">
      <c r="A483" s="21"/>
      <c r="B483" s="21"/>
      <c r="C483" s="21"/>
      <c r="D483" s="21"/>
      <c r="E483" s="21"/>
      <c r="F483" s="21"/>
      <c r="G483" s="21"/>
      <c r="H483" s="2"/>
      <c r="I483" s="21"/>
      <c r="J483" s="21"/>
      <c r="K483" s="21"/>
      <c r="L483" s="21"/>
      <c r="M483" s="21"/>
      <c r="N483" s="21"/>
      <c r="O483" s="21"/>
      <c r="P483" s="21"/>
      <c r="Q483" s="19"/>
      <c r="R483" s="19"/>
      <c r="S483" s="19"/>
      <c r="T483" s="19"/>
      <c r="U483" s="19"/>
      <c r="V483" s="19"/>
      <c r="W483" s="19"/>
      <c r="X483" s="19"/>
      <c r="Y483" s="19"/>
      <c r="Z483" s="19"/>
    </row>
    <row r="484">
      <c r="A484" s="21"/>
      <c r="B484" s="21"/>
      <c r="C484" s="21"/>
      <c r="D484" s="21"/>
      <c r="E484" s="21"/>
      <c r="F484" s="21"/>
      <c r="G484" s="21"/>
      <c r="H484" s="2"/>
      <c r="I484" s="21"/>
      <c r="J484" s="21"/>
      <c r="K484" s="21"/>
      <c r="L484" s="21"/>
      <c r="M484" s="21"/>
      <c r="N484" s="21"/>
      <c r="O484" s="21"/>
      <c r="P484" s="21"/>
      <c r="Q484" s="19"/>
      <c r="R484" s="19"/>
      <c r="S484" s="19"/>
      <c r="T484" s="19"/>
      <c r="U484" s="19"/>
      <c r="V484" s="19"/>
      <c r="W484" s="19"/>
      <c r="X484" s="19"/>
      <c r="Y484" s="19"/>
      <c r="Z484" s="19"/>
    </row>
    <row r="485">
      <c r="A485" s="21"/>
      <c r="B485" s="21"/>
      <c r="C485" s="21"/>
      <c r="D485" s="21"/>
      <c r="E485" s="21"/>
      <c r="F485" s="21"/>
      <c r="G485" s="21"/>
      <c r="H485" s="2"/>
      <c r="I485" s="21"/>
      <c r="J485" s="21"/>
      <c r="K485" s="21"/>
      <c r="L485" s="21"/>
      <c r="M485" s="21"/>
      <c r="N485" s="21"/>
      <c r="O485" s="21"/>
      <c r="P485" s="21"/>
      <c r="Q485" s="19"/>
      <c r="R485" s="19"/>
      <c r="S485" s="19"/>
      <c r="T485" s="19"/>
      <c r="U485" s="19"/>
      <c r="V485" s="19"/>
      <c r="W485" s="19"/>
      <c r="X485" s="19"/>
      <c r="Y485" s="19"/>
      <c r="Z485" s="19"/>
    </row>
    <row r="486">
      <c r="A486" s="21"/>
      <c r="B486" s="21"/>
      <c r="C486" s="21"/>
      <c r="D486" s="21"/>
      <c r="E486" s="21"/>
      <c r="F486" s="21"/>
      <c r="G486" s="21"/>
      <c r="H486" s="2"/>
      <c r="I486" s="21"/>
      <c r="J486" s="21"/>
      <c r="K486" s="21"/>
      <c r="L486" s="21"/>
      <c r="M486" s="21"/>
      <c r="N486" s="21"/>
      <c r="O486" s="21"/>
      <c r="P486" s="21"/>
      <c r="Q486" s="19"/>
      <c r="R486" s="19"/>
      <c r="S486" s="19"/>
      <c r="T486" s="19"/>
      <c r="U486" s="19"/>
      <c r="V486" s="19"/>
      <c r="W486" s="19"/>
      <c r="X486" s="19"/>
      <c r="Y486" s="19"/>
      <c r="Z486" s="19"/>
    </row>
    <row r="487">
      <c r="A487" s="21"/>
      <c r="B487" s="21"/>
      <c r="C487" s="21"/>
      <c r="D487" s="21"/>
      <c r="E487" s="21"/>
      <c r="F487" s="21"/>
      <c r="G487" s="21"/>
      <c r="H487" s="2"/>
      <c r="I487" s="21"/>
      <c r="J487" s="21"/>
      <c r="K487" s="21"/>
      <c r="L487" s="21"/>
      <c r="M487" s="21"/>
      <c r="N487" s="21"/>
      <c r="O487" s="21"/>
      <c r="P487" s="21"/>
      <c r="Q487" s="19"/>
      <c r="R487" s="19"/>
      <c r="S487" s="19"/>
      <c r="T487" s="19"/>
      <c r="U487" s="19"/>
      <c r="V487" s="19"/>
      <c r="W487" s="19"/>
      <c r="X487" s="19"/>
      <c r="Y487" s="19"/>
      <c r="Z487" s="19"/>
    </row>
    <row r="488">
      <c r="A488" s="21"/>
      <c r="B488" s="21"/>
      <c r="C488" s="21"/>
      <c r="D488" s="21"/>
      <c r="E488" s="21"/>
      <c r="F488" s="21"/>
      <c r="G488" s="21"/>
      <c r="H488" s="2"/>
      <c r="I488" s="21"/>
      <c r="J488" s="21"/>
      <c r="K488" s="21"/>
      <c r="L488" s="21"/>
      <c r="M488" s="21"/>
      <c r="N488" s="21"/>
      <c r="O488" s="21"/>
      <c r="P488" s="21"/>
      <c r="Q488" s="19"/>
      <c r="R488" s="19"/>
      <c r="S488" s="19"/>
      <c r="T488" s="19"/>
      <c r="U488" s="19"/>
      <c r="V488" s="19"/>
      <c r="W488" s="19"/>
      <c r="X488" s="19"/>
      <c r="Y488" s="19"/>
      <c r="Z488" s="19"/>
    </row>
    <row r="489">
      <c r="A489" s="21"/>
      <c r="B489" s="21"/>
      <c r="C489" s="21"/>
      <c r="D489" s="21"/>
      <c r="E489" s="21"/>
      <c r="F489" s="21"/>
      <c r="G489" s="21"/>
      <c r="H489" s="2"/>
      <c r="I489" s="21"/>
      <c r="J489" s="21"/>
      <c r="K489" s="21"/>
      <c r="L489" s="21"/>
      <c r="M489" s="21"/>
      <c r="N489" s="21"/>
      <c r="O489" s="21"/>
      <c r="P489" s="21"/>
      <c r="Q489" s="19"/>
      <c r="R489" s="19"/>
      <c r="S489" s="19"/>
      <c r="T489" s="19"/>
      <c r="U489" s="19"/>
      <c r="V489" s="19"/>
      <c r="W489" s="19"/>
      <c r="X489" s="19"/>
      <c r="Y489" s="19"/>
      <c r="Z489" s="19"/>
    </row>
    <row r="490">
      <c r="A490" s="21"/>
      <c r="B490" s="21"/>
      <c r="C490" s="21"/>
      <c r="D490" s="21"/>
      <c r="E490" s="21"/>
      <c r="F490" s="21"/>
      <c r="G490" s="21"/>
      <c r="H490" s="2"/>
      <c r="I490" s="21"/>
      <c r="J490" s="21"/>
      <c r="K490" s="21"/>
      <c r="L490" s="21"/>
      <c r="M490" s="21"/>
      <c r="N490" s="21"/>
      <c r="O490" s="21"/>
      <c r="P490" s="21"/>
      <c r="Q490" s="19"/>
      <c r="R490" s="19"/>
      <c r="S490" s="19"/>
      <c r="T490" s="19"/>
      <c r="U490" s="19"/>
      <c r="V490" s="19"/>
      <c r="W490" s="19"/>
      <c r="X490" s="19"/>
      <c r="Y490" s="19"/>
      <c r="Z490" s="19"/>
    </row>
    <row r="491">
      <c r="A491" s="21"/>
      <c r="B491" s="21"/>
      <c r="C491" s="21"/>
      <c r="D491" s="21"/>
      <c r="E491" s="21"/>
      <c r="F491" s="21"/>
      <c r="G491" s="21"/>
      <c r="H491" s="2"/>
      <c r="I491" s="21"/>
      <c r="J491" s="21"/>
      <c r="K491" s="21"/>
      <c r="L491" s="21"/>
      <c r="M491" s="21"/>
      <c r="N491" s="21"/>
      <c r="O491" s="21"/>
      <c r="P491" s="21"/>
      <c r="Q491" s="19"/>
      <c r="R491" s="19"/>
      <c r="S491" s="19"/>
      <c r="T491" s="19"/>
      <c r="U491" s="19"/>
      <c r="V491" s="19"/>
      <c r="W491" s="19"/>
      <c r="X491" s="19"/>
      <c r="Y491" s="19"/>
      <c r="Z491" s="19"/>
    </row>
    <row r="492">
      <c r="A492" s="21"/>
      <c r="B492" s="21"/>
      <c r="C492" s="21"/>
      <c r="D492" s="21"/>
      <c r="E492" s="21"/>
      <c r="F492" s="21"/>
      <c r="G492" s="21"/>
      <c r="H492" s="2"/>
      <c r="I492" s="21"/>
      <c r="J492" s="21"/>
      <c r="K492" s="21"/>
      <c r="L492" s="21"/>
      <c r="M492" s="21"/>
      <c r="N492" s="21"/>
      <c r="O492" s="21"/>
      <c r="P492" s="21"/>
      <c r="Q492" s="19"/>
      <c r="R492" s="19"/>
      <c r="S492" s="19"/>
      <c r="T492" s="19"/>
      <c r="U492" s="19"/>
      <c r="V492" s="19"/>
      <c r="W492" s="19"/>
      <c r="X492" s="19"/>
      <c r="Y492" s="19"/>
      <c r="Z492" s="19"/>
    </row>
    <row r="493">
      <c r="A493" s="21"/>
      <c r="B493" s="21"/>
      <c r="C493" s="21"/>
      <c r="D493" s="21"/>
      <c r="E493" s="21"/>
      <c r="F493" s="21"/>
      <c r="G493" s="21"/>
      <c r="H493" s="2"/>
      <c r="I493" s="21"/>
      <c r="J493" s="21"/>
      <c r="K493" s="21"/>
      <c r="L493" s="21"/>
      <c r="M493" s="21"/>
      <c r="N493" s="21"/>
      <c r="O493" s="21"/>
      <c r="P493" s="21"/>
      <c r="Q493" s="19"/>
      <c r="R493" s="19"/>
      <c r="S493" s="19"/>
      <c r="T493" s="19"/>
      <c r="U493" s="19"/>
      <c r="V493" s="19"/>
      <c r="W493" s="19"/>
      <c r="X493" s="19"/>
      <c r="Y493" s="19"/>
      <c r="Z493" s="19"/>
    </row>
    <row r="494">
      <c r="A494" s="21"/>
      <c r="B494" s="21"/>
      <c r="C494" s="21"/>
      <c r="D494" s="21"/>
      <c r="E494" s="21"/>
      <c r="F494" s="21"/>
      <c r="G494" s="21"/>
      <c r="H494" s="2"/>
      <c r="I494" s="21"/>
      <c r="J494" s="21"/>
      <c r="K494" s="21"/>
      <c r="L494" s="21"/>
      <c r="M494" s="21"/>
      <c r="N494" s="21"/>
      <c r="O494" s="21"/>
      <c r="P494" s="21"/>
      <c r="Q494" s="19"/>
      <c r="R494" s="19"/>
      <c r="S494" s="19"/>
      <c r="T494" s="19"/>
      <c r="U494" s="19"/>
      <c r="V494" s="19"/>
      <c r="W494" s="19"/>
      <c r="X494" s="19"/>
      <c r="Y494" s="19"/>
      <c r="Z494" s="19"/>
    </row>
    <row r="495">
      <c r="A495" s="21"/>
      <c r="B495" s="21"/>
      <c r="C495" s="21"/>
      <c r="D495" s="21"/>
      <c r="E495" s="21"/>
      <c r="F495" s="21"/>
      <c r="G495" s="21"/>
      <c r="H495" s="2"/>
      <c r="I495" s="21"/>
      <c r="J495" s="21"/>
      <c r="K495" s="21"/>
      <c r="L495" s="21"/>
      <c r="M495" s="21"/>
      <c r="N495" s="21"/>
      <c r="O495" s="21"/>
      <c r="P495" s="21"/>
      <c r="Q495" s="19"/>
      <c r="R495" s="19"/>
      <c r="S495" s="19"/>
      <c r="T495" s="19"/>
      <c r="U495" s="19"/>
      <c r="V495" s="19"/>
      <c r="W495" s="19"/>
      <c r="X495" s="19"/>
      <c r="Y495" s="19"/>
      <c r="Z495" s="19"/>
    </row>
    <row r="496">
      <c r="A496" s="21"/>
      <c r="B496" s="21"/>
      <c r="C496" s="21"/>
      <c r="D496" s="21"/>
      <c r="E496" s="21"/>
      <c r="F496" s="21"/>
      <c r="G496" s="21"/>
      <c r="H496" s="2"/>
      <c r="I496" s="21"/>
      <c r="J496" s="21"/>
      <c r="K496" s="21"/>
      <c r="L496" s="21"/>
      <c r="M496" s="21"/>
      <c r="N496" s="21"/>
      <c r="O496" s="21"/>
      <c r="P496" s="21"/>
      <c r="Q496" s="19"/>
      <c r="R496" s="19"/>
      <c r="S496" s="19"/>
      <c r="T496" s="19"/>
      <c r="U496" s="19"/>
      <c r="V496" s="19"/>
      <c r="W496" s="19"/>
      <c r="X496" s="19"/>
      <c r="Y496" s="19"/>
      <c r="Z496" s="19"/>
    </row>
    <row r="497">
      <c r="A497" s="21"/>
      <c r="B497" s="21"/>
      <c r="C497" s="21"/>
      <c r="D497" s="21"/>
      <c r="E497" s="21"/>
      <c r="F497" s="21"/>
      <c r="G497" s="21"/>
      <c r="H497" s="2"/>
      <c r="I497" s="21"/>
      <c r="J497" s="21"/>
      <c r="K497" s="21"/>
      <c r="L497" s="21"/>
      <c r="M497" s="21"/>
      <c r="N497" s="21"/>
      <c r="O497" s="21"/>
      <c r="P497" s="21"/>
      <c r="Q497" s="19"/>
      <c r="R497" s="19"/>
      <c r="S497" s="19"/>
      <c r="T497" s="19"/>
      <c r="U497" s="19"/>
      <c r="V497" s="19"/>
      <c r="W497" s="19"/>
      <c r="X497" s="19"/>
      <c r="Y497" s="19"/>
      <c r="Z497" s="19"/>
    </row>
    <row r="498">
      <c r="A498" s="21"/>
      <c r="B498" s="21"/>
      <c r="C498" s="21"/>
      <c r="D498" s="21"/>
      <c r="E498" s="21"/>
      <c r="F498" s="21"/>
      <c r="G498" s="21"/>
      <c r="H498" s="2"/>
      <c r="I498" s="21"/>
      <c r="J498" s="21"/>
      <c r="K498" s="21"/>
      <c r="L498" s="21"/>
      <c r="M498" s="21"/>
      <c r="N498" s="21"/>
      <c r="O498" s="21"/>
      <c r="P498" s="21"/>
      <c r="Q498" s="19"/>
      <c r="R498" s="19"/>
      <c r="S498" s="19"/>
      <c r="T498" s="19"/>
      <c r="U498" s="19"/>
      <c r="V498" s="19"/>
      <c r="W498" s="19"/>
      <c r="X498" s="19"/>
      <c r="Y498" s="19"/>
      <c r="Z498" s="19"/>
    </row>
    <row r="499">
      <c r="A499" s="21"/>
      <c r="B499" s="21"/>
      <c r="C499" s="21"/>
      <c r="D499" s="21"/>
      <c r="E499" s="21"/>
      <c r="F499" s="21"/>
      <c r="G499" s="21"/>
      <c r="H499" s="2"/>
      <c r="I499" s="21"/>
      <c r="J499" s="21"/>
      <c r="K499" s="21"/>
      <c r="L499" s="21"/>
      <c r="M499" s="21"/>
      <c r="N499" s="21"/>
      <c r="O499" s="21"/>
      <c r="P499" s="21"/>
      <c r="Q499" s="19"/>
      <c r="R499" s="19"/>
      <c r="S499" s="19"/>
      <c r="T499" s="19"/>
      <c r="U499" s="19"/>
      <c r="V499" s="19"/>
      <c r="W499" s="19"/>
      <c r="X499" s="19"/>
      <c r="Y499" s="19"/>
      <c r="Z499" s="19"/>
    </row>
    <row r="500">
      <c r="A500" s="21"/>
      <c r="B500" s="21"/>
      <c r="C500" s="21"/>
      <c r="D500" s="21"/>
      <c r="E500" s="21"/>
      <c r="F500" s="21"/>
      <c r="G500" s="21"/>
      <c r="H500" s="2"/>
      <c r="I500" s="21"/>
      <c r="J500" s="21"/>
      <c r="K500" s="21"/>
      <c r="L500" s="21"/>
      <c r="M500" s="21"/>
      <c r="N500" s="21"/>
      <c r="O500" s="21"/>
      <c r="P500" s="21"/>
      <c r="Q500" s="19"/>
      <c r="R500" s="19"/>
      <c r="S500" s="19"/>
      <c r="T500" s="19"/>
      <c r="U500" s="19"/>
      <c r="V500" s="19"/>
      <c r="W500" s="19"/>
      <c r="X500" s="19"/>
      <c r="Y500" s="19"/>
      <c r="Z500" s="19"/>
    </row>
    <row r="501">
      <c r="A501" s="21"/>
      <c r="B501" s="21"/>
      <c r="C501" s="21"/>
      <c r="D501" s="21"/>
      <c r="E501" s="21"/>
      <c r="F501" s="21"/>
      <c r="G501" s="21"/>
      <c r="H501" s="2"/>
      <c r="I501" s="21"/>
      <c r="J501" s="21"/>
      <c r="K501" s="21"/>
      <c r="L501" s="21"/>
      <c r="M501" s="21"/>
      <c r="N501" s="21"/>
      <c r="O501" s="21"/>
      <c r="P501" s="21"/>
      <c r="Q501" s="19"/>
      <c r="R501" s="19"/>
      <c r="S501" s="19"/>
      <c r="T501" s="19"/>
      <c r="U501" s="19"/>
      <c r="V501" s="19"/>
      <c r="W501" s="19"/>
      <c r="X501" s="19"/>
      <c r="Y501" s="19"/>
      <c r="Z501" s="19"/>
    </row>
    <row r="502">
      <c r="A502" s="21"/>
      <c r="B502" s="21"/>
      <c r="C502" s="21"/>
      <c r="D502" s="21"/>
      <c r="E502" s="21"/>
      <c r="F502" s="21"/>
      <c r="G502" s="21"/>
      <c r="H502" s="2"/>
      <c r="I502" s="21"/>
      <c r="J502" s="21"/>
      <c r="K502" s="21"/>
      <c r="L502" s="21"/>
      <c r="M502" s="21"/>
      <c r="N502" s="21"/>
      <c r="O502" s="21"/>
      <c r="P502" s="21"/>
      <c r="Q502" s="19"/>
      <c r="R502" s="19"/>
      <c r="S502" s="19"/>
      <c r="T502" s="19"/>
      <c r="U502" s="19"/>
      <c r="V502" s="19"/>
      <c r="W502" s="19"/>
      <c r="X502" s="19"/>
      <c r="Y502" s="19"/>
      <c r="Z502" s="19"/>
    </row>
    <row r="503">
      <c r="A503" s="21"/>
      <c r="B503" s="21"/>
      <c r="C503" s="21"/>
      <c r="D503" s="21"/>
      <c r="E503" s="21"/>
      <c r="F503" s="21"/>
      <c r="G503" s="21"/>
      <c r="H503" s="2"/>
      <c r="I503" s="21"/>
      <c r="J503" s="21"/>
      <c r="K503" s="21"/>
      <c r="L503" s="21"/>
      <c r="M503" s="21"/>
      <c r="N503" s="21"/>
      <c r="O503" s="21"/>
      <c r="P503" s="21"/>
      <c r="Q503" s="19"/>
      <c r="R503" s="19"/>
      <c r="S503" s="19"/>
      <c r="T503" s="19"/>
      <c r="U503" s="19"/>
      <c r="V503" s="19"/>
      <c r="W503" s="19"/>
      <c r="X503" s="19"/>
      <c r="Y503" s="19"/>
      <c r="Z503" s="19"/>
    </row>
    <row r="504">
      <c r="A504" s="21"/>
      <c r="B504" s="21"/>
      <c r="C504" s="21"/>
      <c r="D504" s="21"/>
      <c r="E504" s="21"/>
      <c r="F504" s="21"/>
      <c r="G504" s="21"/>
      <c r="H504" s="2"/>
      <c r="I504" s="21"/>
      <c r="J504" s="21"/>
      <c r="K504" s="21"/>
      <c r="L504" s="21"/>
      <c r="M504" s="21"/>
      <c r="N504" s="21"/>
      <c r="O504" s="21"/>
      <c r="P504" s="21"/>
      <c r="Q504" s="19"/>
      <c r="R504" s="19"/>
      <c r="S504" s="19"/>
      <c r="T504" s="19"/>
      <c r="U504" s="19"/>
      <c r="V504" s="19"/>
      <c r="W504" s="19"/>
      <c r="X504" s="19"/>
      <c r="Y504" s="19"/>
      <c r="Z504" s="19"/>
    </row>
    <row r="505">
      <c r="A505" s="21"/>
      <c r="B505" s="21"/>
      <c r="C505" s="21"/>
      <c r="D505" s="21"/>
      <c r="E505" s="21"/>
      <c r="F505" s="21"/>
      <c r="G505" s="21"/>
      <c r="H505" s="2"/>
      <c r="I505" s="21"/>
      <c r="J505" s="21"/>
      <c r="K505" s="21"/>
      <c r="L505" s="21"/>
      <c r="M505" s="21"/>
      <c r="N505" s="21"/>
      <c r="O505" s="21"/>
      <c r="P505" s="21"/>
      <c r="Q505" s="19"/>
      <c r="R505" s="19"/>
      <c r="S505" s="19"/>
      <c r="T505" s="19"/>
      <c r="U505" s="19"/>
      <c r="V505" s="19"/>
      <c r="W505" s="19"/>
      <c r="X505" s="19"/>
      <c r="Y505" s="19"/>
      <c r="Z505" s="19"/>
    </row>
    <row r="506">
      <c r="A506" s="21"/>
      <c r="B506" s="21"/>
      <c r="C506" s="21"/>
      <c r="D506" s="21"/>
      <c r="E506" s="21"/>
      <c r="F506" s="21"/>
      <c r="G506" s="21"/>
      <c r="H506" s="2"/>
      <c r="I506" s="21"/>
      <c r="J506" s="21"/>
      <c r="K506" s="21"/>
      <c r="L506" s="21"/>
      <c r="M506" s="21"/>
      <c r="N506" s="21"/>
      <c r="O506" s="21"/>
      <c r="P506" s="21"/>
      <c r="Q506" s="19"/>
      <c r="R506" s="19"/>
      <c r="S506" s="19"/>
      <c r="T506" s="19"/>
      <c r="U506" s="19"/>
      <c r="V506" s="19"/>
      <c r="W506" s="19"/>
      <c r="X506" s="19"/>
      <c r="Y506" s="19"/>
      <c r="Z506" s="19"/>
    </row>
    <row r="507">
      <c r="A507" s="21"/>
      <c r="B507" s="21"/>
      <c r="C507" s="21"/>
      <c r="D507" s="21"/>
      <c r="E507" s="21"/>
      <c r="F507" s="21"/>
      <c r="G507" s="21"/>
      <c r="H507" s="2"/>
      <c r="I507" s="21"/>
      <c r="J507" s="21"/>
      <c r="K507" s="21"/>
      <c r="L507" s="21"/>
      <c r="M507" s="21"/>
      <c r="N507" s="21"/>
      <c r="O507" s="21"/>
      <c r="P507" s="21"/>
      <c r="Q507" s="19"/>
      <c r="R507" s="19"/>
      <c r="S507" s="19"/>
      <c r="T507" s="19"/>
      <c r="U507" s="19"/>
      <c r="V507" s="19"/>
      <c r="W507" s="19"/>
      <c r="X507" s="19"/>
      <c r="Y507" s="19"/>
      <c r="Z507" s="19"/>
    </row>
    <row r="508">
      <c r="A508" s="21"/>
      <c r="B508" s="21"/>
      <c r="C508" s="21"/>
      <c r="D508" s="21"/>
      <c r="E508" s="21"/>
      <c r="F508" s="21"/>
      <c r="G508" s="21"/>
      <c r="H508" s="2"/>
      <c r="I508" s="21"/>
      <c r="J508" s="21"/>
      <c r="K508" s="21"/>
      <c r="L508" s="21"/>
      <c r="M508" s="21"/>
      <c r="N508" s="21"/>
      <c r="O508" s="21"/>
      <c r="P508" s="21"/>
      <c r="Q508" s="19"/>
      <c r="R508" s="19"/>
      <c r="S508" s="19"/>
      <c r="T508" s="19"/>
      <c r="U508" s="19"/>
      <c r="V508" s="19"/>
      <c r="W508" s="19"/>
      <c r="X508" s="19"/>
      <c r="Y508" s="19"/>
      <c r="Z508" s="19"/>
    </row>
    <row r="509">
      <c r="A509" s="21"/>
      <c r="B509" s="21"/>
      <c r="C509" s="21"/>
      <c r="D509" s="21"/>
      <c r="E509" s="21"/>
      <c r="F509" s="21"/>
      <c r="G509" s="21"/>
      <c r="H509" s="2"/>
      <c r="I509" s="21"/>
      <c r="J509" s="21"/>
      <c r="K509" s="21"/>
      <c r="L509" s="21"/>
      <c r="M509" s="21"/>
      <c r="N509" s="21"/>
      <c r="O509" s="21"/>
      <c r="P509" s="21"/>
      <c r="Q509" s="19"/>
      <c r="R509" s="19"/>
      <c r="S509" s="19"/>
      <c r="T509" s="19"/>
      <c r="U509" s="19"/>
      <c r="V509" s="19"/>
      <c r="W509" s="19"/>
      <c r="X509" s="19"/>
      <c r="Y509" s="19"/>
      <c r="Z509" s="19"/>
    </row>
    <row r="510">
      <c r="A510" s="21"/>
      <c r="B510" s="21"/>
      <c r="C510" s="21"/>
      <c r="D510" s="21"/>
      <c r="E510" s="21"/>
      <c r="F510" s="21"/>
      <c r="G510" s="21"/>
      <c r="H510" s="2"/>
      <c r="I510" s="21"/>
      <c r="J510" s="21"/>
      <c r="K510" s="21"/>
      <c r="L510" s="21"/>
      <c r="M510" s="21"/>
      <c r="N510" s="21"/>
      <c r="O510" s="21"/>
      <c r="P510" s="21"/>
      <c r="Q510" s="19"/>
      <c r="R510" s="19"/>
      <c r="S510" s="19"/>
      <c r="T510" s="19"/>
      <c r="U510" s="19"/>
      <c r="V510" s="19"/>
      <c r="W510" s="19"/>
      <c r="X510" s="19"/>
      <c r="Y510" s="19"/>
      <c r="Z510" s="19"/>
    </row>
    <row r="511">
      <c r="A511" s="21"/>
      <c r="B511" s="21"/>
      <c r="C511" s="21"/>
      <c r="D511" s="21"/>
      <c r="E511" s="21"/>
      <c r="F511" s="21"/>
      <c r="G511" s="21"/>
      <c r="H511" s="2"/>
      <c r="I511" s="21"/>
      <c r="J511" s="21"/>
      <c r="K511" s="21"/>
      <c r="L511" s="21"/>
      <c r="M511" s="21"/>
      <c r="N511" s="21"/>
      <c r="O511" s="21"/>
      <c r="P511" s="21"/>
      <c r="Q511" s="19"/>
      <c r="R511" s="19"/>
      <c r="S511" s="19"/>
      <c r="T511" s="19"/>
      <c r="U511" s="19"/>
      <c r="V511" s="19"/>
      <c r="W511" s="19"/>
      <c r="X511" s="19"/>
      <c r="Y511" s="19"/>
      <c r="Z511" s="19"/>
    </row>
    <row r="512">
      <c r="A512" s="21"/>
      <c r="B512" s="21"/>
      <c r="C512" s="21"/>
      <c r="D512" s="21"/>
      <c r="E512" s="21"/>
      <c r="F512" s="21"/>
      <c r="G512" s="21"/>
      <c r="H512" s="2"/>
      <c r="I512" s="21"/>
      <c r="J512" s="21"/>
      <c r="K512" s="21"/>
      <c r="L512" s="21"/>
      <c r="M512" s="21"/>
      <c r="N512" s="21"/>
      <c r="O512" s="21"/>
      <c r="P512" s="21"/>
      <c r="Q512" s="19"/>
      <c r="R512" s="19"/>
      <c r="S512" s="19"/>
      <c r="T512" s="19"/>
      <c r="U512" s="19"/>
      <c r="V512" s="19"/>
      <c r="W512" s="19"/>
      <c r="X512" s="19"/>
      <c r="Y512" s="19"/>
      <c r="Z512" s="19"/>
    </row>
    <row r="513">
      <c r="A513" s="21"/>
      <c r="B513" s="21"/>
      <c r="C513" s="21"/>
      <c r="D513" s="21"/>
      <c r="E513" s="21"/>
      <c r="F513" s="21"/>
      <c r="G513" s="21"/>
      <c r="H513" s="2"/>
      <c r="I513" s="21"/>
      <c r="J513" s="21"/>
      <c r="K513" s="21"/>
      <c r="L513" s="21"/>
      <c r="M513" s="21"/>
      <c r="N513" s="21"/>
      <c r="O513" s="21"/>
      <c r="P513" s="21"/>
      <c r="Q513" s="19"/>
      <c r="R513" s="19"/>
      <c r="S513" s="19"/>
      <c r="T513" s="19"/>
      <c r="U513" s="19"/>
      <c r="V513" s="19"/>
      <c r="W513" s="19"/>
      <c r="X513" s="19"/>
      <c r="Y513" s="19"/>
      <c r="Z513" s="19"/>
    </row>
    <row r="514">
      <c r="A514" s="21"/>
      <c r="B514" s="21"/>
      <c r="C514" s="21"/>
      <c r="D514" s="21"/>
      <c r="E514" s="21"/>
      <c r="F514" s="21"/>
      <c r="G514" s="21"/>
      <c r="H514" s="2"/>
      <c r="I514" s="21"/>
      <c r="J514" s="21"/>
      <c r="K514" s="21"/>
      <c r="L514" s="21"/>
      <c r="M514" s="21"/>
      <c r="N514" s="21"/>
      <c r="O514" s="21"/>
      <c r="P514" s="21"/>
      <c r="Q514" s="19"/>
      <c r="R514" s="19"/>
      <c r="S514" s="19"/>
      <c r="T514" s="19"/>
      <c r="U514" s="19"/>
      <c r="V514" s="19"/>
      <c r="W514" s="19"/>
      <c r="X514" s="19"/>
      <c r="Y514" s="19"/>
      <c r="Z514" s="19"/>
    </row>
    <row r="515">
      <c r="A515" s="21"/>
      <c r="B515" s="21"/>
      <c r="C515" s="21"/>
      <c r="D515" s="21"/>
      <c r="E515" s="21"/>
      <c r="F515" s="21"/>
      <c r="G515" s="21"/>
      <c r="H515" s="2"/>
      <c r="I515" s="21"/>
      <c r="J515" s="21"/>
      <c r="K515" s="21"/>
      <c r="L515" s="21"/>
      <c r="M515" s="21"/>
      <c r="N515" s="21"/>
      <c r="O515" s="21"/>
      <c r="P515" s="21"/>
      <c r="Q515" s="19"/>
      <c r="R515" s="19"/>
      <c r="S515" s="19"/>
      <c r="T515" s="19"/>
      <c r="U515" s="19"/>
      <c r="V515" s="19"/>
      <c r="W515" s="19"/>
      <c r="X515" s="19"/>
      <c r="Y515" s="19"/>
      <c r="Z515" s="19"/>
    </row>
    <row r="516">
      <c r="A516" s="21"/>
      <c r="B516" s="21"/>
      <c r="C516" s="21"/>
      <c r="D516" s="21"/>
      <c r="E516" s="21"/>
      <c r="F516" s="21"/>
      <c r="G516" s="21"/>
      <c r="H516" s="2"/>
      <c r="I516" s="21"/>
      <c r="J516" s="21"/>
      <c r="K516" s="21"/>
      <c r="L516" s="21"/>
      <c r="M516" s="21"/>
      <c r="N516" s="21"/>
      <c r="O516" s="21"/>
      <c r="P516" s="21"/>
      <c r="Q516" s="19"/>
      <c r="R516" s="19"/>
      <c r="S516" s="19"/>
      <c r="T516" s="19"/>
      <c r="U516" s="19"/>
      <c r="V516" s="19"/>
      <c r="W516" s="19"/>
      <c r="X516" s="19"/>
      <c r="Y516" s="19"/>
      <c r="Z516" s="19"/>
    </row>
    <row r="517">
      <c r="A517" s="21"/>
      <c r="B517" s="21"/>
      <c r="C517" s="21"/>
      <c r="D517" s="21"/>
      <c r="E517" s="21"/>
      <c r="F517" s="21"/>
      <c r="G517" s="21"/>
      <c r="H517" s="2"/>
      <c r="I517" s="21"/>
      <c r="J517" s="21"/>
      <c r="K517" s="21"/>
      <c r="L517" s="21"/>
      <c r="M517" s="21"/>
      <c r="N517" s="21"/>
      <c r="O517" s="21"/>
      <c r="P517" s="21"/>
      <c r="Q517" s="19"/>
      <c r="R517" s="19"/>
      <c r="S517" s="19"/>
      <c r="T517" s="19"/>
      <c r="U517" s="19"/>
      <c r="V517" s="19"/>
      <c r="W517" s="19"/>
      <c r="X517" s="19"/>
      <c r="Y517" s="19"/>
      <c r="Z517" s="19"/>
    </row>
    <row r="518">
      <c r="A518" s="21"/>
      <c r="B518" s="21"/>
      <c r="C518" s="21"/>
      <c r="D518" s="21"/>
      <c r="E518" s="21"/>
      <c r="F518" s="21"/>
      <c r="G518" s="21"/>
      <c r="H518" s="2"/>
      <c r="I518" s="21"/>
      <c r="J518" s="21"/>
      <c r="K518" s="21"/>
      <c r="L518" s="21"/>
      <c r="M518" s="21"/>
      <c r="N518" s="21"/>
      <c r="O518" s="21"/>
      <c r="P518" s="21"/>
      <c r="Q518" s="19"/>
      <c r="R518" s="19"/>
      <c r="S518" s="19"/>
      <c r="T518" s="19"/>
      <c r="U518" s="19"/>
      <c r="V518" s="19"/>
      <c r="W518" s="19"/>
      <c r="X518" s="19"/>
      <c r="Y518" s="19"/>
      <c r="Z518" s="19"/>
    </row>
    <row r="519">
      <c r="A519" s="21"/>
      <c r="B519" s="21"/>
      <c r="C519" s="21"/>
      <c r="D519" s="21"/>
      <c r="E519" s="21"/>
      <c r="F519" s="21"/>
      <c r="G519" s="21"/>
      <c r="H519" s="2"/>
      <c r="I519" s="21"/>
      <c r="J519" s="21"/>
      <c r="K519" s="21"/>
      <c r="L519" s="21"/>
      <c r="M519" s="21"/>
      <c r="N519" s="21"/>
      <c r="O519" s="21"/>
      <c r="P519" s="21"/>
      <c r="Q519" s="19"/>
      <c r="R519" s="19"/>
      <c r="S519" s="19"/>
      <c r="T519" s="19"/>
      <c r="U519" s="19"/>
      <c r="V519" s="19"/>
      <c r="W519" s="19"/>
      <c r="X519" s="19"/>
      <c r="Y519" s="19"/>
      <c r="Z519" s="19"/>
    </row>
    <row r="520">
      <c r="A520" s="21"/>
      <c r="B520" s="21"/>
      <c r="C520" s="21"/>
      <c r="D520" s="21"/>
      <c r="E520" s="21"/>
      <c r="F520" s="21"/>
      <c r="G520" s="21"/>
      <c r="H520" s="2"/>
      <c r="I520" s="21"/>
      <c r="J520" s="21"/>
      <c r="K520" s="21"/>
      <c r="L520" s="21"/>
      <c r="M520" s="21"/>
      <c r="N520" s="21"/>
      <c r="O520" s="21"/>
      <c r="P520" s="21"/>
      <c r="Q520" s="19"/>
      <c r="R520" s="19"/>
      <c r="S520" s="19"/>
      <c r="T520" s="19"/>
      <c r="U520" s="19"/>
      <c r="V520" s="19"/>
      <c r="W520" s="19"/>
      <c r="X520" s="19"/>
      <c r="Y520" s="19"/>
      <c r="Z520" s="19"/>
    </row>
    <row r="521">
      <c r="A521" s="21"/>
      <c r="B521" s="21"/>
      <c r="C521" s="21"/>
      <c r="D521" s="21"/>
      <c r="E521" s="21"/>
      <c r="F521" s="21"/>
      <c r="G521" s="21"/>
      <c r="H521" s="2"/>
      <c r="I521" s="21"/>
      <c r="J521" s="21"/>
      <c r="K521" s="21"/>
      <c r="L521" s="21"/>
      <c r="M521" s="21"/>
      <c r="N521" s="21"/>
      <c r="O521" s="21"/>
      <c r="P521" s="21"/>
      <c r="Q521" s="19"/>
      <c r="R521" s="19"/>
      <c r="S521" s="19"/>
      <c r="T521" s="19"/>
      <c r="U521" s="19"/>
      <c r="V521" s="19"/>
      <c r="W521" s="19"/>
      <c r="X521" s="19"/>
      <c r="Y521" s="19"/>
      <c r="Z521" s="19"/>
    </row>
    <row r="522">
      <c r="A522" s="21"/>
      <c r="B522" s="21"/>
      <c r="C522" s="21"/>
      <c r="D522" s="21"/>
      <c r="E522" s="21"/>
      <c r="F522" s="21"/>
      <c r="G522" s="21"/>
      <c r="H522" s="2"/>
      <c r="I522" s="21"/>
      <c r="J522" s="21"/>
      <c r="K522" s="21"/>
      <c r="L522" s="21"/>
      <c r="M522" s="21"/>
      <c r="N522" s="21"/>
      <c r="O522" s="21"/>
      <c r="P522" s="21"/>
      <c r="Q522" s="19"/>
      <c r="R522" s="19"/>
      <c r="S522" s="19"/>
      <c r="T522" s="19"/>
      <c r="U522" s="19"/>
      <c r="V522" s="19"/>
      <c r="W522" s="19"/>
      <c r="X522" s="19"/>
      <c r="Y522" s="19"/>
      <c r="Z522" s="19"/>
    </row>
    <row r="523">
      <c r="A523" s="21"/>
      <c r="B523" s="21"/>
      <c r="C523" s="21"/>
      <c r="D523" s="21"/>
      <c r="E523" s="21"/>
      <c r="F523" s="21"/>
      <c r="G523" s="21"/>
      <c r="H523" s="2"/>
      <c r="I523" s="21"/>
      <c r="J523" s="21"/>
      <c r="K523" s="21"/>
      <c r="L523" s="21"/>
      <c r="M523" s="21"/>
      <c r="N523" s="21"/>
      <c r="O523" s="21"/>
      <c r="P523" s="21"/>
      <c r="Q523" s="19"/>
      <c r="R523" s="19"/>
      <c r="S523" s="19"/>
      <c r="T523" s="19"/>
      <c r="U523" s="19"/>
      <c r="V523" s="19"/>
      <c r="W523" s="19"/>
      <c r="X523" s="19"/>
      <c r="Y523" s="19"/>
      <c r="Z523" s="19"/>
    </row>
    <row r="524">
      <c r="A524" s="21"/>
      <c r="B524" s="21"/>
      <c r="C524" s="21"/>
      <c r="D524" s="21"/>
      <c r="E524" s="21"/>
      <c r="F524" s="21"/>
      <c r="G524" s="21"/>
      <c r="H524" s="2"/>
      <c r="I524" s="21"/>
      <c r="J524" s="21"/>
      <c r="K524" s="21"/>
      <c r="L524" s="21"/>
      <c r="M524" s="21"/>
      <c r="N524" s="21"/>
      <c r="O524" s="21"/>
      <c r="P524" s="21"/>
      <c r="Q524" s="19"/>
      <c r="R524" s="19"/>
      <c r="S524" s="19"/>
      <c r="T524" s="19"/>
      <c r="U524" s="19"/>
      <c r="V524" s="19"/>
      <c r="W524" s="19"/>
      <c r="X524" s="19"/>
      <c r="Y524" s="19"/>
      <c r="Z524" s="19"/>
    </row>
    <row r="525">
      <c r="A525" s="21"/>
      <c r="B525" s="21"/>
      <c r="C525" s="21"/>
      <c r="D525" s="21"/>
      <c r="E525" s="21"/>
      <c r="F525" s="21"/>
      <c r="G525" s="21"/>
      <c r="H525" s="2"/>
      <c r="I525" s="21"/>
      <c r="J525" s="21"/>
      <c r="K525" s="21"/>
      <c r="L525" s="21"/>
      <c r="M525" s="21"/>
      <c r="N525" s="21"/>
      <c r="O525" s="21"/>
      <c r="P525" s="21"/>
      <c r="Q525" s="19"/>
      <c r="R525" s="19"/>
      <c r="S525" s="19"/>
      <c r="T525" s="19"/>
      <c r="U525" s="19"/>
      <c r="V525" s="19"/>
      <c r="W525" s="19"/>
      <c r="X525" s="19"/>
      <c r="Y525" s="19"/>
      <c r="Z525" s="19"/>
    </row>
    <row r="526">
      <c r="A526" s="21"/>
      <c r="B526" s="21"/>
      <c r="C526" s="21"/>
      <c r="D526" s="21"/>
      <c r="E526" s="21"/>
      <c r="F526" s="21"/>
      <c r="G526" s="21"/>
      <c r="H526" s="2"/>
      <c r="I526" s="21"/>
      <c r="J526" s="21"/>
      <c r="K526" s="21"/>
      <c r="L526" s="21"/>
      <c r="M526" s="21"/>
      <c r="N526" s="21"/>
      <c r="O526" s="21"/>
      <c r="P526" s="21"/>
      <c r="Q526" s="19"/>
      <c r="R526" s="19"/>
      <c r="S526" s="19"/>
      <c r="T526" s="19"/>
      <c r="U526" s="19"/>
      <c r="V526" s="19"/>
      <c r="W526" s="19"/>
      <c r="X526" s="19"/>
      <c r="Y526" s="19"/>
      <c r="Z526" s="19"/>
    </row>
    <row r="527">
      <c r="A527" s="21"/>
      <c r="B527" s="21"/>
      <c r="C527" s="21"/>
      <c r="D527" s="21"/>
      <c r="E527" s="21"/>
      <c r="F527" s="21"/>
      <c r="G527" s="21"/>
      <c r="H527" s="2"/>
      <c r="I527" s="21"/>
      <c r="J527" s="21"/>
      <c r="K527" s="21"/>
      <c r="L527" s="21"/>
      <c r="M527" s="21"/>
      <c r="N527" s="21"/>
      <c r="O527" s="21"/>
      <c r="P527" s="21"/>
      <c r="Q527" s="19"/>
      <c r="R527" s="19"/>
      <c r="S527" s="19"/>
      <c r="T527" s="19"/>
      <c r="U527" s="19"/>
      <c r="V527" s="19"/>
      <c r="W527" s="19"/>
      <c r="X527" s="19"/>
      <c r="Y527" s="19"/>
      <c r="Z527" s="19"/>
    </row>
    <row r="528">
      <c r="A528" s="21"/>
      <c r="B528" s="21"/>
      <c r="C528" s="21"/>
      <c r="D528" s="21"/>
      <c r="E528" s="21"/>
      <c r="F528" s="21"/>
      <c r="G528" s="21"/>
      <c r="H528" s="2"/>
      <c r="I528" s="21"/>
      <c r="J528" s="21"/>
      <c r="K528" s="21"/>
      <c r="L528" s="21"/>
      <c r="M528" s="21"/>
      <c r="N528" s="21"/>
      <c r="O528" s="21"/>
      <c r="P528" s="21"/>
      <c r="Q528" s="19"/>
      <c r="R528" s="19"/>
      <c r="S528" s="19"/>
      <c r="T528" s="19"/>
      <c r="U528" s="19"/>
      <c r="V528" s="19"/>
      <c r="W528" s="19"/>
      <c r="X528" s="19"/>
      <c r="Y528" s="19"/>
      <c r="Z528" s="19"/>
    </row>
    <row r="529">
      <c r="A529" s="21"/>
      <c r="B529" s="21"/>
      <c r="C529" s="21"/>
      <c r="D529" s="21"/>
      <c r="E529" s="21"/>
      <c r="F529" s="21"/>
      <c r="G529" s="21"/>
      <c r="H529" s="2"/>
      <c r="I529" s="21"/>
      <c r="J529" s="21"/>
      <c r="K529" s="21"/>
      <c r="L529" s="21"/>
      <c r="M529" s="21"/>
      <c r="N529" s="21"/>
      <c r="O529" s="21"/>
      <c r="P529" s="21"/>
      <c r="Q529" s="19"/>
      <c r="R529" s="19"/>
      <c r="S529" s="19"/>
      <c r="T529" s="19"/>
      <c r="U529" s="19"/>
      <c r="V529" s="19"/>
      <c r="W529" s="19"/>
      <c r="X529" s="19"/>
      <c r="Y529" s="19"/>
      <c r="Z529" s="19"/>
    </row>
    <row r="530">
      <c r="A530" s="21"/>
      <c r="B530" s="21"/>
      <c r="C530" s="21"/>
      <c r="D530" s="21"/>
      <c r="E530" s="21"/>
      <c r="F530" s="21"/>
      <c r="G530" s="21"/>
      <c r="H530" s="2"/>
      <c r="I530" s="21"/>
      <c r="J530" s="21"/>
      <c r="K530" s="21"/>
      <c r="L530" s="21"/>
      <c r="M530" s="21"/>
      <c r="N530" s="21"/>
      <c r="O530" s="21"/>
      <c r="P530" s="21"/>
      <c r="Q530" s="19"/>
      <c r="R530" s="19"/>
      <c r="S530" s="19"/>
      <c r="T530" s="19"/>
      <c r="U530" s="19"/>
      <c r="V530" s="19"/>
      <c r="W530" s="19"/>
      <c r="X530" s="19"/>
      <c r="Y530" s="19"/>
      <c r="Z530" s="19"/>
    </row>
    <row r="531">
      <c r="A531" s="21"/>
      <c r="B531" s="21"/>
      <c r="C531" s="21"/>
      <c r="D531" s="21"/>
      <c r="E531" s="21"/>
      <c r="F531" s="21"/>
      <c r="G531" s="21"/>
      <c r="H531" s="2"/>
      <c r="I531" s="21"/>
      <c r="J531" s="21"/>
      <c r="K531" s="21"/>
      <c r="L531" s="21"/>
      <c r="M531" s="21"/>
      <c r="N531" s="21"/>
      <c r="O531" s="21"/>
      <c r="P531" s="21"/>
      <c r="Q531" s="19"/>
      <c r="R531" s="19"/>
      <c r="S531" s="19"/>
      <c r="T531" s="19"/>
      <c r="U531" s="19"/>
      <c r="V531" s="19"/>
      <c r="W531" s="19"/>
      <c r="X531" s="19"/>
      <c r="Y531" s="19"/>
      <c r="Z531" s="19"/>
    </row>
    <row r="532">
      <c r="A532" s="21"/>
      <c r="B532" s="21"/>
      <c r="C532" s="21"/>
      <c r="D532" s="21"/>
      <c r="E532" s="21"/>
      <c r="F532" s="21"/>
      <c r="G532" s="21"/>
      <c r="H532" s="2"/>
      <c r="I532" s="21"/>
      <c r="J532" s="21"/>
      <c r="K532" s="21"/>
      <c r="L532" s="21"/>
      <c r="M532" s="21"/>
      <c r="N532" s="21"/>
      <c r="O532" s="21"/>
      <c r="P532" s="21"/>
      <c r="Q532" s="19"/>
      <c r="R532" s="19"/>
      <c r="S532" s="19"/>
      <c r="T532" s="19"/>
      <c r="U532" s="19"/>
      <c r="V532" s="19"/>
      <c r="W532" s="19"/>
      <c r="X532" s="19"/>
      <c r="Y532" s="19"/>
      <c r="Z532" s="19"/>
    </row>
    <row r="533">
      <c r="A533" s="21"/>
      <c r="B533" s="21"/>
      <c r="C533" s="21"/>
      <c r="D533" s="21"/>
      <c r="E533" s="21"/>
      <c r="F533" s="21"/>
      <c r="G533" s="21"/>
      <c r="H533" s="2"/>
      <c r="I533" s="21"/>
      <c r="J533" s="21"/>
      <c r="K533" s="21"/>
      <c r="L533" s="21"/>
      <c r="M533" s="21"/>
      <c r="N533" s="21"/>
      <c r="O533" s="21"/>
      <c r="P533" s="21"/>
      <c r="Q533" s="19"/>
      <c r="R533" s="19"/>
      <c r="S533" s="19"/>
      <c r="T533" s="19"/>
      <c r="U533" s="19"/>
      <c r="V533" s="19"/>
      <c r="W533" s="19"/>
      <c r="X533" s="19"/>
      <c r="Y533" s="19"/>
      <c r="Z533" s="19"/>
    </row>
    <row r="534">
      <c r="A534" s="21"/>
      <c r="B534" s="21"/>
      <c r="C534" s="21"/>
      <c r="D534" s="21"/>
      <c r="E534" s="21"/>
      <c r="F534" s="21"/>
      <c r="G534" s="21"/>
      <c r="H534" s="2"/>
      <c r="I534" s="21"/>
      <c r="J534" s="21"/>
      <c r="K534" s="21"/>
      <c r="L534" s="21"/>
      <c r="M534" s="21"/>
      <c r="N534" s="21"/>
      <c r="O534" s="21"/>
      <c r="P534" s="21"/>
      <c r="Q534" s="19"/>
      <c r="R534" s="19"/>
      <c r="S534" s="19"/>
      <c r="T534" s="19"/>
      <c r="U534" s="19"/>
      <c r="V534" s="19"/>
      <c r="W534" s="19"/>
      <c r="X534" s="19"/>
      <c r="Y534" s="19"/>
      <c r="Z534" s="19"/>
    </row>
    <row r="535">
      <c r="A535" s="21"/>
      <c r="B535" s="21"/>
      <c r="C535" s="21"/>
      <c r="D535" s="21"/>
      <c r="E535" s="21"/>
      <c r="F535" s="21"/>
      <c r="G535" s="21"/>
      <c r="H535" s="2"/>
      <c r="I535" s="21"/>
      <c r="J535" s="21"/>
      <c r="K535" s="21"/>
      <c r="L535" s="21"/>
      <c r="M535" s="21"/>
      <c r="N535" s="21"/>
      <c r="O535" s="21"/>
      <c r="P535" s="21"/>
      <c r="Q535" s="19"/>
      <c r="R535" s="19"/>
      <c r="S535" s="19"/>
      <c r="T535" s="19"/>
      <c r="U535" s="19"/>
      <c r="V535" s="19"/>
      <c r="W535" s="19"/>
      <c r="X535" s="19"/>
      <c r="Y535" s="19"/>
      <c r="Z535" s="19"/>
    </row>
    <row r="536">
      <c r="A536" s="21"/>
      <c r="B536" s="21"/>
      <c r="C536" s="21"/>
      <c r="D536" s="21"/>
      <c r="E536" s="21"/>
      <c r="F536" s="21"/>
      <c r="G536" s="21"/>
      <c r="H536" s="2"/>
      <c r="I536" s="21"/>
      <c r="J536" s="21"/>
      <c r="K536" s="21"/>
      <c r="L536" s="21"/>
      <c r="M536" s="21"/>
      <c r="N536" s="21"/>
      <c r="O536" s="21"/>
      <c r="P536" s="21"/>
      <c r="Q536" s="19"/>
      <c r="R536" s="19"/>
      <c r="S536" s="19"/>
      <c r="T536" s="19"/>
      <c r="U536" s="19"/>
      <c r="V536" s="19"/>
      <c r="W536" s="19"/>
      <c r="X536" s="19"/>
      <c r="Y536" s="19"/>
      <c r="Z536" s="19"/>
    </row>
    <row r="537">
      <c r="A537" s="21"/>
      <c r="B537" s="21"/>
      <c r="C537" s="21"/>
      <c r="D537" s="21"/>
      <c r="E537" s="21"/>
      <c r="F537" s="21"/>
      <c r="G537" s="21"/>
      <c r="H537" s="2"/>
      <c r="I537" s="21"/>
      <c r="J537" s="21"/>
      <c r="K537" s="21"/>
      <c r="L537" s="21"/>
      <c r="M537" s="21"/>
      <c r="N537" s="21"/>
      <c r="O537" s="21"/>
      <c r="P537" s="21"/>
      <c r="Q537" s="19"/>
      <c r="R537" s="19"/>
      <c r="S537" s="19"/>
      <c r="T537" s="19"/>
      <c r="U537" s="19"/>
      <c r="V537" s="19"/>
      <c r="W537" s="19"/>
      <c r="X537" s="19"/>
      <c r="Y537" s="19"/>
      <c r="Z537" s="19"/>
    </row>
    <row r="538">
      <c r="A538" s="21"/>
      <c r="B538" s="21"/>
      <c r="C538" s="21"/>
      <c r="D538" s="21"/>
      <c r="E538" s="21"/>
      <c r="F538" s="21"/>
      <c r="G538" s="21"/>
      <c r="H538" s="2"/>
      <c r="I538" s="21"/>
      <c r="J538" s="21"/>
      <c r="K538" s="21"/>
      <c r="L538" s="21"/>
      <c r="M538" s="21"/>
      <c r="N538" s="21"/>
      <c r="O538" s="21"/>
      <c r="P538" s="21"/>
      <c r="Q538" s="19"/>
      <c r="R538" s="19"/>
      <c r="S538" s="19"/>
      <c r="T538" s="19"/>
      <c r="U538" s="19"/>
      <c r="V538" s="19"/>
      <c r="W538" s="19"/>
      <c r="X538" s="19"/>
      <c r="Y538" s="19"/>
      <c r="Z538" s="19"/>
    </row>
    <row r="539">
      <c r="A539" s="21"/>
      <c r="B539" s="21"/>
      <c r="C539" s="21"/>
      <c r="D539" s="21"/>
      <c r="E539" s="21"/>
      <c r="F539" s="21"/>
      <c r="G539" s="21"/>
      <c r="H539" s="2"/>
      <c r="I539" s="21"/>
      <c r="J539" s="21"/>
      <c r="K539" s="21"/>
      <c r="L539" s="21"/>
      <c r="M539" s="21"/>
      <c r="N539" s="21"/>
      <c r="O539" s="21"/>
      <c r="P539" s="21"/>
      <c r="Q539" s="19"/>
      <c r="R539" s="19"/>
      <c r="S539" s="19"/>
      <c r="T539" s="19"/>
      <c r="U539" s="19"/>
      <c r="V539" s="19"/>
      <c r="W539" s="19"/>
      <c r="X539" s="19"/>
      <c r="Y539" s="19"/>
      <c r="Z539" s="19"/>
    </row>
    <row r="540">
      <c r="A540" s="21"/>
      <c r="B540" s="21"/>
      <c r="C540" s="21"/>
      <c r="D540" s="21"/>
      <c r="E540" s="21"/>
      <c r="F540" s="21"/>
      <c r="G540" s="21"/>
      <c r="H540" s="2"/>
      <c r="I540" s="21"/>
      <c r="J540" s="21"/>
      <c r="K540" s="21"/>
      <c r="L540" s="21"/>
      <c r="M540" s="21"/>
      <c r="N540" s="21"/>
      <c r="O540" s="21"/>
      <c r="P540" s="21"/>
      <c r="Q540" s="19"/>
      <c r="R540" s="19"/>
      <c r="S540" s="19"/>
      <c r="T540" s="19"/>
      <c r="U540" s="19"/>
      <c r="V540" s="19"/>
      <c r="W540" s="19"/>
      <c r="X540" s="19"/>
      <c r="Y540" s="19"/>
      <c r="Z540" s="19"/>
    </row>
    <row r="541">
      <c r="A541" s="21"/>
      <c r="B541" s="21"/>
      <c r="C541" s="21"/>
      <c r="D541" s="21"/>
      <c r="E541" s="21"/>
      <c r="F541" s="21"/>
      <c r="G541" s="21"/>
      <c r="H541" s="2"/>
      <c r="I541" s="21"/>
      <c r="J541" s="21"/>
      <c r="K541" s="21"/>
      <c r="L541" s="21"/>
      <c r="M541" s="21"/>
      <c r="N541" s="21"/>
      <c r="O541" s="21"/>
      <c r="P541" s="21"/>
      <c r="Q541" s="19"/>
      <c r="R541" s="19"/>
      <c r="S541" s="19"/>
      <c r="T541" s="19"/>
      <c r="U541" s="19"/>
      <c r="V541" s="19"/>
      <c r="W541" s="19"/>
      <c r="X541" s="19"/>
      <c r="Y541" s="19"/>
      <c r="Z541" s="19"/>
    </row>
    <row r="542">
      <c r="A542" s="21"/>
      <c r="B542" s="21"/>
      <c r="C542" s="21"/>
      <c r="D542" s="21"/>
      <c r="E542" s="21"/>
      <c r="F542" s="21"/>
      <c r="G542" s="21"/>
      <c r="H542" s="2"/>
      <c r="I542" s="21"/>
      <c r="J542" s="21"/>
      <c r="K542" s="21"/>
      <c r="L542" s="21"/>
      <c r="M542" s="21"/>
      <c r="N542" s="21"/>
      <c r="O542" s="21"/>
      <c r="P542" s="21"/>
      <c r="Q542" s="19"/>
      <c r="R542" s="19"/>
      <c r="S542" s="19"/>
      <c r="T542" s="19"/>
      <c r="U542" s="19"/>
      <c r="V542" s="19"/>
      <c r="W542" s="19"/>
      <c r="X542" s="19"/>
      <c r="Y542" s="19"/>
      <c r="Z542" s="19"/>
    </row>
    <row r="543">
      <c r="A543" s="21"/>
      <c r="B543" s="21"/>
      <c r="C543" s="21"/>
      <c r="D543" s="21"/>
      <c r="E543" s="21"/>
      <c r="F543" s="21"/>
      <c r="G543" s="21"/>
      <c r="H543" s="2"/>
      <c r="I543" s="21"/>
      <c r="J543" s="21"/>
      <c r="K543" s="21"/>
      <c r="L543" s="21"/>
      <c r="M543" s="21"/>
      <c r="N543" s="21"/>
      <c r="O543" s="21"/>
      <c r="P543" s="21"/>
      <c r="Q543" s="19"/>
      <c r="R543" s="19"/>
      <c r="S543" s="19"/>
      <c r="T543" s="19"/>
      <c r="U543" s="19"/>
      <c r="V543" s="19"/>
      <c r="W543" s="19"/>
      <c r="X543" s="19"/>
      <c r="Y543" s="19"/>
      <c r="Z543" s="19"/>
    </row>
    <row r="544">
      <c r="A544" s="21"/>
      <c r="B544" s="21"/>
      <c r="C544" s="21"/>
      <c r="D544" s="21"/>
      <c r="E544" s="21"/>
      <c r="F544" s="21"/>
      <c r="G544" s="21"/>
      <c r="H544" s="2"/>
      <c r="I544" s="21"/>
      <c r="J544" s="21"/>
      <c r="K544" s="21"/>
      <c r="L544" s="21"/>
      <c r="M544" s="21"/>
      <c r="N544" s="21"/>
      <c r="O544" s="21"/>
      <c r="P544" s="21"/>
      <c r="Q544" s="19"/>
      <c r="R544" s="19"/>
      <c r="S544" s="19"/>
      <c r="T544" s="19"/>
      <c r="U544" s="19"/>
      <c r="V544" s="19"/>
      <c r="W544" s="19"/>
      <c r="X544" s="19"/>
      <c r="Y544" s="19"/>
      <c r="Z544" s="19"/>
    </row>
    <row r="545">
      <c r="A545" s="21"/>
      <c r="B545" s="21"/>
      <c r="C545" s="21"/>
      <c r="D545" s="21"/>
      <c r="E545" s="21"/>
      <c r="F545" s="21"/>
      <c r="G545" s="21"/>
      <c r="H545" s="2"/>
      <c r="I545" s="21"/>
      <c r="J545" s="21"/>
      <c r="K545" s="21"/>
      <c r="L545" s="21"/>
      <c r="M545" s="21"/>
      <c r="N545" s="21"/>
      <c r="O545" s="21"/>
      <c r="P545" s="21"/>
      <c r="Q545" s="19"/>
      <c r="R545" s="19"/>
      <c r="S545" s="19"/>
      <c r="T545" s="19"/>
      <c r="U545" s="19"/>
      <c r="V545" s="19"/>
      <c r="W545" s="19"/>
      <c r="X545" s="19"/>
      <c r="Y545" s="19"/>
      <c r="Z545" s="19"/>
    </row>
    <row r="546">
      <c r="A546" s="21"/>
      <c r="B546" s="21"/>
      <c r="C546" s="21"/>
      <c r="D546" s="21"/>
      <c r="E546" s="21"/>
      <c r="F546" s="21"/>
      <c r="G546" s="21"/>
      <c r="H546" s="2"/>
      <c r="I546" s="21"/>
      <c r="J546" s="21"/>
      <c r="K546" s="21"/>
      <c r="L546" s="21"/>
      <c r="M546" s="21"/>
      <c r="N546" s="21"/>
      <c r="O546" s="21"/>
      <c r="P546" s="21"/>
      <c r="Q546" s="19"/>
      <c r="R546" s="19"/>
      <c r="S546" s="19"/>
      <c r="T546" s="19"/>
      <c r="U546" s="19"/>
      <c r="V546" s="19"/>
      <c r="W546" s="19"/>
      <c r="X546" s="19"/>
      <c r="Y546" s="19"/>
      <c r="Z546" s="19"/>
    </row>
    <row r="547">
      <c r="A547" s="21"/>
      <c r="B547" s="21"/>
      <c r="C547" s="21"/>
      <c r="D547" s="21"/>
      <c r="E547" s="21"/>
      <c r="F547" s="21"/>
      <c r="G547" s="21"/>
      <c r="H547" s="2"/>
      <c r="I547" s="21"/>
      <c r="J547" s="21"/>
      <c r="K547" s="21"/>
      <c r="L547" s="21"/>
      <c r="M547" s="21"/>
      <c r="N547" s="21"/>
      <c r="O547" s="21"/>
      <c r="P547" s="21"/>
      <c r="Q547" s="19"/>
      <c r="R547" s="19"/>
      <c r="S547" s="19"/>
      <c r="T547" s="19"/>
      <c r="U547" s="19"/>
      <c r="V547" s="19"/>
      <c r="W547" s="19"/>
      <c r="X547" s="19"/>
      <c r="Y547" s="19"/>
      <c r="Z547" s="19"/>
    </row>
    <row r="548">
      <c r="A548" s="21"/>
      <c r="B548" s="21"/>
      <c r="C548" s="21"/>
      <c r="D548" s="21"/>
      <c r="E548" s="21"/>
      <c r="F548" s="21"/>
      <c r="G548" s="21"/>
      <c r="H548" s="2"/>
      <c r="I548" s="21"/>
      <c r="J548" s="21"/>
      <c r="K548" s="21"/>
      <c r="L548" s="21"/>
      <c r="M548" s="21"/>
      <c r="N548" s="21"/>
      <c r="O548" s="21"/>
      <c r="P548" s="21"/>
      <c r="Q548" s="19"/>
      <c r="R548" s="19"/>
      <c r="S548" s="19"/>
      <c r="T548" s="19"/>
      <c r="U548" s="19"/>
      <c r="V548" s="19"/>
      <c r="W548" s="19"/>
      <c r="X548" s="19"/>
      <c r="Y548" s="19"/>
      <c r="Z548" s="19"/>
    </row>
    <row r="549">
      <c r="A549" s="21"/>
      <c r="B549" s="21"/>
      <c r="C549" s="21"/>
      <c r="D549" s="21"/>
      <c r="E549" s="21"/>
      <c r="F549" s="21"/>
      <c r="G549" s="21"/>
      <c r="H549" s="2"/>
      <c r="I549" s="21"/>
      <c r="J549" s="21"/>
      <c r="K549" s="21"/>
      <c r="L549" s="21"/>
      <c r="M549" s="21"/>
      <c r="N549" s="21"/>
      <c r="O549" s="21"/>
      <c r="P549" s="21"/>
      <c r="Q549" s="19"/>
      <c r="R549" s="19"/>
      <c r="S549" s="19"/>
      <c r="T549" s="19"/>
      <c r="U549" s="19"/>
      <c r="V549" s="19"/>
      <c r="W549" s="19"/>
      <c r="X549" s="19"/>
      <c r="Y549" s="19"/>
      <c r="Z549" s="19"/>
    </row>
    <row r="550">
      <c r="A550" s="21"/>
      <c r="B550" s="21"/>
      <c r="C550" s="21"/>
      <c r="D550" s="21"/>
      <c r="E550" s="21"/>
      <c r="F550" s="21"/>
      <c r="G550" s="21"/>
      <c r="H550" s="2"/>
      <c r="I550" s="21"/>
      <c r="J550" s="21"/>
      <c r="K550" s="21"/>
      <c r="L550" s="21"/>
      <c r="M550" s="21"/>
      <c r="N550" s="21"/>
      <c r="O550" s="21"/>
      <c r="P550" s="21"/>
      <c r="Q550" s="19"/>
      <c r="R550" s="19"/>
      <c r="S550" s="19"/>
      <c r="T550" s="19"/>
      <c r="U550" s="19"/>
      <c r="V550" s="19"/>
      <c r="W550" s="19"/>
      <c r="X550" s="19"/>
      <c r="Y550" s="19"/>
      <c r="Z550" s="19"/>
    </row>
    <row r="551">
      <c r="A551" s="21"/>
      <c r="B551" s="21"/>
      <c r="C551" s="21"/>
      <c r="D551" s="21"/>
      <c r="E551" s="21"/>
      <c r="F551" s="21"/>
      <c r="G551" s="21"/>
      <c r="H551" s="2"/>
      <c r="I551" s="21"/>
      <c r="J551" s="21"/>
      <c r="K551" s="21"/>
      <c r="L551" s="21"/>
      <c r="M551" s="21"/>
      <c r="N551" s="21"/>
      <c r="O551" s="21"/>
      <c r="P551" s="21"/>
      <c r="Q551" s="19"/>
      <c r="R551" s="19"/>
      <c r="S551" s="19"/>
      <c r="T551" s="19"/>
      <c r="U551" s="19"/>
      <c r="V551" s="19"/>
      <c r="W551" s="19"/>
      <c r="X551" s="19"/>
      <c r="Y551" s="19"/>
      <c r="Z551" s="19"/>
    </row>
    <row r="552">
      <c r="A552" s="21"/>
      <c r="B552" s="21"/>
      <c r="C552" s="21"/>
      <c r="D552" s="21"/>
      <c r="E552" s="21"/>
      <c r="F552" s="21"/>
      <c r="G552" s="21"/>
      <c r="H552" s="2"/>
      <c r="I552" s="21"/>
      <c r="J552" s="21"/>
      <c r="K552" s="21"/>
      <c r="L552" s="21"/>
      <c r="M552" s="21"/>
      <c r="N552" s="21"/>
      <c r="O552" s="21"/>
      <c r="P552" s="21"/>
      <c r="Q552" s="19"/>
      <c r="R552" s="19"/>
      <c r="S552" s="19"/>
      <c r="T552" s="19"/>
      <c r="U552" s="19"/>
      <c r="V552" s="19"/>
      <c r="W552" s="19"/>
      <c r="X552" s="19"/>
      <c r="Y552" s="19"/>
      <c r="Z552" s="19"/>
    </row>
    <row r="553">
      <c r="A553" s="21"/>
      <c r="B553" s="21"/>
      <c r="C553" s="21"/>
      <c r="D553" s="21"/>
      <c r="E553" s="21"/>
      <c r="F553" s="21"/>
      <c r="G553" s="21"/>
      <c r="H553" s="2"/>
      <c r="I553" s="21"/>
      <c r="J553" s="21"/>
      <c r="K553" s="21"/>
      <c r="L553" s="21"/>
      <c r="M553" s="21"/>
      <c r="N553" s="21"/>
      <c r="O553" s="21"/>
      <c r="P553" s="21"/>
      <c r="Q553" s="19"/>
      <c r="R553" s="19"/>
      <c r="S553" s="19"/>
      <c r="T553" s="19"/>
      <c r="U553" s="19"/>
      <c r="V553" s="19"/>
      <c r="W553" s="19"/>
      <c r="X553" s="19"/>
      <c r="Y553" s="19"/>
      <c r="Z553" s="19"/>
    </row>
    <row r="554">
      <c r="A554" s="21"/>
      <c r="B554" s="21"/>
      <c r="C554" s="21"/>
      <c r="D554" s="21"/>
      <c r="E554" s="21"/>
      <c r="F554" s="21"/>
      <c r="G554" s="21"/>
      <c r="H554" s="2"/>
      <c r="I554" s="21"/>
      <c r="J554" s="21"/>
      <c r="K554" s="21"/>
      <c r="L554" s="21"/>
      <c r="M554" s="21"/>
      <c r="N554" s="21"/>
      <c r="O554" s="21"/>
      <c r="P554" s="21"/>
      <c r="Q554" s="19"/>
      <c r="R554" s="19"/>
      <c r="S554" s="19"/>
      <c r="T554" s="19"/>
      <c r="U554" s="19"/>
      <c r="V554" s="19"/>
      <c r="W554" s="19"/>
      <c r="X554" s="19"/>
      <c r="Y554" s="19"/>
      <c r="Z554" s="19"/>
    </row>
    <row r="555">
      <c r="A555" s="21"/>
      <c r="B555" s="21"/>
      <c r="C555" s="21"/>
      <c r="D555" s="21"/>
      <c r="E555" s="21"/>
      <c r="F555" s="21"/>
      <c r="G555" s="21"/>
      <c r="H555" s="2"/>
      <c r="I555" s="21"/>
      <c r="J555" s="21"/>
      <c r="K555" s="21"/>
      <c r="L555" s="21"/>
      <c r="M555" s="21"/>
      <c r="N555" s="21"/>
      <c r="O555" s="21"/>
      <c r="P555" s="21"/>
      <c r="Q555" s="19"/>
      <c r="R555" s="19"/>
      <c r="S555" s="19"/>
      <c r="T555" s="19"/>
      <c r="U555" s="19"/>
      <c r="V555" s="19"/>
      <c r="W555" s="19"/>
      <c r="X555" s="19"/>
      <c r="Y555" s="19"/>
      <c r="Z555" s="19"/>
    </row>
    <row r="556">
      <c r="A556" s="21"/>
      <c r="B556" s="21"/>
      <c r="C556" s="21"/>
      <c r="D556" s="21"/>
      <c r="E556" s="21"/>
      <c r="F556" s="21"/>
      <c r="G556" s="21"/>
      <c r="H556" s="2"/>
      <c r="I556" s="21"/>
      <c r="J556" s="21"/>
      <c r="K556" s="21"/>
      <c r="L556" s="21"/>
      <c r="M556" s="21"/>
      <c r="N556" s="21"/>
      <c r="O556" s="21"/>
      <c r="P556" s="21"/>
      <c r="Q556" s="19"/>
      <c r="R556" s="19"/>
      <c r="S556" s="19"/>
      <c r="T556" s="19"/>
      <c r="U556" s="19"/>
      <c r="V556" s="19"/>
      <c r="W556" s="19"/>
      <c r="X556" s="19"/>
      <c r="Y556" s="19"/>
      <c r="Z556" s="19"/>
    </row>
    <row r="557">
      <c r="A557" s="21"/>
      <c r="B557" s="21"/>
      <c r="C557" s="21"/>
      <c r="D557" s="21"/>
      <c r="E557" s="21"/>
      <c r="F557" s="21"/>
      <c r="G557" s="21"/>
      <c r="H557" s="2"/>
      <c r="I557" s="21"/>
      <c r="J557" s="21"/>
      <c r="K557" s="21"/>
      <c r="L557" s="21"/>
      <c r="M557" s="21"/>
      <c r="N557" s="21"/>
      <c r="O557" s="21"/>
      <c r="P557" s="21"/>
      <c r="Q557" s="19"/>
      <c r="R557" s="19"/>
      <c r="S557" s="19"/>
      <c r="T557" s="19"/>
      <c r="U557" s="19"/>
      <c r="V557" s="19"/>
      <c r="W557" s="19"/>
      <c r="X557" s="19"/>
      <c r="Y557" s="19"/>
      <c r="Z557" s="19"/>
    </row>
    <row r="558">
      <c r="A558" s="21"/>
      <c r="B558" s="21"/>
      <c r="C558" s="21"/>
      <c r="D558" s="21"/>
      <c r="E558" s="21"/>
      <c r="F558" s="21"/>
      <c r="G558" s="21"/>
      <c r="H558" s="2"/>
      <c r="I558" s="21"/>
      <c r="J558" s="21"/>
      <c r="K558" s="21"/>
      <c r="L558" s="21"/>
      <c r="M558" s="21"/>
      <c r="N558" s="21"/>
      <c r="O558" s="21"/>
      <c r="P558" s="21"/>
      <c r="Q558" s="19"/>
      <c r="R558" s="19"/>
      <c r="S558" s="19"/>
      <c r="T558" s="19"/>
      <c r="U558" s="19"/>
      <c r="V558" s="19"/>
      <c r="W558" s="19"/>
      <c r="X558" s="19"/>
      <c r="Y558" s="19"/>
      <c r="Z558" s="19"/>
    </row>
    <row r="559">
      <c r="A559" s="21"/>
      <c r="B559" s="21"/>
      <c r="C559" s="21"/>
      <c r="D559" s="21"/>
      <c r="E559" s="21"/>
      <c r="F559" s="21"/>
      <c r="G559" s="21"/>
      <c r="H559" s="2"/>
      <c r="I559" s="21"/>
      <c r="J559" s="21"/>
      <c r="K559" s="21"/>
      <c r="L559" s="21"/>
      <c r="M559" s="21"/>
      <c r="N559" s="21"/>
      <c r="O559" s="21"/>
      <c r="P559" s="21"/>
      <c r="Q559" s="19"/>
      <c r="R559" s="19"/>
      <c r="S559" s="19"/>
      <c r="T559" s="19"/>
      <c r="U559" s="19"/>
      <c r="V559" s="19"/>
      <c r="W559" s="19"/>
      <c r="X559" s="19"/>
      <c r="Y559" s="19"/>
      <c r="Z559" s="19"/>
    </row>
    <row r="560">
      <c r="A560" s="21"/>
      <c r="B560" s="21"/>
      <c r="C560" s="21"/>
      <c r="D560" s="21"/>
      <c r="E560" s="21"/>
      <c r="F560" s="21"/>
      <c r="G560" s="21"/>
      <c r="H560" s="2"/>
      <c r="I560" s="21"/>
      <c r="J560" s="21"/>
      <c r="K560" s="21"/>
      <c r="L560" s="21"/>
      <c r="M560" s="21"/>
      <c r="N560" s="21"/>
      <c r="O560" s="21"/>
      <c r="P560" s="21"/>
      <c r="Q560" s="19"/>
      <c r="R560" s="19"/>
      <c r="S560" s="19"/>
      <c r="T560" s="19"/>
      <c r="U560" s="19"/>
      <c r="V560" s="19"/>
      <c r="W560" s="19"/>
      <c r="X560" s="19"/>
      <c r="Y560" s="19"/>
      <c r="Z560" s="19"/>
    </row>
    <row r="561">
      <c r="A561" s="21"/>
      <c r="B561" s="21"/>
      <c r="C561" s="21"/>
      <c r="D561" s="21"/>
      <c r="E561" s="21"/>
      <c r="F561" s="21"/>
      <c r="G561" s="21"/>
      <c r="H561" s="2"/>
      <c r="I561" s="21"/>
      <c r="J561" s="21"/>
      <c r="K561" s="21"/>
      <c r="L561" s="21"/>
      <c r="M561" s="21"/>
      <c r="N561" s="21"/>
      <c r="O561" s="21"/>
      <c r="P561" s="21"/>
      <c r="Q561" s="19"/>
      <c r="R561" s="19"/>
      <c r="S561" s="19"/>
      <c r="T561" s="19"/>
      <c r="U561" s="19"/>
      <c r="V561" s="19"/>
      <c r="W561" s="19"/>
      <c r="X561" s="19"/>
      <c r="Y561" s="19"/>
      <c r="Z561" s="19"/>
    </row>
    <row r="562">
      <c r="A562" s="21"/>
      <c r="B562" s="21"/>
      <c r="C562" s="21"/>
      <c r="D562" s="21"/>
      <c r="E562" s="21"/>
      <c r="F562" s="21"/>
      <c r="G562" s="21"/>
      <c r="H562" s="2"/>
      <c r="I562" s="21"/>
      <c r="J562" s="21"/>
      <c r="K562" s="21"/>
      <c r="L562" s="21"/>
      <c r="M562" s="21"/>
      <c r="N562" s="21"/>
      <c r="O562" s="21"/>
      <c r="P562" s="21"/>
      <c r="Q562" s="19"/>
      <c r="R562" s="19"/>
      <c r="S562" s="19"/>
      <c r="T562" s="19"/>
      <c r="U562" s="19"/>
      <c r="V562" s="19"/>
      <c r="W562" s="19"/>
      <c r="X562" s="19"/>
      <c r="Y562" s="19"/>
      <c r="Z562" s="19"/>
    </row>
    <row r="563">
      <c r="A563" s="21"/>
      <c r="B563" s="21"/>
      <c r="C563" s="21"/>
      <c r="D563" s="21"/>
      <c r="E563" s="21"/>
      <c r="F563" s="21"/>
      <c r="G563" s="21"/>
      <c r="H563" s="2"/>
      <c r="I563" s="21"/>
      <c r="J563" s="21"/>
      <c r="K563" s="21"/>
      <c r="L563" s="21"/>
      <c r="M563" s="21"/>
      <c r="N563" s="21"/>
      <c r="O563" s="21"/>
      <c r="P563" s="21"/>
      <c r="Q563" s="19"/>
      <c r="R563" s="19"/>
      <c r="S563" s="19"/>
      <c r="T563" s="19"/>
      <c r="U563" s="19"/>
      <c r="V563" s="19"/>
      <c r="W563" s="19"/>
      <c r="X563" s="19"/>
      <c r="Y563" s="19"/>
      <c r="Z563" s="19"/>
    </row>
    <row r="564">
      <c r="A564" s="21"/>
      <c r="B564" s="21"/>
      <c r="C564" s="21"/>
      <c r="D564" s="21"/>
      <c r="E564" s="21"/>
      <c r="F564" s="21"/>
      <c r="G564" s="21"/>
      <c r="H564" s="2"/>
      <c r="I564" s="21"/>
      <c r="J564" s="21"/>
      <c r="K564" s="21"/>
      <c r="L564" s="21"/>
      <c r="M564" s="21"/>
      <c r="N564" s="21"/>
      <c r="O564" s="21"/>
      <c r="P564" s="21"/>
      <c r="Q564" s="19"/>
      <c r="R564" s="19"/>
      <c r="S564" s="19"/>
      <c r="T564" s="19"/>
      <c r="U564" s="19"/>
      <c r="V564" s="19"/>
      <c r="W564" s="19"/>
      <c r="X564" s="19"/>
      <c r="Y564" s="19"/>
      <c r="Z564" s="19"/>
    </row>
    <row r="565">
      <c r="A565" s="21"/>
      <c r="B565" s="21"/>
      <c r="C565" s="21"/>
      <c r="D565" s="21"/>
      <c r="E565" s="21"/>
      <c r="F565" s="21"/>
      <c r="G565" s="21"/>
      <c r="H565" s="2"/>
      <c r="I565" s="21"/>
      <c r="J565" s="21"/>
      <c r="K565" s="21"/>
      <c r="L565" s="21"/>
      <c r="M565" s="21"/>
      <c r="N565" s="21"/>
      <c r="O565" s="21"/>
      <c r="P565" s="21"/>
      <c r="Q565" s="19"/>
      <c r="R565" s="19"/>
      <c r="S565" s="19"/>
      <c r="T565" s="19"/>
      <c r="U565" s="19"/>
      <c r="V565" s="19"/>
      <c r="W565" s="19"/>
      <c r="X565" s="19"/>
      <c r="Y565" s="19"/>
      <c r="Z565" s="19"/>
    </row>
    <row r="566">
      <c r="A566" s="21"/>
      <c r="B566" s="21"/>
      <c r="C566" s="21"/>
      <c r="D566" s="21"/>
      <c r="E566" s="21"/>
      <c r="F566" s="21"/>
      <c r="G566" s="21"/>
      <c r="H566" s="2"/>
      <c r="I566" s="21"/>
      <c r="J566" s="21"/>
      <c r="K566" s="21"/>
      <c r="L566" s="21"/>
      <c r="M566" s="21"/>
      <c r="N566" s="21"/>
      <c r="O566" s="21"/>
      <c r="P566" s="21"/>
      <c r="Q566" s="19"/>
      <c r="R566" s="19"/>
      <c r="S566" s="19"/>
      <c r="T566" s="19"/>
      <c r="U566" s="19"/>
      <c r="V566" s="19"/>
      <c r="W566" s="19"/>
      <c r="X566" s="19"/>
      <c r="Y566" s="19"/>
      <c r="Z566" s="19"/>
    </row>
    <row r="567">
      <c r="A567" s="21"/>
      <c r="B567" s="21"/>
      <c r="C567" s="21"/>
      <c r="D567" s="21"/>
      <c r="E567" s="21"/>
      <c r="F567" s="21"/>
      <c r="G567" s="21"/>
      <c r="H567" s="2"/>
      <c r="I567" s="21"/>
      <c r="J567" s="21"/>
      <c r="K567" s="21"/>
      <c r="L567" s="21"/>
      <c r="M567" s="21"/>
      <c r="N567" s="21"/>
      <c r="O567" s="21"/>
      <c r="P567" s="21"/>
      <c r="Q567" s="19"/>
      <c r="R567" s="19"/>
      <c r="S567" s="19"/>
      <c r="T567" s="19"/>
      <c r="U567" s="19"/>
      <c r="V567" s="19"/>
      <c r="W567" s="19"/>
      <c r="X567" s="19"/>
      <c r="Y567" s="19"/>
      <c r="Z567" s="19"/>
    </row>
    <row r="568">
      <c r="A568" s="21"/>
      <c r="B568" s="21"/>
      <c r="C568" s="21"/>
      <c r="D568" s="21"/>
      <c r="E568" s="21"/>
      <c r="F568" s="21"/>
      <c r="G568" s="21"/>
      <c r="H568" s="2"/>
      <c r="I568" s="21"/>
      <c r="J568" s="21"/>
      <c r="K568" s="21"/>
      <c r="L568" s="21"/>
      <c r="M568" s="21"/>
      <c r="N568" s="21"/>
      <c r="O568" s="21"/>
      <c r="P568" s="21"/>
      <c r="Q568" s="19"/>
      <c r="R568" s="19"/>
      <c r="S568" s="19"/>
      <c r="T568" s="19"/>
      <c r="U568" s="19"/>
      <c r="V568" s="19"/>
      <c r="W568" s="19"/>
      <c r="X568" s="19"/>
      <c r="Y568" s="19"/>
      <c r="Z568" s="19"/>
    </row>
    <row r="569">
      <c r="A569" s="21"/>
      <c r="B569" s="21"/>
      <c r="C569" s="21"/>
      <c r="D569" s="21"/>
      <c r="E569" s="21"/>
      <c r="F569" s="21"/>
      <c r="G569" s="21"/>
      <c r="H569" s="2"/>
      <c r="I569" s="21"/>
      <c r="J569" s="21"/>
      <c r="K569" s="21"/>
      <c r="L569" s="21"/>
      <c r="M569" s="21"/>
      <c r="N569" s="21"/>
      <c r="O569" s="21"/>
      <c r="P569" s="21"/>
      <c r="Q569" s="19"/>
      <c r="R569" s="19"/>
      <c r="S569" s="19"/>
      <c r="T569" s="19"/>
      <c r="U569" s="19"/>
      <c r="V569" s="19"/>
      <c r="W569" s="19"/>
      <c r="X569" s="19"/>
      <c r="Y569" s="19"/>
      <c r="Z569" s="19"/>
    </row>
    <row r="570">
      <c r="A570" s="21"/>
      <c r="B570" s="21"/>
      <c r="C570" s="21"/>
      <c r="D570" s="21"/>
      <c r="E570" s="21"/>
      <c r="F570" s="21"/>
      <c r="G570" s="21"/>
      <c r="H570" s="2"/>
      <c r="I570" s="21"/>
      <c r="J570" s="21"/>
      <c r="K570" s="21"/>
      <c r="L570" s="21"/>
      <c r="M570" s="21"/>
      <c r="N570" s="21"/>
      <c r="O570" s="21"/>
      <c r="P570" s="21"/>
      <c r="Q570" s="19"/>
      <c r="R570" s="19"/>
      <c r="S570" s="19"/>
      <c r="T570" s="19"/>
      <c r="U570" s="19"/>
      <c r="V570" s="19"/>
      <c r="W570" s="19"/>
      <c r="X570" s="19"/>
      <c r="Y570" s="19"/>
      <c r="Z570" s="19"/>
    </row>
    <row r="571">
      <c r="A571" s="21"/>
      <c r="B571" s="21"/>
      <c r="C571" s="21"/>
      <c r="D571" s="21"/>
      <c r="E571" s="21"/>
      <c r="F571" s="21"/>
      <c r="G571" s="21"/>
      <c r="H571" s="2"/>
      <c r="I571" s="21"/>
      <c r="J571" s="21"/>
      <c r="K571" s="21"/>
      <c r="L571" s="21"/>
      <c r="M571" s="21"/>
      <c r="N571" s="21"/>
      <c r="O571" s="21"/>
      <c r="P571" s="21"/>
      <c r="Q571" s="19"/>
      <c r="R571" s="19"/>
      <c r="S571" s="19"/>
      <c r="T571" s="19"/>
      <c r="U571" s="19"/>
      <c r="V571" s="19"/>
      <c r="W571" s="19"/>
      <c r="X571" s="19"/>
      <c r="Y571" s="19"/>
      <c r="Z571" s="19"/>
    </row>
    <row r="572">
      <c r="A572" s="21"/>
      <c r="B572" s="21"/>
      <c r="C572" s="21"/>
      <c r="D572" s="21"/>
      <c r="E572" s="21"/>
      <c r="F572" s="21"/>
      <c r="G572" s="21"/>
      <c r="H572" s="2"/>
      <c r="I572" s="21"/>
      <c r="J572" s="21"/>
      <c r="K572" s="21"/>
      <c r="L572" s="21"/>
      <c r="M572" s="21"/>
      <c r="N572" s="21"/>
      <c r="O572" s="21"/>
      <c r="P572" s="21"/>
      <c r="Q572" s="19"/>
      <c r="R572" s="19"/>
      <c r="S572" s="19"/>
      <c r="T572" s="19"/>
      <c r="U572" s="19"/>
      <c r="V572" s="19"/>
      <c r="W572" s="19"/>
      <c r="X572" s="19"/>
      <c r="Y572" s="19"/>
      <c r="Z572" s="19"/>
    </row>
    <row r="573">
      <c r="A573" s="21"/>
      <c r="B573" s="21"/>
      <c r="C573" s="21"/>
      <c r="D573" s="21"/>
      <c r="E573" s="21"/>
      <c r="F573" s="21"/>
      <c r="G573" s="21"/>
      <c r="H573" s="2"/>
      <c r="I573" s="21"/>
      <c r="J573" s="21"/>
      <c r="K573" s="21"/>
      <c r="L573" s="21"/>
      <c r="M573" s="21"/>
      <c r="N573" s="21"/>
      <c r="O573" s="21"/>
      <c r="P573" s="21"/>
      <c r="Q573" s="19"/>
      <c r="R573" s="19"/>
      <c r="S573" s="19"/>
      <c r="T573" s="19"/>
      <c r="U573" s="19"/>
      <c r="V573" s="19"/>
      <c r="W573" s="19"/>
      <c r="X573" s="19"/>
      <c r="Y573" s="19"/>
      <c r="Z573" s="19"/>
    </row>
    <row r="574">
      <c r="A574" s="21"/>
      <c r="B574" s="21"/>
      <c r="C574" s="21"/>
      <c r="D574" s="21"/>
      <c r="E574" s="21"/>
      <c r="F574" s="21"/>
      <c r="G574" s="21"/>
      <c r="H574" s="2"/>
      <c r="I574" s="21"/>
      <c r="J574" s="21"/>
      <c r="K574" s="21"/>
      <c r="L574" s="21"/>
      <c r="M574" s="21"/>
      <c r="N574" s="21"/>
      <c r="O574" s="21"/>
      <c r="P574" s="21"/>
      <c r="Q574" s="19"/>
      <c r="R574" s="19"/>
      <c r="S574" s="19"/>
      <c r="T574" s="19"/>
      <c r="U574" s="19"/>
      <c r="V574" s="19"/>
      <c r="W574" s="19"/>
      <c r="X574" s="19"/>
      <c r="Y574" s="19"/>
      <c r="Z574" s="19"/>
    </row>
    <row r="575">
      <c r="A575" s="21"/>
      <c r="B575" s="21"/>
      <c r="C575" s="21"/>
      <c r="D575" s="21"/>
      <c r="E575" s="21"/>
      <c r="F575" s="21"/>
      <c r="G575" s="21"/>
      <c r="H575" s="2"/>
      <c r="I575" s="21"/>
      <c r="J575" s="21"/>
      <c r="K575" s="21"/>
      <c r="L575" s="21"/>
      <c r="M575" s="21"/>
      <c r="N575" s="21"/>
      <c r="O575" s="21"/>
      <c r="P575" s="21"/>
      <c r="Q575" s="19"/>
      <c r="R575" s="19"/>
      <c r="S575" s="19"/>
      <c r="T575" s="19"/>
      <c r="U575" s="19"/>
      <c r="V575" s="19"/>
      <c r="W575" s="19"/>
      <c r="X575" s="19"/>
      <c r="Y575" s="19"/>
      <c r="Z575" s="19"/>
    </row>
    <row r="576">
      <c r="A576" s="21"/>
      <c r="B576" s="21"/>
      <c r="C576" s="21"/>
      <c r="D576" s="21"/>
      <c r="E576" s="21"/>
      <c r="F576" s="21"/>
      <c r="G576" s="21"/>
      <c r="H576" s="2"/>
      <c r="I576" s="21"/>
      <c r="J576" s="21"/>
      <c r="K576" s="21"/>
      <c r="L576" s="21"/>
      <c r="M576" s="21"/>
      <c r="N576" s="21"/>
      <c r="O576" s="21"/>
      <c r="P576" s="21"/>
      <c r="Q576" s="19"/>
      <c r="R576" s="19"/>
      <c r="S576" s="19"/>
      <c r="T576" s="19"/>
      <c r="U576" s="19"/>
      <c r="V576" s="19"/>
      <c r="W576" s="19"/>
      <c r="X576" s="19"/>
      <c r="Y576" s="19"/>
      <c r="Z576" s="19"/>
    </row>
    <row r="577">
      <c r="A577" s="21"/>
      <c r="B577" s="21"/>
      <c r="C577" s="21"/>
      <c r="D577" s="21"/>
      <c r="E577" s="21"/>
      <c r="F577" s="21"/>
      <c r="G577" s="21"/>
      <c r="H577" s="2"/>
      <c r="I577" s="21"/>
      <c r="J577" s="21"/>
      <c r="K577" s="21"/>
      <c r="L577" s="21"/>
      <c r="M577" s="21"/>
      <c r="N577" s="21"/>
      <c r="O577" s="21"/>
      <c r="P577" s="21"/>
      <c r="Q577" s="19"/>
      <c r="R577" s="19"/>
      <c r="S577" s="19"/>
      <c r="T577" s="19"/>
      <c r="U577" s="19"/>
      <c r="V577" s="19"/>
      <c r="W577" s="19"/>
      <c r="X577" s="19"/>
      <c r="Y577" s="19"/>
      <c r="Z577" s="19"/>
    </row>
    <row r="578">
      <c r="A578" s="21"/>
      <c r="B578" s="21"/>
      <c r="C578" s="21"/>
      <c r="D578" s="21"/>
      <c r="E578" s="21"/>
      <c r="F578" s="21"/>
      <c r="G578" s="21"/>
      <c r="H578" s="2"/>
      <c r="I578" s="21"/>
      <c r="J578" s="21"/>
      <c r="K578" s="21"/>
      <c r="L578" s="21"/>
      <c r="M578" s="21"/>
      <c r="N578" s="21"/>
      <c r="O578" s="21"/>
      <c r="P578" s="21"/>
      <c r="Q578" s="19"/>
      <c r="R578" s="19"/>
      <c r="S578" s="19"/>
      <c r="T578" s="19"/>
      <c r="U578" s="19"/>
      <c r="V578" s="19"/>
      <c r="W578" s="19"/>
      <c r="X578" s="19"/>
      <c r="Y578" s="19"/>
      <c r="Z578" s="19"/>
    </row>
    <row r="579">
      <c r="A579" s="21"/>
      <c r="B579" s="21"/>
      <c r="C579" s="21"/>
      <c r="D579" s="21"/>
      <c r="E579" s="21"/>
      <c r="F579" s="21"/>
      <c r="G579" s="21"/>
      <c r="H579" s="2"/>
      <c r="I579" s="21"/>
      <c r="J579" s="21"/>
      <c r="K579" s="21"/>
      <c r="L579" s="21"/>
      <c r="M579" s="21"/>
      <c r="N579" s="21"/>
      <c r="O579" s="21"/>
      <c r="P579" s="21"/>
      <c r="Q579" s="19"/>
      <c r="R579" s="19"/>
      <c r="S579" s="19"/>
      <c r="T579" s="19"/>
      <c r="U579" s="19"/>
      <c r="V579" s="19"/>
      <c r="W579" s="19"/>
      <c r="X579" s="19"/>
      <c r="Y579" s="19"/>
      <c r="Z579" s="19"/>
    </row>
    <row r="580">
      <c r="A580" s="21"/>
      <c r="B580" s="21"/>
      <c r="C580" s="21"/>
      <c r="D580" s="21"/>
      <c r="E580" s="21"/>
      <c r="F580" s="21"/>
      <c r="G580" s="21"/>
      <c r="H580" s="2"/>
      <c r="I580" s="21"/>
      <c r="J580" s="21"/>
      <c r="K580" s="21"/>
      <c r="L580" s="21"/>
      <c r="M580" s="21"/>
      <c r="N580" s="21"/>
      <c r="O580" s="21"/>
      <c r="P580" s="21"/>
      <c r="Q580" s="19"/>
      <c r="R580" s="19"/>
      <c r="S580" s="19"/>
      <c r="T580" s="19"/>
      <c r="U580" s="19"/>
      <c r="V580" s="19"/>
      <c r="W580" s="19"/>
      <c r="X580" s="19"/>
      <c r="Y580" s="19"/>
      <c r="Z580" s="19"/>
    </row>
    <row r="581">
      <c r="A581" s="21"/>
      <c r="B581" s="21"/>
      <c r="C581" s="21"/>
      <c r="D581" s="21"/>
      <c r="E581" s="21"/>
      <c r="F581" s="21"/>
      <c r="G581" s="21"/>
      <c r="H581" s="2"/>
      <c r="I581" s="21"/>
      <c r="J581" s="21"/>
      <c r="K581" s="21"/>
      <c r="L581" s="21"/>
      <c r="M581" s="21"/>
      <c r="N581" s="21"/>
      <c r="O581" s="21"/>
      <c r="P581" s="21"/>
      <c r="Q581" s="19"/>
      <c r="R581" s="19"/>
      <c r="S581" s="19"/>
      <c r="T581" s="19"/>
      <c r="U581" s="19"/>
      <c r="V581" s="19"/>
      <c r="W581" s="19"/>
      <c r="X581" s="19"/>
      <c r="Y581" s="19"/>
      <c r="Z581" s="19"/>
    </row>
    <row r="582">
      <c r="A582" s="21"/>
      <c r="B582" s="21"/>
      <c r="C582" s="21"/>
      <c r="D582" s="21"/>
      <c r="E582" s="21"/>
      <c r="F582" s="21"/>
      <c r="G582" s="21"/>
      <c r="H582" s="2"/>
      <c r="I582" s="21"/>
      <c r="J582" s="21"/>
      <c r="K582" s="21"/>
      <c r="L582" s="21"/>
      <c r="M582" s="21"/>
      <c r="N582" s="21"/>
      <c r="O582" s="21"/>
      <c r="P582" s="21"/>
      <c r="Q582" s="19"/>
      <c r="R582" s="19"/>
      <c r="S582" s="19"/>
      <c r="T582" s="19"/>
      <c r="U582" s="19"/>
      <c r="V582" s="19"/>
      <c r="W582" s="19"/>
      <c r="X582" s="19"/>
      <c r="Y582" s="19"/>
      <c r="Z582" s="19"/>
    </row>
    <row r="583">
      <c r="A583" s="21"/>
      <c r="B583" s="21"/>
      <c r="C583" s="21"/>
      <c r="D583" s="21"/>
      <c r="E583" s="21"/>
      <c r="F583" s="21"/>
      <c r="G583" s="21"/>
      <c r="H583" s="2"/>
      <c r="I583" s="21"/>
      <c r="J583" s="21"/>
      <c r="K583" s="21"/>
      <c r="L583" s="21"/>
      <c r="M583" s="21"/>
      <c r="N583" s="21"/>
      <c r="O583" s="21"/>
      <c r="P583" s="21"/>
      <c r="Q583" s="19"/>
      <c r="R583" s="19"/>
      <c r="S583" s="19"/>
      <c r="T583" s="19"/>
      <c r="U583" s="19"/>
      <c r="V583" s="19"/>
      <c r="W583" s="19"/>
      <c r="X583" s="19"/>
      <c r="Y583" s="19"/>
      <c r="Z583" s="19"/>
    </row>
    <row r="584">
      <c r="A584" s="21"/>
      <c r="B584" s="21"/>
      <c r="C584" s="21"/>
      <c r="D584" s="21"/>
      <c r="E584" s="21"/>
      <c r="F584" s="21"/>
      <c r="G584" s="21"/>
      <c r="H584" s="2"/>
      <c r="I584" s="21"/>
      <c r="J584" s="21"/>
      <c r="K584" s="21"/>
      <c r="L584" s="21"/>
      <c r="M584" s="21"/>
      <c r="N584" s="21"/>
      <c r="O584" s="21"/>
      <c r="P584" s="21"/>
      <c r="Q584" s="19"/>
      <c r="R584" s="19"/>
      <c r="S584" s="19"/>
      <c r="T584" s="19"/>
      <c r="U584" s="19"/>
      <c r="V584" s="19"/>
      <c r="W584" s="19"/>
      <c r="X584" s="19"/>
      <c r="Y584" s="19"/>
      <c r="Z584" s="19"/>
    </row>
    <row r="585">
      <c r="A585" s="21"/>
      <c r="B585" s="21"/>
      <c r="C585" s="21"/>
      <c r="D585" s="21"/>
      <c r="E585" s="21"/>
      <c r="F585" s="21"/>
      <c r="G585" s="21"/>
      <c r="H585" s="2"/>
      <c r="I585" s="21"/>
      <c r="J585" s="21"/>
      <c r="K585" s="21"/>
      <c r="L585" s="21"/>
      <c r="M585" s="21"/>
      <c r="N585" s="21"/>
      <c r="O585" s="21"/>
      <c r="P585" s="21"/>
      <c r="Q585" s="19"/>
      <c r="R585" s="19"/>
      <c r="S585" s="19"/>
      <c r="T585" s="19"/>
      <c r="U585" s="19"/>
      <c r="V585" s="19"/>
      <c r="W585" s="19"/>
      <c r="X585" s="19"/>
      <c r="Y585" s="19"/>
      <c r="Z585" s="19"/>
    </row>
    <row r="586">
      <c r="A586" s="21"/>
      <c r="B586" s="21"/>
      <c r="C586" s="21"/>
      <c r="D586" s="21"/>
      <c r="E586" s="21"/>
      <c r="F586" s="21"/>
      <c r="G586" s="21"/>
      <c r="H586" s="2"/>
      <c r="I586" s="21"/>
      <c r="J586" s="21"/>
      <c r="K586" s="21"/>
      <c r="L586" s="21"/>
      <c r="M586" s="21"/>
      <c r="N586" s="21"/>
      <c r="O586" s="21"/>
      <c r="P586" s="21"/>
      <c r="Q586" s="19"/>
      <c r="R586" s="19"/>
      <c r="S586" s="19"/>
      <c r="T586" s="19"/>
      <c r="U586" s="19"/>
      <c r="V586" s="19"/>
      <c r="W586" s="19"/>
      <c r="X586" s="19"/>
      <c r="Y586" s="19"/>
      <c r="Z586" s="19"/>
    </row>
    <row r="587">
      <c r="A587" s="21"/>
      <c r="B587" s="21"/>
      <c r="C587" s="21"/>
      <c r="D587" s="21"/>
      <c r="E587" s="21"/>
      <c r="F587" s="21"/>
      <c r="G587" s="21"/>
      <c r="H587" s="2"/>
      <c r="I587" s="21"/>
      <c r="J587" s="21"/>
      <c r="K587" s="21"/>
      <c r="L587" s="21"/>
      <c r="M587" s="21"/>
      <c r="N587" s="21"/>
      <c r="O587" s="21"/>
      <c r="P587" s="21"/>
      <c r="Q587" s="19"/>
      <c r="R587" s="19"/>
      <c r="S587" s="19"/>
      <c r="T587" s="19"/>
      <c r="U587" s="19"/>
      <c r="V587" s="19"/>
      <c r="W587" s="19"/>
      <c r="X587" s="19"/>
      <c r="Y587" s="19"/>
      <c r="Z587" s="19"/>
    </row>
    <row r="588">
      <c r="A588" s="21"/>
      <c r="B588" s="21"/>
      <c r="C588" s="21"/>
      <c r="D588" s="21"/>
      <c r="E588" s="21"/>
      <c r="F588" s="21"/>
      <c r="G588" s="21"/>
      <c r="H588" s="2"/>
      <c r="I588" s="21"/>
      <c r="J588" s="21"/>
      <c r="K588" s="21"/>
      <c r="L588" s="21"/>
      <c r="M588" s="21"/>
      <c r="N588" s="21"/>
      <c r="O588" s="21"/>
      <c r="P588" s="21"/>
      <c r="Q588" s="19"/>
      <c r="R588" s="19"/>
      <c r="S588" s="19"/>
      <c r="T588" s="19"/>
      <c r="U588" s="19"/>
      <c r="V588" s="19"/>
      <c r="W588" s="19"/>
      <c r="X588" s="19"/>
      <c r="Y588" s="19"/>
      <c r="Z588" s="19"/>
    </row>
    <row r="589">
      <c r="A589" s="21"/>
      <c r="B589" s="21"/>
      <c r="C589" s="21"/>
      <c r="D589" s="21"/>
      <c r="E589" s="21"/>
      <c r="F589" s="21"/>
      <c r="G589" s="21"/>
      <c r="H589" s="2"/>
      <c r="I589" s="21"/>
      <c r="J589" s="21"/>
      <c r="K589" s="21"/>
      <c r="L589" s="21"/>
      <c r="M589" s="21"/>
      <c r="N589" s="21"/>
      <c r="O589" s="21"/>
      <c r="P589" s="21"/>
      <c r="Q589" s="19"/>
      <c r="R589" s="19"/>
      <c r="S589" s="19"/>
      <c r="T589" s="19"/>
      <c r="U589" s="19"/>
      <c r="V589" s="19"/>
      <c r="W589" s="19"/>
      <c r="X589" s="19"/>
      <c r="Y589" s="19"/>
      <c r="Z589" s="19"/>
    </row>
    <row r="590">
      <c r="A590" s="21"/>
      <c r="B590" s="21"/>
      <c r="C590" s="21"/>
      <c r="D590" s="21"/>
      <c r="E590" s="21"/>
      <c r="F590" s="21"/>
      <c r="G590" s="21"/>
      <c r="H590" s="2"/>
      <c r="I590" s="21"/>
      <c r="J590" s="21"/>
      <c r="K590" s="21"/>
      <c r="L590" s="21"/>
      <c r="M590" s="21"/>
      <c r="N590" s="21"/>
      <c r="O590" s="21"/>
      <c r="P590" s="21"/>
      <c r="Q590" s="19"/>
      <c r="R590" s="19"/>
      <c r="S590" s="19"/>
      <c r="T590" s="19"/>
      <c r="U590" s="19"/>
      <c r="V590" s="19"/>
      <c r="W590" s="19"/>
      <c r="X590" s="19"/>
      <c r="Y590" s="19"/>
      <c r="Z590" s="19"/>
    </row>
    <row r="591">
      <c r="A591" s="21"/>
      <c r="B591" s="21"/>
      <c r="C591" s="21"/>
      <c r="D591" s="21"/>
      <c r="E591" s="21"/>
      <c r="F591" s="21"/>
      <c r="G591" s="21"/>
      <c r="H591" s="2"/>
      <c r="I591" s="21"/>
      <c r="J591" s="21"/>
      <c r="K591" s="21"/>
      <c r="L591" s="21"/>
      <c r="M591" s="21"/>
      <c r="N591" s="21"/>
      <c r="O591" s="21"/>
      <c r="P591" s="21"/>
      <c r="Q591" s="19"/>
      <c r="R591" s="19"/>
      <c r="S591" s="19"/>
      <c r="T591" s="19"/>
      <c r="U591" s="19"/>
      <c r="V591" s="19"/>
      <c r="W591" s="19"/>
      <c r="X591" s="19"/>
      <c r="Y591" s="19"/>
      <c r="Z591" s="19"/>
    </row>
    <row r="592">
      <c r="A592" s="21"/>
      <c r="B592" s="21"/>
      <c r="C592" s="21"/>
      <c r="D592" s="21"/>
      <c r="E592" s="21"/>
      <c r="F592" s="21"/>
      <c r="G592" s="21"/>
      <c r="H592" s="2"/>
      <c r="I592" s="21"/>
      <c r="J592" s="21"/>
      <c r="K592" s="21"/>
      <c r="L592" s="21"/>
      <c r="M592" s="21"/>
      <c r="N592" s="21"/>
      <c r="O592" s="21"/>
      <c r="P592" s="21"/>
      <c r="Q592" s="19"/>
      <c r="R592" s="19"/>
      <c r="S592" s="19"/>
      <c r="T592" s="19"/>
      <c r="U592" s="19"/>
      <c r="V592" s="19"/>
      <c r="W592" s="19"/>
      <c r="X592" s="19"/>
      <c r="Y592" s="19"/>
      <c r="Z592" s="19"/>
    </row>
    <row r="593">
      <c r="A593" s="21"/>
      <c r="B593" s="21"/>
      <c r="C593" s="21"/>
      <c r="D593" s="21"/>
      <c r="E593" s="21"/>
      <c r="F593" s="21"/>
      <c r="G593" s="21"/>
      <c r="H593" s="2"/>
      <c r="I593" s="21"/>
      <c r="J593" s="21"/>
      <c r="K593" s="21"/>
      <c r="L593" s="21"/>
      <c r="M593" s="21"/>
      <c r="N593" s="21"/>
      <c r="O593" s="21"/>
      <c r="P593" s="21"/>
      <c r="Q593" s="19"/>
      <c r="R593" s="19"/>
      <c r="S593" s="19"/>
      <c r="T593" s="19"/>
      <c r="U593" s="19"/>
      <c r="V593" s="19"/>
      <c r="W593" s="19"/>
      <c r="X593" s="19"/>
      <c r="Y593" s="19"/>
      <c r="Z593" s="19"/>
    </row>
    <row r="594">
      <c r="A594" s="21"/>
      <c r="B594" s="21"/>
      <c r="C594" s="21"/>
      <c r="D594" s="21"/>
      <c r="E594" s="21"/>
      <c r="F594" s="21"/>
      <c r="G594" s="21"/>
      <c r="H594" s="2"/>
      <c r="I594" s="21"/>
      <c r="J594" s="21"/>
      <c r="K594" s="21"/>
      <c r="L594" s="21"/>
      <c r="M594" s="21"/>
      <c r="N594" s="21"/>
      <c r="O594" s="21"/>
      <c r="P594" s="21"/>
      <c r="Q594" s="19"/>
      <c r="R594" s="19"/>
      <c r="S594" s="19"/>
      <c r="T594" s="19"/>
      <c r="U594" s="19"/>
      <c r="V594" s="19"/>
      <c r="W594" s="19"/>
      <c r="X594" s="19"/>
      <c r="Y594" s="19"/>
      <c r="Z594" s="19"/>
    </row>
    <row r="595">
      <c r="A595" s="21"/>
      <c r="B595" s="21"/>
      <c r="C595" s="21"/>
      <c r="D595" s="21"/>
      <c r="E595" s="21"/>
      <c r="F595" s="21"/>
      <c r="G595" s="21"/>
      <c r="H595" s="2"/>
      <c r="I595" s="21"/>
      <c r="J595" s="21"/>
      <c r="K595" s="21"/>
      <c r="L595" s="21"/>
      <c r="M595" s="21"/>
      <c r="N595" s="21"/>
      <c r="O595" s="21"/>
      <c r="P595" s="21"/>
      <c r="Q595" s="19"/>
      <c r="R595" s="19"/>
      <c r="S595" s="19"/>
      <c r="T595" s="19"/>
      <c r="U595" s="19"/>
      <c r="V595" s="19"/>
      <c r="W595" s="19"/>
      <c r="X595" s="19"/>
      <c r="Y595" s="19"/>
      <c r="Z595" s="19"/>
    </row>
    <row r="596">
      <c r="A596" s="21"/>
      <c r="B596" s="21"/>
      <c r="C596" s="21"/>
      <c r="D596" s="21"/>
      <c r="E596" s="21"/>
      <c r="F596" s="21"/>
      <c r="G596" s="21"/>
      <c r="H596" s="2"/>
      <c r="I596" s="21"/>
      <c r="J596" s="21"/>
      <c r="K596" s="21"/>
      <c r="L596" s="21"/>
      <c r="M596" s="21"/>
      <c r="N596" s="21"/>
      <c r="O596" s="21"/>
      <c r="P596" s="21"/>
      <c r="Q596" s="19"/>
      <c r="R596" s="19"/>
      <c r="S596" s="19"/>
      <c r="T596" s="19"/>
      <c r="U596" s="19"/>
      <c r="V596" s="19"/>
      <c r="W596" s="19"/>
      <c r="X596" s="19"/>
      <c r="Y596" s="19"/>
      <c r="Z596" s="19"/>
    </row>
    <row r="597">
      <c r="A597" s="21"/>
      <c r="B597" s="21"/>
      <c r="C597" s="21"/>
      <c r="D597" s="21"/>
      <c r="E597" s="21"/>
      <c r="F597" s="21"/>
      <c r="G597" s="21"/>
      <c r="H597" s="2"/>
      <c r="I597" s="21"/>
      <c r="J597" s="21"/>
      <c r="K597" s="21"/>
      <c r="L597" s="21"/>
      <c r="M597" s="21"/>
      <c r="N597" s="21"/>
      <c r="O597" s="21"/>
      <c r="P597" s="21"/>
      <c r="Q597" s="19"/>
      <c r="R597" s="19"/>
      <c r="S597" s="19"/>
      <c r="T597" s="19"/>
      <c r="U597" s="19"/>
      <c r="V597" s="19"/>
      <c r="W597" s="19"/>
      <c r="X597" s="19"/>
      <c r="Y597" s="19"/>
      <c r="Z597" s="19"/>
    </row>
    <row r="598">
      <c r="A598" s="21"/>
      <c r="B598" s="21"/>
      <c r="C598" s="21"/>
      <c r="D598" s="21"/>
      <c r="E598" s="21"/>
      <c r="F598" s="21"/>
      <c r="G598" s="21"/>
      <c r="H598" s="2"/>
      <c r="I598" s="21"/>
      <c r="J598" s="21"/>
      <c r="K598" s="21"/>
      <c r="L598" s="21"/>
      <c r="M598" s="21"/>
      <c r="N598" s="21"/>
      <c r="O598" s="21"/>
      <c r="P598" s="21"/>
      <c r="Q598" s="19"/>
      <c r="R598" s="19"/>
      <c r="S598" s="19"/>
      <c r="T598" s="19"/>
      <c r="U598" s="19"/>
      <c r="V598" s="19"/>
      <c r="W598" s="19"/>
      <c r="X598" s="19"/>
      <c r="Y598" s="19"/>
      <c r="Z598" s="19"/>
    </row>
    <row r="599">
      <c r="A599" s="21"/>
      <c r="B599" s="21"/>
      <c r="C599" s="21"/>
      <c r="D599" s="21"/>
      <c r="E599" s="21"/>
      <c r="F599" s="21"/>
      <c r="G599" s="21"/>
      <c r="H599" s="2"/>
      <c r="I599" s="21"/>
      <c r="J599" s="21"/>
      <c r="K599" s="21"/>
      <c r="L599" s="21"/>
      <c r="M599" s="21"/>
      <c r="N599" s="21"/>
      <c r="O599" s="21"/>
      <c r="P599" s="21"/>
      <c r="Q599" s="19"/>
      <c r="R599" s="19"/>
      <c r="S599" s="19"/>
      <c r="T599" s="19"/>
      <c r="U599" s="19"/>
      <c r="V599" s="19"/>
      <c r="W599" s="19"/>
      <c r="X599" s="19"/>
      <c r="Y599" s="19"/>
      <c r="Z599" s="19"/>
    </row>
    <row r="600">
      <c r="A600" s="21"/>
      <c r="B600" s="21"/>
      <c r="C600" s="21"/>
      <c r="D600" s="21"/>
      <c r="E600" s="21"/>
      <c r="F600" s="21"/>
      <c r="G600" s="21"/>
      <c r="H600" s="2"/>
      <c r="I600" s="21"/>
      <c r="J600" s="21"/>
      <c r="K600" s="21"/>
      <c r="L600" s="21"/>
      <c r="M600" s="21"/>
      <c r="N600" s="21"/>
      <c r="O600" s="21"/>
      <c r="P600" s="21"/>
      <c r="Q600" s="19"/>
      <c r="R600" s="19"/>
      <c r="S600" s="19"/>
      <c r="T600" s="19"/>
      <c r="U600" s="19"/>
      <c r="V600" s="19"/>
      <c r="W600" s="19"/>
      <c r="X600" s="19"/>
      <c r="Y600" s="19"/>
      <c r="Z600" s="19"/>
    </row>
    <row r="601">
      <c r="A601" s="21"/>
      <c r="B601" s="21"/>
      <c r="C601" s="21"/>
      <c r="D601" s="21"/>
      <c r="E601" s="21"/>
      <c r="F601" s="21"/>
      <c r="G601" s="21"/>
      <c r="H601" s="2"/>
      <c r="I601" s="21"/>
      <c r="J601" s="21"/>
      <c r="K601" s="21"/>
      <c r="L601" s="21"/>
      <c r="M601" s="21"/>
      <c r="N601" s="21"/>
      <c r="O601" s="21"/>
      <c r="P601" s="21"/>
      <c r="Q601" s="19"/>
      <c r="R601" s="19"/>
      <c r="S601" s="19"/>
      <c r="T601" s="19"/>
      <c r="U601" s="19"/>
      <c r="V601" s="19"/>
      <c r="W601" s="19"/>
      <c r="X601" s="19"/>
      <c r="Y601" s="19"/>
      <c r="Z601" s="19"/>
    </row>
    <row r="602">
      <c r="A602" s="21"/>
      <c r="B602" s="21"/>
      <c r="C602" s="21"/>
      <c r="D602" s="21"/>
      <c r="E602" s="21"/>
      <c r="F602" s="21"/>
      <c r="G602" s="21"/>
      <c r="H602" s="2"/>
      <c r="I602" s="21"/>
      <c r="J602" s="21"/>
      <c r="K602" s="21"/>
      <c r="L602" s="21"/>
      <c r="M602" s="21"/>
      <c r="N602" s="21"/>
      <c r="O602" s="21"/>
      <c r="P602" s="21"/>
      <c r="Q602" s="19"/>
      <c r="R602" s="19"/>
      <c r="S602" s="19"/>
      <c r="T602" s="19"/>
      <c r="U602" s="19"/>
      <c r="V602" s="19"/>
      <c r="W602" s="19"/>
      <c r="X602" s="19"/>
      <c r="Y602" s="19"/>
      <c r="Z602" s="19"/>
    </row>
    <row r="603">
      <c r="A603" s="21"/>
      <c r="B603" s="21"/>
      <c r="C603" s="21"/>
      <c r="D603" s="21"/>
      <c r="E603" s="21"/>
      <c r="F603" s="21"/>
      <c r="G603" s="21"/>
      <c r="H603" s="2"/>
      <c r="I603" s="21"/>
      <c r="J603" s="21"/>
      <c r="K603" s="21"/>
      <c r="L603" s="21"/>
      <c r="M603" s="21"/>
      <c r="N603" s="21"/>
      <c r="O603" s="21"/>
      <c r="P603" s="21"/>
      <c r="Q603" s="19"/>
      <c r="R603" s="19"/>
      <c r="S603" s="19"/>
      <c r="T603" s="19"/>
      <c r="U603" s="19"/>
      <c r="V603" s="19"/>
      <c r="W603" s="19"/>
      <c r="X603" s="19"/>
      <c r="Y603" s="19"/>
      <c r="Z603" s="19"/>
    </row>
    <row r="604">
      <c r="A604" s="21"/>
      <c r="B604" s="21"/>
      <c r="C604" s="21"/>
      <c r="D604" s="21"/>
      <c r="E604" s="21"/>
      <c r="F604" s="21"/>
      <c r="G604" s="21"/>
      <c r="H604" s="2"/>
      <c r="I604" s="21"/>
      <c r="J604" s="21"/>
      <c r="K604" s="21"/>
      <c r="L604" s="21"/>
      <c r="M604" s="21"/>
      <c r="N604" s="21"/>
      <c r="O604" s="21"/>
      <c r="P604" s="21"/>
      <c r="Q604" s="19"/>
      <c r="R604" s="19"/>
      <c r="S604" s="19"/>
      <c r="T604" s="19"/>
      <c r="U604" s="19"/>
      <c r="V604" s="19"/>
      <c r="W604" s="19"/>
      <c r="X604" s="19"/>
      <c r="Y604" s="19"/>
      <c r="Z604" s="19"/>
    </row>
    <row r="605">
      <c r="A605" s="21"/>
      <c r="B605" s="21"/>
      <c r="C605" s="21"/>
      <c r="D605" s="21"/>
      <c r="E605" s="21"/>
      <c r="F605" s="21"/>
      <c r="G605" s="21"/>
      <c r="H605" s="2"/>
      <c r="I605" s="21"/>
      <c r="J605" s="21"/>
      <c r="K605" s="21"/>
      <c r="L605" s="21"/>
      <c r="M605" s="21"/>
      <c r="N605" s="21"/>
      <c r="O605" s="21"/>
      <c r="P605" s="21"/>
      <c r="Q605" s="19"/>
      <c r="R605" s="19"/>
      <c r="S605" s="19"/>
      <c r="T605" s="19"/>
      <c r="U605" s="19"/>
      <c r="V605" s="19"/>
      <c r="W605" s="19"/>
      <c r="X605" s="19"/>
      <c r="Y605" s="19"/>
      <c r="Z605" s="19"/>
    </row>
    <row r="606">
      <c r="A606" s="21"/>
      <c r="B606" s="21"/>
      <c r="C606" s="21"/>
      <c r="D606" s="21"/>
      <c r="E606" s="21"/>
      <c r="F606" s="21"/>
      <c r="G606" s="21"/>
      <c r="H606" s="2"/>
      <c r="I606" s="21"/>
      <c r="J606" s="21"/>
      <c r="K606" s="21"/>
      <c r="L606" s="21"/>
      <c r="M606" s="21"/>
      <c r="N606" s="21"/>
      <c r="O606" s="21"/>
      <c r="P606" s="21"/>
      <c r="Q606" s="19"/>
      <c r="R606" s="19"/>
      <c r="S606" s="19"/>
      <c r="T606" s="19"/>
      <c r="U606" s="19"/>
      <c r="V606" s="19"/>
      <c r="W606" s="19"/>
      <c r="X606" s="19"/>
      <c r="Y606" s="19"/>
      <c r="Z606" s="19"/>
    </row>
    <row r="607">
      <c r="A607" s="21"/>
      <c r="B607" s="21"/>
      <c r="C607" s="21"/>
      <c r="D607" s="21"/>
      <c r="E607" s="21"/>
      <c r="F607" s="21"/>
      <c r="G607" s="21"/>
      <c r="H607" s="2"/>
      <c r="I607" s="21"/>
      <c r="J607" s="21"/>
      <c r="K607" s="21"/>
      <c r="L607" s="21"/>
      <c r="M607" s="21"/>
      <c r="N607" s="21"/>
      <c r="O607" s="21"/>
      <c r="P607" s="21"/>
      <c r="Q607" s="19"/>
      <c r="R607" s="19"/>
      <c r="S607" s="19"/>
      <c r="T607" s="19"/>
      <c r="U607" s="19"/>
      <c r="V607" s="19"/>
      <c r="W607" s="19"/>
      <c r="X607" s="19"/>
      <c r="Y607" s="19"/>
      <c r="Z607" s="19"/>
    </row>
    <row r="608">
      <c r="A608" s="21"/>
      <c r="B608" s="21"/>
      <c r="C608" s="21"/>
      <c r="D608" s="21"/>
      <c r="E608" s="21"/>
      <c r="F608" s="21"/>
      <c r="G608" s="21"/>
      <c r="H608" s="2"/>
      <c r="I608" s="21"/>
      <c r="J608" s="21"/>
      <c r="K608" s="21"/>
      <c r="L608" s="21"/>
      <c r="M608" s="21"/>
      <c r="N608" s="21"/>
      <c r="O608" s="21"/>
      <c r="P608" s="21"/>
      <c r="Q608" s="19"/>
      <c r="R608" s="19"/>
      <c r="S608" s="19"/>
      <c r="T608" s="19"/>
      <c r="U608" s="19"/>
      <c r="V608" s="19"/>
      <c r="W608" s="19"/>
      <c r="X608" s="19"/>
      <c r="Y608" s="19"/>
      <c r="Z608" s="19"/>
    </row>
    <row r="609">
      <c r="A609" s="21"/>
      <c r="B609" s="21"/>
      <c r="C609" s="21"/>
      <c r="D609" s="21"/>
      <c r="E609" s="21"/>
      <c r="F609" s="21"/>
      <c r="G609" s="21"/>
      <c r="H609" s="2"/>
      <c r="I609" s="21"/>
      <c r="J609" s="21"/>
      <c r="K609" s="21"/>
      <c r="L609" s="21"/>
      <c r="M609" s="21"/>
      <c r="N609" s="21"/>
      <c r="O609" s="21"/>
      <c r="P609" s="21"/>
      <c r="Q609" s="19"/>
      <c r="R609" s="19"/>
      <c r="S609" s="19"/>
      <c r="T609" s="19"/>
      <c r="U609" s="19"/>
      <c r="V609" s="19"/>
      <c r="W609" s="19"/>
      <c r="X609" s="19"/>
      <c r="Y609" s="19"/>
      <c r="Z609" s="19"/>
    </row>
    <row r="610">
      <c r="A610" s="21"/>
      <c r="B610" s="21"/>
      <c r="C610" s="21"/>
      <c r="D610" s="21"/>
      <c r="E610" s="21"/>
      <c r="F610" s="21"/>
      <c r="G610" s="21"/>
      <c r="H610" s="2"/>
      <c r="I610" s="21"/>
      <c r="J610" s="21"/>
      <c r="K610" s="21"/>
      <c r="L610" s="21"/>
      <c r="M610" s="21"/>
      <c r="N610" s="21"/>
      <c r="O610" s="21"/>
      <c r="P610" s="21"/>
      <c r="Q610" s="19"/>
      <c r="R610" s="19"/>
      <c r="S610" s="19"/>
      <c r="T610" s="19"/>
      <c r="U610" s="19"/>
      <c r="V610" s="19"/>
      <c r="W610" s="19"/>
      <c r="X610" s="19"/>
      <c r="Y610" s="19"/>
      <c r="Z610" s="19"/>
    </row>
    <row r="611">
      <c r="A611" s="21"/>
      <c r="B611" s="21"/>
      <c r="C611" s="21"/>
      <c r="D611" s="21"/>
      <c r="E611" s="21"/>
      <c r="F611" s="21"/>
      <c r="G611" s="21"/>
      <c r="H611" s="2"/>
      <c r="I611" s="21"/>
      <c r="J611" s="21"/>
      <c r="K611" s="21"/>
      <c r="L611" s="21"/>
      <c r="M611" s="21"/>
      <c r="N611" s="21"/>
      <c r="O611" s="21"/>
      <c r="P611" s="21"/>
      <c r="Q611" s="19"/>
      <c r="R611" s="19"/>
      <c r="S611" s="19"/>
      <c r="T611" s="19"/>
      <c r="U611" s="19"/>
      <c r="V611" s="19"/>
      <c r="W611" s="19"/>
      <c r="X611" s="19"/>
      <c r="Y611" s="19"/>
      <c r="Z611" s="19"/>
    </row>
    <row r="612">
      <c r="A612" s="21"/>
      <c r="B612" s="21"/>
      <c r="C612" s="21"/>
      <c r="D612" s="21"/>
      <c r="E612" s="21"/>
      <c r="F612" s="21"/>
      <c r="G612" s="21"/>
      <c r="H612" s="2"/>
      <c r="I612" s="21"/>
      <c r="J612" s="21"/>
      <c r="K612" s="21"/>
      <c r="L612" s="21"/>
      <c r="M612" s="21"/>
      <c r="N612" s="21"/>
      <c r="O612" s="21"/>
      <c r="P612" s="21"/>
      <c r="Q612" s="19"/>
      <c r="R612" s="19"/>
      <c r="S612" s="19"/>
      <c r="T612" s="19"/>
      <c r="U612" s="19"/>
      <c r="V612" s="19"/>
      <c r="W612" s="19"/>
      <c r="X612" s="19"/>
      <c r="Y612" s="19"/>
      <c r="Z612" s="19"/>
    </row>
    <row r="613">
      <c r="A613" s="21"/>
      <c r="B613" s="21"/>
      <c r="C613" s="21"/>
      <c r="D613" s="21"/>
      <c r="E613" s="21"/>
      <c r="F613" s="21"/>
      <c r="G613" s="21"/>
      <c r="H613" s="2"/>
      <c r="I613" s="21"/>
      <c r="J613" s="21"/>
      <c r="K613" s="21"/>
      <c r="L613" s="21"/>
      <c r="M613" s="21"/>
      <c r="N613" s="21"/>
      <c r="O613" s="21"/>
      <c r="P613" s="21"/>
      <c r="Q613" s="19"/>
      <c r="R613" s="19"/>
      <c r="S613" s="19"/>
      <c r="T613" s="19"/>
      <c r="U613" s="19"/>
      <c r="V613" s="19"/>
      <c r="W613" s="19"/>
      <c r="X613" s="19"/>
      <c r="Y613" s="19"/>
      <c r="Z613" s="19"/>
    </row>
    <row r="614">
      <c r="A614" s="21"/>
      <c r="B614" s="21"/>
      <c r="C614" s="21"/>
      <c r="D614" s="21"/>
      <c r="E614" s="21"/>
      <c r="F614" s="21"/>
      <c r="G614" s="21"/>
      <c r="H614" s="2"/>
      <c r="I614" s="21"/>
      <c r="J614" s="21"/>
      <c r="K614" s="21"/>
      <c r="L614" s="21"/>
      <c r="M614" s="21"/>
      <c r="N614" s="21"/>
      <c r="O614" s="21"/>
      <c r="P614" s="21"/>
      <c r="Q614" s="19"/>
      <c r="R614" s="19"/>
      <c r="S614" s="19"/>
      <c r="T614" s="19"/>
      <c r="U614" s="19"/>
      <c r="V614" s="19"/>
      <c r="W614" s="19"/>
      <c r="X614" s="19"/>
      <c r="Y614" s="19"/>
      <c r="Z614" s="19"/>
    </row>
    <row r="615">
      <c r="A615" s="21"/>
      <c r="B615" s="21"/>
      <c r="C615" s="21"/>
      <c r="D615" s="21"/>
      <c r="E615" s="21"/>
      <c r="F615" s="21"/>
      <c r="G615" s="21"/>
      <c r="H615" s="2"/>
      <c r="I615" s="21"/>
      <c r="J615" s="21"/>
      <c r="K615" s="21"/>
      <c r="L615" s="21"/>
      <c r="M615" s="21"/>
      <c r="N615" s="21"/>
      <c r="O615" s="21"/>
      <c r="P615" s="21"/>
      <c r="Q615" s="19"/>
      <c r="R615" s="19"/>
      <c r="S615" s="19"/>
      <c r="T615" s="19"/>
      <c r="U615" s="19"/>
      <c r="V615" s="19"/>
      <c r="W615" s="19"/>
      <c r="X615" s="19"/>
      <c r="Y615" s="19"/>
      <c r="Z615" s="19"/>
    </row>
    <row r="616">
      <c r="A616" s="21"/>
      <c r="B616" s="21"/>
      <c r="C616" s="21"/>
      <c r="D616" s="21"/>
      <c r="E616" s="21"/>
      <c r="F616" s="21"/>
      <c r="G616" s="21"/>
      <c r="H616" s="2"/>
      <c r="I616" s="21"/>
      <c r="J616" s="21"/>
      <c r="K616" s="21"/>
      <c r="L616" s="21"/>
      <c r="M616" s="21"/>
      <c r="N616" s="21"/>
      <c r="O616" s="21"/>
      <c r="P616" s="21"/>
      <c r="Q616" s="19"/>
      <c r="R616" s="19"/>
      <c r="S616" s="19"/>
      <c r="T616" s="19"/>
      <c r="U616" s="19"/>
      <c r="V616" s="19"/>
      <c r="W616" s="19"/>
      <c r="X616" s="19"/>
      <c r="Y616" s="19"/>
      <c r="Z616" s="19"/>
    </row>
    <row r="617">
      <c r="A617" s="21"/>
      <c r="B617" s="21"/>
      <c r="C617" s="21"/>
      <c r="D617" s="21"/>
      <c r="E617" s="21"/>
      <c r="F617" s="21"/>
      <c r="G617" s="21"/>
      <c r="H617" s="2"/>
      <c r="I617" s="21"/>
      <c r="J617" s="21"/>
      <c r="K617" s="21"/>
      <c r="L617" s="21"/>
      <c r="M617" s="21"/>
      <c r="N617" s="21"/>
      <c r="O617" s="21"/>
      <c r="P617" s="21"/>
      <c r="Q617" s="19"/>
      <c r="R617" s="19"/>
      <c r="S617" s="19"/>
      <c r="T617" s="19"/>
      <c r="U617" s="19"/>
      <c r="V617" s="19"/>
      <c r="W617" s="19"/>
      <c r="X617" s="19"/>
      <c r="Y617" s="19"/>
      <c r="Z617" s="19"/>
    </row>
    <row r="618">
      <c r="A618" s="21"/>
      <c r="B618" s="21"/>
      <c r="C618" s="21"/>
      <c r="D618" s="21"/>
      <c r="E618" s="21"/>
      <c r="F618" s="21"/>
      <c r="G618" s="21"/>
      <c r="H618" s="2"/>
      <c r="I618" s="21"/>
      <c r="J618" s="21"/>
      <c r="K618" s="21"/>
      <c r="L618" s="21"/>
      <c r="M618" s="21"/>
      <c r="N618" s="21"/>
      <c r="O618" s="21"/>
      <c r="P618" s="21"/>
      <c r="Q618" s="19"/>
      <c r="R618" s="19"/>
      <c r="S618" s="19"/>
      <c r="T618" s="19"/>
      <c r="U618" s="19"/>
      <c r="V618" s="19"/>
      <c r="W618" s="19"/>
      <c r="X618" s="19"/>
      <c r="Y618" s="19"/>
      <c r="Z618" s="19"/>
    </row>
    <row r="619">
      <c r="A619" s="21"/>
      <c r="B619" s="21"/>
      <c r="C619" s="21"/>
      <c r="D619" s="21"/>
      <c r="E619" s="21"/>
      <c r="F619" s="21"/>
      <c r="G619" s="21"/>
      <c r="H619" s="2"/>
      <c r="I619" s="21"/>
      <c r="J619" s="21"/>
      <c r="K619" s="21"/>
      <c r="L619" s="21"/>
      <c r="M619" s="21"/>
      <c r="N619" s="21"/>
      <c r="O619" s="21"/>
      <c r="P619" s="21"/>
      <c r="Q619" s="19"/>
      <c r="R619" s="19"/>
      <c r="S619" s="19"/>
      <c r="T619" s="19"/>
      <c r="U619" s="19"/>
      <c r="V619" s="19"/>
      <c r="W619" s="19"/>
      <c r="X619" s="19"/>
      <c r="Y619" s="19"/>
      <c r="Z619" s="19"/>
    </row>
    <row r="620">
      <c r="A620" s="21"/>
      <c r="B620" s="21"/>
      <c r="C620" s="21"/>
      <c r="D620" s="21"/>
      <c r="E620" s="21"/>
      <c r="F620" s="21"/>
      <c r="G620" s="21"/>
      <c r="H620" s="2"/>
      <c r="I620" s="21"/>
      <c r="J620" s="21"/>
      <c r="K620" s="21"/>
      <c r="L620" s="21"/>
      <c r="M620" s="21"/>
      <c r="N620" s="21"/>
      <c r="O620" s="21"/>
      <c r="P620" s="21"/>
      <c r="Q620" s="19"/>
      <c r="R620" s="19"/>
      <c r="S620" s="19"/>
      <c r="T620" s="19"/>
      <c r="U620" s="19"/>
      <c r="V620" s="19"/>
      <c r="W620" s="19"/>
      <c r="X620" s="19"/>
      <c r="Y620" s="19"/>
      <c r="Z620" s="19"/>
    </row>
    <row r="621">
      <c r="A621" s="21"/>
      <c r="B621" s="21"/>
      <c r="C621" s="21"/>
      <c r="D621" s="21"/>
      <c r="E621" s="21"/>
      <c r="F621" s="21"/>
      <c r="G621" s="21"/>
      <c r="H621" s="2"/>
      <c r="I621" s="21"/>
      <c r="J621" s="21"/>
      <c r="K621" s="21"/>
      <c r="L621" s="21"/>
      <c r="M621" s="21"/>
      <c r="N621" s="21"/>
      <c r="O621" s="21"/>
      <c r="P621" s="21"/>
      <c r="Q621" s="19"/>
      <c r="R621" s="19"/>
      <c r="S621" s="19"/>
      <c r="T621" s="19"/>
      <c r="U621" s="19"/>
      <c r="V621" s="19"/>
      <c r="W621" s="19"/>
      <c r="X621" s="19"/>
      <c r="Y621" s="19"/>
      <c r="Z621" s="19"/>
    </row>
    <row r="622">
      <c r="A622" s="21"/>
      <c r="B622" s="21"/>
      <c r="C622" s="21"/>
      <c r="D622" s="21"/>
      <c r="E622" s="21"/>
      <c r="F622" s="21"/>
      <c r="G622" s="21"/>
      <c r="H622" s="2"/>
      <c r="I622" s="21"/>
      <c r="J622" s="21"/>
      <c r="K622" s="21"/>
      <c r="L622" s="21"/>
      <c r="M622" s="21"/>
      <c r="N622" s="21"/>
      <c r="O622" s="21"/>
      <c r="P622" s="21"/>
      <c r="Q622" s="19"/>
      <c r="R622" s="19"/>
      <c r="S622" s="19"/>
      <c r="T622" s="19"/>
      <c r="U622" s="19"/>
      <c r="V622" s="19"/>
      <c r="W622" s="19"/>
      <c r="X622" s="19"/>
      <c r="Y622" s="19"/>
      <c r="Z622" s="19"/>
    </row>
    <row r="623">
      <c r="A623" s="21"/>
      <c r="B623" s="21"/>
      <c r="C623" s="21"/>
      <c r="D623" s="21"/>
      <c r="E623" s="21"/>
      <c r="F623" s="21"/>
      <c r="G623" s="21"/>
      <c r="H623" s="2"/>
      <c r="I623" s="21"/>
      <c r="J623" s="21"/>
      <c r="K623" s="21"/>
      <c r="L623" s="21"/>
      <c r="M623" s="21"/>
      <c r="N623" s="21"/>
      <c r="O623" s="21"/>
      <c r="P623" s="21"/>
      <c r="Q623" s="19"/>
      <c r="R623" s="19"/>
      <c r="S623" s="19"/>
      <c r="T623" s="19"/>
      <c r="U623" s="19"/>
      <c r="V623" s="19"/>
      <c r="W623" s="19"/>
      <c r="X623" s="19"/>
      <c r="Y623" s="19"/>
      <c r="Z623" s="19"/>
    </row>
    <row r="624">
      <c r="A624" s="21"/>
      <c r="B624" s="21"/>
      <c r="C624" s="21"/>
      <c r="D624" s="21"/>
      <c r="E624" s="21"/>
      <c r="F624" s="21"/>
      <c r="G624" s="21"/>
      <c r="H624" s="2"/>
      <c r="I624" s="21"/>
      <c r="J624" s="21"/>
      <c r="K624" s="21"/>
      <c r="L624" s="21"/>
      <c r="M624" s="21"/>
      <c r="N624" s="21"/>
      <c r="O624" s="21"/>
      <c r="P624" s="21"/>
      <c r="Q624" s="19"/>
      <c r="R624" s="19"/>
      <c r="S624" s="19"/>
      <c r="T624" s="19"/>
      <c r="U624" s="19"/>
      <c r="V624" s="19"/>
      <c r="W624" s="19"/>
      <c r="X624" s="19"/>
      <c r="Y624" s="19"/>
      <c r="Z624" s="19"/>
    </row>
    <row r="625">
      <c r="A625" s="21"/>
      <c r="B625" s="21"/>
      <c r="C625" s="21"/>
      <c r="D625" s="21"/>
      <c r="E625" s="21"/>
      <c r="F625" s="21"/>
      <c r="G625" s="21"/>
      <c r="H625" s="2"/>
      <c r="I625" s="21"/>
      <c r="J625" s="21"/>
      <c r="K625" s="21"/>
      <c r="L625" s="21"/>
      <c r="M625" s="21"/>
      <c r="N625" s="21"/>
      <c r="O625" s="21"/>
      <c r="P625" s="21"/>
      <c r="Q625" s="19"/>
      <c r="R625" s="19"/>
      <c r="S625" s="19"/>
      <c r="T625" s="19"/>
      <c r="U625" s="19"/>
      <c r="V625" s="19"/>
      <c r="W625" s="19"/>
      <c r="X625" s="19"/>
      <c r="Y625" s="19"/>
      <c r="Z625" s="19"/>
    </row>
    <row r="626">
      <c r="A626" s="21"/>
      <c r="B626" s="21"/>
      <c r="C626" s="21"/>
      <c r="D626" s="21"/>
      <c r="E626" s="21"/>
      <c r="F626" s="21"/>
      <c r="G626" s="21"/>
      <c r="H626" s="2"/>
      <c r="I626" s="21"/>
      <c r="J626" s="21"/>
      <c r="K626" s="21"/>
      <c r="L626" s="21"/>
      <c r="M626" s="21"/>
      <c r="N626" s="21"/>
      <c r="O626" s="21"/>
      <c r="P626" s="21"/>
      <c r="Q626" s="19"/>
      <c r="R626" s="19"/>
      <c r="S626" s="19"/>
      <c r="T626" s="19"/>
      <c r="U626" s="19"/>
      <c r="V626" s="19"/>
      <c r="W626" s="19"/>
      <c r="X626" s="19"/>
      <c r="Y626" s="19"/>
      <c r="Z626" s="19"/>
    </row>
    <row r="627">
      <c r="A627" s="21"/>
      <c r="B627" s="21"/>
      <c r="C627" s="21"/>
      <c r="D627" s="21"/>
      <c r="E627" s="21"/>
      <c r="F627" s="21"/>
      <c r="G627" s="21"/>
      <c r="H627" s="2"/>
      <c r="I627" s="21"/>
      <c r="J627" s="21"/>
      <c r="K627" s="21"/>
      <c r="L627" s="21"/>
      <c r="M627" s="21"/>
      <c r="N627" s="21"/>
      <c r="O627" s="21"/>
      <c r="P627" s="21"/>
      <c r="Q627" s="19"/>
      <c r="R627" s="19"/>
      <c r="S627" s="19"/>
      <c r="T627" s="19"/>
      <c r="U627" s="19"/>
      <c r="V627" s="19"/>
      <c r="W627" s="19"/>
      <c r="X627" s="19"/>
      <c r="Y627" s="19"/>
      <c r="Z627" s="19"/>
    </row>
    <row r="628">
      <c r="A628" s="21"/>
      <c r="B628" s="21"/>
      <c r="C628" s="21"/>
      <c r="D628" s="21"/>
      <c r="E628" s="21"/>
      <c r="F628" s="21"/>
      <c r="G628" s="21"/>
      <c r="H628" s="2"/>
      <c r="I628" s="21"/>
      <c r="J628" s="21"/>
      <c r="K628" s="21"/>
      <c r="L628" s="21"/>
      <c r="M628" s="21"/>
      <c r="N628" s="21"/>
      <c r="O628" s="21"/>
      <c r="P628" s="21"/>
      <c r="Q628" s="19"/>
      <c r="R628" s="19"/>
      <c r="S628" s="19"/>
      <c r="T628" s="19"/>
      <c r="U628" s="19"/>
      <c r="V628" s="19"/>
      <c r="W628" s="19"/>
      <c r="X628" s="19"/>
      <c r="Y628" s="19"/>
      <c r="Z628" s="19"/>
    </row>
    <row r="629">
      <c r="A629" s="21"/>
      <c r="B629" s="21"/>
      <c r="C629" s="21"/>
      <c r="D629" s="21"/>
      <c r="E629" s="21"/>
      <c r="F629" s="21"/>
      <c r="G629" s="21"/>
      <c r="H629" s="2"/>
      <c r="I629" s="21"/>
      <c r="J629" s="21"/>
      <c r="K629" s="21"/>
      <c r="L629" s="21"/>
      <c r="M629" s="21"/>
      <c r="N629" s="21"/>
      <c r="O629" s="21"/>
      <c r="P629" s="21"/>
      <c r="Q629" s="19"/>
      <c r="R629" s="19"/>
      <c r="S629" s="19"/>
      <c r="T629" s="19"/>
      <c r="U629" s="19"/>
      <c r="V629" s="19"/>
      <c r="W629" s="19"/>
      <c r="X629" s="19"/>
      <c r="Y629" s="19"/>
      <c r="Z629" s="19"/>
    </row>
    <row r="630">
      <c r="A630" s="21"/>
      <c r="B630" s="21"/>
      <c r="C630" s="21"/>
      <c r="D630" s="21"/>
      <c r="E630" s="21"/>
      <c r="F630" s="21"/>
      <c r="G630" s="21"/>
      <c r="H630" s="2"/>
      <c r="I630" s="21"/>
      <c r="J630" s="21"/>
      <c r="K630" s="21"/>
      <c r="L630" s="21"/>
      <c r="M630" s="21"/>
      <c r="N630" s="21"/>
      <c r="O630" s="21"/>
      <c r="P630" s="21"/>
      <c r="Q630" s="19"/>
      <c r="R630" s="19"/>
      <c r="S630" s="19"/>
      <c r="T630" s="19"/>
      <c r="U630" s="19"/>
      <c r="V630" s="19"/>
      <c r="W630" s="19"/>
      <c r="X630" s="19"/>
      <c r="Y630" s="19"/>
      <c r="Z630" s="19"/>
    </row>
    <row r="631">
      <c r="A631" s="21"/>
      <c r="B631" s="21"/>
      <c r="C631" s="21"/>
      <c r="D631" s="21"/>
      <c r="E631" s="21"/>
      <c r="F631" s="21"/>
      <c r="G631" s="21"/>
      <c r="H631" s="2"/>
      <c r="I631" s="21"/>
      <c r="J631" s="21"/>
      <c r="K631" s="21"/>
      <c r="L631" s="21"/>
      <c r="M631" s="21"/>
      <c r="N631" s="21"/>
      <c r="O631" s="21"/>
      <c r="P631" s="21"/>
      <c r="Q631" s="19"/>
      <c r="R631" s="19"/>
      <c r="S631" s="19"/>
      <c r="T631" s="19"/>
      <c r="U631" s="19"/>
      <c r="V631" s="19"/>
      <c r="W631" s="19"/>
      <c r="X631" s="19"/>
      <c r="Y631" s="19"/>
      <c r="Z631" s="19"/>
    </row>
    <row r="632">
      <c r="A632" s="21"/>
      <c r="B632" s="21"/>
      <c r="C632" s="21"/>
      <c r="D632" s="21"/>
      <c r="E632" s="21"/>
      <c r="F632" s="21"/>
      <c r="G632" s="21"/>
      <c r="H632" s="2"/>
      <c r="I632" s="21"/>
      <c r="J632" s="21"/>
      <c r="K632" s="21"/>
      <c r="L632" s="21"/>
      <c r="M632" s="21"/>
      <c r="N632" s="21"/>
      <c r="O632" s="21"/>
      <c r="P632" s="21"/>
      <c r="Q632" s="19"/>
      <c r="R632" s="19"/>
      <c r="S632" s="19"/>
      <c r="T632" s="19"/>
      <c r="U632" s="19"/>
      <c r="V632" s="19"/>
      <c r="W632" s="19"/>
      <c r="X632" s="19"/>
      <c r="Y632" s="19"/>
      <c r="Z632" s="19"/>
    </row>
    <row r="633">
      <c r="A633" s="21"/>
      <c r="B633" s="21"/>
      <c r="C633" s="21"/>
      <c r="D633" s="21"/>
      <c r="E633" s="21"/>
      <c r="F633" s="21"/>
      <c r="G633" s="21"/>
      <c r="H633" s="2"/>
      <c r="I633" s="21"/>
      <c r="J633" s="21"/>
      <c r="K633" s="21"/>
      <c r="L633" s="21"/>
      <c r="M633" s="21"/>
      <c r="N633" s="21"/>
      <c r="O633" s="21"/>
      <c r="P633" s="21"/>
      <c r="Q633" s="19"/>
      <c r="R633" s="19"/>
      <c r="S633" s="19"/>
      <c r="T633" s="19"/>
      <c r="U633" s="19"/>
      <c r="V633" s="19"/>
      <c r="W633" s="19"/>
      <c r="X633" s="19"/>
      <c r="Y633" s="19"/>
      <c r="Z633" s="19"/>
    </row>
    <row r="634">
      <c r="A634" s="21"/>
      <c r="B634" s="21"/>
      <c r="C634" s="21"/>
      <c r="D634" s="21"/>
      <c r="E634" s="21"/>
      <c r="F634" s="21"/>
      <c r="G634" s="21"/>
      <c r="H634" s="2"/>
      <c r="I634" s="21"/>
      <c r="J634" s="21"/>
      <c r="K634" s="21"/>
      <c r="L634" s="21"/>
      <c r="M634" s="21"/>
      <c r="N634" s="21"/>
      <c r="O634" s="21"/>
      <c r="P634" s="21"/>
      <c r="Q634" s="19"/>
      <c r="R634" s="19"/>
      <c r="S634" s="19"/>
      <c r="T634" s="19"/>
      <c r="U634" s="19"/>
      <c r="V634" s="19"/>
      <c r="W634" s="19"/>
      <c r="X634" s="19"/>
      <c r="Y634" s="19"/>
      <c r="Z634" s="19"/>
    </row>
    <row r="635">
      <c r="A635" s="21"/>
      <c r="B635" s="21"/>
      <c r="C635" s="21"/>
      <c r="D635" s="21"/>
      <c r="E635" s="21"/>
      <c r="F635" s="21"/>
      <c r="G635" s="21"/>
      <c r="H635" s="2"/>
      <c r="I635" s="21"/>
      <c r="J635" s="21"/>
      <c r="K635" s="21"/>
      <c r="L635" s="21"/>
      <c r="M635" s="21"/>
      <c r="N635" s="21"/>
      <c r="O635" s="21"/>
      <c r="P635" s="21"/>
      <c r="Q635" s="19"/>
      <c r="R635" s="19"/>
      <c r="S635" s="19"/>
      <c r="T635" s="19"/>
      <c r="U635" s="19"/>
      <c r="V635" s="19"/>
      <c r="W635" s="19"/>
      <c r="X635" s="19"/>
      <c r="Y635" s="19"/>
      <c r="Z635" s="19"/>
    </row>
    <row r="636">
      <c r="A636" s="21"/>
      <c r="B636" s="21"/>
      <c r="C636" s="21"/>
      <c r="D636" s="21"/>
      <c r="E636" s="21"/>
      <c r="F636" s="21"/>
      <c r="G636" s="21"/>
      <c r="H636" s="2"/>
      <c r="I636" s="21"/>
      <c r="J636" s="21"/>
      <c r="K636" s="21"/>
      <c r="L636" s="21"/>
      <c r="M636" s="21"/>
      <c r="N636" s="21"/>
      <c r="O636" s="21"/>
      <c r="P636" s="21"/>
      <c r="Q636" s="19"/>
      <c r="R636" s="19"/>
      <c r="S636" s="19"/>
      <c r="T636" s="19"/>
      <c r="U636" s="19"/>
      <c r="V636" s="19"/>
      <c r="W636" s="19"/>
      <c r="X636" s="19"/>
      <c r="Y636" s="19"/>
      <c r="Z636" s="19"/>
    </row>
    <row r="637">
      <c r="A637" s="21"/>
      <c r="B637" s="21"/>
      <c r="C637" s="21"/>
      <c r="D637" s="21"/>
      <c r="E637" s="21"/>
      <c r="F637" s="21"/>
      <c r="G637" s="21"/>
      <c r="H637" s="2"/>
      <c r="I637" s="21"/>
      <c r="J637" s="21"/>
      <c r="K637" s="21"/>
      <c r="L637" s="21"/>
      <c r="M637" s="21"/>
      <c r="N637" s="21"/>
      <c r="O637" s="21"/>
      <c r="P637" s="21"/>
      <c r="Q637" s="19"/>
      <c r="R637" s="19"/>
      <c r="S637" s="19"/>
      <c r="T637" s="19"/>
      <c r="U637" s="19"/>
      <c r="V637" s="19"/>
      <c r="W637" s="19"/>
      <c r="X637" s="19"/>
      <c r="Y637" s="19"/>
      <c r="Z637" s="19"/>
    </row>
    <row r="638">
      <c r="A638" s="21"/>
      <c r="B638" s="21"/>
      <c r="C638" s="21"/>
      <c r="D638" s="21"/>
      <c r="E638" s="21"/>
      <c r="F638" s="21"/>
      <c r="G638" s="21"/>
      <c r="H638" s="2"/>
      <c r="I638" s="21"/>
      <c r="J638" s="21"/>
      <c r="K638" s="21"/>
      <c r="L638" s="21"/>
      <c r="M638" s="21"/>
      <c r="N638" s="21"/>
      <c r="O638" s="21"/>
      <c r="P638" s="21"/>
      <c r="Q638" s="19"/>
      <c r="R638" s="19"/>
      <c r="S638" s="19"/>
      <c r="T638" s="19"/>
      <c r="U638" s="19"/>
      <c r="V638" s="19"/>
      <c r="W638" s="19"/>
      <c r="X638" s="19"/>
      <c r="Y638" s="19"/>
      <c r="Z638" s="19"/>
    </row>
    <row r="639">
      <c r="A639" s="21"/>
      <c r="B639" s="21"/>
      <c r="C639" s="21"/>
      <c r="D639" s="21"/>
      <c r="E639" s="21"/>
      <c r="F639" s="21"/>
      <c r="G639" s="21"/>
      <c r="H639" s="2"/>
      <c r="I639" s="21"/>
      <c r="J639" s="21"/>
      <c r="K639" s="21"/>
      <c r="L639" s="21"/>
      <c r="M639" s="21"/>
      <c r="N639" s="21"/>
      <c r="O639" s="21"/>
      <c r="P639" s="21"/>
      <c r="Q639" s="19"/>
      <c r="R639" s="19"/>
      <c r="S639" s="19"/>
      <c r="T639" s="19"/>
      <c r="U639" s="19"/>
      <c r="V639" s="19"/>
      <c r="W639" s="19"/>
      <c r="X639" s="19"/>
      <c r="Y639" s="19"/>
      <c r="Z639" s="19"/>
    </row>
    <row r="640">
      <c r="A640" s="21"/>
      <c r="B640" s="21"/>
      <c r="C640" s="21"/>
      <c r="D640" s="21"/>
      <c r="E640" s="21"/>
      <c r="F640" s="21"/>
      <c r="G640" s="21"/>
      <c r="H640" s="2"/>
      <c r="I640" s="21"/>
      <c r="J640" s="21"/>
      <c r="K640" s="21"/>
      <c r="L640" s="21"/>
      <c r="M640" s="21"/>
      <c r="N640" s="21"/>
      <c r="O640" s="21"/>
      <c r="P640" s="21"/>
      <c r="Q640" s="19"/>
      <c r="R640" s="19"/>
      <c r="S640" s="19"/>
      <c r="T640" s="19"/>
      <c r="U640" s="19"/>
      <c r="V640" s="19"/>
      <c r="W640" s="19"/>
      <c r="X640" s="19"/>
      <c r="Y640" s="19"/>
      <c r="Z640" s="19"/>
    </row>
    <row r="641">
      <c r="A641" s="21"/>
      <c r="B641" s="21"/>
      <c r="C641" s="21"/>
      <c r="D641" s="21"/>
      <c r="E641" s="21"/>
      <c r="F641" s="21"/>
      <c r="G641" s="21"/>
      <c r="H641" s="2"/>
      <c r="I641" s="21"/>
      <c r="J641" s="21"/>
      <c r="K641" s="21"/>
      <c r="L641" s="21"/>
      <c r="M641" s="21"/>
      <c r="N641" s="21"/>
      <c r="O641" s="21"/>
      <c r="P641" s="21"/>
      <c r="Q641" s="19"/>
      <c r="R641" s="19"/>
      <c r="S641" s="19"/>
      <c r="T641" s="19"/>
      <c r="U641" s="19"/>
      <c r="V641" s="19"/>
      <c r="W641" s="19"/>
      <c r="X641" s="19"/>
      <c r="Y641" s="19"/>
      <c r="Z641" s="19"/>
    </row>
    <row r="642">
      <c r="A642" s="21"/>
      <c r="B642" s="21"/>
      <c r="C642" s="21"/>
      <c r="D642" s="21"/>
      <c r="E642" s="21"/>
      <c r="F642" s="21"/>
      <c r="G642" s="21"/>
      <c r="H642" s="2"/>
      <c r="I642" s="21"/>
      <c r="J642" s="21"/>
      <c r="K642" s="21"/>
      <c r="L642" s="21"/>
      <c r="M642" s="21"/>
      <c r="N642" s="21"/>
      <c r="O642" s="21"/>
      <c r="P642" s="21"/>
      <c r="Q642" s="19"/>
      <c r="R642" s="19"/>
      <c r="S642" s="19"/>
      <c r="T642" s="19"/>
      <c r="U642" s="19"/>
      <c r="V642" s="19"/>
      <c r="W642" s="19"/>
      <c r="X642" s="19"/>
      <c r="Y642" s="19"/>
      <c r="Z642" s="19"/>
    </row>
    <row r="643">
      <c r="A643" s="21"/>
      <c r="B643" s="21"/>
      <c r="C643" s="21"/>
      <c r="D643" s="21"/>
      <c r="E643" s="21"/>
      <c r="F643" s="21"/>
      <c r="G643" s="21"/>
      <c r="H643" s="2"/>
      <c r="I643" s="21"/>
      <c r="J643" s="21"/>
      <c r="K643" s="21"/>
      <c r="L643" s="21"/>
      <c r="M643" s="21"/>
      <c r="N643" s="21"/>
      <c r="O643" s="21"/>
      <c r="P643" s="21"/>
      <c r="Q643" s="19"/>
      <c r="R643" s="19"/>
      <c r="S643" s="19"/>
      <c r="T643" s="19"/>
      <c r="U643" s="19"/>
      <c r="V643" s="19"/>
      <c r="W643" s="19"/>
      <c r="X643" s="19"/>
      <c r="Y643" s="19"/>
      <c r="Z643" s="19"/>
    </row>
    <row r="644">
      <c r="A644" s="21"/>
      <c r="B644" s="21"/>
      <c r="C644" s="21"/>
      <c r="D644" s="21"/>
      <c r="E644" s="21"/>
      <c r="F644" s="21"/>
      <c r="G644" s="21"/>
      <c r="H644" s="2"/>
      <c r="I644" s="21"/>
      <c r="J644" s="21"/>
      <c r="K644" s="21"/>
      <c r="L644" s="21"/>
      <c r="M644" s="21"/>
      <c r="N644" s="21"/>
      <c r="O644" s="21"/>
      <c r="P644" s="21"/>
      <c r="Q644" s="19"/>
      <c r="R644" s="19"/>
      <c r="S644" s="19"/>
      <c r="T644" s="19"/>
      <c r="U644" s="19"/>
      <c r="V644" s="19"/>
      <c r="W644" s="19"/>
      <c r="X644" s="19"/>
      <c r="Y644" s="19"/>
      <c r="Z644" s="19"/>
    </row>
    <row r="645">
      <c r="A645" s="21"/>
      <c r="B645" s="21"/>
      <c r="C645" s="21"/>
      <c r="D645" s="21"/>
      <c r="E645" s="21"/>
      <c r="F645" s="21"/>
      <c r="G645" s="21"/>
      <c r="H645" s="2"/>
      <c r="I645" s="21"/>
      <c r="J645" s="21"/>
      <c r="K645" s="21"/>
      <c r="L645" s="21"/>
      <c r="M645" s="21"/>
      <c r="N645" s="21"/>
      <c r="O645" s="21"/>
      <c r="P645" s="21"/>
      <c r="Q645" s="19"/>
      <c r="R645" s="19"/>
      <c r="S645" s="19"/>
      <c r="T645" s="19"/>
      <c r="U645" s="19"/>
      <c r="V645" s="19"/>
      <c r="W645" s="19"/>
      <c r="X645" s="19"/>
      <c r="Y645" s="19"/>
      <c r="Z645" s="19"/>
    </row>
    <row r="646">
      <c r="A646" s="21"/>
      <c r="B646" s="21"/>
      <c r="C646" s="21"/>
      <c r="D646" s="21"/>
      <c r="E646" s="21"/>
      <c r="F646" s="21"/>
      <c r="G646" s="21"/>
      <c r="H646" s="2"/>
      <c r="I646" s="21"/>
      <c r="J646" s="21"/>
      <c r="K646" s="21"/>
      <c r="L646" s="21"/>
      <c r="M646" s="21"/>
      <c r="N646" s="21"/>
      <c r="O646" s="21"/>
      <c r="P646" s="21"/>
      <c r="Q646" s="19"/>
      <c r="R646" s="19"/>
      <c r="S646" s="19"/>
      <c r="T646" s="19"/>
      <c r="U646" s="19"/>
      <c r="V646" s="19"/>
      <c r="W646" s="19"/>
      <c r="X646" s="19"/>
      <c r="Y646" s="19"/>
      <c r="Z646" s="19"/>
    </row>
    <row r="647">
      <c r="A647" s="21"/>
      <c r="B647" s="21"/>
      <c r="C647" s="21"/>
      <c r="D647" s="21"/>
      <c r="E647" s="21"/>
      <c r="F647" s="21"/>
      <c r="G647" s="21"/>
      <c r="H647" s="2"/>
      <c r="I647" s="21"/>
      <c r="J647" s="21"/>
      <c r="K647" s="21"/>
      <c r="L647" s="21"/>
      <c r="M647" s="21"/>
      <c r="N647" s="21"/>
      <c r="O647" s="21"/>
      <c r="P647" s="21"/>
      <c r="Q647" s="19"/>
      <c r="R647" s="19"/>
      <c r="S647" s="19"/>
      <c r="T647" s="19"/>
      <c r="U647" s="19"/>
      <c r="V647" s="19"/>
      <c r="W647" s="19"/>
      <c r="X647" s="19"/>
      <c r="Y647" s="19"/>
      <c r="Z647" s="19"/>
    </row>
    <row r="648">
      <c r="A648" s="21"/>
      <c r="B648" s="21"/>
      <c r="C648" s="21"/>
      <c r="D648" s="21"/>
      <c r="E648" s="21"/>
      <c r="F648" s="21"/>
      <c r="G648" s="21"/>
      <c r="H648" s="2"/>
      <c r="I648" s="21"/>
      <c r="J648" s="21"/>
      <c r="K648" s="21"/>
      <c r="L648" s="21"/>
      <c r="M648" s="21"/>
      <c r="N648" s="21"/>
      <c r="O648" s="21"/>
      <c r="P648" s="21"/>
      <c r="Q648" s="19"/>
      <c r="R648" s="19"/>
      <c r="S648" s="19"/>
      <c r="T648" s="19"/>
      <c r="U648" s="19"/>
      <c r="V648" s="19"/>
      <c r="W648" s="19"/>
      <c r="X648" s="19"/>
      <c r="Y648" s="19"/>
      <c r="Z648" s="19"/>
    </row>
    <row r="649">
      <c r="A649" s="21"/>
      <c r="B649" s="21"/>
      <c r="C649" s="21"/>
      <c r="D649" s="21"/>
      <c r="E649" s="21"/>
      <c r="F649" s="21"/>
      <c r="G649" s="21"/>
      <c r="H649" s="2"/>
      <c r="I649" s="21"/>
      <c r="J649" s="21"/>
      <c r="K649" s="21"/>
      <c r="L649" s="21"/>
      <c r="M649" s="21"/>
      <c r="N649" s="21"/>
      <c r="O649" s="21"/>
      <c r="P649" s="21"/>
      <c r="Q649" s="19"/>
      <c r="R649" s="19"/>
      <c r="S649" s="19"/>
      <c r="T649" s="19"/>
      <c r="U649" s="19"/>
      <c r="V649" s="19"/>
      <c r="W649" s="19"/>
      <c r="X649" s="19"/>
      <c r="Y649" s="19"/>
      <c r="Z649" s="19"/>
    </row>
    <row r="650">
      <c r="A650" s="21"/>
      <c r="B650" s="21"/>
      <c r="C650" s="21"/>
      <c r="D650" s="21"/>
      <c r="E650" s="21"/>
      <c r="F650" s="21"/>
      <c r="G650" s="21"/>
      <c r="H650" s="2"/>
      <c r="I650" s="21"/>
      <c r="J650" s="21"/>
      <c r="K650" s="21"/>
      <c r="L650" s="21"/>
      <c r="M650" s="21"/>
      <c r="N650" s="21"/>
      <c r="O650" s="21"/>
      <c r="P650" s="21"/>
      <c r="Q650" s="19"/>
      <c r="R650" s="19"/>
      <c r="S650" s="19"/>
      <c r="T650" s="19"/>
      <c r="U650" s="19"/>
      <c r="V650" s="19"/>
      <c r="W650" s="19"/>
      <c r="X650" s="19"/>
      <c r="Y650" s="19"/>
      <c r="Z650" s="19"/>
    </row>
    <row r="651">
      <c r="A651" s="21"/>
      <c r="B651" s="21"/>
      <c r="C651" s="21"/>
      <c r="D651" s="21"/>
      <c r="E651" s="21"/>
      <c r="F651" s="21"/>
      <c r="G651" s="21"/>
      <c r="H651" s="2"/>
      <c r="I651" s="21"/>
      <c r="J651" s="21"/>
      <c r="K651" s="21"/>
      <c r="L651" s="21"/>
      <c r="M651" s="21"/>
      <c r="N651" s="21"/>
      <c r="O651" s="21"/>
      <c r="P651" s="21"/>
      <c r="Q651" s="19"/>
      <c r="R651" s="19"/>
      <c r="S651" s="19"/>
      <c r="T651" s="19"/>
      <c r="U651" s="19"/>
      <c r="V651" s="19"/>
      <c r="W651" s="19"/>
      <c r="X651" s="19"/>
      <c r="Y651" s="19"/>
      <c r="Z651" s="19"/>
    </row>
    <row r="652">
      <c r="A652" s="21"/>
      <c r="B652" s="21"/>
      <c r="C652" s="21"/>
      <c r="D652" s="21"/>
      <c r="E652" s="21"/>
      <c r="F652" s="21"/>
      <c r="G652" s="21"/>
      <c r="H652" s="2"/>
      <c r="I652" s="21"/>
      <c r="J652" s="21"/>
      <c r="K652" s="21"/>
      <c r="L652" s="21"/>
      <c r="M652" s="21"/>
      <c r="N652" s="21"/>
      <c r="O652" s="21"/>
      <c r="P652" s="21"/>
      <c r="Q652" s="19"/>
      <c r="R652" s="19"/>
      <c r="S652" s="19"/>
      <c r="T652" s="19"/>
      <c r="U652" s="19"/>
      <c r="V652" s="19"/>
      <c r="W652" s="19"/>
      <c r="X652" s="19"/>
      <c r="Y652" s="19"/>
      <c r="Z652" s="19"/>
    </row>
    <row r="653">
      <c r="A653" s="21"/>
      <c r="B653" s="21"/>
      <c r="C653" s="21"/>
      <c r="D653" s="21"/>
      <c r="E653" s="21"/>
      <c r="F653" s="21"/>
      <c r="G653" s="21"/>
      <c r="H653" s="2"/>
      <c r="I653" s="21"/>
      <c r="J653" s="21"/>
      <c r="K653" s="21"/>
      <c r="L653" s="21"/>
      <c r="M653" s="21"/>
      <c r="N653" s="21"/>
      <c r="O653" s="21"/>
      <c r="P653" s="21"/>
      <c r="Q653" s="19"/>
      <c r="R653" s="19"/>
      <c r="S653" s="19"/>
      <c r="T653" s="19"/>
      <c r="U653" s="19"/>
      <c r="V653" s="19"/>
      <c r="W653" s="19"/>
      <c r="X653" s="19"/>
      <c r="Y653" s="19"/>
      <c r="Z653" s="19"/>
    </row>
    <row r="654">
      <c r="A654" s="21"/>
      <c r="B654" s="21"/>
      <c r="C654" s="21"/>
      <c r="D654" s="21"/>
      <c r="E654" s="21"/>
      <c r="F654" s="21"/>
      <c r="G654" s="21"/>
      <c r="H654" s="2"/>
      <c r="I654" s="21"/>
      <c r="J654" s="21"/>
      <c r="K654" s="21"/>
      <c r="L654" s="21"/>
      <c r="M654" s="21"/>
      <c r="N654" s="21"/>
      <c r="O654" s="21"/>
      <c r="P654" s="21"/>
      <c r="Q654" s="19"/>
      <c r="R654" s="19"/>
      <c r="S654" s="19"/>
      <c r="T654" s="19"/>
      <c r="U654" s="19"/>
      <c r="V654" s="19"/>
      <c r="W654" s="19"/>
      <c r="X654" s="19"/>
      <c r="Y654" s="19"/>
      <c r="Z654" s="19"/>
    </row>
    <row r="655">
      <c r="A655" s="21"/>
      <c r="B655" s="21"/>
      <c r="C655" s="21"/>
      <c r="D655" s="21"/>
      <c r="E655" s="21"/>
      <c r="F655" s="21"/>
      <c r="G655" s="21"/>
      <c r="H655" s="2"/>
      <c r="I655" s="21"/>
      <c r="J655" s="21"/>
      <c r="K655" s="21"/>
      <c r="L655" s="21"/>
      <c r="M655" s="21"/>
      <c r="N655" s="21"/>
      <c r="O655" s="21"/>
      <c r="P655" s="21"/>
      <c r="Q655" s="19"/>
      <c r="R655" s="19"/>
      <c r="S655" s="19"/>
      <c r="T655" s="19"/>
      <c r="U655" s="19"/>
      <c r="V655" s="19"/>
      <c r="W655" s="19"/>
      <c r="X655" s="19"/>
      <c r="Y655" s="19"/>
      <c r="Z655" s="19"/>
    </row>
    <row r="656">
      <c r="A656" s="21"/>
      <c r="B656" s="21"/>
      <c r="C656" s="21"/>
      <c r="D656" s="21"/>
      <c r="E656" s="21"/>
      <c r="F656" s="21"/>
      <c r="G656" s="21"/>
      <c r="H656" s="2"/>
      <c r="I656" s="21"/>
      <c r="J656" s="21"/>
      <c r="K656" s="21"/>
      <c r="L656" s="21"/>
      <c r="M656" s="21"/>
      <c r="N656" s="21"/>
      <c r="O656" s="21"/>
      <c r="P656" s="21"/>
      <c r="Q656" s="19"/>
      <c r="R656" s="19"/>
      <c r="S656" s="19"/>
      <c r="T656" s="19"/>
      <c r="U656" s="19"/>
      <c r="V656" s="19"/>
      <c r="W656" s="19"/>
      <c r="X656" s="19"/>
      <c r="Y656" s="19"/>
      <c r="Z656" s="19"/>
    </row>
    <row r="657">
      <c r="A657" s="21"/>
      <c r="B657" s="21"/>
      <c r="C657" s="21"/>
      <c r="D657" s="21"/>
      <c r="E657" s="21"/>
      <c r="F657" s="21"/>
      <c r="G657" s="21"/>
      <c r="H657" s="2"/>
      <c r="I657" s="21"/>
      <c r="J657" s="21"/>
      <c r="K657" s="21"/>
      <c r="L657" s="21"/>
      <c r="M657" s="21"/>
      <c r="N657" s="21"/>
      <c r="O657" s="21"/>
      <c r="P657" s="21"/>
      <c r="Q657" s="19"/>
      <c r="R657" s="19"/>
      <c r="S657" s="19"/>
      <c r="T657" s="19"/>
      <c r="U657" s="19"/>
      <c r="V657" s="19"/>
      <c r="W657" s="19"/>
      <c r="X657" s="19"/>
      <c r="Y657" s="19"/>
      <c r="Z657" s="19"/>
    </row>
    <row r="658">
      <c r="A658" s="21"/>
      <c r="B658" s="21"/>
      <c r="C658" s="21"/>
      <c r="D658" s="21"/>
      <c r="E658" s="21"/>
      <c r="F658" s="21"/>
      <c r="G658" s="21"/>
      <c r="H658" s="2"/>
      <c r="I658" s="21"/>
      <c r="J658" s="21"/>
      <c r="K658" s="21"/>
      <c r="L658" s="21"/>
      <c r="M658" s="21"/>
      <c r="N658" s="21"/>
      <c r="O658" s="21"/>
      <c r="P658" s="21"/>
      <c r="Q658" s="19"/>
      <c r="R658" s="19"/>
      <c r="S658" s="19"/>
      <c r="T658" s="19"/>
      <c r="U658" s="19"/>
      <c r="V658" s="19"/>
      <c r="W658" s="19"/>
      <c r="X658" s="19"/>
      <c r="Y658" s="19"/>
      <c r="Z658" s="19"/>
    </row>
    <row r="659">
      <c r="A659" s="21"/>
      <c r="B659" s="21"/>
      <c r="C659" s="21"/>
      <c r="D659" s="21"/>
      <c r="E659" s="21"/>
      <c r="F659" s="21"/>
      <c r="G659" s="21"/>
      <c r="H659" s="2"/>
      <c r="I659" s="21"/>
      <c r="J659" s="21"/>
      <c r="K659" s="21"/>
      <c r="L659" s="21"/>
      <c r="M659" s="21"/>
      <c r="N659" s="21"/>
      <c r="O659" s="21"/>
      <c r="P659" s="21"/>
      <c r="Q659" s="19"/>
      <c r="R659" s="19"/>
      <c r="S659" s="19"/>
      <c r="T659" s="19"/>
      <c r="U659" s="19"/>
      <c r="V659" s="19"/>
      <c r="W659" s="19"/>
      <c r="X659" s="19"/>
      <c r="Y659" s="19"/>
      <c r="Z659" s="19"/>
    </row>
    <row r="660">
      <c r="A660" s="21"/>
      <c r="B660" s="21"/>
      <c r="C660" s="21"/>
      <c r="D660" s="21"/>
      <c r="E660" s="21"/>
      <c r="F660" s="21"/>
      <c r="G660" s="21"/>
      <c r="H660" s="2"/>
      <c r="I660" s="21"/>
      <c r="J660" s="21"/>
      <c r="K660" s="21"/>
      <c r="L660" s="21"/>
      <c r="M660" s="21"/>
      <c r="N660" s="21"/>
      <c r="O660" s="21"/>
      <c r="P660" s="21"/>
      <c r="Q660" s="19"/>
      <c r="R660" s="19"/>
      <c r="S660" s="19"/>
      <c r="T660" s="19"/>
      <c r="U660" s="19"/>
      <c r="V660" s="19"/>
      <c r="W660" s="19"/>
      <c r="X660" s="19"/>
      <c r="Y660" s="19"/>
      <c r="Z660" s="19"/>
    </row>
    <row r="661">
      <c r="A661" s="21"/>
      <c r="B661" s="21"/>
      <c r="C661" s="21"/>
      <c r="D661" s="21"/>
      <c r="E661" s="21"/>
      <c r="F661" s="21"/>
      <c r="G661" s="21"/>
      <c r="H661" s="2"/>
      <c r="I661" s="21"/>
      <c r="J661" s="21"/>
      <c r="K661" s="21"/>
      <c r="L661" s="21"/>
      <c r="M661" s="21"/>
      <c r="N661" s="21"/>
      <c r="O661" s="21"/>
      <c r="P661" s="21"/>
      <c r="Q661" s="19"/>
      <c r="R661" s="19"/>
      <c r="S661" s="19"/>
      <c r="T661" s="19"/>
      <c r="U661" s="19"/>
      <c r="V661" s="19"/>
      <c r="W661" s="19"/>
      <c r="X661" s="19"/>
      <c r="Y661" s="19"/>
      <c r="Z661" s="19"/>
    </row>
    <row r="662">
      <c r="A662" s="21"/>
      <c r="B662" s="21"/>
      <c r="C662" s="21"/>
      <c r="D662" s="21"/>
      <c r="E662" s="21"/>
      <c r="F662" s="21"/>
      <c r="G662" s="21"/>
      <c r="H662" s="2"/>
      <c r="I662" s="21"/>
      <c r="J662" s="21"/>
      <c r="K662" s="21"/>
      <c r="L662" s="21"/>
      <c r="M662" s="21"/>
      <c r="N662" s="21"/>
      <c r="O662" s="21"/>
      <c r="P662" s="21"/>
      <c r="Q662" s="19"/>
      <c r="R662" s="19"/>
      <c r="S662" s="19"/>
      <c r="T662" s="19"/>
      <c r="U662" s="19"/>
      <c r="V662" s="19"/>
      <c r="W662" s="19"/>
      <c r="X662" s="19"/>
      <c r="Y662" s="19"/>
      <c r="Z662" s="19"/>
    </row>
    <row r="663">
      <c r="A663" s="21"/>
      <c r="B663" s="21"/>
      <c r="C663" s="21"/>
      <c r="D663" s="21"/>
      <c r="E663" s="21"/>
      <c r="F663" s="21"/>
      <c r="G663" s="21"/>
      <c r="H663" s="2"/>
      <c r="I663" s="21"/>
      <c r="J663" s="21"/>
      <c r="K663" s="21"/>
      <c r="L663" s="21"/>
      <c r="M663" s="21"/>
      <c r="N663" s="21"/>
      <c r="O663" s="21"/>
      <c r="P663" s="21"/>
      <c r="Q663" s="19"/>
      <c r="R663" s="19"/>
      <c r="S663" s="19"/>
      <c r="T663" s="19"/>
      <c r="U663" s="19"/>
      <c r="V663" s="19"/>
      <c r="W663" s="19"/>
      <c r="X663" s="19"/>
      <c r="Y663" s="19"/>
      <c r="Z663" s="19"/>
    </row>
    <row r="664">
      <c r="A664" s="21"/>
      <c r="B664" s="21"/>
      <c r="C664" s="21"/>
      <c r="D664" s="21"/>
      <c r="E664" s="21"/>
      <c r="F664" s="21"/>
      <c r="G664" s="21"/>
      <c r="H664" s="2"/>
      <c r="I664" s="21"/>
      <c r="J664" s="21"/>
      <c r="K664" s="21"/>
      <c r="L664" s="21"/>
      <c r="M664" s="21"/>
      <c r="N664" s="21"/>
      <c r="O664" s="21"/>
      <c r="P664" s="21"/>
      <c r="Q664" s="19"/>
      <c r="R664" s="19"/>
      <c r="S664" s="19"/>
      <c r="T664" s="19"/>
      <c r="U664" s="19"/>
      <c r="V664" s="19"/>
      <c r="W664" s="19"/>
      <c r="X664" s="19"/>
      <c r="Y664" s="19"/>
      <c r="Z664" s="19"/>
    </row>
    <row r="665">
      <c r="A665" s="21"/>
      <c r="B665" s="21"/>
      <c r="C665" s="21"/>
      <c r="D665" s="21"/>
      <c r="E665" s="21"/>
      <c r="F665" s="21"/>
      <c r="G665" s="21"/>
      <c r="H665" s="2"/>
      <c r="I665" s="21"/>
      <c r="J665" s="21"/>
      <c r="K665" s="21"/>
      <c r="L665" s="21"/>
      <c r="M665" s="21"/>
      <c r="N665" s="21"/>
      <c r="O665" s="21"/>
      <c r="P665" s="21"/>
      <c r="Q665" s="19"/>
      <c r="R665" s="19"/>
      <c r="S665" s="19"/>
      <c r="T665" s="19"/>
      <c r="U665" s="19"/>
      <c r="V665" s="19"/>
      <c r="W665" s="19"/>
      <c r="X665" s="19"/>
      <c r="Y665" s="19"/>
      <c r="Z665" s="19"/>
    </row>
    <row r="666">
      <c r="A666" s="21"/>
      <c r="B666" s="21"/>
      <c r="C666" s="21"/>
      <c r="D666" s="21"/>
      <c r="E666" s="21"/>
      <c r="F666" s="21"/>
      <c r="G666" s="21"/>
      <c r="H666" s="2"/>
      <c r="I666" s="21"/>
      <c r="J666" s="21"/>
      <c r="K666" s="21"/>
      <c r="L666" s="21"/>
      <c r="M666" s="21"/>
      <c r="N666" s="21"/>
      <c r="O666" s="21"/>
      <c r="P666" s="21"/>
      <c r="Q666" s="19"/>
      <c r="R666" s="19"/>
      <c r="S666" s="19"/>
      <c r="T666" s="19"/>
      <c r="U666" s="19"/>
      <c r="V666" s="19"/>
      <c r="W666" s="19"/>
      <c r="X666" s="19"/>
      <c r="Y666" s="19"/>
      <c r="Z666" s="19"/>
    </row>
    <row r="667">
      <c r="A667" s="21"/>
      <c r="B667" s="21"/>
      <c r="C667" s="21"/>
      <c r="D667" s="21"/>
      <c r="E667" s="21"/>
      <c r="F667" s="21"/>
      <c r="G667" s="21"/>
      <c r="H667" s="2"/>
      <c r="I667" s="21"/>
      <c r="J667" s="21"/>
      <c r="K667" s="21"/>
      <c r="L667" s="21"/>
      <c r="M667" s="21"/>
      <c r="N667" s="21"/>
      <c r="O667" s="21"/>
      <c r="P667" s="21"/>
      <c r="Q667" s="19"/>
      <c r="R667" s="19"/>
      <c r="S667" s="19"/>
      <c r="T667" s="19"/>
      <c r="U667" s="19"/>
      <c r="V667" s="19"/>
      <c r="W667" s="19"/>
      <c r="X667" s="19"/>
      <c r="Y667" s="19"/>
      <c r="Z667" s="19"/>
    </row>
    <row r="668">
      <c r="A668" s="21"/>
      <c r="B668" s="21"/>
      <c r="C668" s="21"/>
      <c r="D668" s="21"/>
      <c r="E668" s="21"/>
      <c r="F668" s="21"/>
      <c r="G668" s="21"/>
      <c r="H668" s="2"/>
      <c r="I668" s="21"/>
      <c r="J668" s="21"/>
      <c r="K668" s="21"/>
      <c r="L668" s="21"/>
      <c r="M668" s="21"/>
      <c r="N668" s="21"/>
      <c r="O668" s="21"/>
      <c r="P668" s="21"/>
      <c r="Q668" s="19"/>
      <c r="R668" s="19"/>
      <c r="S668" s="19"/>
      <c r="T668" s="19"/>
      <c r="U668" s="19"/>
      <c r="V668" s="19"/>
      <c r="W668" s="19"/>
      <c r="X668" s="19"/>
      <c r="Y668" s="19"/>
      <c r="Z668" s="19"/>
    </row>
    <row r="669">
      <c r="A669" s="21"/>
      <c r="B669" s="21"/>
      <c r="C669" s="21"/>
      <c r="D669" s="21"/>
      <c r="E669" s="21"/>
      <c r="F669" s="21"/>
      <c r="G669" s="21"/>
      <c r="H669" s="2"/>
      <c r="I669" s="21"/>
      <c r="J669" s="21"/>
      <c r="K669" s="21"/>
      <c r="L669" s="21"/>
      <c r="M669" s="21"/>
      <c r="N669" s="21"/>
      <c r="O669" s="21"/>
      <c r="P669" s="21"/>
      <c r="Q669" s="19"/>
      <c r="R669" s="19"/>
      <c r="S669" s="19"/>
      <c r="T669" s="19"/>
      <c r="U669" s="19"/>
      <c r="V669" s="19"/>
      <c r="W669" s="19"/>
      <c r="X669" s="19"/>
      <c r="Y669" s="19"/>
      <c r="Z669" s="19"/>
    </row>
    <row r="670">
      <c r="A670" s="21"/>
      <c r="B670" s="21"/>
      <c r="C670" s="21"/>
      <c r="D670" s="21"/>
      <c r="E670" s="21"/>
      <c r="F670" s="21"/>
      <c r="G670" s="21"/>
      <c r="H670" s="2"/>
      <c r="I670" s="21"/>
      <c r="J670" s="21"/>
      <c r="K670" s="21"/>
      <c r="L670" s="21"/>
      <c r="M670" s="21"/>
      <c r="N670" s="21"/>
      <c r="O670" s="21"/>
      <c r="P670" s="21"/>
      <c r="Q670" s="19"/>
      <c r="R670" s="19"/>
      <c r="S670" s="19"/>
      <c r="T670" s="19"/>
      <c r="U670" s="19"/>
      <c r="V670" s="19"/>
      <c r="W670" s="19"/>
      <c r="X670" s="19"/>
      <c r="Y670" s="19"/>
      <c r="Z670" s="19"/>
    </row>
    <row r="671">
      <c r="A671" s="21"/>
      <c r="B671" s="21"/>
      <c r="C671" s="21"/>
      <c r="D671" s="21"/>
      <c r="E671" s="21"/>
      <c r="F671" s="21"/>
      <c r="G671" s="21"/>
      <c r="H671" s="2"/>
      <c r="I671" s="21"/>
      <c r="J671" s="21"/>
      <c r="K671" s="21"/>
      <c r="L671" s="21"/>
      <c r="M671" s="21"/>
      <c r="N671" s="21"/>
      <c r="O671" s="21"/>
      <c r="P671" s="21"/>
      <c r="Q671" s="19"/>
      <c r="R671" s="19"/>
      <c r="S671" s="19"/>
      <c r="T671" s="19"/>
      <c r="U671" s="19"/>
      <c r="V671" s="19"/>
      <c r="W671" s="19"/>
      <c r="X671" s="19"/>
      <c r="Y671" s="19"/>
      <c r="Z671" s="19"/>
    </row>
    <row r="672">
      <c r="A672" s="21"/>
      <c r="B672" s="21"/>
      <c r="C672" s="21"/>
      <c r="D672" s="21"/>
      <c r="E672" s="21"/>
      <c r="F672" s="21"/>
      <c r="G672" s="21"/>
      <c r="H672" s="2"/>
      <c r="I672" s="21"/>
      <c r="J672" s="21"/>
      <c r="K672" s="21"/>
      <c r="L672" s="21"/>
      <c r="M672" s="21"/>
      <c r="N672" s="21"/>
      <c r="O672" s="21"/>
      <c r="P672" s="21"/>
      <c r="Q672" s="19"/>
      <c r="R672" s="19"/>
      <c r="S672" s="19"/>
      <c r="T672" s="19"/>
      <c r="U672" s="19"/>
      <c r="V672" s="19"/>
      <c r="W672" s="19"/>
      <c r="X672" s="19"/>
      <c r="Y672" s="19"/>
      <c r="Z672" s="19"/>
    </row>
    <row r="673">
      <c r="A673" s="21"/>
      <c r="B673" s="21"/>
      <c r="C673" s="21"/>
      <c r="D673" s="21"/>
      <c r="E673" s="21"/>
      <c r="F673" s="21"/>
      <c r="G673" s="21"/>
      <c r="H673" s="2"/>
      <c r="I673" s="21"/>
      <c r="J673" s="21"/>
      <c r="K673" s="21"/>
      <c r="L673" s="21"/>
      <c r="M673" s="21"/>
      <c r="N673" s="21"/>
      <c r="O673" s="21"/>
      <c r="P673" s="21"/>
      <c r="Q673" s="19"/>
      <c r="R673" s="19"/>
      <c r="S673" s="19"/>
      <c r="T673" s="19"/>
      <c r="U673" s="19"/>
      <c r="V673" s="19"/>
      <c r="W673" s="19"/>
      <c r="X673" s="19"/>
      <c r="Y673" s="19"/>
      <c r="Z673" s="19"/>
    </row>
    <row r="674">
      <c r="A674" s="21"/>
      <c r="B674" s="21"/>
      <c r="C674" s="21"/>
      <c r="D674" s="21"/>
      <c r="E674" s="21"/>
      <c r="F674" s="21"/>
      <c r="G674" s="21"/>
      <c r="H674" s="2"/>
      <c r="I674" s="21"/>
      <c r="J674" s="21"/>
      <c r="K674" s="21"/>
      <c r="L674" s="21"/>
      <c r="M674" s="21"/>
      <c r="N674" s="21"/>
      <c r="O674" s="21"/>
      <c r="P674" s="21"/>
      <c r="Q674" s="19"/>
      <c r="R674" s="19"/>
      <c r="S674" s="19"/>
      <c r="T674" s="19"/>
      <c r="U674" s="19"/>
      <c r="V674" s="19"/>
      <c r="W674" s="19"/>
      <c r="X674" s="19"/>
      <c r="Y674" s="19"/>
      <c r="Z674" s="19"/>
    </row>
    <row r="675">
      <c r="A675" s="21"/>
      <c r="B675" s="21"/>
      <c r="C675" s="21"/>
      <c r="D675" s="21"/>
      <c r="E675" s="21"/>
      <c r="F675" s="21"/>
      <c r="G675" s="21"/>
      <c r="H675" s="2"/>
      <c r="I675" s="21"/>
      <c r="J675" s="21"/>
      <c r="K675" s="21"/>
      <c r="L675" s="21"/>
      <c r="M675" s="21"/>
      <c r="N675" s="21"/>
      <c r="O675" s="21"/>
      <c r="P675" s="21"/>
      <c r="Q675" s="19"/>
      <c r="R675" s="19"/>
      <c r="S675" s="19"/>
      <c r="T675" s="19"/>
      <c r="U675" s="19"/>
      <c r="V675" s="19"/>
      <c r="W675" s="19"/>
      <c r="X675" s="19"/>
      <c r="Y675" s="19"/>
      <c r="Z675" s="19"/>
    </row>
    <row r="676">
      <c r="A676" s="21"/>
      <c r="B676" s="21"/>
      <c r="C676" s="21"/>
      <c r="D676" s="21"/>
      <c r="E676" s="21"/>
      <c r="F676" s="21"/>
      <c r="G676" s="21"/>
      <c r="H676" s="2"/>
      <c r="I676" s="21"/>
      <c r="J676" s="21"/>
      <c r="K676" s="21"/>
      <c r="L676" s="21"/>
      <c r="M676" s="21"/>
      <c r="N676" s="21"/>
      <c r="O676" s="21"/>
      <c r="P676" s="21"/>
      <c r="Q676" s="19"/>
      <c r="R676" s="19"/>
      <c r="S676" s="19"/>
      <c r="T676" s="19"/>
      <c r="U676" s="19"/>
      <c r="V676" s="19"/>
      <c r="W676" s="19"/>
      <c r="X676" s="19"/>
      <c r="Y676" s="19"/>
      <c r="Z676" s="19"/>
    </row>
    <row r="677">
      <c r="A677" s="21"/>
      <c r="B677" s="21"/>
      <c r="C677" s="21"/>
      <c r="D677" s="21"/>
      <c r="E677" s="21"/>
      <c r="F677" s="21"/>
      <c r="G677" s="21"/>
      <c r="H677" s="2"/>
      <c r="I677" s="21"/>
      <c r="J677" s="21"/>
      <c r="K677" s="21"/>
      <c r="L677" s="21"/>
      <c r="M677" s="21"/>
      <c r="N677" s="21"/>
      <c r="O677" s="21"/>
      <c r="P677" s="21"/>
      <c r="Q677" s="19"/>
      <c r="R677" s="19"/>
      <c r="S677" s="19"/>
      <c r="T677" s="19"/>
      <c r="U677" s="19"/>
      <c r="V677" s="19"/>
      <c r="W677" s="19"/>
      <c r="X677" s="19"/>
      <c r="Y677" s="19"/>
      <c r="Z677" s="19"/>
    </row>
    <row r="678">
      <c r="A678" s="21"/>
      <c r="B678" s="21"/>
      <c r="C678" s="21"/>
      <c r="D678" s="21"/>
      <c r="E678" s="21"/>
      <c r="F678" s="21"/>
      <c r="G678" s="21"/>
      <c r="H678" s="2"/>
      <c r="I678" s="21"/>
      <c r="J678" s="21"/>
      <c r="K678" s="21"/>
      <c r="L678" s="21"/>
      <c r="M678" s="21"/>
      <c r="N678" s="21"/>
      <c r="O678" s="21"/>
      <c r="P678" s="21"/>
      <c r="Q678" s="19"/>
      <c r="R678" s="19"/>
      <c r="S678" s="19"/>
      <c r="T678" s="19"/>
      <c r="U678" s="19"/>
      <c r="V678" s="19"/>
      <c r="W678" s="19"/>
      <c r="X678" s="19"/>
      <c r="Y678" s="19"/>
      <c r="Z678" s="19"/>
    </row>
    <row r="679">
      <c r="A679" s="21"/>
      <c r="B679" s="21"/>
      <c r="C679" s="21"/>
      <c r="D679" s="21"/>
      <c r="E679" s="21"/>
      <c r="F679" s="21"/>
      <c r="G679" s="21"/>
      <c r="H679" s="2"/>
      <c r="I679" s="21"/>
      <c r="J679" s="21"/>
      <c r="K679" s="21"/>
      <c r="L679" s="21"/>
      <c r="M679" s="21"/>
      <c r="N679" s="21"/>
      <c r="O679" s="21"/>
      <c r="P679" s="21"/>
      <c r="Q679" s="19"/>
      <c r="R679" s="19"/>
      <c r="S679" s="19"/>
      <c r="T679" s="19"/>
      <c r="U679" s="19"/>
      <c r="V679" s="19"/>
      <c r="W679" s="19"/>
      <c r="X679" s="19"/>
      <c r="Y679" s="19"/>
      <c r="Z679" s="19"/>
    </row>
    <row r="680">
      <c r="A680" s="21"/>
      <c r="B680" s="21"/>
      <c r="C680" s="21"/>
      <c r="D680" s="21"/>
      <c r="E680" s="21"/>
      <c r="F680" s="21"/>
      <c r="G680" s="21"/>
      <c r="H680" s="2"/>
      <c r="I680" s="21"/>
      <c r="J680" s="21"/>
      <c r="K680" s="21"/>
      <c r="L680" s="21"/>
      <c r="M680" s="21"/>
      <c r="N680" s="21"/>
      <c r="O680" s="21"/>
      <c r="P680" s="21"/>
      <c r="Q680" s="19"/>
      <c r="R680" s="19"/>
      <c r="S680" s="19"/>
      <c r="T680" s="19"/>
      <c r="U680" s="19"/>
      <c r="V680" s="19"/>
      <c r="W680" s="19"/>
      <c r="X680" s="19"/>
      <c r="Y680" s="19"/>
      <c r="Z680" s="19"/>
    </row>
    <row r="681">
      <c r="A681" s="21"/>
      <c r="B681" s="21"/>
      <c r="C681" s="21"/>
      <c r="D681" s="21"/>
      <c r="E681" s="21"/>
      <c r="F681" s="21"/>
      <c r="G681" s="21"/>
      <c r="H681" s="2"/>
      <c r="I681" s="21"/>
      <c r="J681" s="21"/>
      <c r="K681" s="21"/>
      <c r="L681" s="21"/>
      <c r="M681" s="21"/>
      <c r="N681" s="21"/>
      <c r="O681" s="21"/>
      <c r="P681" s="21"/>
      <c r="Q681" s="19"/>
      <c r="R681" s="19"/>
      <c r="S681" s="19"/>
      <c r="T681" s="19"/>
      <c r="U681" s="19"/>
      <c r="V681" s="19"/>
      <c r="W681" s="19"/>
      <c r="X681" s="19"/>
      <c r="Y681" s="19"/>
      <c r="Z681" s="19"/>
    </row>
    <row r="682">
      <c r="A682" s="21"/>
      <c r="B682" s="21"/>
      <c r="C682" s="21"/>
      <c r="D682" s="21"/>
      <c r="E682" s="21"/>
      <c r="F682" s="21"/>
      <c r="G682" s="21"/>
      <c r="H682" s="2"/>
      <c r="I682" s="21"/>
      <c r="J682" s="21"/>
      <c r="K682" s="21"/>
      <c r="L682" s="21"/>
      <c r="M682" s="21"/>
      <c r="N682" s="21"/>
      <c r="O682" s="21"/>
      <c r="P682" s="21"/>
      <c r="Q682" s="19"/>
      <c r="R682" s="19"/>
      <c r="S682" s="19"/>
      <c r="T682" s="19"/>
      <c r="U682" s="19"/>
      <c r="V682" s="19"/>
      <c r="W682" s="19"/>
      <c r="X682" s="19"/>
      <c r="Y682" s="19"/>
      <c r="Z682" s="19"/>
    </row>
    <row r="683">
      <c r="A683" s="21"/>
      <c r="B683" s="21"/>
      <c r="C683" s="21"/>
      <c r="D683" s="21"/>
      <c r="E683" s="21"/>
      <c r="F683" s="21"/>
      <c r="G683" s="21"/>
      <c r="H683" s="2"/>
      <c r="I683" s="21"/>
      <c r="J683" s="21"/>
      <c r="K683" s="21"/>
      <c r="L683" s="21"/>
      <c r="M683" s="21"/>
      <c r="N683" s="21"/>
      <c r="O683" s="21"/>
      <c r="P683" s="21"/>
      <c r="Q683" s="19"/>
      <c r="R683" s="19"/>
      <c r="S683" s="19"/>
      <c r="T683" s="19"/>
      <c r="U683" s="19"/>
      <c r="V683" s="19"/>
      <c r="W683" s="19"/>
      <c r="X683" s="19"/>
      <c r="Y683" s="19"/>
      <c r="Z683" s="19"/>
    </row>
    <row r="684">
      <c r="A684" s="21"/>
      <c r="B684" s="21"/>
      <c r="C684" s="21"/>
      <c r="D684" s="21"/>
      <c r="E684" s="21"/>
      <c r="F684" s="21"/>
      <c r="G684" s="21"/>
      <c r="H684" s="2"/>
      <c r="I684" s="21"/>
      <c r="J684" s="21"/>
      <c r="K684" s="21"/>
      <c r="L684" s="21"/>
      <c r="M684" s="21"/>
      <c r="N684" s="21"/>
      <c r="O684" s="21"/>
      <c r="P684" s="21"/>
      <c r="Q684" s="19"/>
      <c r="R684" s="19"/>
      <c r="S684" s="19"/>
      <c r="T684" s="19"/>
      <c r="U684" s="19"/>
      <c r="V684" s="19"/>
      <c r="W684" s="19"/>
      <c r="X684" s="19"/>
      <c r="Y684" s="19"/>
      <c r="Z684" s="19"/>
    </row>
    <row r="685">
      <c r="A685" s="21"/>
      <c r="B685" s="21"/>
      <c r="C685" s="21"/>
      <c r="D685" s="21"/>
      <c r="E685" s="21"/>
      <c r="F685" s="21"/>
      <c r="G685" s="21"/>
      <c r="H685" s="2"/>
      <c r="I685" s="21"/>
      <c r="J685" s="21"/>
      <c r="K685" s="21"/>
      <c r="L685" s="21"/>
      <c r="M685" s="21"/>
      <c r="N685" s="21"/>
      <c r="O685" s="21"/>
      <c r="P685" s="21"/>
      <c r="Q685" s="19"/>
      <c r="R685" s="19"/>
      <c r="S685" s="19"/>
      <c r="T685" s="19"/>
      <c r="U685" s="19"/>
      <c r="V685" s="19"/>
      <c r="W685" s="19"/>
      <c r="X685" s="19"/>
      <c r="Y685" s="19"/>
      <c r="Z685" s="19"/>
    </row>
    <row r="686">
      <c r="A686" s="21"/>
      <c r="B686" s="21"/>
      <c r="C686" s="21"/>
      <c r="D686" s="21"/>
      <c r="E686" s="21"/>
      <c r="F686" s="21"/>
      <c r="G686" s="21"/>
      <c r="H686" s="2"/>
      <c r="I686" s="21"/>
      <c r="J686" s="21"/>
      <c r="K686" s="21"/>
      <c r="L686" s="21"/>
      <c r="M686" s="21"/>
      <c r="N686" s="21"/>
      <c r="O686" s="21"/>
      <c r="P686" s="21"/>
      <c r="Q686" s="19"/>
      <c r="R686" s="19"/>
      <c r="S686" s="19"/>
      <c r="T686" s="19"/>
      <c r="U686" s="19"/>
      <c r="V686" s="19"/>
      <c r="W686" s="19"/>
      <c r="X686" s="19"/>
      <c r="Y686" s="19"/>
      <c r="Z686" s="19"/>
    </row>
    <row r="687">
      <c r="A687" s="21"/>
      <c r="B687" s="21"/>
      <c r="C687" s="21"/>
      <c r="D687" s="21"/>
      <c r="E687" s="21"/>
      <c r="F687" s="21"/>
      <c r="G687" s="21"/>
      <c r="H687" s="2"/>
      <c r="I687" s="21"/>
      <c r="J687" s="21"/>
      <c r="K687" s="21"/>
      <c r="L687" s="21"/>
      <c r="M687" s="21"/>
      <c r="N687" s="21"/>
      <c r="O687" s="21"/>
      <c r="P687" s="21"/>
      <c r="Q687" s="19"/>
      <c r="R687" s="19"/>
      <c r="S687" s="19"/>
      <c r="T687" s="19"/>
      <c r="U687" s="19"/>
      <c r="V687" s="19"/>
      <c r="W687" s="19"/>
      <c r="X687" s="19"/>
      <c r="Y687" s="19"/>
      <c r="Z687" s="19"/>
    </row>
    <row r="688">
      <c r="A688" s="21"/>
      <c r="B688" s="21"/>
      <c r="C688" s="21"/>
      <c r="D688" s="21"/>
      <c r="E688" s="21"/>
      <c r="F688" s="21"/>
      <c r="G688" s="21"/>
      <c r="H688" s="2"/>
      <c r="I688" s="21"/>
      <c r="J688" s="21"/>
      <c r="K688" s="21"/>
      <c r="L688" s="21"/>
      <c r="M688" s="21"/>
      <c r="N688" s="21"/>
      <c r="O688" s="21"/>
      <c r="P688" s="21"/>
      <c r="Q688" s="19"/>
      <c r="R688" s="19"/>
      <c r="S688" s="19"/>
      <c r="T688" s="19"/>
      <c r="U688" s="19"/>
      <c r="V688" s="19"/>
      <c r="W688" s="19"/>
      <c r="X688" s="19"/>
      <c r="Y688" s="19"/>
      <c r="Z688" s="19"/>
    </row>
    <row r="689">
      <c r="A689" s="21"/>
      <c r="B689" s="21"/>
      <c r="C689" s="21"/>
      <c r="D689" s="21"/>
      <c r="E689" s="21"/>
      <c r="F689" s="21"/>
      <c r="G689" s="21"/>
      <c r="H689" s="2"/>
      <c r="I689" s="21"/>
      <c r="J689" s="21"/>
      <c r="K689" s="21"/>
      <c r="L689" s="21"/>
      <c r="M689" s="21"/>
      <c r="N689" s="21"/>
      <c r="O689" s="21"/>
      <c r="P689" s="21"/>
      <c r="Q689" s="19"/>
      <c r="R689" s="19"/>
      <c r="S689" s="19"/>
      <c r="T689" s="19"/>
      <c r="U689" s="19"/>
      <c r="V689" s="19"/>
      <c r="W689" s="19"/>
      <c r="X689" s="19"/>
      <c r="Y689" s="19"/>
      <c r="Z689" s="19"/>
    </row>
    <row r="690">
      <c r="A690" s="21"/>
      <c r="B690" s="21"/>
      <c r="C690" s="21"/>
      <c r="D690" s="21"/>
      <c r="E690" s="21"/>
      <c r="F690" s="21"/>
      <c r="G690" s="21"/>
      <c r="H690" s="2"/>
      <c r="I690" s="21"/>
      <c r="J690" s="21"/>
      <c r="K690" s="21"/>
      <c r="L690" s="21"/>
      <c r="M690" s="21"/>
      <c r="N690" s="21"/>
      <c r="O690" s="21"/>
      <c r="P690" s="21"/>
      <c r="Q690" s="19"/>
      <c r="R690" s="19"/>
      <c r="S690" s="19"/>
      <c r="T690" s="19"/>
      <c r="U690" s="19"/>
      <c r="V690" s="19"/>
      <c r="W690" s="19"/>
      <c r="X690" s="19"/>
      <c r="Y690" s="19"/>
      <c r="Z690" s="19"/>
    </row>
    <row r="691">
      <c r="A691" s="21"/>
      <c r="B691" s="21"/>
      <c r="C691" s="21"/>
      <c r="D691" s="21"/>
      <c r="E691" s="21"/>
      <c r="F691" s="21"/>
      <c r="G691" s="21"/>
      <c r="H691" s="2"/>
      <c r="I691" s="21"/>
      <c r="J691" s="21"/>
      <c r="K691" s="21"/>
      <c r="L691" s="21"/>
      <c r="M691" s="21"/>
      <c r="N691" s="21"/>
      <c r="O691" s="21"/>
      <c r="P691" s="21"/>
      <c r="Q691" s="19"/>
      <c r="R691" s="19"/>
      <c r="S691" s="19"/>
      <c r="T691" s="19"/>
      <c r="U691" s="19"/>
      <c r="V691" s="19"/>
      <c r="W691" s="19"/>
      <c r="X691" s="19"/>
      <c r="Y691" s="19"/>
      <c r="Z691" s="19"/>
    </row>
    <row r="692">
      <c r="A692" s="21"/>
      <c r="B692" s="21"/>
      <c r="C692" s="21"/>
      <c r="D692" s="21"/>
      <c r="E692" s="21"/>
      <c r="F692" s="21"/>
      <c r="G692" s="21"/>
      <c r="H692" s="2"/>
      <c r="I692" s="21"/>
      <c r="J692" s="21"/>
      <c r="K692" s="21"/>
      <c r="L692" s="21"/>
      <c r="M692" s="21"/>
      <c r="N692" s="21"/>
      <c r="O692" s="21"/>
      <c r="P692" s="21"/>
      <c r="Q692" s="19"/>
      <c r="R692" s="19"/>
      <c r="S692" s="19"/>
      <c r="T692" s="19"/>
      <c r="U692" s="19"/>
      <c r="V692" s="19"/>
      <c r="W692" s="19"/>
      <c r="X692" s="19"/>
      <c r="Y692" s="19"/>
      <c r="Z692" s="19"/>
    </row>
    <row r="693">
      <c r="A693" s="21"/>
      <c r="B693" s="21"/>
      <c r="C693" s="21"/>
      <c r="D693" s="21"/>
      <c r="E693" s="21"/>
      <c r="F693" s="21"/>
      <c r="G693" s="21"/>
      <c r="H693" s="2"/>
      <c r="I693" s="21"/>
      <c r="J693" s="21"/>
      <c r="K693" s="21"/>
      <c r="L693" s="21"/>
      <c r="M693" s="21"/>
      <c r="N693" s="21"/>
      <c r="O693" s="21"/>
      <c r="P693" s="21"/>
      <c r="Q693" s="19"/>
      <c r="R693" s="19"/>
      <c r="S693" s="19"/>
      <c r="T693" s="19"/>
      <c r="U693" s="19"/>
      <c r="V693" s="19"/>
      <c r="W693" s="19"/>
      <c r="X693" s="19"/>
      <c r="Y693" s="19"/>
      <c r="Z693" s="19"/>
    </row>
    <row r="694">
      <c r="A694" s="21"/>
      <c r="B694" s="21"/>
      <c r="C694" s="21"/>
      <c r="D694" s="21"/>
      <c r="E694" s="21"/>
      <c r="F694" s="21"/>
      <c r="G694" s="21"/>
      <c r="H694" s="2"/>
      <c r="I694" s="21"/>
      <c r="J694" s="21"/>
      <c r="K694" s="21"/>
      <c r="L694" s="21"/>
      <c r="M694" s="21"/>
      <c r="N694" s="21"/>
      <c r="O694" s="21"/>
      <c r="P694" s="21"/>
      <c r="Q694" s="19"/>
      <c r="R694" s="19"/>
      <c r="S694" s="19"/>
      <c r="T694" s="19"/>
      <c r="U694" s="19"/>
      <c r="V694" s="19"/>
      <c r="W694" s="19"/>
      <c r="X694" s="19"/>
      <c r="Y694" s="19"/>
      <c r="Z694" s="19"/>
    </row>
    <row r="695">
      <c r="A695" s="21"/>
      <c r="B695" s="21"/>
      <c r="C695" s="21"/>
      <c r="D695" s="21"/>
      <c r="E695" s="21"/>
      <c r="F695" s="21"/>
      <c r="G695" s="21"/>
      <c r="H695" s="2"/>
      <c r="I695" s="21"/>
      <c r="J695" s="21"/>
      <c r="K695" s="21"/>
      <c r="L695" s="21"/>
      <c r="M695" s="21"/>
      <c r="N695" s="21"/>
      <c r="O695" s="21"/>
      <c r="P695" s="21"/>
      <c r="Q695" s="19"/>
      <c r="R695" s="19"/>
      <c r="S695" s="19"/>
      <c r="T695" s="19"/>
      <c r="U695" s="19"/>
      <c r="V695" s="19"/>
      <c r="W695" s="19"/>
      <c r="X695" s="19"/>
      <c r="Y695" s="19"/>
      <c r="Z695" s="19"/>
    </row>
    <row r="696">
      <c r="A696" s="21"/>
      <c r="B696" s="21"/>
      <c r="C696" s="21"/>
      <c r="D696" s="21"/>
      <c r="E696" s="21"/>
      <c r="F696" s="21"/>
      <c r="G696" s="21"/>
      <c r="H696" s="2"/>
      <c r="I696" s="21"/>
      <c r="J696" s="21"/>
      <c r="K696" s="21"/>
      <c r="L696" s="21"/>
      <c r="M696" s="21"/>
      <c r="N696" s="21"/>
      <c r="O696" s="21"/>
      <c r="P696" s="21"/>
      <c r="Q696" s="19"/>
      <c r="R696" s="19"/>
      <c r="S696" s="19"/>
      <c r="T696" s="19"/>
      <c r="U696" s="19"/>
      <c r="V696" s="19"/>
      <c r="W696" s="19"/>
      <c r="X696" s="19"/>
      <c r="Y696" s="19"/>
      <c r="Z696" s="19"/>
    </row>
    <row r="697">
      <c r="A697" s="21"/>
      <c r="B697" s="21"/>
      <c r="C697" s="21"/>
      <c r="D697" s="21"/>
      <c r="E697" s="21"/>
      <c r="F697" s="21"/>
      <c r="G697" s="21"/>
      <c r="H697" s="2"/>
      <c r="I697" s="21"/>
      <c r="J697" s="21"/>
      <c r="K697" s="21"/>
      <c r="L697" s="21"/>
      <c r="M697" s="21"/>
      <c r="N697" s="21"/>
      <c r="O697" s="21"/>
      <c r="P697" s="21"/>
      <c r="Q697" s="19"/>
      <c r="R697" s="19"/>
      <c r="S697" s="19"/>
      <c r="T697" s="19"/>
      <c r="U697" s="19"/>
      <c r="V697" s="19"/>
      <c r="W697" s="19"/>
      <c r="X697" s="19"/>
      <c r="Y697" s="19"/>
      <c r="Z697" s="19"/>
    </row>
    <row r="698">
      <c r="A698" s="21"/>
      <c r="B698" s="21"/>
      <c r="C698" s="21"/>
      <c r="D698" s="21"/>
      <c r="E698" s="21"/>
      <c r="F698" s="21"/>
      <c r="G698" s="21"/>
      <c r="H698" s="2"/>
      <c r="I698" s="21"/>
      <c r="J698" s="21"/>
      <c r="K698" s="21"/>
      <c r="L698" s="21"/>
      <c r="M698" s="21"/>
      <c r="N698" s="21"/>
      <c r="O698" s="21"/>
      <c r="P698" s="21"/>
      <c r="Q698" s="19"/>
      <c r="R698" s="19"/>
      <c r="S698" s="19"/>
      <c r="T698" s="19"/>
      <c r="U698" s="19"/>
      <c r="V698" s="19"/>
      <c r="W698" s="19"/>
      <c r="X698" s="19"/>
      <c r="Y698" s="19"/>
      <c r="Z698" s="19"/>
    </row>
    <row r="699">
      <c r="A699" s="21"/>
      <c r="B699" s="21"/>
      <c r="C699" s="21"/>
      <c r="D699" s="21"/>
      <c r="E699" s="21"/>
      <c r="F699" s="21"/>
      <c r="G699" s="21"/>
      <c r="H699" s="2"/>
      <c r="I699" s="21"/>
      <c r="J699" s="21"/>
      <c r="K699" s="21"/>
      <c r="L699" s="21"/>
      <c r="M699" s="21"/>
      <c r="N699" s="21"/>
      <c r="O699" s="21"/>
      <c r="P699" s="21"/>
      <c r="Q699" s="19"/>
      <c r="R699" s="19"/>
      <c r="S699" s="19"/>
      <c r="T699" s="19"/>
      <c r="U699" s="19"/>
      <c r="V699" s="19"/>
      <c r="W699" s="19"/>
      <c r="X699" s="19"/>
      <c r="Y699" s="19"/>
      <c r="Z699" s="19"/>
    </row>
    <row r="700">
      <c r="A700" s="21"/>
      <c r="B700" s="21"/>
      <c r="C700" s="21"/>
      <c r="D700" s="21"/>
      <c r="E700" s="21"/>
      <c r="F700" s="21"/>
      <c r="G700" s="21"/>
      <c r="H700" s="2"/>
      <c r="I700" s="21"/>
      <c r="J700" s="21"/>
      <c r="K700" s="21"/>
      <c r="L700" s="21"/>
      <c r="M700" s="21"/>
      <c r="N700" s="21"/>
      <c r="O700" s="21"/>
      <c r="P700" s="21"/>
      <c r="Q700" s="19"/>
      <c r="R700" s="19"/>
      <c r="S700" s="19"/>
      <c r="T700" s="19"/>
      <c r="U700" s="19"/>
      <c r="V700" s="19"/>
      <c r="W700" s="19"/>
      <c r="X700" s="19"/>
      <c r="Y700" s="19"/>
      <c r="Z700" s="19"/>
    </row>
    <row r="701">
      <c r="A701" s="21"/>
      <c r="B701" s="21"/>
      <c r="C701" s="21"/>
      <c r="D701" s="21"/>
      <c r="E701" s="21"/>
      <c r="F701" s="21"/>
      <c r="G701" s="21"/>
      <c r="H701" s="2"/>
      <c r="I701" s="21"/>
      <c r="J701" s="21"/>
      <c r="K701" s="21"/>
      <c r="L701" s="21"/>
      <c r="M701" s="21"/>
      <c r="N701" s="21"/>
      <c r="O701" s="21"/>
      <c r="P701" s="21"/>
      <c r="Q701" s="19"/>
      <c r="R701" s="19"/>
      <c r="S701" s="19"/>
      <c r="T701" s="19"/>
      <c r="U701" s="19"/>
      <c r="V701" s="19"/>
      <c r="W701" s="19"/>
      <c r="X701" s="19"/>
      <c r="Y701" s="19"/>
      <c r="Z701" s="19"/>
    </row>
    <row r="702">
      <c r="A702" s="21"/>
      <c r="B702" s="21"/>
      <c r="C702" s="21"/>
      <c r="D702" s="21"/>
      <c r="E702" s="21"/>
      <c r="F702" s="21"/>
      <c r="G702" s="21"/>
      <c r="H702" s="2"/>
      <c r="I702" s="21"/>
      <c r="J702" s="21"/>
      <c r="K702" s="21"/>
      <c r="L702" s="21"/>
      <c r="M702" s="21"/>
      <c r="N702" s="21"/>
      <c r="O702" s="21"/>
      <c r="P702" s="21"/>
      <c r="Q702" s="19"/>
      <c r="R702" s="19"/>
      <c r="S702" s="19"/>
      <c r="T702" s="19"/>
      <c r="U702" s="19"/>
      <c r="V702" s="19"/>
      <c r="W702" s="19"/>
      <c r="X702" s="19"/>
      <c r="Y702" s="19"/>
      <c r="Z702" s="19"/>
    </row>
    <row r="703">
      <c r="A703" s="21"/>
      <c r="B703" s="21"/>
      <c r="C703" s="21"/>
      <c r="D703" s="21"/>
      <c r="E703" s="21"/>
      <c r="F703" s="21"/>
      <c r="G703" s="21"/>
      <c r="H703" s="2"/>
      <c r="I703" s="21"/>
      <c r="J703" s="21"/>
      <c r="K703" s="21"/>
      <c r="L703" s="21"/>
      <c r="M703" s="21"/>
      <c r="N703" s="21"/>
      <c r="O703" s="21"/>
      <c r="P703" s="21"/>
      <c r="Q703" s="19"/>
      <c r="R703" s="19"/>
      <c r="S703" s="19"/>
      <c r="T703" s="19"/>
      <c r="U703" s="19"/>
      <c r="V703" s="19"/>
      <c r="W703" s="19"/>
      <c r="X703" s="19"/>
      <c r="Y703" s="19"/>
      <c r="Z703" s="19"/>
    </row>
    <row r="704">
      <c r="A704" s="21"/>
      <c r="B704" s="21"/>
      <c r="C704" s="21"/>
      <c r="D704" s="21"/>
      <c r="E704" s="21"/>
      <c r="F704" s="21"/>
      <c r="G704" s="21"/>
      <c r="H704" s="2"/>
      <c r="I704" s="21"/>
      <c r="J704" s="21"/>
      <c r="K704" s="21"/>
      <c r="L704" s="21"/>
      <c r="M704" s="21"/>
      <c r="N704" s="21"/>
      <c r="O704" s="21"/>
      <c r="P704" s="21"/>
      <c r="Q704" s="19"/>
      <c r="R704" s="19"/>
      <c r="S704" s="19"/>
      <c r="T704" s="19"/>
      <c r="U704" s="19"/>
      <c r="V704" s="19"/>
      <c r="W704" s="19"/>
      <c r="X704" s="19"/>
      <c r="Y704" s="19"/>
      <c r="Z704" s="19"/>
    </row>
    <row r="705">
      <c r="A705" s="21"/>
      <c r="B705" s="21"/>
      <c r="C705" s="21"/>
      <c r="D705" s="21"/>
      <c r="E705" s="21"/>
      <c r="F705" s="21"/>
      <c r="G705" s="21"/>
      <c r="H705" s="2"/>
      <c r="I705" s="21"/>
      <c r="J705" s="21"/>
      <c r="K705" s="21"/>
      <c r="L705" s="21"/>
      <c r="M705" s="21"/>
      <c r="N705" s="21"/>
      <c r="O705" s="21"/>
      <c r="P705" s="21"/>
      <c r="Q705" s="19"/>
      <c r="R705" s="19"/>
      <c r="S705" s="19"/>
      <c r="T705" s="19"/>
      <c r="U705" s="19"/>
      <c r="V705" s="19"/>
      <c r="W705" s="19"/>
      <c r="X705" s="19"/>
      <c r="Y705" s="19"/>
      <c r="Z705" s="19"/>
    </row>
    <row r="706">
      <c r="A706" s="21"/>
      <c r="B706" s="21"/>
      <c r="C706" s="21"/>
      <c r="D706" s="21"/>
      <c r="E706" s="21"/>
      <c r="F706" s="21"/>
      <c r="G706" s="21"/>
      <c r="H706" s="2"/>
      <c r="I706" s="21"/>
      <c r="J706" s="21"/>
      <c r="K706" s="21"/>
      <c r="L706" s="21"/>
      <c r="M706" s="21"/>
      <c r="N706" s="21"/>
      <c r="O706" s="21"/>
      <c r="P706" s="21"/>
      <c r="Q706" s="19"/>
      <c r="R706" s="19"/>
      <c r="S706" s="19"/>
      <c r="T706" s="19"/>
      <c r="U706" s="19"/>
      <c r="V706" s="19"/>
      <c r="W706" s="19"/>
      <c r="X706" s="19"/>
      <c r="Y706" s="19"/>
      <c r="Z706" s="19"/>
    </row>
    <row r="707">
      <c r="A707" s="21"/>
      <c r="B707" s="21"/>
      <c r="C707" s="21"/>
      <c r="D707" s="21"/>
      <c r="E707" s="21"/>
      <c r="F707" s="21"/>
      <c r="G707" s="21"/>
      <c r="H707" s="2"/>
      <c r="I707" s="21"/>
      <c r="J707" s="21"/>
      <c r="K707" s="21"/>
      <c r="L707" s="21"/>
      <c r="M707" s="21"/>
      <c r="N707" s="21"/>
      <c r="O707" s="21"/>
      <c r="P707" s="21"/>
      <c r="Q707" s="19"/>
      <c r="R707" s="19"/>
      <c r="S707" s="19"/>
      <c r="T707" s="19"/>
      <c r="U707" s="19"/>
      <c r="V707" s="19"/>
      <c r="W707" s="19"/>
      <c r="X707" s="19"/>
      <c r="Y707" s="19"/>
      <c r="Z707" s="19"/>
    </row>
    <row r="708">
      <c r="A708" s="21"/>
      <c r="B708" s="21"/>
      <c r="C708" s="21"/>
      <c r="D708" s="21"/>
      <c r="E708" s="21"/>
      <c r="F708" s="21"/>
      <c r="G708" s="21"/>
      <c r="H708" s="2"/>
      <c r="I708" s="21"/>
      <c r="J708" s="21"/>
      <c r="K708" s="21"/>
      <c r="L708" s="21"/>
      <c r="M708" s="21"/>
      <c r="N708" s="21"/>
      <c r="O708" s="21"/>
      <c r="P708" s="21"/>
      <c r="Q708" s="19"/>
      <c r="R708" s="19"/>
      <c r="S708" s="19"/>
      <c r="T708" s="19"/>
      <c r="U708" s="19"/>
      <c r="V708" s="19"/>
      <c r="W708" s="19"/>
      <c r="X708" s="19"/>
      <c r="Y708" s="19"/>
      <c r="Z708" s="19"/>
    </row>
    <row r="709">
      <c r="A709" s="21"/>
      <c r="B709" s="21"/>
      <c r="C709" s="21"/>
      <c r="D709" s="21"/>
      <c r="E709" s="21"/>
      <c r="F709" s="21"/>
      <c r="G709" s="21"/>
      <c r="H709" s="2"/>
      <c r="I709" s="21"/>
      <c r="J709" s="21"/>
      <c r="K709" s="21"/>
      <c r="L709" s="21"/>
      <c r="M709" s="21"/>
      <c r="N709" s="21"/>
      <c r="O709" s="21"/>
      <c r="P709" s="21"/>
      <c r="Q709" s="19"/>
      <c r="R709" s="19"/>
      <c r="S709" s="19"/>
      <c r="T709" s="19"/>
      <c r="U709" s="19"/>
      <c r="V709" s="19"/>
      <c r="W709" s="19"/>
      <c r="X709" s="19"/>
      <c r="Y709" s="19"/>
      <c r="Z709" s="19"/>
    </row>
    <row r="710">
      <c r="A710" s="21"/>
      <c r="B710" s="21"/>
      <c r="C710" s="21"/>
      <c r="D710" s="21"/>
      <c r="E710" s="21"/>
      <c r="F710" s="21"/>
      <c r="G710" s="21"/>
      <c r="H710" s="2"/>
      <c r="I710" s="21"/>
      <c r="J710" s="21"/>
      <c r="K710" s="21"/>
      <c r="L710" s="21"/>
      <c r="M710" s="21"/>
      <c r="N710" s="21"/>
      <c r="O710" s="21"/>
      <c r="P710" s="21"/>
      <c r="Q710" s="19"/>
      <c r="R710" s="19"/>
      <c r="S710" s="19"/>
      <c r="T710" s="19"/>
      <c r="U710" s="19"/>
      <c r="V710" s="19"/>
      <c r="W710" s="19"/>
      <c r="X710" s="19"/>
      <c r="Y710" s="19"/>
      <c r="Z710" s="19"/>
    </row>
    <row r="711">
      <c r="A711" s="21"/>
      <c r="B711" s="21"/>
      <c r="C711" s="21"/>
      <c r="D711" s="21"/>
      <c r="E711" s="21"/>
      <c r="F711" s="21"/>
      <c r="G711" s="21"/>
      <c r="H711" s="2"/>
      <c r="I711" s="21"/>
      <c r="J711" s="21"/>
      <c r="K711" s="21"/>
      <c r="L711" s="21"/>
      <c r="M711" s="21"/>
      <c r="N711" s="21"/>
      <c r="O711" s="21"/>
      <c r="P711" s="21"/>
      <c r="Q711" s="19"/>
      <c r="R711" s="19"/>
      <c r="S711" s="19"/>
      <c r="T711" s="19"/>
      <c r="U711" s="19"/>
      <c r="V711" s="19"/>
      <c r="W711" s="19"/>
      <c r="X711" s="19"/>
      <c r="Y711" s="19"/>
      <c r="Z711" s="19"/>
    </row>
    <row r="712">
      <c r="A712" s="21"/>
      <c r="B712" s="21"/>
      <c r="C712" s="21"/>
      <c r="D712" s="21"/>
      <c r="E712" s="21"/>
      <c r="F712" s="21"/>
      <c r="G712" s="21"/>
      <c r="H712" s="2"/>
      <c r="I712" s="21"/>
      <c r="J712" s="21"/>
      <c r="K712" s="21"/>
      <c r="L712" s="21"/>
      <c r="M712" s="21"/>
      <c r="N712" s="21"/>
      <c r="O712" s="21"/>
      <c r="P712" s="21"/>
      <c r="Q712" s="19"/>
      <c r="R712" s="19"/>
      <c r="S712" s="19"/>
      <c r="T712" s="19"/>
      <c r="U712" s="19"/>
      <c r="V712" s="19"/>
      <c r="W712" s="19"/>
      <c r="X712" s="19"/>
      <c r="Y712" s="19"/>
      <c r="Z712" s="19"/>
    </row>
    <row r="713">
      <c r="A713" s="21"/>
      <c r="B713" s="21"/>
      <c r="C713" s="21"/>
      <c r="D713" s="21"/>
      <c r="E713" s="21"/>
      <c r="F713" s="21"/>
      <c r="G713" s="21"/>
      <c r="H713" s="2"/>
      <c r="I713" s="21"/>
      <c r="J713" s="21"/>
      <c r="K713" s="21"/>
      <c r="L713" s="21"/>
      <c r="M713" s="21"/>
      <c r="N713" s="21"/>
      <c r="O713" s="21"/>
      <c r="P713" s="21"/>
      <c r="Q713" s="19"/>
      <c r="R713" s="19"/>
      <c r="S713" s="19"/>
      <c r="T713" s="19"/>
      <c r="U713" s="19"/>
      <c r="V713" s="19"/>
      <c r="W713" s="19"/>
      <c r="X713" s="19"/>
      <c r="Y713" s="19"/>
      <c r="Z713" s="19"/>
    </row>
    <row r="714">
      <c r="A714" s="21"/>
      <c r="B714" s="21"/>
      <c r="C714" s="21"/>
      <c r="D714" s="21"/>
      <c r="E714" s="21"/>
      <c r="F714" s="21"/>
      <c r="G714" s="21"/>
      <c r="H714" s="2"/>
      <c r="I714" s="21"/>
      <c r="J714" s="21"/>
      <c r="K714" s="21"/>
      <c r="L714" s="21"/>
      <c r="M714" s="21"/>
      <c r="N714" s="21"/>
      <c r="O714" s="21"/>
      <c r="P714" s="21"/>
      <c r="Q714" s="19"/>
      <c r="R714" s="19"/>
      <c r="S714" s="19"/>
      <c r="T714" s="19"/>
      <c r="U714" s="19"/>
      <c r="V714" s="19"/>
      <c r="W714" s="19"/>
      <c r="X714" s="19"/>
      <c r="Y714" s="19"/>
      <c r="Z714" s="19"/>
    </row>
    <row r="715">
      <c r="A715" s="21"/>
      <c r="B715" s="21"/>
      <c r="C715" s="21"/>
      <c r="D715" s="21"/>
      <c r="E715" s="21"/>
      <c r="F715" s="21"/>
      <c r="G715" s="21"/>
      <c r="H715" s="2"/>
      <c r="I715" s="21"/>
      <c r="J715" s="21"/>
      <c r="K715" s="21"/>
      <c r="L715" s="21"/>
      <c r="M715" s="21"/>
      <c r="N715" s="21"/>
      <c r="O715" s="21"/>
      <c r="P715" s="21"/>
      <c r="Q715" s="19"/>
      <c r="R715" s="19"/>
      <c r="S715" s="19"/>
      <c r="T715" s="19"/>
      <c r="U715" s="19"/>
      <c r="V715" s="19"/>
      <c r="W715" s="19"/>
      <c r="X715" s="19"/>
      <c r="Y715" s="19"/>
      <c r="Z715" s="19"/>
    </row>
    <row r="716">
      <c r="A716" s="21"/>
      <c r="B716" s="21"/>
      <c r="C716" s="21"/>
      <c r="D716" s="21"/>
      <c r="E716" s="21"/>
      <c r="F716" s="21"/>
      <c r="G716" s="21"/>
      <c r="H716" s="2"/>
      <c r="I716" s="21"/>
      <c r="J716" s="21"/>
      <c r="K716" s="21"/>
      <c r="L716" s="21"/>
      <c r="M716" s="21"/>
      <c r="N716" s="21"/>
      <c r="O716" s="21"/>
      <c r="P716" s="21"/>
      <c r="Q716" s="19"/>
      <c r="R716" s="19"/>
      <c r="S716" s="19"/>
      <c r="T716" s="19"/>
      <c r="U716" s="19"/>
      <c r="V716" s="19"/>
      <c r="W716" s="19"/>
      <c r="X716" s="19"/>
      <c r="Y716" s="19"/>
      <c r="Z716" s="19"/>
    </row>
    <row r="717">
      <c r="A717" s="21"/>
      <c r="B717" s="21"/>
      <c r="C717" s="21"/>
      <c r="D717" s="21"/>
      <c r="E717" s="21"/>
      <c r="F717" s="21"/>
      <c r="G717" s="21"/>
      <c r="H717" s="2"/>
      <c r="I717" s="21"/>
      <c r="J717" s="21"/>
      <c r="K717" s="21"/>
      <c r="L717" s="21"/>
      <c r="M717" s="21"/>
      <c r="N717" s="21"/>
      <c r="O717" s="21"/>
      <c r="P717" s="21"/>
      <c r="Q717" s="19"/>
      <c r="R717" s="19"/>
      <c r="S717" s="19"/>
      <c r="T717" s="19"/>
      <c r="U717" s="19"/>
      <c r="V717" s="19"/>
      <c r="W717" s="19"/>
      <c r="X717" s="19"/>
      <c r="Y717" s="19"/>
      <c r="Z717" s="19"/>
    </row>
    <row r="718">
      <c r="A718" s="21"/>
      <c r="B718" s="21"/>
      <c r="C718" s="21"/>
      <c r="D718" s="21"/>
      <c r="E718" s="21"/>
      <c r="F718" s="21"/>
      <c r="G718" s="21"/>
      <c r="H718" s="2"/>
      <c r="I718" s="21"/>
      <c r="J718" s="21"/>
      <c r="K718" s="21"/>
      <c r="L718" s="21"/>
      <c r="M718" s="21"/>
      <c r="N718" s="21"/>
      <c r="O718" s="21"/>
      <c r="P718" s="21"/>
      <c r="Q718" s="19"/>
      <c r="R718" s="19"/>
      <c r="S718" s="19"/>
      <c r="T718" s="19"/>
      <c r="U718" s="19"/>
      <c r="V718" s="19"/>
      <c r="W718" s="19"/>
      <c r="X718" s="19"/>
      <c r="Y718" s="19"/>
      <c r="Z718" s="19"/>
    </row>
    <row r="719">
      <c r="A719" s="21"/>
      <c r="B719" s="21"/>
      <c r="C719" s="21"/>
      <c r="D719" s="21"/>
      <c r="E719" s="21"/>
      <c r="F719" s="21"/>
      <c r="G719" s="21"/>
      <c r="H719" s="2"/>
      <c r="I719" s="21"/>
      <c r="J719" s="21"/>
      <c r="K719" s="21"/>
      <c r="L719" s="21"/>
      <c r="M719" s="21"/>
      <c r="N719" s="21"/>
      <c r="O719" s="21"/>
      <c r="P719" s="21"/>
      <c r="Q719" s="19"/>
      <c r="R719" s="19"/>
      <c r="S719" s="19"/>
      <c r="T719" s="19"/>
      <c r="U719" s="19"/>
      <c r="V719" s="19"/>
      <c r="W719" s="19"/>
      <c r="X719" s="19"/>
      <c r="Y719" s="19"/>
      <c r="Z719" s="19"/>
    </row>
    <row r="720">
      <c r="A720" s="21"/>
      <c r="B720" s="21"/>
      <c r="C720" s="21"/>
      <c r="D720" s="21"/>
      <c r="E720" s="21"/>
      <c r="F720" s="21"/>
      <c r="G720" s="21"/>
      <c r="H720" s="2"/>
      <c r="I720" s="21"/>
      <c r="J720" s="21"/>
      <c r="K720" s="21"/>
      <c r="L720" s="21"/>
      <c r="M720" s="21"/>
      <c r="N720" s="21"/>
      <c r="O720" s="21"/>
      <c r="P720" s="21"/>
      <c r="Q720" s="19"/>
      <c r="R720" s="19"/>
      <c r="S720" s="19"/>
      <c r="T720" s="19"/>
      <c r="U720" s="19"/>
      <c r="V720" s="19"/>
      <c r="W720" s="19"/>
      <c r="X720" s="19"/>
      <c r="Y720" s="19"/>
      <c r="Z720" s="19"/>
    </row>
    <row r="721">
      <c r="A721" s="21"/>
      <c r="B721" s="21"/>
      <c r="C721" s="21"/>
      <c r="D721" s="21"/>
      <c r="E721" s="21"/>
      <c r="F721" s="21"/>
      <c r="G721" s="21"/>
      <c r="H721" s="2"/>
      <c r="I721" s="21"/>
      <c r="J721" s="21"/>
      <c r="K721" s="21"/>
      <c r="L721" s="21"/>
      <c r="M721" s="21"/>
      <c r="N721" s="21"/>
      <c r="O721" s="21"/>
      <c r="P721" s="21"/>
      <c r="Q721" s="19"/>
      <c r="R721" s="19"/>
      <c r="S721" s="19"/>
      <c r="T721" s="19"/>
      <c r="U721" s="19"/>
      <c r="V721" s="19"/>
      <c r="W721" s="19"/>
      <c r="X721" s="19"/>
      <c r="Y721" s="19"/>
      <c r="Z721" s="19"/>
    </row>
    <row r="722">
      <c r="A722" s="21"/>
      <c r="B722" s="21"/>
      <c r="C722" s="21"/>
      <c r="D722" s="21"/>
      <c r="E722" s="21"/>
      <c r="F722" s="21"/>
      <c r="G722" s="21"/>
      <c r="H722" s="2"/>
      <c r="I722" s="21"/>
      <c r="J722" s="21"/>
      <c r="K722" s="21"/>
      <c r="L722" s="21"/>
      <c r="M722" s="21"/>
      <c r="N722" s="21"/>
      <c r="O722" s="21"/>
      <c r="P722" s="21"/>
      <c r="Q722" s="19"/>
      <c r="R722" s="19"/>
      <c r="S722" s="19"/>
      <c r="T722" s="19"/>
      <c r="U722" s="19"/>
      <c r="V722" s="19"/>
      <c r="W722" s="19"/>
      <c r="X722" s="19"/>
      <c r="Y722" s="19"/>
      <c r="Z722" s="19"/>
    </row>
    <row r="723">
      <c r="A723" s="21"/>
      <c r="B723" s="21"/>
      <c r="C723" s="21"/>
      <c r="D723" s="21"/>
      <c r="E723" s="21"/>
      <c r="F723" s="21"/>
      <c r="G723" s="21"/>
      <c r="H723" s="2"/>
      <c r="I723" s="21"/>
      <c r="J723" s="21"/>
      <c r="K723" s="21"/>
      <c r="L723" s="21"/>
      <c r="M723" s="21"/>
      <c r="N723" s="21"/>
      <c r="O723" s="21"/>
      <c r="P723" s="21"/>
      <c r="Q723" s="19"/>
      <c r="R723" s="19"/>
      <c r="S723" s="19"/>
      <c r="T723" s="19"/>
      <c r="U723" s="19"/>
      <c r="V723" s="19"/>
      <c r="W723" s="19"/>
      <c r="X723" s="19"/>
      <c r="Y723" s="19"/>
      <c r="Z723" s="19"/>
    </row>
    <row r="724">
      <c r="A724" s="21"/>
      <c r="B724" s="21"/>
      <c r="C724" s="21"/>
      <c r="D724" s="21"/>
      <c r="E724" s="21"/>
      <c r="F724" s="21"/>
      <c r="G724" s="21"/>
      <c r="H724" s="2"/>
      <c r="I724" s="21"/>
      <c r="J724" s="21"/>
      <c r="K724" s="21"/>
      <c r="L724" s="21"/>
      <c r="M724" s="21"/>
      <c r="N724" s="21"/>
      <c r="O724" s="21"/>
      <c r="P724" s="21"/>
      <c r="Q724" s="19"/>
      <c r="R724" s="19"/>
      <c r="S724" s="19"/>
      <c r="T724" s="19"/>
      <c r="U724" s="19"/>
      <c r="V724" s="19"/>
      <c r="W724" s="19"/>
      <c r="X724" s="19"/>
      <c r="Y724" s="19"/>
      <c r="Z724" s="19"/>
    </row>
    <row r="725">
      <c r="A725" s="21"/>
      <c r="B725" s="21"/>
      <c r="C725" s="21"/>
      <c r="D725" s="21"/>
      <c r="E725" s="21"/>
      <c r="F725" s="21"/>
      <c r="G725" s="21"/>
      <c r="H725" s="2"/>
      <c r="I725" s="21"/>
      <c r="J725" s="21"/>
      <c r="K725" s="21"/>
      <c r="L725" s="21"/>
      <c r="M725" s="21"/>
      <c r="N725" s="21"/>
      <c r="O725" s="21"/>
      <c r="P725" s="21"/>
      <c r="Q725" s="19"/>
      <c r="R725" s="19"/>
      <c r="S725" s="19"/>
      <c r="T725" s="19"/>
      <c r="U725" s="19"/>
      <c r="V725" s="19"/>
      <c r="W725" s="19"/>
      <c r="X725" s="19"/>
      <c r="Y725" s="19"/>
      <c r="Z725" s="19"/>
    </row>
    <row r="726">
      <c r="A726" s="21"/>
      <c r="B726" s="21"/>
      <c r="C726" s="21"/>
      <c r="D726" s="21"/>
      <c r="E726" s="21"/>
      <c r="F726" s="21"/>
      <c r="G726" s="21"/>
      <c r="H726" s="2"/>
      <c r="I726" s="21"/>
      <c r="J726" s="21"/>
      <c r="K726" s="21"/>
      <c r="L726" s="21"/>
      <c r="M726" s="21"/>
      <c r="N726" s="21"/>
      <c r="O726" s="21"/>
      <c r="P726" s="21"/>
      <c r="Q726" s="19"/>
      <c r="R726" s="19"/>
      <c r="S726" s="19"/>
      <c r="T726" s="19"/>
      <c r="U726" s="19"/>
      <c r="V726" s="19"/>
      <c r="W726" s="19"/>
      <c r="X726" s="19"/>
      <c r="Y726" s="19"/>
      <c r="Z726" s="19"/>
    </row>
    <row r="727">
      <c r="A727" s="21"/>
      <c r="B727" s="21"/>
      <c r="C727" s="21"/>
      <c r="D727" s="21"/>
      <c r="E727" s="21"/>
      <c r="F727" s="21"/>
      <c r="G727" s="21"/>
      <c r="H727" s="2"/>
      <c r="I727" s="21"/>
      <c r="J727" s="21"/>
      <c r="K727" s="21"/>
      <c r="L727" s="21"/>
      <c r="M727" s="21"/>
      <c r="N727" s="21"/>
      <c r="O727" s="21"/>
      <c r="P727" s="21"/>
      <c r="Q727" s="19"/>
      <c r="R727" s="19"/>
      <c r="S727" s="19"/>
      <c r="T727" s="19"/>
      <c r="U727" s="19"/>
      <c r="V727" s="19"/>
      <c r="W727" s="19"/>
      <c r="X727" s="19"/>
      <c r="Y727" s="19"/>
      <c r="Z727" s="19"/>
    </row>
    <row r="728">
      <c r="A728" s="21"/>
      <c r="B728" s="21"/>
      <c r="C728" s="21"/>
      <c r="D728" s="21"/>
      <c r="E728" s="21"/>
      <c r="F728" s="21"/>
      <c r="G728" s="21"/>
      <c r="H728" s="2"/>
      <c r="I728" s="21"/>
      <c r="J728" s="21"/>
      <c r="K728" s="21"/>
      <c r="L728" s="21"/>
      <c r="M728" s="21"/>
      <c r="N728" s="21"/>
      <c r="O728" s="21"/>
      <c r="P728" s="21"/>
      <c r="Q728" s="19"/>
      <c r="R728" s="19"/>
      <c r="S728" s="19"/>
      <c r="T728" s="19"/>
      <c r="U728" s="19"/>
      <c r="V728" s="19"/>
      <c r="W728" s="19"/>
      <c r="X728" s="19"/>
      <c r="Y728" s="19"/>
      <c r="Z728" s="19"/>
    </row>
    <row r="729">
      <c r="A729" s="21"/>
      <c r="B729" s="21"/>
      <c r="C729" s="21"/>
      <c r="D729" s="21"/>
      <c r="E729" s="21"/>
      <c r="F729" s="21"/>
      <c r="G729" s="21"/>
      <c r="H729" s="2"/>
      <c r="I729" s="21"/>
      <c r="J729" s="21"/>
      <c r="K729" s="21"/>
      <c r="L729" s="21"/>
      <c r="M729" s="21"/>
      <c r="N729" s="21"/>
      <c r="O729" s="21"/>
      <c r="P729" s="21"/>
      <c r="Q729" s="19"/>
      <c r="R729" s="19"/>
      <c r="S729" s="19"/>
      <c r="T729" s="19"/>
      <c r="U729" s="19"/>
      <c r="V729" s="19"/>
      <c r="W729" s="19"/>
      <c r="X729" s="19"/>
      <c r="Y729" s="19"/>
      <c r="Z729" s="19"/>
    </row>
    <row r="730">
      <c r="A730" s="21"/>
      <c r="B730" s="21"/>
      <c r="C730" s="21"/>
      <c r="D730" s="21"/>
      <c r="E730" s="21"/>
      <c r="F730" s="21"/>
      <c r="G730" s="21"/>
      <c r="H730" s="2"/>
      <c r="I730" s="21"/>
      <c r="J730" s="21"/>
      <c r="K730" s="21"/>
      <c r="L730" s="21"/>
      <c r="M730" s="21"/>
      <c r="N730" s="21"/>
      <c r="O730" s="21"/>
      <c r="P730" s="21"/>
      <c r="Q730" s="19"/>
      <c r="R730" s="19"/>
      <c r="S730" s="19"/>
      <c r="T730" s="19"/>
      <c r="U730" s="19"/>
      <c r="V730" s="19"/>
      <c r="W730" s="19"/>
      <c r="X730" s="19"/>
      <c r="Y730" s="19"/>
      <c r="Z730" s="19"/>
    </row>
    <row r="731">
      <c r="A731" s="21"/>
      <c r="B731" s="21"/>
      <c r="C731" s="21"/>
      <c r="D731" s="21"/>
      <c r="E731" s="21"/>
      <c r="F731" s="21"/>
      <c r="G731" s="21"/>
      <c r="H731" s="2"/>
      <c r="I731" s="21"/>
      <c r="J731" s="21"/>
      <c r="K731" s="21"/>
      <c r="L731" s="21"/>
      <c r="M731" s="21"/>
      <c r="N731" s="21"/>
      <c r="O731" s="21"/>
      <c r="P731" s="21"/>
      <c r="Q731" s="19"/>
      <c r="R731" s="19"/>
      <c r="S731" s="19"/>
      <c r="T731" s="19"/>
      <c r="U731" s="19"/>
      <c r="V731" s="19"/>
      <c r="W731" s="19"/>
      <c r="X731" s="19"/>
      <c r="Y731" s="19"/>
      <c r="Z731" s="19"/>
    </row>
    <row r="732">
      <c r="A732" s="21"/>
      <c r="B732" s="21"/>
      <c r="C732" s="21"/>
      <c r="D732" s="21"/>
      <c r="E732" s="21"/>
      <c r="F732" s="21"/>
      <c r="G732" s="21"/>
      <c r="H732" s="2"/>
      <c r="I732" s="21"/>
      <c r="J732" s="21"/>
      <c r="K732" s="21"/>
      <c r="L732" s="21"/>
      <c r="M732" s="21"/>
      <c r="N732" s="21"/>
      <c r="O732" s="21"/>
      <c r="P732" s="21"/>
      <c r="Q732" s="19"/>
      <c r="R732" s="19"/>
      <c r="S732" s="19"/>
      <c r="T732" s="19"/>
      <c r="U732" s="19"/>
      <c r="V732" s="19"/>
      <c r="W732" s="19"/>
      <c r="X732" s="19"/>
      <c r="Y732" s="19"/>
      <c r="Z732" s="19"/>
    </row>
    <row r="733">
      <c r="A733" s="21"/>
      <c r="B733" s="21"/>
      <c r="C733" s="21"/>
      <c r="D733" s="21"/>
      <c r="E733" s="21"/>
      <c r="F733" s="21"/>
      <c r="G733" s="21"/>
      <c r="H733" s="2"/>
      <c r="I733" s="21"/>
      <c r="J733" s="21"/>
      <c r="K733" s="21"/>
      <c r="L733" s="21"/>
      <c r="M733" s="21"/>
      <c r="N733" s="21"/>
      <c r="O733" s="21"/>
      <c r="P733" s="21"/>
      <c r="Q733" s="19"/>
      <c r="R733" s="19"/>
      <c r="S733" s="19"/>
      <c r="T733" s="19"/>
      <c r="U733" s="19"/>
      <c r="V733" s="19"/>
      <c r="W733" s="19"/>
      <c r="X733" s="19"/>
      <c r="Y733" s="19"/>
      <c r="Z733" s="19"/>
    </row>
    <row r="734">
      <c r="A734" s="21"/>
      <c r="B734" s="21"/>
      <c r="C734" s="21"/>
      <c r="D734" s="21"/>
      <c r="E734" s="21"/>
      <c r="F734" s="21"/>
      <c r="G734" s="21"/>
      <c r="H734" s="2"/>
      <c r="I734" s="21"/>
      <c r="J734" s="21"/>
      <c r="K734" s="21"/>
      <c r="L734" s="21"/>
      <c r="M734" s="21"/>
      <c r="N734" s="21"/>
      <c r="O734" s="21"/>
      <c r="P734" s="21"/>
      <c r="Q734" s="19"/>
      <c r="R734" s="19"/>
      <c r="S734" s="19"/>
      <c r="T734" s="19"/>
      <c r="U734" s="19"/>
      <c r="V734" s="19"/>
      <c r="W734" s="19"/>
      <c r="X734" s="19"/>
      <c r="Y734" s="19"/>
      <c r="Z734" s="19"/>
    </row>
    <row r="735">
      <c r="A735" s="21"/>
      <c r="B735" s="21"/>
      <c r="C735" s="21"/>
      <c r="D735" s="21"/>
      <c r="E735" s="21"/>
      <c r="F735" s="21"/>
      <c r="G735" s="21"/>
      <c r="H735" s="2"/>
      <c r="I735" s="21"/>
      <c r="J735" s="21"/>
      <c r="K735" s="21"/>
      <c r="L735" s="21"/>
      <c r="M735" s="21"/>
      <c r="N735" s="21"/>
      <c r="O735" s="21"/>
      <c r="P735" s="21"/>
      <c r="Q735" s="19"/>
      <c r="R735" s="19"/>
      <c r="S735" s="19"/>
      <c r="T735" s="19"/>
      <c r="U735" s="19"/>
      <c r="V735" s="19"/>
      <c r="W735" s="19"/>
      <c r="X735" s="19"/>
      <c r="Y735" s="19"/>
      <c r="Z735" s="19"/>
    </row>
    <row r="736">
      <c r="A736" s="21"/>
      <c r="B736" s="21"/>
      <c r="C736" s="21"/>
      <c r="D736" s="21"/>
      <c r="E736" s="21"/>
      <c r="F736" s="21"/>
      <c r="G736" s="21"/>
      <c r="H736" s="2"/>
      <c r="I736" s="21"/>
      <c r="J736" s="21"/>
      <c r="K736" s="21"/>
      <c r="L736" s="21"/>
      <c r="M736" s="21"/>
      <c r="N736" s="21"/>
      <c r="O736" s="21"/>
      <c r="P736" s="21"/>
      <c r="Q736" s="19"/>
      <c r="R736" s="19"/>
      <c r="S736" s="19"/>
      <c r="T736" s="19"/>
      <c r="U736" s="19"/>
      <c r="V736" s="19"/>
      <c r="W736" s="19"/>
      <c r="X736" s="19"/>
      <c r="Y736" s="19"/>
      <c r="Z736" s="19"/>
    </row>
    <row r="737">
      <c r="A737" s="21"/>
      <c r="B737" s="21"/>
      <c r="C737" s="21"/>
      <c r="D737" s="21"/>
      <c r="E737" s="21"/>
      <c r="F737" s="21"/>
      <c r="G737" s="21"/>
      <c r="H737" s="2"/>
      <c r="I737" s="21"/>
      <c r="J737" s="21"/>
      <c r="K737" s="21"/>
      <c r="L737" s="21"/>
      <c r="M737" s="21"/>
      <c r="N737" s="21"/>
      <c r="O737" s="21"/>
      <c r="P737" s="21"/>
      <c r="Q737" s="19"/>
      <c r="R737" s="19"/>
      <c r="S737" s="19"/>
      <c r="T737" s="19"/>
      <c r="U737" s="19"/>
      <c r="V737" s="19"/>
      <c r="W737" s="19"/>
      <c r="X737" s="19"/>
      <c r="Y737" s="19"/>
      <c r="Z737" s="19"/>
    </row>
    <row r="738">
      <c r="A738" s="21"/>
      <c r="B738" s="21"/>
      <c r="C738" s="21"/>
      <c r="D738" s="21"/>
      <c r="E738" s="21"/>
      <c r="F738" s="21"/>
      <c r="G738" s="21"/>
      <c r="H738" s="2"/>
      <c r="I738" s="21"/>
      <c r="J738" s="21"/>
      <c r="K738" s="21"/>
      <c r="L738" s="21"/>
      <c r="M738" s="21"/>
      <c r="N738" s="21"/>
      <c r="O738" s="21"/>
      <c r="P738" s="21"/>
      <c r="Q738" s="19"/>
      <c r="R738" s="19"/>
      <c r="S738" s="19"/>
      <c r="T738" s="19"/>
      <c r="U738" s="19"/>
      <c r="V738" s="19"/>
      <c r="W738" s="19"/>
      <c r="X738" s="19"/>
      <c r="Y738" s="19"/>
      <c r="Z738" s="19"/>
    </row>
    <row r="739">
      <c r="A739" s="21"/>
      <c r="B739" s="21"/>
      <c r="C739" s="21"/>
      <c r="D739" s="21"/>
      <c r="E739" s="21"/>
      <c r="F739" s="21"/>
      <c r="G739" s="21"/>
      <c r="H739" s="2"/>
      <c r="I739" s="21"/>
      <c r="J739" s="21"/>
      <c r="K739" s="21"/>
      <c r="L739" s="21"/>
      <c r="M739" s="21"/>
      <c r="N739" s="21"/>
      <c r="O739" s="21"/>
      <c r="P739" s="21"/>
      <c r="Q739" s="19"/>
      <c r="R739" s="19"/>
      <c r="S739" s="19"/>
      <c r="T739" s="19"/>
      <c r="U739" s="19"/>
      <c r="V739" s="19"/>
      <c r="W739" s="19"/>
      <c r="X739" s="19"/>
      <c r="Y739" s="19"/>
      <c r="Z739" s="19"/>
    </row>
    <row r="740">
      <c r="A740" s="21"/>
      <c r="B740" s="21"/>
      <c r="C740" s="21"/>
      <c r="D740" s="21"/>
      <c r="E740" s="21"/>
      <c r="F740" s="21"/>
      <c r="G740" s="21"/>
      <c r="H740" s="2"/>
      <c r="I740" s="21"/>
      <c r="J740" s="21"/>
      <c r="K740" s="21"/>
      <c r="L740" s="21"/>
      <c r="M740" s="21"/>
      <c r="N740" s="21"/>
      <c r="O740" s="21"/>
      <c r="P740" s="21"/>
      <c r="Q740" s="19"/>
      <c r="R740" s="19"/>
      <c r="S740" s="19"/>
      <c r="T740" s="19"/>
      <c r="U740" s="19"/>
      <c r="V740" s="19"/>
      <c r="W740" s="19"/>
      <c r="X740" s="19"/>
      <c r="Y740" s="19"/>
      <c r="Z740" s="19"/>
    </row>
    <row r="741">
      <c r="A741" s="21"/>
      <c r="B741" s="21"/>
      <c r="C741" s="21"/>
      <c r="D741" s="21"/>
      <c r="E741" s="21"/>
      <c r="F741" s="21"/>
      <c r="G741" s="21"/>
      <c r="H741" s="2"/>
      <c r="I741" s="21"/>
      <c r="J741" s="21"/>
      <c r="K741" s="21"/>
      <c r="L741" s="21"/>
      <c r="M741" s="21"/>
      <c r="N741" s="21"/>
      <c r="O741" s="21"/>
      <c r="P741" s="21"/>
      <c r="Q741" s="19"/>
      <c r="R741" s="19"/>
      <c r="S741" s="19"/>
      <c r="T741" s="19"/>
      <c r="U741" s="19"/>
      <c r="V741" s="19"/>
      <c r="W741" s="19"/>
      <c r="X741" s="19"/>
      <c r="Y741" s="19"/>
      <c r="Z741" s="19"/>
    </row>
    <row r="742">
      <c r="A742" s="21"/>
      <c r="B742" s="21"/>
      <c r="C742" s="21"/>
      <c r="D742" s="21"/>
      <c r="E742" s="21"/>
      <c r="F742" s="21"/>
      <c r="G742" s="21"/>
      <c r="H742" s="2"/>
      <c r="I742" s="21"/>
      <c r="J742" s="21"/>
      <c r="K742" s="21"/>
      <c r="L742" s="21"/>
      <c r="M742" s="21"/>
      <c r="N742" s="21"/>
      <c r="O742" s="21"/>
      <c r="P742" s="21"/>
      <c r="Q742" s="19"/>
      <c r="R742" s="19"/>
      <c r="S742" s="19"/>
      <c r="T742" s="19"/>
      <c r="U742" s="19"/>
      <c r="V742" s="19"/>
      <c r="W742" s="19"/>
      <c r="X742" s="19"/>
      <c r="Y742" s="19"/>
      <c r="Z742" s="19"/>
    </row>
    <row r="743">
      <c r="A743" s="21"/>
      <c r="B743" s="21"/>
      <c r="C743" s="21"/>
      <c r="D743" s="21"/>
      <c r="E743" s="21"/>
      <c r="F743" s="21"/>
      <c r="G743" s="21"/>
      <c r="H743" s="2"/>
      <c r="I743" s="21"/>
      <c r="J743" s="21"/>
      <c r="K743" s="21"/>
      <c r="L743" s="21"/>
      <c r="M743" s="21"/>
      <c r="N743" s="21"/>
      <c r="O743" s="21"/>
      <c r="P743" s="21"/>
      <c r="Q743" s="19"/>
      <c r="R743" s="19"/>
      <c r="S743" s="19"/>
      <c r="T743" s="19"/>
      <c r="U743" s="19"/>
      <c r="V743" s="19"/>
      <c r="W743" s="19"/>
      <c r="X743" s="19"/>
      <c r="Y743" s="19"/>
      <c r="Z743" s="19"/>
    </row>
    <row r="744">
      <c r="A744" s="21"/>
      <c r="B744" s="21"/>
      <c r="C744" s="21"/>
      <c r="D744" s="21"/>
      <c r="E744" s="21"/>
      <c r="F744" s="21"/>
      <c r="G744" s="21"/>
      <c r="H744" s="2"/>
      <c r="I744" s="21"/>
      <c r="J744" s="21"/>
      <c r="K744" s="21"/>
      <c r="L744" s="21"/>
      <c r="M744" s="21"/>
      <c r="N744" s="21"/>
      <c r="O744" s="21"/>
      <c r="P744" s="21"/>
      <c r="Q744" s="19"/>
      <c r="R744" s="19"/>
      <c r="S744" s="19"/>
      <c r="T744" s="19"/>
      <c r="U744" s="19"/>
      <c r="V744" s="19"/>
      <c r="W744" s="19"/>
      <c r="X744" s="19"/>
      <c r="Y744" s="19"/>
      <c r="Z744" s="19"/>
    </row>
    <row r="745">
      <c r="A745" s="21"/>
      <c r="B745" s="21"/>
      <c r="C745" s="21"/>
      <c r="D745" s="21"/>
      <c r="E745" s="21"/>
      <c r="F745" s="21"/>
      <c r="G745" s="21"/>
      <c r="H745" s="2"/>
      <c r="I745" s="21"/>
      <c r="J745" s="21"/>
      <c r="K745" s="21"/>
      <c r="L745" s="21"/>
      <c r="M745" s="21"/>
      <c r="N745" s="21"/>
      <c r="O745" s="21"/>
      <c r="P745" s="21"/>
      <c r="Q745" s="19"/>
      <c r="R745" s="19"/>
      <c r="S745" s="19"/>
      <c r="T745" s="19"/>
      <c r="U745" s="19"/>
      <c r="V745" s="19"/>
      <c r="W745" s="19"/>
      <c r="X745" s="19"/>
      <c r="Y745" s="19"/>
      <c r="Z745" s="19"/>
    </row>
    <row r="746">
      <c r="A746" s="21"/>
      <c r="B746" s="21"/>
      <c r="C746" s="21"/>
      <c r="D746" s="21"/>
      <c r="E746" s="21"/>
      <c r="F746" s="21"/>
      <c r="G746" s="21"/>
      <c r="H746" s="2"/>
      <c r="I746" s="21"/>
      <c r="J746" s="21"/>
      <c r="K746" s="21"/>
      <c r="L746" s="21"/>
      <c r="M746" s="21"/>
      <c r="N746" s="21"/>
      <c r="O746" s="21"/>
      <c r="P746" s="21"/>
      <c r="Q746" s="19"/>
      <c r="R746" s="19"/>
      <c r="S746" s="19"/>
      <c r="T746" s="19"/>
      <c r="U746" s="19"/>
      <c r="V746" s="19"/>
      <c r="W746" s="19"/>
      <c r="X746" s="19"/>
      <c r="Y746" s="19"/>
      <c r="Z746" s="19"/>
    </row>
    <row r="747">
      <c r="A747" s="21"/>
      <c r="B747" s="21"/>
      <c r="C747" s="21"/>
      <c r="D747" s="21"/>
      <c r="E747" s="21"/>
      <c r="F747" s="21"/>
      <c r="G747" s="21"/>
      <c r="H747" s="2"/>
      <c r="I747" s="21"/>
      <c r="J747" s="21"/>
      <c r="K747" s="21"/>
      <c r="L747" s="21"/>
      <c r="M747" s="21"/>
      <c r="N747" s="21"/>
      <c r="O747" s="21"/>
      <c r="P747" s="21"/>
      <c r="Q747" s="19"/>
      <c r="R747" s="19"/>
      <c r="S747" s="19"/>
      <c r="T747" s="19"/>
      <c r="U747" s="19"/>
      <c r="V747" s="19"/>
      <c r="W747" s="19"/>
      <c r="X747" s="19"/>
      <c r="Y747" s="19"/>
      <c r="Z747" s="19"/>
    </row>
    <row r="748">
      <c r="A748" s="21"/>
      <c r="B748" s="21"/>
      <c r="C748" s="21"/>
      <c r="D748" s="21"/>
      <c r="E748" s="21"/>
      <c r="F748" s="21"/>
      <c r="G748" s="21"/>
      <c r="H748" s="2"/>
      <c r="I748" s="21"/>
      <c r="J748" s="21"/>
      <c r="K748" s="21"/>
      <c r="L748" s="21"/>
      <c r="M748" s="21"/>
      <c r="N748" s="21"/>
      <c r="O748" s="21"/>
      <c r="P748" s="21"/>
      <c r="Q748" s="19"/>
      <c r="R748" s="19"/>
      <c r="S748" s="19"/>
      <c r="T748" s="19"/>
      <c r="U748" s="19"/>
      <c r="V748" s="19"/>
      <c r="W748" s="19"/>
      <c r="X748" s="19"/>
      <c r="Y748" s="19"/>
      <c r="Z748" s="19"/>
    </row>
    <row r="749">
      <c r="A749" s="21"/>
      <c r="B749" s="21"/>
      <c r="C749" s="21"/>
      <c r="D749" s="21"/>
      <c r="E749" s="21"/>
      <c r="F749" s="21"/>
      <c r="G749" s="21"/>
      <c r="H749" s="2"/>
      <c r="I749" s="21"/>
      <c r="J749" s="21"/>
      <c r="K749" s="21"/>
      <c r="L749" s="21"/>
      <c r="M749" s="21"/>
      <c r="N749" s="21"/>
      <c r="O749" s="21"/>
      <c r="P749" s="21"/>
      <c r="Q749" s="19"/>
      <c r="R749" s="19"/>
      <c r="S749" s="19"/>
      <c r="T749" s="19"/>
      <c r="U749" s="19"/>
      <c r="V749" s="19"/>
      <c r="W749" s="19"/>
      <c r="X749" s="19"/>
      <c r="Y749" s="19"/>
      <c r="Z749" s="19"/>
    </row>
    <row r="750">
      <c r="A750" s="21"/>
      <c r="B750" s="21"/>
      <c r="C750" s="21"/>
      <c r="D750" s="21"/>
      <c r="E750" s="21"/>
      <c r="F750" s="21"/>
      <c r="G750" s="21"/>
      <c r="H750" s="2"/>
      <c r="I750" s="21"/>
      <c r="J750" s="21"/>
      <c r="K750" s="21"/>
      <c r="L750" s="21"/>
      <c r="M750" s="21"/>
      <c r="N750" s="21"/>
      <c r="O750" s="21"/>
      <c r="P750" s="21"/>
      <c r="Q750" s="19"/>
      <c r="R750" s="19"/>
      <c r="S750" s="19"/>
      <c r="T750" s="19"/>
      <c r="U750" s="19"/>
      <c r="V750" s="19"/>
      <c r="W750" s="19"/>
      <c r="X750" s="19"/>
      <c r="Y750" s="19"/>
      <c r="Z750" s="19"/>
    </row>
    <row r="751">
      <c r="A751" s="21"/>
      <c r="B751" s="21"/>
      <c r="C751" s="21"/>
      <c r="D751" s="21"/>
      <c r="E751" s="21"/>
      <c r="F751" s="21"/>
      <c r="G751" s="21"/>
      <c r="H751" s="2"/>
      <c r="I751" s="21"/>
      <c r="J751" s="21"/>
      <c r="K751" s="21"/>
      <c r="L751" s="21"/>
      <c r="M751" s="21"/>
      <c r="N751" s="21"/>
      <c r="O751" s="21"/>
      <c r="P751" s="21"/>
      <c r="Q751" s="19"/>
      <c r="R751" s="19"/>
      <c r="S751" s="19"/>
      <c r="T751" s="19"/>
      <c r="U751" s="19"/>
      <c r="V751" s="19"/>
      <c r="W751" s="19"/>
      <c r="X751" s="19"/>
      <c r="Y751" s="19"/>
      <c r="Z751" s="19"/>
    </row>
    <row r="752">
      <c r="A752" s="21"/>
      <c r="B752" s="21"/>
      <c r="C752" s="21"/>
      <c r="D752" s="21"/>
      <c r="E752" s="21"/>
      <c r="F752" s="21"/>
      <c r="G752" s="21"/>
      <c r="H752" s="2"/>
      <c r="I752" s="21"/>
      <c r="J752" s="21"/>
      <c r="K752" s="21"/>
      <c r="L752" s="21"/>
      <c r="M752" s="21"/>
      <c r="N752" s="21"/>
      <c r="O752" s="21"/>
      <c r="P752" s="21"/>
      <c r="Q752" s="19"/>
      <c r="R752" s="19"/>
      <c r="S752" s="19"/>
      <c r="T752" s="19"/>
      <c r="U752" s="19"/>
      <c r="V752" s="19"/>
      <c r="W752" s="19"/>
      <c r="X752" s="19"/>
      <c r="Y752" s="19"/>
      <c r="Z752" s="19"/>
    </row>
    <row r="753">
      <c r="A753" s="21"/>
      <c r="B753" s="21"/>
      <c r="C753" s="21"/>
      <c r="D753" s="21"/>
      <c r="E753" s="21"/>
      <c r="F753" s="21"/>
      <c r="G753" s="21"/>
      <c r="H753" s="2"/>
      <c r="I753" s="21"/>
      <c r="J753" s="21"/>
      <c r="K753" s="21"/>
      <c r="L753" s="21"/>
      <c r="M753" s="21"/>
      <c r="N753" s="21"/>
      <c r="O753" s="21"/>
      <c r="P753" s="21"/>
      <c r="Q753" s="19"/>
      <c r="R753" s="19"/>
      <c r="S753" s="19"/>
      <c r="T753" s="19"/>
      <c r="U753" s="19"/>
      <c r="V753" s="19"/>
      <c r="W753" s="19"/>
      <c r="X753" s="19"/>
      <c r="Y753" s="19"/>
      <c r="Z753" s="19"/>
    </row>
    <row r="754">
      <c r="A754" s="21"/>
      <c r="B754" s="21"/>
      <c r="C754" s="21"/>
      <c r="D754" s="21"/>
      <c r="E754" s="21"/>
      <c r="F754" s="21"/>
      <c r="G754" s="21"/>
      <c r="H754" s="2"/>
      <c r="I754" s="21"/>
      <c r="J754" s="21"/>
      <c r="K754" s="21"/>
      <c r="L754" s="21"/>
      <c r="M754" s="21"/>
      <c r="N754" s="21"/>
      <c r="O754" s="21"/>
      <c r="P754" s="21"/>
      <c r="Q754" s="19"/>
      <c r="R754" s="19"/>
      <c r="S754" s="19"/>
      <c r="T754" s="19"/>
      <c r="U754" s="19"/>
      <c r="V754" s="19"/>
      <c r="W754" s="19"/>
      <c r="X754" s="19"/>
      <c r="Y754" s="19"/>
      <c r="Z754" s="19"/>
    </row>
    <row r="755">
      <c r="A755" s="21"/>
      <c r="B755" s="21"/>
      <c r="C755" s="21"/>
      <c r="D755" s="21"/>
      <c r="E755" s="21"/>
      <c r="F755" s="21"/>
      <c r="G755" s="21"/>
      <c r="H755" s="2"/>
      <c r="I755" s="21"/>
      <c r="J755" s="21"/>
      <c r="K755" s="21"/>
      <c r="L755" s="21"/>
      <c r="M755" s="21"/>
      <c r="N755" s="21"/>
      <c r="O755" s="21"/>
      <c r="P755" s="21"/>
      <c r="Q755" s="19"/>
      <c r="R755" s="19"/>
      <c r="S755" s="19"/>
      <c r="T755" s="19"/>
      <c r="U755" s="19"/>
      <c r="V755" s="19"/>
      <c r="W755" s="19"/>
      <c r="X755" s="19"/>
      <c r="Y755" s="19"/>
      <c r="Z755" s="19"/>
    </row>
    <row r="756">
      <c r="A756" s="21"/>
      <c r="B756" s="21"/>
      <c r="C756" s="21"/>
      <c r="D756" s="21"/>
      <c r="E756" s="21"/>
      <c r="F756" s="21"/>
      <c r="G756" s="21"/>
      <c r="H756" s="2"/>
      <c r="I756" s="21"/>
      <c r="J756" s="21"/>
      <c r="K756" s="21"/>
      <c r="L756" s="21"/>
      <c r="M756" s="21"/>
      <c r="N756" s="21"/>
      <c r="O756" s="21"/>
      <c r="P756" s="21"/>
      <c r="Q756" s="19"/>
      <c r="R756" s="19"/>
      <c r="S756" s="19"/>
      <c r="T756" s="19"/>
      <c r="U756" s="19"/>
      <c r="V756" s="19"/>
      <c r="W756" s="19"/>
      <c r="X756" s="19"/>
      <c r="Y756" s="19"/>
      <c r="Z756" s="19"/>
    </row>
    <row r="757">
      <c r="A757" s="21"/>
      <c r="B757" s="21"/>
      <c r="C757" s="21"/>
      <c r="D757" s="21"/>
      <c r="E757" s="21"/>
      <c r="F757" s="21"/>
      <c r="G757" s="21"/>
      <c r="H757" s="2"/>
      <c r="I757" s="21"/>
      <c r="J757" s="21"/>
      <c r="K757" s="21"/>
      <c r="L757" s="21"/>
      <c r="M757" s="21"/>
      <c r="N757" s="21"/>
      <c r="O757" s="21"/>
      <c r="P757" s="21"/>
      <c r="Q757" s="19"/>
      <c r="R757" s="19"/>
      <c r="S757" s="19"/>
      <c r="T757" s="19"/>
      <c r="U757" s="19"/>
      <c r="V757" s="19"/>
      <c r="W757" s="19"/>
      <c r="X757" s="19"/>
      <c r="Y757" s="19"/>
      <c r="Z757" s="19"/>
    </row>
    <row r="758">
      <c r="A758" s="21"/>
      <c r="B758" s="21"/>
      <c r="C758" s="21"/>
      <c r="D758" s="21"/>
      <c r="E758" s="21"/>
      <c r="F758" s="21"/>
      <c r="G758" s="21"/>
      <c r="H758" s="2"/>
      <c r="I758" s="21"/>
      <c r="J758" s="21"/>
      <c r="K758" s="21"/>
      <c r="L758" s="21"/>
      <c r="M758" s="21"/>
      <c r="N758" s="21"/>
      <c r="O758" s="21"/>
      <c r="P758" s="21"/>
      <c r="Q758" s="19"/>
      <c r="R758" s="19"/>
      <c r="S758" s="19"/>
      <c r="T758" s="19"/>
      <c r="U758" s="19"/>
      <c r="V758" s="19"/>
      <c r="W758" s="19"/>
      <c r="X758" s="19"/>
      <c r="Y758" s="19"/>
      <c r="Z758" s="19"/>
    </row>
    <row r="759">
      <c r="A759" s="21"/>
      <c r="B759" s="21"/>
      <c r="C759" s="21"/>
      <c r="D759" s="21"/>
      <c r="E759" s="21"/>
      <c r="F759" s="21"/>
      <c r="G759" s="21"/>
      <c r="H759" s="2"/>
      <c r="I759" s="21"/>
      <c r="J759" s="21"/>
      <c r="K759" s="21"/>
      <c r="L759" s="21"/>
      <c r="M759" s="21"/>
      <c r="N759" s="21"/>
      <c r="O759" s="21"/>
      <c r="P759" s="21"/>
      <c r="Q759" s="19"/>
      <c r="R759" s="19"/>
      <c r="S759" s="19"/>
      <c r="T759" s="19"/>
      <c r="U759" s="19"/>
      <c r="V759" s="19"/>
      <c r="W759" s="19"/>
      <c r="X759" s="19"/>
      <c r="Y759" s="19"/>
      <c r="Z759" s="19"/>
    </row>
    <row r="760">
      <c r="A760" s="21"/>
      <c r="B760" s="21"/>
      <c r="C760" s="21"/>
      <c r="D760" s="21"/>
      <c r="E760" s="21"/>
      <c r="F760" s="21"/>
      <c r="G760" s="21"/>
      <c r="H760" s="2"/>
      <c r="I760" s="21"/>
      <c r="J760" s="21"/>
      <c r="K760" s="21"/>
      <c r="L760" s="21"/>
      <c r="M760" s="21"/>
      <c r="N760" s="21"/>
      <c r="O760" s="21"/>
      <c r="P760" s="21"/>
      <c r="Q760" s="19"/>
      <c r="R760" s="19"/>
      <c r="S760" s="19"/>
      <c r="T760" s="19"/>
      <c r="U760" s="19"/>
      <c r="V760" s="19"/>
      <c r="W760" s="19"/>
      <c r="X760" s="19"/>
      <c r="Y760" s="19"/>
      <c r="Z760" s="19"/>
    </row>
    <row r="761">
      <c r="A761" s="21"/>
      <c r="B761" s="21"/>
      <c r="C761" s="21"/>
      <c r="D761" s="21"/>
      <c r="E761" s="21"/>
      <c r="F761" s="21"/>
      <c r="G761" s="21"/>
      <c r="H761" s="2"/>
      <c r="I761" s="21"/>
      <c r="J761" s="21"/>
      <c r="K761" s="21"/>
      <c r="L761" s="21"/>
      <c r="M761" s="21"/>
      <c r="N761" s="21"/>
      <c r="O761" s="21"/>
      <c r="P761" s="21"/>
      <c r="Q761" s="19"/>
      <c r="R761" s="19"/>
      <c r="S761" s="19"/>
      <c r="T761" s="19"/>
      <c r="U761" s="19"/>
      <c r="V761" s="19"/>
      <c r="W761" s="19"/>
      <c r="X761" s="19"/>
      <c r="Y761" s="19"/>
      <c r="Z761" s="19"/>
    </row>
    <row r="762">
      <c r="A762" s="21"/>
      <c r="B762" s="21"/>
      <c r="C762" s="21"/>
      <c r="D762" s="21"/>
      <c r="E762" s="21"/>
      <c r="F762" s="21"/>
      <c r="G762" s="21"/>
      <c r="H762" s="2"/>
      <c r="I762" s="21"/>
      <c r="J762" s="21"/>
      <c r="K762" s="21"/>
      <c r="L762" s="21"/>
      <c r="M762" s="21"/>
      <c r="N762" s="21"/>
      <c r="O762" s="21"/>
      <c r="P762" s="21"/>
      <c r="Q762" s="19"/>
      <c r="R762" s="19"/>
      <c r="S762" s="19"/>
      <c r="T762" s="19"/>
      <c r="U762" s="19"/>
      <c r="V762" s="19"/>
      <c r="W762" s="19"/>
      <c r="X762" s="19"/>
      <c r="Y762" s="19"/>
      <c r="Z762" s="19"/>
    </row>
    <row r="763">
      <c r="A763" s="21"/>
      <c r="B763" s="21"/>
      <c r="C763" s="21"/>
      <c r="D763" s="21"/>
      <c r="E763" s="21"/>
      <c r="F763" s="21"/>
      <c r="G763" s="21"/>
      <c r="H763" s="2"/>
      <c r="I763" s="21"/>
      <c r="J763" s="21"/>
      <c r="K763" s="21"/>
      <c r="L763" s="21"/>
      <c r="M763" s="21"/>
      <c r="N763" s="21"/>
      <c r="O763" s="21"/>
      <c r="P763" s="21"/>
      <c r="Q763" s="19"/>
      <c r="R763" s="19"/>
      <c r="S763" s="19"/>
      <c r="T763" s="19"/>
      <c r="U763" s="19"/>
      <c r="V763" s="19"/>
      <c r="W763" s="19"/>
      <c r="X763" s="19"/>
      <c r="Y763" s="19"/>
      <c r="Z763" s="19"/>
    </row>
    <row r="764">
      <c r="A764" s="21"/>
      <c r="B764" s="21"/>
      <c r="C764" s="21"/>
      <c r="D764" s="21"/>
      <c r="E764" s="21"/>
      <c r="F764" s="21"/>
      <c r="G764" s="21"/>
      <c r="H764" s="2"/>
      <c r="I764" s="21"/>
      <c r="J764" s="21"/>
      <c r="K764" s="21"/>
      <c r="L764" s="21"/>
      <c r="M764" s="21"/>
      <c r="N764" s="21"/>
      <c r="O764" s="21"/>
      <c r="P764" s="21"/>
      <c r="Q764" s="19"/>
      <c r="R764" s="19"/>
      <c r="S764" s="19"/>
      <c r="T764" s="19"/>
      <c r="U764" s="19"/>
      <c r="V764" s="19"/>
      <c r="W764" s="19"/>
      <c r="X764" s="19"/>
      <c r="Y764" s="19"/>
      <c r="Z764" s="19"/>
    </row>
    <row r="765">
      <c r="A765" s="21"/>
      <c r="B765" s="21"/>
      <c r="C765" s="21"/>
      <c r="D765" s="21"/>
      <c r="E765" s="21"/>
      <c r="F765" s="21"/>
      <c r="G765" s="21"/>
      <c r="H765" s="2"/>
      <c r="I765" s="21"/>
      <c r="J765" s="21"/>
      <c r="K765" s="21"/>
      <c r="L765" s="21"/>
      <c r="M765" s="21"/>
      <c r="N765" s="21"/>
      <c r="O765" s="21"/>
      <c r="P765" s="21"/>
      <c r="Q765" s="19"/>
      <c r="R765" s="19"/>
      <c r="S765" s="19"/>
      <c r="T765" s="19"/>
      <c r="U765" s="19"/>
      <c r="V765" s="19"/>
      <c r="W765" s="19"/>
      <c r="X765" s="19"/>
      <c r="Y765" s="19"/>
      <c r="Z765" s="19"/>
    </row>
    <row r="766">
      <c r="A766" s="21"/>
      <c r="B766" s="21"/>
      <c r="C766" s="21"/>
      <c r="D766" s="21"/>
      <c r="E766" s="21"/>
      <c r="F766" s="21"/>
      <c r="G766" s="21"/>
      <c r="H766" s="2"/>
      <c r="I766" s="21"/>
      <c r="J766" s="21"/>
      <c r="K766" s="21"/>
      <c r="L766" s="21"/>
      <c r="M766" s="21"/>
      <c r="N766" s="21"/>
      <c r="O766" s="21"/>
      <c r="P766" s="21"/>
      <c r="Q766" s="19"/>
      <c r="R766" s="19"/>
      <c r="S766" s="19"/>
      <c r="T766" s="19"/>
      <c r="U766" s="19"/>
      <c r="V766" s="19"/>
      <c r="W766" s="19"/>
      <c r="X766" s="19"/>
      <c r="Y766" s="19"/>
      <c r="Z766" s="19"/>
    </row>
    <row r="767">
      <c r="A767" s="21"/>
      <c r="B767" s="21"/>
      <c r="C767" s="21"/>
      <c r="D767" s="21"/>
      <c r="E767" s="21"/>
      <c r="F767" s="21"/>
      <c r="G767" s="21"/>
      <c r="H767" s="2"/>
      <c r="I767" s="21"/>
      <c r="J767" s="21"/>
      <c r="K767" s="21"/>
      <c r="L767" s="21"/>
      <c r="M767" s="21"/>
      <c r="N767" s="21"/>
      <c r="O767" s="21"/>
      <c r="P767" s="21"/>
      <c r="Q767" s="19"/>
      <c r="R767" s="19"/>
      <c r="S767" s="19"/>
      <c r="T767" s="19"/>
      <c r="U767" s="19"/>
      <c r="V767" s="19"/>
      <c r="W767" s="19"/>
      <c r="X767" s="19"/>
      <c r="Y767" s="19"/>
      <c r="Z767" s="19"/>
    </row>
    <row r="768">
      <c r="A768" s="21"/>
      <c r="B768" s="21"/>
      <c r="C768" s="21"/>
      <c r="D768" s="21"/>
      <c r="E768" s="21"/>
      <c r="F768" s="21"/>
      <c r="G768" s="21"/>
      <c r="H768" s="2"/>
      <c r="I768" s="21"/>
      <c r="J768" s="21"/>
      <c r="K768" s="21"/>
      <c r="L768" s="21"/>
      <c r="M768" s="21"/>
      <c r="N768" s="21"/>
      <c r="O768" s="21"/>
      <c r="P768" s="21"/>
      <c r="Q768" s="19"/>
      <c r="R768" s="19"/>
      <c r="S768" s="19"/>
      <c r="T768" s="19"/>
      <c r="U768" s="19"/>
      <c r="V768" s="19"/>
      <c r="W768" s="19"/>
      <c r="X768" s="19"/>
      <c r="Y768" s="19"/>
      <c r="Z768" s="19"/>
    </row>
    <row r="769">
      <c r="A769" s="21"/>
      <c r="B769" s="21"/>
      <c r="C769" s="21"/>
      <c r="D769" s="21"/>
      <c r="E769" s="21"/>
      <c r="F769" s="21"/>
      <c r="G769" s="21"/>
      <c r="H769" s="2"/>
      <c r="I769" s="21"/>
      <c r="J769" s="21"/>
      <c r="K769" s="21"/>
      <c r="L769" s="21"/>
      <c r="M769" s="21"/>
      <c r="N769" s="21"/>
      <c r="O769" s="21"/>
      <c r="P769" s="21"/>
      <c r="Q769" s="19"/>
      <c r="R769" s="19"/>
      <c r="S769" s="19"/>
      <c r="T769" s="19"/>
      <c r="U769" s="19"/>
      <c r="V769" s="19"/>
      <c r="W769" s="19"/>
      <c r="X769" s="19"/>
      <c r="Y769" s="19"/>
      <c r="Z769" s="19"/>
    </row>
    <row r="770">
      <c r="A770" s="21"/>
      <c r="B770" s="21"/>
      <c r="C770" s="21"/>
      <c r="D770" s="21"/>
      <c r="E770" s="21"/>
      <c r="F770" s="21"/>
      <c r="G770" s="21"/>
      <c r="H770" s="2"/>
      <c r="I770" s="21"/>
      <c r="J770" s="21"/>
      <c r="K770" s="21"/>
      <c r="L770" s="21"/>
      <c r="M770" s="21"/>
      <c r="N770" s="21"/>
      <c r="O770" s="21"/>
      <c r="P770" s="21"/>
      <c r="Q770" s="19"/>
      <c r="R770" s="19"/>
      <c r="S770" s="19"/>
      <c r="T770" s="19"/>
      <c r="U770" s="19"/>
      <c r="V770" s="19"/>
      <c r="W770" s="19"/>
      <c r="X770" s="19"/>
      <c r="Y770" s="19"/>
      <c r="Z770" s="19"/>
    </row>
    <row r="771">
      <c r="A771" s="21"/>
      <c r="B771" s="21"/>
      <c r="C771" s="21"/>
      <c r="D771" s="21"/>
      <c r="E771" s="21"/>
      <c r="F771" s="21"/>
      <c r="G771" s="21"/>
      <c r="H771" s="2"/>
      <c r="I771" s="21"/>
      <c r="J771" s="21"/>
      <c r="K771" s="21"/>
      <c r="L771" s="21"/>
      <c r="M771" s="21"/>
      <c r="N771" s="21"/>
      <c r="O771" s="21"/>
      <c r="P771" s="21"/>
      <c r="Q771" s="19"/>
      <c r="R771" s="19"/>
      <c r="S771" s="19"/>
      <c r="T771" s="19"/>
      <c r="U771" s="19"/>
      <c r="V771" s="19"/>
      <c r="W771" s="19"/>
      <c r="X771" s="19"/>
      <c r="Y771" s="19"/>
      <c r="Z771" s="19"/>
    </row>
    <row r="772">
      <c r="A772" s="21"/>
      <c r="B772" s="21"/>
      <c r="C772" s="21"/>
      <c r="D772" s="21"/>
      <c r="E772" s="21"/>
      <c r="F772" s="21"/>
      <c r="G772" s="21"/>
      <c r="H772" s="2"/>
      <c r="I772" s="21"/>
      <c r="J772" s="21"/>
      <c r="K772" s="21"/>
      <c r="L772" s="21"/>
      <c r="M772" s="21"/>
      <c r="N772" s="21"/>
      <c r="O772" s="21"/>
      <c r="P772" s="21"/>
      <c r="Q772" s="19"/>
      <c r="R772" s="19"/>
      <c r="S772" s="19"/>
      <c r="T772" s="19"/>
      <c r="U772" s="19"/>
      <c r="V772" s="19"/>
      <c r="W772" s="19"/>
      <c r="X772" s="19"/>
      <c r="Y772" s="19"/>
      <c r="Z772" s="19"/>
    </row>
    <row r="773">
      <c r="A773" s="21"/>
      <c r="B773" s="21"/>
      <c r="C773" s="21"/>
      <c r="D773" s="21"/>
      <c r="E773" s="21"/>
      <c r="F773" s="21"/>
      <c r="G773" s="21"/>
      <c r="H773" s="2"/>
      <c r="I773" s="21"/>
      <c r="J773" s="21"/>
      <c r="K773" s="21"/>
      <c r="L773" s="21"/>
      <c r="M773" s="21"/>
      <c r="N773" s="21"/>
      <c r="O773" s="21"/>
      <c r="P773" s="21"/>
      <c r="Q773" s="19"/>
      <c r="R773" s="19"/>
      <c r="S773" s="19"/>
      <c r="T773" s="19"/>
      <c r="U773" s="19"/>
      <c r="V773" s="19"/>
      <c r="W773" s="19"/>
      <c r="X773" s="19"/>
      <c r="Y773" s="19"/>
      <c r="Z773" s="19"/>
    </row>
    <row r="774">
      <c r="A774" s="21"/>
      <c r="B774" s="21"/>
      <c r="C774" s="21"/>
      <c r="D774" s="21"/>
      <c r="E774" s="21"/>
      <c r="F774" s="21"/>
      <c r="G774" s="21"/>
      <c r="H774" s="2"/>
      <c r="I774" s="21"/>
      <c r="J774" s="21"/>
      <c r="K774" s="21"/>
      <c r="L774" s="21"/>
      <c r="M774" s="21"/>
      <c r="N774" s="21"/>
      <c r="O774" s="21"/>
      <c r="P774" s="21"/>
      <c r="Q774" s="19"/>
      <c r="R774" s="19"/>
      <c r="S774" s="19"/>
      <c r="T774" s="19"/>
      <c r="U774" s="19"/>
      <c r="V774" s="19"/>
      <c r="W774" s="19"/>
      <c r="X774" s="19"/>
      <c r="Y774" s="19"/>
      <c r="Z774" s="19"/>
    </row>
    <row r="775">
      <c r="A775" s="21"/>
      <c r="B775" s="21"/>
      <c r="C775" s="21"/>
      <c r="D775" s="21"/>
      <c r="E775" s="21"/>
      <c r="F775" s="21"/>
      <c r="G775" s="21"/>
      <c r="H775" s="2"/>
      <c r="I775" s="21"/>
      <c r="J775" s="21"/>
      <c r="K775" s="21"/>
      <c r="L775" s="21"/>
      <c r="M775" s="21"/>
      <c r="N775" s="21"/>
      <c r="O775" s="21"/>
      <c r="P775" s="21"/>
      <c r="Q775" s="19"/>
      <c r="R775" s="19"/>
      <c r="S775" s="19"/>
      <c r="T775" s="19"/>
      <c r="U775" s="19"/>
      <c r="V775" s="19"/>
      <c r="W775" s="19"/>
      <c r="X775" s="19"/>
      <c r="Y775" s="19"/>
      <c r="Z775" s="19"/>
    </row>
    <row r="776">
      <c r="A776" s="21"/>
      <c r="B776" s="21"/>
      <c r="C776" s="21"/>
      <c r="D776" s="21"/>
      <c r="E776" s="21"/>
      <c r="F776" s="21"/>
      <c r="G776" s="21"/>
      <c r="H776" s="2"/>
      <c r="I776" s="21"/>
      <c r="J776" s="21"/>
      <c r="K776" s="21"/>
      <c r="L776" s="21"/>
      <c r="M776" s="21"/>
      <c r="N776" s="21"/>
      <c r="O776" s="21"/>
      <c r="P776" s="21"/>
      <c r="Q776" s="19"/>
      <c r="R776" s="19"/>
      <c r="S776" s="19"/>
      <c r="T776" s="19"/>
      <c r="U776" s="19"/>
      <c r="V776" s="19"/>
      <c r="W776" s="19"/>
      <c r="X776" s="19"/>
      <c r="Y776" s="19"/>
      <c r="Z776" s="19"/>
    </row>
    <row r="777">
      <c r="A777" s="21"/>
      <c r="B777" s="21"/>
      <c r="C777" s="21"/>
      <c r="D777" s="21"/>
      <c r="E777" s="21"/>
      <c r="F777" s="21"/>
      <c r="G777" s="21"/>
      <c r="H777" s="2"/>
      <c r="I777" s="21"/>
      <c r="J777" s="21"/>
      <c r="K777" s="21"/>
      <c r="L777" s="21"/>
      <c r="M777" s="21"/>
      <c r="N777" s="21"/>
      <c r="O777" s="21"/>
      <c r="P777" s="21"/>
      <c r="Q777" s="19"/>
      <c r="R777" s="19"/>
      <c r="S777" s="19"/>
      <c r="T777" s="19"/>
      <c r="U777" s="19"/>
      <c r="V777" s="19"/>
      <c r="W777" s="19"/>
      <c r="X777" s="19"/>
      <c r="Y777" s="19"/>
      <c r="Z777" s="19"/>
    </row>
    <row r="778">
      <c r="A778" s="21"/>
      <c r="B778" s="21"/>
      <c r="C778" s="21"/>
      <c r="D778" s="21"/>
      <c r="E778" s="21"/>
      <c r="F778" s="21"/>
      <c r="G778" s="21"/>
      <c r="H778" s="2"/>
      <c r="I778" s="21"/>
      <c r="J778" s="21"/>
      <c r="K778" s="21"/>
      <c r="L778" s="21"/>
      <c r="M778" s="21"/>
      <c r="N778" s="21"/>
      <c r="O778" s="21"/>
      <c r="P778" s="21"/>
      <c r="Q778" s="19"/>
      <c r="R778" s="19"/>
      <c r="S778" s="19"/>
      <c r="T778" s="19"/>
      <c r="U778" s="19"/>
      <c r="V778" s="19"/>
      <c r="W778" s="19"/>
      <c r="X778" s="19"/>
      <c r="Y778" s="19"/>
      <c r="Z778" s="19"/>
    </row>
    <row r="779">
      <c r="A779" s="21"/>
      <c r="B779" s="21"/>
      <c r="C779" s="21"/>
      <c r="D779" s="21"/>
      <c r="E779" s="21"/>
      <c r="F779" s="21"/>
      <c r="G779" s="21"/>
      <c r="H779" s="2"/>
      <c r="I779" s="21"/>
      <c r="J779" s="21"/>
      <c r="K779" s="21"/>
      <c r="L779" s="21"/>
      <c r="M779" s="21"/>
      <c r="N779" s="21"/>
      <c r="O779" s="21"/>
      <c r="P779" s="21"/>
      <c r="Q779" s="19"/>
      <c r="R779" s="19"/>
      <c r="S779" s="19"/>
      <c r="T779" s="19"/>
      <c r="U779" s="19"/>
      <c r="V779" s="19"/>
      <c r="W779" s="19"/>
      <c r="X779" s="19"/>
      <c r="Y779" s="19"/>
      <c r="Z779" s="19"/>
    </row>
    <row r="780">
      <c r="A780" s="21"/>
      <c r="B780" s="21"/>
      <c r="C780" s="21"/>
      <c r="D780" s="21"/>
      <c r="E780" s="21"/>
      <c r="F780" s="21"/>
      <c r="G780" s="21"/>
      <c r="H780" s="2"/>
      <c r="I780" s="21"/>
      <c r="J780" s="21"/>
      <c r="K780" s="21"/>
      <c r="L780" s="21"/>
      <c r="M780" s="21"/>
      <c r="N780" s="21"/>
      <c r="O780" s="21"/>
      <c r="P780" s="21"/>
      <c r="Q780" s="19"/>
      <c r="R780" s="19"/>
      <c r="S780" s="19"/>
      <c r="T780" s="19"/>
      <c r="U780" s="19"/>
      <c r="V780" s="19"/>
      <c r="W780" s="19"/>
      <c r="X780" s="19"/>
      <c r="Y780" s="19"/>
      <c r="Z780" s="19"/>
    </row>
    <row r="781">
      <c r="A781" s="21"/>
      <c r="B781" s="21"/>
      <c r="C781" s="21"/>
      <c r="D781" s="21"/>
      <c r="E781" s="21"/>
      <c r="F781" s="21"/>
      <c r="G781" s="21"/>
      <c r="H781" s="2"/>
      <c r="I781" s="21"/>
      <c r="J781" s="21"/>
      <c r="K781" s="21"/>
      <c r="L781" s="21"/>
      <c r="M781" s="21"/>
      <c r="N781" s="21"/>
      <c r="O781" s="21"/>
      <c r="P781" s="21"/>
      <c r="Q781" s="19"/>
      <c r="R781" s="19"/>
      <c r="S781" s="19"/>
      <c r="T781" s="19"/>
      <c r="U781" s="19"/>
      <c r="V781" s="19"/>
      <c r="W781" s="19"/>
      <c r="X781" s="19"/>
      <c r="Y781" s="19"/>
      <c r="Z781" s="19"/>
    </row>
    <row r="782">
      <c r="A782" s="21"/>
      <c r="B782" s="21"/>
      <c r="C782" s="21"/>
      <c r="D782" s="21"/>
      <c r="E782" s="21"/>
      <c r="F782" s="21"/>
      <c r="G782" s="21"/>
      <c r="H782" s="2"/>
      <c r="I782" s="21"/>
      <c r="J782" s="21"/>
      <c r="K782" s="21"/>
      <c r="L782" s="21"/>
      <c r="M782" s="21"/>
      <c r="N782" s="21"/>
      <c r="O782" s="21"/>
      <c r="P782" s="21"/>
      <c r="Q782" s="19"/>
      <c r="R782" s="19"/>
      <c r="S782" s="19"/>
      <c r="T782" s="19"/>
      <c r="U782" s="19"/>
      <c r="V782" s="19"/>
      <c r="W782" s="19"/>
      <c r="X782" s="19"/>
      <c r="Y782" s="19"/>
      <c r="Z782" s="19"/>
    </row>
    <row r="783">
      <c r="A783" s="21"/>
      <c r="B783" s="21"/>
      <c r="C783" s="21"/>
      <c r="D783" s="21"/>
      <c r="E783" s="21"/>
      <c r="F783" s="21"/>
      <c r="G783" s="21"/>
      <c r="H783" s="2"/>
      <c r="I783" s="21"/>
      <c r="J783" s="21"/>
      <c r="K783" s="21"/>
      <c r="L783" s="21"/>
      <c r="M783" s="21"/>
      <c r="N783" s="21"/>
      <c r="O783" s="21"/>
      <c r="P783" s="21"/>
      <c r="Q783" s="19"/>
      <c r="R783" s="19"/>
      <c r="S783" s="19"/>
      <c r="T783" s="19"/>
      <c r="U783" s="19"/>
      <c r="V783" s="19"/>
      <c r="W783" s="19"/>
      <c r="X783" s="19"/>
      <c r="Y783" s="19"/>
      <c r="Z783" s="19"/>
    </row>
    <row r="784">
      <c r="A784" s="21"/>
      <c r="B784" s="21"/>
      <c r="C784" s="21"/>
      <c r="D784" s="21"/>
      <c r="E784" s="21"/>
      <c r="F784" s="21"/>
      <c r="G784" s="21"/>
      <c r="H784" s="2"/>
      <c r="I784" s="21"/>
      <c r="J784" s="21"/>
      <c r="K784" s="21"/>
      <c r="L784" s="21"/>
      <c r="M784" s="21"/>
      <c r="N784" s="21"/>
      <c r="O784" s="21"/>
      <c r="P784" s="21"/>
      <c r="Q784" s="19"/>
      <c r="R784" s="19"/>
      <c r="S784" s="19"/>
      <c r="T784" s="19"/>
      <c r="U784" s="19"/>
      <c r="V784" s="19"/>
      <c r="W784" s="19"/>
      <c r="X784" s="19"/>
      <c r="Y784" s="19"/>
      <c r="Z784" s="19"/>
    </row>
    <row r="785">
      <c r="A785" s="21"/>
      <c r="B785" s="21"/>
      <c r="C785" s="21"/>
      <c r="D785" s="21"/>
      <c r="E785" s="21"/>
      <c r="F785" s="21"/>
      <c r="G785" s="21"/>
      <c r="H785" s="2"/>
      <c r="I785" s="21"/>
      <c r="J785" s="21"/>
      <c r="K785" s="21"/>
      <c r="L785" s="21"/>
      <c r="M785" s="21"/>
      <c r="N785" s="21"/>
      <c r="O785" s="21"/>
      <c r="P785" s="21"/>
      <c r="Q785" s="19"/>
      <c r="R785" s="19"/>
      <c r="S785" s="19"/>
      <c r="T785" s="19"/>
      <c r="U785" s="19"/>
      <c r="V785" s="19"/>
      <c r="W785" s="19"/>
      <c r="X785" s="19"/>
      <c r="Y785" s="19"/>
      <c r="Z785" s="19"/>
    </row>
    <row r="786">
      <c r="A786" s="21"/>
      <c r="B786" s="21"/>
      <c r="C786" s="21"/>
      <c r="D786" s="21"/>
      <c r="E786" s="21"/>
      <c r="F786" s="21"/>
      <c r="G786" s="21"/>
      <c r="H786" s="2"/>
      <c r="I786" s="21"/>
      <c r="J786" s="21"/>
      <c r="K786" s="21"/>
      <c r="L786" s="21"/>
      <c r="M786" s="21"/>
      <c r="N786" s="21"/>
      <c r="O786" s="21"/>
      <c r="P786" s="21"/>
      <c r="Q786" s="19"/>
      <c r="R786" s="19"/>
      <c r="S786" s="19"/>
      <c r="T786" s="19"/>
      <c r="U786" s="19"/>
      <c r="V786" s="19"/>
      <c r="W786" s="19"/>
      <c r="X786" s="19"/>
      <c r="Y786" s="19"/>
      <c r="Z786" s="19"/>
    </row>
    <row r="787">
      <c r="A787" s="21"/>
      <c r="B787" s="21"/>
      <c r="C787" s="21"/>
      <c r="D787" s="21"/>
      <c r="E787" s="21"/>
      <c r="F787" s="21"/>
      <c r="G787" s="21"/>
      <c r="H787" s="2"/>
      <c r="I787" s="21"/>
      <c r="J787" s="21"/>
      <c r="K787" s="21"/>
      <c r="L787" s="21"/>
      <c r="M787" s="21"/>
      <c r="N787" s="21"/>
      <c r="O787" s="21"/>
      <c r="P787" s="21"/>
      <c r="Q787" s="19"/>
      <c r="R787" s="19"/>
      <c r="S787" s="19"/>
      <c r="T787" s="19"/>
      <c r="U787" s="19"/>
      <c r="V787" s="19"/>
      <c r="W787" s="19"/>
      <c r="X787" s="19"/>
      <c r="Y787" s="19"/>
      <c r="Z787" s="19"/>
    </row>
    <row r="788">
      <c r="A788" s="21"/>
      <c r="B788" s="21"/>
      <c r="C788" s="21"/>
      <c r="D788" s="21"/>
      <c r="E788" s="21"/>
      <c r="F788" s="21"/>
      <c r="G788" s="21"/>
      <c r="H788" s="2"/>
      <c r="I788" s="21"/>
      <c r="J788" s="21"/>
      <c r="K788" s="21"/>
      <c r="L788" s="21"/>
      <c r="M788" s="21"/>
      <c r="N788" s="21"/>
      <c r="O788" s="21"/>
      <c r="P788" s="21"/>
      <c r="Q788" s="19"/>
      <c r="R788" s="19"/>
      <c r="S788" s="19"/>
      <c r="T788" s="19"/>
      <c r="U788" s="19"/>
      <c r="V788" s="19"/>
      <c r="W788" s="19"/>
      <c r="X788" s="19"/>
      <c r="Y788" s="19"/>
      <c r="Z788" s="19"/>
    </row>
    <row r="789">
      <c r="A789" s="21"/>
      <c r="B789" s="21"/>
      <c r="C789" s="21"/>
      <c r="D789" s="21"/>
      <c r="E789" s="21"/>
      <c r="F789" s="21"/>
      <c r="G789" s="21"/>
      <c r="H789" s="2"/>
      <c r="I789" s="21"/>
      <c r="J789" s="21"/>
      <c r="K789" s="21"/>
      <c r="L789" s="21"/>
      <c r="M789" s="21"/>
      <c r="N789" s="21"/>
      <c r="O789" s="21"/>
      <c r="P789" s="21"/>
      <c r="Q789" s="19"/>
      <c r="R789" s="19"/>
      <c r="S789" s="19"/>
      <c r="T789" s="19"/>
      <c r="U789" s="19"/>
      <c r="V789" s="19"/>
      <c r="W789" s="19"/>
      <c r="X789" s="19"/>
      <c r="Y789" s="19"/>
      <c r="Z789" s="19"/>
    </row>
    <row r="790">
      <c r="A790" s="21"/>
      <c r="B790" s="21"/>
      <c r="C790" s="21"/>
      <c r="D790" s="21"/>
      <c r="E790" s="21"/>
      <c r="F790" s="21"/>
      <c r="G790" s="21"/>
      <c r="H790" s="2"/>
      <c r="I790" s="21"/>
      <c r="J790" s="21"/>
      <c r="K790" s="21"/>
      <c r="L790" s="21"/>
      <c r="M790" s="21"/>
      <c r="N790" s="21"/>
      <c r="O790" s="21"/>
      <c r="P790" s="21"/>
      <c r="Q790" s="19"/>
      <c r="R790" s="19"/>
      <c r="S790" s="19"/>
      <c r="T790" s="19"/>
      <c r="U790" s="19"/>
      <c r="V790" s="19"/>
      <c r="W790" s="19"/>
      <c r="X790" s="19"/>
      <c r="Y790" s="19"/>
      <c r="Z790" s="19"/>
    </row>
    <row r="791">
      <c r="A791" s="21"/>
      <c r="B791" s="21"/>
      <c r="C791" s="21"/>
      <c r="D791" s="21"/>
      <c r="E791" s="21"/>
      <c r="F791" s="21"/>
      <c r="G791" s="21"/>
      <c r="H791" s="2"/>
      <c r="I791" s="21"/>
      <c r="J791" s="21"/>
      <c r="K791" s="21"/>
      <c r="L791" s="21"/>
      <c r="M791" s="21"/>
      <c r="N791" s="21"/>
      <c r="O791" s="21"/>
      <c r="P791" s="21"/>
      <c r="Q791" s="19"/>
      <c r="R791" s="19"/>
      <c r="S791" s="19"/>
      <c r="T791" s="19"/>
      <c r="U791" s="19"/>
      <c r="V791" s="19"/>
      <c r="W791" s="19"/>
      <c r="X791" s="19"/>
      <c r="Y791" s="19"/>
      <c r="Z791" s="19"/>
    </row>
    <row r="792">
      <c r="A792" s="21"/>
      <c r="B792" s="21"/>
      <c r="C792" s="21"/>
      <c r="D792" s="21"/>
      <c r="E792" s="21"/>
      <c r="F792" s="21"/>
      <c r="G792" s="21"/>
      <c r="H792" s="2"/>
      <c r="I792" s="21"/>
      <c r="J792" s="21"/>
      <c r="K792" s="21"/>
      <c r="L792" s="21"/>
      <c r="M792" s="21"/>
      <c r="N792" s="21"/>
      <c r="O792" s="21"/>
      <c r="P792" s="21"/>
      <c r="Q792" s="19"/>
      <c r="R792" s="19"/>
      <c r="S792" s="19"/>
      <c r="T792" s="19"/>
      <c r="U792" s="19"/>
      <c r="V792" s="19"/>
      <c r="W792" s="19"/>
      <c r="X792" s="19"/>
      <c r="Y792" s="19"/>
      <c r="Z792" s="19"/>
    </row>
    <row r="793">
      <c r="A793" s="21"/>
      <c r="B793" s="21"/>
      <c r="C793" s="21"/>
      <c r="D793" s="21"/>
      <c r="E793" s="21"/>
      <c r="F793" s="21"/>
      <c r="G793" s="21"/>
      <c r="H793" s="2"/>
      <c r="I793" s="21"/>
      <c r="J793" s="21"/>
      <c r="K793" s="21"/>
      <c r="L793" s="21"/>
      <c r="M793" s="21"/>
      <c r="N793" s="21"/>
      <c r="O793" s="21"/>
      <c r="P793" s="21"/>
      <c r="Q793" s="19"/>
      <c r="R793" s="19"/>
      <c r="S793" s="19"/>
      <c r="T793" s="19"/>
      <c r="U793" s="19"/>
      <c r="V793" s="19"/>
      <c r="W793" s="19"/>
      <c r="X793" s="19"/>
      <c r="Y793" s="19"/>
      <c r="Z793" s="19"/>
    </row>
    <row r="794">
      <c r="A794" s="21"/>
      <c r="B794" s="21"/>
      <c r="C794" s="21"/>
      <c r="D794" s="21"/>
      <c r="E794" s="21"/>
      <c r="F794" s="21"/>
      <c r="G794" s="21"/>
      <c r="H794" s="2"/>
      <c r="I794" s="21"/>
      <c r="J794" s="21"/>
      <c r="K794" s="21"/>
      <c r="L794" s="21"/>
      <c r="M794" s="21"/>
      <c r="N794" s="21"/>
      <c r="O794" s="21"/>
      <c r="P794" s="21"/>
      <c r="Q794" s="19"/>
      <c r="R794" s="19"/>
      <c r="S794" s="19"/>
      <c r="T794" s="19"/>
      <c r="U794" s="19"/>
      <c r="V794" s="19"/>
      <c r="W794" s="19"/>
      <c r="X794" s="19"/>
      <c r="Y794" s="19"/>
      <c r="Z794" s="19"/>
    </row>
    <row r="795">
      <c r="A795" s="21"/>
      <c r="B795" s="21"/>
      <c r="C795" s="21"/>
      <c r="D795" s="21"/>
      <c r="E795" s="21"/>
      <c r="F795" s="21"/>
      <c r="G795" s="21"/>
      <c r="H795" s="2"/>
      <c r="I795" s="21"/>
      <c r="J795" s="21"/>
      <c r="K795" s="21"/>
      <c r="L795" s="21"/>
      <c r="M795" s="21"/>
      <c r="N795" s="21"/>
      <c r="O795" s="21"/>
      <c r="P795" s="21"/>
      <c r="Q795" s="19"/>
      <c r="R795" s="19"/>
      <c r="S795" s="19"/>
      <c r="T795" s="19"/>
      <c r="U795" s="19"/>
      <c r="V795" s="19"/>
      <c r="W795" s="19"/>
      <c r="X795" s="19"/>
      <c r="Y795" s="19"/>
      <c r="Z795" s="19"/>
    </row>
    <row r="796">
      <c r="A796" s="21"/>
      <c r="B796" s="21"/>
      <c r="C796" s="21"/>
      <c r="D796" s="21"/>
      <c r="E796" s="21"/>
      <c r="F796" s="21"/>
      <c r="G796" s="21"/>
      <c r="H796" s="2"/>
      <c r="I796" s="21"/>
      <c r="J796" s="21"/>
      <c r="K796" s="21"/>
      <c r="L796" s="21"/>
      <c r="M796" s="21"/>
      <c r="N796" s="21"/>
      <c r="O796" s="21"/>
      <c r="P796" s="21"/>
      <c r="Q796" s="19"/>
      <c r="R796" s="19"/>
      <c r="S796" s="19"/>
      <c r="T796" s="19"/>
      <c r="U796" s="19"/>
      <c r="V796" s="19"/>
      <c r="W796" s="19"/>
      <c r="X796" s="19"/>
      <c r="Y796" s="19"/>
      <c r="Z796" s="19"/>
    </row>
    <row r="797">
      <c r="A797" s="21"/>
      <c r="B797" s="21"/>
      <c r="C797" s="21"/>
      <c r="D797" s="21"/>
      <c r="E797" s="21"/>
      <c r="F797" s="21"/>
      <c r="G797" s="21"/>
      <c r="H797" s="2"/>
      <c r="I797" s="21"/>
      <c r="J797" s="21"/>
      <c r="K797" s="21"/>
      <c r="L797" s="21"/>
      <c r="M797" s="21"/>
      <c r="N797" s="21"/>
      <c r="O797" s="21"/>
      <c r="P797" s="21"/>
      <c r="Q797" s="19"/>
      <c r="R797" s="19"/>
      <c r="S797" s="19"/>
      <c r="T797" s="19"/>
      <c r="U797" s="19"/>
      <c r="V797" s="19"/>
      <c r="W797" s="19"/>
      <c r="X797" s="19"/>
      <c r="Y797" s="19"/>
      <c r="Z797" s="19"/>
    </row>
    <row r="798">
      <c r="A798" s="21"/>
      <c r="B798" s="21"/>
      <c r="C798" s="21"/>
      <c r="D798" s="21"/>
      <c r="E798" s="21"/>
      <c r="F798" s="21"/>
      <c r="G798" s="21"/>
      <c r="H798" s="2"/>
      <c r="I798" s="21"/>
      <c r="J798" s="21"/>
      <c r="K798" s="21"/>
      <c r="L798" s="21"/>
      <c r="M798" s="21"/>
      <c r="N798" s="21"/>
      <c r="O798" s="21"/>
      <c r="P798" s="21"/>
      <c r="Q798" s="19"/>
      <c r="R798" s="19"/>
      <c r="S798" s="19"/>
      <c r="T798" s="19"/>
      <c r="U798" s="19"/>
      <c r="V798" s="19"/>
      <c r="W798" s="19"/>
      <c r="X798" s="19"/>
      <c r="Y798" s="19"/>
      <c r="Z798" s="19"/>
    </row>
    <row r="799">
      <c r="A799" s="21"/>
      <c r="B799" s="21"/>
      <c r="C799" s="21"/>
      <c r="D799" s="21"/>
      <c r="E799" s="21"/>
      <c r="F799" s="21"/>
      <c r="G799" s="21"/>
      <c r="H799" s="2"/>
      <c r="I799" s="21"/>
      <c r="J799" s="21"/>
      <c r="K799" s="21"/>
      <c r="L799" s="21"/>
      <c r="M799" s="21"/>
      <c r="N799" s="21"/>
      <c r="O799" s="21"/>
      <c r="P799" s="21"/>
      <c r="Q799" s="19"/>
      <c r="R799" s="19"/>
      <c r="S799" s="19"/>
      <c r="T799" s="19"/>
      <c r="U799" s="19"/>
      <c r="V799" s="19"/>
      <c r="W799" s="19"/>
      <c r="X799" s="19"/>
      <c r="Y799" s="19"/>
      <c r="Z799" s="19"/>
    </row>
    <row r="800">
      <c r="A800" s="21"/>
      <c r="B800" s="21"/>
      <c r="C800" s="21"/>
      <c r="D800" s="21"/>
      <c r="E800" s="21"/>
      <c r="F800" s="21"/>
      <c r="G800" s="21"/>
      <c r="H800" s="2"/>
      <c r="I800" s="21"/>
      <c r="J800" s="21"/>
      <c r="K800" s="21"/>
      <c r="L800" s="21"/>
      <c r="M800" s="21"/>
      <c r="N800" s="21"/>
      <c r="O800" s="21"/>
      <c r="P800" s="21"/>
      <c r="Q800" s="19"/>
      <c r="R800" s="19"/>
      <c r="S800" s="19"/>
      <c r="T800" s="19"/>
      <c r="U800" s="19"/>
      <c r="V800" s="19"/>
      <c r="W800" s="19"/>
      <c r="X800" s="19"/>
      <c r="Y800" s="19"/>
      <c r="Z800" s="19"/>
    </row>
    <row r="801">
      <c r="A801" s="21"/>
      <c r="B801" s="21"/>
      <c r="C801" s="21"/>
      <c r="D801" s="21"/>
      <c r="E801" s="21"/>
      <c r="F801" s="21"/>
      <c r="G801" s="21"/>
      <c r="H801" s="2"/>
      <c r="I801" s="21"/>
      <c r="J801" s="21"/>
      <c r="K801" s="21"/>
      <c r="L801" s="21"/>
      <c r="M801" s="21"/>
      <c r="N801" s="21"/>
      <c r="O801" s="21"/>
      <c r="P801" s="21"/>
      <c r="Q801" s="19"/>
      <c r="R801" s="19"/>
      <c r="S801" s="19"/>
      <c r="T801" s="19"/>
      <c r="U801" s="19"/>
      <c r="V801" s="19"/>
      <c r="W801" s="19"/>
      <c r="X801" s="19"/>
      <c r="Y801" s="19"/>
      <c r="Z801" s="19"/>
    </row>
    <row r="802">
      <c r="A802" s="21"/>
      <c r="B802" s="21"/>
      <c r="C802" s="21"/>
      <c r="D802" s="21"/>
      <c r="E802" s="21"/>
      <c r="F802" s="21"/>
      <c r="G802" s="21"/>
      <c r="H802" s="2"/>
      <c r="I802" s="21"/>
      <c r="J802" s="21"/>
      <c r="K802" s="21"/>
      <c r="L802" s="21"/>
      <c r="M802" s="21"/>
      <c r="N802" s="21"/>
      <c r="O802" s="21"/>
      <c r="P802" s="21"/>
      <c r="Q802" s="19"/>
      <c r="R802" s="19"/>
      <c r="S802" s="19"/>
      <c r="T802" s="19"/>
      <c r="U802" s="19"/>
      <c r="V802" s="19"/>
      <c r="W802" s="19"/>
      <c r="X802" s="19"/>
      <c r="Y802" s="19"/>
      <c r="Z802" s="19"/>
    </row>
    <row r="803">
      <c r="A803" s="21"/>
      <c r="B803" s="21"/>
      <c r="C803" s="21"/>
      <c r="D803" s="21"/>
      <c r="E803" s="21"/>
      <c r="F803" s="21"/>
      <c r="G803" s="21"/>
      <c r="H803" s="2"/>
      <c r="I803" s="21"/>
      <c r="J803" s="21"/>
      <c r="K803" s="21"/>
      <c r="L803" s="21"/>
      <c r="M803" s="21"/>
      <c r="N803" s="21"/>
      <c r="O803" s="21"/>
      <c r="P803" s="21"/>
      <c r="Q803" s="19"/>
      <c r="R803" s="19"/>
      <c r="S803" s="19"/>
      <c r="T803" s="19"/>
      <c r="U803" s="19"/>
      <c r="V803" s="19"/>
      <c r="W803" s="19"/>
      <c r="X803" s="19"/>
      <c r="Y803" s="19"/>
      <c r="Z803" s="19"/>
    </row>
    <row r="804">
      <c r="A804" s="21"/>
      <c r="B804" s="21"/>
      <c r="C804" s="21"/>
      <c r="D804" s="21"/>
      <c r="E804" s="21"/>
      <c r="F804" s="21"/>
      <c r="G804" s="21"/>
      <c r="H804" s="2"/>
      <c r="I804" s="21"/>
      <c r="J804" s="21"/>
      <c r="K804" s="21"/>
      <c r="L804" s="21"/>
      <c r="M804" s="21"/>
      <c r="N804" s="21"/>
      <c r="O804" s="21"/>
      <c r="P804" s="21"/>
      <c r="Q804" s="19"/>
      <c r="R804" s="19"/>
      <c r="S804" s="19"/>
      <c r="T804" s="19"/>
      <c r="U804" s="19"/>
      <c r="V804" s="19"/>
      <c r="W804" s="19"/>
      <c r="X804" s="19"/>
      <c r="Y804" s="19"/>
      <c r="Z804" s="19"/>
    </row>
    <row r="805">
      <c r="A805" s="21"/>
      <c r="B805" s="21"/>
      <c r="C805" s="21"/>
      <c r="D805" s="21"/>
      <c r="E805" s="21"/>
      <c r="F805" s="21"/>
      <c r="G805" s="21"/>
      <c r="H805" s="2"/>
      <c r="I805" s="21"/>
      <c r="J805" s="21"/>
      <c r="K805" s="21"/>
      <c r="L805" s="21"/>
      <c r="M805" s="21"/>
      <c r="N805" s="21"/>
      <c r="O805" s="21"/>
      <c r="P805" s="21"/>
      <c r="Q805" s="19"/>
      <c r="R805" s="19"/>
      <c r="S805" s="19"/>
      <c r="T805" s="19"/>
      <c r="U805" s="19"/>
      <c r="V805" s="19"/>
      <c r="W805" s="19"/>
      <c r="X805" s="19"/>
      <c r="Y805" s="19"/>
      <c r="Z805" s="19"/>
    </row>
    <row r="806">
      <c r="A806" s="21"/>
      <c r="B806" s="21"/>
      <c r="C806" s="21"/>
      <c r="D806" s="21"/>
      <c r="E806" s="21"/>
      <c r="F806" s="21"/>
      <c r="G806" s="21"/>
      <c r="H806" s="2"/>
      <c r="I806" s="21"/>
      <c r="J806" s="21"/>
      <c r="K806" s="21"/>
      <c r="L806" s="21"/>
      <c r="M806" s="21"/>
      <c r="N806" s="21"/>
      <c r="O806" s="21"/>
      <c r="P806" s="21"/>
      <c r="Q806" s="19"/>
      <c r="R806" s="19"/>
      <c r="S806" s="19"/>
      <c r="T806" s="19"/>
      <c r="U806" s="19"/>
      <c r="V806" s="19"/>
      <c r="W806" s="19"/>
      <c r="X806" s="19"/>
      <c r="Y806" s="19"/>
      <c r="Z806" s="19"/>
    </row>
    <row r="807">
      <c r="A807" s="21"/>
      <c r="B807" s="21"/>
      <c r="C807" s="21"/>
      <c r="D807" s="21"/>
      <c r="E807" s="21"/>
      <c r="F807" s="21"/>
      <c r="G807" s="21"/>
      <c r="H807" s="2"/>
      <c r="I807" s="21"/>
      <c r="J807" s="21"/>
      <c r="K807" s="21"/>
      <c r="L807" s="21"/>
      <c r="M807" s="21"/>
      <c r="N807" s="21"/>
      <c r="O807" s="21"/>
      <c r="P807" s="21"/>
      <c r="Q807" s="19"/>
      <c r="R807" s="19"/>
      <c r="S807" s="19"/>
      <c r="T807" s="19"/>
      <c r="U807" s="19"/>
      <c r="V807" s="19"/>
      <c r="W807" s="19"/>
      <c r="X807" s="19"/>
      <c r="Y807" s="19"/>
      <c r="Z807" s="19"/>
    </row>
    <row r="808">
      <c r="A808" s="21"/>
      <c r="B808" s="21"/>
      <c r="C808" s="21"/>
      <c r="D808" s="21"/>
      <c r="E808" s="21"/>
      <c r="F808" s="21"/>
      <c r="G808" s="21"/>
      <c r="H808" s="2"/>
      <c r="I808" s="21"/>
      <c r="J808" s="21"/>
      <c r="K808" s="21"/>
      <c r="L808" s="21"/>
      <c r="M808" s="21"/>
      <c r="N808" s="21"/>
      <c r="O808" s="21"/>
      <c r="P808" s="21"/>
      <c r="Q808" s="19"/>
      <c r="R808" s="19"/>
      <c r="S808" s="19"/>
      <c r="T808" s="19"/>
      <c r="U808" s="19"/>
      <c r="V808" s="19"/>
      <c r="W808" s="19"/>
      <c r="X808" s="19"/>
      <c r="Y808" s="19"/>
      <c r="Z808" s="19"/>
    </row>
    <row r="809">
      <c r="A809" s="21"/>
      <c r="B809" s="21"/>
      <c r="C809" s="21"/>
      <c r="D809" s="21"/>
      <c r="E809" s="21"/>
      <c r="F809" s="21"/>
      <c r="G809" s="21"/>
      <c r="H809" s="2"/>
      <c r="I809" s="21"/>
      <c r="J809" s="21"/>
      <c r="K809" s="21"/>
      <c r="L809" s="21"/>
      <c r="M809" s="21"/>
      <c r="N809" s="21"/>
      <c r="O809" s="21"/>
      <c r="P809" s="21"/>
      <c r="Q809" s="19"/>
      <c r="R809" s="19"/>
      <c r="S809" s="19"/>
      <c r="T809" s="19"/>
      <c r="U809" s="19"/>
      <c r="V809" s="19"/>
      <c r="W809" s="19"/>
      <c r="X809" s="19"/>
      <c r="Y809" s="19"/>
      <c r="Z809" s="19"/>
    </row>
    <row r="810">
      <c r="A810" s="21"/>
      <c r="B810" s="21"/>
      <c r="C810" s="21"/>
      <c r="D810" s="21"/>
      <c r="E810" s="21"/>
      <c r="F810" s="21"/>
      <c r="G810" s="21"/>
      <c r="H810" s="2"/>
      <c r="I810" s="21"/>
      <c r="J810" s="21"/>
      <c r="K810" s="21"/>
      <c r="L810" s="21"/>
      <c r="M810" s="21"/>
      <c r="N810" s="21"/>
      <c r="O810" s="21"/>
      <c r="P810" s="21"/>
      <c r="Q810" s="19"/>
      <c r="R810" s="19"/>
      <c r="S810" s="19"/>
      <c r="T810" s="19"/>
      <c r="U810" s="19"/>
      <c r="V810" s="19"/>
      <c r="W810" s="19"/>
      <c r="X810" s="19"/>
      <c r="Y810" s="19"/>
      <c r="Z810" s="19"/>
    </row>
    <row r="811">
      <c r="A811" s="21"/>
      <c r="B811" s="21"/>
      <c r="C811" s="21"/>
      <c r="D811" s="21"/>
      <c r="E811" s="21"/>
      <c r="F811" s="21"/>
      <c r="G811" s="21"/>
      <c r="H811" s="2"/>
      <c r="I811" s="21"/>
      <c r="J811" s="21"/>
      <c r="K811" s="21"/>
      <c r="L811" s="21"/>
      <c r="M811" s="21"/>
      <c r="N811" s="21"/>
      <c r="O811" s="21"/>
      <c r="P811" s="21"/>
      <c r="Q811" s="19"/>
      <c r="R811" s="19"/>
      <c r="S811" s="19"/>
      <c r="T811" s="19"/>
      <c r="U811" s="19"/>
      <c r="V811" s="19"/>
      <c r="W811" s="19"/>
      <c r="X811" s="19"/>
      <c r="Y811" s="19"/>
      <c r="Z811" s="19"/>
    </row>
    <row r="812">
      <c r="A812" s="21"/>
      <c r="B812" s="21"/>
      <c r="C812" s="21"/>
      <c r="D812" s="21"/>
      <c r="E812" s="21"/>
      <c r="F812" s="21"/>
      <c r="G812" s="21"/>
      <c r="H812" s="2"/>
      <c r="I812" s="21"/>
      <c r="J812" s="21"/>
      <c r="K812" s="21"/>
      <c r="L812" s="21"/>
      <c r="M812" s="21"/>
      <c r="N812" s="21"/>
      <c r="O812" s="21"/>
      <c r="P812" s="21"/>
      <c r="Q812" s="19"/>
      <c r="R812" s="19"/>
      <c r="S812" s="19"/>
      <c r="T812" s="19"/>
      <c r="U812" s="19"/>
      <c r="V812" s="19"/>
      <c r="W812" s="19"/>
      <c r="X812" s="19"/>
      <c r="Y812" s="19"/>
      <c r="Z812" s="19"/>
    </row>
    <row r="813">
      <c r="A813" s="21"/>
      <c r="B813" s="21"/>
      <c r="C813" s="21"/>
      <c r="D813" s="21"/>
      <c r="E813" s="21"/>
      <c r="F813" s="21"/>
      <c r="G813" s="21"/>
      <c r="H813" s="2"/>
      <c r="I813" s="21"/>
      <c r="J813" s="21"/>
      <c r="K813" s="21"/>
      <c r="L813" s="21"/>
      <c r="M813" s="21"/>
      <c r="N813" s="21"/>
      <c r="O813" s="21"/>
      <c r="P813" s="21"/>
      <c r="Q813" s="19"/>
      <c r="R813" s="19"/>
      <c r="S813" s="19"/>
      <c r="T813" s="19"/>
      <c r="U813" s="19"/>
      <c r="V813" s="19"/>
      <c r="W813" s="19"/>
      <c r="X813" s="19"/>
      <c r="Y813" s="19"/>
      <c r="Z813" s="19"/>
    </row>
    <row r="814">
      <c r="A814" s="21"/>
      <c r="B814" s="21"/>
      <c r="C814" s="21"/>
      <c r="D814" s="21"/>
      <c r="E814" s="21"/>
      <c r="F814" s="21"/>
      <c r="G814" s="21"/>
      <c r="H814" s="2"/>
      <c r="I814" s="21"/>
      <c r="J814" s="21"/>
      <c r="K814" s="21"/>
      <c r="L814" s="21"/>
      <c r="M814" s="21"/>
      <c r="N814" s="21"/>
      <c r="O814" s="21"/>
      <c r="P814" s="21"/>
      <c r="Q814" s="19"/>
      <c r="R814" s="19"/>
      <c r="S814" s="19"/>
      <c r="T814" s="19"/>
      <c r="U814" s="19"/>
      <c r="V814" s="19"/>
      <c r="W814" s="19"/>
      <c r="X814" s="19"/>
      <c r="Y814" s="19"/>
      <c r="Z814" s="19"/>
    </row>
    <row r="815">
      <c r="A815" s="21"/>
      <c r="B815" s="21"/>
      <c r="C815" s="21"/>
      <c r="D815" s="21"/>
      <c r="E815" s="21"/>
      <c r="F815" s="21"/>
      <c r="G815" s="21"/>
      <c r="H815" s="2"/>
      <c r="I815" s="21"/>
      <c r="J815" s="21"/>
      <c r="K815" s="21"/>
      <c r="L815" s="21"/>
      <c r="M815" s="21"/>
      <c r="N815" s="21"/>
      <c r="O815" s="21"/>
      <c r="P815" s="21"/>
      <c r="Q815" s="19"/>
      <c r="R815" s="19"/>
      <c r="S815" s="19"/>
      <c r="T815" s="19"/>
      <c r="U815" s="19"/>
      <c r="V815" s="19"/>
      <c r="W815" s="19"/>
      <c r="X815" s="19"/>
      <c r="Y815" s="19"/>
      <c r="Z815" s="19"/>
    </row>
    <row r="816">
      <c r="A816" s="21"/>
      <c r="B816" s="21"/>
      <c r="C816" s="21"/>
      <c r="D816" s="21"/>
      <c r="E816" s="21"/>
      <c r="F816" s="21"/>
      <c r="G816" s="21"/>
      <c r="H816" s="2"/>
      <c r="I816" s="21"/>
      <c r="J816" s="21"/>
      <c r="K816" s="21"/>
      <c r="L816" s="21"/>
      <c r="M816" s="21"/>
      <c r="N816" s="21"/>
      <c r="O816" s="21"/>
      <c r="P816" s="21"/>
      <c r="Q816" s="19"/>
      <c r="R816" s="19"/>
      <c r="S816" s="19"/>
      <c r="T816" s="19"/>
      <c r="U816" s="19"/>
      <c r="V816" s="19"/>
      <c r="W816" s="19"/>
      <c r="X816" s="19"/>
      <c r="Y816" s="19"/>
      <c r="Z816" s="19"/>
    </row>
    <row r="817">
      <c r="A817" s="21"/>
      <c r="B817" s="21"/>
      <c r="C817" s="21"/>
      <c r="D817" s="21"/>
      <c r="E817" s="21"/>
      <c r="F817" s="21"/>
      <c r="G817" s="21"/>
      <c r="H817" s="2"/>
      <c r="I817" s="21"/>
      <c r="J817" s="21"/>
      <c r="K817" s="21"/>
      <c r="L817" s="21"/>
      <c r="M817" s="21"/>
      <c r="N817" s="21"/>
      <c r="O817" s="21"/>
      <c r="P817" s="21"/>
      <c r="Q817" s="19"/>
      <c r="R817" s="19"/>
      <c r="S817" s="19"/>
      <c r="T817" s="19"/>
      <c r="U817" s="19"/>
      <c r="V817" s="19"/>
      <c r="W817" s="19"/>
      <c r="X817" s="19"/>
      <c r="Y817" s="19"/>
      <c r="Z817" s="19"/>
    </row>
    <row r="818">
      <c r="A818" s="21"/>
      <c r="B818" s="21"/>
      <c r="C818" s="21"/>
      <c r="D818" s="21"/>
      <c r="E818" s="21"/>
      <c r="F818" s="21"/>
      <c r="G818" s="21"/>
      <c r="H818" s="2"/>
      <c r="I818" s="21"/>
      <c r="J818" s="21"/>
      <c r="K818" s="21"/>
      <c r="L818" s="21"/>
      <c r="M818" s="21"/>
      <c r="N818" s="21"/>
      <c r="O818" s="21"/>
      <c r="P818" s="21"/>
      <c r="Q818" s="19"/>
      <c r="R818" s="19"/>
      <c r="S818" s="19"/>
      <c r="T818" s="19"/>
      <c r="U818" s="19"/>
      <c r="V818" s="19"/>
      <c r="W818" s="19"/>
      <c r="X818" s="19"/>
      <c r="Y818" s="19"/>
      <c r="Z818" s="19"/>
    </row>
    <row r="819">
      <c r="A819" s="21"/>
      <c r="B819" s="21"/>
      <c r="C819" s="21"/>
      <c r="D819" s="21"/>
      <c r="E819" s="21"/>
      <c r="F819" s="21"/>
      <c r="G819" s="21"/>
      <c r="H819" s="2"/>
      <c r="I819" s="21"/>
      <c r="J819" s="21"/>
      <c r="K819" s="21"/>
      <c r="L819" s="21"/>
      <c r="M819" s="21"/>
      <c r="N819" s="21"/>
      <c r="O819" s="21"/>
      <c r="P819" s="21"/>
      <c r="Q819" s="19"/>
      <c r="R819" s="19"/>
      <c r="S819" s="19"/>
      <c r="T819" s="19"/>
      <c r="U819" s="19"/>
      <c r="V819" s="19"/>
      <c r="W819" s="19"/>
      <c r="X819" s="19"/>
      <c r="Y819" s="19"/>
      <c r="Z819" s="19"/>
    </row>
    <row r="820">
      <c r="A820" s="21"/>
      <c r="B820" s="21"/>
      <c r="C820" s="21"/>
      <c r="D820" s="21"/>
      <c r="E820" s="21"/>
      <c r="F820" s="21"/>
      <c r="G820" s="21"/>
      <c r="H820" s="2"/>
      <c r="I820" s="21"/>
      <c r="J820" s="21"/>
      <c r="K820" s="21"/>
      <c r="L820" s="21"/>
      <c r="M820" s="21"/>
      <c r="N820" s="21"/>
      <c r="O820" s="21"/>
      <c r="P820" s="21"/>
      <c r="Q820" s="19"/>
      <c r="R820" s="19"/>
      <c r="S820" s="19"/>
      <c r="T820" s="19"/>
      <c r="U820" s="19"/>
      <c r="V820" s="19"/>
      <c r="W820" s="19"/>
      <c r="X820" s="19"/>
      <c r="Y820" s="19"/>
      <c r="Z820" s="19"/>
    </row>
    <row r="821">
      <c r="A821" s="21"/>
      <c r="B821" s="21"/>
      <c r="C821" s="21"/>
      <c r="D821" s="21"/>
      <c r="E821" s="21"/>
      <c r="F821" s="21"/>
      <c r="G821" s="21"/>
      <c r="H821" s="2"/>
      <c r="I821" s="21"/>
      <c r="J821" s="21"/>
      <c r="K821" s="21"/>
      <c r="L821" s="21"/>
      <c r="M821" s="21"/>
      <c r="N821" s="21"/>
      <c r="O821" s="21"/>
      <c r="P821" s="21"/>
      <c r="Q821" s="19"/>
      <c r="R821" s="19"/>
      <c r="S821" s="19"/>
      <c r="T821" s="19"/>
      <c r="U821" s="19"/>
      <c r="V821" s="19"/>
      <c r="W821" s="19"/>
      <c r="X821" s="19"/>
      <c r="Y821" s="19"/>
      <c r="Z821" s="19"/>
    </row>
    <row r="822">
      <c r="A822" s="21"/>
      <c r="B822" s="21"/>
      <c r="C822" s="21"/>
      <c r="D822" s="21"/>
      <c r="E822" s="21"/>
      <c r="F822" s="21"/>
      <c r="G822" s="21"/>
      <c r="H822" s="2"/>
      <c r="I822" s="21"/>
      <c r="J822" s="21"/>
      <c r="K822" s="21"/>
      <c r="L822" s="21"/>
      <c r="M822" s="21"/>
      <c r="N822" s="21"/>
      <c r="O822" s="21"/>
      <c r="P822" s="21"/>
      <c r="Q822" s="19"/>
      <c r="R822" s="19"/>
      <c r="S822" s="19"/>
      <c r="T822" s="19"/>
      <c r="U822" s="19"/>
      <c r="V822" s="19"/>
      <c r="W822" s="19"/>
      <c r="X822" s="19"/>
      <c r="Y822" s="19"/>
      <c r="Z822" s="19"/>
    </row>
    <row r="823">
      <c r="A823" s="21"/>
      <c r="B823" s="21"/>
      <c r="C823" s="21"/>
      <c r="D823" s="21"/>
      <c r="E823" s="21"/>
      <c r="F823" s="21"/>
      <c r="G823" s="21"/>
      <c r="H823" s="2"/>
      <c r="I823" s="21"/>
      <c r="J823" s="21"/>
      <c r="K823" s="21"/>
      <c r="L823" s="21"/>
      <c r="M823" s="21"/>
      <c r="N823" s="21"/>
      <c r="O823" s="21"/>
      <c r="P823" s="21"/>
      <c r="Q823" s="19"/>
      <c r="R823" s="19"/>
      <c r="S823" s="19"/>
      <c r="T823" s="19"/>
      <c r="U823" s="19"/>
      <c r="V823" s="19"/>
      <c r="W823" s="19"/>
      <c r="X823" s="19"/>
      <c r="Y823" s="19"/>
      <c r="Z823" s="19"/>
    </row>
    <row r="824">
      <c r="A824" s="21"/>
      <c r="B824" s="21"/>
      <c r="C824" s="21"/>
      <c r="D824" s="21"/>
      <c r="E824" s="21"/>
      <c r="F824" s="21"/>
      <c r="G824" s="21"/>
      <c r="H824" s="2"/>
      <c r="I824" s="21"/>
      <c r="J824" s="21"/>
      <c r="K824" s="21"/>
      <c r="L824" s="21"/>
      <c r="M824" s="21"/>
      <c r="N824" s="21"/>
      <c r="O824" s="21"/>
      <c r="P824" s="21"/>
      <c r="Q824" s="19"/>
      <c r="R824" s="19"/>
      <c r="S824" s="19"/>
      <c r="T824" s="19"/>
      <c r="U824" s="19"/>
      <c r="V824" s="19"/>
      <c r="W824" s="19"/>
      <c r="X824" s="19"/>
      <c r="Y824" s="19"/>
      <c r="Z824" s="19"/>
    </row>
    <row r="825">
      <c r="A825" s="21"/>
      <c r="B825" s="21"/>
      <c r="C825" s="21"/>
      <c r="D825" s="21"/>
      <c r="E825" s="21"/>
      <c r="F825" s="21"/>
      <c r="G825" s="21"/>
      <c r="H825" s="2"/>
      <c r="I825" s="21"/>
      <c r="J825" s="21"/>
      <c r="K825" s="21"/>
      <c r="L825" s="21"/>
      <c r="M825" s="21"/>
      <c r="N825" s="21"/>
      <c r="O825" s="21"/>
      <c r="P825" s="21"/>
      <c r="Q825" s="19"/>
      <c r="R825" s="19"/>
      <c r="S825" s="19"/>
      <c r="T825" s="19"/>
      <c r="U825" s="19"/>
      <c r="V825" s="19"/>
      <c r="W825" s="19"/>
      <c r="X825" s="19"/>
      <c r="Y825" s="19"/>
      <c r="Z825" s="19"/>
    </row>
    <row r="826">
      <c r="A826" s="21"/>
      <c r="B826" s="21"/>
      <c r="C826" s="21"/>
      <c r="D826" s="21"/>
      <c r="E826" s="21"/>
      <c r="F826" s="21"/>
      <c r="G826" s="21"/>
      <c r="H826" s="2"/>
      <c r="I826" s="21"/>
      <c r="J826" s="21"/>
      <c r="K826" s="21"/>
      <c r="L826" s="21"/>
      <c r="M826" s="21"/>
      <c r="N826" s="21"/>
      <c r="O826" s="21"/>
      <c r="P826" s="21"/>
      <c r="Q826" s="19"/>
      <c r="R826" s="19"/>
      <c r="S826" s="19"/>
      <c r="T826" s="19"/>
      <c r="U826" s="19"/>
      <c r="V826" s="19"/>
      <c r="W826" s="19"/>
      <c r="X826" s="19"/>
      <c r="Y826" s="19"/>
      <c r="Z826" s="19"/>
    </row>
    <row r="827">
      <c r="A827" s="21"/>
      <c r="B827" s="21"/>
      <c r="C827" s="21"/>
      <c r="D827" s="21"/>
      <c r="E827" s="21"/>
      <c r="F827" s="21"/>
      <c r="G827" s="21"/>
      <c r="H827" s="2"/>
      <c r="I827" s="21"/>
      <c r="J827" s="21"/>
      <c r="K827" s="21"/>
      <c r="L827" s="21"/>
      <c r="M827" s="21"/>
      <c r="N827" s="21"/>
      <c r="O827" s="21"/>
      <c r="P827" s="21"/>
      <c r="Q827" s="19"/>
      <c r="R827" s="19"/>
      <c r="S827" s="19"/>
      <c r="T827" s="19"/>
      <c r="U827" s="19"/>
      <c r="V827" s="19"/>
      <c r="W827" s="19"/>
      <c r="X827" s="19"/>
      <c r="Y827" s="19"/>
      <c r="Z827" s="19"/>
    </row>
    <row r="828">
      <c r="A828" s="21"/>
      <c r="B828" s="21"/>
      <c r="C828" s="21"/>
      <c r="D828" s="21"/>
      <c r="E828" s="21"/>
      <c r="F828" s="21"/>
      <c r="G828" s="21"/>
      <c r="H828" s="2"/>
      <c r="I828" s="21"/>
      <c r="J828" s="21"/>
      <c r="K828" s="21"/>
      <c r="L828" s="21"/>
      <c r="M828" s="21"/>
      <c r="N828" s="21"/>
      <c r="O828" s="21"/>
      <c r="P828" s="21"/>
      <c r="Q828" s="19"/>
      <c r="R828" s="19"/>
      <c r="S828" s="19"/>
      <c r="T828" s="19"/>
      <c r="U828" s="19"/>
      <c r="V828" s="19"/>
      <c r="W828" s="19"/>
      <c r="X828" s="19"/>
      <c r="Y828" s="19"/>
      <c r="Z828" s="19"/>
    </row>
    <row r="829">
      <c r="A829" s="21"/>
      <c r="B829" s="21"/>
      <c r="C829" s="21"/>
      <c r="D829" s="21"/>
      <c r="E829" s="21"/>
      <c r="F829" s="21"/>
      <c r="G829" s="21"/>
      <c r="H829" s="2"/>
      <c r="I829" s="21"/>
      <c r="J829" s="21"/>
      <c r="K829" s="21"/>
      <c r="L829" s="21"/>
      <c r="M829" s="21"/>
      <c r="N829" s="21"/>
      <c r="O829" s="21"/>
      <c r="P829" s="21"/>
      <c r="Q829" s="19"/>
      <c r="R829" s="19"/>
      <c r="S829" s="19"/>
      <c r="T829" s="19"/>
      <c r="U829" s="19"/>
      <c r="V829" s="19"/>
      <c r="W829" s="19"/>
      <c r="X829" s="19"/>
      <c r="Y829" s="19"/>
      <c r="Z829" s="19"/>
    </row>
    <row r="830">
      <c r="A830" s="21"/>
      <c r="B830" s="21"/>
      <c r="C830" s="21"/>
      <c r="D830" s="21"/>
      <c r="E830" s="21"/>
      <c r="F830" s="21"/>
      <c r="G830" s="21"/>
      <c r="H830" s="2"/>
      <c r="I830" s="21"/>
      <c r="J830" s="21"/>
      <c r="K830" s="21"/>
      <c r="L830" s="21"/>
      <c r="M830" s="21"/>
      <c r="N830" s="21"/>
      <c r="O830" s="21"/>
      <c r="P830" s="21"/>
      <c r="Q830" s="19"/>
      <c r="R830" s="19"/>
      <c r="S830" s="19"/>
      <c r="T830" s="19"/>
      <c r="U830" s="19"/>
      <c r="V830" s="19"/>
      <c r="W830" s="19"/>
      <c r="X830" s="19"/>
      <c r="Y830" s="19"/>
      <c r="Z830" s="19"/>
    </row>
    <row r="831">
      <c r="A831" s="21"/>
      <c r="B831" s="21"/>
      <c r="C831" s="21"/>
      <c r="D831" s="21"/>
      <c r="E831" s="21"/>
      <c r="F831" s="21"/>
      <c r="G831" s="21"/>
      <c r="H831" s="2"/>
      <c r="I831" s="21"/>
      <c r="J831" s="21"/>
      <c r="K831" s="21"/>
      <c r="L831" s="21"/>
      <c r="M831" s="21"/>
      <c r="N831" s="21"/>
      <c r="O831" s="21"/>
      <c r="P831" s="21"/>
      <c r="Q831" s="19"/>
      <c r="R831" s="19"/>
      <c r="S831" s="19"/>
      <c r="T831" s="19"/>
      <c r="U831" s="19"/>
      <c r="V831" s="19"/>
      <c r="W831" s="19"/>
      <c r="X831" s="19"/>
      <c r="Y831" s="19"/>
      <c r="Z831" s="19"/>
    </row>
    <row r="832">
      <c r="A832" s="21"/>
      <c r="B832" s="21"/>
      <c r="C832" s="21"/>
      <c r="D832" s="21"/>
      <c r="E832" s="21"/>
      <c r="F832" s="21"/>
      <c r="G832" s="21"/>
      <c r="H832" s="2"/>
      <c r="I832" s="21"/>
      <c r="J832" s="21"/>
      <c r="K832" s="21"/>
      <c r="L832" s="21"/>
      <c r="M832" s="21"/>
      <c r="N832" s="21"/>
      <c r="O832" s="21"/>
      <c r="P832" s="21"/>
      <c r="Q832" s="19"/>
      <c r="R832" s="19"/>
      <c r="S832" s="19"/>
      <c r="T832" s="19"/>
      <c r="U832" s="19"/>
      <c r="V832" s="19"/>
      <c r="W832" s="19"/>
      <c r="X832" s="19"/>
      <c r="Y832" s="19"/>
      <c r="Z832" s="19"/>
    </row>
    <row r="833">
      <c r="A833" s="21"/>
      <c r="B833" s="21"/>
      <c r="C833" s="21"/>
      <c r="D833" s="21"/>
      <c r="E833" s="21"/>
      <c r="F833" s="21"/>
      <c r="G833" s="21"/>
      <c r="H833" s="2"/>
      <c r="I833" s="21"/>
      <c r="J833" s="21"/>
      <c r="K833" s="21"/>
      <c r="L833" s="21"/>
      <c r="M833" s="21"/>
      <c r="N833" s="21"/>
      <c r="O833" s="21"/>
      <c r="P833" s="21"/>
      <c r="Q833" s="19"/>
      <c r="R833" s="19"/>
      <c r="S833" s="19"/>
      <c r="T833" s="19"/>
      <c r="U833" s="19"/>
      <c r="V833" s="19"/>
      <c r="W833" s="19"/>
      <c r="X833" s="19"/>
      <c r="Y833" s="19"/>
      <c r="Z833" s="19"/>
    </row>
    <row r="834">
      <c r="A834" s="21"/>
      <c r="B834" s="21"/>
      <c r="C834" s="21"/>
      <c r="D834" s="21"/>
      <c r="E834" s="21"/>
      <c r="F834" s="21"/>
      <c r="G834" s="21"/>
      <c r="H834" s="2"/>
      <c r="I834" s="21"/>
      <c r="J834" s="21"/>
      <c r="K834" s="21"/>
      <c r="L834" s="21"/>
      <c r="M834" s="21"/>
      <c r="N834" s="21"/>
      <c r="O834" s="21"/>
      <c r="P834" s="21"/>
      <c r="Q834" s="19"/>
      <c r="R834" s="19"/>
      <c r="S834" s="19"/>
      <c r="T834" s="19"/>
      <c r="U834" s="19"/>
      <c r="V834" s="19"/>
      <c r="W834" s="19"/>
      <c r="X834" s="19"/>
      <c r="Y834" s="19"/>
      <c r="Z834" s="19"/>
    </row>
    <row r="835">
      <c r="A835" s="21"/>
      <c r="B835" s="21"/>
      <c r="C835" s="21"/>
      <c r="D835" s="21"/>
      <c r="E835" s="21"/>
      <c r="F835" s="21"/>
      <c r="G835" s="21"/>
      <c r="H835" s="2"/>
      <c r="I835" s="21"/>
      <c r="J835" s="21"/>
      <c r="K835" s="21"/>
      <c r="L835" s="21"/>
      <c r="M835" s="21"/>
      <c r="N835" s="21"/>
      <c r="O835" s="21"/>
      <c r="P835" s="21"/>
      <c r="Q835" s="19"/>
      <c r="R835" s="19"/>
      <c r="S835" s="19"/>
      <c r="T835" s="19"/>
      <c r="U835" s="19"/>
      <c r="V835" s="19"/>
      <c r="W835" s="19"/>
      <c r="X835" s="19"/>
      <c r="Y835" s="19"/>
      <c r="Z835" s="19"/>
    </row>
    <row r="836">
      <c r="A836" s="21"/>
      <c r="B836" s="21"/>
      <c r="C836" s="21"/>
      <c r="D836" s="21"/>
      <c r="E836" s="21"/>
      <c r="F836" s="21"/>
      <c r="G836" s="21"/>
      <c r="H836" s="2"/>
      <c r="I836" s="21"/>
      <c r="J836" s="21"/>
      <c r="K836" s="21"/>
      <c r="L836" s="21"/>
      <c r="M836" s="21"/>
      <c r="N836" s="21"/>
      <c r="O836" s="21"/>
      <c r="P836" s="21"/>
      <c r="Q836" s="19"/>
      <c r="R836" s="19"/>
      <c r="S836" s="19"/>
      <c r="T836" s="19"/>
      <c r="U836" s="19"/>
      <c r="V836" s="19"/>
      <c r="W836" s="19"/>
      <c r="X836" s="19"/>
      <c r="Y836" s="19"/>
      <c r="Z836" s="19"/>
    </row>
    <row r="837">
      <c r="A837" s="21"/>
      <c r="B837" s="21"/>
      <c r="C837" s="21"/>
      <c r="D837" s="21"/>
      <c r="E837" s="21"/>
      <c r="F837" s="21"/>
      <c r="G837" s="21"/>
      <c r="H837" s="2"/>
      <c r="I837" s="21"/>
      <c r="J837" s="21"/>
      <c r="K837" s="21"/>
      <c r="L837" s="21"/>
      <c r="M837" s="21"/>
      <c r="N837" s="21"/>
      <c r="O837" s="21"/>
      <c r="P837" s="21"/>
      <c r="Q837" s="19"/>
      <c r="R837" s="19"/>
      <c r="S837" s="19"/>
      <c r="T837" s="19"/>
      <c r="U837" s="19"/>
      <c r="V837" s="19"/>
      <c r="W837" s="19"/>
      <c r="X837" s="19"/>
      <c r="Y837" s="19"/>
      <c r="Z837" s="19"/>
    </row>
    <row r="838">
      <c r="A838" s="21"/>
      <c r="B838" s="21"/>
      <c r="C838" s="21"/>
      <c r="D838" s="21"/>
      <c r="E838" s="21"/>
      <c r="F838" s="21"/>
      <c r="G838" s="21"/>
      <c r="H838" s="2"/>
      <c r="I838" s="21"/>
      <c r="J838" s="21"/>
      <c r="K838" s="21"/>
      <c r="L838" s="21"/>
      <c r="M838" s="21"/>
      <c r="N838" s="21"/>
      <c r="O838" s="21"/>
      <c r="P838" s="21"/>
      <c r="Q838" s="19"/>
      <c r="R838" s="19"/>
      <c r="S838" s="19"/>
      <c r="T838" s="19"/>
      <c r="U838" s="19"/>
      <c r="V838" s="19"/>
      <c r="W838" s="19"/>
      <c r="X838" s="19"/>
      <c r="Y838" s="19"/>
      <c r="Z838" s="19"/>
    </row>
    <row r="839">
      <c r="A839" s="21"/>
      <c r="B839" s="21"/>
      <c r="C839" s="21"/>
      <c r="D839" s="21"/>
      <c r="E839" s="21"/>
      <c r="F839" s="21"/>
      <c r="G839" s="21"/>
      <c r="H839" s="2"/>
      <c r="I839" s="21"/>
      <c r="J839" s="21"/>
      <c r="K839" s="21"/>
      <c r="L839" s="21"/>
      <c r="M839" s="21"/>
      <c r="N839" s="21"/>
      <c r="O839" s="21"/>
      <c r="P839" s="21"/>
      <c r="Q839" s="19"/>
      <c r="R839" s="19"/>
      <c r="S839" s="19"/>
      <c r="T839" s="19"/>
      <c r="U839" s="19"/>
      <c r="V839" s="19"/>
      <c r="W839" s="19"/>
      <c r="X839" s="19"/>
      <c r="Y839" s="19"/>
      <c r="Z839" s="19"/>
    </row>
    <row r="840">
      <c r="A840" s="21"/>
      <c r="B840" s="21"/>
      <c r="C840" s="21"/>
      <c r="D840" s="21"/>
      <c r="E840" s="21"/>
      <c r="F840" s="21"/>
      <c r="G840" s="21"/>
      <c r="H840" s="2"/>
      <c r="I840" s="21"/>
      <c r="J840" s="21"/>
      <c r="K840" s="21"/>
      <c r="L840" s="21"/>
      <c r="M840" s="21"/>
      <c r="N840" s="21"/>
      <c r="O840" s="21"/>
      <c r="P840" s="21"/>
      <c r="Q840" s="19"/>
      <c r="R840" s="19"/>
      <c r="S840" s="19"/>
      <c r="T840" s="19"/>
      <c r="U840" s="19"/>
      <c r="V840" s="19"/>
      <c r="W840" s="19"/>
      <c r="X840" s="19"/>
      <c r="Y840" s="19"/>
      <c r="Z840" s="19"/>
    </row>
    <row r="841">
      <c r="A841" s="21"/>
      <c r="B841" s="21"/>
      <c r="C841" s="21"/>
      <c r="D841" s="21"/>
      <c r="E841" s="21"/>
      <c r="F841" s="21"/>
      <c r="G841" s="21"/>
      <c r="H841" s="2"/>
      <c r="I841" s="21"/>
      <c r="J841" s="21"/>
      <c r="K841" s="21"/>
      <c r="L841" s="21"/>
      <c r="M841" s="21"/>
      <c r="N841" s="21"/>
      <c r="O841" s="21"/>
      <c r="P841" s="21"/>
      <c r="Q841" s="19"/>
      <c r="R841" s="19"/>
      <c r="S841" s="19"/>
      <c r="T841" s="19"/>
      <c r="U841" s="19"/>
      <c r="V841" s="19"/>
      <c r="W841" s="19"/>
      <c r="X841" s="19"/>
      <c r="Y841" s="19"/>
      <c r="Z841" s="19"/>
    </row>
    <row r="842">
      <c r="A842" s="21"/>
      <c r="B842" s="21"/>
      <c r="C842" s="21"/>
      <c r="D842" s="21"/>
      <c r="E842" s="21"/>
      <c r="F842" s="21"/>
      <c r="G842" s="21"/>
      <c r="H842" s="2"/>
      <c r="I842" s="21"/>
      <c r="J842" s="21"/>
      <c r="K842" s="21"/>
      <c r="L842" s="21"/>
      <c r="M842" s="21"/>
      <c r="N842" s="21"/>
      <c r="O842" s="21"/>
      <c r="P842" s="21"/>
      <c r="Q842" s="19"/>
      <c r="R842" s="19"/>
      <c r="S842" s="19"/>
      <c r="T842" s="19"/>
      <c r="U842" s="19"/>
      <c r="V842" s="19"/>
      <c r="W842" s="19"/>
      <c r="X842" s="19"/>
      <c r="Y842" s="19"/>
      <c r="Z842" s="19"/>
    </row>
    <row r="843">
      <c r="A843" s="21"/>
      <c r="B843" s="21"/>
      <c r="C843" s="21"/>
      <c r="D843" s="21"/>
      <c r="E843" s="21"/>
      <c r="F843" s="21"/>
      <c r="G843" s="21"/>
      <c r="H843" s="2"/>
      <c r="I843" s="21"/>
      <c r="J843" s="21"/>
      <c r="K843" s="21"/>
      <c r="L843" s="21"/>
      <c r="M843" s="21"/>
      <c r="N843" s="21"/>
      <c r="O843" s="21"/>
      <c r="P843" s="21"/>
      <c r="Q843" s="19"/>
      <c r="R843" s="19"/>
      <c r="S843" s="19"/>
      <c r="T843" s="19"/>
      <c r="U843" s="19"/>
      <c r="V843" s="19"/>
      <c r="W843" s="19"/>
      <c r="X843" s="19"/>
      <c r="Y843" s="19"/>
      <c r="Z843" s="19"/>
    </row>
    <row r="844">
      <c r="A844" s="21"/>
      <c r="B844" s="21"/>
      <c r="C844" s="21"/>
      <c r="D844" s="21"/>
      <c r="E844" s="21"/>
      <c r="F844" s="21"/>
      <c r="G844" s="21"/>
      <c r="H844" s="2"/>
      <c r="I844" s="21"/>
      <c r="J844" s="21"/>
      <c r="K844" s="21"/>
      <c r="L844" s="21"/>
      <c r="M844" s="21"/>
      <c r="N844" s="21"/>
      <c r="O844" s="21"/>
      <c r="P844" s="21"/>
      <c r="Q844" s="19"/>
      <c r="R844" s="19"/>
      <c r="S844" s="19"/>
      <c r="T844" s="19"/>
      <c r="U844" s="19"/>
      <c r="V844" s="19"/>
      <c r="W844" s="19"/>
      <c r="X844" s="19"/>
      <c r="Y844" s="19"/>
      <c r="Z844" s="19"/>
    </row>
    <row r="845">
      <c r="A845" s="21"/>
      <c r="B845" s="21"/>
      <c r="C845" s="21"/>
      <c r="D845" s="21"/>
      <c r="E845" s="21"/>
      <c r="F845" s="21"/>
      <c r="G845" s="21"/>
      <c r="H845" s="2"/>
      <c r="I845" s="21"/>
      <c r="J845" s="21"/>
      <c r="K845" s="21"/>
      <c r="L845" s="21"/>
      <c r="M845" s="21"/>
      <c r="N845" s="21"/>
      <c r="O845" s="21"/>
      <c r="P845" s="21"/>
      <c r="Q845" s="19"/>
      <c r="R845" s="19"/>
      <c r="S845" s="19"/>
      <c r="T845" s="19"/>
      <c r="U845" s="19"/>
      <c r="V845" s="19"/>
      <c r="W845" s="19"/>
      <c r="X845" s="19"/>
      <c r="Y845" s="19"/>
      <c r="Z845" s="19"/>
    </row>
    <row r="846">
      <c r="A846" s="21"/>
      <c r="B846" s="21"/>
      <c r="C846" s="21"/>
      <c r="D846" s="21"/>
      <c r="E846" s="21"/>
      <c r="F846" s="21"/>
      <c r="G846" s="21"/>
      <c r="H846" s="2"/>
      <c r="I846" s="21"/>
      <c r="J846" s="21"/>
      <c r="K846" s="21"/>
      <c r="L846" s="21"/>
      <c r="M846" s="21"/>
      <c r="N846" s="21"/>
      <c r="O846" s="21"/>
      <c r="P846" s="21"/>
      <c r="Q846" s="19"/>
      <c r="R846" s="19"/>
      <c r="S846" s="19"/>
      <c r="T846" s="19"/>
      <c r="U846" s="19"/>
      <c r="V846" s="19"/>
      <c r="W846" s="19"/>
      <c r="X846" s="19"/>
      <c r="Y846" s="19"/>
      <c r="Z846" s="19"/>
    </row>
    <row r="847">
      <c r="A847" s="21"/>
      <c r="B847" s="21"/>
      <c r="C847" s="21"/>
      <c r="D847" s="21"/>
      <c r="E847" s="21"/>
      <c r="F847" s="21"/>
      <c r="G847" s="21"/>
      <c r="H847" s="2"/>
      <c r="I847" s="21"/>
      <c r="J847" s="21"/>
      <c r="K847" s="21"/>
      <c r="L847" s="21"/>
      <c r="M847" s="21"/>
      <c r="N847" s="21"/>
      <c r="O847" s="21"/>
      <c r="P847" s="21"/>
      <c r="Q847" s="19"/>
      <c r="R847" s="19"/>
      <c r="S847" s="19"/>
      <c r="T847" s="19"/>
      <c r="U847" s="19"/>
      <c r="V847" s="19"/>
      <c r="W847" s="19"/>
      <c r="X847" s="19"/>
      <c r="Y847" s="19"/>
      <c r="Z847" s="19"/>
    </row>
    <row r="848">
      <c r="A848" s="21"/>
      <c r="B848" s="21"/>
      <c r="C848" s="21"/>
      <c r="D848" s="21"/>
      <c r="E848" s="21"/>
      <c r="F848" s="21"/>
      <c r="G848" s="21"/>
      <c r="H848" s="2"/>
      <c r="I848" s="21"/>
      <c r="J848" s="21"/>
      <c r="K848" s="21"/>
      <c r="L848" s="21"/>
      <c r="M848" s="21"/>
      <c r="N848" s="21"/>
      <c r="O848" s="21"/>
      <c r="P848" s="21"/>
      <c r="Q848" s="19"/>
      <c r="R848" s="19"/>
      <c r="S848" s="19"/>
      <c r="T848" s="19"/>
      <c r="U848" s="19"/>
      <c r="V848" s="19"/>
      <c r="W848" s="19"/>
      <c r="X848" s="19"/>
      <c r="Y848" s="19"/>
      <c r="Z848" s="19"/>
    </row>
    <row r="849">
      <c r="A849" s="21"/>
      <c r="B849" s="21"/>
      <c r="C849" s="21"/>
      <c r="D849" s="21"/>
      <c r="E849" s="21"/>
      <c r="F849" s="21"/>
      <c r="G849" s="21"/>
      <c r="H849" s="2"/>
      <c r="I849" s="21"/>
      <c r="J849" s="21"/>
      <c r="K849" s="21"/>
      <c r="L849" s="21"/>
      <c r="M849" s="21"/>
      <c r="N849" s="21"/>
      <c r="O849" s="21"/>
      <c r="P849" s="21"/>
      <c r="Q849" s="19"/>
      <c r="R849" s="19"/>
      <c r="S849" s="19"/>
      <c r="T849" s="19"/>
      <c r="U849" s="19"/>
      <c r="V849" s="19"/>
      <c r="W849" s="19"/>
      <c r="X849" s="19"/>
      <c r="Y849" s="19"/>
      <c r="Z849" s="19"/>
    </row>
    <row r="850">
      <c r="A850" s="21"/>
      <c r="B850" s="21"/>
      <c r="C850" s="21"/>
      <c r="D850" s="21"/>
      <c r="E850" s="21"/>
      <c r="F850" s="21"/>
      <c r="G850" s="21"/>
      <c r="H850" s="2"/>
      <c r="I850" s="21"/>
      <c r="J850" s="21"/>
      <c r="K850" s="21"/>
      <c r="L850" s="21"/>
      <c r="M850" s="21"/>
      <c r="N850" s="21"/>
      <c r="O850" s="21"/>
      <c r="P850" s="21"/>
      <c r="Q850" s="19"/>
      <c r="R850" s="19"/>
      <c r="S850" s="19"/>
      <c r="T850" s="19"/>
      <c r="U850" s="19"/>
      <c r="V850" s="19"/>
      <c r="W850" s="19"/>
      <c r="X850" s="19"/>
      <c r="Y850" s="19"/>
      <c r="Z850" s="19"/>
    </row>
    <row r="851">
      <c r="A851" s="21"/>
      <c r="B851" s="21"/>
      <c r="C851" s="21"/>
      <c r="D851" s="21"/>
      <c r="E851" s="21"/>
      <c r="F851" s="21"/>
      <c r="G851" s="21"/>
      <c r="H851" s="2"/>
      <c r="I851" s="21"/>
      <c r="J851" s="21"/>
      <c r="K851" s="21"/>
      <c r="L851" s="21"/>
      <c r="M851" s="21"/>
      <c r="N851" s="21"/>
      <c r="O851" s="21"/>
      <c r="P851" s="21"/>
      <c r="Q851" s="19"/>
      <c r="R851" s="19"/>
      <c r="S851" s="19"/>
      <c r="T851" s="19"/>
      <c r="U851" s="19"/>
      <c r="V851" s="19"/>
      <c r="W851" s="19"/>
      <c r="X851" s="19"/>
      <c r="Y851" s="19"/>
      <c r="Z851" s="19"/>
    </row>
    <row r="852">
      <c r="A852" s="21"/>
      <c r="B852" s="21"/>
      <c r="C852" s="21"/>
      <c r="D852" s="21"/>
      <c r="E852" s="21"/>
      <c r="F852" s="21"/>
      <c r="G852" s="21"/>
      <c r="H852" s="2"/>
      <c r="I852" s="21"/>
      <c r="J852" s="21"/>
      <c r="K852" s="21"/>
      <c r="L852" s="21"/>
      <c r="M852" s="21"/>
      <c r="N852" s="21"/>
      <c r="O852" s="21"/>
      <c r="P852" s="21"/>
      <c r="Q852" s="19"/>
      <c r="R852" s="19"/>
      <c r="S852" s="19"/>
      <c r="T852" s="19"/>
      <c r="U852" s="19"/>
      <c r="V852" s="19"/>
      <c r="W852" s="19"/>
      <c r="X852" s="19"/>
      <c r="Y852" s="19"/>
      <c r="Z852" s="19"/>
    </row>
    <row r="853">
      <c r="A853" s="21"/>
      <c r="B853" s="21"/>
      <c r="C853" s="21"/>
      <c r="D853" s="21"/>
      <c r="E853" s="21"/>
      <c r="F853" s="21"/>
      <c r="G853" s="21"/>
      <c r="H853" s="2"/>
      <c r="I853" s="21"/>
      <c r="J853" s="21"/>
      <c r="K853" s="21"/>
      <c r="L853" s="21"/>
      <c r="M853" s="21"/>
      <c r="N853" s="21"/>
      <c r="O853" s="21"/>
      <c r="P853" s="21"/>
      <c r="Q853" s="19"/>
      <c r="R853" s="19"/>
      <c r="S853" s="19"/>
      <c r="T853" s="19"/>
      <c r="U853" s="19"/>
      <c r="V853" s="19"/>
      <c r="W853" s="19"/>
      <c r="X853" s="19"/>
      <c r="Y853" s="19"/>
      <c r="Z853" s="19"/>
    </row>
    <row r="854">
      <c r="A854" s="21"/>
      <c r="B854" s="21"/>
      <c r="C854" s="21"/>
      <c r="D854" s="21"/>
      <c r="E854" s="21"/>
      <c r="F854" s="21"/>
      <c r="G854" s="21"/>
      <c r="H854" s="2"/>
      <c r="I854" s="21"/>
      <c r="J854" s="21"/>
      <c r="K854" s="21"/>
      <c r="L854" s="21"/>
      <c r="M854" s="21"/>
      <c r="N854" s="21"/>
      <c r="O854" s="21"/>
      <c r="P854" s="21"/>
      <c r="Q854" s="19"/>
      <c r="R854" s="19"/>
      <c r="S854" s="19"/>
      <c r="T854" s="19"/>
      <c r="U854" s="19"/>
      <c r="V854" s="19"/>
      <c r="W854" s="19"/>
      <c r="X854" s="19"/>
      <c r="Y854" s="19"/>
      <c r="Z854" s="19"/>
    </row>
    <row r="855">
      <c r="A855" s="21"/>
      <c r="B855" s="21"/>
      <c r="C855" s="21"/>
      <c r="D855" s="21"/>
      <c r="E855" s="21"/>
      <c r="F855" s="21"/>
      <c r="G855" s="21"/>
      <c r="H855" s="2"/>
      <c r="I855" s="21"/>
      <c r="J855" s="21"/>
      <c r="K855" s="21"/>
      <c r="L855" s="21"/>
      <c r="M855" s="21"/>
      <c r="N855" s="21"/>
      <c r="O855" s="21"/>
      <c r="P855" s="21"/>
      <c r="Q855" s="19"/>
      <c r="R855" s="19"/>
      <c r="S855" s="19"/>
      <c r="T855" s="19"/>
      <c r="U855" s="19"/>
      <c r="V855" s="19"/>
      <c r="W855" s="19"/>
      <c r="X855" s="19"/>
      <c r="Y855" s="19"/>
      <c r="Z855" s="19"/>
    </row>
    <row r="856">
      <c r="A856" s="21"/>
      <c r="B856" s="21"/>
      <c r="C856" s="21"/>
      <c r="D856" s="21"/>
      <c r="E856" s="21"/>
      <c r="F856" s="21"/>
      <c r="G856" s="21"/>
      <c r="H856" s="2"/>
      <c r="I856" s="21"/>
      <c r="J856" s="21"/>
      <c r="K856" s="21"/>
      <c r="L856" s="21"/>
      <c r="M856" s="21"/>
      <c r="N856" s="21"/>
      <c r="O856" s="21"/>
      <c r="P856" s="21"/>
      <c r="Q856" s="19"/>
      <c r="R856" s="19"/>
      <c r="S856" s="19"/>
      <c r="T856" s="19"/>
      <c r="U856" s="19"/>
      <c r="V856" s="19"/>
      <c r="W856" s="19"/>
      <c r="X856" s="19"/>
      <c r="Y856" s="19"/>
      <c r="Z856" s="19"/>
    </row>
    <row r="857">
      <c r="A857" s="21"/>
      <c r="B857" s="21"/>
      <c r="C857" s="21"/>
      <c r="D857" s="21"/>
      <c r="E857" s="21"/>
      <c r="F857" s="21"/>
      <c r="G857" s="21"/>
      <c r="H857" s="2"/>
      <c r="I857" s="21"/>
      <c r="J857" s="21"/>
      <c r="K857" s="21"/>
      <c r="L857" s="21"/>
      <c r="M857" s="21"/>
      <c r="N857" s="21"/>
      <c r="O857" s="21"/>
      <c r="P857" s="21"/>
      <c r="Q857" s="19"/>
      <c r="R857" s="19"/>
      <c r="S857" s="19"/>
      <c r="T857" s="19"/>
      <c r="U857" s="19"/>
      <c r="V857" s="19"/>
      <c r="W857" s="19"/>
      <c r="X857" s="19"/>
      <c r="Y857" s="19"/>
      <c r="Z857" s="19"/>
    </row>
    <row r="858">
      <c r="A858" s="21"/>
      <c r="B858" s="21"/>
      <c r="C858" s="21"/>
      <c r="D858" s="21"/>
      <c r="E858" s="21"/>
      <c r="F858" s="21"/>
      <c r="G858" s="21"/>
      <c r="H858" s="2"/>
      <c r="I858" s="21"/>
      <c r="J858" s="21"/>
      <c r="K858" s="21"/>
      <c r="L858" s="21"/>
      <c r="M858" s="21"/>
      <c r="N858" s="21"/>
      <c r="O858" s="21"/>
      <c r="P858" s="21"/>
      <c r="Q858" s="19"/>
      <c r="R858" s="19"/>
      <c r="S858" s="19"/>
      <c r="T858" s="19"/>
      <c r="U858" s="19"/>
      <c r="V858" s="19"/>
      <c r="W858" s="19"/>
      <c r="X858" s="19"/>
      <c r="Y858" s="19"/>
      <c r="Z858" s="19"/>
    </row>
    <row r="859">
      <c r="A859" s="21"/>
      <c r="B859" s="21"/>
      <c r="C859" s="21"/>
      <c r="D859" s="21"/>
      <c r="E859" s="21"/>
      <c r="F859" s="21"/>
      <c r="G859" s="21"/>
      <c r="H859" s="2"/>
      <c r="I859" s="21"/>
      <c r="J859" s="21"/>
      <c r="K859" s="21"/>
      <c r="L859" s="21"/>
      <c r="M859" s="21"/>
      <c r="N859" s="21"/>
      <c r="O859" s="21"/>
      <c r="P859" s="21"/>
      <c r="Q859" s="19"/>
      <c r="R859" s="19"/>
      <c r="S859" s="19"/>
      <c r="T859" s="19"/>
      <c r="U859" s="19"/>
      <c r="V859" s="19"/>
      <c r="W859" s="19"/>
      <c r="X859" s="19"/>
      <c r="Y859" s="19"/>
      <c r="Z859" s="19"/>
    </row>
    <row r="860">
      <c r="A860" s="21"/>
      <c r="B860" s="21"/>
      <c r="C860" s="21"/>
      <c r="D860" s="21"/>
      <c r="E860" s="21"/>
      <c r="F860" s="21"/>
      <c r="G860" s="21"/>
      <c r="H860" s="2"/>
      <c r="I860" s="21"/>
      <c r="J860" s="21"/>
      <c r="K860" s="21"/>
      <c r="L860" s="21"/>
      <c r="M860" s="21"/>
      <c r="N860" s="21"/>
      <c r="O860" s="21"/>
      <c r="P860" s="21"/>
      <c r="Q860" s="19"/>
      <c r="R860" s="19"/>
      <c r="S860" s="19"/>
      <c r="T860" s="19"/>
      <c r="U860" s="19"/>
      <c r="V860" s="19"/>
      <c r="W860" s="19"/>
      <c r="X860" s="19"/>
      <c r="Y860" s="19"/>
      <c r="Z860" s="19"/>
    </row>
    <row r="861">
      <c r="A861" s="21"/>
      <c r="B861" s="21"/>
      <c r="C861" s="21"/>
      <c r="D861" s="21"/>
      <c r="E861" s="21"/>
      <c r="F861" s="21"/>
      <c r="G861" s="21"/>
      <c r="H861" s="2"/>
      <c r="I861" s="21"/>
      <c r="J861" s="21"/>
      <c r="K861" s="21"/>
      <c r="L861" s="21"/>
      <c r="M861" s="21"/>
      <c r="N861" s="21"/>
      <c r="O861" s="21"/>
      <c r="P861" s="21"/>
      <c r="Q861" s="19"/>
      <c r="R861" s="19"/>
      <c r="S861" s="19"/>
      <c r="T861" s="19"/>
      <c r="U861" s="19"/>
      <c r="V861" s="19"/>
      <c r="W861" s="19"/>
      <c r="X861" s="19"/>
      <c r="Y861" s="19"/>
      <c r="Z861" s="19"/>
    </row>
    <row r="862">
      <c r="A862" s="21"/>
      <c r="B862" s="21"/>
      <c r="C862" s="21"/>
      <c r="D862" s="21"/>
      <c r="E862" s="21"/>
      <c r="F862" s="21"/>
      <c r="G862" s="21"/>
      <c r="H862" s="2"/>
      <c r="I862" s="21"/>
      <c r="J862" s="21"/>
      <c r="K862" s="21"/>
      <c r="L862" s="21"/>
      <c r="M862" s="21"/>
      <c r="N862" s="21"/>
      <c r="O862" s="21"/>
      <c r="P862" s="21"/>
      <c r="Q862" s="19"/>
      <c r="R862" s="19"/>
      <c r="S862" s="19"/>
      <c r="T862" s="19"/>
      <c r="U862" s="19"/>
      <c r="V862" s="19"/>
      <c r="W862" s="19"/>
      <c r="X862" s="19"/>
      <c r="Y862" s="19"/>
      <c r="Z862" s="19"/>
    </row>
    <row r="863">
      <c r="A863" s="21"/>
      <c r="B863" s="21"/>
      <c r="C863" s="21"/>
      <c r="D863" s="21"/>
      <c r="E863" s="21"/>
      <c r="F863" s="21"/>
      <c r="G863" s="21"/>
      <c r="H863" s="2"/>
      <c r="I863" s="21"/>
      <c r="J863" s="21"/>
      <c r="K863" s="21"/>
      <c r="L863" s="21"/>
      <c r="M863" s="21"/>
      <c r="N863" s="21"/>
      <c r="O863" s="21"/>
      <c r="P863" s="21"/>
      <c r="Q863" s="19"/>
      <c r="R863" s="19"/>
      <c r="S863" s="19"/>
      <c r="T863" s="19"/>
      <c r="U863" s="19"/>
      <c r="V863" s="19"/>
      <c r="W863" s="19"/>
      <c r="X863" s="19"/>
      <c r="Y863" s="19"/>
      <c r="Z863" s="19"/>
    </row>
    <row r="864">
      <c r="A864" s="21"/>
      <c r="B864" s="21"/>
      <c r="C864" s="21"/>
      <c r="D864" s="21"/>
      <c r="E864" s="21"/>
      <c r="F864" s="21"/>
      <c r="G864" s="21"/>
      <c r="H864" s="2"/>
      <c r="I864" s="21"/>
      <c r="J864" s="21"/>
      <c r="K864" s="21"/>
      <c r="L864" s="21"/>
      <c r="M864" s="21"/>
      <c r="N864" s="21"/>
      <c r="O864" s="21"/>
      <c r="P864" s="21"/>
      <c r="Q864" s="19"/>
      <c r="R864" s="19"/>
      <c r="S864" s="19"/>
      <c r="T864" s="19"/>
      <c r="U864" s="19"/>
      <c r="V864" s="19"/>
      <c r="W864" s="19"/>
      <c r="X864" s="19"/>
      <c r="Y864" s="19"/>
      <c r="Z864" s="19"/>
    </row>
    <row r="865">
      <c r="A865" s="21"/>
      <c r="B865" s="21"/>
      <c r="C865" s="21"/>
      <c r="D865" s="21"/>
      <c r="E865" s="21"/>
      <c r="F865" s="21"/>
      <c r="G865" s="21"/>
      <c r="H865" s="2"/>
      <c r="I865" s="21"/>
      <c r="J865" s="21"/>
      <c r="K865" s="21"/>
      <c r="L865" s="21"/>
      <c r="M865" s="21"/>
      <c r="N865" s="21"/>
      <c r="O865" s="21"/>
      <c r="P865" s="21"/>
      <c r="Q865" s="19"/>
      <c r="R865" s="19"/>
      <c r="S865" s="19"/>
      <c r="T865" s="19"/>
      <c r="U865" s="19"/>
      <c r="V865" s="19"/>
      <c r="W865" s="19"/>
      <c r="X865" s="19"/>
      <c r="Y865" s="19"/>
      <c r="Z865" s="19"/>
    </row>
    <row r="866">
      <c r="A866" s="21"/>
      <c r="B866" s="21"/>
      <c r="C866" s="21"/>
      <c r="D866" s="21"/>
      <c r="E866" s="21"/>
      <c r="F866" s="21"/>
      <c r="G866" s="21"/>
      <c r="H866" s="2"/>
      <c r="I866" s="21"/>
      <c r="J866" s="21"/>
      <c r="K866" s="21"/>
      <c r="L866" s="21"/>
      <c r="M866" s="21"/>
      <c r="N866" s="21"/>
      <c r="O866" s="21"/>
      <c r="P866" s="21"/>
      <c r="Q866" s="19"/>
      <c r="R866" s="19"/>
      <c r="S866" s="19"/>
      <c r="T866" s="19"/>
      <c r="U866" s="19"/>
      <c r="V866" s="19"/>
      <c r="W866" s="19"/>
      <c r="X866" s="19"/>
      <c r="Y866" s="19"/>
      <c r="Z866" s="19"/>
    </row>
    <row r="867">
      <c r="A867" s="21"/>
      <c r="B867" s="21"/>
      <c r="C867" s="21"/>
      <c r="D867" s="21"/>
      <c r="E867" s="21"/>
      <c r="F867" s="21"/>
      <c r="G867" s="21"/>
      <c r="H867" s="2"/>
      <c r="I867" s="21"/>
      <c r="J867" s="21"/>
      <c r="K867" s="21"/>
      <c r="L867" s="21"/>
      <c r="M867" s="21"/>
      <c r="N867" s="21"/>
      <c r="O867" s="21"/>
      <c r="P867" s="21"/>
      <c r="Q867" s="19"/>
      <c r="R867" s="19"/>
      <c r="S867" s="19"/>
      <c r="T867" s="19"/>
      <c r="U867" s="19"/>
      <c r="V867" s="19"/>
      <c r="W867" s="19"/>
      <c r="X867" s="19"/>
      <c r="Y867" s="19"/>
      <c r="Z867" s="19"/>
    </row>
    <row r="868">
      <c r="A868" s="21"/>
      <c r="B868" s="21"/>
      <c r="C868" s="21"/>
      <c r="D868" s="21"/>
      <c r="E868" s="21"/>
      <c r="F868" s="21"/>
      <c r="G868" s="21"/>
      <c r="H868" s="2"/>
      <c r="I868" s="21"/>
      <c r="J868" s="21"/>
      <c r="K868" s="21"/>
      <c r="L868" s="21"/>
      <c r="M868" s="21"/>
      <c r="N868" s="21"/>
      <c r="O868" s="21"/>
      <c r="P868" s="21"/>
      <c r="Q868" s="19"/>
      <c r="R868" s="19"/>
      <c r="S868" s="19"/>
      <c r="T868" s="19"/>
      <c r="U868" s="19"/>
      <c r="V868" s="19"/>
      <c r="W868" s="19"/>
      <c r="X868" s="19"/>
      <c r="Y868" s="19"/>
      <c r="Z868" s="19"/>
    </row>
    <row r="869">
      <c r="A869" s="21"/>
      <c r="B869" s="21"/>
      <c r="C869" s="21"/>
      <c r="D869" s="21"/>
      <c r="E869" s="21"/>
      <c r="F869" s="21"/>
      <c r="G869" s="21"/>
      <c r="H869" s="2"/>
      <c r="I869" s="21"/>
      <c r="J869" s="21"/>
      <c r="K869" s="21"/>
      <c r="L869" s="21"/>
      <c r="M869" s="21"/>
      <c r="N869" s="21"/>
      <c r="O869" s="21"/>
      <c r="P869" s="21"/>
      <c r="Q869" s="19"/>
      <c r="R869" s="19"/>
      <c r="S869" s="19"/>
      <c r="T869" s="19"/>
      <c r="U869" s="19"/>
      <c r="V869" s="19"/>
      <c r="W869" s="19"/>
      <c r="X869" s="19"/>
      <c r="Y869" s="19"/>
      <c r="Z869" s="19"/>
    </row>
    <row r="870">
      <c r="A870" s="21"/>
      <c r="B870" s="21"/>
      <c r="C870" s="21"/>
      <c r="D870" s="21"/>
      <c r="E870" s="21"/>
      <c r="F870" s="21"/>
      <c r="G870" s="21"/>
      <c r="H870" s="2"/>
      <c r="I870" s="21"/>
      <c r="J870" s="21"/>
      <c r="K870" s="21"/>
      <c r="L870" s="21"/>
      <c r="M870" s="21"/>
      <c r="N870" s="21"/>
      <c r="O870" s="21"/>
      <c r="P870" s="21"/>
      <c r="Q870" s="19"/>
      <c r="R870" s="19"/>
      <c r="S870" s="19"/>
      <c r="T870" s="19"/>
      <c r="U870" s="19"/>
      <c r="V870" s="19"/>
      <c r="W870" s="19"/>
      <c r="X870" s="19"/>
      <c r="Y870" s="19"/>
      <c r="Z870" s="19"/>
    </row>
    <row r="871">
      <c r="A871" s="21"/>
      <c r="B871" s="21"/>
      <c r="C871" s="21"/>
      <c r="D871" s="21"/>
      <c r="E871" s="21"/>
      <c r="F871" s="21"/>
      <c r="G871" s="21"/>
      <c r="H871" s="2"/>
      <c r="I871" s="21"/>
      <c r="J871" s="21"/>
      <c r="K871" s="21"/>
      <c r="L871" s="21"/>
      <c r="M871" s="21"/>
      <c r="N871" s="21"/>
      <c r="O871" s="21"/>
      <c r="P871" s="21"/>
      <c r="Q871" s="19"/>
      <c r="R871" s="19"/>
      <c r="S871" s="19"/>
      <c r="T871" s="19"/>
      <c r="U871" s="19"/>
      <c r="V871" s="19"/>
      <c r="W871" s="19"/>
      <c r="X871" s="19"/>
      <c r="Y871" s="19"/>
      <c r="Z871" s="19"/>
    </row>
    <row r="872">
      <c r="A872" s="21"/>
      <c r="B872" s="21"/>
      <c r="C872" s="21"/>
      <c r="D872" s="21"/>
      <c r="E872" s="21"/>
      <c r="F872" s="21"/>
      <c r="G872" s="21"/>
      <c r="H872" s="2"/>
      <c r="I872" s="21"/>
      <c r="J872" s="21"/>
      <c r="K872" s="21"/>
      <c r="L872" s="21"/>
      <c r="M872" s="21"/>
      <c r="N872" s="21"/>
      <c r="O872" s="21"/>
      <c r="P872" s="21"/>
      <c r="Q872" s="19"/>
      <c r="R872" s="19"/>
      <c r="S872" s="19"/>
      <c r="T872" s="19"/>
      <c r="U872" s="19"/>
      <c r="V872" s="19"/>
      <c r="W872" s="19"/>
      <c r="X872" s="19"/>
      <c r="Y872" s="19"/>
      <c r="Z872" s="19"/>
    </row>
    <row r="873">
      <c r="A873" s="21"/>
      <c r="B873" s="21"/>
      <c r="C873" s="21"/>
      <c r="D873" s="21"/>
      <c r="E873" s="21"/>
      <c r="F873" s="21"/>
      <c r="G873" s="21"/>
      <c r="H873" s="2"/>
      <c r="I873" s="21"/>
      <c r="J873" s="21"/>
      <c r="K873" s="21"/>
      <c r="L873" s="21"/>
      <c r="M873" s="21"/>
      <c r="N873" s="21"/>
      <c r="O873" s="21"/>
      <c r="P873" s="21"/>
      <c r="Q873" s="19"/>
      <c r="R873" s="19"/>
      <c r="S873" s="19"/>
      <c r="T873" s="19"/>
      <c r="U873" s="19"/>
      <c r="V873" s="19"/>
      <c r="W873" s="19"/>
      <c r="X873" s="19"/>
      <c r="Y873" s="19"/>
      <c r="Z873" s="19"/>
    </row>
    <row r="874">
      <c r="A874" s="21"/>
      <c r="B874" s="21"/>
      <c r="C874" s="21"/>
      <c r="D874" s="21"/>
      <c r="E874" s="21"/>
      <c r="F874" s="21"/>
      <c r="G874" s="21"/>
      <c r="H874" s="2"/>
      <c r="I874" s="21"/>
      <c r="J874" s="21"/>
      <c r="K874" s="21"/>
      <c r="L874" s="21"/>
      <c r="M874" s="21"/>
      <c r="N874" s="21"/>
      <c r="O874" s="21"/>
      <c r="P874" s="21"/>
      <c r="Q874" s="19"/>
      <c r="R874" s="19"/>
      <c r="S874" s="19"/>
      <c r="T874" s="19"/>
      <c r="U874" s="19"/>
      <c r="V874" s="19"/>
      <c r="W874" s="19"/>
      <c r="X874" s="19"/>
      <c r="Y874" s="19"/>
      <c r="Z874" s="19"/>
    </row>
    <row r="875">
      <c r="A875" s="21"/>
      <c r="B875" s="21"/>
      <c r="C875" s="21"/>
      <c r="D875" s="21"/>
      <c r="E875" s="21"/>
      <c r="F875" s="21"/>
      <c r="G875" s="21"/>
      <c r="H875" s="2"/>
      <c r="I875" s="21"/>
      <c r="J875" s="21"/>
      <c r="K875" s="21"/>
      <c r="L875" s="21"/>
      <c r="M875" s="21"/>
      <c r="N875" s="21"/>
      <c r="O875" s="21"/>
      <c r="P875" s="21"/>
      <c r="Q875" s="19"/>
      <c r="R875" s="19"/>
      <c r="S875" s="19"/>
      <c r="T875" s="19"/>
      <c r="U875" s="19"/>
      <c r="V875" s="19"/>
      <c r="W875" s="19"/>
      <c r="X875" s="19"/>
      <c r="Y875" s="19"/>
      <c r="Z875" s="19"/>
    </row>
    <row r="876">
      <c r="A876" s="21"/>
      <c r="B876" s="21"/>
      <c r="C876" s="21"/>
      <c r="D876" s="21"/>
      <c r="E876" s="21"/>
      <c r="F876" s="21"/>
      <c r="G876" s="21"/>
      <c r="H876" s="2"/>
      <c r="I876" s="21"/>
      <c r="J876" s="21"/>
      <c r="K876" s="21"/>
      <c r="L876" s="21"/>
      <c r="M876" s="21"/>
      <c r="N876" s="21"/>
      <c r="O876" s="21"/>
      <c r="P876" s="21"/>
      <c r="Q876" s="19"/>
      <c r="R876" s="19"/>
      <c r="S876" s="19"/>
      <c r="T876" s="19"/>
      <c r="U876" s="19"/>
      <c r="V876" s="19"/>
      <c r="W876" s="19"/>
      <c r="X876" s="19"/>
      <c r="Y876" s="19"/>
      <c r="Z876" s="19"/>
    </row>
    <row r="877">
      <c r="A877" s="21"/>
      <c r="B877" s="21"/>
      <c r="C877" s="21"/>
      <c r="D877" s="21"/>
      <c r="E877" s="21"/>
      <c r="F877" s="21"/>
      <c r="G877" s="21"/>
      <c r="H877" s="2"/>
      <c r="I877" s="21"/>
      <c r="J877" s="21"/>
      <c r="K877" s="21"/>
      <c r="L877" s="21"/>
      <c r="M877" s="21"/>
      <c r="N877" s="21"/>
      <c r="O877" s="21"/>
      <c r="P877" s="21"/>
      <c r="Q877" s="19"/>
      <c r="R877" s="19"/>
      <c r="S877" s="19"/>
      <c r="T877" s="19"/>
      <c r="U877" s="19"/>
      <c r="V877" s="19"/>
      <c r="W877" s="19"/>
      <c r="X877" s="19"/>
      <c r="Y877" s="19"/>
      <c r="Z877" s="19"/>
    </row>
    <row r="878">
      <c r="A878" s="21"/>
      <c r="B878" s="21"/>
      <c r="C878" s="21"/>
      <c r="D878" s="21"/>
      <c r="E878" s="21"/>
      <c r="F878" s="21"/>
      <c r="G878" s="21"/>
      <c r="H878" s="2"/>
      <c r="I878" s="21"/>
      <c r="J878" s="21"/>
      <c r="K878" s="21"/>
      <c r="L878" s="21"/>
      <c r="M878" s="21"/>
      <c r="N878" s="21"/>
      <c r="O878" s="21"/>
      <c r="P878" s="21"/>
      <c r="Q878" s="19"/>
      <c r="R878" s="19"/>
      <c r="S878" s="19"/>
      <c r="T878" s="19"/>
      <c r="U878" s="19"/>
      <c r="V878" s="19"/>
      <c r="W878" s="19"/>
      <c r="X878" s="19"/>
      <c r="Y878" s="19"/>
      <c r="Z878" s="19"/>
    </row>
    <row r="879">
      <c r="A879" s="21"/>
      <c r="B879" s="21"/>
      <c r="C879" s="21"/>
      <c r="D879" s="21"/>
      <c r="E879" s="21"/>
      <c r="F879" s="21"/>
      <c r="G879" s="21"/>
      <c r="H879" s="2"/>
      <c r="I879" s="21"/>
      <c r="J879" s="21"/>
      <c r="K879" s="21"/>
      <c r="L879" s="21"/>
      <c r="M879" s="21"/>
      <c r="N879" s="21"/>
      <c r="O879" s="21"/>
      <c r="P879" s="21"/>
      <c r="Q879" s="19"/>
      <c r="R879" s="19"/>
      <c r="S879" s="19"/>
      <c r="T879" s="19"/>
      <c r="U879" s="19"/>
      <c r="V879" s="19"/>
      <c r="W879" s="19"/>
      <c r="X879" s="19"/>
      <c r="Y879" s="19"/>
      <c r="Z879" s="19"/>
    </row>
    <row r="880">
      <c r="A880" s="21"/>
      <c r="B880" s="21"/>
      <c r="C880" s="21"/>
      <c r="D880" s="21"/>
      <c r="E880" s="21"/>
      <c r="F880" s="21"/>
      <c r="G880" s="21"/>
      <c r="H880" s="2"/>
      <c r="I880" s="21"/>
      <c r="J880" s="21"/>
      <c r="K880" s="21"/>
      <c r="L880" s="21"/>
      <c r="M880" s="21"/>
      <c r="N880" s="21"/>
      <c r="O880" s="21"/>
      <c r="P880" s="21"/>
      <c r="Q880" s="19"/>
      <c r="R880" s="19"/>
      <c r="S880" s="19"/>
      <c r="T880" s="19"/>
      <c r="U880" s="19"/>
      <c r="V880" s="19"/>
      <c r="W880" s="19"/>
      <c r="X880" s="19"/>
      <c r="Y880" s="19"/>
      <c r="Z880" s="19"/>
    </row>
    <row r="881">
      <c r="A881" s="21"/>
      <c r="B881" s="21"/>
      <c r="C881" s="21"/>
      <c r="D881" s="21"/>
      <c r="E881" s="21"/>
      <c r="F881" s="21"/>
      <c r="G881" s="21"/>
      <c r="H881" s="2"/>
      <c r="I881" s="21"/>
      <c r="J881" s="21"/>
      <c r="K881" s="21"/>
      <c r="L881" s="21"/>
      <c r="M881" s="21"/>
      <c r="N881" s="21"/>
      <c r="O881" s="21"/>
      <c r="P881" s="21"/>
      <c r="Q881" s="19"/>
      <c r="R881" s="19"/>
      <c r="S881" s="19"/>
      <c r="T881" s="19"/>
      <c r="U881" s="19"/>
      <c r="V881" s="19"/>
      <c r="W881" s="19"/>
      <c r="X881" s="19"/>
      <c r="Y881" s="19"/>
      <c r="Z881" s="19"/>
    </row>
    <row r="882">
      <c r="A882" s="21"/>
      <c r="B882" s="21"/>
      <c r="C882" s="21"/>
      <c r="D882" s="21"/>
      <c r="E882" s="21"/>
      <c r="F882" s="21"/>
      <c r="G882" s="21"/>
      <c r="H882" s="2"/>
      <c r="I882" s="21"/>
      <c r="J882" s="21"/>
      <c r="K882" s="21"/>
      <c r="L882" s="21"/>
      <c r="M882" s="21"/>
      <c r="N882" s="21"/>
      <c r="O882" s="21"/>
      <c r="P882" s="21"/>
      <c r="Q882" s="19"/>
      <c r="R882" s="19"/>
      <c r="S882" s="19"/>
      <c r="T882" s="19"/>
      <c r="U882" s="19"/>
      <c r="V882" s="19"/>
      <c r="W882" s="19"/>
      <c r="X882" s="19"/>
      <c r="Y882" s="19"/>
      <c r="Z882" s="19"/>
    </row>
    <row r="883">
      <c r="A883" s="21"/>
      <c r="B883" s="21"/>
      <c r="C883" s="21"/>
      <c r="D883" s="21"/>
      <c r="E883" s="21"/>
      <c r="F883" s="21"/>
      <c r="G883" s="21"/>
      <c r="H883" s="2"/>
      <c r="I883" s="21"/>
      <c r="J883" s="21"/>
      <c r="K883" s="21"/>
      <c r="L883" s="21"/>
      <c r="M883" s="21"/>
      <c r="N883" s="21"/>
      <c r="O883" s="21"/>
      <c r="P883" s="21"/>
      <c r="Q883" s="19"/>
      <c r="R883" s="19"/>
      <c r="S883" s="19"/>
      <c r="T883" s="19"/>
      <c r="U883" s="19"/>
      <c r="V883" s="19"/>
      <c r="W883" s="19"/>
      <c r="X883" s="19"/>
      <c r="Y883" s="19"/>
      <c r="Z883" s="19"/>
    </row>
    <row r="884">
      <c r="A884" s="21"/>
      <c r="B884" s="21"/>
      <c r="C884" s="21"/>
      <c r="D884" s="21"/>
      <c r="E884" s="21"/>
      <c r="F884" s="21"/>
      <c r="G884" s="21"/>
      <c r="H884" s="2"/>
      <c r="I884" s="21"/>
      <c r="J884" s="21"/>
      <c r="K884" s="21"/>
      <c r="L884" s="21"/>
      <c r="M884" s="21"/>
      <c r="N884" s="21"/>
      <c r="O884" s="21"/>
      <c r="P884" s="21"/>
      <c r="Q884" s="19"/>
      <c r="R884" s="19"/>
      <c r="S884" s="19"/>
      <c r="T884" s="19"/>
      <c r="U884" s="19"/>
      <c r="V884" s="19"/>
      <c r="W884" s="19"/>
      <c r="X884" s="19"/>
      <c r="Y884" s="19"/>
      <c r="Z884" s="19"/>
    </row>
    <row r="885">
      <c r="A885" s="21"/>
      <c r="B885" s="21"/>
      <c r="C885" s="21"/>
      <c r="D885" s="21"/>
      <c r="E885" s="21"/>
      <c r="F885" s="21"/>
      <c r="G885" s="21"/>
      <c r="H885" s="2"/>
      <c r="I885" s="21"/>
      <c r="J885" s="21"/>
      <c r="K885" s="21"/>
      <c r="L885" s="21"/>
      <c r="M885" s="21"/>
      <c r="N885" s="21"/>
      <c r="O885" s="21"/>
      <c r="P885" s="21"/>
      <c r="Q885" s="19"/>
      <c r="R885" s="19"/>
      <c r="S885" s="19"/>
      <c r="T885" s="19"/>
      <c r="U885" s="19"/>
      <c r="V885" s="19"/>
      <c r="W885" s="19"/>
      <c r="X885" s="19"/>
      <c r="Y885" s="19"/>
      <c r="Z885" s="19"/>
    </row>
    <row r="886">
      <c r="A886" s="21"/>
      <c r="B886" s="21"/>
      <c r="C886" s="21"/>
      <c r="D886" s="21"/>
      <c r="E886" s="21"/>
      <c r="F886" s="21"/>
      <c r="G886" s="21"/>
      <c r="H886" s="2"/>
      <c r="I886" s="21"/>
      <c r="J886" s="21"/>
      <c r="K886" s="21"/>
      <c r="L886" s="21"/>
      <c r="M886" s="21"/>
      <c r="N886" s="21"/>
      <c r="O886" s="21"/>
      <c r="P886" s="21"/>
      <c r="Q886" s="19"/>
      <c r="R886" s="19"/>
      <c r="S886" s="19"/>
      <c r="T886" s="19"/>
      <c r="U886" s="19"/>
      <c r="V886" s="19"/>
      <c r="W886" s="19"/>
      <c r="X886" s="19"/>
      <c r="Y886" s="19"/>
      <c r="Z886" s="19"/>
    </row>
    <row r="887">
      <c r="A887" s="21"/>
      <c r="B887" s="21"/>
      <c r="C887" s="21"/>
      <c r="D887" s="21"/>
      <c r="E887" s="21"/>
      <c r="F887" s="21"/>
      <c r="G887" s="21"/>
      <c r="H887" s="2"/>
      <c r="I887" s="21"/>
      <c r="J887" s="21"/>
      <c r="K887" s="21"/>
      <c r="L887" s="21"/>
      <c r="M887" s="21"/>
      <c r="N887" s="21"/>
      <c r="O887" s="21"/>
      <c r="P887" s="21"/>
      <c r="Q887" s="19"/>
      <c r="R887" s="19"/>
      <c r="S887" s="19"/>
      <c r="T887" s="19"/>
      <c r="U887" s="19"/>
      <c r="V887" s="19"/>
      <c r="W887" s="19"/>
      <c r="X887" s="19"/>
      <c r="Y887" s="19"/>
      <c r="Z887" s="19"/>
    </row>
    <row r="888">
      <c r="A888" s="21"/>
      <c r="B888" s="21"/>
      <c r="C888" s="21"/>
      <c r="D888" s="21"/>
      <c r="E888" s="21"/>
      <c r="F888" s="21"/>
      <c r="G888" s="21"/>
      <c r="H888" s="2"/>
      <c r="I888" s="21"/>
      <c r="J888" s="21"/>
      <c r="K888" s="21"/>
      <c r="L888" s="21"/>
      <c r="M888" s="21"/>
      <c r="N888" s="21"/>
      <c r="O888" s="21"/>
      <c r="P888" s="21"/>
      <c r="Q888" s="19"/>
      <c r="R888" s="19"/>
      <c r="S888" s="19"/>
      <c r="T888" s="19"/>
      <c r="U888" s="19"/>
      <c r="V888" s="19"/>
      <c r="W888" s="19"/>
      <c r="X888" s="19"/>
      <c r="Y888" s="19"/>
      <c r="Z888" s="19"/>
    </row>
    <row r="889">
      <c r="A889" s="21"/>
      <c r="B889" s="21"/>
      <c r="C889" s="21"/>
      <c r="D889" s="21"/>
      <c r="E889" s="21"/>
      <c r="F889" s="21"/>
      <c r="G889" s="21"/>
      <c r="H889" s="2"/>
      <c r="I889" s="21"/>
      <c r="J889" s="21"/>
      <c r="K889" s="21"/>
      <c r="L889" s="21"/>
      <c r="M889" s="21"/>
      <c r="N889" s="21"/>
      <c r="O889" s="21"/>
      <c r="P889" s="21"/>
      <c r="Q889" s="19"/>
      <c r="R889" s="19"/>
      <c r="S889" s="19"/>
      <c r="T889" s="19"/>
      <c r="U889" s="19"/>
      <c r="V889" s="19"/>
      <c r="W889" s="19"/>
      <c r="X889" s="19"/>
      <c r="Y889" s="19"/>
      <c r="Z889" s="19"/>
    </row>
    <row r="890">
      <c r="A890" s="21"/>
      <c r="B890" s="21"/>
      <c r="C890" s="21"/>
      <c r="D890" s="21"/>
      <c r="E890" s="21"/>
      <c r="F890" s="21"/>
      <c r="G890" s="21"/>
      <c r="H890" s="2"/>
      <c r="I890" s="21"/>
      <c r="J890" s="21"/>
      <c r="K890" s="21"/>
      <c r="L890" s="21"/>
      <c r="M890" s="21"/>
      <c r="N890" s="21"/>
      <c r="O890" s="21"/>
      <c r="P890" s="21"/>
      <c r="Q890" s="19"/>
      <c r="R890" s="19"/>
      <c r="S890" s="19"/>
      <c r="T890" s="19"/>
      <c r="U890" s="19"/>
      <c r="V890" s="19"/>
      <c r="W890" s="19"/>
      <c r="X890" s="19"/>
      <c r="Y890" s="19"/>
      <c r="Z890" s="19"/>
    </row>
    <row r="891">
      <c r="A891" s="21"/>
      <c r="B891" s="21"/>
      <c r="C891" s="21"/>
      <c r="D891" s="21"/>
      <c r="E891" s="21"/>
      <c r="F891" s="21"/>
      <c r="G891" s="21"/>
      <c r="H891" s="2"/>
      <c r="I891" s="21"/>
      <c r="J891" s="21"/>
      <c r="K891" s="21"/>
      <c r="L891" s="21"/>
      <c r="M891" s="21"/>
      <c r="N891" s="21"/>
      <c r="O891" s="21"/>
      <c r="P891" s="21"/>
      <c r="Q891" s="19"/>
      <c r="R891" s="19"/>
      <c r="S891" s="19"/>
      <c r="T891" s="19"/>
      <c r="U891" s="19"/>
      <c r="V891" s="19"/>
      <c r="W891" s="19"/>
      <c r="X891" s="19"/>
      <c r="Y891" s="19"/>
      <c r="Z891" s="19"/>
    </row>
    <row r="892">
      <c r="A892" s="21"/>
      <c r="B892" s="21"/>
      <c r="C892" s="21"/>
      <c r="D892" s="21"/>
      <c r="E892" s="21"/>
      <c r="F892" s="21"/>
      <c r="G892" s="21"/>
      <c r="H892" s="2"/>
      <c r="I892" s="21"/>
      <c r="J892" s="21"/>
      <c r="K892" s="21"/>
      <c r="L892" s="21"/>
      <c r="M892" s="21"/>
      <c r="N892" s="21"/>
      <c r="O892" s="21"/>
      <c r="P892" s="21"/>
      <c r="Q892" s="19"/>
      <c r="R892" s="19"/>
      <c r="S892" s="19"/>
      <c r="T892" s="19"/>
      <c r="U892" s="19"/>
      <c r="V892" s="19"/>
      <c r="W892" s="19"/>
      <c r="X892" s="19"/>
      <c r="Y892" s="19"/>
      <c r="Z892" s="19"/>
    </row>
    <row r="893">
      <c r="A893" s="21"/>
      <c r="B893" s="21"/>
      <c r="C893" s="21"/>
      <c r="D893" s="21"/>
      <c r="E893" s="21"/>
      <c r="F893" s="21"/>
      <c r="G893" s="21"/>
      <c r="H893" s="2"/>
      <c r="I893" s="21"/>
      <c r="J893" s="21"/>
      <c r="K893" s="21"/>
      <c r="L893" s="21"/>
      <c r="M893" s="21"/>
      <c r="N893" s="21"/>
      <c r="O893" s="21"/>
      <c r="P893" s="21"/>
      <c r="Q893" s="19"/>
      <c r="R893" s="19"/>
      <c r="S893" s="19"/>
      <c r="T893" s="19"/>
      <c r="U893" s="19"/>
      <c r="V893" s="19"/>
      <c r="W893" s="19"/>
      <c r="X893" s="19"/>
      <c r="Y893" s="19"/>
      <c r="Z893" s="19"/>
    </row>
    <row r="894">
      <c r="A894" s="21"/>
      <c r="B894" s="21"/>
      <c r="C894" s="21"/>
      <c r="D894" s="21"/>
      <c r="E894" s="21"/>
      <c r="F894" s="21"/>
      <c r="G894" s="21"/>
      <c r="H894" s="2"/>
      <c r="I894" s="21"/>
      <c r="J894" s="21"/>
      <c r="K894" s="21"/>
      <c r="L894" s="21"/>
      <c r="M894" s="21"/>
      <c r="N894" s="21"/>
      <c r="O894" s="21"/>
      <c r="P894" s="21"/>
      <c r="Q894" s="19"/>
      <c r="R894" s="19"/>
      <c r="S894" s="19"/>
      <c r="T894" s="19"/>
      <c r="U894" s="19"/>
      <c r="V894" s="19"/>
      <c r="W894" s="19"/>
      <c r="X894" s="19"/>
      <c r="Y894" s="19"/>
      <c r="Z894" s="19"/>
    </row>
    <row r="895">
      <c r="A895" s="21"/>
      <c r="B895" s="21"/>
      <c r="C895" s="21"/>
      <c r="D895" s="21"/>
      <c r="E895" s="21"/>
      <c r="F895" s="21"/>
      <c r="G895" s="21"/>
      <c r="H895" s="2"/>
      <c r="I895" s="21"/>
      <c r="J895" s="21"/>
      <c r="K895" s="21"/>
      <c r="L895" s="21"/>
      <c r="M895" s="21"/>
      <c r="N895" s="21"/>
      <c r="O895" s="21"/>
      <c r="P895" s="21"/>
      <c r="Q895" s="19"/>
      <c r="R895" s="19"/>
      <c r="S895" s="19"/>
      <c r="T895" s="19"/>
      <c r="U895" s="19"/>
      <c r="V895" s="19"/>
      <c r="W895" s="19"/>
      <c r="X895" s="19"/>
      <c r="Y895" s="19"/>
      <c r="Z895" s="19"/>
    </row>
    <row r="896">
      <c r="A896" s="21"/>
      <c r="B896" s="21"/>
      <c r="C896" s="21"/>
      <c r="D896" s="21"/>
      <c r="E896" s="21"/>
      <c r="F896" s="21"/>
      <c r="G896" s="21"/>
      <c r="H896" s="2"/>
      <c r="I896" s="21"/>
      <c r="J896" s="21"/>
      <c r="K896" s="21"/>
      <c r="L896" s="21"/>
      <c r="M896" s="21"/>
      <c r="N896" s="21"/>
      <c r="O896" s="21"/>
      <c r="P896" s="21"/>
      <c r="Q896" s="19"/>
      <c r="R896" s="19"/>
      <c r="S896" s="19"/>
      <c r="T896" s="19"/>
      <c r="U896" s="19"/>
      <c r="V896" s="19"/>
      <c r="W896" s="19"/>
      <c r="X896" s="19"/>
      <c r="Y896" s="19"/>
      <c r="Z896" s="19"/>
    </row>
    <row r="897">
      <c r="A897" s="21"/>
      <c r="B897" s="21"/>
      <c r="C897" s="21"/>
      <c r="D897" s="21"/>
      <c r="E897" s="21"/>
      <c r="F897" s="21"/>
      <c r="G897" s="21"/>
      <c r="H897" s="2"/>
      <c r="I897" s="21"/>
      <c r="J897" s="21"/>
      <c r="K897" s="21"/>
      <c r="L897" s="21"/>
      <c r="M897" s="21"/>
      <c r="N897" s="21"/>
      <c r="O897" s="21"/>
      <c r="P897" s="21"/>
      <c r="Q897" s="19"/>
      <c r="R897" s="19"/>
      <c r="S897" s="19"/>
      <c r="T897" s="19"/>
      <c r="U897" s="19"/>
      <c r="V897" s="19"/>
      <c r="W897" s="19"/>
      <c r="X897" s="19"/>
      <c r="Y897" s="19"/>
      <c r="Z897" s="19"/>
    </row>
    <row r="898">
      <c r="A898" s="21"/>
      <c r="B898" s="21"/>
      <c r="C898" s="21"/>
      <c r="D898" s="21"/>
      <c r="E898" s="21"/>
      <c r="F898" s="21"/>
      <c r="G898" s="21"/>
      <c r="H898" s="2"/>
      <c r="I898" s="21"/>
      <c r="J898" s="21"/>
      <c r="K898" s="21"/>
      <c r="L898" s="21"/>
      <c r="M898" s="21"/>
      <c r="N898" s="21"/>
      <c r="O898" s="21"/>
      <c r="P898" s="21"/>
      <c r="Q898" s="19"/>
      <c r="R898" s="19"/>
      <c r="S898" s="19"/>
      <c r="T898" s="19"/>
      <c r="U898" s="19"/>
      <c r="V898" s="19"/>
      <c r="W898" s="19"/>
      <c r="X898" s="19"/>
      <c r="Y898" s="19"/>
      <c r="Z898" s="19"/>
    </row>
    <row r="899">
      <c r="A899" s="21"/>
      <c r="B899" s="21"/>
      <c r="C899" s="21"/>
      <c r="D899" s="21"/>
      <c r="E899" s="21"/>
      <c r="F899" s="21"/>
      <c r="G899" s="21"/>
      <c r="H899" s="2"/>
      <c r="I899" s="21"/>
      <c r="J899" s="21"/>
      <c r="K899" s="21"/>
      <c r="L899" s="21"/>
      <c r="M899" s="21"/>
      <c r="N899" s="21"/>
      <c r="O899" s="21"/>
      <c r="P899" s="21"/>
      <c r="Q899" s="19"/>
      <c r="R899" s="19"/>
      <c r="S899" s="19"/>
      <c r="T899" s="19"/>
      <c r="U899" s="19"/>
      <c r="V899" s="19"/>
      <c r="W899" s="19"/>
      <c r="X899" s="19"/>
      <c r="Y899" s="19"/>
      <c r="Z899" s="19"/>
    </row>
    <row r="900">
      <c r="A900" s="21"/>
      <c r="B900" s="21"/>
      <c r="C900" s="21"/>
      <c r="D900" s="21"/>
      <c r="E900" s="21"/>
      <c r="F900" s="21"/>
      <c r="G900" s="21"/>
      <c r="H900" s="2"/>
      <c r="I900" s="21"/>
      <c r="J900" s="21"/>
      <c r="K900" s="21"/>
      <c r="L900" s="21"/>
      <c r="M900" s="21"/>
      <c r="N900" s="21"/>
      <c r="O900" s="21"/>
      <c r="P900" s="21"/>
      <c r="Q900" s="19"/>
      <c r="R900" s="19"/>
      <c r="S900" s="19"/>
      <c r="T900" s="19"/>
      <c r="U900" s="19"/>
      <c r="V900" s="19"/>
      <c r="W900" s="19"/>
      <c r="X900" s="19"/>
      <c r="Y900" s="19"/>
      <c r="Z900" s="19"/>
    </row>
    <row r="901">
      <c r="A901" s="21"/>
      <c r="B901" s="21"/>
      <c r="C901" s="21"/>
      <c r="D901" s="21"/>
      <c r="E901" s="21"/>
      <c r="F901" s="21"/>
      <c r="G901" s="21"/>
      <c r="H901" s="2"/>
      <c r="I901" s="21"/>
      <c r="J901" s="21"/>
      <c r="K901" s="21"/>
      <c r="L901" s="21"/>
      <c r="M901" s="21"/>
      <c r="N901" s="21"/>
      <c r="O901" s="21"/>
      <c r="P901" s="21"/>
      <c r="Q901" s="19"/>
      <c r="R901" s="19"/>
      <c r="S901" s="19"/>
      <c r="T901" s="19"/>
      <c r="U901" s="19"/>
      <c r="V901" s="19"/>
      <c r="W901" s="19"/>
      <c r="X901" s="19"/>
      <c r="Y901" s="19"/>
      <c r="Z901" s="19"/>
    </row>
    <row r="902">
      <c r="A902" s="21"/>
      <c r="B902" s="21"/>
      <c r="C902" s="21"/>
      <c r="D902" s="21"/>
      <c r="E902" s="21"/>
      <c r="F902" s="21"/>
      <c r="G902" s="21"/>
      <c r="H902" s="2"/>
      <c r="I902" s="21"/>
      <c r="J902" s="21"/>
      <c r="K902" s="21"/>
      <c r="L902" s="21"/>
      <c r="M902" s="21"/>
      <c r="N902" s="21"/>
      <c r="O902" s="21"/>
      <c r="P902" s="21"/>
      <c r="Q902" s="19"/>
      <c r="R902" s="19"/>
      <c r="S902" s="19"/>
      <c r="T902" s="19"/>
      <c r="U902" s="19"/>
      <c r="V902" s="19"/>
      <c r="W902" s="19"/>
      <c r="X902" s="19"/>
      <c r="Y902" s="19"/>
      <c r="Z902" s="19"/>
    </row>
    <row r="903">
      <c r="A903" s="21"/>
      <c r="B903" s="21"/>
      <c r="C903" s="21"/>
      <c r="D903" s="21"/>
      <c r="E903" s="21"/>
      <c r="F903" s="21"/>
      <c r="G903" s="21"/>
      <c r="H903" s="2"/>
      <c r="I903" s="21"/>
      <c r="J903" s="21"/>
      <c r="K903" s="21"/>
      <c r="L903" s="21"/>
      <c r="M903" s="21"/>
      <c r="N903" s="21"/>
      <c r="O903" s="21"/>
      <c r="P903" s="21"/>
      <c r="Q903" s="19"/>
      <c r="R903" s="19"/>
      <c r="S903" s="19"/>
      <c r="T903" s="19"/>
      <c r="U903" s="19"/>
      <c r="V903" s="19"/>
      <c r="W903" s="19"/>
      <c r="X903" s="19"/>
      <c r="Y903" s="19"/>
      <c r="Z903" s="19"/>
    </row>
    <row r="904">
      <c r="A904" s="21"/>
      <c r="B904" s="21"/>
      <c r="C904" s="21"/>
      <c r="D904" s="21"/>
      <c r="E904" s="21"/>
      <c r="F904" s="21"/>
      <c r="G904" s="21"/>
      <c r="H904" s="2"/>
      <c r="I904" s="21"/>
      <c r="J904" s="21"/>
      <c r="K904" s="21"/>
      <c r="L904" s="21"/>
      <c r="M904" s="21"/>
      <c r="N904" s="21"/>
      <c r="O904" s="21"/>
      <c r="P904" s="21"/>
      <c r="Q904" s="19"/>
      <c r="R904" s="19"/>
      <c r="S904" s="19"/>
      <c r="T904" s="19"/>
      <c r="U904" s="19"/>
      <c r="V904" s="19"/>
      <c r="W904" s="19"/>
      <c r="X904" s="19"/>
      <c r="Y904" s="19"/>
      <c r="Z904" s="19"/>
    </row>
    <row r="905">
      <c r="A905" s="21"/>
      <c r="B905" s="21"/>
      <c r="C905" s="21"/>
      <c r="D905" s="21"/>
      <c r="E905" s="21"/>
      <c r="F905" s="21"/>
      <c r="G905" s="21"/>
      <c r="H905" s="2"/>
      <c r="I905" s="21"/>
      <c r="J905" s="21"/>
      <c r="K905" s="21"/>
      <c r="L905" s="21"/>
      <c r="M905" s="21"/>
      <c r="N905" s="21"/>
      <c r="O905" s="21"/>
      <c r="P905" s="21"/>
      <c r="Q905" s="19"/>
      <c r="R905" s="19"/>
      <c r="S905" s="19"/>
      <c r="T905" s="19"/>
      <c r="U905" s="19"/>
      <c r="V905" s="19"/>
      <c r="W905" s="19"/>
      <c r="X905" s="19"/>
      <c r="Y905" s="19"/>
      <c r="Z905" s="19"/>
    </row>
    <row r="906">
      <c r="A906" s="21"/>
      <c r="B906" s="21"/>
      <c r="C906" s="21"/>
      <c r="D906" s="21"/>
      <c r="E906" s="21"/>
      <c r="F906" s="21"/>
      <c r="G906" s="21"/>
      <c r="H906" s="2"/>
      <c r="I906" s="21"/>
      <c r="J906" s="21"/>
      <c r="K906" s="21"/>
      <c r="L906" s="21"/>
      <c r="M906" s="21"/>
      <c r="N906" s="21"/>
      <c r="O906" s="21"/>
      <c r="P906" s="21"/>
      <c r="Q906" s="19"/>
      <c r="R906" s="19"/>
      <c r="S906" s="19"/>
      <c r="T906" s="19"/>
      <c r="U906" s="19"/>
      <c r="V906" s="19"/>
      <c r="W906" s="19"/>
      <c r="X906" s="19"/>
      <c r="Y906" s="19"/>
      <c r="Z906" s="19"/>
    </row>
    <row r="907">
      <c r="A907" s="21"/>
      <c r="B907" s="21"/>
      <c r="C907" s="21"/>
      <c r="D907" s="21"/>
      <c r="E907" s="21"/>
      <c r="F907" s="21"/>
      <c r="G907" s="21"/>
      <c r="H907" s="2"/>
      <c r="I907" s="21"/>
      <c r="J907" s="21"/>
      <c r="K907" s="21"/>
      <c r="L907" s="21"/>
      <c r="M907" s="21"/>
      <c r="N907" s="21"/>
      <c r="O907" s="21"/>
      <c r="P907" s="21"/>
      <c r="Q907" s="19"/>
      <c r="R907" s="19"/>
      <c r="S907" s="19"/>
      <c r="T907" s="19"/>
      <c r="U907" s="19"/>
      <c r="V907" s="19"/>
      <c r="W907" s="19"/>
      <c r="X907" s="19"/>
      <c r="Y907" s="19"/>
      <c r="Z907" s="19"/>
    </row>
    <row r="908">
      <c r="A908" s="21"/>
      <c r="B908" s="21"/>
      <c r="C908" s="21"/>
      <c r="D908" s="21"/>
      <c r="E908" s="21"/>
      <c r="F908" s="21"/>
      <c r="G908" s="21"/>
      <c r="H908" s="2"/>
      <c r="I908" s="21"/>
      <c r="J908" s="21"/>
      <c r="K908" s="21"/>
      <c r="L908" s="21"/>
      <c r="M908" s="21"/>
      <c r="N908" s="21"/>
      <c r="O908" s="21"/>
      <c r="P908" s="21"/>
      <c r="Q908" s="19"/>
      <c r="R908" s="19"/>
      <c r="S908" s="19"/>
      <c r="T908" s="19"/>
      <c r="U908" s="19"/>
      <c r="V908" s="19"/>
      <c r="W908" s="19"/>
      <c r="X908" s="19"/>
      <c r="Y908" s="19"/>
      <c r="Z908" s="19"/>
    </row>
    <row r="909">
      <c r="A909" s="21"/>
      <c r="B909" s="21"/>
      <c r="C909" s="21"/>
      <c r="D909" s="21"/>
      <c r="E909" s="21"/>
      <c r="F909" s="21"/>
      <c r="G909" s="21"/>
      <c r="H909" s="2"/>
      <c r="I909" s="21"/>
      <c r="J909" s="21"/>
      <c r="K909" s="21"/>
      <c r="L909" s="21"/>
      <c r="M909" s="21"/>
      <c r="N909" s="21"/>
      <c r="O909" s="21"/>
      <c r="P909" s="21"/>
      <c r="Q909" s="19"/>
      <c r="R909" s="19"/>
      <c r="S909" s="19"/>
      <c r="T909" s="19"/>
      <c r="U909" s="19"/>
      <c r="V909" s="19"/>
      <c r="W909" s="19"/>
      <c r="X909" s="19"/>
      <c r="Y909" s="19"/>
      <c r="Z909" s="19"/>
    </row>
    <row r="910">
      <c r="A910" s="21"/>
      <c r="B910" s="21"/>
      <c r="C910" s="21"/>
      <c r="D910" s="21"/>
      <c r="E910" s="21"/>
      <c r="F910" s="21"/>
      <c r="G910" s="21"/>
      <c r="H910" s="2"/>
      <c r="I910" s="21"/>
      <c r="J910" s="21"/>
      <c r="K910" s="21"/>
      <c r="L910" s="21"/>
      <c r="M910" s="21"/>
      <c r="N910" s="21"/>
      <c r="O910" s="21"/>
      <c r="P910" s="21"/>
      <c r="Q910" s="19"/>
      <c r="R910" s="19"/>
      <c r="S910" s="19"/>
      <c r="T910" s="19"/>
      <c r="U910" s="19"/>
      <c r="V910" s="19"/>
      <c r="W910" s="19"/>
      <c r="X910" s="19"/>
      <c r="Y910" s="19"/>
      <c r="Z910" s="19"/>
    </row>
    <row r="911">
      <c r="A911" s="21"/>
      <c r="B911" s="21"/>
      <c r="C911" s="21"/>
      <c r="D911" s="21"/>
      <c r="E911" s="21"/>
      <c r="F911" s="21"/>
      <c r="G911" s="21"/>
      <c r="H911" s="2"/>
      <c r="I911" s="21"/>
      <c r="J911" s="21"/>
      <c r="K911" s="21"/>
      <c r="L911" s="21"/>
      <c r="M911" s="21"/>
      <c r="N911" s="21"/>
      <c r="O911" s="21"/>
      <c r="P911" s="21"/>
      <c r="Q911" s="19"/>
      <c r="R911" s="19"/>
      <c r="S911" s="19"/>
      <c r="T911" s="19"/>
      <c r="U911" s="19"/>
      <c r="V911" s="19"/>
      <c r="W911" s="19"/>
      <c r="X911" s="19"/>
      <c r="Y911" s="19"/>
      <c r="Z911" s="19"/>
    </row>
    <row r="912">
      <c r="A912" s="21"/>
      <c r="B912" s="21"/>
      <c r="C912" s="21"/>
      <c r="D912" s="21"/>
      <c r="E912" s="21"/>
      <c r="F912" s="21"/>
      <c r="G912" s="21"/>
      <c r="H912" s="2"/>
      <c r="I912" s="21"/>
      <c r="J912" s="21"/>
      <c r="K912" s="21"/>
      <c r="L912" s="21"/>
      <c r="M912" s="21"/>
      <c r="N912" s="21"/>
      <c r="O912" s="21"/>
      <c r="P912" s="21"/>
      <c r="Q912" s="19"/>
      <c r="R912" s="19"/>
      <c r="S912" s="19"/>
      <c r="T912" s="19"/>
      <c r="U912" s="19"/>
      <c r="V912" s="19"/>
      <c r="W912" s="19"/>
      <c r="X912" s="19"/>
      <c r="Y912" s="19"/>
      <c r="Z912" s="19"/>
    </row>
    <row r="913">
      <c r="A913" s="21"/>
      <c r="B913" s="21"/>
      <c r="C913" s="21"/>
      <c r="D913" s="21"/>
      <c r="E913" s="21"/>
      <c r="F913" s="21"/>
      <c r="G913" s="21"/>
      <c r="H913" s="2"/>
      <c r="I913" s="21"/>
      <c r="J913" s="21"/>
      <c r="K913" s="21"/>
      <c r="L913" s="21"/>
      <c r="M913" s="21"/>
      <c r="N913" s="21"/>
      <c r="O913" s="21"/>
      <c r="P913" s="21"/>
      <c r="Q913" s="19"/>
      <c r="R913" s="19"/>
      <c r="S913" s="19"/>
      <c r="T913" s="19"/>
      <c r="U913" s="19"/>
      <c r="V913" s="19"/>
      <c r="W913" s="19"/>
      <c r="X913" s="19"/>
      <c r="Y913" s="19"/>
      <c r="Z913" s="19"/>
    </row>
    <row r="914">
      <c r="A914" s="21"/>
      <c r="B914" s="21"/>
      <c r="C914" s="21"/>
      <c r="D914" s="21"/>
      <c r="E914" s="21"/>
      <c r="F914" s="21"/>
      <c r="G914" s="21"/>
      <c r="H914" s="2"/>
      <c r="I914" s="21"/>
      <c r="J914" s="21"/>
      <c r="K914" s="21"/>
      <c r="L914" s="21"/>
      <c r="M914" s="21"/>
      <c r="N914" s="21"/>
      <c r="O914" s="21"/>
      <c r="P914" s="21"/>
      <c r="Q914" s="19"/>
      <c r="R914" s="19"/>
      <c r="S914" s="19"/>
      <c r="T914" s="19"/>
      <c r="U914" s="19"/>
      <c r="V914" s="19"/>
      <c r="W914" s="19"/>
      <c r="X914" s="19"/>
      <c r="Y914" s="19"/>
      <c r="Z914" s="19"/>
    </row>
    <row r="915">
      <c r="A915" s="21"/>
      <c r="B915" s="21"/>
      <c r="C915" s="21"/>
      <c r="D915" s="21"/>
      <c r="E915" s="21"/>
      <c r="F915" s="21"/>
      <c r="G915" s="21"/>
      <c r="H915" s="2"/>
      <c r="I915" s="21"/>
      <c r="J915" s="21"/>
      <c r="K915" s="21"/>
      <c r="L915" s="21"/>
      <c r="M915" s="21"/>
      <c r="N915" s="21"/>
      <c r="O915" s="21"/>
      <c r="P915" s="21"/>
      <c r="Q915" s="19"/>
      <c r="R915" s="19"/>
      <c r="S915" s="19"/>
      <c r="T915" s="19"/>
      <c r="U915" s="19"/>
      <c r="V915" s="19"/>
      <c r="W915" s="19"/>
      <c r="X915" s="19"/>
      <c r="Y915" s="19"/>
      <c r="Z915" s="19"/>
    </row>
    <row r="916">
      <c r="A916" s="21"/>
      <c r="B916" s="21"/>
      <c r="C916" s="21"/>
      <c r="D916" s="21"/>
      <c r="E916" s="21"/>
      <c r="F916" s="21"/>
      <c r="G916" s="21"/>
      <c r="H916" s="2"/>
      <c r="I916" s="21"/>
      <c r="J916" s="21"/>
      <c r="K916" s="21"/>
      <c r="L916" s="21"/>
      <c r="M916" s="21"/>
      <c r="N916" s="21"/>
      <c r="O916" s="21"/>
      <c r="P916" s="21"/>
      <c r="Q916" s="19"/>
      <c r="R916" s="19"/>
      <c r="S916" s="19"/>
      <c r="T916" s="19"/>
      <c r="U916" s="19"/>
      <c r="V916" s="19"/>
      <c r="W916" s="19"/>
      <c r="X916" s="19"/>
      <c r="Y916" s="19"/>
      <c r="Z916" s="19"/>
    </row>
    <row r="917">
      <c r="A917" s="21"/>
      <c r="B917" s="21"/>
      <c r="C917" s="21"/>
      <c r="D917" s="21"/>
      <c r="E917" s="21"/>
      <c r="F917" s="21"/>
      <c r="G917" s="21"/>
      <c r="H917" s="2"/>
      <c r="I917" s="21"/>
      <c r="J917" s="21"/>
      <c r="K917" s="21"/>
      <c r="L917" s="21"/>
      <c r="M917" s="21"/>
      <c r="N917" s="21"/>
      <c r="O917" s="21"/>
      <c r="P917" s="21"/>
      <c r="Q917" s="19"/>
      <c r="R917" s="19"/>
      <c r="S917" s="19"/>
      <c r="T917" s="19"/>
      <c r="U917" s="19"/>
      <c r="V917" s="19"/>
      <c r="W917" s="19"/>
      <c r="X917" s="19"/>
      <c r="Y917" s="19"/>
      <c r="Z917" s="19"/>
    </row>
    <row r="918">
      <c r="A918" s="21"/>
      <c r="B918" s="21"/>
      <c r="C918" s="21"/>
      <c r="D918" s="21"/>
      <c r="E918" s="21"/>
      <c r="F918" s="21"/>
      <c r="G918" s="21"/>
      <c r="H918" s="2"/>
      <c r="I918" s="21"/>
      <c r="J918" s="21"/>
      <c r="K918" s="21"/>
      <c r="L918" s="21"/>
      <c r="M918" s="21"/>
      <c r="N918" s="21"/>
      <c r="O918" s="21"/>
      <c r="P918" s="21"/>
      <c r="Q918" s="19"/>
      <c r="R918" s="19"/>
      <c r="S918" s="19"/>
      <c r="T918" s="19"/>
      <c r="U918" s="19"/>
      <c r="V918" s="19"/>
      <c r="W918" s="19"/>
      <c r="X918" s="19"/>
      <c r="Y918" s="19"/>
      <c r="Z918" s="19"/>
    </row>
    <row r="919">
      <c r="A919" s="21"/>
      <c r="B919" s="21"/>
      <c r="C919" s="21"/>
      <c r="D919" s="21"/>
      <c r="E919" s="21"/>
      <c r="F919" s="21"/>
      <c r="G919" s="21"/>
      <c r="H919" s="2"/>
      <c r="I919" s="21"/>
      <c r="J919" s="21"/>
      <c r="K919" s="21"/>
      <c r="L919" s="21"/>
      <c r="M919" s="21"/>
      <c r="N919" s="21"/>
      <c r="O919" s="21"/>
      <c r="P919" s="21"/>
      <c r="Q919" s="19"/>
      <c r="R919" s="19"/>
      <c r="S919" s="19"/>
      <c r="T919" s="19"/>
      <c r="U919" s="19"/>
      <c r="V919" s="19"/>
      <c r="W919" s="19"/>
      <c r="X919" s="19"/>
      <c r="Y919" s="19"/>
      <c r="Z919" s="19"/>
    </row>
    <row r="920">
      <c r="A920" s="21"/>
      <c r="B920" s="21"/>
      <c r="C920" s="21"/>
      <c r="D920" s="21"/>
      <c r="E920" s="21"/>
      <c r="F920" s="21"/>
      <c r="G920" s="21"/>
      <c r="H920" s="2"/>
      <c r="I920" s="21"/>
      <c r="J920" s="21"/>
      <c r="K920" s="21"/>
      <c r="L920" s="21"/>
      <c r="M920" s="21"/>
      <c r="N920" s="21"/>
      <c r="O920" s="21"/>
      <c r="P920" s="21"/>
      <c r="Q920" s="19"/>
      <c r="R920" s="19"/>
      <c r="S920" s="19"/>
      <c r="T920" s="19"/>
      <c r="U920" s="19"/>
      <c r="V920" s="19"/>
      <c r="W920" s="19"/>
      <c r="X920" s="19"/>
      <c r="Y920" s="19"/>
      <c r="Z920" s="19"/>
    </row>
    <row r="921">
      <c r="A921" s="21"/>
      <c r="B921" s="21"/>
      <c r="C921" s="21"/>
      <c r="D921" s="21"/>
      <c r="E921" s="21"/>
      <c r="F921" s="21"/>
      <c r="G921" s="21"/>
      <c r="H921" s="2"/>
      <c r="I921" s="21"/>
      <c r="J921" s="21"/>
      <c r="K921" s="21"/>
      <c r="L921" s="21"/>
      <c r="M921" s="21"/>
      <c r="N921" s="21"/>
      <c r="O921" s="21"/>
      <c r="P921" s="21"/>
      <c r="Q921" s="19"/>
      <c r="R921" s="19"/>
      <c r="S921" s="19"/>
      <c r="T921" s="19"/>
      <c r="U921" s="19"/>
      <c r="V921" s="19"/>
      <c r="W921" s="19"/>
      <c r="X921" s="19"/>
      <c r="Y921" s="19"/>
      <c r="Z921" s="19"/>
    </row>
    <row r="922">
      <c r="A922" s="21"/>
      <c r="B922" s="21"/>
      <c r="C922" s="21"/>
      <c r="D922" s="21"/>
      <c r="E922" s="21"/>
      <c r="F922" s="21"/>
      <c r="G922" s="21"/>
      <c r="H922" s="2"/>
      <c r="I922" s="21"/>
      <c r="J922" s="21"/>
      <c r="K922" s="21"/>
      <c r="L922" s="21"/>
      <c r="M922" s="21"/>
      <c r="N922" s="21"/>
      <c r="O922" s="21"/>
      <c r="P922" s="21"/>
      <c r="Q922" s="19"/>
      <c r="R922" s="19"/>
      <c r="S922" s="19"/>
      <c r="T922" s="19"/>
      <c r="U922" s="19"/>
      <c r="V922" s="19"/>
      <c r="W922" s="19"/>
      <c r="X922" s="19"/>
      <c r="Y922" s="19"/>
      <c r="Z922" s="19"/>
    </row>
    <row r="923">
      <c r="A923" s="21"/>
      <c r="B923" s="21"/>
      <c r="C923" s="21"/>
      <c r="D923" s="21"/>
      <c r="E923" s="21"/>
      <c r="F923" s="21"/>
      <c r="G923" s="21"/>
      <c r="H923" s="2"/>
      <c r="I923" s="21"/>
      <c r="J923" s="21"/>
      <c r="K923" s="21"/>
      <c r="L923" s="21"/>
      <c r="M923" s="21"/>
      <c r="N923" s="21"/>
      <c r="O923" s="21"/>
      <c r="P923" s="21"/>
      <c r="Q923" s="19"/>
      <c r="R923" s="19"/>
      <c r="S923" s="19"/>
      <c r="T923" s="19"/>
      <c r="U923" s="19"/>
      <c r="V923" s="19"/>
      <c r="W923" s="19"/>
      <c r="X923" s="19"/>
      <c r="Y923" s="19"/>
      <c r="Z923" s="19"/>
    </row>
    <row r="924">
      <c r="A924" s="21"/>
      <c r="B924" s="21"/>
      <c r="C924" s="21"/>
      <c r="D924" s="21"/>
      <c r="E924" s="21"/>
      <c r="F924" s="21"/>
      <c r="G924" s="21"/>
      <c r="H924" s="2"/>
      <c r="I924" s="21"/>
      <c r="J924" s="21"/>
      <c r="K924" s="21"/>
      <c r="L924" s="21"/>
      <c r="M924" s="21"/>
      <c r="N924" s="21"/>
      <c r="O924" s="21"/>
      <c r="P924" s="21"/>
      <c r="Q924" s="19"/>
      <c r="R924" s="19"/>
      <c r="S924" s="19"/>
      <c r="T924" s="19"/>
      <c r="U924" s="19"/>
      <c r="V924" s="19"/>
      <c r="W924" s="19"/>
      <c r="X924" s="19"/>
      <c r="Y924" s="19"/>
      <c r="Z924" s="19"/>
    </row>
    <row r="925">
      <c r="A925" s="21"/>
      <c r="B925" s="21"/>
      <c r="C925" s="21"/>
      <c r="D925" s="21"/>
      <c r="E925" s="21"/>
      <c r="F925" s="21"/>
      <c r="G925" s="21"/>
      <c r="H925" s="2"/>
      <c r="I925" s="21"/>
      <c r="J925" s="21"/>
      <c r="K925" s="21"/>
      <c r="L925" s="21"/>
      <c r="M925" s="21"/>
      <c r="N925" s="21"/>
      <c r="O925" s="21"/>
      <c r="P925" s="21"/>
      <c r="Q925" s="19"/>
      <c r="R925" s="19"/>
      <c r="S925" s="19"/>
      <c r="T925" s="19"/>
      <c r="U925" s="19"/>
      <c r="V925" s="19"/>
      <c r="W925" s="19"/>
      <c r="X925" s="19"/>
      <c r="Y925" s="19"/>
      <c r="Z925" s="19"/>
    </row>
    <row r="926">
      <c r="A926" s="21"/>
      <c r="B926" s="21"/>
      <c r="C926" s="21"/>
      <c r="D926" s="21"/>
      <c r="E926" s="21"/>
      <c r="F926" s="21"/>
      <c r="G926" s="21"/>
      <c r="H926" s="2"/>
      <c r="I926" s="21"/>
      <c r="J926" s="21"/>
      <c r="K926" s="21"/>
      <c r="L926" s="21"/>
      <c r="M926" s="21"/>
      <c r="N926" s="21"/>
      <c r="O926" s="21"/>
      <c r="P926" s="21"/>
      <c r="Q926" s="19"/>
      <c r="R926" s="19"/>
      <c r="S926" s="19"/>
      <c r="T926" s="19"/>
      <c r="U926" s="19"/>
      <c r="V926" s="19"/>
      <c r="W926" s="19"/>
      <c r="X926" s="19"/>
      <c r="Y926" s="19"/>
      <c r="Z926" s="19"/>
    </row>
    <row r="927">
      <c r="A927" s="21"/>
      <c r="B927" s="21"/>
      <c r="C927" s="21"/>
      <c r="D927" s="21"/>
      <c r="E927" s="21"/>
      <c r="F927" s="21"/>
      <c r="G927" s="21"/>
      <c r="H927" s="2"/>
      <c r="I927" s="21"/>
      <c r="J927" s="21"/>
      <c r="K927" s="21"/>
      <c r="L927" s="21"/>
      <c r="M927" s="21"/>
      <c r="N927" s="21"/>
      <c r="O927" s="21"/>
      <c r="P927" s="21"/>
      <c r="Q927" s="19"/>
      <c r="R927" s="19"/>
      <c r="S927" s="19"/>
      <c r="T927" s="19"/>
      <c r="U927" s="19"/>
      <c r="V927" s="19"/>
      <c r="W927" s="19"/>
      <c r="X927" s="19"/>
      <c r="Y927" s="19"/>
      <c r="Z927" s="19"/>
    </row>
    <row r="928">
      <c r="A928" s="21"/>
      <c r="B928" s="21"/>
      <c r="C928" s="21"/>
      <c r="D928" s="21"/>
      <c r="E928" s="21"/>
      <c r="F928" s="21"/>
      <c r="G928" s="21"/>
      <c r="H928" s="2"/>
      <c r="I928" s="21"/>
      <c r="J928" s="21"/>
      <c r="K928" s="21"/>
      <c r="L928" s="21"/>
      <c r="M928" s="21"/>
      <c r="N928" s="21"/>
      <c r="O928" s="21"/>
      <c r="P928" s="21"/>
      <c r="Q928" s="19"/>
      <c r="R928" s="19"/>
      <c r="S928" s="19"/>
      <c r="T928" s="19"/>
      <c r="U928" s="19"/>
      <c r="V928" s="19"/>
      <c r="W928" s="19"/>
      <c r="X928" s="19"/>
      <c r="Y928" s="19"/>
      <c r="Z928" s="19"/>
    </row>
    <row r="929">
      <c r="A929" s="21"/>
      <c r="B929" s="21"/>
      <c r="C929" s="21"/>
      <c r="D929" s="21"/>
      <c r="E929" s="21"/>
      <c r="F929" s="21"/>
      <c r="G929" s="21"/>
      <c r="H929" s="2"/>
      <c r="I929" s="21"/>
      <c r="J929" s="21"/>
      <c r="K929" s="21"/>
      <c r="L929" s="21"/>
      <c r="M929" s="21"/>
      <c r="N929" s="21"/>
      <c r="O929" s="21"/>
      <c r="P929" s="21"/>
      <c r="Q929" s="19"/>
      <c r="R929" s="19"/>
      <c r="S929" s="19"/>
      <c r="T929" s="19"/>
      <c r="U929" s="19"/>
      <c r="V929" s="19"/>
      <c r="W929" s="19"/>
      <c r="X929" s="19"/>
      <c r="Y929" s="19"/>
      <c r="Z929" s="19"/>
    </row>
    <row r="930">
      <c r="A930" s="21"/>
      <c r="B930" s="21"/>
      <c r="C930" s="21"/>
      <c r="D930" s="21"/>
      <c r="E930" s="21"/>
      <c r="F930" s="21"/>
      <c r="G930" s="21"/>
      <c r="H930" s="2"/>
      <c r="I930" s="21"/>
      <c r="J930" s="21"/>
      <c r="K930" s="21"/>
      <c r="L930" s="21"/>
      <c r="M930" s="21"/>
      <c r="N930" s="21"/>
      <c r="O930" s="21"/>
      <c r="P930" s="21"/>
      <c r="Q930" s="19"/>
      <c r="R930" s="19"/>
      <c r="S930" s="19"/>
      <c r="T930" s="19"/>
      <c r="U930" s="19"/>
      <c r="V930" s="19"/>
      <c r="W930" s="19"/>
      <c r="X930" s="19"/>
      <c r="Y930" s="19"/>
      <c r="Z930" s="19"/>
    </row>
    <row r="931">
      <c r="A931" s="21"/>
      <c r="B931" s="21"/>
      <c r="C931" s="21"/>
      <c r="D931" s="21"/>
      <c r="E931" s="21"/>
      <c r="F931" s="21"/>
      <c r="G931" s="21"/>
      <c r="H931" s="2"/>
      <c r="I931" s="21"/>
      <c r="J931" s="21"/>
      <c r="K931" s="21"/>
      <c r="L931" s="21"/>
      <c r="M931" s="21"/>
      <c r="N931" s="21"/>
      <c r="O931" s="21"/>
      <c r="P931" s="21"/>
      <c r="Q931" s="19"/>
      <c r="R931" s="19"/>
      <c r="S931" s="19"/>
      <c r="T931" s="19"/>
      <c r="U931" s="19"/>
      <c r="V931" s="19"/>
      <c r="W931" s="19"/>
      <c r="X931" s="19"/>
      <c r="Y931" s="19"/>
      <c r="Z931" s="19"/>
    </row>
    <row r="932">
      <c r="A932" s="21"/>
      <c r="B932" s="21"/>
      <c r="C932" s="21"/>
      <c r="D932" s="21"/>
      <c r="E932" s="21"/>
      <c r="F932" s="21"/>
      <c r="G932" s="21"/>
      <c r="H932" s="2"/>
      <c r="I932" s="21"/>
      <c r="J932" s="21"/>
      <c r="K932" s="21"/>
      <c r="L932" s="21"/>
      <c r="M932" s="21"/>
      <c r="N932" s="21"/>
      <c r="O932" s="21"/>
      <c r="P932" s="21"/>
      <c r="Q932" s="19"/>
      <c r="R932" s="19"/>
      <c r="S932" s="19"/>
      <c r="T932" s="19"/>
      <c r="U932" s="19"/>
      <c r="V932" s="19"/>
      <c r="W932" s="19"/>
      <c r="X932" s="19"/>
      <c r="Y932" s="19"/>
      <c r="Z932" s="19"/>
    </row>
    <row r="933">
      <c r="A933" s="21"/>
      <c r="B933" s="21"/>
      <c r="C933" s="21"/>
      <c r="D933" s="21"/>
      <c r="E933" s="21"/>
      <c r="F933" s="21"/>
      <c r="G933" s="21"/>
      <c r="H933" s="2"/>
      <c r="I933" s="21"/>
      <c r="J933" s="21"/>
      <c r="K933" s="21"/>
      <c r="L933" s="21"/>
      <c r="M933" s="21"/>
      <c r="N933" s="21"/>
      <c r="O933" s="21"/>
      <c r="P933" s="21"/>
      <c r="Q933" s="19"/>
      <c r="R933" s="19"/>
      <c r="S933" s="19"/>
      <c r="T933" s="19"/>
      <c r="U933" s="19"/>
      <c r="V933" s="19"/>
      <c r="W933" s="19"/>
      <c r="X933" s="19"/>
      <c r="Y933" s="19"/>
      <c r="Z933" s="19"/>
    </row>
    <row r="934">
      <c r="A934" s="21"/>
      <c r="B934" s="21"/>
      <c r="C934" s="21"/>
      <c r="D934" s="21"/>
      <c r="E934" s="21"/>
      <c r="F934" s="21"/>
      <c r="G934" s="21"/>
      <c r="H934" s="2"/>
      <c r="I934" s="21"/>
      <c r="J934" s="21"/>
      <c r="K934" s="21"/>
      <c r="L934" s="21"/>
      <c r="M934" s="21"/>
      <c r="N934" s="21"/>
      <c r="O934" s="21"/>
      <c r="P934" s="21"/>
      <c r="Q934" s="19"/>
      <c r="R934" s="19"/>
      <c r="S934" s="19"/>
      <c r="T934" s="19"/>
      <c r="U934" s="19"/>
      <c r="V934" s="19"/>
      <c r="W934" s="19"/>
      <c r="X934" s="19"/>
      <c r="Y934" s="19"/>
      <c r="Z934" s="19"/>
    </row>
    <row r="935">
      <c r="A935" s="21"/>
      <c r="B935" s="21"/>
      <c r="C935" s="21"/>
      <c r="D935" s="21"/>
      <c r="E935" s="21"/>
      <c r="F935" s="21"/>
      <c r="G935" s="21"/>
      <c r="H935" s="2"/>
      <c r="I935" s="21"/>
      <c r="J935" s="21"/>
      <c r="K935" s="21"/>
      <c r="L935" s="21"/>
      <c r="M935" s="21"/>
      <c r="N935" s="21"/>
      <c r="O935" s="21"/>
      <c r="P935" s="21"/>
      <c r="Q935" s="19"/>
      <c r="R935" s="19"/>
      <c r="S935" s="19"/>
      <c r="T935" s="19"/>
      <c r="U935" s="19"/>
      <c r="V935" s="19"/>
      <c r="W935" s="19"/>
      <c r="X935" s="19"/>
      <c r="Y935" s="19"/>
      <c r="Z935" s="19"/>
    </row>
    <row r="936">
      <c r="A936" s="21"/>
      <c r="B936" s="21"/>
      <c r="C936" s="21"/>
      <c r="D936" s="21"/>
      <c r="E936" s="21"/>
      <c r="F936" s="21"/>
      <c r="G936" s="21"/>
      <c r="H936" s="2"/>
      <c r="I936" s="21"/>
      <c r="J936" s="21"/>
      <c r="K936" s="21"/>
      <c r="L936" s="21"/>
      <c r="M936" s="21"/>
      <c r="N936" s="21"/>
      <c r="O936" s="21"/>
      <c r="P936" s="21"/>
      <c r="Q936" s="19"/>
      <c r="R936" s="19"/>
      <c r="S936" s="19"/>
      <c r="T936" s="19"/>
      <c r="U936" s="19"/>
      <c r="V936" s="19"/>
      <c r="W936" s="19"/>
      <c r="X936" s="19"/>
      <c r="Y936" s="19"/>
      <c r="Z936" s="19"/>
    </row>
    <row r="937">
      <c r="A937" s="21"/>
      <c r="B937" s="21"/>
      <c r="C937" s="21"/>
      <c r="D937" s="21"/>
      <c r="E937" s="21"/>
      <c r="F937" s="21"/>
      <c r="G937" s="21"/>
      <c r="H937" s="2"/>
      <c r="I937" s="21"/>
      <c r="J937" s="21"/>
      <c r="K937" s="21"/>
      <c r="L937" s="21"/>
      <c r="M937" s="21"/>
      <c r="N937" s="21"/>
      <c r="O937" s="21"/>
      <c r="P937" s="21"/>
      <c r="Q937" s="19"/>
      <c r="R937" s="19"/>
      <c r="S937" s="19"/>
      <c r="T937" s="19"/>
      <c r="U937" s="19"/>
      <c r="V937" s="19"/>
      <c r="W937" s="19"/>
      <c r="X937" s="19"/>
      <c r="Y937" s="19"/>
      <c r="Z937" s="19"/>
    </row>
    <row r="938">
      <c r="A938" s="21"/>
      <c r="B938" s="21"/>
      <c r="C938" s="21"/>
      <c r="D938" s="21"/>
      <c r="E938" s="21"/>
      <c r="F938" s="21"/>
      <c r="G938" s="21"/>
      <c r="H938" s="2"/>
      <c r="I938" s="21"/>
      <c r="J938" s="21"/>
      <c r="K938" s="21"/>
      <c r="L938" s="21"/>
      <c r="M938" s="21"/>
      <c r="N938" s="21"/>
      <c r="O938" s="21"/>
      <c r="P938" s="21"/>
      <c r="Q938" s="19"/>
      <c r="R938" s="19"/>
      <c r="S938" s="19"/>
      <c r="T938" s="19"/>
      <c r="U938" s="19"/>
      <c r="V938" s="19"/>
      <c r="W938" s="19"/>
      <c r="X938" s="19"/>
      <c r="Y938" s="19"/>
      <c r="Z938" s="19"/>
    </row>
    <row r="939">
      <c r="A939" s="21"/>
      <c r="B939" s="21"/>
      <c r="C939" s="21"/>
      <c r="D939" s="21"/>
      <c r="E939" s="21"/>
      <c r="F939" s="21"/>
      <c r="G939" s="21"/>
      <c r="H939" s="2"/>
      <c r="I939" s="21"/>
      <c r="J939" s="21"/>
      <c r="K939" s="21"/>
      <c r="L939" s="21"/>
      <c r="M939" s="21"/>
      <c r="N939" s="21"/>
      <c r="O939" s="21"/>
      <c r="P939" s="21"/>
      <c r="Q939" s="19"/>
      <c r="R939" s="19"/>
      <c r="S939" s="19"/>
      <c r="T939" s="19"/>
      <c r="U939" s="19"/>
      <c r="V939" s="19"/>
      <c r="W939" s="19"/>
      <c r="X939" s="19"/>
      <c r="Y939" s="19"/>
      <c r="Z939" s="19"/>
    </row>
    <row r="940">
      <c r="A940" s="21"/>
      <c r="B940" s="21"/>
      <c r="C940" s="21"/>
      <c r="D940" s="21"/>
      <c r="E940" s="21"/>
      <c r="F940" s="21"/>
      <c r="G940" s="21"/>
      <c r="H940" s="2"/>
      <c r="I940" s="21"/>
      <c r="J940" s="21"/>
      <c r="K940" s="21"/>
      <c r="L940" s="21"/>
      <c r="M940" s="21"/>
      <c r="N940" s="21"/>
      <c r="O940" s="21"/>
      <c r="P940" s="21"/>
      <c r="Q940" s="19"/>
      <c r="R940" s="19"/>
      <c r="S940" s="19"/>
      <c r="T940" s="19"/>
      <c r="U940" s="19"/>
      <c r="V940" s="19"/>
      <c r="W940" s="19"/>
      <c r="X940" s="19"/>
      <c r="Y940" s="19"/>
      <c r="Z940" s="19"/>
    </row>
    <row r="941">
      <c r="A941" s="21"/>
      <c r="B941" s="21"/>
      <c r="C941" s="21"/>
      <c r="D941" s="21"/>
      <c r="E941" s="21"/>
      <c r="F941" s="21"/>
      <c r="G941" s="21"/>
      <c r="H941" s="2"/>
      <c r="I941" s="21"/>
      <c r="J941" s="21"/>
      <c r="K941" s="21"/>
      <c r="L941" s="21"/>
      <c r="M941" s="21"/>
      <c r="N941" s="21"/>
      <c r="O941" s="21"/>
      <c r="P941" s="21"/>
      <c r="Q941" s="19"/>
      <c r="R941" s="19"/>
      <c r="S941" s="19"/>
      <c r="T941" s="19"/>
      <c r="U941" s="19"/>
      <c r="V941" s="19"/>
      <c r="W941" s="19"/>
      <c r="X941" s="19"/>
      <c r="Y941" s="19"/>
      <c r="Z941" s="19"/>
    </row>
    <row r="942">
      <c r="A942" s="21"/>
      <c r="B942" s="21"/>
      <c r="C942" s="21"/>
      <c r="D942" s="21"/>
      <c r="E942" s="21"/>
      <c r="F942" s="21"/>
      <c r="G942" s="21"/>
      <c r="H942" s="2"/>
      <c r="I942" s="21"/>
      <c r="J942" s="21"/>
      <c r="K942" s="21"/>
      <c r="L942" s="21"/>
      <c r="M942" s="21"/>
      <c r="N942" s="21"/>
      <c r="O942" s="21"/>
      <c r="P942" s="21"/>
      <c r="Q942" s="19"/>
      <c r="R942" s="19"/>
      <c r="S942" s="19"/>
      <c r="T942" s="19"/>
      <c r="U942" s="19"/>
      <c r="V942" s="19"/>
      <c r="W942" s="19"/>
      <c r="X942" s="19"/>
      <c r="Y942" s="19"/>
      <c r="Z942" s="19"/>
    </row>
    <row r="943">
      <c r="A943" s="21"/>
      <c r="B943" s="21"/>
      <c r="C943" s="21"/>
      <c r="D943" s="21"/>
      <c r="E943" s="21"/>
      <c r="F943" s="21"/>
      <c r="G943" s="21"/>
      <c r="H943" s="2"/>
      <c r="I943" s="21"/>
      <c r="J943" s="21"/>
      <c r="K943" s="21"/>
      <c r="L943" s="21"/>
      <c r="M943" s="21"/>
      <c r="N943" s="21"/>
      <c r="O943" s="21"/>
      <c r="P943" s="21"/>
      <c r="Q943" s="19"/>
      <c r="R943" s="19"/>
      <c r="S943" s="19"/>
      <c r="T943" s="19"/>
      <c r="U943" s="19"/>
      <c r="V943" s="19"/>
      <c r="W943" s="19"/>
      <c r="X943" s="19"/>
      <c r="Y943" s="19"/>
      <c r="Z943" s="19"/>
    </row>
    <row r="944">
      <c r="A944" s="21"/>
      <c r="B944" s="21"/>
      <c r="C944" s="21"/>
      <c r="D944" s="21"/>
      <c r="E944" s="21"/>
      <c r="F944" s="21"/>
      <c r="G944" s="21"/>
      <c r="H944" s="2"/>
      <c r="I944" s="21"/>
      <c r="J944" s="21"/>
      <c r="K944" s="21"/>
      <c r="L944" s="21"/>
      <c r="M944" s="21"/>
      <c r="N944" s="21"/>
      <c r="O944" s="21"/>
      <c r="P944" s="21"/>
      <c r="Q944" s="19"/>
      <c r="R944" s="19"/>
      <c r="S944" s="19"/>
      <c r="T944" s="19"/>
      <c r="U944" s="19"/>
      <c r="V944" s="19"/>
      <c r="W944" s="19"/>
      <c r="X944" s="19"/>
      <c r="Y944" s="19"/>
      <c r="Z944" s="19"/>
    </row>
    <row r="945">
      <c r="A945" s="21"/>
      <c r="B945" s="21"/>
      <c r="C945" s="21"/>
      <c r="D945" s="21"/>
      <c r="E945" s="21"/>
      <c r="F945" s="21"/>
      <c r="G945" s="21"/>
      <c r="H945" s="2"/>
      <c r="I945" s="21"/>
      <c r="J945" s="21"/>
      <c r="K945" s="21"/>
      <c r="L945" s="21"/>
      <c r="M945" s="21"/>
      <c r="N945" s="21"/>
      <c r="O945" s="21"/>
      <c r="P945" s="21"/>
      <c r="Q945" s="19"/>
      <c r="R945" s="19"/>
      <c r="S945" s="19"/>
      <c r="T945" s="19"/>
      <c r="U945" s="19"/>
      <c r="V945" s="19"/>
      <c r="W945" s="19"/>
      <c r="X945" s="19"/>
      <c r="Y945" s="19"/>
      <c r="Z945" s="19"/>
    </row>
    <row r="946">
      <c r="A946" s="21"/>
      <c r="B946" s="21"/>
      <c r="C946" s="21"/>
      <c r="D946" s="21"/>
      <c r="E946" s="21"/>
      <c r="F946" s="21"/>
      <c r="G946" s="21"/>
      <c r="H946" s="2"/>
      <c r="I946" s="21"/>
      <c r="J946" s="21"/>
      <c r="K946" s="21"/>
      <c r="L946" s="21"/>
      <c r="M946" s="21"/>
      <c r="N946" s="21"/>
      <c r="O946" s="21"/>
      <c r="P946" s="21"/>
      <c r="Q946" s="19"/>
      <c r="R946" s="19"/>
      <c r="S946" s="19"/>
      <c r="T946" s="19"/>
      <c r="U946" s="19"/>
      <c r="V946" s="19"/>
      <c r="W946" s="19"/>
      <c r="X946" s="19"/>
      <c r="Y946" s="19"/>
      <c r="Z946" s="19"/>
    </row>
    <row r="947">
      <c r="A947" s="21"/>
      <c r="B947" s="21"/>
      <c r="C947" s="21"/>
      <c r="D947" s="21"/>
      <c r="E947" s="21"/>
      <c r="F947" s="21"/>
      <c r="G947" s="21"/>
      <c r="H947" s="2"/>
      <c r="I947" s="21"/>
      <c r="J947" s="21"/>
      <c r="K947" s="21"/>
      <c r="L947" s="21"/>
      <c r="M947" s="21"/>
      <c r="N947" s="21"/>
      <c r="O947" s="21"/>
      <c r="P947" s="21"/>
      <c r="Q947" s="19"/>
      <c r="R947" s="19"/>
      <c r="S947" s="19"/>
      <c r="T947" s="19"/>
      <c r="U947" s="19"/>
      <c r="V947" s="19"/>
      <c r="W947" s="19"/>
      <c r="X947" s="19"/>
      <c r="Y947" s="19"/>
      <c r="Z947" s="19"/>
    </row>
    <row r="948">
      <c r="A948" s="21"/>
      <c r="B948" s="21"/>
      <c r="C948" s="21"/>
      <c r="D948" s="21"/>
      <c r="E948" s="21"/>
      <c r="F948" s="21"/>
      <c r="G948" s="21"/>
      <c r="H948" s="2"/>
      <c r="I948" s="21"/>
      <c r="J948" s="21"/>
      <c r="K948" s="21"/>
      <c r="L948" s="21"/>
      <c r="M948" s="21"/>
      <c r="N948" s="21"/>
      <c r="O948" s="21"/>
      <c r="P948" s="21"/>
      <c r="Q948" s="19"/>
      <c r="R948" s="19"/>
      <c r="S948" s="19"/>
      <c r="T948" s="19"/>
      <c r="U948" s="19"/>
      <c r="V948" s="19"/>
      <c r="W948" s="19"/>
      <c r="X948" s="19"/>
      <c r="Y948" s="19"/>
      <c r="Z948" s="19"/>
    </row>
    <row r="949">
      <c r="A949" s="21"/>
      <c r="B949" s="21"/>
      <c r="C949" s="21"/>
      <c r="D949" s="21"/>
      <c r="E949" s="21"/>
      <c r="F949" s="21"/>
      <c r="G949" s="21"/>
      <c r="H949" s="2"/>
      <c r="I949" s="21"/>
      <c r="J949" s="21"/>
      <c r="K949" s="21"/>
      <c r="L949" s="21"/>
      <c r="M949" s="21"/>
      <c r="N949" s="21"/>
      <c r="O949" s="21"/>
      <c r="P949" s="21"/>
      <c r="Q949" s="19"/>
      <c r="R949" s="19"/>
      <c r="S949" s="19"/>
      <c r="T949" s="19"/>
      <c r="U949" s="19"/>
      <c r="V949" s="19"/>
      <c r="W949" s="19"/>
      <c r="X949" s="19"/>
      <c r="Y949" s="19"/>
      <c r="Z949" s="19"/>
    </row>
    <row r="950">
      <c r="A950" s="21"/>
      <c r="B950" s="21"/>
      <c r="C950" s="21"/>
      <c r="D950" s="21"/>
      <c r="E950" s="21"/>
      <c r="F950" s="21"/>
      <c r="G950" s="21"/>
      <c r="H950" s="2"/>
      <c r="I950" s="21"/>
      <c r="J950" s="21"/>
      <c r="K950" s="21"/>
      <c r="L950" s="21"/>
      <c r="M950" s="21"/>
      <c r="N950" s="21"/>
      <c r="O950" s="21"/>
      <c r="P950" s="21"/>
      <c r="Q950" s="19"/>
      <c r="R950" s="19"/>
      <c r="S950" s="19"/>
      <c r="T950" s="19"/>
      <c r="U950" s="19"/>
      <c r="V950" s="19"/>
      <c r="W950" s="19"/>
      <c r="X950" s="19"/>
      <c r="Y950" s="19"/>
      <c r="Z950" s="19"/>
    </row>
    <row r="951">
      <c r="A951" s="21"/>
      <c r="B951" s="21"/>
      <c r="C951" s="21"/>
      <c r="D951" s="21"/>
      <c r="E951" s="21"/>
      <c r="F951" s="21"/>
      <c r="G951" s="21"/>
      <c r="H951" s="2"/>
      <c r="I951" s="21"/>
      <c r="J951" s="21"/>
      <c r="K951" s="21"/>
      <c r="L951" s="21"/>
      <c r="M951" s="21"/>
      <c r="N951" s="21"/>
      <c r="O951" s="21"/>
      <c r="P951" s="21"/>
      <c r="Q951" s="19"/>
      <c r="R951" s="19"/>
      <c r="S951" s="19"/>
      <c r="T951" s="19"/>
      <c r="U951" s="19"/>
      <c r="V951" s="19"/>
      <c r="W951" s="19"/>
      <c r="X951" s="19"/>
      <c r="Y951" s="19"/>
      <c r="Z951" s="19"/>
    </row>
    <row r="952">
      <c r="A952" s="21"/>
      <c r="B952" s="21"/>
      <c r="C952" s="21"/>
      <c r="D952" s="21"/>
      <c r="E952" s="21"/>
      <c r="F952" s="21"/>
      <c r="G952" s="21"/>
      <c r="H952" s="2"/>
      <c r="I952" s="21"/>
      <c r="J952" s="21"/>
      <c r="K952" s="21"/>
      <c r="L952" s="21"/>
      <c r="M952" s="21"/>
      <c r="N952" s="21"/>
      <c r="O952" s="21"/>
      <c r="P952" s="21"/>
      <c r="Q952" s="19"/>
      <c r="R952" s="19"/>
      <c r="S952" s="19"/>
      <c r="T952" s="19"/>
      <c r="U952" s="19"/>
      <c r="V952" s="19"/>
      <c r="W952" s="19"/>
      <c r="X952" s="19"/>
      <c r="Y952" s="19"/>
      <c r="Z952" s="19"/>
    </row>
    <row r="953">
      <c r="A953" s="21"/>
      <c r="B953" s="21"/>
      <c r="C953" s="21"/>
      <c r="D953" s="21"/>
      <c r="E953" s="21"/>
      <c r="F953" s="21"/>
      <c r="G953" s="21"/>
      <c r="H953" s="2"/>
      <c r="I953" s="21"/>
      <c r="J953" s="21"/>
      <c r="K953" s="21"/>
      <c r="L953" s="21"/>
      <c r="M953" s="21"/>
      <c r="N953" s="21"/>
      <c r="O953" s="21"/>
      <c r="P953" s="21"/>
      <c r="Q953" s="19"/>
      <c r="R953" s="19"/>
      <c r="S953" s="19"/>
      <c r="T953" s="19"/>
      <c r="U953" s="19"/>
      <c r="V953" s="19"/>
      <c r="W953" s="19"/>
      <c r="X953" s="19"/>
      <c r="Y953" s="19"/>
      <c r="Z953" s="19"/>
    </row>
    <row r="954">
      <c r="A954" s="21"/>
      <c r="B954" s="21"/>
      <c r="C954" s="21"/>
      <c r="D954" s="21"/>
      <c r="E954" s="21"/>
      <c r="F954" s="21"/>
      <c r="G954" s="21"/>
      <c r="H954" s="2"/>
      <c r="I954" s="21"/>
      <c r="J954" s="21"/>
      <c r="K954" s="21"/>
      <c r="L954" s="21"/>
      <c r="M954" s="21"/>
      <c r="N954" s="21"/>
      <c r="O954" s="21"/>
      <c r="P954" s="21"/>
      <c r="Q954" s="19"/>
      <c r="R954" s="19"/>
      <c r="S954" s="19"/>
      <c r="T954" s="19"/>
      <c r="U954" s="19"/>
      <c r="V954" s="19"/>
      <c r="W954" s="19"/>
      <c r="X954" s="19"/>
      <c r="Y954" s="19"/>
      <c r="Z954" s="19"/>
    </row>
    <row r="955">
      <c r="A955" s="21"/>
      <c r="B955" s="21"/>
      <c r="C955" s="21"/>
      <c r="D955" s="21"/>
      <c r="E955" s="21"/>
      <c r="F955" s="21"/>
      <c r="G955" s="21"/>
      <c r="H955" s="2"/>
      <c r="I955" s="21"/>
      <c r="J955" s="21"/>
      <c r="K955" s="21"/>
      <c r="L955" s="21"/>
      <c r="M955" s="21"/>
      <c r="N955" s="21"/>
      <c r="O955" s="21"/>
      <c r="P955" s="21"/>
      <c r="Q955" s="19"/>
      <c r="R955" s="19"/>
      <c r="S955" s="19"/>
      <c r="T955" s="19"/>
      <c r="U955" s="19"/>
      <c r="V955" s="19"/>
      <c r="W955" s="19"/>
      <c r="X955" s="19"/>
      <c r="Y955" s="19"/>
      <c r="Z955" s="19"/>
    </row>
    <row r="956">
      <c r="A956" s="21"/>
      <c r="B956" s="21"/>
      <c r="C956" s="21"/>
      <c r="D956" s="21"/>
      <c r="E956" s="21"/>
      <c r="F956" s="21"/>
      <c r="G956" s="21"/>
      <c r="H956" s="2"/>
      <c r="I956" s="21"/>
      <c r="J956" s="21"/>
      <c r="K956" s="21"/>
      <c r="L956" s="21"/>
      <c r="M956" s="21"/>
      <c r="N956" s="21"/>
      <c r="O956" s="21"/>
      <c r="P956" s="21"/>
      <c r="Q956" s="19"/>
      <c r="R956" s="19"/>
      <c r="S956" s="19"/>
      <c r="T956" s="19"/>
      <c r="U956" s="19"/>
      <c r="V956" s="19"/>
      <c r="W956" s="19"/>
      <c r="X956" s="19"/>
      <c r="Y956" s="19"/>
      <c r="Z956" s="19"/>
    </row>
    <row r="957">
      <c r="A957" s="21"/>
      <c r="B957" s="21"/>
      <c r="C957" s="21"/>
      <c r="D957" s="21"/>
      <c r="E957" s="21"/>
      <c r="F957" s="21"/>
      <c r="G957" s="21"/>
      <c r="H957" s="2"/>
      <c r="I957" s="21"/>
      <c r="J957" s="21"/>
      <c r="K957" s="21"/>
      <c r="L957" s="21"/>
      <c r="M957" s="21"/>
      <c r="N957" s="21"/>
      <c r="O957" s="21"/>
      <c r="P957" s="21"/>
      <c r="Q957" s="19"/>
      <c r="R957" s="19"/>
      <c r="S957" s="19"/>
      <c r="T957" s="19"/>
      <c r="U957" s="19"/>
      <c r="V957" s="19"/>
      <c r="W957" s="19"/>
      <c r="X957" s="19"/>
      <c r="Y957" s="19"/>
      <c r="Z957" s="19"/>
    </row>
    <row r="958">
      <c r="A958" s="21"/>
      <c r="B958" s="21"/>
      <c r="C958" s="21"/>
      <c r="D958" s="21"/>
      <c r="E958" s="21"/>
      <c r="F958" s="21"/>
      <c r="G958" s="21"/>
      <c r="H958" s="2"/>
      <c r="I958" s="21"/>
      <c r="J958" s="21"/>
      <c r="K958" s="21"/>
      <c r="L958" s="21"/>
      <c r="M958" s="21"/>
      <c r="N958" s="21"/>
      <c r="O958" s="21"/>
      <c r="P958" s="21"/>
      <c r="Q958" s="19"/>
      <c r="R958" s="19"/>
      <c r="S958" s="19"/>
      <c r="T958" s="19"/>
      <c r="U958" s="19"/>
      <c r="V958" s="19"/>
      <c r="W958" s="19"/>
      <c r="X958" s="19"/>
      <c r="Y958" s="19"/>
      <c r="Z958" s="19"/>
    </row>
    <row r="959">
      <c r="A959" s="21"/>
      <c r="B959" s="21"/>
      <c r="C959" s="21"/>
      <c r="D959" s="21"/>
      <c r="E959" s="21"/>
      <c r="F959" s="21"/>
      <c r="G959" s="21"/>
      <c r="H959" s="2"/>
      <c r="I959" s="21"/>
      <c r="J959" s="21"/>
      <c r="K959" s="21"/>
      <c r="L959" s="21"/>
      <c r="M959" s="21"/>
      <c r="N959" s="21"/>
      <c r="O959" s="21"/>
      <c r="P959" s="21"/>
      <c r="Q959" s="19"/>
      <c r="R959" s="19"/>
      <c r="S959" s="19"/>
      <c r="T959" s="19"/>
      <c r="U959" s="19"/>
      <c r="V959" s="19"/>
      <c r="W959" s="19"/>
      <c r="X959" s="19"/>
      <c r="Y959" s="19"/>
      <c r="Z959" s="19"/>
    </row>
    <row r="960">
      <c r="A960" s="21"/>
      <c r="B960" s="21"/>
      <c r="C960" s="21"/>
      <c r="D960" s="21"/>
      <c r="E960" s="21"/>
      <c r="F960" s="21"/>
      <c r="G960" s="21"/>
      <c r="H960" s="2"/>
      <c r="I960" s="21"/>
      <c r="J960" s="21"/>
      <c r="K960" s="21"/>
      <c r="L960" s="21"/>
      <c r="M960" s="21"/>
      <c r="N960" s="21"/>
      <c r="O960" s="21"/>
      <c r="P960" s="21"/>
      <c r="Q960" s="19"/>
      <c r="R960" s="19"/>
      <c r="S960" s="19"/>
      <c r="T960" s="19"/>
      <c r="U960" s="19"/>
      <c r="V960" s="19"/>
      <c r="W960" s="19"/>
      <c r="X960" s="19"/>
      <c r="Y960" s="19"/>
      <c r="Z960" s="19"/>
    </row>
    <row r="961">
      <c r="A961" s="21"/>
      <c r="B961" s="21"/>
      <c r="C961" s="21"/>
      <c r="D961" s="21"/>
      <c r="E961" s="21"/>
      <c r="F961" s="21"/>
      <c r="G961" s="21"/>
      <c r="H961" s="2"/>
      <c r="I961" s="21"/>
      <c r="J961" s="21"/>
      <c r="K961" s="21"/>
      <c r="L961" s="21"/>
      <c r="M961" s="21"/>
      <c r="N961" s="21"/>
      <c r="O961" s="21"/>
      <c r="P961" s="21"/>
      <c r="Q961" s="19"/>
      <c r="R961" s="19"/>
      <c r="S961" s="19"/>
      <c r="T961" s="19"/>
      <c r="U961" s="19"/>
      <c r="V961" s="19"/>
      <c r="W961" s="19"/>
      <c r="X961" s="19"/>
      <c r="Y961" s="19"/>
      <c r="Z961" s="19"/>
    </row>
    <row r="962">
      <c r="A962" s="21"/>
      <c r="B962" s="21"/>
      <c r="C962" s="21"/>
      <c r="D962" s="21"/>
      <c r="E962" s="21"/>
      <c r="F962" s="21"/>
      <c r="G962" s="21"/>
      <c r="H962" s="2"/>
      <c r="I962" s="21"/>
      <c r="J962" s="21"/>
      <c r="K962" s="21"/>
      <c r="L962" s="21"/>
      <c r="M962" s="21"/>
      <c r="N962" s="21"/>
      <c r="O962" s="21"/>
      <c r="P962" s="21"/>
      <c r="Q962" s="19"/>
      <c r="R962" s="19"/>
      <c r="S962" s="19"/>
      <c r="T962" s="19"/>
      <c r="U962" s="19"/>
      <c r="V962" s="19"/>
      <c r="W962" s="19"/>
      <c r="X962" s="19"/>
      <c r="Y962" s="19"/>
      <c r="Z962" s="19"/>
    </row>
    <row r="963">
      <c r="A963" s="21"/>
      <c r="B963" s="21"/>
      <c r="C963" s="21"/>
      <c r="D963" s="21"/>
      <c r="E963" s="21"/>
      <c r="F963" s="21"/>
      <c r="G963" s="21"/>
      <c r="H963" s="2"/>
      <c r="I963" s="21"/>
      <c r="J963" s="21"/>
      <c r="K963" s="21"/>
      <c r="L963" s="21"/>
      <c r="M963" s="21"/>
      <c r="N963" s="21"/>
      <c r="O963" s="21"/>
      <c r="P963" s="21"/>
      <c r="Q963" s="19"/>
      <c r="R963" s="19"/>
      <c r="S963" s="19"/>
      <c r="T963" s="19"/>
      <c r="U963" s="19"/>
      <c r="V963" s="19"/>
      <c r="W963" s="19"/>
      <c r="X963" s="19"/>
      <c r="Y963" s="19"/>
      <c r="Z963" s="19"/>
    </row>
    <row r="964">
      <c r="A964" s="21"/>
      <c r="B964" s="21"/>
      <c r="C964" s="21"/>
      <c r="D964" s="21"/>
      <c r="E964" s="21"/>
      <c r="F964" s="21"/>
      <c r="G964" s="21"/>
      <c r="H964" s="2"/>
      <c r="I964" s="21"/>
      <c r="J964" s="21"/>
      <c r="K964" s="21"/>
      <c r="L964" s="21"/>
      <c r="M964" s="21"/>
      <c r="N964" s="21"/>
      <c r="O964" s="21"/>
      <c r="P964" s="21"/>
      <c r="Q964" s="19"/>
      <c r="R964" s="19"/>
      <c r="S964" s="19"/>
      <c r="T964" s="19"/>
      <c r="U964" s="19"/>
      <c r="V964" s="19"/>
      <c r="W964" s="19"/>
      <c r="X964" s="19"/>
      <c r="Y964" s="19"/>
      <c r="Z964" s="19"/>
    </row>
    <row r="965">
      <c r="A965" s="21"/>
      <c r="B965" s="21"/>
      <c r="C965" s="21"/>
      <c r="D965" s="21"/>
      <c r="E965" s="21"/>
      <c r="F965" s="21"/>
      <c r="G965" s="21"/>
      <c r="H965" s="2"/>
      <c r="I965" s="21"/>
      <c r="J965" s="21"/>
      <c r="K965" s="21"/>
      <c r="L965" s="21"/>
      <c r="M965" s="21"/>
      <c r="N965" s="21"/>
      <c r="O965" s="21"/>
      <c r="P965" s="21"/>
      <c r="Q965" s="19"/>
      <c r="R965" s="19"/>
      <c r="S965" s="19"/>
      <c r="T965" s="19"/>
      <c r="U965" s="19"/>
      <c r="V965" s="19"/>
      <c r="W965" s="19"/>
      <c r="X965" s="19"/>
      <c r="Y965" s="19"/>
      <c r="Z965" s="19"/>
    </row>
    <row r="966">
      <c r="A966" s="21"/>
      <c r="B966" s="21"/>
      <c r="C966" s="21"/>
      <c r="D966" s="21"/>
      <c r="E966" s="21"/>
      <c r="F966" s="21"/>
      <c r="G966" s="21"/>
      <c r="H966" s="2"/>
      <c r="I966" s="21"/>
      <c r="J966" s="21"/>
      <c r="K966" s="21"/>
      <c r="L966" s="21"/>
      <c r="M966" s="21"/>
      <c r="N966" s="21"/>
      <c r="O966" s="21"/>
      <c r="P966" s="21"/>
      <c r="Q966" s="19"/>
      <c r="R966" s="19"/>
      <c r="S966" s="19"/>
      <c r="T966" s="19"/>
      <c r="U966" s="19"/>
      <c r="V966" s="19"/>
      <c r="W966" s="19"/>
      <c r="X966" s="19"/>
      <c r="Y966" s="19"/>
      <c r="Z966" s="19"/>
    </row>
    <row r="967">
      <c r="A967" s="21"/>
      <c r="B967" s="21"/>
      <c r="C967" s="21"/>
      <c r="D967" s="21"/>
      <c r="E967" s="21"/>
      <c r="F967" s="21"/>
      <c r="G967" s="21"/>
      <c r="H967" s="2"/>
      <c r="I967" s="21"/>
      <c r="J967" s="21"/>
      <c r="K967" s="21"/>
      <c r="L967" s="21"/>
      <c r="M967" s="21"/>
      <c r="N967" s="21"/>
      <c r="O967" s="21"/>
      <c r="P967" s="21"/>
      <c r="Q967" s="19"/>
      <c r="R967" s="19"/>
      <c r="S967" s="19"/>
      <c r="T967" s="19"/>
      <c r="U967" s="19"/>
      <c r="V967" s="19"/>
      <c r="W967" s="19"/>
      <c r="X967" s="19"/>
      <c r="Y967" s="19"/>
      <c r="Z967" s="19"/>
    </row>
    <row r="968">
      <c r="A968" s="21"/>
      <c r="B968" s="21"/>
      <c r="C968" s="21"/>
      <c r="D968" s="21"/>
      <c r="E968" s="21"/>
      <c r="F968" s="21"/>
      <c r="G968" s="21"/>
      <c r="H968" s="2"/>
      <c r="I968" s="21"/>
      <c r="J968" s="21"/>
      <c r="K968" s="21"/>
      <c r="L968" s="21"/>
      <c r="M968" s="21"/>
      <c r="N968" s="21"/>
      <c r="O968" s="21"/>
      <c r="P968" s="21"/>
      <c r="Q968" s="19"/>
      <c r="R968" s="19"/>
      <c r="S968" s="19"/>
      <c r="T968" s="19"/>
      <c r="U968" s="19"/>
      <c r="V968" s="19"/>
      <c r="W968" s="19"/>
      <c r="X968" s="19"/>
      <c r="Y968" s="19"/>
      <c r="Z968" s="19"/>
    </row>
    <row r="969">
      <c r="A969" s="21"/>
      <c r="B969" s="21"/>
      <c r="C969" s="21"/>
      <c r="D969" s="21"/>
      <c r="E969" s="21"/>
      <c r="F969" s="21"/>
      <c r="G969" s="21"/>
      <c r="H969" s="2"/>
      <c r="I969" s="21"/>
      <c r="J969" s="21"/>
      <c r="K969" s="21"/>
      <c r="L969" s="21"/>
      <c r="M969" s="21"/>
      <c r="N969" s="21"/>
      <c r="O969" s="21"/>
      <c r="P969" s="21"/>
      <c r="Q969" s="19"/>
      <c r="R969" s="19"/>
      <c r="S969" s="19"/>
      <c r="T969" s="19"/>
      <c r="U969" s="19"/>
      <c r="V969" s="19"/>
      <c r="W969" s="19"/>
      <c r="X969" s="19"/>
      <c r="Y969" s="19"/>
      <c r="Z969" s="19"/>
    </row>
    <row r="970">
      <c r="A970" s="21"/>
      <c r="B970" s="21"/>
      <c r="C970" s="21"/>
      <c r="D970" s="21"/>
      <c r="E970" s="21"/>
      <c r="F970" s="21"/>
      <c r="G970" s="21"/>
      <c r="H970" s="2"/>
      <c r="I970" s="21"/>
      <c r="J970" s="21"/>
      <c r="K970" s="21"/>
      <c r="L970" s="21"/>
      <c r="M970" s="21"/>
      <c r="N970" s="21"/>
      <c r="O970" s="21"/>
      <c r="P970" s="21"/>
      <c r="Q970" s="19"/>
      <c r="R970" s="19"/>
      <c r="S970" s="19"/>
      <c r="T970" s="19"/>
      <c r="U970" s="19"/>
      <c r="V970" s="19"/>
      <c r="W970" s="19"/>
      <c r="X970" s="19"/>
      <c r="Y970" s="19"/>
      <c r="Z970" s="19"/>
    </row>
    <row r="971">
      <c r="A971" s="21"/>
      <c r="B971" s="21"/>
      <c r="C971" s="21"/>
      <c r="D971" s="21"/>
      <c r="E971" s="21"/>
      <c r="F971" s="21"/>
      <c r="G971" s="21"/>
      <c r="H971" s="2"/>
      <c r="I971" s="21"/>
      <c r="J971" s="21"/>
      <c r="K971" s="21"/>
      <c r="L971" s="21"/>
      <c r="M971" s="21"/>
      <c r="N971" s="21"/>
      <c r="O971" s="21"/>
      <c r="P971" s="21"/>
      <c r="Q971" s="19"/>
      <c r="R971" s="19"/>
      <c r="S971" s="19"/>
      <c r="T971" s="19"/>
      <c r="U971" s="19"/>
      <c r="V971" s="19"/>
      <c r="W971" s="19"/>
      <c r="X971" s="19"/>
      <c r="Y971" s="19"/>
      <c r="Z971" s="19"/>
    </row>
    <row r="972">
      <c r="A972" s="21"/>
      <c r="B972" s="21"/>
      <c r="C972" s="21"/>
      <c r="D972" s="21"/>
      <c r="E972" s="21"/>
      <c r="F972" s="21"/>
      <c r="G972" s="21"/>
      <c r="H972" s="2"/>
      <c r="I972" s="21"/>
      <c r="J972" s="21"/>
      <c r="K972" s="21"/>
      <c r="L972" s="21"/>
      <c r="M972" s="21"/>
      <c r="N972" s="21"/>
      <c r="O972" s="21"/>
      <c r="P972" s="21"/>
      <c r="Q972" s="19"/>
      <c r="R972" s="19"/>
      <c r="S972" s="19"/>
      <c r="T972" s="19"/>
      <c r="U972" s="19"/>
      <c r="V972" s="19"/>
      <c r="W972" s="19"/>
      <c r="X972" s="19"/>
      <c r="Y972" s="19"/>
      <c r="Z972" s="19"/>
    </row>
    <row r="973">
      <c r="A973" s="21"/>
      <c r="B973" s="21"/>
      <c r="C973" s="21"/>
      <c r="D973" s="21"/>
      <c r="E973" s="21"/>
      <c r="F973" s="21"/>
      <c r="G973" s="21"/>
      <c r="H973" s="2"/>
      <c r="I973" s="21"/>
      <c r="J973" s="21"/>
      <c r="K973" s="21"/>
      <c r="L973" s="21"/>
      <c r="M973" s="21"/>
      <c r="N973" s="21"/>
      <c r="O973" s="21"/>
      <c r="P973" s="21"/>
      <c r="Q973" s="19"/>
      <c r="R973" s="19"/>
      <c r="S973" s="19"/>
      <c r="T973" s="19"/>
      <c r="U973" s="19"/>
      <c r="V973" s="19"/>
      <c r="W973" s="19"/>
      <c r="X973" s="19"/>
      <c r="Y973" s="19"/>
      <c r="Z973" s="19"/>
    </row>
    <row r="974">
      <c r="A974" s="21"/>
      <c r="B974" s="21"/>
      <c r="C974" s="21"/>
      <c r="D974" s="21"/>
      <c r="E974" s="21"/>
      <c r="F974" s="21"/>
      <c r="G974" s="21"/>
      <c r="H974" s="2"/>
      <c r="I974" s="21"/>
      <c r="J974" s="21"/>
      <c r="K974" s="21"/>
      <c r="L974" s="21"/>
      <c r="M974" s="21"/>
      <c r="N974" s="21"/>
      <c r="O974" s="21"/>
      <c r="P974" s="21"/>
      <c r="Q974" s="19"/>
      <c r="R974" s="19"/>
      <c r="S974" s="19"/>
      <c r="T974" s="19"/>
      <c r="U974" s="19"/>
      <c r="V974" s="19"/>
      <c r="W974" s="19"/>
      <c r="X974" s="19"/>
      <c r="Y974" s="19"/>
      <c r="Z974" s="19"/>
    </row>
    <row r="975">
      <c r="A975" s="21"/>
      <c r="B975" s="21"/>
      <c r="C975" s="21"/>
      <c r="D975" s="21"/>
      <c r="E975" s="21"/>
      <c r="F975" s="21"/>
      <c r="G975" s="21"/>
      <c r="H975" s="2"/>
      <c r="I975" s="21"/>
      <c r="J975" s="21"/>
      <c r="K975" s="21"/>
      <c r="L975" s="21"/>
      <c r="M975" s="21"/>
      <c r="N975" s="21"/>
      <c r="O975" s="21"/>
      <c r="P975" s="21"/>
      <c r="Q975" s="19"/>
      <c r="R975" s="19"/>
      <c r="S975" s="19"/>
      <c r="T975" s="19"/>
      <c r="U975" s="19"/>
      <c r="V975" s="19"/>
      <c r="W975" s="19"/>
      <c r="X975" s="19"/>
      <c r="Y975" s="19"/>
      <c r="Z975" s="19"/>
    </row>
    <row r="976">
      <c r="A976" s="21"/>
      <c r="B976" s="21"/>
      <c r="C976" s="21"/>
      <c r="D976" s="21"/>
      <c r="E976" s="21"/>
      <c r="F976" s="21"/>
      <c r="G976" s="21"/>
      <c r="H976" s="2"/>
      <c r="I976" s="21"/>
      <c r="J976" s="21"/>
      <c r="K976" s="21"/>
      <c r="L976" s="21"/>
      <c r="M976" s="21"/>
      <c r="N976" s="21"/>
      <c r="O976" s="21"/>
      <c r="P976" s="21"/>
      <c r="Q976" s="19"/>
      <c r="R976" s="19"/>
      <c r="S976" s="19"/>
      <c r="T976" s="19"/>
      <c r="U976" s="19"/>
      <c r="V976" s="19"/>
      <c r="W976" s="19"/>
      <c r="X976" s="19"/>
      <c r="Y976" s="19"/>
      <c r="Z976" s="19"/>
    </row>
    <row r="977">
      <c r="A977" s="21"/>
      <c r="B977" s="21"/>
      <c r="C977" s="21"/>
      <c r="D977" s="21"/>
      <c r="E977" s="21"/>
      <c r="F977" s="21"/>
      <c r="G977" s="21"/>
      <c r="H977" s="2"/>
      <c r="I977" s="21"/>
      <c r="J977" s="21"/>
      <c r="K977" s="21"/>
      <c r="L977" s="21"/>
      <c r="M977" s="21"/>
      <c r="N977" s="21"/>
      <c r="O977" s="21"/>
      <c r="P977" s="21"/>
      <c r="Q977" s="19"/>
      <c r="R977" s="19"/>
      <c r="S977" s="19"/>
      <c r="T977" s="19"/>
      <c r="U977" s="19"/>
      <c r="V977" s="19"/>
      <c r="W977" s="19"/>
      <c r="X977" s="19"/>
      <c r="Y977" s="19"/>
      <c r="Z977" s="19"/>
    </row>
    <row r="978">
      <c r="A978" s="21"/>
      <c r="B978" s="21"/>
      <c r="C978" s="21"/>
      <c r="D978" s="21"/>
      <c r="E978" s="21"/>
      <c r="F978" s="21"/>
      <c r="G978" s="21"/>
      <c r="H978" s="2"/>
      <c r="I978" s="21"/>
      <c r="J978" s="21"/>
      <c r="K978" s="21"/>
      <c r="L978" s="21"/>
      <c r="M978" s="21"/>
      <c r="N978" s="21"/>
      <c r="O978" s="21"/>
      <c r="P978" s="21"/>
      <c r="Q978" s="19"/>
      <c r="R978" s="19"/>
      <c r="S978" s="19"/>
      <c r="T978" s="19"/>
      <c r="U978" s="19"/>
      <c r="V978" s="19"/>
      <c r="W978" s="19"/>
      <c r="X978" s="19"/>
      <c r="Y978" s="19"/>
      <c r="Z978" s="19"/>
    </row>
    <row r="979">
      <c r="A979" s="21"/>
      <c r="B979" s="21"/>
      <c r="C979" s="21"/>
      <c r="D979" s="21"/>
      <c r="E979" s="21"/>
      <c r="F979" s="21"/>
      <c r="G979" s="21"/>
      <c r="H979" s="2"/>
      <c r="I979" s="21"/>
      <c r="J979" s="21"/>
      <c r="K979" s="21"/>
      <c r="L979" s="21"/>
      <c r="M979" s="21"/>
      <c r="N979" s="21"/>
      <c r="O979" s="21"/>
      <c r="P979" s="21"/>
      <c r="Q979" s="19"/>
      <c r="R979" s="19"/>
      <c r="S979" s="19"/>
      <c r="T979" s="19"/>
      <c r="U979" s="19"/>
      <c r="V979" s="19"/>
      <c r="W979" s="19"/>
      <c r="X979" s="19"/>
      <c r="Y979" s="19"/>
      <c r="Z979" s="19"/>
    </row>
    <row r="980">
      <c r="A980" s="21"/>
      <c r="B980" s="21"/>
      <c r="C980" s="21"/>
      <c r="D980" s="21"/>
      <c r="E980" s="21"/>
      <c r="F980" s="21"/>
      <c r="G980" s="21"/>
      <c r="H980" s="2"/>
      <c r="I980" s="21"/>
      <c r="J980" s="21"/>
      <c r="K980" s="21"/>
      <c r="L980" s="21"/>
      <c r="M980" s="21"/>
      <c r="N980" s="21"/>
      <c r="O980" s="21"/>
      <c r="P980" s="21"/>
      <c r="Q980" s="19"/>
      <c r="R980" s="19"/>
      <c r="S980" s="19"/>
      <c r="T980" s="19"/>
      <c r="U980" s="19"/>
      <c r="V980" s="19"/>
      <c r="W980" s="19"/>
      <c r="X980" s="19"/>
      <c r="Y980" s="19"/>
      <c r="Z980" s="19"/>
    </row>
    <row r="981">
      <c r="A981" s="21"/>
      <c r="B981" s="21"/>
      <c r="C981" s="21"/>
      <c r="D981" s="21"/>
      <c r="E981" s="21"/>
      <c r="F981" s="21"/>
      <c r="G981" s="21"/>
      <c r="H981" s="2"/>
      <c r="I981" s="21"/>
      <c r="J981" s="21"/>
      <c r="K981" s="21"/>
      <c r="L981" s="21"/>
      <c r="M981" s="21"/>
      <c r="N981" s="21"/>
      <c r="O981" s="21"/>
      <c r="P981" s="21"/>
      <c r="Q981" s="19"/>
      <c r="R981" s="19"/>
      <c r="S981" s="19"/>
      <c r="T981" s="19"/>
      <c r="U981" s="19"/>
      <c r="V981" s="19"/>
      <c r="W981" s="19"/>
      <c r="X981" s="19"/>
      <c r="Y981" s="19"/>
      <c r="Z981" s="19"/>
    </row>
    <row r="982">
      <c r="A982" s="21"/>
      <c r="B982" s="21"/>
      <c r="C982" s="21"/>
      <c r="D982" s="21"/>
      <c r="E982" s="21"/>
      <c r="F982" s="21"/>
      <c r="G982" s="21"/>
      <c r="H982" s="2"/>
      <c r="I982" s="21"/>
      <c r="J982" s="21"/>
      <c r="K982" s="21"/>
      <c r="L982" s="21"/>
      <c r="M982" s="21"/>
      <c r="N982" s="21"/>
      <c r="O982" s="21"/>
      <c r="P982" s="21"/>
      <c r="Q982" s="19"/>
      <c r="R982" s="19"/>
      <c r="S982" s="19"/>
      <c r="T982" s="19"/>
      <c r="U982" s="19"/>
      <c r="V982" s="19"/>
      <c r="W982" s="19"/>
      <c r="X982" s="19"/>
      <c r="Y982" s="19"/>
      <c r="Z982" s="19"/>
    </row>
    <row r="983">
      <c r="A983" s="21"/>
      <c r="B983" s="21"/>
      <c r="C983" s="21"/>
      <c r="D983" s="21"/>
      <c r="E983" s="21"/>
      <c r="F983" s="21"/>
      <c r="G983" s="21"/>
      <c r="H983" s="2"/>
      <c r="I983" s="21"/>
      <c r="J983" s="21"/>
      <c r="K983" s="21"/>
      <c r="L983" s="21"/>
      <c r="M983" s="21"/>
      <c r="N983" s="21"/>
      <c r="O983" s="21"/>
      <c r="P983" s="21"/>
      <c r="Q983" s="19"/>
      <c r="R983" s="19"/>
      <c r="S983" s="19"/>
      <c r="T983" s="19"/>
      <c r="U983" s="19"/>
      <c r="V983" s="19"/>
      <c r="W983" s="19"/>
      <c r="X983" s="19"/>
      <c r="Y983" s="19"/>
      <c r="Z983" s="19"/>
    </row>
    <row r="984">
      <c r="A984" s="21"/>
      <c r="B984" s="21"/>
      <c r="C984" s="21"/>
      <c r="D984" s="21"/>
      <c r="E984" s="21"/>
      <c r="F984" s="21"/>
      <c r="G984" s="21"/>
      <c r="H984" s="2"/>
      <c r="I984" s="21"/>
      <c r="J984" s="21"/>
      <c r="K984" s="21"/>
      <c r="L984" s="21"/>
      <c r="M984" s="21"/>
      <c r="N984" s="21"/>
      <c r="O984" s="21"/>
      <c r="P984" s="21"/>
      <c r="Q984" s="19"/>
      <c r="R984" s="19"/>
      <c r="S984" s="19"/>
      <c r="T984" s="19"/>
      <c r="U984" s="19"/>
      <c r="V984" s="19"/>
      <c r="W984" s="19"/>
      <c r="X984" s="19"/>
      <c r="Y984" s="19"/>
      <c r="Z984" s="19"/>
    </row>
    <row r="985">
      <c r="A985" s="21"/>
      <c r="B985" s="21"/>
      <c r="C985" s="21"/>
      <c r="D985" s="21"/>
      <c r="E985" s="21"/>
      <c r="F985" s="21"/>
      <c r="G985" s="21"/>
      <c r="H985" s="2"/>
      <c r="I985" s="21"/>
      <c r="J985" s="21"/>
      <c r="K985" s="21"/>
      <c r="L985" s="21"/>
      <c r="M985" s="21"/>
      <c r="N985" s="21"/>
      <c r="O985" s="21"/>
      <c r="P985" s="21"/>
      <c r="Q985" s="19"/>
      <c r="R985" s="19"/>
      <c r="S985" s="19"/>
      <c r="T985" s="19"/>
      <c r="U985" s="19"/>
      <c r="V985" s="19"/>
      <c r="W985" s="19"/>
      <c r="X985" s="19"/>
      <c r="Y985" s="19"/>
      <c r="Z985" s="19"/>
    </row>
    <row r="986">
      <c r="A986" s="21"/>
      <c r="B986" s="21"/>
      <c r="C986" s="21"/>
      <c r="D986" s="21"/>
      <c r="E986" s="21"/>
      <c r="F986" s="21"/>
      <c r="G986" s="21"/>
      <c r="H986" s="2"/>
      <c r="I986" s="21"/>
      <c r="J986" s="21"/>
      <c r="K986" s="21"/>
      <c r="L986" s="21"/>
      <c r="M986" s="21"/>
      <c r="N986" s="21"/>
      <c r="O986" s="21"/>
      <c r="P986" s="21"/>
      <c r="Q986" s="19"/>
      <c r="R986" s="19"/>
      <c r="S986" s="19"/>
      <c r="T986" s="19"/>
      <c r="U986" s="19"/>
      <c r="V986" s="19"/>
      <c r="W986" s="19"/>
      <c r="X986" s="19"/>
      <c r="Y986" s="19"/>
      <c r="Z986" s="19"/>
    </row>
    <row r="987">
      <c r="A987" s="21"/>
      <c r="B987" s="21"/>
      <c r="C987" s="21"/>
      <c r="D987" s="21"/>
      <c r="E987" s="21"/>
      <c r="F987" s="21"/>
      <c r="G987" s="21"/>
      <c r="H987" s="2"/>
      <c r="I987" s="21"/>
      <c r="J987" s="21"/>
      <c r="K987" s="21"/>
      <c r="L987" s="21"/>
      <c r="M987" s="21"/>
      <c r="N987" s="21"/>
      <c r="O987" s="21"/>
      <c r="P987" s="21"/>
      <c r="Q987" s="19"/>
      <c r="R987" s="19"/>
      <c r="S987" s="19"/>
      <c r="T987" s="19"/>
      <c r="U987" s="19"/>
      <c r="V987" s="19"/>
      <c r="W987" s="19"/>
      <c r="X987" s="19"/>
      <c r="Y987" s="19"/>
      <c r="Z987" s="19"/>
    </row>
    <row r="988">
      <c r="A988" s="21"/>
      <c r="B988" s="21"/>
      <c r="C988" s="21"/>
      <c r="D988" s="21"/>
      <c r="E988" s="21"/>
      <c r="F988" s="21"/>
      <c r="G988" s="21"/>
      <c r="H988" s="2"/>
      <c r="I988" s="21"/>
      <c r="J988" s="21"/>
      <c r="K988" s="21"/>
      <c r="L988" s="21"/>
      <c r="M988" s="21"/>
      <c r="N988" s="21"/>
      <c r="O988" s="21"/>
      <c r="P988" s="21"/>
      <c r="Q988" s="19"/>
      <c r="R988" s="19"/>
      <c r="S988" s="19"/>
      <c r="T988" s="19"/>
      <c r="U988" s="19"/>
      <c r="V988" s="19"/>
      <c r="W988" s="19"/>
      <c r="X988" s="19"/>
      <c r="Y988" s="19"/>
      <c r="Z988" s="19"/>
    </row>
    <row r="989">
      <c r="A989" s="21"/>
      <c r="B989" s="21"/>
      <c r="C989" s="21"/>
      <c r="D989" s="21"/>
      <c r="E989" s="21"/>
      <c r="F989" s="21"/>
      <c r="G989" s="21"/>
      <c r="H989" s="2"/>
      <c r="I989" s="21"/>
      <c r="J989" s="21"/>
      <c r="K989" s="21"/>
      <c r="L989" s="21"/>
      <c r="M989" s="21"/>
      <c r="N989" s="21"/>
      <c r="O989" s="21"/>
      <c r="P989" s="21"/>
      <c r="Q989" s="19"/>
      <c r="R989" s="19"/>
      <c r="S989" s="19"/>
      <c r="T989" s="19"/>
      <c r="U989" s="19"/>
      <c r="V989" s="19"/>
      <c r="W989" s="19"/>
      <c r="X989" s="19"/>
      <c r="Y989" s="19"/>
      <c r="Z989" s="19"/>
    </row>
    <row r="990">
      <c r="A990" s="21"/>
      <c r="B990" s="21"/>
      <c r="C990" s="21"/>
      <c r="D990" s="21"/>
      <c r="E990" s="21"/>
      <c r="F990" s="21"/>
      <c r="G990" s="21"/>
      <c r="H990" s="2"/>
      <c r="I990" s="21"/>
      <c r="J990" s="21"/>
      <c r="K990" s="21"/>
      <c r="L990" s="21"/>
      <c r="M990" s="21"/>
      <c r="N990" s="21"/>
      <c r="O990" s="21"/>
      <c r="P990" s="21"/>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5" width="12.75"/>
    <col customWidth="1" min="10" max="11" width="12.75"/>
  </cols>
  <sheetData>
    <row r="1">
      <c r="A1" s="20" t="s">
        <v>0</v>
      </c>
      <c r="B1" s="20" t="s">
        <v>1</v>
      </c>
      <c r="C1" s="20" t="s">
        <v>2</v>
      </c>
      <c r="D1" s="20" t="s">
        <v>3</v>
      </c>
      <c r="E1" s="20" t="s">
        <v>4</v>
      </c>
      <c r="F1" s="21"/>
      <c r="G1" s="21"/>
      <c r="H1" s="22"/>
      <c r="I1" s="20" t="s">
        <v>5</v>
      </c>
      <c r="J1" s="20" t="s">
        <v>6</v>
      </c>
      <c r="K1" s="20" t="s">
        <v>7</v>
      </c>
      <c r="L1" s="20" t="s">
        <v>4</v>
      </c>
      <c r="M1" s="22"/>
      <c r="N1" s="22"/>
      <c r="O1" s="22"/>
      <c r="P1" s="22"/>
      <c r="Q1" s="19"/>
      <c r="R1" s="19"/>
      <c r="S1" s="19"/>
      <c r="T1" s="19"/>
      <c r="U1" s="19"/>
      <c r="V1" s="19"/>
      <c r="W1" s="19"/>
      <c r="X1" s="19"/>
      <c r="Y1" s="19"/>
      <c r="Z1" s="19"/>
    </row>
    <row r="2" ht="101.25" customHeight="1">
      <c r="A2" s="44">
        <v>1.0</v>
      </c>
      <c r="B2" s="24" t="s">
        <v>1736</v>
      </c>
      <c r="C2" s="24" t="s">
        <v>1737</v>
      </c>
      <c r="D2" s="24" t="s">
        <v>1738</v>
      </c>
      <c r="E2" s="24" t="s">
        <v>1739</v>
      </c>
      <c r="F2" s="21"/>
      <c r="G2" s="21"/>
      <c r="H2" s="25"/>
      <c r="I2" s="24" t="str">
        <f>IFERROR(__xludf.DUMMYFUNCTION("GOOGLETRANSLATE(B2, ""en"", ""zh"")"),"在一场职业围棋比赛中，A 棋手和 B 棋手正在下 9x9 的棋盘。A 棋手在棋盘中央放置了一枚棋子，而 B 棋手则在 A 棋子的四周放置了棋子。下列哪项最能描述这种情况？")</f>
        <v>在一场职业围棋比赛中，A 棋手和 B 棋手正在下 9x9 的棋盘。A 棋手在棋盘中央放置了一枚棋子，而 B 棋手则在 A 棋子的四周放置了棋子。下列哪项最能描述这种情况？</v>
      </c>
      <c r="J2" s="24" t="str">
        <f>IFERROR(__xludf.DUMMYFUNCTION("GOOGLETRANSLATE(C2, ""en"", ""zh"")"),"A) 玩家 A 吃掉了玩家 B 的棋子，B) 玩家 B 吃掉了玩家 A 的棋子，C) 玩家 A 已形成领地，D) 玩家 B 被包围但没有吃到任何棋子。")</f>
        <v>A) 玩家 A 吃掉了玩家 B 的棋子，B) 玩家 B 吃掉了玩家 A 的棋子，C) 玩家 A 已形成领地，D) 玩家 B 被包围但没有吃到任何棋子。</v>
      </c>
      <c r="K2" s="24" t="str">
        <f>IFERROR(__xludf.DUMMYFUNCTION("GOOGLETRANSLATE(D2, ""en"", ""zh"")"),"B）玩家B吃掉了玩家A的棋子。")</f>
        <v>B）玩家B吃掉了玩家A的棋子。</v>
      </c>
      <c r="L2" s="24" t="str">
        <f>IFERROR(__xludf.DUMMYFUNCTION("GOOGLETRANSLATE(E2, ""en"", ""zh"")"),"在围棋中，如果一颗棋子被对方的棋子四面包围，则该棋子被吃掉。在本例中，B 玩家包围了 A 玩家的棋子。")</f>
        <v>在围棋中，如果一颗棋子被对方的棋子四面包围，则该棋子被吃掉。在本例中，B 玩家包围了 A 玩家的棋子。</v>
      </c>
      <c r="M2" s="22"/>
      <c r="N2" s="22"/>
      <c r="O2" s="22"/>
      <c r="P2" s="45"/>
      <c r="Q2" s="19"/>
      <c r="R2" s="19"/>
      <c r="S2" s="19"/>
      <c r="T2" s="19"/>
      <c r="U2" s="19"/>
      <c r="V2" s="19"/>
      <c r="W2" s="19"/>
      <c r="X2" s="19"/>
      <c r="Y2" s="19"/>
      <c r="Z2" s="19"/>
    </row>
    <row r="3" ht="82.5" customHeight="1">
      <c r="A3" s="44">
        <v>2.0</v>
      </c>
      <c r="B3" s="24" t="s">
        <v>1740</v>
      </c>
      <c r="C3" s="24" t="s">
        <v>1741</v>
      </c>
      <c r="D3" s="24" t="s">
        <v>1742</v>
      </c>
      <c r="E3" s="24" t="s">
        <v>1743</v>
      </c>
      <c r="F3" s="21"/>
      <c r="G3" s="21"/>
      <c r="H3" s="25"/>
      <c r="I3" s="24" t="str">
        <f>IFERROR(__xludf.DUMMYFUNCTION("GOOGLETRANSLATE(B3, ""en"", ""zh"")"),"在围棋比赛中，A玩家走了一步棋，导致B玩家的一组棋子被包围但没有被吃掉。这种情况叫什么？")</f>
        <v>在围棋比赛中，A玩家走了一步棋，导致B玩家的一组棋子被包围但没有被吃掉。这种情况叫什么？</v>
      </c>
      <c r="J3" s="24" t="str">
        <f>IFERROR(__xludf.DUMMYFUNCTION("GOOGLETRANSLATE(C3, ""en"", ""zh"")"),"A) 雅达利 (Atari)、B) Ko、C) Eye、D) Seki")</f>
        <v>A) 雅达利 (Atari)、B) Ko、C) Eye、D) Seki</v>
      </c>
      <c r="K3" s="24" t="str">
        <f>IFERROR(__xludf.DUMMYFUNCTION("GOOGLETRANSLATE(D3, ""en"", ""zh"")"),"D）关")</f>
        <v>D）关</v>
      </c>
      <c r="L3" s="24" t="str">
        <f>IFERROR(__xludf.DUMMYFUNCTION("GOOGLETRANSLATE(E3, ""en"", ""zh"")"),"Seki 指的是双方玩家都有存活的部队，但无法俘获对方，从而造成僵局的情况。")</f>
        <v>Seki 指的是双方玩家都有存活的部队，但无法俘获对方，从而造成僵局的情况。</v>
      </c>
      <c r="M3" s="22"/>
      <c r="N3" s="45"/>
      <c r="O3" s="22"/>
      <c r="P3" s="45"/>
      <c r="Q3" s="19"/>
      <c r="R3" s="19"/>
      <c r="S3" s="19"/>
      <c r="T3" s="19"/>
      <c r="U3" s="19"/>
      <c r="V3" s="19"/>
      <c r="W3" s="19"/>
      <c r="X3" s="19"/>
      <c r="Y3" s="19"/>
      <c r="Z3" s="19"/>
    </row>
    <row r="4" ht="82.5" customHeight="1">
      <c r="A4" s="44">
        <v>3.0</v>
      </c>
      <c r="B4" s="24" t="s">
        <v>1744</v>
      </c>
      <c r="C4" s="24" t="s">
        <v>1745</v>
      </c>
      <c r="D4" s="24" t="s">
        <v>1746</v>
      </c>
      <c r="E4" s="24" t="s">
        <v>1747</v>
      </c>
      <c r="F4" s="21"/>
      <c r="G4" s="21"/>
      <c r="H4" s="25"/>
      <c r="I4" s="24" t="str">
        <f>IFERROR(__xludf.DUMMYFUNCTION("GOOGLETRANSLATE(B4, ""en"", ""zh"")"),"在围棋比赛中，A玩家将棋子放置在迫使B玩家要么吃掉这颗棋子，要么损失更多棋子的位置。这种策略被称为？")</f>
        <v>在围棋比赛中，A玩家将棋子放置在迫使B玩家要么吃掉这颗棋子，要么损失更多棋子的位置。这种策略被称为？</v>
      </c>
      <c r="J4" s="24" t="str">
        <f>IFERROR(__xludf.DUMMYFUNCTION("GOOGLETRANSLATE(C4, ""en"", ""zh"")"),"A) Seki，B) Ko，C) Tesuji，D) Moyo")</f>
        <v>A) Seki，B) Ko，C) Tesuji，D) Moyo</v>
      </c>
      <c r="K4" s="24" t="str">
        <f>IFERROR(__xludf.DUMMYFUNCTION("GOOGLETRANSLATE(D4, ""en"", ""zh"")"),"C) 手筋")</f>
        <v>C) 手筋</v>
      </c>
      <c r="L4" s="24" t="str">
        <f>IFERROR(__xludf.DUMMYFUNCTION("GOOGLETRANSLATE(E4, ""en"", ""zh"")"),"手筋是指一种巧妙的招式或战术，迫使对手陷入困境，通常涉及一系列动作。")</f>
        <v>手筋是指一种巧妙的招式或战术，迫使对手陷入困境，通常涉及一系列动作。</v>
      </c>
      <c r="M4" s="22"/>
      <c r="N4" s="41"/>
      <c r="O4" s="22"/>
      <c r="P4" s="22"/>
      <c r="Q4" s="19"/>
      <c r="R4" s="19"/>
      <c r="S4" s="19"/>
      <c r="T4" s="19"/>
      <c r="U4" s="19"/>
      <c r="V4" s="19"/>
      <c r="W4" s="19"/>
      <c r="X4" s="19"/>
      <c r="Y4" s="19"/>
      <c r="Z4" s="19"/>
    </row>
    <row r="5" ht="93.75" customHeight="1">
      <c r="A5" s="44">
        <v>4.0</v>
      </c>
      <c r="B5" s="24" t="s">
        <v>1748</v>
      </c>
      <c r="C5" s="24" t="s">
        <v>1749</v>
      </c>
      <c r="D5" s="24" t="s">
        <v>1750</v>
      </c>
      <c r="E5" s="24" t="s">
        <v>1751</v>
      </c>
      <c r="F5" s="21"/>
      <c r="G5" s="21"/>
      <c r="H5" s="25"/>
      <c r="I5" s="24" t="str">
        <f>IFERROR(__xludf.DUMMYFUNCTION("GOOGLETRANSLATE(B5, ""en"", ""zh"")"),"在围棋比赛中，A 棋手用棋子围成一个区域，但并未完全包围。B 棋手试图入侵这个区域。判断 B 棋手能否成功的关键是什么？")</f>
        <v>在围棋比赛中，A 棋手用棋子围成一个区域，但并未完全包围。B 棋手试图入侵这个区域。判断 B 棋手能否成功的关键是什么？</v>
      </c>
      <c r="J5" s="24" t="str">
        <f>IFERROR(__xludf.DUMMYFUNCTION("GOOGLETRANSLATE(C5, ""en"", ""zh"")"),"A) 玩家 A 在该区域内的眼睛数量，B) 玩家 A 拥有的棋子数量，C) 总步数，D) 游戏速度")</f>
        <v>A) 玩家 A 在该区域内的眼睛数量，B) 玩家 A 拥有的棋子数量，C) 总步数，D) 游戏速度</v>
      </c>
      <c r="K5" s="24" t="str">
        <f>IFERROR(__xludf.DUMMYFUNCTION("GOOGLETRANSLATE(D5, ""en"", ""zh"")"),"A) 玩家 A 在该区域拥有的眼睛数量")</f>
        <v>A) 玩家 A 在该区域拥有的眼睛数量</v>
      </c>
      <c r="L5" s="24" t="str">
        <f>IFERROR(__xludf.DUMMYFUNCTION("GOOGLETRANSLATE(E5, ""en"", ""zh"")"),"在围棋中，一组棋子必须至少有两个“眼”才算“活棋”。“眼”的数量对于判断一个区域是否安全至关重要。")</f>
        <v>在围棋中，一组棋子必须至少有两个“眼”才算“活棋”。“眼”的数量对于判断一个区域是否安全至关重要。</v>
      </c>
      <c r="M5" s="22"/>
      <c r="N5" s="22"/>
      <c r="O5" s="22"/>
      <c r="P5" s="45"/>
      <c r="Q5" s="19"/>
      <c r="R5" s="19"/>
      <c r="S5" s="19"/>
      <c r="T5" s="19"/>
      <c r="U5" s="19"/>
      <c r="V5" s="19"/>
      <c r="W5" s="19"/>
      <c r="X5" s="19"/>
      <c r="Y5" s="19"/>
      <c r="Z5" s="19"/>
    </row>
    <row r="6" ht="102.75" customHeight="1">
      <c r="A6" s="44">
        <v>5.0</v>
      </c>
      <c r="B6" s="24" t="s">
        <v>1752</v>
      </c>
      <c r="C6" s="24" t="s">
        <v>1753</v>
      </c>
      <c r="D6" s="24" t="s">
        <v>1754</v>
      </c>
      <c r="E6" s="24" t="s">
        <v>1755</v>
      </c>
      <c r="F6" s="21"/>
      <c r="G6" s="21"/>
      <c r="H6" s="25"/>
      <c r="I6" s="24" t="str">
        <f>IFERROR(__xludf.DUMMYFUNCTION("GOOGLETRANSLATE(B6, ""en"", ""zh"")"),"玩家A和玩家B正在一个13×13的围棋棋盘上对弈。玩家A在棋盘的一侧围成一个区域，而玩家B在附近有一组棋子。如果玩家A将一颗棋子放在玩家B的棋子旁边，可能会发生什么？")</f>
        <v>玩家A和玩家B正在一个13×13的围棋棋盘上对弈。玩家A在棋盘的一侧围成一个区域，而玩家B在附近有一组棋子。如果玩家A将一颗棋子放在玩家B的棋子旁边，可能会发生什么？</v>
      </c>
      <c r="J6" s="24" t="str">
        <f>IFERROR(__xludf.DUMMYFUNCTION("GOOGLETRANSLATE(C6, ""en"", ""zh"")"),"A) 玩家 B 的队伍复活，B) 玩家 B 的队伍被俘虏，C) 玩家 A 失去分数，D) 玩家 A 创造一只新眼睛")</f>
        <v>A) 玩家 B 的队伍复活，B) 玩家 B 的队伍被俘虏，C) 玩家 A 失去分数，D) 玩家 A 创造一只新眼睛</v>
      </c>
      <c r="K6" s="24" t="str">
        <f>IFERROR(__xludf.DUMMYFUNCTION("GOOGLETRANSLATE(D6, ""en"", ""zh"")"),"B）玩家B的队伍将被俘虏")</f>
        <v>B）玩家B的队伍将被俘虏</v>
      </c>
      <c r="L6" s="24" t="str">
        <f>IFERROR(__xludf.DUMMYFUNCTION("GOOGLETRANSLATE(E6, ""en"", ""zh"")"),"如果玩家 A 包围了玩家 B 的队伍而没有制造出眼睛，那么玩家 B 的队伍将被俘虏。")</f>
        <v>如果玩家 A 包围了玩家 B 的队伍而没有制造出眼睛，那么玩家 B 的队伍将被俘虏。</v>
      </c>
      <c r="M6" s="22"/>
      <c r="N6" s="22"/>
      <c r="O6" s="22"/>
      <c r="P6" s="45"/>
      <c r="Q6" s="19"/>
      <c r="R6" s="19"/>
      <c r="S6" s="19"/>
      <c r="T6" s="19"/>
      <c r="U6" s="19"/>
      <c r="V6" s="19"/>
      <c r="W6" s="19"/>
      <c r="X6" s="19"/>
      <c r="Y6" s="19"/>
      <c r="Z6" s="19"/>
    </row>
    <row r="7" ht="90.0" customHeight="1">
      <c r="A7" s="44">
        <v>6.0</v>
      </c>
      <c r="B7" s="24" t="s">
        <v>1756</v>
      </c>
      <c r="C7" s="24" t="s">
        <v>1757</v>
      </c>
      <c r="D7" s="24" t="s">
        <v>1758</v>
      </c>
      <c r="E7" s="24" t="s">
        <v>1759</v>
      </c>
      <c r="F7" s="21"/>
      <c r="G7" s="21"/>
      <c r="H7" s="26"/>
      <c r="I7" s="24" t="str">
        <f>IFERROR(__xludf.DUMMYFUNCTION("GOOGLETRANSLATE(B7, ""en"", ""zh"")"),"在围棋比赛中，A棋手将棋子落入导致劫（Ko）的位置。围棋中的劫是什么意思？")</f>
        <v>在围棋比赛中，A棋手将棋子落入导致劫（Ko）的位置。围棋中的劫是什么意思？</v>
      </c>
      <c r="J7" s="24" t="str">
        <f>IFERROR(__xludf.DUMMYFUNCTION("GOOGLETRANSLATE(C7, ""en"", ""zh"")"),"A) 僵局，B) 棋子可以被吃掉但又能立即被吃掉的情况，C) 一组没有眼睛的棋子，D) 具有战略意义的走法")</f>
        <v>A) 僵局，B) 棋子可以被吃掉但又能立即被吃掉的情况，C) 一组没有眼睛的棋子，D) 具有战略意义的走法</v>
      </c>
      <c r="K7" s="24" t="str">
        <f>IFERROR(__xludf.DUMMYFUNCTION("GOOGLETRANSLATE(D7, ""en"", ""zh"")"),"B) 一种石头可以被捕获并立即被夺回的情况")</f>
        <v>B) 一种石头可以被捕获并立即被夺回的情况</v>
      </c>
      <c r="L7" s="24" t="str">
        <f>IFERROR(__xludf.DUMMYFUNCTION("GOOGLETRANSLATE(E7, ""en"", ""zh"")"),"劫争局面是指一方吃子后，双方可能陷入无限循环，不断重复吃掉同一枚棋子。特殊规则可以防止这种无限循环。")</f>
        <v>劫争局面是指一方吃子后，双方可能陷入无限循环，不断重复吃掉同一枚棋子。特殊规则可以防止这种无限循环。</v>
      </c>
      <c r="M7" s="22"/>
      <c r="N7" s="45"/>
      <c r="O7" s="22"/>
      <c r="P7" s="22"/>
      <c r="Q7" s="19"/>
      <c r="R7" s="19"/>
      <c r="S7" s="19"/>
      <c r="T7" s="19"/>
      <c r="U7" s="19"/>
      <c r="V7" s="19"/>
      <c r="W7" s="19"/>
      <c r="X7" s="19"/>
      <c r="Y7" s="19"/>
      <c r="Z7" s="19"/>
    </row>
    <row r="8" ht="87.0" customHeight="1">
      <c r="A8" s="44">
        <v>7.0</v>
      </c>
      <c r="B8" s="24" t="s">
        <v>1760</v>
      </c>
      <c r="C8" s="24" t="s">
        <v>1761</v>
      </c>
      <c r="D8" s="24" t="s">
        <v>1762</v>
      </c>
      <c r="E8" s="24" t="s">
        <v>1763</v>
      </c>
      <c r="F8" s="21"/>
      <c r="G8" s="21"/>
      <c r="H8" s="25"/>
      <c r="I8" s="24" t="str">
        <f>IFERROR(__xludf.DUMMYFUNCTION("GOOGLETRANSLATE(B8, ""en"", ""zh"")"),"在围棋比赛中，玩家A有一组只有一个“眼睛”的棋子。玩家B在这组棋子旁边放置一颗棋子，但玩家A仍然可以创造出第二个“眼睛”。玩家A的这组棋子处于什么状态？")</f>
        <v>在围棋比赛中，玩家A有一组只有一个“眼睛”的棋子。玩家B在这组棋子旁边放置一颗棋子，但玩家A仍然可以创造出第二个“眼睛”。玩家A的这组棋子处于什么状态？</v>
      </c>
      <c r="J8" s="24" t="str">
        <f>IFERROR(__xludf.DUMMYFUNCTION("GOOGLETRANSLATE(C8, ""en"", ""zh"")"),"A) 该组织已死亡，B) 该组织仍然活着，C) 该组织在雅达利游戏机里，D) 该组织将被俘虏。")</f>
        <v>A) 该组织已死亡，B) 该组织仍然活着，C) 该组织在雅达利游戏机里，D) 该组织将被俘虏。</v>
      </c>
      <c r="K8" s="24" t="str">
        <f>IFERROR(__xludf.DUMMYFUNCTION("GOOGLETRANSLATE(D8, ""en"", ""zh"")"),"B) 该组织仍然存活")</f>
        <v>B) 该组织仍然存活</v>
      </c>
      <c r="L8" s="24" t="str">
        <f>IFERROR(__xludf.DUMMYFUNCTION("GOOGLETRANSLATE(E8, ""en"", ""zh"")"),"在围棋中，拥有两只眼睛的棋子被认为是活的，这意味着它不会被吃掉。")</f>
        <v>在围棋中，拥有两只眼睛的棋子被认为是活的，这意味着它不会被吃掉。</v>
      </c>
      <c r="M8" s="22"/>
      <c r="N8" s="22"/>
      <c r="O8" s="22"/>
      <c r="P8" s="45"/>
      <c r="Q8" s="19"/>
      <c r="R8" s="19"/>
      <c r="S8" s="19"/>
      <c r="T8" s="19"/>
      <c r="U8" s="19"/>
      <c r="V8" s="19"/>
      <c r="W8" s="19"/>
      <c r="X8" s="19"/>
      <c r="Y8" s="19"/>
      <c r="Z8" s="19"/>
    </row>
    <row r="9" ht="93.0" customHeight="1">
      <c r="A9" s="44">
        <v>8.0</v>
      </c>
      <c r="B9" s="24" t="s">
        <v>1764</v>
      </c>
      <c r="C9" s="24" t="s">
        <v>1765</v>
      </c>
      <c r="D9" s="24" t="s">
        <v>1766</v>
      </c>
      <c r="E9" s="24" t="s">
        <v>1767</v>
      </c>
      <c r="F9" s="21"/>
      <c r="G9" s="21"/>
      <c r="H9" s="26"/>
      <c r="I9" s="24" t="str">
        <f>IFERROR(__xludf.DUMMYFUNCTION("GOOGLETRANSLATE(B9, ""en"", ""zh"")"),"在围棋比赛中，A棋手即将走一步棋，吃掉B棋手的一大片棋子。A棋手即将占据的这片区域叫什么？")</f>
        <v>在围棋比赛中，A棋手即将走一步棋，吃掉B棋手的一大片棋子。A棋手即将占据的这片区域叫什么？</v>
      </c>
      <c r="J9" s="24" t="str">
        <f>IFERROR(__xludf.DUMMYFUNCTION("GOOGLETRANSLATE(C9, ""en"", ""zh"")"),"A）关，B）莫约，C）领土，D）Ko")</f>
        <v>A）关，B）莫约，C）领土，D）Ko</v>
      </c>
      <c r="K9" s="24" t="str">
        <f>IFERROR(__xludf.DUMMYFUNCTION("GOOGLETRANSLATE(D9, ""en"", ""zh"")"),"C）领土")</f>
        <v>C）领土</v>
      </c>
      <c r="L9" s="24" t="str">
        <f>IFERROR(__xludf.DUMMYFUNCTION("GOOGLETRANSLATE(E9, ""en"", ""zh"")"),"领地是指棋盘上被玩家棋子包围的空地，游戏结束时会计算这些空地的分数。")</f>
        <v>领地是指棋盘上被玩家棋子包围的空地，游戏结束时会计算这些空地的分数。</v>
      </c>
      <c r="M9" s="22"/>
      <c r="N9" s="22"/>
      <c r="O9" s="22"/>
      <c r="P9" s="45"/>
      <c r="Q9" s="19"/>
      <c r="R9" s="19"/>
      <c r="S9" s="19"/>
      <c r="T9" s="19"/>
      <c r="U9" s="19"/>
      <c r="V9" s="19"/>
      <c r="W9" s="19"/>
      <c r="X9" s="19"/>
      <c r="Y9" s="19"/>
      <c r="Z9" s="19"/>
    </row>
    <row r="10" ht="111.75" customHeight="1">
      <c r="A10" s="44">
        <v>9.0</v>
      </c>
      <c r="B10" s="24" t="s">
        <v>1768</v>
      </c>
      <c r="C10" s="24" t="s">
        <v>1769</v>
      </c>
      <c r="D10" s="24" t="s">
        <v>1770</v>
      </c>
      <c r="E10" s="24" t="s">
        <v>1771</v>
      </c>
      <c r="F10" s="21"/>
      <c r="G10" s="21"/>
      <c r="H10" s="25"/>
      <c r="I10" s="24" t="str">
        <f>IFERROR(__xludf.DUMMYFUNCTION("GOOGLETRANSLATE(B10, ""en"", ""zh"")"),"在围棋比赛中，A棋手走了一步棋，威胁要包围B棋手的棋子群。B棋手随即下棋，试图形成一个“眼”。B棋手接下来必须怎么做才能确保自己的棋子群存活？")</f>
        <v>在围棋比赛中，A棋手走了一步棋，威胁要包围B棋手的棋子群。B棋手随即下棋，试图形成一个“眼”。B棋手接下来必须怎么做才能确保自己的棋子群存活？</v>
      </c>
      <c r="J10" s="24" t="str">
        <f>IFERROR(__xludf.DUMMYFUNCTION("GOOGLETRANSLATE(C10, ""en"", ""zh"")"),"A) 吃掉玩家 A 的棋子，B) 组成双眼，C) 连接双方的棋子，D) 将棋子放在关卡中")</f>
        <v>A) 吃掉玩家 A 的棋子，B) 组成双眼，C) 连接双方的棋子，D) 将棋子放在关卡中</v>
      </c>
      <c r="K10" s="24" t="str">
        <f>IFERROR(__xludf.DUMMYFUNCTION("GOOGLETRANSLATE(D10, ""en"", ""zh"")"),"B) 形成两只眼睛")</f>
        <v>B) 形成两只眼睛</v>
      </c>
      <c r="L10" s="24" t="str">
        <f>IFERROR(__xludf.DUMMYFUNCTION("GOOGLETRANSLATE(E10, ""en"", ""zh"")"),"在围棋中，如果一个棋子有两只眼睛（即棋子周围的空隙），则该棋子是活的，这样可以确保该棋子不会被吃掉。")</f>
        <v>在围棋中，如果一个棋子有两只眼睛（即棋子周围的空隙），则该棋子是活的，这样可以确保该棋子不会被吃掉。</v>
      </c>
      <c r="M10" s="22"/>
      <c r="N10" s="22"/>
      <c r="O10" s="22"/>
      <c r="P10" s="45"/>
      <c r="Q10" s="19"/>
      <c r="R10" s="19"/>
      <c r="S10" s="19"/>
      <c r="T10" s="19"/>
      <c r="U10" s="19"/>
      <c r="V10" s="19"/>
      <c r="W10" s="19"/>
      <c r="X10" s="19"/>
      <c r="Y10" s="19"/>
      <c r="Z10" s="19"/>
    </row>
    <row r="11" ht="75.75" customHeight="1">
      <c r="A11" s="44">
        <v>10.0</v>
      </c>
      <c r="B11" s="24" t="s">
        <v>1772</v>
      </c>
      <c r="C11" s="24" t="s">
        <v>1773</v>
      </c>
      <c r="D11" s="24" t="s">
        <v>1774</v>
      </c>
      <c r="E11" s="24" t="s">
        <v>1775</v>
      </c>
      <c r="F11" s="21"/>
      <c r="G11" s="21"/>
      <c r="H11" s="25"/>
      <c r="I11" s="24" t="str">
        <f>IFERROR(__xludf.DUMMYFUNCTION("GOOGLETRANSLATE(B11, ""en"", ""zh"")"),"在围棋比赛中，A 玩家走的一步棋使 B 玩家可以选择吃掉 A 玩家的棋子或者建立新的棋局。这一步棋被称为？")</f>
        <v>在围棋比赛中，A 玩家走的一步棋使 B 玩家可以选择吃掉 A 玩家的棋子或者建立新的棋局。这一步棋被称为？</v>
      </c>
      <c r="J11" s="24" t="str">
        <f>IFERROR(__xludf.DUMMYFUNCTION("GOOGLETRANSLATE(C11, ""en"", ""zh"")"),"A）手筋，B）莫约，C）雅达利，D）Ko")</f>
        <v>A）手筋，B）莫约，C）雅达利，D）Ko</v>
      </c>
      <c r="K11" s="24" t="str">
        <f>IFERROR(__xludf.DUMMYFUNCTION("GOOGLETRANSLATE(D11, ""en"", ""zh"")"),"A）手筋")</f>
        <v>A）手筋</v>
      </c>
      <c r="L11" s="24" t="str">
        <f>IFERROR(__xludf.DUMMYFUNCTION("GOOGLETRANSLATE(E11, ""en"", ""zh"")"),"手筋指的是迫使对手做出艰难选择（通常是在防守和进攻之间）的招式。")</f>
        <v>手筋指的是迫使对手做出艰难选择（通常是在防守和进攻之间）的招式。</v>
      </c>
      <c r="M11" s="22"/>
      <c r="N11" s="21"/>
      <c r="O11" s="22"/>
      <c r="P11" s="45"/>
      <c r="Q11" s="19"/>
      <c r="R11" s="19"/>
      <c r="S11" s="19"/>
      <c r="T11" s="19"/>
      <c r="U11" s="19"/>
      <c r="V11" s="19"/>
      <c r="W11" s="19"/>
      <c r="X11" s="19"/>
      <c r="Y11" s="19"/>
      <c r="Z11" s="19"/>
    </row>
    <row r="12" ht="86.25" customHeight="1">
      <c r="A12" s="44">
        <v>11.0</v>
      </c>
      <c r="B12" s="24" t="s">
        <v>1776</v>
      </c>
      <c r="C12" s="24" t="s">
        <v>1777</v>
      </c>
      <c r="D12" s="24" t="s">
        <v>1778</v>
      </c>
      <c r="E12" s="24" t="s">
        <v>1779</v>
      </c>
      <c r="F12" s="21"/>
      <c r="G12" s="21"/>
      <c r="H12" s="25"/>
      <c r="I12" s="24" t="str">
        <f>IFERROR(__xludf.DUMMYFUNCTION("GOOGLETRANSLATE(B12, ""en"", ""zh"")"),"玩家A将一块石头放在一个可能被玩家B吃掉的位置，但玩家A有一个逃脱的计划。玩家A的策略叫什么？")</f>
        <v>玩家A将一块石头放在一个可能被玩家B吃掉的位置，但玩家A有一个逃脱的计划。玩家A的策略叫什么？</v>
      </c>
      <c r="J12" s="24" t="str">
        <f>IFERROR(__xludf.DUMMYFUNCTION("GOOGLETRANSLATE(C12, ""en"", ""zh"")"),"A) 生死，B) 关，C) 甲，D) 手筋")</f>
        <v>A) 生死，B) 关，C) 甲，D) 手筋</v>
      </c>
      <c r="K12" s="24" t="str">
        <f>IFERROR(__xludf.DUMMYFUNCTION("GOOGLETRANSLATE(D12, ""en"", ""zh"")"),"D) 手筋")</f>
        <v>D) 手筋</v>
      </c>
      <c r="L12" s="24" t="str">
        <f>IFERROR(__xludf.DUMMYFUNCTION("GOOGLETRANSLATE(E12, ""en"", ""zh"")"),"“手筋”一词指的是一种巧妙的招式或战术，它迫使对手陷入困境，通常涉及从可能致命的处境中逃脱。")</f>
        <v>“手筋”一词指的是一种巧妙的招式或战术，它迫使对手陷入困境，通常涉及从可能致命的处境中逃脱。</v>
      </c>
      <c r="M12" s="22"/>
      <c r="N12" s="21"/>
      <c r="O12" s="22"/>
      <c r="P12" s="45"/>
      <c r="Q12" s="19"/>
      <c r="R12" s="19"/>
      <c r="S12" s="19"/>
      <c r="T12" s="19"/>
      <c r="U12" s="19"/>
      <c r="V12" s="19"/>
      <c r="W12" s="19"/>
      <c r="X12" s="19"/>
      <c r="Y12" s="19"/>
      <c r="Z12" s="19"/>
    </row>
    <row r="13">
      <c r="A13" s="44">
        <v>12.0</v>
      </c>
      <c r="B13" s="24" t="s">
        <v>1780</v>
      </c>
      <c r="C13" s="24" t="s">
        <v>1781</v>
      </c>
      <c r="D13" s="24" t="s">
        <v>1782</v>
      </c>
      <c r="E13" s="24" t="s">
        <v>1783</v>
      </c>
      <c r="F13" s="21"/>
      <c r="G13" s="21"/>
      <c r="H13" s="25"/>
      <c r="I13" s="24" t="str">
        <f>IFERROR(__xludf.DUMMYFUNCTION("GOOGLETRANSLATE(B13, ""en"", ""zh"")"),"玩家A包围了玩家B的一组石子，即将将其占领。玩家B必须怎么做才能阻止占领？")</f>
        <v>玩家A包围了玩家B的一组石子，即将将其占领。玩家B必须怎么做才能阻止占领？</v>
      </c>
      <c r="J13" s="24" t="str">
        <f>IFERROR(__xludf.DUMMYFUNCTION("GOOGLETRANSLATE(C13, ""en"", ""zh"")"),"A) 组成一个眼睛，B) 连接棋子，C) 移除玩家 A 的棋子，D) 组成一个棋局")</f>
        <v>A) 组成一个眼睛，B) 连接棋子，C) 移除玩家 A 的棋子，D) 组成一个棋局</v>
      </c>
      <c r="K13" s="24" t="str">
        <f>IFERROR(__xludf.DUMMYFUNCTION("GOOGLETRANSLATE(D13, ""en"", ""zh"")"),"A) 制作一只眼睛，B) 连接石头")</f>
        <v>A) 制作一只眼睛，B) 连接石头</v>
      </c>
      <c r="L13" s="24" t="str">
        <f>IFERROR(__xludf.DUMMYFUNCTION("GOOGLETRANSLATE(E13, ""en"", ""zh"")"),"为了防止被俘，玩家 B 必须要么制造一个眼睛来确保团队存活，要么连接石头以逃脱。")</f>
        <v>为了防止被俘，玩家 B 必须要么制造一个眼睛来确保团队存活，要么连接石头以逃脱。</v>
      </c>
      <c r="M13" s="22"/>
      <c r="N13" s="45"/>
      <c r="O13" s="22"/>
      <c r="P13" s="45"/>
      <c r="Q13" s="19"/>
      <c r="R13" s="19"/>
      <c r="S13" s="19"/>
      <c r="T13" s="19"/>
      <c r="U13" s="19"/>
      <c r="V13" s="19"/>
      <c r="W13" s="19"/>
      <c r="X13" s="19"/>
      <c r="Y13" s="19"/>
      <c r="Z13" s="19"/>
    </row>
    <row r="14">
      <c r="A14" s="46">
        <v>13.0</v>
      </c>
      <c r="B14" s="40" t="s">
        <v>1784</v>
      </c>
      <c r="C14" s="40" t="s">
        <v>1785</v>
      </c>
      <c r="D14" s="40" t="s">
        <v>1786</v>
      </c>
      <c r="E14" s="40" t="s">
        <v>1787</v>
      </c>
      <c r="F14" s="41"/>
      <c r="G14" s="41"/>
      <c r="H14" s="26"/>
      <c r="I14" s="24" t="str">
        <f>IFERROR(__xludf.DUMMYFUNCTION("GOOGLETRANSLATE(B14, ""en"", ""zh"")"),"玩家A走了一步威胁玩家B棋子的棋子群，但玩家B回应的方式是在玩家A的棋子群旁边创建一个新的棋子群。这种策略叫做什么？")</f>
        <v>玩家A走了一步威胁玩家B棋子的棋子群，但玩家B回应的方式是在玩家A的棋子群旁边创建一个新的棋子群。这种策略叫做什么？</v>
      </c>
      <c r="J14" s="24" t="str">
        <f>IFERROR(__xludf.DUMMYFUNCTION("GOOGLETRANSLATE(C14, ""en"", ""zh"")"),"A）萨巴基，B）莫约，C）手筋，D）雅达利")</f>
        <v>A）萨巴基，B）莫约，C）手筋，D）雅达利</v>
      </c>
      <c r="K14" s="24" t="str">
        <f>IFERROR(__xludf.DUMMYFUNCTION("GOOGLETRANSLATE(D14, ""en"", ""zh"")"),"A）萨巴基")</f>
        <v>A）萨巴基</v>
      </c>
      <c r="L14" s="24" t="str">
        <f>IFERROR(__xludf.DUMMYFUNCTION("GOOGLETRANSLATE(E14, ""en"", ""zh"")"),"萨巴基指的是一种灵活的策略，玩家可以通过创建新的组合来摆脱困境，通常使用最少的棋子。")</f>
        <v>萨巴基指的是一种灵活的策略，玩家可以通过创建新的组合来摆脱困境，通常使用最少的棋子。</v>
      </c>
      <c r="M14" s="39"/>
      <c r="N14" s="39"/>
      <c r="O14" s="39"/>
      <c r="P14" s="47"/>
      <c r="Q14" s="19"/>
      <c r="R14" s="19"/>
      <c r="S14" s="19"/>
      <c r="T14" s="19"/>
      <c r="U14" s="19"/>
      <c r="V14" s="19"/>
      <c r="W14" s="19"/>
      <c r="X14" s="19"/>
      <c r="Y14" s="19"/>
      <c r="Z14" s="19"/>
    </row>
    <row r="15">
      <c r="A15" s="44">
        <v>14.0</v>
      </c>
      <c r="B15" s="24" t="s">
        <v>1788</v>
      </c>
      <c r="C15" s="24" t="s">
        <v>1789</v>
      </c>
      <c r="D15" s="24" t="s">
        <v>1790</v>
      </c>
      <c r="E15" s="24" t="s">
        <v>1791</v>
      </c>
      <c r="F15" s="21"/>
      <c r="G15" s="21"/>
      <c r="H15" s="25"/>
      <c r="I15" s="24" t="str">
        <f>IFERROR(__xludf.DUMMYFUNCTION("GOOGLETRANSLATE(B15, ""en"", ""zh"")"),"在围棋比赛中，A棋手包围了棋盘的一个角。B棋手试图用一枚棋子入侵这个区域。如果A棋手已经在这个角上形成了两个“眼”，那么最可能的结果是什么？")</f>
        <v>在围棋比赛中，A棋手包围了棋盘的一个角。B棋手试图用一枚棋子入侵这个区域。如果A棋手已经在这个角上形成了两个“眼”，那么最可能的结果是什么？</v>
      </c>
      <c r="J15" s="24" t="str">
        <f>IFERROR(__xludf.DUMMYFUNCTION("GOOGLETRANSLATE(C15, ""en"", ""zh"")"),"A) B玩家成功占领角落；B) B玩家被包围并被俘；C) A玩家失一子；D) 游戏结束。")</f>
        <v>A) B玩家成功占领角落；B) B玩家被包围并被俘；C) A玩家失一子；D) 游戏结束。</v>
      </c>
      <c r="K15" s="24" t="str">
        <f>IFERROR(__xludf.DUMMYFUNCTION("GOOGLETRANSLATE(D15, ""en"", ""zh"")"),"B) 玩家 B 将被包围并俘虏")</f>
        <v>B) 玩家 B 将被包围并俘虏</v>
      </c>
      <c r="L15" s="24" t="str">
        <f>IFERROR(__xludf.DUMMYFUNCTION("GOOGLETRANSLATE(E15, ""en"", ""zh"")"),"如果玩家 A 在角落里形成了两只眼睛，玩家 B 将无法成功入侵，并且很可能会被俘虏。")</f>
        <v>如果玩家 A 在角落里形成了两只眼睛，玩家 B 将无法成功入侵，并且很可能会被俘虏。</v>
      </c>
      <c r="M15" s="22"/>
      <c r="N15" s="22"/>
      <c r="O15" s="22"/>
      <c r="P15" s="45"/>
      <c r="Q15" s="19"/>
      <c r="R15" s="19"/>
      <c r="S15" s="19"/>
      <c r="T15" s="19"/>
      <c r="U15" s="19"/>
      <c r="V15" s="19"/>
      <c r="W15" s="19"/>
      <c r="X15" s="19"/>
      <c r="Y15" s="19"/>
      <c r="Z15" s="19"/>
    </row>
    <row r="16">
      <c r="A16" s="44">
        <v>15.0</v>
      </c>
      <c r="B16" s="24" t="s">
        <v>1792</v>
      </c>
      <c r="C16" s="24" t="s">
        <v>1793</v>
      </c>
      <c r="D16" s="24" t="s">
        <v>1794</v>
      </c>
      <c r="E16" s="24" t="s">
        <v>1795</v>
      </c>
      <c r="F16" s="21"/>
      <c r="G16" s="21"/>
      <c r="H16" s="26"/>
      <c r="I16" s="24" t="str">
        <f>IFERROR(__xludf.DUMMYFUNCTION("GOOGLETRANSLATE(B16, ""en"", ""zh"")"),"玩家A有一组独眼棋子。玩家B在这组棋子旁边落子，有可能吃掉它。玩家A该如何做才能确保这组棋子存活？")</f>
        <v>玩家A有一组独眼棋子。玩家B在这组棋子旁边落子，有可能吃掉它。玩家A该如何做才能确保这组棋子存活？</v>
      </c>
      <c r="J16" s="24" t="str">
        <f>IFERROR(__xludf.DUMMYFUNCTION("GOOGLETRANSLATE(C16, ""en"", ""zh"")"),"A) 连接石头，B) 创造第二个眼睛，C) 形成寇形，D) 带着石头逃脱")</f>
        <v>A) 连接石头，B) 创造第二个眼睛，C) 形成寇形，D) 带着石头逃脱</v>
      </c>
      <c r="K16" s="24" t="str">
        <f>IFERROR(__xludf.DUMMYFUNCTION("GOOGLETRANSLATE(D16, ""en"", ""zh"")"),"B）创造第二只眼睛")</f>
        <v>B）创造第二只眼睛</v>
      </c>
      <c r="L16" s="24" t="str">
        <f>IFERROR(__xludf.DUMMYFUNCTION("GOOGLETRANSLATE(E16, ""en"", ""zh"")"),"在围棋中，一个棋子需要两只眼睛才能被视为存活。玩家A必须创造出第二只眼睛来确保棋子存活。")</f>
        <v>在围棋中，一个棋子需要两只眼睛才能被视为存活。玩家A必须创造出第二只眼睛来确保棋子存活。</v>
      </c>
      <c r="M16" s="22"/>
      <c r="N16" s="39"/>
      <c r="O16" s="22"/>
      <c r="P16" s="45"/>
      <c r="Q16" s="19"/>
      <c r="R16" s="19"/>
      <c r="S16" s="19"/>
      <c r="T16" s="19"/>
      <c r="U16" s="19"/>
      <c r="V16" s="19"/>
      <c r="W16" s="19"/>
      <c r="X16" s="19"/>
      <c r="Y16" s="19"/>
      <c r="Z16" s="19"/>
    </row>
    <row r="17">
      <c r="A17" s="44">
        <v>16.0</v>
      </c>
      <c r="B17" s="24" t="s">
        <v>1796</v>
      </c>
      <c r="C17" s="24" t="s">
        <v>1797</v>
      </c>
      <c r="D17" s="24" t="s">
        <v>1798</v>
      </c>
      <c r="E17" s="24" t="s">
        <v>1799</v>
      </c>
      <c r="F17" s="21"/>
      <c r="G17" s="21"/>
      <c r="H17" s="25"/>
      <c r="I17" s="24" t="str">
        <f>IFERROR(__xludf.DUMMYFUNCTION("GOOGLETRANSLATE(B17, ""en"", ""zh"")"),"玩家A包围了棋盘上的一个区域，但尚未完全包围。玩家B走了一步棋，切断了玩家A进入该区域的通道。这一步棋叫什么？")</f>
        <v>玩家A包围了棋盘上的一个区域，但尚未完全包围。玩家B走了一步棋，切断了玩家A进入该区域的通道。这一步棋叫什么？</v>
      </c>
      <c r="J17" s="24" t="str">
        <f>IFERROR(__xludf.DUMMYFUNCTION("GOOGLETRANSLATE(C17, ""en"", ""zh"")"),"A) Tesuji，B) Ko，C) Snapback，D) Double Atari")</f>
        <v>A) Tesuji，B) Ko，C) Snapback，D) Double Atari</v>
      </c>
      <c r="K17" s="24" t="str">
        <f>IFERROR(__xludf.DUMMYFUNCTION("GOOGLETRANSLATE(D17, ""en"", ""zh"")"),"C) 弹力扣")</f>
        <v>C) 弹力扣</v>
      </c>
      <c r="L17" s="24" t="str">
        <f>IFERROR(__xludf.DUMMYFUNCTION("GOOGLETRANSLATE(E17, ""en"", ""zh"")"),"当一方走棋时，由于对方棋子走位失误，导致己方棋子立即被吃掉，这就是所谓的“反击”。")</f>
        <v>当一方走棋时，由于对方棋子走位失误，导致己方棋子立即被吃掉，这就是所谓的“反击”。</v>
      </c>
      <c r="M17" s="22"/>
      <c r="N17" s="22"/>
      <c r="O17" s="22"/>
      <c r="P17" s="45"/>
      <c r="Q17" s="19"/>
      <c r="R17" s="19"/>
      <c r="S17" s="19"/>
      <c r="T17" s="19"/>
      <c r="U17" s="19"/>
      <c r="V17" s="19"/>
      <c r="W17" s="19"/>
      <c r="X17" s="19"/>
      <c r="Y17" s="19"/>
      <c r="Z17" s="19"/>
    </row>
    <row r="18">
      <c r="A18" s="44">
        <v>17.0</v>
      </c>
      <c r="B18" s="24" t="s">
        <v>1800</v>
      </c>
      <c r="C18" s="24" t="s">
        <v>1801</v>
      </c>
      <c r="D18" s="24" t="s">
        <v>1802</v>
      </c>
      <c r="E18" s="24" t="s">
        <v>1803</v>
      </c>
      <c r="F18" s="21"/>
      <c r="G18" s="21"/>
      <c r="H18" s="25"/>
      <c r="I18" s="24" t="str">
        <f>IFERROR(__xludf.DUMMYFUNCTION("GOOGLETRANSLATE(B18, ""en"", ""zh"")"),"在围棋比赛中，A玩家试图入侵B玩家的大片领地。决定A玩家能否成功入侵的主要因素是什么？")</f>
        <v>在围棋比赛中，A玩家试图入侵B玩家的大片领地。决定A玩家能否成功入侵的主要因素是什么？</v>
      </c>
      <c r="J18" s="24" t="str">
        <f>IFERROR(__xludf.DUMMYFUNCTION("GOOGLETRANSLATE(C18, ""en"", ""zh"")"),"A) B 玩家拥有的棋子数量，B) A 玩家可以创造的“眼睛”数量，C) 游戏中剩余的步数，D) A 玩家拥有的棋子数量")</f>
        <v>A) B 玩家拥有的棋子数量，B) A 玩家可以创造的“眼睛”数量，C) 游戏中剩余的步数，D) A 玩家拥有的棋子数量</v>
      </c>
      <c r="K18" s="24" t="str">
        <f>IFERROR(__xludf.DUMMYFUNCTION("GOOGLETRANSLATE(D18, ""en"", ""zh"")"),"B) 玩家 A 可以创建的眼睛数量")</f>
        <v>B) 玩家 A 可以创建的眼睛数量</v>
      </c>
      <c r="L18" s="24" t="str">
        <f>IFERROR(__xludf.DUMMYFUNCTION("GOOGLETRANSLATE(E18, ""en"", ""zh"")"),"入侵能否成功取决于玩家A能否在玩家B的领土内建立“眼睛”。如果玩家A能建立两个“眼睛”，入侵就会成功。")</f>
        <v>入侵能否成功取决于玩家A能否在玩家B的领土内建立“眼睛”。如果玩家A能建立两个“眼睛”，入侵就会成功。</v>
      </c>
      <c r="M18" s="22"/>
      <c r="N18" s="22"/>
      <c r="O18" s="22"/>
      <c r="P18" s="45"/>
      <c r="Q18" s="19"/>
      <c r="R18" s="19"/>
      <c r="S18" s="19"/>
      <c r="T18" s="19"/>
      <c r="U18" s="19"/>
      <c r="V18" s="19"/>
      <c r="W18" s="19"/>
      <c r="X18" s="19"/>
      <c r="Y18" s="19"/>
      <c r="Z18" s="19"/>
    </row>
    <row r="19">
      <c r="A19" s="44">
        <v>18.0</v>
      </c>
      <c r="B19" s="24" t="s">
        <v>1804</v>
      </c>
      <c r="C19" s="24" t="s">
        <v>1805</v>
      </c>
      <c r="D19" s="24" t="s">
        <v>1806</v>
      </c>
      <c r="E19" s="24" t="s">
        <v>1807</v>
      </c>
      <c r="F19" s="21"/>
      <c r="G19" s="21"/>
      <c r="H19" s="25"/>
      <c r="I19" s="24" t="str">
        <f>IFERROR(__xludf.DUMMYFUNCTION("GOOGLETRANSLATE(B19, ""en"", ""zh"")"),"玩家A从三面包围了玩家B的棋子群。玩家B还剩下一颗棋子，这颗棋子与更大的棋子群相连。玩家A下一步最有可能走什么？")</f>
        <v>玩家A从三面包围了玩家B的棋子群。玩家B还剩下一颗棋子，这颗棋子与更大的棋子群相连。玩家A下一步最有可能走什么？</v>
      </c>
      <c r="J19" s="24" t="str">
        <f>IFERROR(__xludf.DUMMYFUNCTION("GOOGLETRANSLATE(C19, ""en"", ""zh"")"),"A) 吃掉对方的棋子，B) 组成攻防阵型，C) 无视对方的棋子，D) 连接自己的棋子。")</f>
        <v>A) 吃掉对方的棋子，B) 组成攻防阵型，C) 无视对方的棋子，D) 连接自己的棋子。</v>
      </c>
      <c r="K19" s="24" t="str">
        <f>IFERROR(__xludf.DUMMYFUNCTION("GOOGLETRANSLATE(D19, ""en"", ""zh"")"),"A) 捕获该群体")</f>
        <v>A) 捕获该群体</v>
      </c>
      <c r="L19" s="24" t="str">
        <f>IFERROR(__xludf.DUMMYFUNCTION("GOOGLETRANSLATE(E19, ""en"", ""zh"")"),"玩家 A 可以通过切断玩家 B 的棋子与较大棋子群之间的最后一个连接来捕获玩家 B 的棋子群。")</f>
        <v>玩家 A 可以通过切断玩家 B 的棋子与较大棋子群之间的最后一个连接来捕获玩家 B 的棋子群。</v>
      </c>
      <c r="M19" s="22"/>
      <c r="N19" s="22"/>
      <c r="O19" s="22"/>
      <c r="P19" s="45"/>
      <c r="Q19" s="19"/>
      <c r="R19" s="19"/>
      <c r="S19" s="19"/>
      <c r="T19" s="19"/>
      <c r="U19" s="19"/>
      <c r="V19" s="19"/>
      <c r="W19" s="19"/>
      <c r="X19" s="19"/>
      <c r="Y19" s="19"/>
      <c r="Z19" s="19"/>
    </row>
    <row r="20">
      <c r="A20" s="44">
        <v>19.0</v>
      </c>
      <c r="B20" s="24" t="s">
        <v>1808</v>
      </c>
      <c r="C20" s="24" t="s">
        <v>1809</v>
      </c>
      <c r="D20" s="24" t="s">
        <v>1810</v>
      </c>
      <c r="E20" s="24" t="s">
        <v>1811</v>
      </c>
      <c r="F20" s="21"/>
      <c r="G20" s="21"/>
      <c r="H20" s="25"/>
      <c r="I20" s="24" t="str">
        <f>IFERROR(__xludf.DUMMYFUNCTION("GOOGLETRANSLATE(B20, ""en"", ""zh"")"),"在围棋比赛中，A 走了一步棋导致被劫杀。B 应该如何应对才能避免无限循环的吃子？")</f>
        <v>在围棋比赛中，A 走了一步棋导致被劫杀。B 应该如何应对才能避免无限循环的吃子？</v>
      </c>
      <c r="J20" s="24" t="str">
        <f>IFERROR(__xludf.DUMMYFUNCTION("GOOGLETRANSLATE(C20, ""en"", ""zh"")"),"A) 立即夺回棋子，B) 等待玩家 A 在其他地方落子，C) 组建新组，D) 占领玩家 A 的组")</f>
        <v>A) 立即夺回棋子，B) 等待玩家 A 在其他地方落子，C) 组建新组，D) 占领玩家 A 的组</v>
      </c>
      <c r="K20" s="24" t="str">
        <f>IFERROR(__xludf.DUMMYFUNCTION("GOOGLETRANSLATE(D20, ""en"", ""zh"")"),"B) 等待玩家 A 在其他场地比赛后再进行比赛")</f>
        <v>B) 等待玩家 A 在其他场地比赛后再进行比赛</v>
      </c>
      <c r="L20" s="24" t="str">
        <f>IFERROR(__xludf.DUMMYFUNCTION("GOOGLETRANSLATE(E20, ""en"", ""zh"")"),"在围棋中，劫争规则禁止立即吃回同一枚棋子。B 棋手必须等到 A 棋手在其他位置落子后才能吃回。")</f>
        <v>在围棋中，劫争规则禁止立即吃回同一枚棋子。B 棋手必须等到 A 棋手在其他位置落子后才能吃回。</v>
      </c>
      <c r="M20" s="22"/>
      <c r="N20" s="22"/>
      <c r="O20" s="22"/>
      <c r="P20" s="45"/>
      <c r="Q20" s="19"/>
      <c r="R20" s="19"/>
      <c r="S20" s="19"/>
      <c r="T20" s="19"/>
      <c r="U20" s="19"/>
      <c r="V20" s="19"/>
      <c r="W20" s="19"/>
      <c r="X20" s="19"/>
      <c r="Y20" s="19"/>
      <c r="Z20" s="19"/>
    </row>
    <row r="21">
      <c r="A21" s="44">
        <v>20.0</v>
      </c>
      <c r="B21" s="24" t="s">
        <v>1812</v>
      </c>
      <c r="C21" s="24" t="s">
        <v>1813</v>
      </c>
      <c r="D21" s="24" t="s">
        <v>1814</v>
      </c>
      <c r="E21" s="24" t="s">
        <v>1815</v>
      </c>
      <c r="F21" s="21"/>
      <c r="G21" s="21"/>
      <c r="H21" s="25"/>
      <c r="I21" s="24" t="str">
        <f>IFERROR(__xludf.DUMMYFUNCTION("GOOGLETRANSLATE(B21, ""en"", ""zh"")"),"玩家A的一组棋子被玩家B从三面包围。玩家A需要采取什么步骤才能确保自己的棋子存活？")</f>
        <v>玩家A的一组棋子被玩家B从三面包围。玩家A需要采取什么步骤才能确保自己的棋子存活？</v>
      </c>
      <c r="J21" s="24" t="str">
        <f>IFERROR(__xludf.DUMMYFUNCTION("GOOGLETRANSLATE(C21, ""en"", ""zh"")"),"A) 创造一个新的眼睛，B) 连接到更大的群体，C) 包围玩家 B 的石头，D) 逃离群体")</f>
        <v>A) 创造一个新的眼睛，B) 连接到更大的群体，C) 包围玩家 B 的石头，D) 逃离群体</v>
      </c>
      <c r="K21" s="24" t="str">
        <f>IFERROR(__xludf.DUMMYFUNCTION("GOOGLETRANSLATE(D21, ""en"", ""zh"")"),"A) 创造新的视角，B) 与更大的群体建立联系")</f>
        <v>A) 创造新的视角，B) 与更大的群体建立联系</v>
      </c>
      <c r="L21" s="24" t="str">
        <f>IFERROR(__xludf.DUMMYFUNCTION("GOOGLETRANSLATE(E21, ""en"", ""zh"")"),"为了确保生存，玩家 A 必须创造一个新的眼睛，或者连接到另一组石头，以确保该组石头不会被捕获。")</f>
        <v>为了确保生存，玩家 A 必须创造一个新的眼睛，或者连接到另一组石头，以确保该组石头不会被捕获。</v>
      </c>
      <c r="M21" s="39"/>
      <c r="N21" s="22"/>
      <c r="O21" s="22"/>
      <c r="P21" s="45"/>
      <c r="Q21" s="19"/>
      <c r="R21" s="19"/>
      <c r="S21" s="19"/>
      <c r="T21" s="19"/>
      <c r="U21" s="19"/>
      <c r="V21" s="19"/>
      <c r="W21" s="19"/>
      <c r="X21" s="19"/>
      <c r="Y21" s="19"/>
      <c r="Z21" s="19"/>
    </row>
    <row r="22">
      <c r="A22" s="44">
        <v>21.0</v>
      </c>
      <c r="B22" s="24" t="s">
        <v>1816</v>
      </c>
      <c r="C22" s="24" t="s">
        <v>1817</v>
      </c>
      <c r="D22" s="24" t="s">
        <v>1818</v>
      </c>
      <c r="E22" s="24" t="s">
        <v>1819</v>
      </c>
      <c r="F22" s="21"/>
      <c r="G22" s="21"/>
      <c r="H22" s="25"/>
      <c r="I22" s="24" t="str">
        <f>IFERROR(__xludf.DUMMYFUNCTION("GOOGLETRANSLATE(B22, ""en"", ""zh"")"),"在围棋比赛中，A玩家将一颗棋子放在威胁B玩家棋子群的位置。B玩家连棋回应，但A玩家又在B玩家连棋的棋子旁边落子。A玩家创造了什么局面？")</f>
        <v>在围棋比赛中，A玩家将一颗棋子放在威胁B玩家棋子群的位置。B玩家连棋回应，但A玩家又在B玩家连棋的棋子旁边落子。A玩家创造了什么局面？</v>
      </c>
      <c r="J22" s="24" t="str">
        <f>IFERROR(__xludf.DUMMYFUNCTION("GOOGLETRANSLATE(C22, ""en"", ""zh"")"),"A) 一个 Ko，B) 一只新眼睛，C) 一架梯子，D) 一根 Tesuji")</f>
        <v>A) 一个 Ko，B) 一只新眼睛，C) 一架梯子，D) 一根 Tesuji</v>
      </c>
      <c r="K22" s="24" t="str">
        <f>IFERROR(__xludf.DUMMYFUNCTION("GOOGLETRANSLATE(D22, ""en"", ""zh"")"),"C) 梯子")</f>
        <v>C) 梯子</v>
      </c>
      <c r="L22" s="24" t="str">
        <f>IFERROR(__xludf.DUMMYFUNCTION("GOOGLETRANSLATE(E22, ""en"", ""zh"")"),"当一方棋子连续吃掉对方棋子，迫使对方棋子按照可预测的模式移动时，就会形成梯子局面。")</f>
        <v>当一方棋子连续吃掉对方棋子，迫使对方棋子按照可预测的模式移动时，就会形成梯子局面。</v>
      </c>
      <c r="M22" s="22"/>
      <c r="N22" s="22"/>
      <c r="O22" s="22"/>
      <c r="P22" s="45"/>
      <c r="Q22" s="19"/>
      <c r="R22" s="19"/>
      <c r="S22" s="19"/>
      <c r="T22" s="19"/>
      <c r="U22" s="19"/>
      <c r="V22" s="19"/>
      <c r="W22" s="19"/>
      <c r="X22" s="19"/>
      <c r="Y22" s="19"/>
      <c r="Z22" s="19"/>
    </row>
    <row r="23">
      <c r="A23" s="44">
        <v>22.0</v>
      </c>
      <c r="B23" s="24" t="s">
        <v>1820</v>
      </c>
      <c r="C23" s="24" t="s">
        <v>1821</v>
      </c>
      <c r="D23" s="24" t="s">
        <v>1822</v>
      </c>
      <c r="E23" s="24" t="s">
        <v>1823</v>
      </c>
      <c r="F23" s="21"/>
      <c r="G23" s="21"/>
      <c r="H23" s="25"/>
      <c r="I23" s="24" t="str">
        <f>IFERROR(__xludf.DUMMYFUNCTION("GOOGLETRANSLATE(B23, ""en"", ""zh"")"),"在围棋中，A玩家走了一步棋，导致己方棋子被包围但没有被吃掉。这种情况叫什么？")</f>
        <v>在围棋中，A玩家走了一步棋，导致己方棋子被包围但没有被吃掉。这种情况叫什么？</v>
      </c>
      <c r="J23" s="24" t="str">
        <f>IFERROR(__xludf.DUMMYFUNCTION("GOOGLETRANSLATE(C23, ""en"", ""zh"")"),"A) Seki，B) Moyo，C) Ko，D) Atari")</f>
        <v>A) Seki，B) Moyo，C) Ko，D) Atari</v>
      </c>
      <c r="K23" s="24" t="str">
        <f>IFERROR(__xludf.DUMMYFUNCTION("GOOGLETRANSLATE(D23, ""en"", ""zh"")"),"A）关")</f>
        <v>A）关</v>
      </c>
      <c r="L23" s="24" t="str">
        <f>IFERROR(__xludf.DUMMYFUNCTION("GOOGLETRANSLATE(E23, ""en"", ""zh"")"),"Seki 指的是双方玩家的队伍都还活着，但无法俘虏对方，从而造成僵局。")</f>
        <v>Seki 指的是双方玩家的队伍都还活着，但无法俘虏对方，从而造成僵局。</v>
      </c>
      <c r="M23" s="22"/>
      <c r="N23" s="22"/>
      <c r="O23" s="22"/>
      <c r="P23" s="45"/>
      <c r="Q23" s="19"/>
      <c r="R23" s="19"/>
      <c r="S23" s="19"/>
      <c r="T23" s="19"/>
      <c r="U23" s="19"/>
      <c r="V23" s="19"/>
      <c r="W23" s="19"/>
      <c r="X23" s="19"/>
      <c r="Y23" s="19"/>
      <c r="Z23" s="19"/>
    </row>
    <row r="24">
      <c r="A24" s="44">
        <v>23.0</v>
      </c>
      <c r="B24" s="24" t="s">
        <v>1824</v>
      </c>
      <c r="C24" s="24" t="s">
        <v>1825</v>
      </c>
      <c r="D24" s="24" t="s">
        <v>1826</v>
      </c>
      <c r="E24" s="24" t="s">
        <v>1827</v>
      </c>
      <c r="F24" s="21"/>
      <c r="G24" s="21"/>
      <c r="H24" s="26"/>
      <c r="I24" s="24" t="str">
        <f>IFERROR(__xludf.DUMMYFUNCTION("GOOGLETRANSLATE(B24, ""en"", ""zh"")"),"玩家A走了一步棋，形成了一个只有一只眼睛的棋子组合。玩家B在棋子组合附近放置了一颗棋子，威胁要吃掉它。玩家A应该怎么做才能确保棋子组合得以保留？")</f>
        <v>玩家A走了一步棋，形成了一个只有一只眼睛的棋子组合。玩家B在棋子组合附近放置了一颗棋子，威胁要吃掉它。玩家A应该怎么做才能确保棋子组合得以保留？</v>
      </c>
      <c r="J24" s="24" t="str">
        <f>IFERROR(__xludf.DUMMYFUNCTION("GOOGLETRANSLATE(C24, ""en"", ""zh"")"),"A) 放置一块石头形成第二只眼睛，B) 夺取玩家 B 的石头，C) 连接到另一组，D) 逃离该组")</f>
        <v>A) 放置一块石头形成第二只眼睛，B) 夺取玩家 B 的石头，C) 连接到另一组，D) 逃离该组</v>
      </c>
      <c r="K24" s="24" t="str">
        <f>IFERROR(__xludf.DUMMYFUNCTION("GOOGLETRANSLATE(D24, ""en"", ""zh"")"),"A）放置一块石头形成第二个眼睛")</f>
        <v>A）放置一块石头形成第二个眼睛</v>
      </c>
      <c r="L24" s="24" t="str">
        <f>IFERROR(__xludf.DUMMYFUNCTION("GOOGLETRANSLATE(E24, ""en"", ""zh"")"),"拥有两只眼睛的生物群仍然存活，无法被俘虏。玩家A必须创造第二只眼睛才能拯救该生物群。")</f>
        <v>拥有两只眼睛的生物群仍然存活，无法被俘虏。玩家A必须创造第二只眼睛才能拯救该生物群。</v>
      </c>
      <c r="M24" s="22"/>
      <c r="N24" s="22"/>
      <c r="O24" s="22"/>
      <c r="P24" s="45"/>
      <c r="Q24" s="19"/>
      <c r="R24" s="19"/>
      <c r="S24" s="19"/>
      <c r="T24" s="19"/>
      <c r="U24" s="19"/>
      <c r="V24" s="19"/>
      <c r="W24" s="19"/>
      <c r="X24" s="19"/>
      <c r="Y24" s="19"/>
      <c r="Z24" s="19"/>
    </row>
    <row r="25">
      <c r="A25" s="44">
        <v>24.0</v>
      </c>
      <c r="B25" s="24" t="s">
        <v>1828</v>
      </c>
      <c r="C25" s="24" t="s">
        <v>1829</v>
      </c>
      <c r="D25" s="24" t="s">
        <v>1830</v>
      </c>
      <c r="E25" s="24" t="s">
        <v>1831</v>
      </c>
      <c r="F25" s="21"/>
      <c r="G25" s="21"/>
      <c r="H25" s="25"/>
      <c r="I25" s="24" t="str">
        <f>IFERROR(__xludf.DUMMYFUNCTION("GOOGLETRANSLATE(B25, ""en"", ""zh"")"),"玩家A包围了一大片区域，玩家B在区域中心部署了一支队伍。玩家B必须采取什么措施才能避免被包围和俘虏？")</f>
        <v>玩家A包围了一大片区域，玩家B在区域中心部署了一支队伍。玩家B必须采取什么措施才能避免被包围和俘虏？</v>
      </c>
      <c r="J25" s="24" t="str">
        <f>IFERROR(__xludf.DUMMYFUNCTION("GOOGLETRANSLATE(C25, ""en"", ""zh"")"),"A）与玩家A的棋子连接，B）在中心形成一个“眼”，C）形成一个“寇”，D）包围玩家A的棋子。")</f>
        <v>A）与玩家A的棋子连接，B）在中心形成一个“眼”，C）形成一个“寇”，D）包围玩家A的棋子。</v>
      </c>
      <c r="K25" s="24" t="str">
        <f>IFERROR(__xludf.DUMMYFUNCTION("GOOGLETRANSLATE(D25, ""en"", ""zh"")"),"B）在中心画一只眼睛")</f>
        <v>B）在中心画一只眼睛</v>
      </c>
      <c r="L25" s="24" t="str">
        <f>IFERROR(__xludf.DUMMYFUNCTION("GOOGLETRANSLATE(E25, ""en"", ""zh"")"),"为了避免被俘，玩家 B 必须在玩家 A 的领地中心创建一个“眼睛”，以确保团队能够存活。")</f>
        <v>为了避免被俘，玩家 B 必须在玩家 A 的领地中心创建一个“眼睛”，以确保团队能够存活。</v>
      </c>
      <c r="M25" s="39"/>
      <c r="N25" s="39"/>
      <c r="O25" s="22"/>
      <c r="P25" s="45"/>
      <c r="Q25" s="19"/>
      <c r="R25" s="19"/>
      <c r="S25" s="19"/>
      <c r="T25" s="19"/>
      <c r="U25" s="19"/>
      <c r="V25" s="19"/>
      <c r="W25" s="19"/>
      <c r="X25" s="19"/>
      <c r="Y25" s="19"/>
      <c r="Z25" s="19"/>
    </row>
    <row r="26">
      <c r="A26" s="44">
        <v>25.0</v>
      </c>
      <c r="B26" s="24" t="s">
        <v>1832</v>
      </c>
      <c r="C26" s="24" t="s">
        <v>1833</v>
      </c>
      <c r="D26" s="24" t="s">
        <v>1834</v>
      </c>
      <c r="E26" s="24" t="s">
        <v>1835</v>
      </c>
      <c r="F26" s="21"/>
      <c r="G26" s="21"/>
      <c r="H26" s="25"/>
      <c r="I26" s="24" t="str">
        <f>IFERROR(__xludf.DUMMYFUNCTION("GOOGLETRANSLATE(B26, ""en"", ""zh"")"),"玩家A和玩家B正在玩一个19x19的棋盘游戏。玩家A已经包围了一个区域，玩家B试图入侵。玩家B成功入侵的最佳策略是什么？")</f>
        <v>玩家A和玩家B正在玩一个19x19的棋盘游戏。玩家A已经包围了一个区域，玩家B试图入侵。玩家B成功入侵的最佳策略是什么？</v>
      </c>
      <c r="J26" s="24" t="str">
        <f>IFERROR(__xludf.DUMMYFUNCTION("GOOGLETRANSLATE(C26, ""en"", ""zh"")"),"A）形成两只眼睛，B）吃掉玩家A的棋子，C）连接到更大的群体，D）包围该区域")</f>
        <v>A）形成两只眼睛，B）吃掉玩家A的棋子，C）连接到更大的群体，D）包围该区域</v>
      </c>
      <c r="K26" s="24" t="str">
        <f>IFERROR(__xludf.DUMMYFUNCTION("GOOGLETRANSLATE(D26, ""en"", ""zh"")"),"A) 形成两个眼睛")</f>
        <v>A) 形成两个眼睛</v>
      </c>
      <c r="L26" s="24" t="str">
        <f>IFERROR(__xludf.DUMMYFUNCTION("GOOGLETRANSLATE(E26, ""en"", ""zh"")"),"为了成功入侵，玩家 B 必须在包围区域内形成两只眼睛，以确保团队能够生存下来而不被俘虏。")</f>
        <v>为了成功入侵，玩家 B 必须在包围区域内形成两只眼睛，以确保团队能够生存下来而不被俘虏。</v>
      </c>
      <c r="M26" s="22"/>
      <c r="N26" s="22"/>
      <c r="O26" s="22"/>
      <c r="P26" s="45"/>
      <c r="Q26" s="19"/>
      <c r="R26" s="19"/>
      <c r="S26" s="19"/>
      <c r="T26" s="19"/>
      <c r="U26" s="19"/>
      <c r="V26" s="19"/>
      <c r="W26" s="19"/>
      <c r="X26" s="19"/>
      <c r="Y26" s="19"/>
      <c r="Z26" s="19"/>
    </row>
    <row r="27">
      <c r="A27" s="44">
        <v>26.0</v>
      </c>
      <c r="B27" s="24" t="s">
        <v>1836</v>
      </c>
      <c r="C27" s="24" t="s">
        <v>1837</v>
      </c>
      <c r="D27" s="24" t="s">
        <v>1838</v>
      </c>
      <c r="E27" s="24" t="s">
        <v>1839</v>
      </c>
      <c r="F27" s="21"/>
      <c r="G27" s="21"/>
      <c r="H27" s="25"/>
      <c r="I27" s="24" t="str">
        <f>IFERROR(__xludf.DUMMYFUNCTION("GOOGLETRANSLATE(B27, ""en"", ""zh"")"),"玩家A走了一步棋，有可能吃掉玩家B的一大堆棋子。玩家B应该怎么走才能避免被吃掉？")</f>
        <v>玩家A走了一步棋，有可能吃掉玩家B的一大堆棋子。玩家B应该怎么走才能避免被吃掉？</v>
      </c>
      <c r="J27" s="24" t="str">
        <f>IFERROR(__xludf.DUMMYFUNCTION("GOOGLETRANSLATE(C27, ""en"", ""zh"")"),"A）组成一个眼睛，B）用一颗棋子逃脱，C）连接这组棋子，D）吃掉玩家A的棋子。")</f>
        <v>A）组成一个眼睛，B）用一颗棋子逃脱，C）连接这组棋子，D）吃掉玩家A的棋子。</v>
      </c>
      <c r="K27" s="24" t="str">
        <f>IFERROR(__xludf.DUMMYFUNCTION("GOOGLETRANSLATE(D27, ""en"", ""zh"")"),"A) 画出眼睛的形状，C) 连接各部分")</f>
        <v>A) 画出眼睛的形状，C) 连接各部分</v>
      </c>
      <c r="L27" s="24" t="str">
        <f>IFERROR(__xludf.DUMMYFUNCTION("GOOGLETRANSLATE(E27, ""en"", ""zh"")"),"为了避免被俘虏，玩家 B 必须组成一个眼睛或将群体连接起来，以防止玩家 A 将其包围。")</f>
        <v>为了避免被俘虏，玩家 B 必须组成一个眼睛或将群体连接起来，以防止玩家 A 将其包围。</v>
      </c>
      <c r="M27" s="22"/>
      <c r="N27" s="22"/>
      <c r="O27" s="22"/>
      <c r="P27" s="45"/>
      <c r="Q27" s="19"/>
      <c r="R27" s="19"/>
      <c r="S27" s="19"/>
      <c r="T27" s="19"/>
      <c r="U27" s="19"/>
      <c r="V27" s="19"/>
      <c r="W27" s="19"/>
      <c r="X27" s="19"/>
      <c r="Y27" s="19"/>
      <c r="Z27" s="19"/>
    </row>
    <row r="28">
      <c r="A28" s="46">
        <v>27.0</v>
      </c>
      <c r="B28" s="40" t="s">
        <v>1840</v>
      </c>
      <c r="C28" s="40" t="s">
        <v>1841</v>
      </c>
      <c r="D28" s="40" t="s">
        <v>1842</v>
      </c>
      <c r="E28" s="40" t="s">
        <v>1843</v>
      </c>
      <c r="F28" s="41"/>
      <c r="G28" s="41"/>
      <c r="H28" s="26"/>
      <c r="I28" s="24" t="str">
        <f>IFERROR(__xludf.DUMMYFUNCTION("GOOGLETRANSLATE(B28, ""en"", ""zh"")"),"玩家A包围了棋盘上的一个区域，使玩家B无路可逃。用什么术语来描述玩家A的成功策略？")</f>
        <v>玩家A包围了棋盘上的一个区域，使玩家B无路可逃。用什么术语来描述玩家A的成功策略？</v>
      </c>
      <c r="J28" s="24" t="str">
        <f>IFERROR(__xludf.DUMMYFUNCTION("GOOGLETRANSLATE(C28, ""en"", ""zh"")"),"A) 佐戸，B) 生死，C) 手筋，D) 梦代")</f>
        <v>A) 佐戸，B) 生死，C) 手筋，D) 梦代</v>
      </c>
      <c r="K28" s="24" t="str">
        <f>IFERROR(__xludf.DUMMYFUNCTION("GOOGLETRANSLATE(D28, ""en"", ""zh"")"),"B) 生与死")</f>
        <v>B) 生与死</v>
      </c>
      <c r="L28" s="24" t="str">
        <f>IFERROR(__xludf.DUMMYFUNCTION("GOOGLETRANSLATE(E28, ""en"", ""zh"")"),"“生死攸关”指的是一名玩家根据一群人形成眼睛的能力，成功俘虏或拯救一群人的情况。")</f>
        <v>“生死攸关”指的是一名玩家根据一群人形成眼睛的能力，成功俘虏或拯救一群人的情况。</v>
      </c>
      <c r="M28" s="39"/>
      <c r="N28" s="39"/>
      <c r="O28" s="39"/>
      <c r="P28" s="39"/>
      <c r="Q28" s="19"/>
      <c r="R28" s="19"/>
      <c r="S28" s="19"/>
      <c r="T28" s="19"/>
      <c r="U28" s="19"/>
      <c r="V28" s="19"/>
      <c r="W28" s="19"/>
      <c r="X28" s="19"/>
      <c r="Y28" s="19"/>
      <c r="Z28" s="19"/>
    </row>
    <row r="29">
      <c r="A29" s="44">
        <v>28.0</v>
      </c>
      <c r="B29" s="24" t="s">
        <v>1844</v>
      </c>
      <c r="C29" s="24" t="s">
        <v>1845</v>
      </c>
      <c r="D29" s="24" t="s">
        <v>1810</v>
      </c>
      <c r="E29" s="24" t="s">
        <v>1846</v>
      </c>
      <c r="F29" s="21"/>
      <c r="G29" s="21"/>
      <c r="H29" s="25"/>
      <c r="I29" s="24" t="str">
        <f>IFERROR(__xludf.DUMMYFUNCTION("GOOGLETRANSLATE(B29, ""en"", ""zh"")"),"玩家A即将走一步棋，这将导致劫争。玩家B必须怎么做才能避免陷入无限劫争的局面？")</f>
        <v>玩家A即将走一步棋，这将导致劫争。玩家B必须怎么做才能避免陷入无限劫争的局面？</v>
      </c>
      <c r="J29" s="24" t="str">
        <f>IFERROR(__xludf.DUMMYFUNCTION("GOOGLETRANSLATE(C29, ""en"", ""zh"")"),"A) 立即吃掉对方的棋子，B) 等待玩家 A 在其他地方落子，C) 重新吃掉对方的棋子，D) 连接双方的棋子")</f>
        <v>A) 立即吃掉对方的棋子，B) 等待玩家 A 在其他地方落子，C) 重新吃掉对方的棋子，D) 连接双方的棋子</v>
      </c>
      <c r="K29" s="24" t="str">
        <f>IFERROR(__xludf.DUMMYFUNCTION("GOOGLETRANSLATE(D29, ""en"", ""zh"")"),"B) 等待玩家 A 在其他场地比赛后再进行比赛")</f>
        <v>B) 等待玩家 A 在其他场地比赛后再进行比赛</v>
      </c>
      <c r="L29" s="24" t="str">
        <f>IFERROR(__xludf.DUMMYFUNCTION("GOOGLETRANSLATE(E29, ""en"", ""zh"")"),"在劫争局面中，B 玩家必须等待 A 玩家走另一步棋才能吃回棋，以避免无限循环的吃棋。")</f>
        <v>在劫争局面中，B 玩家必须等待 A 玩家走另一步棋才能吃回棋，以避免无限循环的吃棋。</v>
      </c>
      <c r="M29" s="22"/>
      <c r="N29" s="22"/>
      <c r="O29" s="22"/>
      <c r="P29" s="22"/>
      <c r="Q29" s="19"/>
      <c r="R29" s="19"/>
      <c r="S29" s="19"/>
      <c r="T29" s="19"/>
      <c r="U29" s="19"/>
      <c r="V29" s="19"/>
      <c r="W29" s="19"/>
      <c r="X29" s="19"/>
      <c r="Y29" s="19"/>
      <c r="Z29" s="19"/>
    </row>
    <row r="30">
      <c r="A30" s="46">
        <v>29.0</v>
      </c>
      <c r="B30" s="40" t="s">
        <v>1847</v>
      </c>
      <c r="C30" s="40" t="s">
        <v>1848</v>
      </c>
      <c r="D30" s="40" t="s">
        <v>1774</v>
      </c>
      <c r="E30" s="40" t="s">
        <v>1849</v>
      </c>
      <c r="F30" s="41"/>
      <c r="G30" s="41"/>
      <c r="H30" s="26"/>
      <c r="I30" s="24" t="str">
        <f>IFERROR(__xludf.DUMMYFUNCTION("GOOGLETRANSLATE(B30, ""en"", ""zh"")"),"玩家A将一颗棋子放在一个迫使玩家B要么吃掉这颗棋子，要么损失一大块棋子的位置。这种策略叫什么？")</f>
        <v>玩家A将一颗棋子放在一个迫使玩家B要么吃掉这颗棋子，要么损失一大块棋子的位置。这种策略叫什么？</v>
      </c>
      <c r="J30" s="24" t="str">
        <f>IFERROR(__xludf.DUMMYFUNCTION("GOOGLETRANSLATE(C30, ""en"", ""zh"")"),"A) 手筋，B) 小号，C) 梯子，D) 棒球帽")</f>
        <v>A) 手筋，B) 小号，C) 梯子，D) 棒球帽</v>
      </c>
      <c r="K30" s="24" t="str">
        <f>IFERROR(__xludf.DUMMYFUNCTION("GOOGLETRANSLATE(D30, ""en"", ""zh"")"),"A）手筋")</f>
        <v>A）手筋</v>
      </c>
      <c r="L30" s="24" t="str">
        <f>IFERROR(__xludf.DUMMYFUNCTION("GOOGLETRANSLATE(E30, ""en"", ""zh"")"),"手筋是围棋中的一种巧妙战术，玩家通过一系列走法迫使对手陷入困境。")</f>
        <v>手筋是围棋中的一种巧妙战术，玩家通过一系列走法迫使对手陷入困境。</v>
      </c>
      <c r="M30" s="39"/>
      <c r="N30" s="41"/>
      <c r="O30" s="39"/>
      <c r="P30" s="39"/>
      <c r="Q30" s="19"/>
      <c r="R30" s="19"/>
      <c r="S30" s="19"/>
      <c r="T30" s="19"/>
      <c r="U30" s="19"/>
      <c r="V30" s="19"/>
      <c r="W30" s="19"/>
      <c r="X30" s="19"/>
      <c r="Y30" s="19"/>
      <c r="Z30" s="19"/>
    </row>
    <row r="31">
      <c r="A31" s="44">
        <v>30.0</v>
      </c>
      <c r="B31" s="24" t="s">
        <v>1850</v>
      </c>
      <c r="C31" s="24" t="s">
        <v>1851</v>
      </c>
      <c r="D31" s="24" t="s">
        <v>1852</v>
      </c>
      <c r="E31" s="24" t="s">
        <v>1853</v>
      </c>
      <c r="F31" s="21"/>
      <c r="G31" s="21"/>
      <c r="H31" s="25"/>
      <c r="I31" s="24" t="str">
        <f>IFERROR(__xludf.DUMMYFUNCTION("GOOGLETRANSLATE(B31, ""en"", ""zh"")"),"玩家A将一块石头放在角落里，并从三面包围了它。玩家B试图入侵这个角落。玩家A的最佳防御策略是什么？")</f>
        <v>玩家A将一块石头放在角落里，并从三面包围了它。玩家B试图入侵这个角落。玩家A的最佳防御策略是什么？</v>
      </c>
      <c r="J31" s="24" t="str">
        <f>IFERROR(__xludf.DUMMYFUNCTION("GOOGLETRANSLATE(C31, ""en"", ""zh"")"),"A) 创造第二个眼睛，B) 吃掉B玩家的棋子，C) 形成劫，D) 逃离角落")</f>
        <v>A) 创造第二个眼睛，B) 吃掉B玩家的棋子，C) 形成劫，D) 逃离角落</v>
      </c>
      <c r="K31" s="24" t="str">
        <f>IFERROR(__xludf.DUMMYFUNCTION("GOOGLETRANSLATE(D31, ""en"", ""zh"")"),"A）创造第二只眼睛")</f>
        <v>A）创造第二只眼睛</v>
      </c>
      <c r="L31" s="24" t="str">
        <f>IFERROR(__xludf.DUMMYFUNCTION("GOOGLETRANSLATE(E31, ""en"", ""zh"")"),"为了守住角落，玩家 A 需要创造第二个“眼睛”，以确保小组能够生存下来而不被俘虏。")</f>
        <v>为了守住角落，玩家 A 需要创造第二个“眼睛”，以确保小组能够生存下来而不被俘虏。</v>
      </c>
      <c r="M31" s="22"/>
      <c r="N31" s="22"/>
      <c r="O31" s="22"/>
      <c r="P31" s="22"/>
      <c r="Q31" s="19"/>
      <c r="R31" s="19"/>
      <c r="S31" s="19"/>
      <c r="T31" s="19"/>
      <c r="U31" s="19"/>
      <c r="V31" s="19"/>
      <c r="W31" s="19"/>
      <c r="X31" s="19"/>
      <c r="Y31" s="19"/>
      <c r="Z31" s="19"/>
    </row>
    <row r="32">
      <c r="A32" s="44">
        <v>31.0</v>
      </c>
      <c r="B32" s="24" t="s">
        <v>1854</v>
      </c>
      <c r="C32" s="24" t="s">
        <v>1855</v>
      </c>
      <c r="D32" s="24" t="s">
        <v>1856</v>
      </c>
      <c r="E32" s="24" t="s">
        <v>1857</v>
      </c>
      <c r="F32" s="21"/>
      <c r="G32" s="21"/>
      <c r="H32" s="25"/>
      <c r="I32" s="24" t="str">
        <f>IFERROR(__xludf.DUMMYFUNCTION("GOOGLETRANSLATE(B32, ""en"", ""zh"")"),"玩家A走了一步棋，将棋盘上己方的两组棋子连接起来。这种连接方式叫什么？")</f>
        <v>玩家A走了一步棋，将棋盘上己方的两组棋子连接起来。这种连接方式叫什么？</v>
      </c>
      <c r="J32" s="24" t="str">
        <f>IFERROR(__xludf.DUMMYFUNCTION("GOOGLETRANSLATE(C32, ""en"", ""zh"")"),"A) Atari，B) Seki，C) Connection，D) Ko")</f>
        <v>A) Atari，B) Seki，C) Connection，D) Ko</v>
      </c>
      <c r="K32" s="24" t="str">
        <f>IFERROR(__xludf.DUMMYFUNCTION("GOOGLETRANSLATE(D32, ""en"", ""zh"")"),"C) 连接")</f>
        <v>C) 连接</v>
      </c>
      <c r="L32" s="24" t="str">
        <f>IFERROR(__xludf.DUMMYFUNCTION("GOOGLETRANSLATE(E32, ""en"", ""zh"")"),"在 Go 游戏中，连接各个小组是一种战略举措，旨在增强小组实力，降低被俘获的可能性。")</f>
        <v>在 Go 游戏中，连接各个小组是一种战略举措，旨在增强小组实力，降低被俘获的可能性。</v>
      </c>
      <c r="M32" s="22"/>
      <c r="N32" s="21"/>
      <c r="O32" s="22"/>
      <c r="P32" s="22"/>
      <c r="Q32" s="19"/>
      <c r="R32" s="19"/>
      <c r="S32" s="19"/>
      <c r="T32" s="19"/>
      <c r="U32" s="19"/>
      <c r="V32" s="19"/>
      <c r="W32" s="19"/>
      <c r="X32" s="19"/>
      <c r="Y32" s="19"/>
      <c r="Z32" s="19"/>
    </row>
    <row r="33">
      <c r="A33" s="44">
        <v>32.0</v>
      </c>
      <c r="B33" s="24" t="s">
        <v>1858</v>
      </c>
      <c r="C33" s="24" t="s">
        <v>1859</v>
      </c>
      <c r="D33" s="24" t="s">
        <v>1860</v>
      </c>
      <c r="E33" s="24" t="s">
        <v>1861</v>
      </c>
      <c r="F33" s="21"/>
      <c r="G33" s="21"/>
      <c r="H33" s="25"/>
      <c r="I33" s="24" t="str">
        <f>IFERROR(__xludf.DUMMYFUNCTION("GOOGLETRANSLATE(B33, ""en"", ""zh"")"),"玩家A包围了玩家B的队伍，但玩家B已经在队伍中制造了两只眼睛。接下来会发生什么？")</f>
        <v>玩家A包围了玩家B的队伍，但玩家B已经在队伍中制造了两只眼睛。接下来会发生什么？</v>
      </c>
      <c r="J33" s="24" t="str">
        <f>IFERROR(__xludf.DUMMYFUNCTION("GOOGLETRANSLATE(C33, ""en"", ""zh"")"),"A) B玩家的棋子被吃掉，B) A玩家吃掉B玩家的棋子，C) B玩家的棋子存活，D) A玩家赢得游戏")</f>
        <v>A) B玩家的棋子被吃掉，B) A玩家吃掉B玩家的棋子，C) B玩家的棋子存活，D) A玩家赢得游戏</v>
      </c>
      <c r="K33" s="24" t="str">
        <f>IFERROR(__xludf.DUMMYFUNCTION("GOOGLETRANSLATE(D33, ""en"", ""zh"")"),"C）玩家B的队伍存活")</f>
        <v>C）玩家B的队伍存活</v>
      </c>
      <c r="L33" s="24" t="str">
        <f>IFERROR(__xludf.DUMMYFUNCTION("GOOGLETRANSLATE(E33, ""en"", ""zh"")"),"在围棋中，拥有两只眼睛的棋子被认为是活的，不能被吃掉。")</f>
        <v>在围棋中，拥有两只眼睛的棋子被认为是活的，不能被吃掉。</v>
      </c>
      <c r="M33" s="22"/>
      <c r="N33" s="22"/>
      <c r="O33" s="22"/>
      <c r="P33" s="22"/>
      <c r="Q33" s="19"/>
      <c r="R33" s="19"/>
      <c r="S33" s="19"/>
      <c r="T33" s="19"/>
      <c r="U33" s="19"/>
      <c r="V33" s="19"/>
      <c r="W33" s="19"/>
      <c r="X33" s="19"/>
      <c r="Y33" s="19"/>
      <c r="Z33" s="19"/>
    </row>
    <row r="34">
      <c r="A34" s="44">
        <v>33.0</v>
      </c>
      <c r="B34" s="24" t="s">
        <v>1862</v>
      </c>
      <c r="C34" s="24" t="s">
        <v>1863</v>
      </c>
      <c r="D34" s="24" t="s">
        <v>1864</v>
      </c>
      <c r="E34" s="24" t="s">
        <v>1865</v>
      </c>
      <c r="F34" s="21"/>
      <c r="G34" s="21"/>
      <c r="H34" s="25"/>
      <c r="I34" s="24" t="str">
        <f>IFERROR(__xludf.DUMMYFUNCTION("GOOGLETRANSLATE(B34, ""en"", ""zh"")"),"玩家A试图入侵玩家B的领地，但玩家B拥有一支强大的队伍，而且队伍中有多只眼睛。玩家A必须采取什么措施才能俘获玩家B的队伍？")</f>
        <v>玩家A试图入侵玩家B的领地，但玩家B拥有一支强大的队伍，而且队伍中有多只眼睛。玩家A必须采取什么措施才能俘获玩家B的队伍？</v>
      </c>
      <c r="J34" s="24" t="str">
        <f>IFERROR(__xludf.DUMMYFUNCTION("GOOGLETRANSLATE(C34, ""en"", ""zh"")"),"A) 包围玩家 B 的棋子并遮挡其视线，B) 组成劫，C) 形成梯子，D) 连接玩家 A 的棋组")</f>
        <v>A) 包围玩家 B 的棋子并遮挡其视线，B) 组成劫，C) 形成梯子，D) 连接玩家 A 的棋组</v>
      </c>
      <c r="K34" s="24" t="str">
        <f>IFERROR(__xludf.DUMMYFUNCTION("GOOGLETRANSLATE(D34, ""en"", ""zh"")"),"A）包围玩家B的棋子并遮住他的眼睛")</f>
        <v>A）包围玩家B的棋子并遮住他的眼睛</v>
      </c>
      <c r="L34" s="24" t="str">
        <f>IFERROR(__xludf.DUMMYFUNCTION("GOOGLETRANSLATE(E34, ""en"", ""zh"")"),"为了抓住玩家 B 的队伍，玩家 A 必须确保玩家​​ B 不能创造新的眼睛，并且必须完全包围他们的队伍。")</f>
        <v>为了抓住玩家 B 的队伍，玩家 A 必须确保玩家​​ B 不能创造新的眼睛，并且必须完全包围他们的队伍。</v>
      </c>
      <c r="M34" s="22"/>
      <c r="N34" s="22"/>
      <c r="O34" s="22"/>
      <c r="P34" s="22"/>
      <c r="Q34" s="19"/>
      <c r="R34" s="19"/>
      <c r="S34" s="19"/>
      <c r="T34" s="19"/>
      <c r="U34" s="19"/>
      <c r="V34" s="19"/>
      <c r="W34" s="19"/>
      <c r="X34" s="19"/>
      <c r="Y34" s="19"/>
      <c r="Z34" s="19"/>
    </row>
    <row r="35">
      <c r="A35" s="44">
        <v>34.0</v>
      </c>
      <c r="B35" s="24" t="s">
        <v>1866</v>
      </c>
      <c r="C35" s="24" t="s">
        <v>1867</v>
      </c>
      <c r="D35" s="24" t="s">
        <v>1774</v>
      </c>
      <c r="E35" s="24" t="s">
        <v>1868</v>
      </c>
      <c r="F35" s="21"/>
      <c r="G35" s="21"/>
      <c r="H35" s="25"/>
      <c r="I35" s="24" t="str">
        <f>IFERROR(__xludf.DUMMYFUNCTION("GOOGLETRANSLATE(B35, ""en"", ""zh"")"),"玩家A将一颗棋子放在一个迫使玩家B要么吃掉它，要么损失一大块棋子的位置。这种走法叫什么？")</f>
        <v>玩家A将一颗棋子放在一个迫使玩家B要么吃掉它，要么损失一大块棋子的位置。这种走法叫什么？</v>
      </c>
      <c r="J35" s="24" t="str">
        <f>IFERROR(__xludf.DUMMYFUNCTION("GOOGLETRANSLATE(C35, ""en"", ""zh"")"),"A) 手筋，B) 甲，C) 生死，D) 梦游")</f>
        <v>A) 手筋，B) 甲，C) 生死，D) 梦游</v>
      </c>
      <c r="K35" s="24" t="str">
        <f>IFERROR(__xludf.DUMMYFUNCTION("GOOGLETRANSLATE(D35, ""en"", ""zh"")"),"A）手筋")</f>
        <v>A）手筋</v>
      </c>
      <c r="L35" s="24" t="str">
        <f>IFERROR(__xludf.DUMMYFUNCTION("GOOGLETRANSLATE(E35, ""en"", ""zh"")"),"手筋是指一种巧妙而有效的招式，可以给对手施加压力，常常迫使对手做出反应。")</f>
        <v>手筋是指一种巧妙而有效的招式，可以给对手施加压力，常常迫使对手做出反应。</v>
      </c>
      <c r="M35" s="22"/>
      <c r="N35" s="22"/>
      <c r="O35" s="22"/>
      <c r="P35" s="22"/>
      <c r="Q35" s="19"/>
      <c r="R35" s="19"/>
      <c r="S35" s="19"/>
      <c r="T35" s="19"/>
      <c r="U35" s="19"/>
      <c r="V35" s="19"/>
      <c r="W35" s="19"/>
      <c r="X35" s="19"/>
      <c r="Y35" s="19"/>
      <c r="Z35" s="19"/>
    </row>
    <row r="36">
      <c r="A36" s="44">
        <v>35.0</v>
      </c>
      <c r="B36" s="24" t="s">
        <v>1869</v>
      </c>
      <c r="C36" s="24" t="s">
        <v>1851</v>
      </c>
      <c r="D36" s="24" t="s">
        <v>1852</v>
      </c>
      <c r="E36" s="24" t="s">
        <v>1870</v>
      </c>
      <c r="F36" s="21"/>
      <c r="G36" s="21"/>
      <c r="H36" s="25"/>
      <c r="I36" s="24" t="str">
        <f>IFERROR(__xludf.DUMMYFUNCTION("GOOGLETRANSLATE(B36, ""en"", ""zh"")"),"玩家A和玩家B在一个13x13的棋盘上进行游戏。玩家A包围了一个角，但玩家B试图入侵该角。玩家A的最佳防守策略是什么？")</f>
        <v>玩家A和玩家B在一个13x13的棋盘上进行游戏。玩家A包围了一个角，但玩家B试图入侵该角。玩家A的最佳防守策略是什么？</v>
      </c>
      <c r="J36" s="24" t="str">
        <f>IFERROR(__xludf.DUMMYFUNCTION("GOOGLETRANSLATE(C36, ""en"", ""zh"")"),"A) 创造第二个眼睛，B) 吃掉B玩家的棋子，C) 形成劫，D) 逃离角落")</f>
        <v>A) 创造第二个眼睛，B) 吃掉B玩家的棋子，C) 形成劫，D) 逃离角落</v>
      </c>
      <c r="K36" s="24" t="str">
        <f>IFERROR(__xludf.DUMMYFUNCTION("GOOGLETRANSLATE(D36, ""en"", ""zh"")"),"A）创造第二只眼睛")</f>
        <v>A）创造第二只眼睛</v>
      </c>
      <c r="L36" s="24" t="str">
        <f>IFERROR(__xludf.DUMMYFUNCTION("GOOGLETRANSLATE(E36, ""en"", ""zh"")"),"为了确保生存，玩家 A 需要时刻保持警惕，确保团队存活并防止被俘。")</f>
        <v>为了确保生存，玩家 A 需要时刻保持警惕，确保团队存活并防止被俘。</v>
      </c>
      <c r="M36" s="22"/>
      <c r="N36" s="22"/>
      <c r="O36" s="22"/>
      <c r="P36" s="22"/>
      <c r="Q36" s="19"/>
      <c r="R36" s="19"/>
      <c r="S36" s="19"/>
      <c r="T36" s="19"/>
      <c r="U36" s="19"/>
      <c r="V36" s="19"/>
      <c r="W36" s="19"/>
      <c r="X36" s="19"/>
      <c r="Y36" s="19"/>
      <c r="Z36" s="19"/>
    </row>
    <row r="37">
      <c r="A37" s="44">
        <v>36.0</v>
      </c>
      <c r="B37" s="24" t="s">
        <v>1871</v>
      </c>
      <c r="C37" s="24" t="s">
        <v>1872</v>
      </c>
      <c r="D37" s="24" t="s">
        <v>1873</v>
      </c>
      <c r="E37" s="24" t="s">
        <v>1874</v>
      </c>
      <c r="F37" s="21"/>
      <c r="G37" s="21"/>
      <c r="H37" s="25"/>
      <c r="I37" s="24" t="str">
        <f>IFERROR(__xludf.DUMMYFUNCTION("GOOGLETRANSLATE(B37, ""en"", ""zh"")"),"玩家A正在下围棋，他包围了玩家B的棋子。玩家B必须走哪一步才能避免被吃掉？")</f>
        <v>玩家A正在下围棋，他包围了玩家B的棋子。玩家B必须走哪一步才能避免被吃掉？</v>
      </c>
      <c r="J37" s="24" t="str">
        <f>IFERROR(__xludf.DUMMYFUNCTION("GOOGLETRANSLATE(C37, ""en"", ""zh"")"),"A）形成一个眼，B）连接到另一组，C）形成一个寇，D）吃掉玩家A的棋子。")</f>
        <v>A）形成一个眼，B）连接到另一组，C）形成一个寇，D）吃掉玩家A的棋子。</v>
      </c>
      <c r="K37" s="24" t="str">
        <f>IFERROR(__xludf.DUMMYFUNCTION("GOOGLETRANSLATE(D37, ""en"", ""zh"")"),"A) 创建眼睛，B) 连接到另一个组")</f>
        <v>A) 创建眼睛，B) 连接到另一个组</v>
      </c>
      <c r="L37" s="24" t="str">
        <f>IFERROR(__xludf.DUMMYFUNCTION("GOOGLETRANSLATE(E37, ""en"", ""zh"")"),"玩家 B 必须要么创造一个眼睛，要么将自己的队伍与其他队伍连接起来，以避免被俘。")</f>
        <v>玩家 B 必须要么创造一个眼睛，要么将自己的队伍与其他队伍连接起来，以避免被俘。</v>
      </c>
      <c r="M37" s="22"/>
      <c r="N37" s="22"/>
      <c r="O37" s="22"/>
      <c r="P37" s="22"/>
      <c r="Q37" s="19"/>
      <c r="R37" s="19"/>
      <c r="S37" s="19"/>
      <c r="T37" s="19"/>
      <c r="U37" s="19"/>
      <c r="V37" s="19"/>
      <c r="W37" s="19"/>
      <c r="X37" s="19"/>
      <c r="Y37" s="19"/>
      <c r="Z37" s="19"/>
    </row>
    <row r="38">
      <c r="A38" s="44">
        <v>37.0</v>
      </c>
      <c r="B38" s="24" t="s">
        <v>1875</v>
      </c>
      <c r="C38" s="24" t="s">
        <v>1876</v>
      </c>
      <c r="D38" s="24" t="s">
        <v>1877</v>
      </c>
      <c r="E38" s="24" t="s">
        <v>1878</v>
      </c>
      <c r="F38" s="21"/>
      <c r="G38" s="21"/>
      <c r="H38" s="25"/>
      <c r="I38" s="24" t="str">
        <f>IFERROR(__xludf.DUMMYFUNCTION("GOOGLETRANSLATE(B38, ""en"", ""zh"")"),"玩家A下棋吃掉了玩家B的一枚棋子。被吃掉的棋子叫什么？")</f>
        <v>玩家A下棋吃掉了玩家B的一枚棋子。被吃掉的棋子叫什么？</v>
      </c>
      <c r="J38" s="24" t="str">
        <f>IFERROR(__xludf.DUMMYFUNCTION("GOOGLETRANSLATE(C38, ""en"", ""zh"")"),"A) 一块被俘获的石头，B) 一块死去的石头，C) 一名囚犯，D) 一块被俘虏的石头")</f>
        <v>A) 一块被俘获的石头，B) 一块死去的石头，C) 一名囚犯，D) 一块被俘虏的石头</v>
      </c>
      <c r="K38" s="24" t="str">
        <f>IFERROR(__xludf.DUMMYFUNCTION("GOOGLETRANSLATE(D38, ""en"", ""zh"")"),"C) 一名囚犯")</f>
        <v>C) 一名囚犯</v>
      </c>
      <c r="L38" s="24" t="str">
        <f>IFERROR(__xludf.DUMMYFUNCTION("GOOGLETRANSLATE(E38, ""en"", ""zh"")"),"在围棋中，被吃掉并从棋盘上移除的棋子被称为俘虏。")</f>
        <v>在围棋中，被吃掉并从棋盘上移除的棋子被称为俘虏。</v>
      </c>
      <c r="M38" s="22"/>
      <c r="N38" s="21"/>
      <c r="O38" s="22"/>
      <c r="P38" s="39"/>
      <c r="Q38" s="19"/>
      <c r="R38" s="19"/>
      <c r="S38" s="19"/>
      <c r="T38" s="19"/>
      <c r="U38" s="19"/>
      <c r="V38" s="19"/>
      <c r="W38" s="19"/>
      <c r="X38" s="19"/>
      <c r="Y38" s="19"/>
      <c r="Z38" s="19"/>
    </row>
    <row r="39">
      <c r="A39" s="44">
        <v>38.0</v>
      </c>
      <c r="B39" s="24" t="s">
        <v>1879</v>
      </c>
      <c r="C39" s="24" t="s">
        <v>1880</v>
      </c>
      <c r="D39" s="24" t="s">
        <v>1881</v>
      </c>
      <c r="E39" s="24" t="s">
        <v>1882</v>
      </c>
      <c r="F39" s="21"/>
      <c r="G39" s="21"/>
      <c r="H39" s="25"/>
      <c r="I39" s="24" t="str">
        <f>IFERROR(__xludf.DUMMYFUNCTION("GOOGLETRANSLATE(B39, ""en"", ""zh"")"),"玩家A走一步棋，导致被劫杀。如果玩家B在玩家A吃掉棋子后立即吃掉，会发生什么？")</f>
        <v>玩家A走一步棋，导致被劫杀。如果玩家B在玩家A吃掉棋子后立即吃掉，会发生什么？</v>
      </c>
      <c r="J39" s="24" t="str">
        <f>IFERROR(__xludf.DUMMYFUNCTION("GOOGLETRANSLATE(C39, ""en"", ""zh"")"),"A) 玩家 A 赢得游戏；B) 游戏进入无限循环；C) 玩家 B 失去一回合；D) 玩家 B 可以不受限制地重新夺回回合。")</f>
        <v>A) 玩家 A 赢得游戏；B) 游戏进入无限循环；C) 玩家 B 失去一回合；D) 玩家 B 可以不受限制地重新夺回回合。</v>
      </c>
      <c r="K39" s="24" t="str">
        <f>IFERROR(__xludf.DUMMYFUNCTION("GOOGLETRANSLATE(D39, ""en"", ""zh"")"),"B) 游戏进入无限循环")</f>
        <v>B) 游戏进入无限循环</v>
      </c>
      <c r="L39" s="24" t="str">
        <f>IFERROR(__xludf.DUMMYFUNCTION("GOOGLETRANSLATE(E39, ""en"", ""zh"")"),"在围棋中，劫争规则防止一方立即吃回被吃掉的棋子，否则会造成无限循环。")</f>
        <v>在围棋中，劫争规则防止一方立即吃回被吃掉的棋子，否则会造成无限循环。</v>
      </c>
      <c r="M39" s="22"/>
      <c r="N39" s="22"/>
      <c r="O39" s="22"/>
      <c r="P39" s="22"/>
      <c r="Q39" s="19"/>
      <c r="R39" s="19"/>
      <c r="S39" s="19"/>
      <c r="T39" s="19"/>
      <c r="U39" s="19"/>
      <c r="V39" s="19"/>
      <c r="W39" s="19"/>
      <c r="X39" s="19"/>
      <c r="Y39" s="19"/>
      <c r="Z39" s="19"/>
    </row>
    <row r="40">
      <c r="A40" s="44">
        <v>39.0</v>
      </c>
      <c r="B40" s="24" t="s">
        <v>1883</v>
      </c>
      <c r="C40" s="24" t="s">
        <v>1884</v>
      </c>
      <c r="D40" s="24" t="s">
        <v>1885</v>
      </c>
      <c r="E40" s="24" t="s">
        <v>1886</v>
      </c>
      <c r="F40" s="21"/>
      <c r="G40" s="21"/>
      <c r="H40" s="25"/>
      <c r="I40" s="24" t="str">
        <f>IFERROR(__xludf.DUMMYFUNCTION("GOOGLETRANSLATE(B40, ""en"", ""zh"")"),"在围棋比赛中，A棋手围住一个角，形成两个“眼睛”，但B棋手附近有棋子。B棋手应该怎么做才能阻止A棋手扩张领地？")</f>
        <v>在围棋比赛中，A棋手围住一个角，形成两个“眼睛”，但B棋手附近有棋子。B棋手应该怎么做才能阻止A棋手扩张领地？</v>
      </c>
      <c r="J40" s="24" t="str">
        <f>IFERROR(__xludf.DUMMYFUNCTION("GOOGLETRANSLATE(C40, ""en"", ""zh"")"),"A）制造第二只眼，B）形成锁阵，C）包围A玩家的队伍，D）攻击A玩家的队伍")</f>
        <v>A）制造第二只眼，B）形成锁阵，C）包围A玩家的队伍，D）攻击A玩家的队伍</v>
      </c>
      <c r="K40" s="24" t="str">
        <f>IFERROR(__xludf.DUMMYFUNCTION("GOOGLETRANSLATE(D40, ""en"", ""zh"")"),"C) 包围玩家 A 的小组")</f>
        <v>C) 包围玩家 A 的小组</v>
      </c>
      <c r="L40" s="24" t="str">
        <f>IFERROR(__xludf.DUMMYFUNCTION("GOOGLETRANSLATE(E40, ""en"", ""zh"")"),"为了阻止玩家 A 扩张领地，玩家 B 应该尝试包围玩家 A 的队伍并切断他们的退路。")</f>
        <v>为了阻止玩家 A 扩张领地，玩家 B 应该尝试包围玩家 A 的队伍并切断他们的退路。</v>
      </c>
      <c r="M40" s="22"/>
      <c r="N40" s="22"/>
      <c r="O40" s="22"/>
      <c r="P40" s="22"/>
      <c r="Q40" s="19"/>
      <c r="R40" s="19"/>
      <c r="S40" s="19"/>
      <c r="T40" s="19"/>
      <c r="U40" s="19"/>
      <c r="V40" s="19"/>
      <c r="W40" s="19"/>
      <c r="X40" s="19"/>
      <c r="Y40" s="19"/>
      <c r="Z40" s="19"/>
    </row>
    <row r="41">
      <c r="A41" s="44">
        <v>40.0</v>
      </c>
      <c r="B41" s="24" t="s">
        <v>1887</v>
      </c>
      <c r="C41" s="24" t="s">
        <v>1888</v>
      </c>
      <c r="D41" s="24" t="s">
        <v>1889</v>
      </c>
      <c r="E41" s="24" t="s">
        <v>1890</v>
      </c>
      <c r="F41" s="21"/>
      <c r="G41" s="21"/>
      <c r="H41" s="25"/>
      <c r="I41" s="24" t="str">
        <f>IFERROR(__xludf.DUMMYFUNCTION("GOOGLETRANSLATE(B41, ""en"", ""zh"")"),"在围棋比赛中，A 棋子被 B 棋子包围。如果这组棋子没有眼睛，即将被吃掉，那么这组棋子叫什么？")</f>
        <v>在围棋比赛中，A 棋子被 B 棋子包围。如果这组棋子没有眼睛，即将被吃掉，那么这组棋子叫什么？</v>
      </c>
      <c r="J41" s="24" t="str">
        <f>IFERROR(__xludf.DUMMYFUNCTION("GOOGLETRANSLATE(C41, ""en"", ""zh"")"),"A) 死者组，B) 生者组，C) Ko 组，D) Seki 组")</f>
        <v>A) 死者组，B) 生者组，C) Ko 组，D) Seki 组</v>
      </c>
      <c r="K41" s="24" t="str">
        <f>IFERROR(__xludf.DUMMYFUNCTION("GOOGLETRANSLATE(D41, ""en"", ""zh"")"),"A) 死群")</f>
        <v>A) 死群</v>
      </c>
      <c r="L41" s="24" t="str">
        <f>IFERROR(__xludf.DUMMYFUNCTION("GOOGLETRANSLATE(E41, ""en"", ""zh"")"),"一群没有眼睛且被敌方包围的敌人将被视为死敌，将被俘虏。")</f>
        <v>一群没有眼睛且被敌方包围的敌人将被视为死敌，将被俘虏。</v>
      </c>
      <c r="M41" s="22"/>
      <c r="N41" s="22"/>
      <c r="O41" s="22"/>
      <c r="P41" s="22"/>
      <c r="Q41" s="19"/>
      <c r="R41" s="19"/>
      <c r="S41" s="19"/>
      <c r="T41" s="19"/>
      <c r="U41" s="19"/>
      <c r="V41" s="19"/>
      <c r="W41" s="19"/>
      <c r="X41" s="19"/>
      <c r="Y41" s="19"/>
      <c r="Z41" s="19"/>
    </row>
    <row r="42">
      <c r="A42" s="44">
        <v>41.0</v>
      </c>
      <c r="B42" s="24" t="s">
        <v>1891</v>
      </c>
      <c r="C42" s="24" t="s">
        <v>1892</v>
      </c>
      <c r="D42" s="24" t="s">
        <v>1762</v>
      </c>
      <c r="E42" s="24" t="s">
        <v>1893</v>
      </c>
      <c r="F42" s="21"/>
      <c r="G42" s="21"/>
      <c r="H42" s="25"/>
      <c r="I42" s="24" t="str">
        <f>IFERROR(__xludf.DUMMYFUNCTION("GOOGLETRANSLATE(B42, ""en"", ""zh"")"),"玩家A放置了一块石头，威胁要吞并玩家B的队伍。玩家B的回应是在队伍中创造第二只眼睛。玩家B的队伍目前处于什么状态？")</f>
        <v>玩家A放置了一块石头，威胁要吞并玩家B的队伍。玩家B的回应是在队伍中创造第二只眼睛。玩家B的队伍目前处于什么状态？</v>
      </c>
      <c r="J42" s="24" t="str">
        <f>IFERROR(__xludf.DUMMYFUNCTION("GOOGLETRANSLATE(C42, ""en"", ""zh"")"),"A) 该组织已全灭，B) 该组织仍然活着，C) 该组织将被俘虏，D) 该组织在关市")</f>
        <v>A) 该组织已全灭，B) 该组织仍然活着，C) 该组织将被俘虏，D) 该组织在关市</v>
      </c>
      <c r="K42" s="24" t="str">
        <f>IFERROR(__xludf.DUMMYFUNCTION("GOOGLETRANSLATE(D42, ""en"", ""zh"")"),"B) 该组织仍然存活")</f>
        <v>B) 该组织仍然存活</v>
      </c>
      <c r="L42" s="24" t="str">
        <f>IFERROR(__xludf.DUMMYFUNCTION("GOOGLETRANSLATE(E42, ""en"", ""zh"")"),"在围棋中，拥有两只眼睛的棋子被认为是活的，因此不会被吃掉。")</f>
        <v>在围棋中，拥有两只眼睛的棋子被认为是活的，因此不会被吃掉。</v>
      </c>
      <c r="M42" s="22"/>
      <c r="N42" s="22"/>
      <c r="O42" s="22"/>
      <c r="P42" s="22"/>
      <c r="Q42" s="19"/>
      <c r="R42" s="19"/>
      <c r="S42" s="19"/>
      <c r="T42" s="19"/>
      <c r="U42" s="19"/>
      <c r="V42" s="19"/>
      <c r="W42" s="19"/>
      <c r="X42" s="19"/>
      <c r="Y42" s="19"/>
      <c r="Z42" s="19"/>
    </row>
    <row r="43">
      <c r="A43" s="44">
        <v>42.0</v>
      </c>
      <c r="B43" s="24" t="s">
        <v>1894</v>
      </c>
      <c r="C43" s="24" t="s">
        <v>1895</v>
      </c>
      <c r="D43" s="24" t="s">
        <v>1896</v>
      </c>
      <c r="E43" s="24" t="s">
        <v>1897</v>
      </c>
      <c r="F43" s="21"/>
      <c r="G43" s="21"/>
      <c r="H43" s="25"/>
      <c r="I43" s="24" t="str">
        <f>IFERROR(__xludf.DUMMYFUNCTION("GOOGLETRANSLATE(B43, ""en"", ""zh"")"),"玩家A走了一步棋，威胁到玩家B的棋子群，但玩家B落子连接了双方的棋子群。这种走法叫什么？")</f>
        <v>玩家A走了一步棋，威胁到玩家B的棋子群，但玩家B落子连接了双方的棋子群。这种走法叫什么？</v>
      </c>
      <c r="J43" s="24" t="str">
        <f>IFERROR(__xludf.DUMMYFUNCTION("GOOGLETRANSLATE(C43, ""en"", ""zh"")"),"A) 手筋，B) 萨巴基，C) 雅达利，D) 连接")</f>
        <v>A) 手筋，B) 萨巴基，C) 雅达利，D) 连接</v>
      </c>
      <c r="K43" s="24" t="str">
        <f>IFERROR(__xludf.DUMMYFUNCTION("GOOGLETRANSLATE(D43, ""en"", ""zh"")"),"D) 连接")</f>
        <v>D) 连接</v>
      </c>
      <c r="L43" s="24" t="str">
        <f>IFERROR(__xludf.DUMMYFUNCTION("GOOGLETRANSLATE(E43, ""en"", ""zh"")"),"连棋是指玩家将自己的棋子连接起来，以加强自己的阵型并防止被吃掉。")</f>
        <v>连棋是指玩家将自己的棋子连接起来，以加强自己的阵型并防止被吃掉。</v>
      </c>
      <c r="M43" s="22"/>
      <c r="N43" s="22"/>
      <c r="O43" s="22"/>
      <c r="P43" s="22"/>
      <c r="Q43" s="19"/>
      <c r="R43" s="19"/>
      <c r="S43" s="19"/>
      <c r="T43" s="19"/>
      <c r="U43" s="19"/>
      <c r="V43" s="19"/>
      <c r="W43" s="19"/>
      <c r="X43" s="19"/>
      <c r="Y43" s="19"/>
      <c r="Z43" s="19"/>
    </row>
    <row r="44">
      <c r="A44" s="44">
        <v>43.0</v>
      </c>
      <c r="B44" s="24" t="s">
        <v>1898</v>
      </c>
      <c r="C44" s="24" t="s">
        <v>1899</v>
      </c>
      <c r="D44" s="24" t="s">
        <v>1900</v>
      </c>
      <c r="E44" s="24" t="s">
        <v>1901</v>
      </c>
      <c r="F44" s="21"/>
      <c r="G44" s="21"/>
      <c r="H44" s="25"/>
      <c r="I44" s="24" t="str">
        <f>IFERROR(__xludf.DUMMYFUNCTION("GOOGLETRANSLATE(B44, ""en"", ""zh"")"),"玩家A和玩家B正在下9x9的围棋。玩家A包围了玩家B的棋子群，但玩家B有一颗棋子连接到更大的棋子群。玩家A下一步该怎么走？")</f>
        <v>玩家A和玩家B正在下9x9的围棋。玩家A包围了玩家B的棋子群，但玩家B有一颗棋子连接到更大的棋子群。玩家A下一步该怎么走？</v>
      </c>
      <c r="J44" s="24" t="str">
        <f>IFERROR(__xludf.DUMMYFUNCTION("GOOGLETRANSLATE(C44, ""en"", ""zh"")"),"A) 占领玩家 B 的棋子群，B) 包围玩家 B 的棋子，C) 攻击玩家 B 的较大棋子群，D) 连接玩家 A 的棋子群")</f>
        <v>A) 占领玩家 B 的棋子群，B) 包围玩家 B 的棋子，C) 攻击玩家 B 的较大棋子群，D) 连接玩家 A 的棋子群</v>
      </c>
      <c r="K44" s="24" t="str">
        <f>IFERROR(__xludf.DUMMYFUNCTION("GOOGLETRANSLATE(D44, ""en"", ""zh"")"),"B）包围玩家B的石子")</f>
        <v>B）包围玩家B的石子</v>
      </c>
      <c r="L44" s="24" t="str">
        <f>IFERROR(__xludf.DUMMYFUNCTION("GOOGLETRANSLATE(E44, ""en"", ""zh"")"),"玩家 A 必须包围玩家 B 的连接石，切断它与更大石块的连接，并占领该石块。")</f>
        <v>玩家 A 必须包围玩家 B 的连接石，切断它与更大石块的连接，并占领该石块。</v>
      </c>
      <c r="M44" s="22"/>
      <c r="N44" s="22"/>
      <c r="O44" s="22"/>
      <c r="P44" s="22"/>
      <c r="Q44" s="19"/>
      <c r="R44" s="19"/>
      <c r="S44" s="19"/>
      <c r="T44" s="19"/>
      <c r="U44" s="19"/>
      <c r="V44" s="19"/>
      <c r="W44" s="19"/>
      <c r="X44" s="19"/>
      <c r="Y44" s="19"/>
      <c r="Z44" s="19"/>
    </row>
    <row r="45">
      <c r="A45" s="44">
        <v>44.0</v>
      </c>
      <c r="B45" s="24" t="s">
        <v>1902</v>
      </c>
      <c r="C45" s="24" t="s">
        <v>1903</v>
      </c>
      <c r="D45" s="24" t="s">
        <v>1904</v>
      </c>
      <c r="E45" s="24" t="s">
        <v>1905</v>
      </c>
      <c r="F45" s="21"/>
      <c r="G45" s="21"/>
      <c r="H45" s="25"/>
      <c r="I45" s="24" t="str">
        <f>IFERROR(__xludf.DUMMYFUNCTION("GOOGLETRANSLATE(B45, ""en"", ""zh"")"),"在围棋比赛中，A 走了一步棋，威胁要吃掉 B 的棋子群。B 随即吃掉了 A 的棋子。B 取得了什么成就？")</f>
        <v>在围棋比赛中，A 走了一步棋，威胁要吃掉 B 的棋子群。B 随即吃掉了 A 的棋子。B 取得了什么成就？</v>
      </c>
      <c r="J45" s="24" t="str">
        <f>IFERROR(__xludf.DUMMYFUNCTION("GOOGLETRANSLATE(C45, ""en"", ""zh"")"),"A) 拯救了他们的小组，B) 创造了劫，C) 丢了一枚棋子，D) 赢得了比赛")</f>
        <v>A) 拯救了他们的小组，B) 创造了劫，C) 丢了一枚棋子，D) 赢得了比赛</v>
      </c>
      <c r="K45" s="24" t="str">
        <f>IFERROR(__xludf.DUMMYFUNCTION("GOOGLETRANSLATE(D45, ""en"", ""zh"")"),"A) 拯救了他们的团队")</f>
        <v>A) 拯救了他们的团队</v>
      </c>
      <c r="L45" s="24" t="str">
        <f>IFERROR(__xludf.DUMMYFUNCTION("GOOGLETRANSLATE(E45, ""en"", ""zh"")"),"通过夺取玩家 A 的石头，玩家 B 确保了自己团队的生存和安全。")</f>
        <v>通过夺取玩家 A 的石头，玩家 B 确保了自己团队的生存和安全。</v>
      </c>
      <c r="M45" s="22"/>
      <c r="N45" s="22"/>
      <c r="O45" s="22"/>
      <c r="P45" s="22"/>
      <c r="Q45" s="19"/>
      <c r="R45" s="19"/>
      <c r="S45" s="19"/>
      <c r="T45" s="19"/>
      <c r="U45" s="19"/>
      <c r="V45" s="19"/>
      <c r="W45" s="19"/>
      <c r="X45" s="19"/>
      <c r="Y45" s="19"/>
      <c r="Z45" s="19"/>
    </row>
    <row r="46">
      <c r="A46" s="44">
        <v>45.0</v>
      </c>
      <c r="B46" s="24" t="s">
        <v>1906</v>
      </c>
      <c r="C46" s="24" t="s">
        <v>1907</v>
      </c>
      <c r="D46" s="24" t="s">
        <v>1908</v>
      </c>
      <c r="E46" s="24" t="s">
        <v>1909</v>
      </c>
      <c r="F46" s="21"/>
      <c r="G46" s="21"/>
      <c r="H46" s="25"/>
      <c r="I46" s="24" t="str">
        <f>IFERROR(__xludf.DUMMYFUNCTION("GOOGLETRANSLATE(B46, ""en"", ""zh"")"),"玩家A包围了玩家B的队伍，但尚未将其俘虏。如果玩家B制造出两只眼睛，最可能的结果是什么？")</f>
        <v>玩家A包围了玩家B的队伍，但尚未将其俘虏。如果玩家B制造出两只眼睛，最可能的结果是什么？</v>
      </c>
      <c r="J46" s="24" t="str">
        <f>IFERROR(__xludf.DUMMYFUNCTION("GOOGLETRANSLATE(C46, ""en"", ""zh"")"),"A) B玩家的队伍将被俘虏；B) B玩家的队伍将存活；C) A玩家获胜；D) 游戏以平局结束。")</f>
        <v>A) B玩家的队伍将被俘虏；B) B玩家的队伍将存活；C) A玩家获胜；D) 游戏以平局结束。</v>
      </c>
      <c r="K46" s="24" t="str">
        <f>IFERROR(__xludf.DUMMYFUNCTION("GOOGLETRANSLATE(D46, ""en"", ""zh"")"),"B）玩家B的队伍将存活。")</f>
        <v>B）玩家B的队伍将存活。</v>
      </c>
      <c r="L46" s="24" t="str">
        <f>IFERROR(__xludf.DUMMYFUNCTION("GOOGLETRANSLATE(E46, ""en"", ""zh"")"),"如果玩家 B 在被包围的群体中创造出两只眼睛，该群体就会存活且无法被捕获。")</f>
        <v>如果玩家 B 在被包围的群体中创造出两只眼睛，该群体就会存活且无法被捕获。</v>
      </c>
      <c r="M46" s="22"/>
      <c r="N46" s="22"/>
      <c r="O46" s="22"/>
      <c r="P46" s="22"/>
      <c r="Q46" s="19"/>
      <c r="R46" s="19"/>
      <c r="S46" s="19"/>
      <c r="T46" s="19"/>
      <c r="U46" s="19"/>
      <c r="V46" s="19"/>
      <c r="W46" s="19"/>
      <c r="X46" s="19"/>
      <c r="Y46" s="19"/>
      <c r="Z46" s="19"/>
    </row>
    <row r="47">
      <c r="A47" s="44">
        <v>46.0</v>
      </c>
      <c r="B47" s="24" t="s">
        <v>1910</v>
      </c>
      <c r="C47" s="24" t="s">
        <v>1911</v>
      </c>
      <c r="D47" s="24" t="s">
        <v>1912</v>
      </c>
      <c r="E47" s="24" t="s">
        <v>1913</v>
      </c>
      <c r="F47" s="21"/>
      <c r="G47" s="21"/>
      <c r="H47" s="25"/>
      <c r="I47" s="24" t="str">
        <f>IFERROR(__xludf.DUMMYFUNCTION("GOOGLETRANSLATE(B47, ""en"", ""zh"")"),"玩家A包围了棋盘上的一个区域，但玩家B设法入侵了该区域。玩家A阻止玩家B吃掉自己棋子的最佳方法是什么？")</f>
        <v>玩家A包围了棋盘上的一个区域，但玩家B设法入侵了该区域。玩家A阻止玩家B吃掉自己棋子的最佳方法是什么？</v>
      </c>
      <c r="J47" s="24" t="str">
        <f>IFERROR(__xludf.DUMMYFUNCTION("GOOGLETRANSLATE(C47, ""en"", ""zh"")"),"A）连接玩家A的群体，B）形成一个Ko，C）包围玩家B的群体，D）形成两个眼睛")</f>
        <v>A）连接玩家A的群体，B）形成一个Ko，C）包围玩家B的群体，D）形成两个眼睛</v>
      </c>
      <c r="K47" s="24" t="str">
        <f>IFERROR(__xludf.DUMMYFUNCTION("GOOGLETRANSLATE(D47, ""en"", ""zh"")"),"C) 包围玩家 B 的小组，D) 创建两只眼睛")</f>
        <v>C) 包围玩家 B 的小组，D) 创建两只眼睛</v>
      </c>
      <c r="L47" s="24" t="str">
        <f>IFERROR(__xludf.DUMMYFUNCTION("GOOGLETRANSLATE(E47, ""en"", ""zh"")"),"为了防止被俘，玩家 A 应该包围玩家 B 的入侵石，或者为自己的队伍创造两个眼睛以求生存。")</f>
        <v>为了防止被俘，玩家 A 应该包围玩家 B 的入侵石，或者为自己的队伍创造两个眼睛以求生存。</v>
      </c>
      <c r="M47" s="22"/>
      <c r="N47" s="22"/>
      <c r="O47" s="22"/>
      <c r="P47" s="22"/>
      <c r="Q47" s="19"/>
      <c r="R47" s="19"/>
      <c r="S47" s="19"/>
      <c r="T47" s="19"/>
      <c r="U47" s="19"/>
      <c r="V47" s="19"/>
      <c r="W47" s="19"/>
      <c r="X47" s="19"/>
      <c r="Y47" s="19"/>
      <c r="Z47" s="19"/>
    </row>
    <row r="48">
      <c r="A48" s="44">
        <v>47.0</v>
      </c>
      <c r="B48" s="24" t="s">
        <v>1914</v>
      </c>
      <c r="C48" s="24" t="s">
        <v>1915</v>
      </c>
      <c r="D48" s="24" t="s">
        <v>1916</v>
      </c>
      <c r="E48" s="24" t="s">
        <v>1917</v>
      </c>
      <c r="F48" s="21"/>
      <c r="G48" s="21"/>
      <c r="H48" s="25"/>
      <c r="I48" s="24" t="str">
        <f>IFERROR(__xludf.DUMMYFUNCTION("GOOGLETRANSLATE(B48, ""en"", ""zh"")"),"玩家A走了一步棋，导致棋局被劫。玩家B该如何做才能避免吃回同一枚棋子，从而避免陷入无限循环？")</f>
        <v>玩家A走了一步棋，导致棋局被劫。玩家B该如何做才能避免吃回同一枚棋子，从而避免陷入无限循环？</v>
      </c>
      <c r="J48" s="24" t="str">
        <f>IFERROR(__xludf.DUMMYFUNCTION("GOOGLETRANSLATE(C48, ""en"", ""zh"")"),"A) 吃掉玩家 A 的棋子，B) 等待玩家 A 在其他地方落子，C) 包围玩家 A 的棋子，D) 走另一步棋")</f>
        <v>A) 吃掉玩家 A 的棋子，B) 等待玩家 A 在其他地方落子，C) 包围玩家 A 的棋子，D) 走另一步棋</v>
      </c>
      <c r="K48" s="24" t="str">
        <f>IFERROR(__xludf.DUMMYFUNCTION("GOOGLETRANSLATE(D48, ""en"", ""zh"")"),"B) 等待玩家 A 在其他地方落子，D) 走另一步棋")</f>
        <v>B) 等待玩家 A 在其他地方落子，D) 走另一步棋</v>
      </c>
      <c r="L48" s="24" t="str">
        <f>IFERROR(__xludf.DUMMYFUNCTION("GOOGLETRANSLATE(E48, ""en"", ""zh"")"),"劫争规则不允许立即夺回棋子，因此 B 玩家必须先在其他地方落子才能夺回棋子。")</f>
        <v>劫争规则不允许立即夺回棋子，因此 B 玩家必须先在其他地方落子才能夺回棋子。</v>
      </c>
      <c r="M48" s="22"/>
      <c r="N48" s="22"/>
      <c r="O48" s="22"/>
      <c r="P48" s="22"/>
      <c r="Q48" s="19"/>
      <c r="R48" s="19"/>
      <c r="S48" s="19"/>
      <c r="T48" s="19"/>
      <c r="U48" s="19"/>
      <c r="V48" s="19"/>
      <c r="W48" s="19"/>
      <c r="X48" s="19"/>
      <c r="Y48" s="19"/>
      <c r="Z48" s="19"/>
    </row>
    <row r="49">
      <c r="A49" s="44">
        <v>48.0</v>
      </c>
      <c r="B49" s="24" t="s">
        <v>1918</v>
      </c>
      <c r="C49" s="24" t="s">
        <v>1919</v>
      </c>
      <c r="D49" s="24" t="s">
        <v>1920</v>
      </c>
      <c r="E49" s="24" t="s">
        <v>1921</v>
      </c>
      <c r="F49" s="21"/>
      <c r="G49" s="21"/>
      <c r="H49" s="25"/>
      <c r="I49" s="24" t="str">
        <f>IFERROR(__xludf.DUMMYFUNCTION("GOOGLETRANSLATE(B49, ""en"", ""zh"")"),"玩家A有一组石头，被玩家B从三面包围。玩家A必须怎么做才能生存下去？")</f>
        <v>玩家A有一组石头，被玩家B从三面包围。玩家A必须怎么做才能生存下去？</v>
      </c>
      <c r="J49" s="24" t="str">
        <f>IFERROR(__xludf.DUMMYFUNCTION("GOOGLETRANSLATE(C49, ""en"", ""zh"")"),"A) 创建第二个眼睛，B) 连接到更大的群体，C) 形成劫，D) 包围B玩家的棋子")</f>
        <v>A) 创建第二个眼睛，B) 连接到更大的群体，C) 形成劫，D) 包围B玩家的棋子</v>
      </c>
      <c r="K49" s="24" t="str">
        <f>IFERROR(__xludf.DUMMYFUNCTION("GOOGLETRANSLATE(D49, ""en"", ""zh"")"),"A）创建第二只眼睛，B）连接到更大的群体")</f>
        <v>A）创建第二只眼睛，B）连接到更大的群体</v>
      </c>
      <c r="L49" s="24" t="str">
        <f>IFERROR(__xludf.DUMMYFUNCTION("GOOGLETRANSLATE(E49, ""en"", ""zh"")"),"玩家 A 必须创造第二个眼睛，或者与其他团体建立联系，以确保其团体的生存。")</f>
        <v>玩家 A 必须创造第二个眼睛，或者与其他团体建立联系，以确保其团体的生存。</v>
      </c>
      <c r="M49" s="22"/>
      <c r="N49" s="22"/>
      <c r="O49" s="22"/>
      <c r="P49" s="22"/>
      <c r="Q49" s="19"/>
      <c r="R49" s="19"/>
      <c r="S49" s="19"/>
      <c r="T49" s="19"/>
      <c r="U49" s="19"/>
      <c r="V49" s="19"/>
      <c r="W49" s="19"/>
      <c r="X49" s="19"/>
      <c r="Y49" s="19"/>
      <c r="Z49" s="19"/>
    </row>
    <row r="50">
      <c r="A50" s="44">
        <v>49.0</v>
      </c>
      <c r="B50" s="24" t="s">
        <v>1922</v>
      </c>
      <c r="C50" s="24" t="s">
        <v>1923</v>
      </c>
      <c r="D50" s="24" t="s">
        <v>1924</v>
      </c>
      <c r="E50" s="24" t="s">
        <v>1925</v>
      </c>
      <c r="F50" s="21"/>
      <c r="G50" s="21"/>
      <c r="H50" s="25"/>
      <c r="I50" s="24" t="str">
        <f>IFERROR(__xludf.DUMMYFUNCTION("GOOGLETRANSLATE(B50, ""en"", ""zh"")"),"玩家A用石头围成一个区域，但没能拼出两只眼睛。如果玩家B入侵会发生什么？")</f>
        <v>玩家A用石头围成一个区域，但没能拼出两只眼睛。如果玩家B入侵会发生什么？</v>
      </c>
      <c r="J50" s="24" t="str">
        <f>IFERROR(__xludf.DUMMYFUNCTION("GOOGLETRANSLATE(C50, ""en"", ""zh"")"),"A) B玩家的棋子将被吃掉，B) A玩家的棋子将被吃掉，C) 该棋子将存活，D) 游戏结束")</f>
        <v>A) B玩家的棋子将被吃掉，B) A玩家的棋子将被吃掉，C) 该棋子将存活，D) 游戏结束</v>
      </c>
      <c r="K50" s="24" t="str">
        <f>IFERROR(__xludf.DUMMYFUNCTION("GOOGLETRANSLATE(D50, ""en"", ""zh"")"),"B) A玩家所在的队伍将被俘虏")</f>
        <v>B) A玩家所在的队伍将被俘虏</v>
      </c>
      <c r="L50" s="24" t="str">
        <f>IFERROR(__xludf.DUMMYFUNCTION("GOOGLETRANSLATE(E50, ""en"", ""zh"")"),"失去两只眼睛的群体被视为死亡，如果敌方入侵，将被俘虏。")</f>
        <v>失去两只眼睛的群体被视为死亡，如果敌方入侵，将被俘虏。</v>
      </c>
      <c r="M50" s="22"/>
      <c r="N50" s="22"/>
      <c r="O50" s="22"/>
      <c r="P50" s="22"/>
      <c r="Q50" s="19"/>
      <c r="R50" s="19"/>
      <c r="S50" s="19"/>
      <c r="T50" s="19"/>
      <c r="U50" s="19"/>
      <c r="V50" s="19"/>
      <c r="W50" s="19"/>
      <c r="X50" s="19"/>
      <c r="Y50" s="19"/>
      <c r="Z50" s="19"/>
    </row>
    <row r="51">
      <c r="A51" s="44">
        <v>50.0</v>
      </c>
      <c r="B51" s="24" t="s">
        <v>1926</v>
      </c>
      <c r="C51" s="24" t="s">
        <v>1927</v>
      </c>
      <c r="D51" s="24" t="s">
        <v>1928</v>
      </c>
      <c r="E51" s="24" t="s">
        <v>1929</v>
      </c>
      <c r="F51" s="21"/>
      <c r="G51" s="21"/>
      <c r="H51" s="25"/>
      <c r="I51" s="24" t="str">
        <f>IFERROR(__xludf.DUMMYFUNCTION("GOOGLETRANSLATE(B51, ""en"", ""zh"")"),"玩家A放置的棋子吃掉了玩家B的棋子。接下来会发生什么？")</f>
        <v>玩家A放置的棋子吃掉了玩家B的棋子。接下来会发生什么？</v>
      </c>
      <c r="J51" s="24" t="str">
        <f>IFERROR(__xludf.DUMMYFUNCTION("GOOGLETRANSLATE(C51, ""en"", ""zh"")"),"A) 玩家A得1分，B) 玩家B必须立即吃回，C) 玩家A将玩家B的棋子移出棋盘，D) 游戏结束")</f>
        <v>A) 玩家A得1分，B) 玩家B必须立即吃回，C) 玩家A将玩家B的棋子移出棋盘，D) 游戏结束</v>
      </c>
      <c r="K51" s="24" t="str">
        <f>IFERROR(__xludf.DUMMYFUNCTION("GOOGLETRANSLATE(D51, ""en"", ""zh"")"),"C) 玩家A将玩家B的棋子从棋盘上移除。")</f>
        <v>C) 玩家A将玩家B的棋子从棋盘上移除。</v>
      </c>
      <c r="L51" s="24" t="str">
        <f>IFERROR(__xludf.DUMMYFUNCTION("GOOGLETRANSLATE(E51, ""en"", ""zh"")"),"被俘获的棋子从棋盘上移除，玩家 A 获得一个俘虏作为其得分。")</f>
        <v>被俘获的棋子从棋盘上移除，玩家 A 获得一个俘虏作为其得分。</v>
      </c>
      <c r="M51" s="22"/>
      <c r="N51" s="22"/>
      <c r="O51" s="22"/>
      <c r="P51" s="22"/>
      <c r="Q51" s="19"/>
      <c r="R51" s="19"/>
      <c r="S51" s="19"/>
      <c r="T51" s="19"/>
      <c r="U51" s="19"/>
      <c r="V51" s="19"/>
      <c r="W51" s="19"/>
      <c r="X51" s="19"/>
      <c r="Y51" s="19"/>
      <c r="Z51" s="19"/>
    </row>
    <row r="52">
      <c r="A52" s="44">
        <v>51.0</v>
      </c>
      <c r="B52" s="24" t="s">
        <v>1930</v>
      </c>
      <c r="C52" s="24" t="s">
        <v>1931</v>
      </c>
      <c r="D52" s="24" t="s">
        <v>1932</v>
      </c>
      <c r="E52" s="24" t="s">
        <v>1933</v>
      </c>
      <c r="F52" s="21"/>
      <c r="G52" s="21"/>
      <c r="H52" s="25"/>
      <c r="I52" s="24" t="str">
        <f>IFERROR(__xludf.DUMMYFUNCTION("GOOGLETRANSLATE(B52, ""en"", ""zh"")"),"玩家A正在攻击玩家B的队伍，但玩家B成功制造了一只眼睛。玩家A必须怎么做才能阻止队伍存活？")</f>
        <v>玩家A正在攻击玩家B的队伍，但玩家B成功制造了一只眼睛。玩家A必须怎么做才能阻止队伍存活？</v>
      </c>
      <c r="J52" s="24" t="str">
        <f>IFERROR(__xludf.DUMMYFUNCTION("GOOGLETRANSLATE(C52, ""en"", ""zh"")"),"A) 创建第二个眼睛，B) 包围该组，C) 吃掉玩家 B 的棋子，D) 创建 Ko")</f>
        <v>A) 创建第二个眼睛，B) 包围该组，C) 吃掉玩家 B 的棋子，D) 创建 Ko</v>
      </c>
      <c r="K52" s="24" t="str">
        <f>IFERROR(__xludf.DUMMYFUNCTION("GOOGLETRANSLATE(D52, ""en"", ""zh"")"),"B) 包围该组玩家，C) 吃掉玩家 B 的棋子。")</f>
        <v>B) 包围该组玩家，C) 吃掉玩家 B 的棋子。</v>
      </c>
      <c r="L52" s="24" t="str">
        <f>IFERROR(__xludf.DUMMYFUNCTION("GOOGLETRANSLATE(E52, ""en"", ""zh"")"),"玩家 A 必须完全包围该群体，或者阻止第二个眼睛的出现才能捕获该群体。")</f>
        <v>玩家 A 必须完全包围该群体，或者阻止第二个眼睛的出现才能捕获该群体。</v>
      </c>
      <c r="M52" s="22"/>
      <c r="N52" s="22"/>
      <c r="O52" s="22"/>
      <c r="P52" s="22"/>
      <c r="Q52" s="19"/>
      <c r="R52" s="19"/>
      <c r="S52" s="19"/>
      <c r="T52" s="19"/>
      <c r="U52" s="19"/>
      <c r="V52" s="19"/>
      <c r="W52" s="19"/>
      <c r="X52" s="19"/>
      <c r="Y52" s="19"/>
      <c r="Z52" s="19"/>
    </row>
    <row r="53">
      <c r="A53" s="44">
        <v>52.0</v>
      </c>
      <c r="B53" s="24" t="s">
        <v>1934</v>
      </c>
      <c r="C53" s="24" t="s">
        <v>1935</v>
      </c>
      <c r="D53" s="24" t="s">
        <v>1936</v>
      </c>
      <c r="E53" s="24" t="s">
        <v>1937</v>
      </c>
      <c r="F53" s="21"/>
      <c r="G53" s="21"/>
      <c r="H53" s="25"/>
      <c r="I53" s="24" t="str">
        <f>IFERROR(__xludf.DUMMYFUNCTION("GOOGLETRANSLATE(B53, ""en"", ""zh"")"),"玩家A包围了玩家B的队伍，但玩家B设法在队伍中制造了两只眼睛。玩家B的队伍目前处于什么状态？")</f>
        <v>玩家A包围了玩家B的队伍，但玩家B设法在队伍中制造了两只眼睛。玩家B的队伍目前处于什么状态？</v>
      </c>
      <c r="J53" s="24" t="str">
        <f>IFERROR(__xludf.DUMMYFUNCTION("GOOGLETRANSLATE(C53, ""en"", ""zh"")"),"A) 该群体存活，B) 该群体已死亡，C) 玩家 A 仍可俘获该群体，D) 玩家 A 赢得游戏")</f>
        <v>A) 该群体存活，B) 该群体已死亡，C) 玩家 A 仍可俘获该群体，D) 玩家 A 赢得游戏</v>
      </c>
      <c r="K53" s="24" t="str">
        <f>IFERROR(__xludf.DUMMYFUNCTION("GOOGLETRANSLATE(D53, ""en"", ""zh"")"),"A) 该组织仍然存活")</f>
        <v>A) 该组织仍然存活</v>
      </c>
      <c r="L53" s="24" t="str">
        <f>IFERROR(__xludf.DUMMYFUNCTION("GOOGLETRANSLATE(E53, ""en"", ""zh"")"),"拥有两只眼睛的群体被认为是活着的，不能被捕获。")</f>
        <v>拥有两只眼睛的群体被认为是活着的，不能被捕获。</v>
      </c>
      <c r="M53" s="22"/>
      <c r="N53" s="22"/>
      <c r="O53" s="22"/>
      <c r="P53" s="22"/>
      <c r="Q53" s="19"/>
      <c r="R53" s="19"/>
      <c r="S53" s="19"/>
      <c r="T53" s="19"/>
      <c r="U53" s="19"/>
      <c r="V53" s="19"/>
      <c r="W53" s="19"/>
      <c r="X53" s="19"/>
      <c r="Y53" s="19"/>
      <c r="Z53" s="19"/>
    </row>
    <row r="54">
      <c r="A54" s="44">
        <v>53.0</v>
      </c>
      <c r="B54" s="24" t="s">
        <v>1938</v>
      </c>
      <c r="C54" s="24" t="s">
        <v>1939</v>
      </c>
      <c r="D54" s="24" t="s">
        <v>1940</v>
      </c>
      <c r="E54" s="24" t="s">
        <v>1941</v>
      </c>
      <c r="F54" s="21"/>
      <c r="G54" s="21"/>
      <c r="H54" s="25"/>
      <c r="I54" s="24" t="str">
        <f>IFERROR(__xludf.DUMMYFUNCTION("GOOGLETRANSLATE(B54, ""en"", ""zh"")"),"玩家A和玩家B在一个9x9的棋盘上对弈。玩家A将一颗棋子放在棋盘中央。这一步棋的战略优势是什么？")</f>
        <v>玩家A和玩家B在一个9x9的棋盘上对弈。玩家A将一颗棋子放在棋盘中央。这一步棋的战略优势是什么？</v>
      </c>
      <c r="J54" s="24" t="str">
        <f>IFERROR(__xludf.DUMMYFUNCTION("GOOGLETRANSLATE(C54, ""en"", ""zh"")"),"A) 它有助于控制棋盘中心，B) 这是一步进攻性棋步，C) 它限制了B方的行动，D) 这是一步防守性棋步")</f>
        <v>A) 它有助于控制棋盘中心，B) 这是一步进攻性棋步，C) 它限制了B方的行动，D) 这是一步防守性棋步</v>
      </c>
      <c r="K54" s="24" t="str">
        <f>IFERROR(__xludf.DUMMYFUNCTION("GOOGLETRANSLATE(D54, ""en"", ""zh"")"),"A) 它有助于控制棋盘的中心。")</f>
        <v>A) 它有助于控制棋盘的中心。</v>
      </c>
      <c r="L54" s="24" t="str">
        <f>IFERROR(__xludf.DUMMYFUNCTION("GOOGLETRANSLATE(E54, ""en"", ""zh"")"),"在围棋中，控制中心可以让棋手在棋盘上拥有更大的灵活性和影响力。")</f>
        <v>在围棋中，控制中心可以让棋手在棋盘上拥有更大的灵活性和影响力。</v>
      </c>
      <c r="M54" s="22"/>
      <c r="N54" s="22"/>
      <c r="O54" s="22"/>
      <c r="P54" s="22"/>
      <c r="Q54" s="19"/>
      <c r="R54" s="19"/>
      <c r="S54" s="19"/>
      <c r="T54" s="19"/>
      <c r="U54" s="19"/>
      <c r="V54" s="19"/>
      <c r="W54" s="19"/>
      <c r="X54" s="19"/>
      <c r="Y54" s="19"/>
      <c r="Z54" s="19"/>
    </row>
    <row r="55">
      <c r="A55" s="44">
        <v>54.0</v>
      </c>
      <c r="B55" s="24" t="s">
        <v>1942</v>
      </c>
      <c r="C55" s="24" t="s">
        <v>1943</v>
      </c>
      <c r="D55" s="24" t="s">
        <v>1944</v>
      </c>
      <c r="E55" s="24" t="s">
        <v>1945</v>
      </c>
      <c r="F55" s="21"/>
      <c r="G55" s="21"/>
      <c r="H55" s="25"/>
      <c r="I55" s="24" t="str">
        <f>IFERROR(__xludf.DUMMYFUNCTION("GOOGLETRANSLATE(B55, ""en"", ""zh"")"),"玩家A包围了玩家B的一组棋子，但没有吃掉它们。玩家A接下来必须做什么才能吃掉玩家B的这组棋子？")</f>
        <v>玩家A包围了玩家B的一组棋子，但没有吃掉它们。玩家A接下来必须做什么才能吃掉玩家B的这组棋子？</v>
      </c>
      <c r="J55" s="24" t="str">
        <f>IFERROR(__xludf.DUMMYFUNCTION("GOOGLETRANSLATE(C55, ""en"", ""zh"")"),"A) 为己方阵营创造两个“眼睛”，B) 完全包围该阵营，C) 逃往棋盘的另一部分，D) 攻击玩家 B 的人数更多的阵营")</f>
        <v>A) 为己方阵营创造两个“眼睛”，B) 完全包围该阵营，C) 逃往棋盘的另一部分，D) 攻击玩家 B 的人数更多的阵营</v>
      </c>
      <c r="K55" s="24" t="str">
        <f>IFERROR(__xludf.DUMMYFUNCTION("GOOGLETRANSLATE(D55, ""en"", ""zh"")"),"B) 完全包围该群体")</f>
        <v>B) 完全包围该群体</v>
      </c>
      <c r="L55" s="24" t="str">
        <f>IFERROR(__xludf.DUMMYFUNCTION("GOOGLETRANSLATE(E55, ""en"", ""zh"")"),"要抓住玩家 B 的队伍，玩家 A 必须完全包围该队伍，切断任何可能的逃跑路线。")</f>
        <v>要抓住玩家 B 的队伍，玩家 A 必须完全包围该队伍，切断任何可能的逃跑路线。</v>
      </c>
      <c r="M55" s="22"/>
      <c r="N55" s="22"/>
      <c r="O55" s="22"/>
      <c r="P55" s="22"/>
      <c r="Q55" s="19"/>
      <c r="R55" s="19"/>
      <c r="S55" s="19"/>
      <c r="T55" s="19"/>
      <c r="U55" s="19"/>
      <c r="V55" s="19"/>
      <c r="W55" s="19"/>
      <c r="X55" s="19"/>
      <c r="Y55" s="19"/>
      <c r="Z55" s="19"/>
    </row>
    <row r="56">
      <c r="A56" s="44">
        <v>55.0</v>
      </c>
      <c r="B56" s="40" t="s">
        <v>1946</v>
      </c>
      <c r="C56" s="40" t="s">
        <v>1947</v>
      </c>
      <c r="D56" s="24" t="s">
        <v>1948</v>
      </c>
      <c r="E56" s="24" t="s">
        <v>1949</v>
      </c>
      <c r="F56" s="21"/>
      <c r="G56" s="21"/>
      <c r="H56" s="25"/>
      <c r="I56" s="24" t="str">
        <f>IFERROR(__xludf.DUMMYFUNCTION("GOOGLETRANSLATE(B56, ""en"", ""zh"")"),"玩家A放置的棋子吃掉了玩家B的棋子。玩家B的棋子会发生什么变化？")</f>
        <v>玩家A放置的棋子吃掉了玩家B的棋子。玩家B的棋子会发生什么变化？</v>
      </c>
      <c r="J56" s="24" t="str">
        <f>IFERROR(__xludf.DUMMYFUNCTION("GOOGLETRANSLATE(C56, ""en"", ""zh"")"),"A) 玩家 B 将所有棋子移出棋盘；B) 玩家 A 移走玩家 B 的棋子；C) 玩家 A 获得一个俘虏；D) 玩家 A 赢得游戏")</f>
        <v>A) 玩家 B 将所有棋子移出棋盘；B) 玩家 A 移走玩家 B 的棋子；C) 玩家 A 获得一个俘虏；D) 玩家 A 赢得游戏</v>
      </c>
      <c r="K56" s="24" t="str">
        <f>IFERROR(__xludf.DUMMYFUNCTION("GOOGLETRANSLATE(D56, ""en"", ""zh"")"),"B) 玩家 A 移除玩家 B 的棋子，C) 玩家 A 获得一个俘虏")</f>
        <v>B) 玩家 A 移除玩家 B 的棋子，C) 玩家 A 获得一个俘虏</v>
      </c>
      <c r="L56" s="24" t="str">
        <f>IFERROR(__xludf.DUMMYFUNCTION("GOOGLETRANSLATE(E56, ""en"", ""zh"")"),"被俘获的棋子从棋盘上移除，玩家 A 将其作为俘虏获得。")</f>
        <v>被俘获的棋子从棋盘上移除，玩家 A 将其作为俘虏获得。</v>
      </c>
      <c r="M56" s="39"/>
      <c r="N56" s="22"/>
      <c r="O56" s="22"/>
      <c r="P56" s="22"/>
      <c r="Q56" s="19"/>
      <c r="R56" s="19"/>
      <c r="S56" s="19"/>
      <c r="T56" s="19"/>
      <c r="U56" s="19"/>
      <c r="V56" s="19"/>
      <c r="W56" s="19"/>
      <c r="X56" s="19"/>
      <c r="Y56" s="19"/>
      <c r="Z56" s="19"/>
    </row>
    <row r="57">
      <c r="A57" s="44">
        <v>56.0</v>
      </c>
      <c r="B57" s="24" t="s">
        <v>1950</v>
      </c>
      <c r="C57" s="24" t="s">
        <v>1951</v>
      </c>
      <c r="D57" s="24" t="s">
        <v>1952</v>
      </c>
      <c r="E57" s="24" t="s">
        <v>1953</v>
      </c>
      <c r="F57" s="21"/>
      <c r="G57" s="21"/>
      <c r="H57" s="25"/>
      <c r="I57" s="24" t="str">
        <f>IFERROR(__xludf.DUMMYFUNCTION("GOOGLETRANSLATE(B57, ""en"", ""zh"")"),"玩家A和玩家B在一个19x19的棋盘上进行游戏。玩家A在棋盘中央形成了一个较大的领地（moyo）。玩家B的最佳策略是什么？")</f>
        <v>玩家A和玩家B在一个19x19的棋盘上进行游戏。玩家A在棋盘中央形成了一个较大的领地（moyo）。玩家B的最佳策略是什么？</v>
      </c>
      <c r="J57" s="24" t="str">
        <f>IFERROR(__xludf.DUMMYFUNCTION("GOOGLETRANSLATE(C57, ""en"", ""zh"")"),"A) 攻击玩家 A 的 moyo，B) 扩张自己的 moyo，C) 入侵 moyo 以缩小玩家 A 的领土，D) 建造第二个 moyo")</f>
        <v>A) 攻击玩家 A 的 moyo，B) 扩张自己的 moyo，C) 入侵 moyo 以缩小玩家 A 的领土，D) 建造第二个 moyo</v>
      </c>
      <c r="K57" s="24" t="str">
        <f>IFERROR(__xludf.DUMMYFUNCTION("GOOGLETRANSLATE(D57, ""en"", ""zh"")"),"C) 入侵莫约，缩小玩家A的领土")</f>
        <v>C) 入侵莫约，缩小玩家A的领土</v>
      </c>
      <c r="L57" s="24" t="str">
        <f>IFERROR(__xludf.DUMMYFUNCTION("GOOGLETRANSLATE(E57, ""en"", ""zh"")"),"为了降低玩家 A 的影响力，玩家 B 应该入侵 moyo 并降低其潜在得分。")</f>
        <v>为了降低玩家 A 的影响力，玩家 B 应该入侵 moyo 并降低其潜在得分。</v>
      </c>
      <c r="M57" s="22"/>
      <c r="N57" s="22"/>
      <c r="O57" s="22"/>
      <c r="P57" s="22"/>
      <c r="Q57" s="19"/>
      <c r="R57" s="19"/>
      <c r="S57" s="19"/>
      <c r="T57" s="19"/>
      <c r="U57" s="19"/>
      <c r="V57" s="19"/>
      <c r="W57" s="19"/>
      <c r="X57" s="19"/>
      <c r="Y57" s="19"/>
      <c r="Z57" s="19"/>
    </row>
    <row r="58">
      <c r="A58" s="44">
        <v>57.0</v>
      </c>
      <c r="B58" s="24" t="s">
        <v>1954</v>
      </c>
      <c r="C58" s="24" t="s">
        <v>1955</v>
      </c>
      <c r="D58" s="24" t="s">
        <v>1852</v>
      </c>
      <c r="E58" s="24" t="s">
        <v>1956</v>
      </c>
      <c r="F58" s="21"/>
      <c r="G58" s="21"/>
      <c r="H58" s="25"/>
      <c r="I58" s="24" t="str">
        <f>IFERROR(__xludf.DUMMYFUNCTION("GOOGLETRANSLATE(B58, ""en"", ""zh"")"),"玩家A被玩家B包围，但他用石头围住了一群石头，并且只造出了一只眼睛。玩家A必须怎么做才能生存下去？")</f>
        <v>玩家A被玩家B包围，但他用石头围住了一群石头，并且只造出了一只眼睛。玩家A必须怎么做才能生存下去？</v>
      </c>
      <c r="J58" s="24" t="str">
        <f>IFERROR(__xludf.DUMMYFUNCTION("GOOGLETRANSLATE(C58, ""en"", ""zh"")"),"A) 创建第二只眼睛，B) 攻击玩家 B 的队伍，C) 逃离包围区域，D) 连接到另一支队伍")</f>
        <v>A) 创建第二只眼睛，B) 攻击玩家 B 的队伍，C) 逃离包围区域，D) 连接到另一支队伍</v>
      </c>
      <c r="K58" s="24" t="str">
        <f>IFERROR(__xludf.DUMMYFUNCTION("GOOGLETRANSLATE(D58, ""en"", ""zh"")"),"A）创造第二只眼睛")</f>
        <v>A）创造第二只眼睛</v>
      </c>
      <c r="L58" s="24" t="str">
        <f>IFERROR(__xludf.DUMMYFUNCTION("GOOGLETRANSLATE(E58, ""en"", ""zh"")"),"拥有两只眼睛的生物体是活着的，无法被捕获。玩家A必须创造出第二只眼睛才能生存。")</f>
        <v>拥有两只眼睛的生物体是活着的，无法被捕获。玩家A必须创造出第二只眼睛才能生存。</v>
      </c>
      <c r="M58" s="22"/>
      <c r="N58" s="22"/>
      <c r="O58" s="22"/>
      <c r="P58" s="22"/>
      <c r="Q58" s="19"/>
      <c r="R58" s="19"/>
      <c r="S58" s="19"/>
      <c r="T58" s="19"/>
      <c r="U58" s="19"/>
      <c r="V58" s="19"/>
      <c r="W58" s="19"/>
      <c r="X58" s="19"/>
      <c r="Y58" s="19"/>
      <c r="Z58" s="19"/>
    </row>
    <row r="59">
      <c r="A59" s="44">
        <v>58.0</v>
      </c>
      <c r="B59" s="24" t="s">
        <v>1957</v>
      </c>
      <c r="C59" s="24" t="s">
        <v>1958</v>
      </c>
      <c r="D59" s="24" t="s">
        <v>1774</v>
      </c>
      <c r="E59" s="24" t="s">
        <v>1959</v>
      </c>
      <c r="F59" s="21"/>
      <c r="G59" s="21"/>
      <c r="H59" s="25"/>
      <c r="I59" s="24" t="str">
        <f>IFERROR(__xludf.DUMMYFUNCTION("GOOGLETRANSLATE(B59, ""en"", ""zh"")"),"玩家A走了一步棋，迫使玩家B要么吃掉玩家A的棋子，要么损失一大块棋子。这种战术叫什么？")</f>
        <v>玩家A走了一步棋，迫使玩家B要么吃掉玩家A的棋子，要么损失一大块棋子。这种战术叫什么？</v>
      </c>
      <c r="J59" s="24" t="str">
        <f>IFERROR(__xludf.DUMMYFUNCTION("GOOGLETRANSLATE(C59, ""en"", ""zh"")"),"A) 手筋，B) 甲，C) 生死，D) 回弹")</f>
        <v>A) 手筋，B) 甲，C) 生死，D) 回弹</v>
      </c>
      <c r="K59" s="24" t="str">
        <f>IFERROR(__xludf.DUMMYFUNCTION("GOOGLETRANSLATE(D59, ""en"", ""zh"")"),"A）手筋")</f>
        <v>A）手筋</v>
      </c>
      <c r="L59" s="24" t="str">
        <f>IFERROR(__xludf.DUMMYFUNCTION("GOOGLETRANSLATE(E59, ""en"", ""zh"")"),"手筋是指一种巧妙而有效的招式，可以给对手施加压力，常常迫使对手陷入困境。")</f>
        <v>手筋是指一种巧妙而有效的招式，可以给对手施加压力，常常迫使对手陷入困境。</v>
      </c>
      <c r="M59" s="22"/>
      <c r="N59" s="21"/>
      <c r="O59" s="22"/>
      <c r="P59" s="22"/>
      <c r="Q59" s="19"/>
      <c r="R59" s="19"/>
      <c r="S59" s="19"/>
      <c r="T59" s="19"/>
      <c r="U59" s="19"/>
      <c r="V59" s="19"/>
      <c r="W59" s="19"/>
      <c r="X59" s="19"/>
      <c r="Y59" s="19"/>
      <c r="Z59" s="19"/>
    </row>
    <row r="60">
      <c r="A60" s="44">
        <v>59.0</v>
      </c>
      <c r="B60" s="24" t="s">
        <v>1960</v>
      </c>
      <c r="C60" s="24" t="s">
        <v>1961</v>
      </c>
      <c r="D60" s="24" t="s">
        <v>1962</v>
      </c>
      <c r="E60" s="24" t="s">
        <v>1963</v>
      </c>
      <c r="F60" s="21"/>
      <c r="G60" s="21"/>
      <c r="H60" s="25"/>
      <c r="I60" s="24" t="str">
        <f>IFERROR(__xludf.DUMMYFUNCTION("GOOGLETRANSLATE(B60, ""en"", ""zh"")"),"玩家A有一簇棋子，被玩家B的棋子包围。玩家A只有一只眼睛，但有失去这簇棋子的危险。玩家A的最佳走法是什么？")</f>
        <v>玩家A有一簇棋子，被玩家B的棋子包围。玩家A只有一只眼睛，但有失去这簇棋子的危险。玩家A的最佳走法是什么？</v>
      </c>
      <c r="J60" s="24" t="str">
        <f>IFERROR(__xludf.DUMMYFUNCTION("GOOGLETRANSLATE(C60, ""en"", ""zh"")"),"A) 创建第二个眼睛，B) 连接到另一个小组，C) 包围玩家 B 的小组，D) 逃离包围区域")</f>
        <v>A) 创建第二个眼睛，B) 连接到另一个小组，C) 包围玩家 B 的小组，D) 逃离包围区域</v>
      </c>
      <c r="K60" s="24" t="str">
        <f>IFERROR(__xludf.DUMMYFUNCTION("GOOGLETRANSLATE(D60, ""en"", ""zh"")"),"A) 创建第二只眼睛，B) 连接到另一个组")</f>
        <v>A) 创建第二只眼睛，B) 连接到另一个组</v>
      </c>
      <c r="L60" s="24" t="str">
        <f>IFERROR(__xludf.DUMMYFUNCTION("GOOGLETRANSLATE(E60, ""en"", ""zh"")"),"为了生存，玩家 A 必须要么创造第二个眼睛，要么与其他团体建立联系以巩固自己的地位。")</f>
        <v>为了生存，玩家 A 必须要么创造第二个眼睛，要么与其他团体建立联系以巩固自己的地位。</v>
      </c>
      <c r="M60" s="22"/>
      <c r="N60" s="22"/>
      <c r="O60" s="22"/>
      <c r="P60" s="22"/>
      <c r="Q60" s="19"/>
      <c r="R60" s="19"/>
      <c r="S60" s="19"/>
      <c r="T60" s="19"/>
      <c r="U60" s="19"/>
      <c r="V60" s="19"/>
      <c r="W60" s="19"/>
      <c r="X60" s="19"/>
      <c r="Y60" s="19"/>
      <c r="Z60" s="19"/>
    </row>
    <row r="61">
      <c r="A61" s="44">
        <v>60.0</v>
      </c>
      <c r="B61" s="24" t="s">
        <v>1964</v>
      </c>
      <c r="C61" s="24" t="s">
        <v>1965</v>
      </c>
      <c r="D61" s="24" t="s">
        <v>1966</v>
      </c>
      <c r="E61" s="24" t="s">
        <v>1967</v>
      </c>
      <c r="F61" s="21"/>
      <c r="G61" s="21"/>
      <c r="H61" s="25"/>
      <c r="I61" s="24" t="str">
        <f>IFERROR(__xludf.DUMMYFUNCTION("GOOGLETRANSLATE(B61, ""en"", ""zh"")"),"玩家A放置了一块石头，切断了玩家B连接两组石头之间的通道。玩家A试图做什么？")</f>
        <v>玩家A放置了一块石头，切断了玩家B连接两组石头之间的通道。玩家A试图做什么？</v>
      </c>
      <c r="J61" s="24" t="str">
        <f>IFERROR(__xludf.DUMMYFUNCTION("GOOGLETRANSLATE(C61, ""en"", ""zh"")"),"A) 俘获玩家 B 的一支部队，B) 扩大自身领地，C) 迫使玩家 B 采取防守策略，D) 制造一场围攻战")</f>
        <v>A) 俘获玩家 B 的一支部队，B) 扩大自身领地，C) 迫使玩家 B 采取防守策略，D) 制造一场围攻战</v>
      </c>
      <c r="K61" s="24" t="str">
        <f>IFERROR(__xludf.DUMMYFUNCTION("GOOGLETRANSLATE(D61, ""en"", ""zh"")"),"A) 占领玩家 B 的一组兵力，C) 迫使玩家 B 采取防守策略")</f>
        <v>A) 占领玩家 B 的一组兵力，C) 迫使玩家 B 采取防守策略</v>
      </c>
      <c r="L61" s="24" t="str">
        <f>IFERROR(__xludf.DUMMYFUNCTION("GOOGLETRANSLATE(E61, ""en"", ""zh"")"),"通过切断玩家 B 的连接，玩家 A 试图俘获玩家 B 的一个小组，并迫使他们进行防守。")</f>
        <v>通过切断玩家 B 的连接，玩家 A 试图俘获玩家 B 的一个小组，并迫使他们进行防守。</v>
      </c>
      <c r="M61" s="22"/>
      <c r="N61" s="22"/>
      <c r="O61" s="22"/>
      <c r="P61" s="22"/>
      <c r="Q61" s="19"/>
      <c r="R61" s="19"/>
      <c r="S61" s="19"/>
      <c r="T61" s="19"/>
      <c r="U61" s="19"/>
      <c r="V61" s="19"/>
      <c r="W61" s="19"/>
      <c r="X61" s="19"/>
      <c r="Y61" s="19"/>
      <c r="Z61" s="19"/>
    </row>
    <row r="62">
      <c r="A62" s="34">
        <v>61.0</v>
      </c>
      <c r="B62" s="5" t="s">
        <v>1968</v>
      </c>
      <c r="C62" s="5" t="s">
        <v>1969</v>
      </c>
      <c r="D62" s="5" t="s">
        <v>1970</v>
      </c>
      <c r="E62" s="5" t="s">
        <v>1971</v>
      </c>
      <c r="F62" s="2"/>
      <c r="G62" s="2"/>
      <c r="H62" s="25"/>
      <c r="I62" s="24" t="str">
        <f>IFERROR(__xludf.DUMMYFUNCTION("GOOGLETRANSLATE(B62, ""en"", ""zh"")"),"在 Go 语言中，如果一个组没有剩余的自由度会发生什么？")</f>
        <v>在 Go 语言中，如果一个组没有剩余的自由度会发生什么？</v>
      </c>
      <c r="J62" s="24" t="str">
        <f>IFERROR(__xludf.DUMMYFUNCTION("GOOGLETRANSLATE(C62, ""en"", ""zh"")"),"A) 该团体被俘虏，B) 该团体变成死石，C) 该团体复活，D) 该团体被送往敌方阵营")</f>
        <v>A) 该团体被俘虏，B) 该团体变成死石，C) 该团体复活，D) 该团体被送往敌方阵营</v>
      </c>
      <c r="K62" s="24" t="str">
        <f>IFERROR(__xludf.DUMMYFUNCTION("GOOGLETRANSLATE(D62, ""en"", ""zh"")"),"A) 该组织被俘虏")</f>
        <v>A) 该组织被俘虏</v>
      </c>
      <c r="L62" s="24" t="str">
        <f>IFERROR(__xludf.DUMMYFUNCTION("GOOGLETRANSLATE(E62, ""en"", ""zh"")"),"一个没有自由的团体将被俘虏并从棋盘上移除。")</f>
        <v>一个没有自由的团体将被俘虏并从棋盘上移除。</v>
      </c>
      <c r="M62" s="3"/>
      <c r="N62" s="3"/>
      <c r="O62" s="3"/>
      <c r="P62" s="3"/>
      <c r="Q62" s="19"/>
      <c r="R62" s="19"/>
      <c r="S62" s="19"/>
      <c r="T62" s="19"/>
      <c r="U62" s="19"/>
      <c r="V62" s="19"/>
      <c r="W62" s="19"/>
      <c r="X62" s="19"/>
      <c r="Y62" s="19"/>
      <c r="Z62" s="19"/>
    </row>
    <row r="63">
      <c r="A63" s="34">
        <v>62.0</v>
      </c>
      <c r="B63" s="5" t="s">
        <v>1972</v>
      </c>
      <c r="C63" s="5" t="s">
        <v>1973</v>
      </c>
      <c r="D63" s="5" t="s">
        <v>1974</v>
      </c>
      <c r="E63" s="5" t="s">
        <v>1975</v>
      </c>
      <c r="F63" s="2"/>
      <c r="G63" s="2"/>
      <c r="H63" s="25"/>
      <c r="I63" s="24" t="str">
        <f>IFERROR(__xludf.DUMMYFUNCTION("GOOGLETRANSLATE(B63, ""en"", ""zh"")"),"在围棋中，双方都无法走出有利棋步的情况称为？")</f>
        <v>在围棋中，双方都无法走出有利棋步的情况称为？</v>
      </c>
      <c r="J63" s="24" t="str">
        <f>IFERROR(__xludf.DUMMYFUNCTION("GOOGLETRANSLATE(C63, ""en"", ""zh"")"),"A) Ko，B) Seki，C) Fuseki，D) Gote")</f>
        <v>A) Ko，B) Seki，C) Fuseki，D) Gote</v>
      </c>
      <c r="K63" s="24" t="str">
        <f>IFERROR(__xludf.DUMMYFUNCTION("GOOGLETRANSLATE(D63, ""en"", ""zh"")"),"B）关")</f>
        <v>B）关</v>
      </c>
      <c r="L63" s="24" t="str">
        <f>IFERROR(__xludf.DUMMYFUNCTION("GOOGLETRANSLATE(E63, ""en"", ""zh"")"),"Seki 是一种僵局，石头们没有领地，各自生存。")</f>
        <v>Seki 是一种僵局，石头们没有领地，各自生存。</v>
      </c>
      <c r="M63" s="3"/>
      <c r="N63" s="3"/>
      <c r="O63" s="3"/>
      <c r="P63" s="3"/>
      <c r="Q63" s="19"/>
      <c r="R63" s="19"/>
      <c r="S63" s="19"/>
      <c r="T63" s="19"/>
      <c r="U63" s="19"/>
      <c r="V63" s="19"/>
      <c r="W63" s="19"/>
      <c r="X63" s="19"/>
      <c r="Y63" s="19"/>
      <c r="Z63" s="19"/>
    </row>
    <row r="64">
      <c r="A64" s="34">
        <v>63.0</v>
      </c>
      <c r="B64" s="5" t="s">
        <v>1976</v>
      </c>
      <c r="C64" s="5" t="s">
        <v>1977</v>
      </c>
      <c r="D64" s="5" t="s">
        <v>1978</v>
      </c>
      <c r="E64" s="5" t="s">
        <v>1971</v>
      </c>
      <c r="F64" s="2"/>
      <c r="G64" s="2"/>
      <c r="H64" s="25"/>
      <c r="I64" s="24" t="str">
        <f>IFERROR(__xludf.DUMMYFUNCTION("GOOGLETRANSLATE(B64, ""en"", ""zh"")"),"当一块石头或一个团体完全丧失了所有自由时，会发生什么？")</f>
        <v>当一块石头或一个团体完全丧失了所有自由时，会发生什么？</v>
      </c>
      <c r="J64" s="24" t="str">
        <f>IFERROR(__xludf.DUMMYFUNCTION("GOOGLETRANSLATE(C64, ""en"", ""zh"")"),"A) 它被移除，B) 它得一分，C) 它变为中立，D) 它获得一次自由")</f>
        <v>A) 它被移除，B) 它得一分，C) 它变为中立，D) 它获得一次自由</v>
      </c>
      <c r="K64" s="24" t="str">
        <f>IFERROR(__xludf.DUMMYFUNCTION("GOOGLETRANSLATE(D64, ""en"", ""zh"")"),"A) 它被移除")</f>
        <v>A) 它被移除</v>
      </c>
      <c r="L64" s="24" t="str">
        <f>IFERROR(__xludf.DUMMYFUNCTION("GOOGLETRANSLATE(E64, ""en"", ""zh"")"),"一个没有自由的团体将被俘虏并从棋盘上移除。")</f>
        <v>一个没有自由的团体将被俘虏并从棋盘上移除。</v>
      </c>
      <c r="M64" s="3"/>
      <c r="N64" s="3"/>
      <c r="O64" s="3"/>
      <c r="P64" s="3"/>
      <c r="Q64" s="19"/>
      <c r="R64" s="19"/>
      <c r="S64" s="19"/>
      <c r="T64" s="19"/>
      <c r="U64" s="19"/>
      <c r="V64" s="19"/>
      <c r="W64" s="19"/>
      <c r="X64" s="19"/>
      <c r="Y64" s="19"/>
      <c r="Z64" s="19"/>
    </row>
    <row r="65">
      <c r="A65" s="34">
        <v>64.0</v>
      </c>
      <c r="B65" s="5" t="s">
        <v>1979</v>
      </c>
      <c r="C65" s="5" t="s">
        <v>1980</v>
      </c>
      <c r="D65" s="5" t="s">
        <v>1936</v>
      </c>
      <c r="E65" s="5" t="s">
        <v>1981</v>
      </c>
      <c r="F65" s="2"/>
      <c r="G65" s="2"/>
      <c r="H65" s="25"/>
      <c r="I65" s="24" t="str">
        <f>IFERROR(__xludf.DUMMYFUNCTION("GOOGLETRANSLATE(B65, ""en"", ""zh"")"),"当一组石头形成两个独立的“眼睛”时会发生什么？")</f>
        <v>当一组石头形成两个独立的“眼睛”时会发生什么？</v>
      </c>
      <c r="J65" s="24" t="str">
        <f>IFERROR(__xludf.DUMMYFUNCTION("GOOGLETRANSLATE(C65, ""en"", ""zh"")"),"A) 该群体还活着，B) 该群体已经死亡，C) 该群体被俘虏，D) 该群体被移除。")</f>
        <v>A) 该群体还活着，B) 该群体已经死亡，C) 该群体被俘虏，D) 该群体被移除。</v>
      </c>
      <c r="K65" s="24" t="str">
        <f>IFERROR(__xludf.DUMMYFUNCTION("GOOGLETRANSLATE(D65, ""en"", ""zh"")"),"A) 该组织仍然存活")</f>
        <v>A) 该组织仍然存活</v>
      </c>
      <c r="L65" s="24" t="str">
        <f>IFERROR(__xludf.DUMMYFUNCTION("GOOGLETRANSLATE(E65, ""en"", ""zh"")"),"拥有两只眼睛的群体无法被捕获，并被视为活着。")</f>
        <v>拥有两只眼睛的群体无法被捕获，并被视为活着。</v>
      </c>
      <c r="M65" s="3"/>
      <c r="N65" s="3"/>
      <c r="O65" s="3"/>
      <c r="P65" s="3"/>
      <c r="Q65" s="19"/>
      <c r="R65" s="19"/>
      <c r="S65" s="19"/>
      <c r="T65" s="19"/>
      <c r="U65" s="19"/>
      <c r="V65" s="19"/>
      <c r="W65" s="19"/>
      <c r="X65" s="19"/>
      <c r="Y65" s="19"/>
      <c r="Z65" s="19"/>
    </row>
    <row r="66">
      <c r="A66" s="34">
        <v>65.0</v>
      </c>
      <c r="B66" s="24" t="s">
        <v>1982</v>
      </c>
      <c r="C66" s="24" t="s">
        <v>1983</v>
      </c>
      <c r="D66" s="24" t="s">
        <v>1984</v>
      </c>
      <c r="E66" s="24" t="s">
        <v>1985</v>
      </c>
      <c r="F66" s="21"/>
      <c r="G66" s="21"/>
      <c r="H66" s="25"/>
      <c r="I66" s="24" t="str">
        <f>IFERROR(__xludf.DUMMYFUNCTION("GOOGLETRANSLATE(B66, ""en"", ""zh"")"),"在围棋中，迫使对手回应，并通常导致吃子的一种走法叫什么？")</f>
        <v>在围棋中，迫使对手回应，并通常导致吃子的一种走法叫什么？</v>
      </c>
      <c r="J66" s="24" t="str">
        <f>IFERROR(__xludf.DUMMYFUNCTION("GOOGLETRANSLATE(C66, ""en"", ""zh"")"),"A）Atari，B）Ko，C）Seki，D）Sente")</f>
        <v>A）Atari，B）Ko，C）Seki，D）Sente</v>
      </c>
      <c r="K66" s="24" t="str">
        <f>IFERROR(__xludf.DUMMYFUNCTION("GOOGLETRANSLATE(D66, ""en"", ""zh"")"),"A) 雅达利")</f>
        <v>A) 雅达利</v>
      </c>
      <c r="L66" s="24" t="str">
        <f>IFERROR(__xludf.DUMMYFUNCTION("GOOGLETRANSLATE(E66, ""en"", ""zh"")"),"“Atari”指的是一种使对方棋子处于立即被吃掉危险境地的走法。")</f>
        <v>“Atari”指的是一种使对方棋子处于立即被吃掉危险境地的走法。</v>
      </c>
      <c r="M66" s="22"/>
      <c r="N66" s="48"/>
      <c r="O66" s="22"/>
      <c r="P66" s="48"/>
      <c r="Q66" s="19"/>
      <c r="R66" s="19"/>
      <c r="S66" s="19"/>
      <c r="T66" s="19"/>
      <c r="U66" s="19"/>
      <c r="V66" s="19"/>
      <c r="W66" s="19"/>
      <c r="X66" s="19"/>
      <c r="Y66" s="19"/>
      <c r="Z66" s="19"/>
    </row>
    <row r="67">
      <c r="A67" s="36">
        <v>66.0</v>
      </c>
      <c r="B67" s="12" t="s">
        <v>1986</v>
      </c>
      <c r="C67" s="12" t="s">
        <v>1987</v>
      </c>
      <c r="D67" s="12" t="s">
        <v>1988</v>
      </c>
      <c r="E67" s="27"/>
      <c r="F67" s="21"/>
      <c r="G67" s="21"/>
      <c r="H67" s="21"/>
      <c r="I67" s="24" t="str">
        <f>IFERROR(__xludf.DUMMYFUNCTION("GOOGLETRANSLATE(B67, ""en"", ""zh"")"),"你发现对手正试图包围你的一大堆棋子。你应该怎么做？")</f>
        <v>你发现对手正试图包围你的一大堆棋子。你应该怎么做？</v>
      </c>
      <c r="J67" s="24" t="str">
        <f>IFERROR(__xludf.DUMMYFUNCTION("GOOGLETRANSLATE(C67, ""en"", ""zh"")"),"A) 加强团队 B) 忽略 C) 随机牺牲 D) 转移到其他地方")</f>
        <v>A) 加强团队 B) 忽略 C) 随机牺牲 D) 转移到其他地方</v>
      </c>
      <c r="K67" s="24" t="str">
        <f>IFERROR(__xludf.DUMMYFUNCTION("GOOGLETRANSLATE(D67, ""en"", ""zh"")"),"A）加强小组建设")</f>
        <v>A）加强小组建设</v>
      </c>
      <c r="L67" s="24" t="str">
        <f>IFERROR(__xludf.DUMMYFUNCTION("GOOGLETRANSLATE(E67, ""en"", ""zh"")"),"#VALUE!")</f>
        <v>#VALUE!</v>
      </c>
      <c r="M67" s="21"/>
      <c r="N67" s="21"/>
      <c r="O67" s="21"/>
      <c r="P67" s="21"/>
      <c r="Q67" s="19"/>
      <c r="R67" s="19"/>
      <c r="S67" s="19"/>
      <c r="T67" s="19"/>
      <c r="U67" s="19"/>
      <c r="V67" s="19"/>
      <c r="W67" s="19"/>
      <c r="X67" s="19"/>
      <c r="Y67" s="19"/>
      <c r="Z67" s="19"/>
    </row>
    <row r="68">
      <c r="A68" s="36">
        <v>67.0</v>
      </c>
      <c r="B68" s="12" t="s">
        <v>1989</v>
      </c>
      <c r="C68" s="12" t="s">
        <v>1990</v>
      </c>
      <c r="D68" s="12" t="s">
        <v>1991</v>
      </c>
      <c r="E68" s="27"/>
      <c r="F68" s="21"/>
      <c r="G68" s="21"/>
      <c r="H68" s="21"/>
      <c r="I68" s="24" t="str">
        <f>IFERROR(__xludf.DUMMYFUNCTION("GOOGLETRANSLATE(B68, ""en"", ""zh"")"),"你的对手走了一步威胁多个领土的棋。你该如何应对？")</f>
        <v>你的对手走了一步威胁多个领土的棋。你该如何应对？</v>
      </c>
      <c r="J68" s="24" t="str">
        <f>IFERROR(__xludf.DUMMYFUNCTION("GOOGLETRANSLATE(C68, ""en"", ""zh"")"),"A) 保护弱点 B) 忽略 C) 随机出牌 D) 牺牲石子")</f>
        <v>A) 保护弱点 B) 忽略 C) 随机出牌 D) 牺牲石子</v>
      </c>
      <c r="K68" s="24" t="str">
        <f>IFERROR(__xludf.DUMMYFUNCTION("GOOGLETRANSLATE(D68, ""en"", ""zh"")"),"A) 保护脆弱点")</f>
        <v>A) 保护脆弱点</v>
      </c>
      <c r="L68" s="24" t="str">
        <f>IFERROR(__xludf.DUMMYFUNCTION("GOOGLETRANSLATE(E68, ""en"", ""zh"")"),"#VALUE!")</f>
        <v>#VALUE!</v>
      </c>
      <c r="M68" s="21"/>
      <c r="N68" s="21"/>
      <c r="O68" s="21"/>
      <c r="P68" s="21"/>
      <c r="Q68" s="19"/>
      <c r="R68" s="19"/>
      <c r="S68" s="19"/>
      <c r="T68" s="19"/>
      <c r="U68" s="19"/>
      <c r="V68" s="19"/>
      <c r="W68" s="19"/>
      <c r="X68" s="19"/>
      <c r="Y68" s="19"/>
      <c r="Z68" s="19"/>
    </row>
    <row r="69">
      <c r="A69" s="36">
        <v>68.0</v>
      </c>
      <c r="B69" s="12" t="s">
        <v>1992</v>
      </c>
      <c r="C69" s="12" t="s">
        <v>1993</v>
      </c>
      <c r="D69" s="12" t="s">
        <v>1994</v>
      </c>
      <c r="E69" s="27"/>
      <c r="F69" s="21"/>
      <c r="G69" s="21"/>
      <c r="H69" s="21"/>
      <c r="I69" s="24" t="str">
        <f>IFERROR(__xludf.DUMMYFUNCTION("GOOGLETRANSLATE(B69, ""en"", ""zh"")"),"你现在有机会抓住一块石头。你的最佳行动是什么？")</f>
        <v>你现在有机会抓住一块石头。你的最佳行动是什么？</v>
      </c>
      <c r="J69" s="24" t="str">
        <f>IFERROR(__xludf.DUMMYFUNCTION("GOOGLETRANSLATE(C69, ""en"", ""zh"")"),"A) 立即捕获 B) 等待 C) 忽略 D) 再献祭一块石头")</f>
        <v>A) 立即捕获 B) 等待 C) 忽略 D) 再献祭一块石头</v>
      </c>
      <c r="K69" s="24" t="str">
        <f>IFERROR(__xludf.DUMMYFUNCTION("GOOGLETRANSLATE(D69, ""en"", ""zh"")"),"A) 立即捕获")</f>
        <v>A) 立即捕获</v>
      </c>
      <c r="L69" s="24" t="str">
        <f>IFERROR(__xludf.DUMMYFUNCTION("GOOGLETRANSLATE(E69, ""en"", ""zh"")"),"#VALUE!")</f>
        <v>#VALUE!</v>
      </c>
      <c r="M69" s="21"/>
      <c r="N69" s="21"/>
      <c r="O69" s="21"/>
      <c r="P69" s="21"/>
      <c r="Q69" s="19"/>
      <c r="R69" s="19"/>
      <c r="S69" s="19"/>
      <c r="T69" s="19"/>
      <c r="U69" s="19"/>
      <c r="V69" s="19"/>
      <c r="W69" s="19"/>
      <c r="X69" s="19"/>
      <c r="Y69" s="19"/>
      <c r="Z69" s="19"/>
    </row>
    <row r="70">
      <c r="A70" s="36">
        <v>69.0</v>
      </c>
      <c r="B70" s="12" t="s">
        <v>1995</v>
      </c>
      <c r="C70" s="12" t="s">
        <v>1996</v>
      </c>
      <c r="D70" s="12" t="s">
        <v>1997</v>
      </c>
      <c r="E70" s="27"/>
      <c r="F70" s="21"/>
      <c r="G70" s="21"/>
      <c r="H70" s="21"/>
      <c r="I70" s="24" t="str">
        <f>IFERROR(__xludf.DUMMYFUNCTION("GOOGLETRANSLATE(B70, ""en"", ""zh"")"),"你的对手正集中火力攻击一个角落。你应该采取什么策略？")</f>
        <v>你的对手正集中火力攻击一个角落。你应该采取什么策略？</v>
      </c>
      <c r="J70" s="24" t="str">
        <f>IFERROR(__xludf.DUMMYFUNCTION("GOOGLETRANSLATE(C70, ""en"", ""zh"")"),"A) 在另一个角落扩张 B) 忽略 C) 随机下注 D) 牺牲石子")</f>
        <v>A) 在另一个角落扩张 B) 忽略 C) 随机下注 D) 牺牲石子</v>
      </c>
      <c r="K70" s="24" t="str">
        <f>IFERROR(__xludf.DUMMYFUNCTION("GOOGLETRANSLATE(D70, ""en"", ""zh"")"),"A) 在另一个角落扩展")</f>
        <v>A) 在另一个角落扩展</v>
      </c>
      <c r="L70" s="24" t="str">
        <f>IFERROR(__xludf.DUMMYFUNCTION("GOOGLETRANSLATE(E70, ""en"", ""zh"")"),"#VALUE!")</f>
        <v>#VALUE!</v>
      </c>
      <c r="M70" s="21"/>
      <c r="N70" s="21"/>
      <c r="O70" s="21"/>
      <c r="P70" s="21"/>
      <c r="Q70" s="19"/>
      <c r="R70" s="19"/>
      <c r="S70" s="19"/>
      <c r="T70" s="19"/>
      <c r="U70" s="19"/>
      <c r="V70" s="19"/>
      <c r="W70" s="19"/>
      <c r="X70" s="19"/>
      <c r="Y70" s="19"/>
      <c r="Z70" s="19"/>
    </row>
    <row r="71">
      <c r="A71" s="36">
        <v>70.0</v>
      </c>
      <c r="B71" s="12" t="s">
        <v>1998</v>
      </c>
      <c r="C71" s="12" t="s">
        <v>1999</v>
      </c>
      <c r="D71" s="12" t="s">
        <v>2000</v>
      </c>
      <c r="E71" s="27"/>
      <c r="F71" s="21"/>
      <c r="G71" s="21"/>
      <c r="H71" s="21"/>
      <c r="I71" s="24" t="str">
        <f>IFERROR(__xludf.DUMMYFUNCTION("GOOGLETRANSLATE(B71, ""en"", ""zh"")"),"游戏进行到一半，你的棋子突然断开了连接。你该如何继续？")</f>
        <v>游戏进行到一半，你的棋子突然断开了连接。你该如何继续？</v>
      </c>
      <c r="J71" s="24" t="str">
        <f>IFERROR(__xludf.DUMMYFUNCTION("GOOGLETRANSLATE(C71, ""en"", ""zh"")"),"A) 连接石子 B) 忽略 C) 牺牲 D) 随机下棋")</f>
        <v>A) 连接石子 B) 忽略 C) 牺牲 D) 随机下棋</v>
      </c>
      <c r="K71" s="24" t="str">
        <f>IFERROR(__xludf.DUMMYFUNCTION("GOOGLETRANSLATE(D71, ""en"", ""zh"")"),"A) 连接石头")</f>
        <v>A) 连接石头</v>
      </c>
      <c r="L71" s="24" t="str">
        <f>IFERROR(__xludf.DUMMYFUNCTION("GOOGLETRANSLATE(E71, ""en"", ""zh"")"),"#VALUE!")</f>
        <v>#VALUE!</v>
      </c>
      <c r="M71" s="21"/>
      <c r="N71" s="21"/>
      <c r="O71" s="21"/>
      <c r="P71" s="21"/>
      <c r="Q71" s="19"/>
      <c r="R71" s="19"/>
      <c r="S71" s="19"/>
      <c r="T71" s="19"/>
      <c r="U71" s="19"/>
      <c r="V71" s="19"/>
      <c r="W71" s="19"/>
      <c r="X71" s="19"/>
      <c r="Y71" s="19"/>
      <c r="Z71" s="19"/>
    </row>
    <row r="72">
      <c r="A72" s="36">
        <v>71.0</v>
      </c>
      <c r="B72" s="12" t="s">
        <v>2001</v>
      </c>
      <c r="C72" s="12" t="s">
        <v>2002</v>
      </c>
      <c r="D72" s="12" t="s">
        <v>2003</v>
      </c>
      <c r="E72" s="27"/>
      <c r="F72" s="21"/>
      <c r="G72" s="21"/>
      <c r="H72" s="21"/>
      <c r="I72" s="24" t="str">
        <f>IFERROR(__xludf.DUMMYFUNCTION("GOOGLETRANSLATE(B72, ""en"", ""zh"")"),"你注意到存在“梯子”威胁。你会如何应对？")</f>
        <v>你注意到存在“梯子”威胁。你会如何应对？</v>
      </c>
      <c r="J72" s="24" t="str">
        <f>IFERROR(__xludf.DUMMYFUNCTION("GOOGLETRANSLATE(C72, ""en"", ""zh"")"),"A) 阻挡梯子 B) 无视 C) 牺牲石头 D) 随机游戏")</f>
        <v>A) 阻挡梯子 B) 无视 C) 牺牲石头 D) 随机游戏</v>
      </c>
      <c r="K72" s="24" t="str">
        <f>IFERROR(__xludf.DUMMYFUNCTION("GOOGLETRANSLATE(D72, ""en"", ""zh"")"),"A) 挡住梯子")</f>
        <v>A) 挡住梯子</v>
      </c>
      <c r="L72" s="24" t="str">
        <f>IFERROR(__xludf.DUMMYFUNCTION("GOOGLETRANSLATE(E72, ""en"", ""zh"")"),"#VALUE!")</f>
        <v>#VALUE!</v>
      </c>
      <c r="M72" s="21"/>
      <c r="N72" s="21"/>
      <c r="O72" s="21"/>
      <c r="P72" s="21"/>
      <c r="Q72" s="19"/>
      <c r="R72" s="19"/>
      <c r="S72" s="19"/>
      <c r="T72" s="19"/>
      <c r="U72" s="19"/>
      <c r="V72" s="19"/>
      <c r="W72" s="19"/>
      <c r="X72" s="19"/>
      <c r="Y72" s="19"/>
      <c r="Z72" s="19"/>
    </row>
    <row r="73">
      <c r="A73" s="36">
        <v>72.0</v>
      </c>
      <c r="B73" s="12" t="s">
        <v>2004</v>
      </c>
      <c r="C73" s="12" t="s">
        <v>2005</v>
      </c>
      <c r="D73" s="12" t="s">
        <v>2006</v>
      </c>
      <c r="E73" s="27"/>
      <c r="F73" s="21"/>
      <c r="G73" s="21"/>
      <c r="H73" s="21"/>
      <c r="I73" s="24" t="str">
        <f>IFERROR(__xludf.DUMMYFUNCTION("GOOGLETRANSLATE(B73, ""en"", ""zh"")"),"对手试图构建一个moyo（框架）。你如何应对？")</f>
        <v>对手试图构建一个moyo（框架）。你如何应对？</v>
      </c>
      <c r="J73" s="24" t="str">
        <f>IFERROR(__xludf.DUMMYFUNCTION("GOOGLETRANSLATE(C73, ""en"", ""zh"")"),"A) 潜入魔约 B) 无视 C) 牺牲 D) 随机游戏")</f>
        <v>A) 潜入魔约 B) 无视 C) 牺牲 D) 随机游戏</v>
      </c>
      <c r="K73" s="24" t="str">
        <f>IFERROR(__xludf.DUMMYFUNCTION("GOOGLETRANSLATE(D73, ""en"", ""zh"")"),"A) 渗透莫约")</f>
        <v>A) 渗透莫约</v>
      </c>
      <c r="L73" s="24" t="str">
        <f>IFERROR(__xludf.DUMMYFUNCTION("GOOGLETRANSLATE(E73, ""en"", ""zh"")"),"#VALUE!")</f>
        <v>#VALUE!</v>
      </c>
      <c r="M73" s="21"/>
      <c r="N73" s="21"/>
      <c r="O73" s="21"/>
      <c r="P73" s="21"/>
      <c r="Q73" s="19"/>
      <c r="R73" s="19"/>
      <c r="S73" s="19"/>
      <c r="T73" s="19"/>
      <c r="U73" s="19"/>
      <c r="V73" s="19"/>
      <c r="W73" s="19"/>
      <c r="X73" s="19"/>
      <c r="Y73" s="19"/>
      <c r="Z73" s="19"/>
    </row>
    <row r="74">
      <c r="A74" s="36">
        <v>73.0</v>
      </c>
      <c r="B74" s="12" t="s">
        <v>2007</v>
      </c>
      <c r="C74" s="12" t="s">
        <v>2008</v>
      </c>
      <c r="D74" s="12" t="s">
        <v>2009</v>
      </c>
      <c r="E74" s="27"/>
      <c r="F74" s="21"/>
      <c r="G74" s="21"/>
      <c r="H74" s="21"/>
      <c r="I74" s="24" t="str">
        <f>IFERROR(__xludf.DUMMYFUNCTION("GOOGLETRANSLATE(B74, ""en"", ""zh"")"),"你们小组面临被包围的危险。你们最好的应对策略是什么？")</f>
        <v>你们小组面临被包围的危险。你们最好的应对策略是什么？</v>
      </c>
      <c r="J74" s="24" t="str">
        <f>IFERROR(__xludf.DUMMYFUNCTION("GOOGLETRANSLATE(C74, ""en"", ""zh"")"),"A) 创造两只眼睛 B) 忽略 C) 牺牲 D) 在别处玩耍")</f>
        <v>A) 创造两只眼睛 B) 忽略 C) 牺牲 D) 在别处玩耍</v>
      </c>
      <c r="K74" s="24" t="str">
        <f>IFERROR(__xludf.DUMMYFUNCTION("GOOGLETRANSLATE(D74, ""en"", ""zh"")"),"A) 创建两只眼睛")</f>
        <v>A) 创建两只眼睛</v>
      </c>
      <c r="L74" s="24" t="str">
        <f>IFERROR(__xludf.DUMMYFUNCTION("GOOGLETRANSLATE(E74, ""en"", ""zh"")"),"#VALUE!")</f>
        <v>#VALUE!</v>
      </c>
      <c r="M74" s="21"/>
      <c r="N74" s="21"/>
      <c r="O74" s="21"/>
      <c r="P74" s="21"/>
      <c r="Q74" s="19"/>
      <c r="R74" s="19"/>
      <c r="S74" s="19"/>
      <c r="T74" s="19"/>
      <c r="U74" s="19"/>
      <c r="V74" s="19"/>
      <c r="W74" s="19"/>
      <c r="X74" s="19"/>
      <c r="Y74" s="19"/>
      <c r="Z74" s="19"/>
    </row>
    <row r="75">
      <c r="A75" s="36">
        <v>74.0</v>
      </c>
      <c r="B75" s="12" t="s">
        <v>2010</v>
      </c>
      <c r="C75" s="12" t="s">
        <v>2011</v>
      </c>
      <c r="D75" s="12" t="s">
        <v>2012</v>
      </c>
      <c r="E75" s="27"/>
      <c r="F75" s="21"/>
      <c r="G75" s="21"/>
      <c r="H75" s="21"/>
      <c r="I75" s="24" t="str">
        <f>IFERROR(__xludf.DUMMYFUNCTION("GOOGLETRANSLATE(B75, ""en"", ""zh"")"),"你有机会威胁到对方的多枚棋子。你会怎么做？")</f>
        <v>你有机会威胁到对方的多枚棋子。你会怎么做？</v>
      </c>
      <c r="J75" s="24" t="str">
        <f>IFERROR(__xludf.DUMMYFUNCTION("GOOGLETRANSLATE(C75, ""en"", ""zh"")"),"A) 同时施加威胁 B) 忽略 C) 牺牲 D) 随机行动")</f>
        <v>A) 同时施加威胁 B) 忽略 C) 牺牲 D) 随机行动</v>
      </c>
      <c r="K75" s="24" t="str">
        <f>IFERROR(__xludf.DUMMYFUNCTION("GOOGLETRANSLATE(D75, ""en"", ""zh"")"),"A) 应用同时威胁")</f>
        <v>A) 应用同时威胁</v>
      </c>
      <c r="L75" s="24" t="str">
        <f>IFERROR(__xludf.DUMMYFUNCTION("GOOGLETRANSLATE(E75, ""en"", ""zh"")"),"#VALUE!")</f>
        <v>#VALUE!</v>
      </c>
      <c r="M75" s="21"/>
      <c r="N75" s="21"/>
      <c r="O75" s="21"/>
      <c r="P75" s="21"/>
      <c r="Q75" s="19"/>
      <c r="R75" s="19"/>
      <c r="S75" s="19"/>
      <c r="T75" s="19"/>
      <c r="U75" s="19"/>
      <c r="V75" s="19"/>
      <c r="W75" s="19"/>
      <c r="X75" s="19"/>
      <c r="Y75" s="19"/>
      <c r="Z75" s="19"/>
    </row>
    <row r="76">
      <c r="A76" s="37">
        <v>75.0</v>
      </c>
      <c r="B76" s="12" t="s">
        <v>2013</v>
      </c>
      <c r="C76" s="12" t="s">
        <v>2014</v>
      </c>
      <c r="D76" s="12" t="s">
        <v>2015</v>
      </c>
      <c r="E76" s="27"/>
      <c r="F76" s="21"/>
      <c r="G76" s="21"/>
      <c r="H76" s="21"/>
      <c r="I76" s="24" t="str">
        <f>IFERROR(__xludf.DUMMYFUNCTION("GOOGLETRANSLATE(B76, ""en"", ""zh"")"),"对手牺牲棋子来获取领地。你的策略应该是什么？")</f>
        <v>对手牺牲棋子来获取领地。你的策略应该是什么？</v>
      </c>
      <c r="J76" s="24" t="str">
        <f>IFERROR(__xludf.DUMMYFUNCTION("GOOGLETRANSLATE(C76, ""en"", ""zh"")"),"A) 采取策略性回应以获取影响力 B) 无视 C) 随机行动 D) 牺牲更多")</f>
        <v>A) 采取策略性回应以获取影响力 B) 无视 C) 随机行动 D) 牺牲更多</v>
      </c>
      <c r="K76" s="24" t="str">
        <f>IFERROR(__xludf.DUMMYFUNCTION("GOOGLETRANSLATE(D76, ""en"", ""zh"")"),"A) 采取策略性回应以获得影响力")</f>
        <v>A) 采取策略性回应以获得影响力</v>
      </c>
      <c r="L76" s="24" t="str">
        <f>IFERROR(__xludf.DUMMYFUNCTION("GOOGLETRANSLATE(E76, ""en"", ""zh"")"),"#VALUE!")</f>
        <v>#VALUE!</v>
      </c>
      <c r="M76" s="21"/>
      <c r="N76" s="21"/>
      <c r="O76" s="21"/>
      <c r="P76" s="21"/>
      <c r="Q76" s="19"/>
      <c r="R76" s="19"/>
      <c r="S76" s="19"/>
      <c r="T76" s="19"/>
      <c r="U76" s="19"/>
      <c r="V76" s="19"/>
      <c r="W76" s="19"/>
      <c r="X76" s="19"/>
      <c r="Y76" s="19"/>
      <c r="Z76" s="19"/>
    </row>
    <row r="77">
      <c r="A77" s="37">
        <v>76.0</v>
      </c>
      <c r="B77" s="12" t="s">
        <v>2016</v>
      </c>
      <c r="C77" s="12" t="s">
        <v>2017</v>
      </c>
      <c r="D77" s="12" t="s">
        <v>2018</v>
      </c>
      <c r="E77" s="27"/>
      <c r="F77" s="21"/>
      <c r="G77" s="21"/>
      <c r="H77" s="21"/>
      <c r="I77" s="24" t="str">
        <f>IFERROR(__xludf.DUMMYFUNCTION("GOOGLETRANSLATE(B77, ""en"", ""zh"")"),"你预见到一场可能被KO的比赛即将发生。你应该如何应对？")</f>
        <v>你预见到一场可能被KO的比赛即将发生。你应该如何应对？</v>
      </c>
      <c r="J77" s="24" t="str">
        <f>IFERROR(__xludf.DUMMYFUNCTION("GOOGLETRANSLATE(C77, ""en"", ""zh"")"),"A) 准备应对 ko 威胁 B) 忽略 C) 牺牲 D) 随机出牌")</f>
        <v>A) 准备应对 ko 威胁 B) 忽略 C) 牺牲 D) 随机出牌</v>
      </c>
      <c r="K77" s="24" t="str">
        <f>IFERROR(__xludf.DUMMYFUNCTION("GOOGLETRANSLATE(D77, ""en"", ""zh"")"),"A) 准备 ko 威胁")</f>
        <v>A) 准备 ko 威胁</v>
      </c>
      <c r="L77" s="24" t="str">
        <f>IFERROR(__xludf.DUMMYFUNCTION("GOOGLETRANSLATE(E77, ""en"", ""zh"")"),"#VALUE!")</f>
        <v>#VALUE!</v>
      </c>
      <c r="M77" s="21"/>
      <c r="N77" s="21"/>
      <c r="O77" s="21"/>
      <c r="P77" s="21"/>
      <c r="Q77" s="19"/>
      <c r="R77" s="19"/>
      <c r="S77" s="19"/>
      <c r="T77" s="19"/>
      <c r="U77" s="19"/>
      <c r="V77" s="19"/>
      <c r="W77" s="19"/>
      <c r="X77" s="19"/>
      <c r="Y77" s="19"/>
      <c r="Z77" s="19"/>
    </row>
    <row r="78">
      <c r="A78" s="37">
        <v>77.0</v>
      </c>
      <c r="B78" s="12" t="s">
        <v>2019</v>
      </c>
      <c r="C78" s="12" t="s">
        <v>2020</v>
      </c>
      <c r="D78" s="12" t="s">
        <v>2021</v>
      </c>
      <c r="E78" s="27"/>
      <c r="F78" s="21"/>
      <c r="G78" s="21"/>
      <c r="H78" s="21"/>
      <c r="I78" s="24" t="str">
        <f>IFERROR(__xludf.DUMMYFUNCTION("GOOGLETRANSLATE(B78, ""en"", ""zh"")"),"对手加强了弱势一方的实力。你的最佳应对策略是什么？")</f>
        <v>对手加强了弱势一方的实力。你的最佳应对策略是什么？</v>
      </c>
      <c r="J78" s="24" t="str">
        <f>IFERROR(__xludf.DUMMYFUNCTION("GOOGLETRANSLATE(C78, ""en"", ""zh"")"),"A) 按其他按钮 B) 忽略 C) 牺牲 D) 随机播放")</f>
        <v>A) 按其他按钮 B) 忽略 C) 牺牲 D) 随机播放</v>
      </c>
      <c r="K78" s="24" t="str">
        <f>IFERROR(__xludf.DUMMYFUNCTION("GOOGLETRANSLATE(D78, ""en"", ""zh"")"),"A) 按其他按钮")</f>
        <v>A) 按其他按钮</v>
      </c>
      <c r="L78" s="24" t="str">
        <f>IFERROR(__xludf.DUMMYFUNCTION("GOOGLETRANSLATE(E78, ""en"", ""zh"")"),"#VALUE!")</f>
        <v>#VALUE!</v>
      </c>
      <c r="M78" s="21"/>
      <c r="N78" s="21"/>
      <c r="O78" s="21"/>
      <c r="P78" s="21"/>
      <c r="Q78" s="19"/>
      <c r="R78" s="19"/>
      <c r="S78" s="19"/>
      <c r="T78" s="19"/>
      <c r="U78" s="19"/>
      <c r="V78" s="19"/>
      <c r="W78" s="19"/>
      <c r="X78" s="19"/>
      <c r="Y78" s="19"/>
      <c r="Z78" s="19"/>
    </row>
    <row r="79">
      <c r="A79" s="37">
        <v>78.0</v>
      </c>
      <c r="B79" s="12" t="s">
        <v>2022</v>
      </c>
      <c r="C79" s="12" t="s">
        <v>2023</v>
      </c>
      <c r="D79" s="12" t="s">
        <v>2024</v>
      </c>
      <c r="E79" s="27"/>
      <c r="F79" s="21"/>
      <c r="G79" s="21"/>
      <c r="H79" s="21"/>
      <c r="I79" s="24" t="str">
        <f>IFERROR(__xludf.DUMMYFUNCTION("GOOGLETRANSLATE(B79, ""en"", ""zh"")"),"游戏中期，你的领土扩张缓慢。最佳策略是什么？")</f>
        <v>游戏中期，你的领土扩张缓慢。最佳策略是什么？</v>
      </c>
      <c r="J79" s="24" t="str">
        <f>IFERROR(__xludf.DUMMYFUNCTION("GOOGLETRANSLATE(C79, ""en"", ""zh"")"),"A) 确保边境安全，谨慎入侵 B) 无视 C) 牺牲 D) 随机行动")</f>
        <v>A) 确保边境安全，谨慎入侵 B) 无视 C) 牺牲 D) 随机行动</v>
      </c>
      <c r="K79" s="24" t="str">
        <f>IFERROR(__xludf.DUMMYFUNCTION("GOOGLETRANSLATE(D79, ""en"", ""zh"")"),"A）确保边境安全，轻度入侵")</f>
        <v>A）确保边境安全，轻度入侵</v>
      </c>
      <c r="L79" s="24" t="str">
        <f>IFERROR(__xludf.DUMMYFUNCTION("GOOGLETRANSLATE(E79, ""en"", ""zh"")"),"#VALUE!")</f>
        <v>#VALUE!</v>
      </c>
      <c r="M79" s="21"/>
      <c r="N79" s="21"/>
      <c r="O79" s="21"/>
      <c r="P79" s="21"/>
      <c r="Q79" s="19"/>
      <c r="R79" s="19"/>
      <c r="S79" s="19"/>
      <c r="T79" s="19"/>
      <c r="U79" s="19"/>
      <c r="V79" s="19"/>
      <c r="W79" s="19"/>
      <c r="X79" s="19"/>
      <c r="Y79" s="19"/>
      <c r="Z79" s="19"/>
    </row>
    <row r="80">
      <c r="A80" s="37">
        <v>79.0</v>
      </c>
      <c r="B80" s="12" t="s">
        <v>2025</v>
      </c>
      <c r="C80" s="12" t="s">
        <v>2026</v>
      </c>
      <c r="D80" s="12" t="s">
        <v>2027</v>
      </c>
      <c r="E80" s="27"/>
      <c r="F80" s="21"/>
      <c r="G80" s="21"/>
      <c r="H80" s="21"/>
      <c r="I80" s="24" t="str">
        <f>IFERROR(__xludf.DUMMYFUNCTION("GOOGLETRANSLATE(B80, ""en"", ""zh"")"),"你的对手创建了两个距离很近的弱小部队。你的策略是什么？")</f>
        <v>你的对手创建了两个距离很近的弱小部队。你的策略是什么？</v>
      </c>
      <c r="J80" s="24" t="str">
        <f>IFERROR(__xludf.DUMMYFUNCTION("GOOGLETRANSLATE(C80, ""en"", ""zh"")"),"A) 同时攻击 B) 无视 C) 牺牲 D) 转移到其他地方")</f>
        <v>A) 同时攻击 B) 无视 C) 牺牲 D) 转移到其他地方</v>
      </c>
      <c r="K80" s="24" t="str">
        <f>IFERROR(__xludf.DUMMYFUNCTION("GOOGLETRANSLATE(D80, ""en"", ""zh"")"),"A) 攻击两者")</f>
        <v>A) 攻击两者</v>
      </c>
      <c r="L80" s="24" t="str">
        <f>IFERROR(__xludf.DUMMYFUNCTION("GOOGLETRANSLATE(E80, ""en"", ""zh"")"),"#VALUE!")</f>
        <v>#VALUE!</v>
      </c>
      <c r="M80" s="21"/>
      <c r="N80" s="21"/>
      <c r="O80" s="21"/>
      <c r="P80" s="21"/>
      <c r="Q80" s="19"/>
      <c r="R80" s="19"/>
      <c r="S80" s="19"/>
      <c r="T80" s="19"/>
      <c r="U80" s="19"/>
      <c r="V80" s="19"/>
      <c r="W80" s="19"/>
      <c r="X80" s="19"/>
      <c r="Y80" s="19"/>
      <c r="Z80" s="19"/>
    </row>
    <row r="81">
      <c r="A81" s="37">
        <v>80.0</v>
      </c>
      <c r="B81" s="12" t="s">
        <v>2028</v>
      </c>
      <c r="C81" s="12" t="s">
        <v>2029</v>
      </c>
      <c r="D81" s="12" t="s">
        <v>2030</v>
      </c>
      <c r="E81" s="27"/>
      <c r="F81" s="21"/>
      <c r="G81" s="21"/>
      <c r="H81" s="21"/>
      <c r="I81" s="24" t="str">
        <f>IFERROR(__xludf.DUMMYFUNCTION("GOOGLETRANSLATE(B81, ""en"", ""zh"")"),"你有机会切掉对方的棋子，你应该怎么做？")</f>
        <v>你有机会切掉对方的棋子，你应该怎么做？</v>
      </c>
      <c r="J81" s="24" t="str">
        <f>IFERROR(__xludf.DUMMYFUNCTION("GOOGLETRANSLATE(C81, ""en"", ""zh"")"),"A) 立即切断 B) 忽略 C) 牺牲 D) 转移到其他地方")</f>
        <v>A) 立即切断 B) 忽略 C) 牺牲 D) 转移到其他地方</v>
      </c>
      <c r="K81" s="24" t="str">
        <f>IFERROR(__xludf.DUMMYFUNCTION("GOOGLETRANSLATE(D81, ""en"", ""zh"")"),"A) 立即切开")</f>
        <v>A) 立即切开</v>
      </c>
      <c r="L81" s="24" t="str">
        <f>IFERROR(__xludf.DUMMYFUNCTION("GOOGLETRANSLATE(E81, ""en"", ""zh"")"),"#VALUE!")</f>
        <v>#VALUE!</v>
      </c>
      <c r="M81" s="21"/>
      <c r="N81" s="21"/>
      <c r="O81" s="21"/>
      <c r="P81" s="21"/>
      <c r="Q81" s="19"/>
      <c r="R81" s="19"/>
      <c r="S81" s="19"/>
      <c r="T81" s="19"/>
      <c r="U81" s="19"/>
      <c r="V81" s="19"/>
      <c r="W81" s="19"/>
      <c r="X81" s="19"/>
      <c r="Y81" s="19"/>
      <c r="Z81" s="19"/>
    </row>
    <row r="82">
      <c r="A82" s="37">
        <v>81.0</v>
      </c>
      <c r="B82" s="12" t="s">
        <v>2031</v>
      </c>
      <c r="C82" s="12" t="s">
        <v>2032</v>
      </c>
      <c r="D82" s="12" t="s">
        <v>2033</v>
      </c>
      <c r="E82" s="27"/>
      <c r="F82" s="21"/>
      <c r="G82" s="21"/>
      <c r="H82" s="21"/>
      <c r="I82" s="24" t="str">
        <f>IFERROR(__xludf.DUMMYFUNCTION("GOOGLETRANSLATE(B82, ""en"", ""zh"")"),"你面临失去关键角球的威胁。你会如何应对？")</f>
        <v>你面临失去关键角球的威胁。你会如何应对？</v>
      </c>
      <c r="J82" s="24" t="str">
        <f>IFERROR(__xludf.DUMMYFUNCTION("GOOGLETRANSLATE(C82, ""en"", ""zh"")"),"A) 加强角落 B) 忽略 C) 牺牲 D) 随机出牌")</f>
        <v>A) 加强角落 B) 忽略 C) 牺牲 D) 随机出牌</v>
      </c>
      <c r="K82" s="24" t="str">
        <f>IFERROR(__xludf.DUMMYFUNCTION("GOOGLETRANSLATE(D82, ""en"", ""zh"")"),"A) 加固角部")</f>
        <v>A) 加固角部</v>
      </c>
      <c r="L82" s="24" t="str">
        <f>IFERROR(__xludf.DUMMYFUNCTION("GOOGLETRANSLATE(E82, ""en"", ""zh"")"),"#VALUE!")</f>
        <v>#VALUE!</v>
      </c>
      <c r="M82" s="21"/>
      <c r="N82" s="21"/>
      <c r="O82" s="21"/>
      <c r="P82" s="21"/>
      <c r="Q82" s="19"/>
      <c r="R82" s="19"/>
      <c r="S82" s="19"/>
      <c r="T82" s="19"/>
      <c r="U82" s="19"/>
      <c r="V82" s="19"/>
      <c r="W82" s="19"/>
      <c r="X82" s="19"/>
      <c r="Y82" s="19"/>
      <c r="Z82" s="19"/>
    </row>
    <row r="83">
      <c r="A83" s="37">
        <v>82.0</v>
      </c>
      <c r="B83" s="12" t="s">
        <v>2034</v>
      </c>
      <c r="C83" s="12" t="s">
        <v>2035</v>
      </c>
      <c r="D83" s="12" t="s">
        <v>2036</v>
      </c>
      <c r="E83" s="27"/>
      <c r="F83" s="21"/>
      <c r="G83" s="21"/>
      <c r="H83" s="21"/>
      <c r="I83" s="24" t="str">
        <f>IFERROR(__xludf.DUMMYFUNCTION("GOOGLETRANSLATE(B83, ""en"", ""zh"")"),"你的对手正在全面扩大影响力。最佳策略是什么？")</f>
        <v>你的对手正在全面扩大影响力。最佳策略是什么？</v>
      </c>
      <c r="J83" s="24" t="str">
        <f>IFERROR(__xludf.DUMMYFUNCTION("GOOGLETRANSLATE(C83, ""en"", ""zh"")"),"A) 减少入侵的影响 B) 忽略 C) 牺牲 D) 随机行动")</f>
        <v>A) 减少入侵的影响 B) 忽略 C) 牺牲 D) 随机行动</v>
      </c>
      <c r="K83" s="24" t="str">
        <f>IFERROR(__xludf.DUMMYFUNCTION("GOOGLETRANSLATE(D83, ""en"", ""zh"")"),"A) 减少入侵的影响")</f>
        <v>A) 减少入侵的影响</v>
      </c>
      <c r="L83" s="24" t="str">
        <f>IFERROR(__xludf.DUMMYFUNCTION("GOOGLETRANSLATE(E83, ""en"", ""zh"")"),"#VALUE!")</f>
        <v>#VALUE!</v>
      </c>
      <c r="M83" s="21"/>
      <c r="N83" s="21"/>
      <c r="O83" s="21"/>
      <c r="P83" s="21"/>
      <c r="Q83" s="19"/>
      <c r="R83" s="19"/>
      <c r="S83" s="19"/>
      <c r="T83" s="19"/>
      <c r="U83" s="19"/>
      <c r="V83" s="19"/>
      <c r="W83" s="19"/>
      <c r="X83" s="19"/>
      <c r="Y83" s="19"/>
      <c r="Z83" s="19"/>
    </row>
    <row r="84">
      <c r="A84" s="37">
        <v>83.0</v>
      </c>
      <c r="B84" s="12" t="s">
        <v>2037</v>
      </c>
      <c r="C84" s="12" t="s">
        <v>2038</v>
      </c>
      <c r="D84" s="12" t="s">
        <v>2039</v>
      </c>
      <c r="E84" s="27"/>
      <c r="F84" s="21"/>
      <c r="G84" s="21"/>
      <c r="H84" s="21"/>
      <c r="I84" s="24" t="str">
        <f>IFERROR(__xludf.DUMMYFUNCTION("GOOGLETRANSLATE(B84, ""en"", ""zh"")"),"你注意到中心有一大片空地。你会怎么做？")</f>
        <v>你注意到中心有一大片空地。你会怎么做？</v>
      </c>
      <c r="J84" s="24" t="str">
        <f>IFERROR(__xludf.DUMMYFUNCTION("GOOGLETRANSLATE(C84, ""en"", ""zh"")"),"A) 扩大影响力 B) 无视 C) 牺牲 D) 随机行动")</f>
        <v>A) 扩大影响力 B) 无视 C) 牺牲 D) 随机行动</v>
      </c>
      <c r="K84" s="24" t="str">
        <f>IFERROR(__xludf.DUMMYFUNCTION("GOOGLETRANSLATE(D84, ""en"", ""zh"")"),"A) 扩大影响力")</f>
        <v>A) 扩大影响力</v>
      </c>
      <c r="L84" s="24" t="str">
        <f>IFERROR(__xludf.DUMMYFUNCTION("GOOGLETRANSLATE(E84, ""en"", ""zh"")"),"#VALUE!")</f>
        <v>#VALUE!</v>
      </c>
      <c r="M84" s="21"/>
      <c r="N84" s="21"/>
      <c r="O84" s="21"/>
      <c r="P84" s="21"/>
      <c r="Q84" s="19"/>
      <c r="R84" s="19"/>
      <c r="S84" s="19"/>
      <c r="T84" s="19"/>
      <c r="U84" s="19"/>
      <c r="V84" s="19"/>
      <c r="W84" s="19"/>
      <c r="X84" s="19"/>
      <c r="Y84" s="19"/>
      <c r="Z84" s="19"/>
    </row>
    <row r="85">
      <c r="A85" s="37">
        <v>84.0</v>
      </c>
      <c r="B85" s="12" t="s">
        <v>2040</v>
      </c>
      <c r="C85" s="12" t="s">
        <v>2041</v>
      </c>
      <c r="D85" s="12" t="s">
        <v>2042</v>
      </c>
      <c r="E85" s="27"/>
      <c r="F85" s="21"/>
      <c r="G85" s="21"/>
      <c r="H85" s="21"/>
      <c r="I85" s="24" t="str">
        <f>IFERROR(__xludf.DUMMYFUNCTION("GOOGLETRANSLATE(B85, ""en"", ""zh"")"),"对手试图用梯子攻击你的棋子。如何应对？")</f>
        <v>对手试图用梯子攻击你的棋子。如何应对？</v>
      </c>
      <c r="J85" s="24" t="str">
        <f>IFERROR(__xludf.DUMMYFUNCTION("GOOGLETRANSLATE(C85, ""en"", ""zh"")"),"A) 打破梯子 B) 忽略 C) 牺牲 D) 在其他地方玩")</f>
        <v>A) 打破梯子 B) 忽略 C) 牺牲 D) 在其他地方玩</v>
      </c>
      <c r="K85" s="24" t="str">
        <f>IFERROR(__xludf.DUMMYFUNCTION("GOOGLETRANSLATE(D85, ""en"", ""zh"")"),"A) 折断梯子")</f>
        <v>A) 折断梯子</v>
      </c>
      <c r="L85" s="24" t="str">
        <f>IFERROR(__xludf.DUMMYFUNCTION("GOOGLETRANSLATE(E85, ""en"", ""zh"")"),"#VALUE!")</f>
        <v>#VALUE!</v>
      </c>
      <c r="M85" s="21"/>
      <c r="N85" s="21"/>
      <c r="O85" s="21"/>
      <c r="P85" s="21"/>
      <c r="Q85" s="19"/>
      <c r="R85" s="19"/>
      <c r="S85" s="19"/>
      <c r="T85" s="19"/>
      <c r="U85" s="19"/>
      <c r="V85" s="19"/>
      <c r="W85" s="19"/>
      <c r="X85" s="19"/>
      <c r="Y85" s="19"/>
      <c r="Z85" s="19"/>
    </row>
    <row r="86">
      <c r="A86" s="37">
        <v>85.0</v>
      </c>
      <c r="B86" s="12" t="s">
        <v>2043</v>
      </c>
      <c r="C86" s="12" t="s">
        <v>2044</v>
      </c>
      <c r="D86" s="12" t="s">
        <v>2045</v>
      </c>
      <c r="E86" s="27"/>
      <c r="F86" s="21"/>
      <c r="G86" s="21"/>
      <c r="H86" s="21"/>
      <c r="I86" s="24" t="str">
        <f>IFERROR(__xludf.DUMMYFUNCTION("GOOGLETRANSLATE(B86, ""en"", ""zh"")"),"你们的弱势小组已经接近边缘。如何确保生存？")</f>
        <v>你们的弱势小组已经接近边缘。如何确保生存？</v>
      </c>
      <c r="J86" s="24" t="str">
        <f>IFERROR(__xludf.DUMMYFUNCTION("GOOGLETRANSLATE(C86, ""en"", ""zh"")"),"A) 加入强势群体 B) 忽略 C) 牺牲 D) 随机行动")</f>
        <v>A) 加入强势群体 B) 忽略 C) 牺牲 D) 随机行动</v>
      </c>
      <c r="K86" s="24" t="str">
        <f>IFERROR(__xludf.DUMMYFUNCTION("GOOGLETRANSLATE(D86, ""en"", ""zh"")"),"A) 与强大的群体建立联系")</f>
        <v>A) 与强大的群体建立联系</v>
      </c>
      <c r="L86" s="24" t="str">
        <f>IFERROR(__xludf.DUMMYFUNCTION("GOOGLETRANSLATE(E86, ""en"", ""zh"")"),"#VALUE!")</f>
        <v>#VALUE!</v>
      </c>
      <c r="M86" s="21"/>
      <c r="N86" s="21"/>
      <c r="O86" s="21"/>
      <c r="P86" s="21"/>
      <c r="Q86" s="19"/>
      <c r="R86" s="19"/>
      <c r="S86" s="19"/>
      <c r="T86" s="19"/>
      <c r="U86" s="19"/>
      <c r="V86" s="19"/>
      <c r="W86" s="19"/>
      <c r="X86" s="19"/>
      <c r="Y86" s="19"/>
      <c r="Z86" s="19"/>
    </row>
    <row r="87">
      <c r="A87" s="37">
        <v>86.0</v>
      </c>
      <c r="B87" s="12" t="s">
        <v>2046</v>
      </c>
      <c r="C87" s="12" t="s">
        <v>2047</v>
      </c>
      <c r="D87" s="12" t="s">
        <v>2048</v>
      </c>
      <c r="E87" s="27"/>
      <c r="F87" s="21"/>
      <c r="G87" s="21"/>
      <c r="H87" s="21"/>
      <c r="I87" s="24" t="str">
        <f>IFERROR(__xludf.DUMMYFUNCTION("GOOGLETRANSLATE(B87, ""en"", ""zh"")"),"你可以同时威胁两个群体。你打算怎么做？")</f>
        <v>你可以同时威胁两个群体。你打算怎么做？</v>
      </c>
      <c r="J87" s="24" t="str">
        <f>IFERROR(__xludf.DUMMYFUNCTION("GOOGLETRANSLATE(C87, ""en"", ""zh"")"),"A) 同时攻击两者 B) 无视 C) 牺牲 D) 随机行动")</f>
        <v>A) 同时攻击两者 B) 无视 C) 牺牲 D) 随机行动</v>
      </c>
      <c r="K87" s="24" t="str">
        <f>IFERROR(__xludf.DUMMYFUNCTION("GOOGLETRANSLATE(D87, ""en"", ""zh"")"),"A) 同时攻击两者")</f>
        <v>A) 同时攻击两者</v>
      </c>
      <c r="L87" s="24" t="str">
        <f>IFERROR(__xludf.DUMMYFUNCTION("GOOGLETRANSLATE(E87, ""en"", ""zh"")"),"#VALUE!")</f>
        <v>#VALUE!</v>
      </c>
      <c r="M87" s="21"/>
      <c r="N87" s="21"/>
      <c r="O87" s="21"/>
      <c r="P87" s="21"/>
      <c r="Q87" s="19"/>
      <c r="R87" s="19"/>
      <c r="S87" s="19"/>
      <c r="T87" s="19"/>
      <c r="U87" s="19"/>
      <c r="V87" s="19"/>
      <c r="W87" s="19"/>
      <c r="X87" s="19"/>
      <c r="Y87" s="19"/>
      <c r="Z87" s="19"/>
    </row>
    <row r="88">
      <c r="A88" s="37">
        <v>87.0</v>
      </c>
      <c r="B88" s="12" t="s">
        <v>2049</v>
      </c>
      <c r="C88" s="12" t="s">
        <v>2050</v>
      </c>
      <c r="D88" s="12" t="s">
        <v>2051</v>
      </c>
      <c r="E88" s="27"/>
      <c r="F88" s="21"/>
      <c r="G88" s="21"/>
      <c r="H88" s="21"/>
      <c r="I88" s="24" t="str">
        <f>IFERROR(__xludf.DUMMYFUNCTION("GOOGLETRANSLATE(B88, ""en"", ""zh"")"),"对手走了一步棋，导致你的棋子分裂。该如何应对？")</f>
        <v>对手走了一步棋，导致你的棋子分裂。该如何应对？</v>
      </c>
      <c r="J88" s="24" t="str">
        <f>IFERROR(__xludf.DUMMYFUNCTION("GOOGLETRANSLATE(C88, ""en"", ""zh"")"),"A) 重新连接石子 B) 忽略 C) 牺牲 D) 在其他地方放置")</f>
        <v>A) 重新连接石子 B) 忽略 C) 牺牲 D) 在其他地方放置</v>
      </c>
      <c r="K88" s="24" t="str">
        <f>IFERROR(__xludf.DUMMYFUNCTION("GOOGLETRANSLATE(D88, ""en"", ""zh"")"),"A) 重新连接石头")</f>
        <v>A) 重新连接石头</v>
      </c>
      <c r="L88" s="24" t="str">
        <f>IFERROR(__xludf.DUMMYFUNCTION("GOOGLETRANSLATE(E88, ""en"", ""zh"")"),"#VALUE!")</f>
        <v>#VALUE!</v>
      </c>
      <c r="M88" s="21"/>
      <c r="N88" s="21"/>
      <c r="O88" s="21"/>
      <c r="P88" s="21"/>
      <c r="Q88" s="19"/>
      <c r="R88" s="19"/>
      <c r="S88" s="19"/>
      <c r="T88" s="19"/>
      <c r="U88" s="19"/>
      <c r="V88" s="19"/>
      <c r="W88" s="19"/>
      <c r="X88" s="19"/>
      <c r="Y88" s="19"/>
      <c r="Z88" s="19"/>
    </row>
    <row r="89">
      <c r="A89" s="37">
        <v>88.0</v>
      </c>
      <c r="B89" s="12" t="s">
        <v>2052</v>
      </c>
      <c r="C89" s="12" t="s">
        <v>2053</v>
      </c>
      <c r="D89" s="12" t="s">
        <v>2054</v>
      </c>
      <c r="E89" s="27"/>
      <c r="F89" s="21"/>
      <c r="G89" s="21"/>
      <c r="H89" s="21"/>
      <c r="I89" s="24" t="str">
        <f>IFERROR(__xludf.DUMMYFUNCTION("GOOGLETRANSLATE(B89, ""en"", ""zh"")"),"游戏进行到一半时，你的 moyo 数据不完整。你该怎么办？")</f>
        <v>游戏进行到一半时，你的 moyo 数据不完整。你该怎么办？</v>
      </c>
      <c r="J89" s="24" t="str">
        <f>IFERROR(__xludf.DUMMYFUNCTION("GOOGLETRANSLATE(C89, ""en"", ""zh"")"),"A) 巩固边界 B) 忽略 C) 牺牲 D) 随机游戏")</f>
        <v>A) 巩固边界 B) 忽略 C) 牺牲 D) 随机游戏</v>
      </c>
      <c r="K89" s="24" t="str">
        <f>IFERROR(__xludf.DUMMYFUNCTION("GOOGLETRANSLATE(D89, ""en"", ""zh"")"),"A) 明确边界")</f>
        <v>A) 明确边界</v>
      </c>
      <c r="L89" s="24" t="str">
        <f>IFERROR(__xludf.DUMMYFUNCTION("GOOGLETRANSLATE(E89, ""en"", ""zh"")"),"#VALUE!")</f>
        <v>#VALUE!</v>
      </c>
      <c r="M89" s="21"/>
      <c r="N89" s="21"/>
      <c r="O89" s="21"/>
      <c r="P89" s="21"/>
      <c r="Q89" s="19"/>
      <c r="R89" s="19"/>
      <c r="S89" s="19"/>
      <c r="T89" s="19"/>
      <c r="U89" s="19"/>
      <c r="V89" s="19"/>
      <c r="W89" s="19"/>
      <c r="X89" s="19"/>
      <c r="Y89" s="19"/>
      <c r="Z89" s="19"/>
    </row>
    <row r="90">
      <c r="A90" s="37">
        <v>89.0</v>
      </c>
      <c r="B90" s="12" t="s">
        <v>2055</v>
      </c>
      <c r="C90" s="12" t="s">
        <v>2056</v>
      </c>
      <c r="D90" s="12" t="s">
        <v>2057</v>
      </c>
      <c r="E90" s="27"/>
      <c r="F90" s="21"/>
      <c r="G90" s="21"/>
      <c r="H90" s="21"/>
      <c r="I90" s="24" t="str">
        <f>IFERROR(__xludf.DUMMYFUNCTION("GOOGLETRANSLATE(B90, ""en"", ""zh"")"),"你的对手试图在擂台中央用KO终结比赛。你会如何应对？")</f>
        <v>你的对手试图在擂台中央用KO终结比赛。你会如何应对？</v>
      </c>
      <c r="J90" s="24" t="str">
        <f>IFERROR(__xludf.DUMMYFUNCTION("GOOGLETRANSLATE(C90, ""en"", ""zh"")"),"A) 准备多个击杀威胁 B) 忽略 C) 牺牲 D) 转移到其他地方")</f>
        <v>A) 准备多个击杀威胁 B) 忽略 C) 牺牲 D) 转移到其他地方</v>
      </c>
      <c r="K90" s="24" t="str">
        <f>IFERROR(__xludf.DUMMYFUNCTION("GOOGLETRANSLATE(D90, ""en"", ""zh"")"),"A) 准备多个 ko 威胁")</f>
        <v>A) 准备多个 ko 威胁</v>
      </c>
      <c r="L90" s="24" t="str">
        <f>IFERROR(__xludf.DUMMYFUNCTION("GOOGLETRANSLATE(E90, ""en"", ""zh"")"),"#VALUE!")</f>
        <v>#VALUE!</v>
      </c>
      <c r="M90" s="21"/>
      <c r="N90" s="21"/>
      <c r="O90" s="21"/>
      <c r="P90" s="21"/>
      <c r="Q90" s="19"/>
      <c r="R90" s="19"/>
      <c r="S90" s="19"/>
      <c r="T90" s="19"/>
      <c r="U90" s="19"/>
      <c r="V90" s="19"/>
      <c r="W90" s="19"/>
      <c r="X90" s="19"/>
      <c r="Y90" s="19"/>
      <c r="Z90" s="19"/>
    </row>
    <row r="91">
      <c r="A91" s="37">
        <v>90.0</v>
      </c>
      <c r="B91" s="12" t="s">
        <v>2058</v>
      </c>
      <c r="C91" s="12" t="s">
        <v>2059</v>
      </c>
      <c r="D91" s="12" t="s">
        <v>2060</v>
      </c>
      <c r="E91" s="27"/>
      <c r="F91" s="21"/>
      <c r="G91" s="21"/>
      <c r="H91" s="21"/>
      <c r="I91" s="24" t="str">
        <f>IFERROR(__xludf.DUMMYFUNCTION("GOOGLETRANSLATE(B91, ""en"", ""zh"")"),"你注意到你的薄弱环节可能存在一个潜在的关注点。最佳方案是什么？")</f>
        <v>你注意到你的薄弱环节可能存在一个潜在的关注点。最佳方案是什么？</v>
      </c>
      <c r="J91" s="24" t="str">
        <f>IFERROR(__xludf.DUMMYFUNCTION("GOOGLETRANSLATE(C91, ""en"", ""zh"")"),"A) 确保视线空间 B) 忽略 C) 牺牲 D) 随机游戏")</f>
        <v>A) 确保视线空间 B) 忽略 C) 牺牲 D) 随机游戏</v>
      </c>
      <c r="K91" s="24" t="str">
        <f>IFERROR(__xludf.DUMMYFUNCTION("GOOGLETRANSLATE(D91, ""en"", ""zh"")"),"A) 安全的眼部空间")</f>
        <v>A) 安全的眼部空间</v>
      </c>
      <c r="L91" s="24" t="str">
        <f>IFERROR(__xludf.DUMMYFUNCTION("GOOGLETRANSLATE(E91, ""en"", ""zh"")"),"#VALUE!")</f>
        <v>#VALUE!</v>
      </c>
      <c r="M91" s="21"/>
      <c r="N91" s="21"/>
      <c r="O91" s="21"/>
      <c r="P91" s="21"/>
      <c r="Q91" s="19"/>
      <c r="R91" s="19"/>
      <c r="S91" s="19"/>
      <c r="T91" s="19"/>
      <c r="U91" s="19"/>
      <c r="V91" s="19"/>
      <c r="W91" s="19"/>
      <c r="X91" s="19"/>
      <c r="Y91" s="19"/>
      <c r="Z91" s="19"/>
    </row>
    <row r="92">
      <c r="A92" s="37">
        <v>91.0</v>
      </c>
      <c r="B92" s="12" t="s">
        <v>2061</v>
      </c>
      <c r="C92" s="12" t="s">
        <v>2062</v>
      </c>
      <c r="D92" s="12" t="s">
        <v>2063</v>
      </c>
      <c r="E92" s="27"/>
      <c r="F92" s="21"/>
      <c r="G92" s="21"/>
      <c r="H92" s="21"/>
      <c r="I92" s="24" t="str">
        <f>IFERROR(__xludf.DUMMYFUNCTION("GOOGLETRANSLATE(B92, ""en"", ""zh"")"),"对手大幅加强了一方的实力。你应该如何应对？")</f>
        <v>对手大幅加强了一方的实力。你应该如何应对？</v>
      </c>
      <c r="J92" s="24" t="str">
        <f>IFERROR(__xludf.DUMMYFUNCTION("GOOGLETRANSLATE(C92, ""en"", ""zh"")"),"A) 压制薄弱环节 B) 忽略 C) 牺牲 D) 随机行动")</f>
        <v>A) 压制薄弱环节 B) 忽略 C) 牺牲 D) 随机行动</v>
      </c>
      <c r="K92" s="24" t="str">
        <f>IFERROR(__xludf.DUMMYFUNCTION("GOOGLETRANSLATE(D92, ""en"", ""zh"")"),"A）对薄弱区域施加压力")</f>
        <v>A）对薄弱区域施加压力</v>
      </c>
      <c r="L92" s="24" t="str">
        <f>IFERROR(__xludf.DUMMYFUNCTION("GOOGLETRANSLATE(E92, ""en"", ""zh"")"),"#VALUE!")</f>
        <v>#VALUE!</v>
      </c>
      <c r="M92" s="21"/>
      <c r="N92" s="21"/>
      <c r="O92" s="21"/>
      <c r="P92" s="21"/>
      <c r="Q92" s="19"/>
      <c r="R92" s="19"/>
      <c r="S92" s="19"/>
      <c r="T92" s="19"/>
      <c r="U92" s="19"/>
      <c r="V92" s="19"/>
      <c r="W92" s="19"/>
      <c r="X92" s="19"/>
      <c r="Y92" s="19"/>
      <c r="Z92" s="19"/>
    </row>
    <row r="93">
      <c r="A93" s="37">
        <v>92.0</v>
      </c>
      <c r="B93" s="12" t="s">
        <v>2064</v>
      </c>
      <c r="C93" s="12" t="s">
        <v>2065</v>
      </c>
      <c r="D93" s="12" t="s">
        <v>2066</v>
      </c>
      <c r="E93" s="27"/>
      <c r="F93" s="21"/>
      <c r="G93" s="21"/>
      <c r="H93" s="21"/>
      <c r="I93" s="24" t="str">
        <f>IFERROR(__xludf.DUMMYFUNCTION("GOOGLETRANSLATE(B93, ""en"", ""zh"")"),"你的棋子被敌方棋子包围了。你该如何生存？")</f>
        <v>你的棋子被敌方棋子包围了。你该如何生存？</v>
      </c>
      <c r="J93" s="24" t="str">
        <f>IFERROR(__xludf.DUMMYFUNCTION("GOOGLETRANSLATE(C93, ""en"", ""zh"")"),"A) 加入安全组 B) 忽略 C) 牺牲 D) 去别处玩")</f>
        <v>A) 加入安全组 B) 忽略 C) 牺牲 D) 去别处玩</v>
      </c>
      <c r="K93" s="24" t="str">
        <f>IFERROR(__xludf.DUMMYFUNCTION("GOOGLETRANSLATE(D93, ""en"", ""zh"")"),"A) 连接到安全组")</f>
        <v>A) 连接到安全组</v>
      </c>
      <c r="L93" s="24" t="str">
        <f>IFERROR(__xludf.DUMMYFUNCTION("GOOGLETRANSLATE(E93, ""en"", ""zh"")"),"#VALUE!")</f>
        <v>#VALUE!</v>
      </c>
      <c r="M93" s="21"/>
      <c r="N93" s="21"/>
      <c r="O93" s="21"/>
      <c r="P93" s="21"/>
      <c r="Q93" s="19"/>
      <c r="R93" s="19"/>
      <c r="S93" s="19"/>
      <c r="T93" s="19"/>
      <c r="U93" s="19"/>
      <c r="V93" s="19"/>
      <c r="W93" s="19"/>
      <c r="X93" s="19"/>
      <c r="Y93" s="19"/>
      <c r="Z93" s="19"/>
    </row>
    <row r="94">
      <c r="A94" s="37">
        <v>93.0</v>
      </c>
      <c r="B94" s="12" t="s">
        <v>2067</v>
      </c>
      <c r="C94" s="12" t="s">
        <v>2068</v>
      </c>
      <c r="D94" s="12" t="s">
        <v>1834</v>
      </c>
      <c r="E94" s="27"/>
      <c r="F94" s="21"/>
      <c r="G94" s="21"/>
      <c r="H94" s="21"/>
      <c r="I94" s="24" t="str">
        <f>IFERROR(__xludf.DUMMYFUNCTION("GOOGLETRANSLATE(B94, ""en"", ""zh"")"),"你有机会创造一个鲜活的形象。你会怎么做？")</f>
        <v>你有机会创造一个鲜活的形象。你会怎么做？</v>
      </c>
      <c r="J94" s="24" t="str">
        <f>IFERROR(__xludf.DUMMYFUNCTION("GOOGLETRANSLATE(C94, ""en"", ""zh"")"),"A) 形成两只眼睛 B) 忽略 C) 牺牲 D) 随机玩耍")</f>
        <v>A) 形成两只眼睛 B) 忽略 C) 牺牲 D) 随机玩耍</v>
      </c>
      <c r="K94" s="24" t="str">
        <f>IFERROR(__xludf.DUMMYFUNCTION("GOOGLETRANSLATE(D94, ""en"", ""zh"")"),"A) 形成两个眼睛")</f>
        <v>A) 形成两个眼睛</v>
      </c>
      <c r="L94" s="24" t="str">
        <f>IFERROR(__xludf.DUMMYFUNCTION("GOOGLETRANSLATE(E94, ""en"", ""zh"")"),"#VALUE!")</f>
        <v>#VALUE!</v>
      </c>
      <c r="M94" s="21"/>
      <c r="N94" s="21"/>
      <c r="O94" s="21"/>
      <c r="P94" s="21"/>
      <c r="Q94" s="19"/>
      <c r="R94" s="19"/>
      <c r="S94" s="19"/>
      <c r="T94" s="19"/>
      <c r="U94" s="19"/>
      <c r="V94" s="19"/>
      <c r="W94" s="19"/>
      <c r="X94" s="19"/>
      <c r="Y94" s="19"/>
      <c r="Z94" s="19"/>
    </row>
    <row r="95">
      <c r="A95" s="37">
        <v>94.0</v>
      </c>
      <c r="B95" s="12" t="s">
        <v>2069</v>
      </c>
      <c r="C95" s="12" t="s">
        <v>2029</v>
      </c>
      <c r="D95" s="12" t="s">
        <v>2030</v>
      </c>
      <c r="E95" s="27"/>
      <c r="F95" s="21"/>
      <c r="G95" s="21"/>
      <c r="H95" s="21"/>
      <c r="I95" s="24" t="str">
        <f>IFERROR(__xludf.DUMMYFUNCTION("GOOGLETRANSLATE(B95, ""en"", ""zh"")"),"对手留下了一个切入点，你应该如何应对？")</f>
        <v>对手留下了一个切入点，你应该如何应对？</v>
      </c>
      <c r="J95" s="24" t="str">
        <f>IFERROR(__xludf.DUMMYFUNCTION("GOOGLETRANSLATE(C95, ""en"", ""zh"")"),"A) 立即切断 B) 忽略 C) 牺牲 D) 转移到其他地方")</f>
        <v>A) 立即切断 B) 忽略 C) 牺牲 D) 转移到其他地方</v>
      </c>
      <c r="K95" s="24" t="str">
        <f>IFERROR(__xludf.DUMMYFUNCTION("GOOGLETRANSLATE(D95, ""en"", ""zh"")"),"A) 立即切开")</f>
        <v>A) 立即切开</v>
      </c>
      <c r="L95" s="24" t="str">
        <f>IFERROR(__xludf.DUMMYFUNCTION("GOOGLETRANSLATE(E95, ""en"", ""zh"")"),"#VALUE!")</f>
        <v>#VALUE!</v>
      </c>
      <c r="M95" s="21"/>
      <c r="N95" s="21"/>
      <c r="O95" s="21"/>
      <c r="P95" s="21"/>
      <c r="Q95" s="19"/>
      <c r="R95" s="19"/>
      <c r="S95" s="19"/>
      <c r="T95" s="19"/>
      <c r="U95" s="19"/>
      <c r="V95" s="19"/>
      <c r="W95" s="19"/>
      <c r="X95" s="19"/>
      <c r="Y95" s="19"/>
      <c r="Z95" s="19"/>
    </row>
    <row r="96">
      <c r="A96" s="37">
        <v>95.0</v>
      </c>
      <c r="B96" s="12" t="s">
        <v>2070</v>
      </c>
      <c r="C96" s="12" t="s">
        <v>2071</v>
      </c>
      <c r="D96" s="12" t="s">
        <v>2072</v>
      </c>
      <c r="E96" s="27"/>
      <c r="F96" s="21"/>
      <c r="G96" s="21"/>
      <c r="H96" s="21"/>
      <c r="I96" s="24" t="str">
        <f>IFERROR(__xludf.DUMMYFUNCTION("GOOGLETRANSLATE(B96, ""en"", ""zh"")"),"你的对手在一方建立了影响力。你该如何应对？")</f>
        <v>你的对手在一方建立了影响力。你该如何应对？</v>
      </c>
      <c r="J96" s="24" t="str">
        <f>IFERROR(__xludf.DUMMYFUNCTION("GOOGLETRANSLATE(C96, ""en"", ""zh"")"),"A) 入侵和削弱 B) 无视 C) 牺牲 D) 随机游戏")</f>
        <v>A) 入侵和削弱 B) 无视 C) 牺牲 D) 随机游戏</v>
      </c>
      <c r="K96" s="24" t="str">
        <f>IFERROR(__xludf.DUMMYFUNCTION("GOOGLETRANSLATE(D96, ""en"", ""zh"")"),"A) 入侵与减少")</f>
        <v>A) 入侵与减少</v>
      </c>
      <c r="L96" s="24" t="str">
        <f>IFERROR(__xludf.DUMMYFUNCTION("GOOGLETRANSLATE(E96, ""en"", ""zh"")"),"#VALUE!")</f>
        <v>#VALUE!</v>
      </c>
      <c r="M96" s="21"/>
      <c r="N96" s="21"/>
      <c r="O96" s="21"/>
      <c r="P96" s="21"/>
      <c r="Q96" s="19"/>
      <c r="R96" s="19"/>
      <c r="S96" s="19"/>
      <c r="T96" s="19"/>
      <c r="U96" s="19"/>
      <c r="V96" s="19"/>
      <c r="W96" s="19"/>
      <c r="X96" s="19"/>
      <c r="Y96" s="19"/>
      <c r="Z96" s="19"/>
    </row>
    <row r="97">
      <c r="A97" s="37">
        <v>96.0</v>
      </c>
      <c r="B97" s="12" t="s">
        <v>2073</v>
      </c>
      <c r="C97" s="12" t="s">
        <v>2074</v>
      </c>
      <c r="D97" s="12" t="s">
        <v>2075</v>
      </c>
      <c r="E97" s="27"/>
      <c r="F97" s="21"/>
      <c r="G97" s="21"/>
      <c r="H97" s="21"/>
      <c r="I97" s="24" t="str">
        <f>IFERROR(__xludf.DUMMYFUNCTION("GOOGLETRANSLATE(B97, ""en"", ""zh"")"),"游戏中期，你的弱队位于中心附近。最佳策略是什么？")</f>
        <v>游戏中期，你的弱队位于中心附近。最佳策略是什么？</v>
      </c>
      <c r="J97" s="24" t="str">
        <f>IFERROR(__xludf.DUMMYFUNCTION("GOOGLETRANSLATE(C97, ""en"", ""zh"")"),"A) 连接或逃脱 B) 忽略 C) 牺牲 D) 随机游戏")</f>
        <v>A) 连接或逃脱 B) 忽略 C) 牺牲 D) 随机游戏</v>
      </c>
      <c r="K97" s="24" t="str">
        <f>IFERROR(__xludf.DUMMYFUNCTION("GOOGLETRANSLATE(D97, ""en"", ""zh"")"),"A) 连接或退出")</f>
        <v>A) 连接或退出</v>
      </c>
      <c r="L97" s="24" t="str">
        <f>IFERROR(__xludf.DUMMYFUNCTION("GOOGLETRANSLATE(E97, ""en"", ""zh"")"),"#VALUE!")</f>
        <v>#VALUE!</v>
      </c>
      <c r="M97" s="21"/>
      <c r="N97" s="21"/>
      <c r="O97" s="21"/>
      <c r="P97" s="21"/>
      <c r="Q97" s="19"/>
      <c r="R97" s="19"/>
      <c r="S97" s="19"/>
      <c r="T97" s="19"/>
      <c r="U97" s="19"/>
      <c r="V97" s="19"/>
      <c r="W97" s="19"/>
      <c r="X97" s="19"/>
      <c r="Y97" s="19"/>
      <c r="Z97" s="19"/>
    </row>
    <row r="98">
      <c r="A98" s="37">
        <v>97.0</v>
      </c>
      <c r="B98" s="12" t="s">
        <v>2076</v>
      </c>
      <c r="C98" s="12" t="s">
        <v>2077</v>
      </c>
      <c r="D98" s="12" t="s">
        <v>2078</v>
      </c>
      <c r="E98" s="27"/>
      <c r="F98" s="21"/>
      <c r="G98" s="21"/>
      <c r="H98" s="21"/>
      <c r="I98" s="24" t="str">
        <f>IFERROR(__xludf.DUMMYFUNCTION("GOOGLETRANSLATE(B98, ""en"", ""zh"")"),"对手打出一张威胁你方阵营的牌，你应该如何应对？")</f>
        <v>对手打出一张威胁你方阵营的牌，你应该如何应对？</v>
      </c>
      <c r="J98" s="24" t="str">
        <f>IFERROR(__xludf.DUMMYFUNCTION("GOOGLETRANSLATE(C98, ""en"", ""zh"")"),"A) 扩展或阻挡 B) 无视 C) 牺牲 D) 随机出牌")</f>
        <v>A) 扩展或阻挡 B) 无视 C) 牺牲 D) 随机出牌</v>
      </c>
      <c r="K98" s="24" t="str">
        <f>IFERROR(__xludf.DUMMYFUNCTION("GOOGLETRANSLATE(D98, ""en"", ""zh"")"),"A) 延伸或阻挡")</f>
        <v>A) 延伸或阻挡</v>
      </c>
      <c r="L98" s="24" t="str">
        <f>IFERROR(__xludf.DUMMYFUNCTION("GOOGLETRANSLATE(E98, ""en"", ""zh"")"),"#VALUE!")</f>
        <v>#VALUE!</v>
      </c>
      <c r="M98" s="21"/>
      <c r="N98" s="21"/>
      <c r="O98" s="21"/>
      <c r="P98" s="21"/>
      <c r="Q98" s="19"/>
      <c r="R98" s="19"/>
      <c r="S98" s="19"/>
      <c r="T98" s="19"/>
      <c r="U98" s="19"/>
      <c r="V98" s="19"/>
      <c r="W98" s="19"/>
      <c r="X98" s="19"/>
      <c r="Y98" s="19"/>
      <c r="Z98" s="19"/>
    </row>
    <row r="99">
      <c r="A99" s="37">
        <v>98.0</v>
      </c>
      <c r="B99" s="12" t="s">
        <v>2079</v>
      </c>
      <c r="C99" s="12" t="s">
        <v>2080</v>
      </c>
      <c r="D99" s="12" t="s">
        <v>2081</v>
      </c>
      <c r="E99" s="27"/>
      <c r="F99" s="21"/>
      <c r="G99" s="21"/>
      <c r="H99" s="21"/>
      <c r="I99" s="24" t="str">
        <f>IFERROR(__xludf.DUMMYFUNCTION("GOOGLETRANSLATE(B99, ""en"", ""zh"")"),"你发现了一片潜力巨大的区域。你应该如何确保拿下它？")</f>
        <v>你发现了一片潜力巨大的区域。你应该如何确保拿下它？</v>
      </c>
      <c r="J99" s="24" t="str">
        <f>IFERROR(__xludf.DUMMYFUNCTION("GOOGLETRANSLATE(C99, ""en"", ""zh"")"),"A) 建造坚固的城墙 B) 无视 C) 牺牲 D) 随机游戏")</f>
        <v>A) 建造坚固的城墙 B) 无视 C) 牺牲 D) 随机游戏</v>
      </c>
      <c r="K99" s="24" t="str">
        <f>IFERROR(__xludf.DUMMYFUNCTION("GOOGLETRANSLATE(D99, ""en"", ""zh"")"),"A) 建造坚固的墙")</f>
        <v>A) 建造坚固的墙</v>
      </c>
      <c r="L99" s="24" t="str">
        <f>IFERROR(__xludf.DUMMYFUNCTION("GOOGLETRANSLATE(E99, ""en"", ""zh"")"),"#VALUE!")</f>
        <v>#VALUE!</v>
      </c>
      <c r="M99" s="21"/>
      <c r="N99" s="21"/>
      <c r="O99" s="21"/>
      <c r="P99" s="21"/>
      <c r="Q99" s="19"/>
      <c r="R99" s="19"/>
      <c r="S99" s="19"/>
      <c r="T99" s="19"/>
      <c r="U99" s="19"/>
      <c r="V99" s="19"/>
      <c r="W99" s="19"/>
      <c r="X99" s="19"/>
      <c r="Y99" s="19"/>
      <c r="Z99" s="19"/>
    </row>
    <row r="100">
      <c r="A100" s="37">
        <v>99.0</v>
      </c>
      <c r="B100" s="12" t="s">
        <v>2082</v>
      </c>
      <c r="C100" s="12" t="s">
        <v>2083</v>
      </c>
      <c r="D100" s="12" t="s">
        <v>2084</v>
      </c>
      <c r="E100" s="27"/>
      <c r="F100" s="21"/>
      <c r="G100" s="21"/>
      <c r="H100" s="21"/>
      <c r="I100" s="24" t="str">
        <f>IFERROR(__xludf.DUMMYFUNCTION("GOOGLETRANSLATE(B100, ""en"", ""zh"")"),"对手用一枚石头威胁梯子，你打算怎么走？")</f>
        <v>对手用一枚石头威胁梯子，你打算怎么走？</v>
      </c>
      <c r="J100" s="24" t="str">
        <f>IFERROR(__xludf.DUMMYFUNCTION("GOOGLETRANSLATE(C100, ""en"", ""zh"")"),"A) 防守或阻挡梯子 B) 无视 C) 牺牲 D) 随机游戏")</f>
        <v>A) 防守或阻挡梯子 B) 无视 C) 牺牲 D) 随机游戏</v>
      </c>
      <c r="K100" s="24" t="str">
        <f>IFERROR(__xludf.DUMMYFUNCTION("GOOGLETRANSLATE(D100, ""en"", ""zh"")"),"A) 防御或阻挡梯子")</f>
        <v>A) 防御或阻挡梯子</v>
      </c>
      <c r="L100" s="24" t="str">
        <f>IFERROR(__xludf.DUMMYFUNCTION("GOOGLETRANSLATE(E100, ""en"", ""zh"")"),"#VALUE!")</f>
        <v>#VALUE!</v>
      </c>
      <c r="M100" s="21"/>
      <c r="N100" s="21"/>
      <c r="O100" s="21"/>
      <c r="P100" s="21"/>
      <c r="Q100" s="19"/>
      <c r="R100" s="19"/>
      <c r="S100" s="19"/>
      <c r="T100" s="19"/>
      <c r="U100" s="19"/>
      <c r="V100" s="19"/>
      <c r="W100" s="19"/>
      <c r="X100" s="19"/>
      <c r="Y100" s="19"/>
      <c r="Z100" s="19"/>
    </row>
    <row r="101">
      <c r="A101" s="37">
        <v>100.0</v>
      </c>
      <c r="B101" s="12" t="s">
        <v>2085</v>
      </c>
      <c r="C101" s="12" t="s">
        <v>2086</v>
      </c>
      <c r="D101" s="12" t="s">
        <v>2087</v>
      </c>
      <c r="E101" s="27"/>
      <c r="F101" s="21"/>
      <c r="G101" s="21"/>
      <c r="H101" s="21"/>
      <c r="I101" s="24" t="str">
        <f>IFERROR(__xludf.DUMMYFUNCTION("GOOGLETRANSLATE(B101, ""en"", ""zh"")"),"你的弱势群体位于拐角处。最佳行动方案是什么？")</f>
        <v>你的弱势群体位于拐角处。最佳行动方案是什么？</v>
      </c>
      <c r="J101" s="24" t="str">
        <f>IFERROR(__xludf.DUMMYFUNCTION("GOOGLETRANSLATE(C101, ""en"", ""zh"")"),"A) 连接到基石 B) 忽略 C) 牺牲 D) 放置于其他地方")</f>
        <v>A) 连接到基石 B) 忽略 C) 牺牲 D) 放置于其他地方</v>
      </c>
      <c r="K101" s="24" t="str">
        <f>IFERROR(__xludf.DUMMYFUNCTION("GOOGLETRANSLATE(D101, ""en"", ""zh"")"),"A) 连接到基石")</f>
        <v>A) 连接到基石</v>
      </c>
      <c r="L101" s="24" t="str">
        <f>IFERROR(__xludf.DUMMYFUNCTION("GOOGLETRANSLATE(E101, ""en"", ""zh"")"),"#VALUE!")</f>
        <v>#VALUE!</v>
      </c>
      <c r="M101" s="21"/>
      <c r="N101" s="21"/>
      <c r="O101" s="21"/>
      <c r="P101" s="21"/>
      <c r="Q101" s="19"/>
      <c r="R101" s="19"/>
      <c r="S101" s="19"/>
      <c r="T101" s="19"/>
      <c r="U101" s="19"/>
      <c r="V101" s="19"/>
      <c r="W101" s="19"/>
      <c r="X101" s="19"/>
      <c r="Y101" s="19"/>
      <c r="Z101" s="19"/>
    </row>
    <row r="102">
      <c r="A102" s="37">
        <v>101.0</v>
      </c>
      <c r="B102" s="12" t="s">
        <v>2088</v>
      </c>
      <c r="C102" s="12" t="s">
        <v>2089</v>
      </c>
      <c r="D102" s="12" t="s">
        <v>2090</v>
      </c>
      <c r="E102" s="27"/>
      <c r="F102" s="21"/>
      <c r="G102" s="21"/>
      <c r="H102" s="21"/>
      <c r="I102" s="24" t="str">
        <f>IFERROR(__xludf.DUMMYFUNCTION("GOOGLETRANSLATE(B102, ""en"", ""zh"")"),"你可以同时威胁到对方两个较弱的群体。最佳策略是什么？")</f>
        <v>你可以同时威胁到对方两个较弱的群体。最佳策略是什么？</v>
      </c>
      <c r="J102" s="24" t="str">
        <f>IFERROR(__xludf.DUMMYFUNCTION("GOOGLETRANSLATE(C102, ""en"", ""zh"")"),"A) 同时攻击 B) 无视 C) 牺牲 D) 转移到其他地方")</f>
        <v>A) 同时攻击 B) 无视 C) 牺牲 D) 转移到其他地方</v>
      </c>
      <c r="K102" s="24" t="str">
        <f>IFERROR(__xludf.DUMMYFUNCTION("GOOGLETRANSLATE(D102, ""en"", ""zh"")"),"A) 同时攻击")</f>
        <v>A) 同时攻击</v>
      </c>
      <c r="L102" s="24" t="str">
        <f>IFERROR(__xludf.DUMMYFUNCTION("GOOGLETRANSLATE(E102, ""en"", ""zh"")"),"#VALUE!")</f>
        <v>#VALUE!</v>
      </c>
      <c r="M102" s="21"/>
      <c r="N102" s="21"/>
      <c r="O102" s="21"/>
      <c r="P102" s="21"/>
      <c r="Q102" s="19"/>
      <c r="R102" s="19"/>
      <c r="S102" s="19"/>
      <c r="T102" s="19"/>
      <c r="U102" s="19"/>
      <c r="V102" s="19"/>
      <c r="W102" s="19"/>
      <c r="X102" s="19"/>
      <c r="Y102" s="19"/>
      <c r="Z102" s="19"/>
    </row>
    <row r="103">
      <c r="A103" s="37">
        <v>102.0</v>
      </c>
      <c r="B103" s="12" t="s">
        <v>2091</v>
      </c>
      <c r="C103" s="12" t="s">
        <v>2092</v>
      </c>
      <c r="D103" s="12" t="s">
        <v>2093</v>
      </c>
      <c r="E103" s="27"/>
      <c r="F103" s="21"/>
      <c r="G103" s="21"/>
      <c r="H103" s="21"/>
      <c r="I103" s="24" t="str">
        <f>IFERROR(__xludf.DUMMYFUNCTION("GOOGLETRANSLATE(B103, ""en"", ""zh"")"),"对手切断了关键联系，你该如何应对？")</f>
        <v>对手切断了关键联系，你该如何应对？</v>
      </c>
      <c r="J103" s="24" t="str">
        <f>IFERROR(__xludf.DUMMYFUNCTION("GOOGLETRANSLATE(C103, ""en"", ""zh"")"),"A) 立即重新连接 B) 忽略 C) 牺牲 D) 去别处玩")</f>
        <v>A) 立即重新连接 B) 忽略 C) 牺牲 D) 去别处玩</v>
      </c>
      <c r="K103" s="24" t="str">
        <f>IFERROR(__xludf.DUMMYFUNCTION("GOOGLETRANSLATE(D103, ""en"", ""zh"")"),"A) 立即重新连接")</f>
        <v>A) 立即重新连接</v>
      </c>
      <c r="L103" s="24" t="str">
        <f>IFERROR(__xludf.DUMMYFUNCTION("GOOGLETRANSLATE(E103, ""en"", ""zh"")"),"#VALUE!")</f>
        <v>#VALUE!</v>
      </c>
      <c r="M103" s="21"/>
      <c r="N103" s="21"/>
      <c r="O103" s="21"/>
      <c r="P103" s="21"/>
      <c r="Q103" s="19"/>
      <c r="R103" s="19"/>
      <c r="S103" s="19"/>
      <c r="T103" s="19"/>
      <c r="U103" s="19"/>
      <c r="V103" s="19"/>
      <c r="W103" s="19"/>
      <c r="X103" s="19"/>
      <c r="Y103" s="19"/>
      <c r="Z103" s="19"/>
    </row>
    <row r="104">
      <c r="A104" s="37">
        <v>103.0</v>
      </c>
      <c r="B104" s="12" t="s">
        <v>2094</v>
      </c>
      <c r="C104" s="12" t="s">
        <v>2095</v>
      </c>
      <c r="D104" s="12" t="s">
        <v>2096</v>
      </c>
      <c r="E104" s="27"/>
      <c r="F104" s="21"/>
      <c r="G104" s="21"/>
      <c r="H104" s="21"/>
      <c r="I104" s="24" t="str">
        <f>IFERROR(__xludf.DUMMYFUNCTION("GOOGLETRANSLATE(B104, ""en"", ""zh"")"),"游戏中期，你的影响力被封锁了。最佳应对方案是什么？")</f>
        <v>游戏中期，你的影响力被封锁了。最佳应对方案是什么？</v>
      </c>
      <c r="J104" s="24" t="str">
        <f>IFERROR(__xludf.DUMMYFUNCTION("GOOGLETRANSLATE(C104, ""en"", ""zh"")"),"A) 采取措施削弱对手的影响力 B) 无视 C) 牺牲 D) 随机下注")</f>
        <v>A) 采取措施削弱对手的影响力 B) 无视 C) 牺牲 D) 随机下注</v>
      </c>
      <c r="K104" s="24" t="str">
        <f>IFERROR(__xludf.DUMMYFUNCTION("GOOGLETRANSLATE(D104, ""en"", ""zh"")"),"A）采取措施削弱对手的影响")</f>
        <v>A）采取措施削弱对手的影响</v>
      </c>
      <c r="L104" s="24" t="str">
        <f>IFERROR(__xludf.DUMMYFUNCTION("GOOGLETRANSLATE(E104, ""en"", ""zh"")"),"#VALUE!")</f>
        <v>#VALUE!</v>
      </c>
      <c r="M104" s="21"/>
      <c r="N104" s="21"/>
      <c r="O104" s="21"/>
      <c r="P104" s="21"/>
      <c r="Q104" s="19"/>
      <c r="R104" s="19"/>
      <c r="S104" s="19"/>
      <c r="T104" s="19"/>
      <c r="U104" s="19"/>
      <c r="V104" s="19"/>
      <c r="W104" s="19"/>
      <c r="X104" s="19"/>
      <c r="Y104" s="19"/>
      <c r="Z104" s="19"/>
    </row>
    <row r="105">
      <c r="A105" s="37">
        <v>104.0</v>
      </c>
      <c r="B105" s="12" t="s">
        <v>2097</v>
      </c>
      <c r="C105" s="12" t="s">
        <v>2098</v>
      </c>
      <c r="D105" s="12" t="s">
        <v>2099</v>
      </c>
      <c r="E105" s="27"/>
      <c r="F105" s="21"/>
      <c r="G105" s="21"/>
      <c r="H105" s="21"/>
      <c r="I105" s="24" t="str">
        <f>IFERROR(__xludf.DUMMYFUNCTION("GOOGLETRANSLATE(B105, ""en"", ""zh"")"),"你的对手弃子几枚，你会如何应对？")</f>
        <v>你的对手弃子几枚，你会如何应对？</v>
      </c>
      <c r="J105" s="24" t="str">
        <f>IFERROR(__xludf.DUMMYFUNCTION("GOOGLETRANSLATE(C105, ""en"", ""zh"")"),"A) 评估收益 B) 忽略 C) 牺牲 D) 随机行动")</f>
        <v>A) 评估收益 B) 忽略 C) 牺牲 D) 随机行动</v>
      </c>
      <c r="K105" s="24" t="str">
        <f>IFERROR(__xludf.DUMMYFUNCTION("GOOGLETRANSLATE(D105, ""en"", ""zh"")"),"A) 评估效益")</f>
        <v>A) 评估效益</v>
      </c>
      <c r="L105" s="24" t="str">
        <f>IFERROR(__xludf.DUMMYFUNCTION("GOOGLETRANSLATE(E105, ""en"", ""zh"")"),"#VALUE!")</f>
        <v>#VALUE!</v>
      </c>
      <c r="M105" s="21"/>
      <c r="N105" s="21"/>
      <c r="O105" s="21"/>
      <c r="P105" s="21"/>
      <c r="Q105" s="19"/>
      <c r="R105" s="19"/>
      <c r="S105" s="19"/>
      <c r="T105" s="19"/>
      <c r="U105" s="19"/>
      <c r="V105" s="19"/>
      <c r="W105" s="19"/>
      <c r="X105" s="19"/>
      <c r="Y105" s="19"/>
      <c r="Z105" s="19"/>
    </row>
    <row r="106">
      <c r="A106" s="37">
        <v>105.0</v>
      </c>
      <c r="B106" s="12" t="s">
        <v>2100</v>
      </c>
      <c r="C106" s="12" t="s">
        <v>2101</v>
      </c>
      <c r="D106" s="12" t="s">
        <v>2102</v>
      </c>
      <c r="E106" s="27"/>
      <c r="F106" s="21"/>
      <c r="G106" s="21"/>
      <c r="H106" s="21"/>
      <c r="I106" s="24" t="str">
        <f>IFERROR(__xludf.DUMMYFUNCTION("GOOGLETRANSLATE(B106, ""en"", ""zh"")"),"你现在有机会走一步强制着法。你该怎么做？")</f>
        <v>你现在有机会走一步强制着法。你该怎么做？</v>
      </c>
      <c r="J106" s="24" t="str">
        <f>IFERROR(__xludf.DUMMYFUNCTION("GOOGLETRANSLATE(C106, ""en"", ""zh"")"),"A) 走强制一步 B) 忽略 C) 牺牲 D) 走其他位置")</f>
        <v>A) 走强制一步 B) 忽略 C) 牺牲 D) 走其他位置</v>
      </c>
      <c r="K106" s="24" t="str">
        <f>IFERROR(__xludf.DUMMYFUNCTION("GOOGLETRANSLATE(D106, ""en"", ""zh"")"),"A）采取强制行动")</f>
        <v>A）采取强制行动</v>
      </c>
      <c r="L106" s="24" t="str">
        <f>IFERROR(__xludf.DUMMYFUNCTION("GOOGLETRANSLATE(E106, ""en"", ""zh"")"),"#VALUE!")</f>
        <v>#VALUE!</v>
      </c>
      <c r="M106" s="21"/>
      <c r="N106" s="21"/>
      <c r="O106" s="21"/>
      <c r="P106" s="21"/>
      <c r="Q106" s="19"/>
      <c r="R106" s="19"/>
      <c r="S106" s="19"/>
      <c r="T106" s="19"/>
      <c r="U106" s="19"/>
      <c r="V106" s="19"/>
      <c r="W106" s="19"/>
      <c r="X106" s="19"/>
      <c r="Y106" s="19"/>
      <c r="Z106" s="19"/>
    </row>
    <row r="107">
      <c r="A107" s="37">
        <v>106.0</v>
      </c>
      <c r="B107" s="12" t="s">
        <v>2103</v>
      </c>
      <c r="C107" s="12" t="s">
        <v>2104</v>
      </c>
      <c r="D107" s="12" t="s">
        <v>2105</v>
      </c>
      <c r="E107" s="27"/>
      <c r="F107" s="21"/>
      <c r="G107" s="21"/>
      <c r="H107" s="21"/>
      <c r="I107" s="24" t="str">
        <f>IFERROR(__xludf.DUMMYFUNCTION("GOOGLETRANSLATE(B107, ""en"", ""zh"")"),"对手威胁两个群体，你会如何应对？")</f>
        <v>对手威胁两个群体，你会如何应对？</v>
      </c>
      <c r="J107" s="24" t="str">
        <f>IFERROR(__xludf.DUMMYFUNCTION("GOOGLETRANSLATE(C107, ""en"", ""zh"")"),"A) 同时应对两种威胁 B) 忽略 C) 牺牲 D) 随机行动")</f>
        <v>A) 同时应对两种威胁 B) 忽略 C) 牺牲 D) 随机行动</v>
      </c>
      <c r="K107" s="24" t="str">
        <f>IFERROR(__xludf.DUMMYFUNCTION("GOOGLETRANSLATE(D107, ""en"", ""zh"")"),"A) 应对这两种威胁")</f>
        <v>A) 应对这两种威胁</v>
      </c>
      <c r="L107" s="24" t="str">
        <f>IFERROR(__xludf.DUMMYFUNCTION("GOOGLETRANSLATE(E107, ""en"", ""zh"")"),"#VALUE!")</f>
        <v>#VALUE!</v>
      </c>
      <c r="M107" s="21"/>
      <c r="N107" s="21"/>
      <c r="O107" s="21"/>
      <c r="P107" s="21"/>
      <c r="Q107" s="19"/>
      <c r="R107" s="19"/>
      <c r="S107" s="19"/>
      <c r="T107" s="19"/>
      <c r="U107" s="19"/>
      <c r="V107" s="19"/>
      <c r="W107" s="19"/>
      <c r="X107" s="19"/>
      <c r="Y107" s="19"/>
      <c r="Z107" s="19"/>
    </row>
    <row r="108">
      <c r="A108" s="37">
        <v>107.0</v>
      </c>
      <c r="B108" s="12" t="s">
        <v>2106</v>
      </c>
      <c r="C108" s="12" t="s">
        <v>2107</v>
      </c>
      <c r="D108" s="12" t="s">
        <v>2108</v>
      </c>
      <c r="E108" s="27"/>
      <c r="F108" s="21"/>
      <c r="G108" s="21"/>
      <c r="H108" s="21"/>
      <c r="I108" s="24" t="str">
        <f>IFERROR(__xludf.DUMMYFUNCTION("GOOGLETRANSLATE(B108, ""en"", ""zh"")"),"你的弱组位于边缘位置。最佳方案是什么？")</f>
        <v>你的弱组位于边缘位置。最佳方案是什么？</v>
      </c>
      <c r="J108" s="24" t="str">
        <f>IFERROR(__xludf.DUMMYFUNCTION("GOOGLETRANSLATE(C108, ""en"", ""zh"")"),"A) 加入更强大的团体 B) 忽略 C) 牺牲 D) 另谋出路")</f>
        <v>A) 加入更强大的团体 B) 忽略 C) 牺牲 D) 另谋出路</v>
      </c>
      <c r="K108" s="24" t="str">
        <f>IFERROR(__xludf.DUMMYFUNCTION("GOOGLETRANSLATE(D108, ""en"", ""zh"")"),"A) 与更强大的群体建立联系")</f>
        <v>A) 与更强大的群体建立联系</v>
      </c>
      <c r="L108" s="24" t="str">
        <f>IFERROR(__xludf.DUMMYFUNCTION("GOOGLETRANSLATE(E108, ""en"", ""zh"")"),"#VALUE!")</f>
        <v>#VALUE!</v>
      </c>
      <c r="M108" s="21"/>
      <c r="N108" s="21"/>
      <c r="O108" s="21"/>
      <c r="P108" s="21"/>
      <c r="Q108" s="19"/>
      <c r="R108" s="19"/>
      <c r="S108" s="19"/>
      <c r="T108" s="19"/>
      <c r="U108" s="19"/>
      <c r="V108" s="19"/>
      <c r="W108" s="19"/>
      <c r="X108" s="19"/>
      <c r="Y108" s="19"/>
      <c r="Z108" s="19"/>
    </row>
    <row r="109">
      <c r="A109" s="37">
        <v>108.0</v>
      </c>
      <c r="B109" s="12" t="s">
        <v>2109</v>
      </c>
      <c r="C109" s="12" t="s">
        <v>2038</v>
      </c>
      <c r="D109" s="12" t="s">
        <v>2039</v>
      </c>
      <c r="E109" s="27"/>
      <c r="F109" s="21"/>
      <c r="G109" s="21"/>
      <c r="H109" s="21"/>
      <c r="I109" s="24" t="str">
        <f>IFERROR(__xludf.DUMMYFUNCTION("GOOGLETRANSLATE(B109, ""en"", ""zh"")"),"比赛进行到一半，中心区域空无一人。你应该如何继续？")</f>
        <v>比赛进行到一半，中心区域空无一人。你应该如何继续？</v>
      </c>
      <c r="J109" s="24" t="str">
        <f>IFERROR(__xludf.DUMMYFUNCTION("GOOGLETRANSLATE(C109, ""en"", ""zh"")"),"A) 扩大影响力 B) 无视 C) 牺牲 D) 随机行动")</f>
        <v>A) 扩大影响力 B) 无视 C) 牺牲 D) 随机行动</v>
      </c>
      <c r="K109" s="24" t="str">
        <f>IFERROR(__xludf.DUMMYFUNCTION("GOOGLETRANSLATE(D109, ""en"", ""zh"")"),"A) 扩大影响力")</f>
        <v>A) 扩大影响力</v>
      </c>
      <c r="L109" s="24" t="str">
        <f>IFERROR(__xludf.DUMMYFUNCTION("GOOGLETRANSLATE(E109, ""en"", ""zh"")"),"#VALUE!")</f>
        <v>#VALUE!</v>
      </c>
      <c r="M109" s="21"/>
      <c r="N109" s="21"/>
      <c r="O109" s="21"/>
      <c r="P109" s="21"/>
      <c r="Q109" s="19"/>
      <c r="R109" s="19"/>
      <c r="S109" s="19"/>
      <c r="T109" s="19"/>
      <c r="U109" s="19"/>
      <c r="V109" s="19"/>
      <c r="W109" s="19"/>
      <c r="X109" s="19"/>
      <c r="Y109" s="19"/>
      <c r="Z109" s="19"/>
    </row>
    <row r="110">
      <c r="A110" s="37">
        <v>109.0</v>
      </c>
      <c r="B110" s="12" t="s">
        <v>2110</v>
      </c>
      <c r="C110" s="12" t="s">
        <v>2111</v>
      </c>
      <c r="D110" s="12" t="s">
        <v>2112</v>
      </c>
      <c r="E110" s="27"/>
      <c r="F110" s="21"/>
      <c r="G110" s="21"/>
      <c r="H110" s="21"/>
      <c r="I110" s="24" t="str">
        <f>IFERROR(__xludf.DUMMYFUNCTION("GOOGLETRANSLATE(B110, ""en"", ""zh"")"),"对手在某一区域采取激进的进攻策略，你该如何应对？")</f>
        <v>对手在某一区域采取激进的进攻策略，你该如何应对？</v>
      </c>
      <c r="J110" s="24" t="str">
        <f>IFERROR(__xludf.DUMMYFUNCTION("GOOGLETRANSLATE(C110, ""en"", ""zh"")"),"A) 在其他地方反击 B) 无视 C) 牺牲 D) 随机行动")</f>
        <v>A) 在其他地方反击 B) 无视 C) 牺牲 D) 随机行动</v>
      </c>
      <c r="K110" s="24" t="str">
        <f>IFERROR(__xludf.DUMMYFUNCTION("GOOGLETRANSLATE(D110, ""en"", ""zh"")"),"A) 在其他地区反击")</f>
        <v>A) 在其他地区反击</v>
      </c>
      <c r="L110" s="24" t="str">
        <f>IFERROR(__xludf.DUMMYFUNCTION("GOOGLETRANSLATE(E110, ""en"", ""zh"")"),"#VALUE!")</f>
        <v>#VALUE!</v>
      </c>
      <c r="M110" s="21"/>
      <c r="N110" s="21"/>
      <c r="O110" s="21"/>
      <c r="P110" s="21"/>
      <c r="Q110" s="19"/>
      <c r="R110" s="19"/>
      <c r="S110" s="19"/>
      <c r="T110" s="19"/>
      <c r="U110" s="19"/>
      <c r="V110" s="19"/>
      <c r="W110" s="19"/>
      <c r="X110" s="19"/>
      <c r="Y110" s="19"/>
      <c r="Z110" s="19"/>
    </row>
    <row r="111">
      <c r="A111" s="37">
        <v>110.0</v>
      </c>
      <c r="B111" s="12" t="s">
        <v>2113</v>
      </c>
      <c r="C111" s="12" t="s">
        <v>2114</v>
      </c>
      <c r="D111" s="12" t="s">
        <v>2115</v>
      </c>
      <c r="E111" s="27"/>
      <c r="F111" s="21"/>
      <c r="G111" s="21"/>
      <c r="H111" s="21"/>
      <c r="I111" s="24" t="str">
        <f>IFERROR(__xludf.DUMMYFUNCTION("GOOGLETRANSLATE(B111, ""en"", ""zh"")"),"你有机会威胁要进行多项裁员。你会怎么做？")</f>
        <v>你有机会威胁要进行多项裁员。你会怎么做？</v>
      </c>
      <c r="J111" s="24" t="str">
        <f>IFERROR(__xludf.DUMMYFUNCTION("GOOGLETRANSLATE(C111, ""en"", ""zh"")"),"A) 执行威胁 B) 无视 C) 牺牲 D) 另寻他处")</f>
        <v>A) 执行威胁 B) 无视 C) 牺牲 D) 另寻他处</v>
      </c>
      <c r="K111" s="24" t="str">
        <f>IFERROR(__xludf.DUMMYFUNCTION("GOOGLETRANSLATE(D111, ""en"", ""zh"")"),"A) 执行威胁")</f>
        <v>A) 执行威胁</v>
      </c>
      <c r="L111" s="24" t="str">
        <f>IFERROR(__xludf.DUMMYFUNCTION("GOOGLETRANSLATE(E111, ""en"", ""zh"")"),"#VALUE!")</f>
        <v>#VALUE!</v>
      </c>
      <c r="M111" s="21"/>
      <c r="N111" s="21"/>
      <c r="O111" s="21"/>
      <c r="P111" s="21"/>
      <c r="Q111" s="19"/>
      <c r="R111" s="19"/>
      <c r="S111" s="19"/>
      <c r="T111" s="19"/>
      <c r="U111" s="19"/>
      <c r="V111" s="19"/>
      <c r="W111" s="19"/>
      <c r="X111" s="19"/>
      <c r="Y111" s="19"/>
      <c r="Z111" s="19"/>
    </row>
    <row r="112">
      <c r="A112" s="37">
        <v>111.0</v>
      </c>
      <c r="B112" s="12" t="s">
        <v>2116</v>
      </c>
      <c r="C112" s="12" t="s">
        <v>2117</v>
      </c>
      <c r="D112" s="12" t="s">
        <v>2118</v>
      </c>
      <c r="E112" s="27"/>
      <c r="F112" s="21"/>
      <c r="G112" s="21"/>
      <c r="H112" s="21"/>
      <c r="I112" s="24" t="str">
        <f>IFERROR(__xludf.DUMMYFUNCTION("GOOGLETRANSLATE(B112, ""en"", ""zh"")"),"对手露出了眼睛，你应该如何应对？")</f>
        <v>对手露出了眼睛，你应该如何应对？</v>
      </c>
      <c r="J112" s="24" t="str">
        <f>IFERROR(__xludf.DUMMYFUNCTION("GOOGLETRANSLATE(C112, ""en"", ""zh"")"),"A) 填满以阻止生命 B) 忽略 C) 牺牲 D) 随机游戏")</f>
        <v>A) 填满以阻止生命 B) 忽略 C) 牺牲 D) 随机游戏</v>
      </c>
      <c r="K112" s="24" t="str">
        <f>IFERROR(__xludf.DUMMYFUNCTION("GOOGLETRANSLATE(D112, ""en"", ""zh"")"),"A) 填充以防止生命")</f>
        <v>A) 填充以防止生命</v>
      </c>
      <c r="L112" s="24" t="str">
        <f>IFERROR(__xludf.DUMMYFUNCTION("GOOGLETRANSLATE(E112, ""en"", ""zh"")"),"#VALUE!")</f>
        <v>#VALUE!</v>
      </c>
      <c r="M112" s="21"/>
      <c r="N112" s="21"/>
      <c r="O112" s="21"/>
      <c r="P112" s="21"/>
      <c r="Q112" s="19"/>
      <c r="R112" s="19"/>
      <c r="S112" s="19"/>
      <c r="T112" s="19"/>
      <c r="U112" s="19"/>
      <c r="V112" s="19"/>
      <c r="W112" s="19"/>
      <c r="X112" s="19"/>
      <c r="Y112" s="19"/>
      <c r="Z112" s="19"/>
    </row>
    <row r="113">
      <c r="A113" s="37">
        <v>112.0</v>
      </c>
      <c r="B113" s="12" t="s">
        <v>2119</v>
      </c>
      <c r="C113" s="12" t="s">
        <v>2120</v>
      </c>
      <c r="D113" s="12" t="s">
        <v>2121</v>
      </c>
      <c r="E113" s="27"/>
      <c r="F113" s="21"/>
      <c r="G113" s="21"/>
      <c r="H113" s="21"/>
      <c r="I113" s="24" t="str">
        <f>IFERROR(__xludf.DUMMYFUNCTION("GOOGLETRANSLATE(B113, ""en"", ""zh"")"),"你发现你的队伍容易受到攻击。你会怎么做？")</f>
        <v>你发现你的队伍容易受到攻击。你会怎么做？</v>
      </c>
      <c r="J113" s="24" t="str">
        <f>IFERROR(__xludf.DUMMYFUNCTION("GOOGLETRANSLATE(C113, ""en"", ""zh"")"),"A) 加强联系 B) 忽略 C) 牺牲 D) 随机游戏")</f>
        <v>A) 加强联系 B) 忽略 C) 牺牲 D) 随机游戏</v>
      </c>
      <c r="K113" s="24" t="str">
        <f>IFERROR(__xludf.DUMMYFUNCTION("GOOGLETRANSLATE(D113, ""en"", ""zh"")"),"A) 加强连接")</f>
        <v>A) 加强连接</v>
      </c>
      <c r="L113" s="24" t="str">
        <f>IFERROR(__xludf.DUMMYFUNCTION("GOOGLETRANSLATE(E113, ""en"", ""zh"")"),"#VALUE!")</f>
        <v>#VALUE!</v>
      </c>
      <c r="M113" s="21"/>
      <c r="N113" s="21"/>
      <c r="O113" s="21"/>
      <c r="P113" s="21"/>
      <c r="Q113" s="19"/>
      <c r="R113" s="19"/>
      <c r="S113" s="19"/>
      <c r="T113" s="19"/>
      <c r="U113" s="19"/>
      <c r="V113" s="19"/>
      <c r="W113" s="19"/>
      <c r="X113" s="19"/>
      <c r="Y113" s="19"/>
      <c r="Z113" s="19"/>
    </row>
    <row r="114">
      <c r="A114" s="37">
        <v>113.0</v>
      </c>
      <c r="B114" s="12" t="s">
        <v>2122</v>
      </c>
      <c r="C114" s="12" t="s">
        <v>2123</v>
      </c>
      <c r="D114" s="12" t="s">
        <v>2124</v>
      </c>
      <c r="E114" s="27"/>
      <c r="F114" s="21"/>
      <c r="G114" s="21"/>
      <c r="H114" s="21"/>
      <c r="I114" s="24" t="str">
        <f>IFERROR(__xludf.DUMMYFUNCTION("GOOGLETRANSLATE(B114, ""en"", ""zh"")"),"对手同时威胁多个区域，你该如何应对？")</f>
        <v>对手同时威胁多个区域，你该如何应对？</v>
      </c>
      <c r="J114" s="24" t="str">
        <f>IFERROR(__xludf.DUMMYFUNCTION("GOOGLETRANSLATE(C114, ""en"", ""zh"")"),"A) 优先考虑关键领域 B) 忽略 C) 牺牲 D) 随机行动")</f>
        <v>A) 优先考虑关键领域 B) 忽略 C) 牺牲 D) 随机行动</v>
      </c>
      <c r="K114" s="24" t="str">
        <f>IFERROR(__xludf.DUMMYFUNCTION("GOOGLETRANSLATE(D114, ""en"", ""zh"")"),"A) 优先考虑关键领域")</f>
        <v>A) 优先考虑关键领域</v>
      </c>
      <c r="L114" s="24" t="str">
        <f>IFERROR(__xludf.DUMMYFUNCTION("GOOGLETRANSLATE(E114, ""en"", ""zh"")"),"#VALUE!")</f>
        <v>#VALUE!</v>
      </c>
      <c r="M114" s="21"/>
      <c r="N114" s="21"/>
      <c r="O114" s="21"/>
      <c r="P114" s="21"/>
      <c r="Q114" s="19"/>
      <c r="R114" s="19"/>
      <c r="S114" s="19"/>
      <c r="T114" s="19"/>
      <c r="U114" s="19"/>
      <c r="V114" s="19"/>
      <c r="W114" s="19"/>
      <c r="X114" s="19"/>
      <c r="Y114" s="19"/>
      <c r="Z114" s="19"/>
    </row>
    <row r="115">
      <c r="A115" s="37">
        <v>114.0</v>
      </c>
      <c r="B115" s="12" t="s">
        <v>2125</v>
      </c>
      <c r="C115" s="12" t="s">
        <v>1999</v>
      </c>
      <c r="D115" s="12" t="s">
        <v>2000</v>
      </c>
      <c r="E115" s="27"/>
      <c r="F115" s="21"/>
      <c r="G115" s="21"/>
      <c r="H115" s="21"/>
      <c r="I115" s="24" t="str">
        <f>IFERROR(__xludf.DUMMYFUNCTION("GOOGLETRANSLATE(B115, ""en"", ""zh"")"),"棋局进行到一半时，你的棋子脱离了位置。最佳走法是什么？")</f>
        <v>棋局进行到一半时，你的棋子脱离了位置。最佳走法是什么？</v>
      </c>
      <c r="J115" s="24" t="str">
        <f>IFERROR(__xludf.DUMMYFUNCTION("GOOGLETRANSLATE(C115, ""en"", ""zh"")"),"A) 连接石子 B) 忽略 C) 牺牲 D) 随机下棋")</f>
        <v>A) 连接石子 B) 忽略 C) 牺牲 D) 随机下棋</v>
      </c>
      <c r="K115" s="24" t="str">
        <f>IFERROR(__xludf.DUMMYFUNCTION("GOOGLETRANSLATE(D115, ""en"", ""zh"")"),"A) 连接石头")</f>
        <v>A) 连接石头</v>
      </c>
      <c r="L115" s="24" t="str">
        <f>IFERROR(__xludf.DUMMYFUNCTION("GOOGLETRANSLATE(E115, ""en"", ""zh"")"),"#VALUE!")</f>
        <v>#VALUE!</v>
      </c>
      <c r="M115" s="21"/>
      <c r="N115" s="21"/>
      <c r="O115" s="21"/>
      <c r="P115" s="21"/>
      <c r="Q115" s="19"/>
      <c r="R115" s="19"/>
      <c r="S115" s="19"/>
      <c r="T115" s="19"/>
      <c r="U115" s="19"/>
      <c r="V115" s="19"/>
      <c r="W115" s="19"/>
      <c r="X115" s="19"/>
      <c r="Y115" s="19"/>
      <c r="Z115" s="19"/>
    </row>
    <row r="116">
      <c r="A116" s="37">
        <v>115.0</v>
      </c>
      <c r="B116" s="12" t="s">
        <v>2126</v>
      </c>
      <c r="C116" s="12" t="s">
        <v>2127</v>
      </c>
      <c r="D116" s="12" t="s">
        <v>1994</v>
      </c>
      <c r="E116" s="27"/>
      <c r="F116" s="21"/>
      <c r="G116" s="21"/>
      <c r="H116" s="21"/>
      <c r="I116" s="24" t="str">
        <f>IFERROR(__xludf.DUMMYFUNCTION("GOOGLETRANSLATE(B116, ""en"", ""zh"")"),"你可以攻克一个弱小的群体。什么才是最佳策略？")</f>
        <v>你可以攻克一个弱小的群体。什么才是最佳策略？</v>
      </c>
      <c r="J116" s="24" t="str">
        <f>IFERROR(__xludf.DUMMYFUNCTION("GOOGLETRANSLATE(C116, ""en"", ""zh"")"),"A) 立即捕获 B) 忽略 C) 牺牲 D) 在其他地方玩")</f>
        <v>A) 立即捕获 B) 忽略 C) 牺牲 D) 在其他地方玩</v>
      </c>
      <c r="K116" s="24" t="str">
        <f>IFERROR(__xludf.DUMMYFUNCTION("GOOGLETRANSLATE(D116, ""en"", ""zh"")"),"A) 立即捕获")</f>
        <v>A) 立即捕获</v>
      </c>
      <c r="L116" s="24" t="str">
        <f>IFERROR(__xludf.DUMMYFUNCTION("GOOGLETRANSLATE(E116, ""en"", ""zh"")"),"#VALUE!")</f>
        <v>#VALUE!</v>
      </c>
      <c r="M116" s="21"/>
      <c r="N116" s="21"/>
      <c r="O116" s="21"/>
      <c r="P116" s="21"/>
      <c r="Q116" s="19"/>
      <c r="R116" s="19"/>
      <c r="S116" s="19"/>
      <c r="T116" s="19"/>
      <c r="U116" s="19"/>
      <c r="V116" s="19"/>
      <c r="W116" s="19"/>
      <c r="X116" s="19"/>
      <c r="Y116" s="19"/>
      <c r="Z116" s="19"/>
    </row>
    <row r="117">
      <c r="A117" s="37">
        <v>116.0</v>
      </c>
      <c r="B117" s="12" t="s">
        <v>2128</v>
      </c>
      <c r="C117" s="12" t="s">
        <v>2129</v>
      </c>
      <c r="D117" s="12" t="s">
        <v>2130</v>
      </c>
      <c r="E117" s="27"/>
      <c r="F117" s="21"/>
      <c r="G117" s="21"/>
      <c r="H117" s="21"/>
      <c r="I117" s="24" t="str">
        <f>IFERROR(__xludf.DUMMYFUNCTION("GOOGLETRANSLATE(B117, ""en"", ""zh"")"),"对手加强了一角防守，你如何应对？")</f>
        <v>对手加强了一角防守，你如何应对？</v>
      </c>
      <c r="J117" s="24" t="str">
        <f>IFERROR(__xludf.DUMMYFUNCTION("GOOGLETRANSLATE(C117, ""en"", ""zh"")"),"A) 攻击薄弱环节 B) 忽略 C) 牺牲 D) 随机行动")</f>
        <v>A) 攻击薄弱环节 B) 忽略 C) 牺牲 D) 随机行动</v>
      </c>
      <c r="K117" s="24" t="str">
        <f>IFERROR(__xludf.DUMMYFUNCTION("GOOGLETRANSLATE(D117, ""en"", ""zh"")"),"A) 按压较弱部位")</f>
        <v>A) 按压较弱部位</v>
      </c>
      <c r="L117" s="24" t="str">
        <f>IFERROR(__xludf.DUMMYFUNCTION("GOOGLETRANSLATE(E117, ""en"", ""zh"")"),"#VALUE!")</f>
        <v>#VALUE!</v>
      </c>
      <c r="M117" s="21"/>
      <c r="N117" s="21"/>
      <c r="O117" s="21"/>
      <c r="P117" s="21"/>
      <c r="Q117" s="19"/>
      <c r="R117" s="19"/>
      <c r="S117" s="19"/>
      <c r="T117" s="19"/>
      <c r="U117" s="19"/>
      <c r="V117" s="19"/>
      <c r="W117" s="19"/>
      <c r="X117" s="19"/>
      <c r="Y117" s="19"/>
      <c r="Z117" s="19"/>
    </row>
    <row r="118">
      <c r="A118" s="37">
        <v>117.0</v>
      </c>
      <c r="B118" s="12" t="s">
        <v>2131</v>
      </c>
      <c r="C118" s="12" t="s">
        <v>2132</v>
      </c>
      <c r="D118" s="12" t="s">
        <v>2133</v>
      </c>
      <c r="E118" s="27"/>
      <c r="F118" s="21"/>
      <c r="G118" s="21"/>
      <c r="H118" s="21"/>
      <c r="I118" s="24" t="str">
        <f>IFERROR(__xludf.DUMMYFUNCTION("GOOGLETRANSLATE(B118, ""en"", ""zh"")"),"梯子威胁正在出现。你应该如何应对？")</f>
        <v>梯子威胁正在出现。你应该如何应对？</v>
      </c>
      <c r="J118" s="24" t="str">
        <f>IFERROR(__xludf.DUMMYFUNCTION("GOOGLETRANSLATE(C118, ""en"", ""zh"")"),"A) 阻挡或逃脱 B) 无视 C) 牺牲 D) 转移到其他地方")</f>
        <v>A) 阻挡或逃脱 B) 无视 C) 牺牲 D) 转移到其他地方</v>
      </c>
      <c r="K118" s="24" t="str">
        <f>IFERROR(__xludf.DUMMYFUNCTION("GOOGLETRANSLATE(D118, ""en"", ""zh"")"),"A) 阻挡或逃脱")</f>
        <v>A) 阻挡或逃脱</v>
      </c>
      <c r="L118" s="24" t="str">
        <f>IFERROR(__xludf.DUMMYFUNCTION("GOOGLETRANSLATE(E118, ""en"", ""zh"")"),"#VALUE!")</f>
        <v>#VALUE!</v>
      </c>
      <c r="M118" s="21"/>
      <c r="N118" s="21"/>
      <c r="O118" s="21"/>
      <c r="P118" s="21"/>
      <c r="Q118" s="19"/>
      <c r="R118" s="19"/>
      <c r="S118" s="19"/>
      <c r="T118" s="19"/>
      <c r="U118" s="19"/>
      <c r="V118" s="19"/>
      <c r="W118" s="19"/>
      <c r="X118" s="19"/>
      <c r="Y118" s="19"/>
      <c r="Z118" s="19"/>
    </row>
    <row r="119">
      <c r="A119" s="37">
        <v>118.0</v>
      </c>
      <c r="B119" s="12" t="s">
        <v>2134</v>
      </c>
      <c r="C119" s="12" t="s">
        <v>2135</v>
      </c>
      <c r="D119" s="12" t="s">
        <v>2136</v>
      </c>
      <c r="E119" s="27"/>
      <c r="F119" s="21"/>
      <c r="G119" s="21"/>
      <c r="H119" s="21"/>
      <c r="I119" s="24" t="str">
        <f>IFERROR(__xludf.DUMMYFUNCTION("GOOGLETRANSLATE(B119, ""en"", ""zh"")"),"为了生存，你可以创造两只眼睛。该怎么做？")</f>
        <v>为了生存，你可以创造两只眼睛。该怎么做？</v>
      </c>
      <c r="J119" s="24" t="str">
        <f>IFERROR(__xludf.DUMMYFUNCTION("GOOGLETRANSLATE(C119, ""en"", ""zh"")"),"A) 玩出眼神 B) 忽略 C) 牺牲 D) 玩别处")</f>
        <v>A) 玩出眼神 B) 忽略 C) 牺牲 D) 玩别处</v>
      </c>
      <c r="K119" s="24" t="str">
        <f>IFERROR(__xludf.DUMMYFUNCTION("GOOGLETRANSLATE(D119, ""en"", ""zh"")"),"A) 玩耍形成眼睛")</f>
        <v>A) 玩耍形成眼睛</v>
      </c>
      <c r="L119" s="24" t="str">
        <f>IFERROR(__xludf.DUMMYFUNCTION("GOOGLETRANSLATE(E119, ""en"", ""zh"")"),"#VALUE!")</f>
        <v>#VALUE!</v>
      </c>
      <c r="M119" s="21"/>
      <c r="N119" s="21"/>
      <c r="O119" s="21"/>
      <c r="P119" s="21"/>
      <c r="Q119" s="19"/>
      <c r="R119" s="19"/>
      <c r="S119" s="19"/>
      <c r="T119" s="19"/>
      <c r="U119" s="19"/>
      <c r="V119" s="19"/>
      <c r="W119" s="19"/>
      <c r="X119" s="19"/>
      <c r="Y119" s="19"/>
      <c r="Z119" s="19"/>
    </row>
    <row r="120">
      <c r="A120" s="37">
        <v>119.0</v>
      </c>
      <c r="B120" s="12" t="s">
        <v>2137</v>
      </c>
      <c r="C120" s="12" t="s">
        <v>2029</v>
      </c>
      <c r="D120" s="12" t="s">
        <v>2030</v>
      </c>
      <c r="E120" s="27"/>
      <c r="F120" s="21"/>
      <c r="G120" s="21"/>
      <c r="H120" s="21"/>
      <c r="I120" s="24" t="str">
        <f>IFERROR(__xludf.DUMMYFUNCTION("GOOGLETRANSLATE(B120, ""en"", ""zh"")"),"对手留下了一个切入点。最佳应对策略是什么？")</f>
        <v>对手留下了一个切入点。最佳应对策略是什么？</v>
      </c>
      <c r="J120" s="24" t="str">
        <f>IFERROR(__xludf.DUMMYFUNCTION("GOOGLETRANSLATE(C120, ""en"", ""zh"")"),"A) 立即切断 B) 忽略 C) 牺牲 D) 转移到其他地方")</f>
        <v>A) 立即切断 B) 忽略 C) 牺牲 D) 转移到其他地方</v>
      </c>
      <c r="K120" s="24" t="str">
        <f>IFERROR(__xludf.DUMMYFUNCTION("GOOGLETRANSLATE(D120, ""en"", ""zh"")"),"A) 立即切开")</f>
        <v>A) 立即切开</v>
      </c>
      <c r="L120" s="24" t="str">
        <f>IFERROR(__xludf.DUMMYFUNCTION("GOOGLETRANSLATE(E120, ""en"", ""zh"")"),"#VALUE!")</f>
        <v>#VALUE!</v>
      </c>
      <c r="M120" s="21"/>
      <c r="N120" s="21"/>
      <c r="O120" s="21"/>
      <c r="P120" s="21"/>
      <c r="Q120" s="19"/>
      <c r="R120" s="19"/>
      <c r="S120" s="19"/>
      <c r="T120" s="19"/>
      <c r="U120" s="19"/>
      <c r="V120" s="19"/>
      <c r="W120" s="19"/>
      <c r="X120" s="19"/>
      <c r="Y120" s="19"/>
      <c r="Z120" s="19"/>
    </row>
    <row r="121">
      <c r="A121" s="37">
        <v>120.0</v>
      </c>
      <c r="B121" s="12" t="s">
        <v>2138</v>
      </c>
      <c r="C121" s="12" t="s">
        <v>2038</v>
      </c>
      <c r="D121" s="12" t="s">
        <v>2039</v>
      </c>
      <c r="E121" s="27"/>
      <c r="F121" s="21"/>
      <c r="G121" s="21"/>
      <c r="H121" s="21"/>
      <c r="I121" s="24" t="str">
        <f>IFERROR(__xludf.DUMMYFUNCTION("GOOGLETRANSLATE(B121, ""en"", ""zh"")"),"你注意到中心区域有一大片潜在领地。你会怎么做？")</f>
        <v>你注意到中心区域有一大片潜在领地。你会怎么做？</v>
      </c>
      <c r="J121" s="24" t="str">
        <f>IFERROR(__xludf.DUMMYFUNCTION("GOOGLETRANSLATE(C121, ""en"", ""zh"")"),"A) 扩大影响力 B) 无视 C) 牺牲 D) 随机行动")</f>
        <v>A) 扩大影响力 B) 无视 C) 牺牲 D) 随机行动</v>
      </c>
      <c r="K121" s="24" t="str">
        <f>IFERROR(__xludf.DUMMYFUNCTION("GOOGLETRANSLATE(D121, ""en"", ""zh"")"),"A) 扩大影响力")</f>
        <v>A) 扩大影响力</v>
      </c>
      <c r="L121" s="24" t="str">
        <f>IFERROR(__xludf.DUMMYFUNCTION("GOOGLETRANSLATE(E121, ""en"", ""zh"")"),"#VALUE!")</f>
        <v>#VALUE!</v>
      </c>
      <c r="M121" s="21"/>
      <c r="N121" s="21"/>
      <c r="O121" s="21"/>
      <c r="P121" s="21"/>
      <c r="Q121" s="19"/>
      <c r="R121" s="19"/>
      <c r="S121" s="19"/>
      <c r="T121" s="19"/>
      <c r="U121" s="19"/>
      <c r="V121" s="19"/>
      <c r="W121" s="19"/>
      <c r="X121" s="19"/>
      <c r="Y121" s="19"/>
      <c r="Z121" s="19"/>
    </row>
    <row r="122">
      <c r="A122" s="37">
        <v>121.0</v>
      </c>
      <c r="B122" s="12" t="s">
        <v>2139</v>
      </c>
      <c r="C122" s="12" t="s">
        <v>2140</v>
      </c>
      <c r="D122" s="12" t="s">
        <v>2141</v>
      </c>
      <c r="E122" s="27"/>
      <c r="F122" s="21"/>
      <c r="G122" s="21"/>
      <c r="H122" s="21"/>
      <c r="I122" s="24" t="str">
        <f>IFERROR(__xludf.DUMMYFUNCTION("GOOGLETRANSLATE(B122, ""en"", ""zh"")"),"你注意到对手试图在场地中央使出大莫约（moyo）。你该如何应对？")</f>
        <v>你注意到对手试图在场地中央使出大莫约（moyo）。你该如何应对？</v>
      </c>
      <c r="J122" s="24" t="str">
        <f>IFERROR(__xludf.DUMMYFUNCTION("GOOGLETRANSLATE(C122, ""en"", ""zh"")"),"A) 渗透并削弱 B) 无视 C) 牺牲 D) 随机行动")</f>
        <v>A) 渗透并削弱 B) 无视 C) 牺牲 D) 随机行动</v>
      </c>
      <c r="K122" s="24" t="str">
        <f>IFERROR(__xludf.DUMMYFUNCTION("GOOGLETRANSLATE(D122, ""en"", ""zh"")"),"A) 渗透并减少")</f>
        <v>A) 渗透并减少</v>
      </c>
      <c r="L122" s="24" t="str">
        <f>IFERROR(__xludf.DUMMYFUNCTION("GOOGLETRANSLATE(E122, ""en"", ""zh"")"),"#VALUE!")</f>
        <v>#VALUE!</v>
      </c>
      <c r="M122" s="21"/>
      <c r="N122" s="21"/>
      <c r="O122" s="21"/>
      <c r="P122" s="21"/>
      <c r="Q122" s="19"/>
      <c r="R122" s="19"/>
      <c r="S122" s="19"/>
      <c r="T122" s="19"/>
      <c r="U122" s="19"/>
      <c r="V122" s="19"/>
      <c r="W122" s="19"/>
      <c r="X122" s="19"/>
      <c r="Y122" s="19"/>
      <c r="Z122" s="19"/>
    </row>
    <row r="123">
      <c r="A123" s="37">
        <v>122.0</v>
      </c>
      <c r="B123" s="12" t="s">
        <v>2142</v>
      </c>
      <c r="C123" s="12" t="s">
        <v>2143</v>
      </c>
      <c r="D123" s="12" t="s">
        <v>2144</v>
      </c>
      <c r="E123" s="27"/>
      <c r="F123" s="21"/>
      <c r="G123" s="21"/>
      <c r="H123" s="21"/>
      <c r="I123" s="24" t="str">
        <f>IFERROR(__xludf.DUMMYFUNCTION("GOOGLETRANSLATE(B123, ""en"", ""zh"")"),"游戏中期，你的弱势群体受到威胁。你最好的应对策略是什么？")</f>
        <v>游戏中期，你的弱势群体受到威胁。你最好的应对策略是什么？</v>
      </c>
      <c r="J123" s="24" t="str">
        <f>IFERROR(__xludf.DUMMYFUNCTION("GOOGLETRANSLATE(C123, ""en"", ""zh"")"),"A) 连接或创造眼神 B) 忽略 C) 牺牲 D) 在别处玩耍")</f>
        <v>A) 连接或创造眼神 B) 忽略 C) 牺牲 D) 在别处玩耍</v>
      </c>
      <c r="K123" s="24" t="str">
        <f>IFERROR(__xludf.DUMMYFUNCTION("GOOGLETRANSLATE(D123, ""en"", ""zh"")"),"A) 连接或创建眼睛")</f>
        <v>A) 连接或创建眼睛</v>
      </c>
      <c r="L123" s="24" t="str">
        <f>IFERROR(__xludf.DUMMYFUNCTION("GOOGLETRANSLATE(E123, ""en"", ""zh"")"),"#VALUE!")</f>
        <v>#VALUE!</v>
      </c>
      <c r="M123" s="21"/>
      <c r="N123" s="21"/>
      <c r="O123" s="21"/>
      <c r="P123" s="21"/>
      <c r="Q123" s="19"/>
      <c r="R123" s="19"/>
      <c r="S123" s="19"/>
      <c r="T123" s="19"/>
      <c r="U123" s="19"/>
      <c r="V123" s="19"/>
      <c r="W123" s="19"/>
      <c r="X123" s="19"/>
      <c r="Y123" s="19"/>
      <c r="Z123" s="19"/>
    </row>
    <row r="124">
      <c r="A124" s="37">
        <v>123.0</v>
      </c>
      <c r="B124" s="12" t="s">
        <v>2145</v>
      </c>
      <c r="C124" s="12" t="s">
        <v>2146</v>
      </c>
      <c r="D124" s="12" t="s">
        <v>2147</v>
      </c>
      <c r="E124" s="27"/>
      <c r="F124" s="21"/>
      <c r="G124" s="21"/>
      <c r="H124" s="21"/>
      <c r="I124" s="24" t="str">
        <f>IFERROR(__xludf.DUMMYFUNCTION("GOOGLETRANSLATE(B124, ""en"", ""zh"")"),"你的对手牺牲棋子来获取影响力。你应该如何应对？")</f>
        <v>你的对手牺牲棋子来获取影响力。你应该如何应对？</v>
      </c>
      <c r="J124" s="24" t="str">
        <f>IFERROR(__xludf.DUMMYFUNCTION("GOOGLETRANSLATE(C124, ""en"", ""zh"")"),"A) 评估收益并做出反应 B) 忽略 C) 牺牲 D) 随机行动")</f>
        <v>A) 评估收益并做出反应 B) 忽略 C) 牺牲 D) 随机行动</v>
      </c>
      <c r="K124" s="24" t="str">
        <f>IFERROR(__xludf.DUMMYFUNCTION("GOOGLETRANSLATE(D124, ""en"", ""zh"")"),"A) 评估效益并做出回应")</f>
        <v>A) 评估效益并做出回应</v>
      </c>
      <c r="L124" s="24" t="str">
        <f>IFERROR(__xludf.DUMMYFUNCTION("GOOGLETRANSLATE(E124, ""en"", ""zh"")"),"#VALUE!")</f>
        <v>#VALUE!</v>
      </c>
      <c r="M124" s="21"/>
      <c r="N124" s="21"/>
      <c r="O124" s="21"/>
      <c r="P124" s="21"/>
      <c r="Q124" s="19"/>
      <c r="R124" s="19"/>
      <c r="S124" s="19"/>
      <c r="T124" s="19"/>
      <c r="U124" s="19"/>
      <c r="V124" s="19"/>
      <c r="W124" s="19"/>
      <c r="X124" s="19"/>
      <c r="Y124" s="19"/>
      <c r="Z124" s="19"/>
    </row>
    <row r="125">
      <c r="A125" s="37">
        <v>124.0</v>
      </c>
      <c r="B125" s="12" t="s">
        <v>2148</v>
      </c>
      <c r="C125" s="12" t="s">
        <v>2149</v>
      </c>
      <c r="D125" s="12" t="s">
        <v>2150</v>
      </c>
      <c r="E125" s="27"/>
      <c r="F125" s="21"/>
      <c r="G125" s="21"/>
      <c r="H125" s="21"/>
      <c r="I125" s="24" t="str">
        <f>IFERROR(__xludf.DUMMYFUNCTION("GOOGLETRANSLATE(B125, ""en"", ""zh"")"),"你可以制造双重威胁。你会怎么做？")</f>
        <v>你可以制造双重威胁。你会怎么做？</v>
      </c>
      <c r="J125" s="24" t="str">
        <f>IFERROR(__xludf.DUMMYFUNCTION("GOOGLETRANSLATE(C125, ""en"", ""zh"")"),"A) 执行两项威胁 B) 忽略 C) 牺牲 D) 另寻他处")</f>
        <v>A) 执行两项威胁 B) 忽略 C) 牺牲 D) 另寻他处</v>
      </c>
      <c r="K125" s="24" t="str">
        <f>IFERROR(__xludf.DUMMYFUNCTION("GOOGLETRANSLATE(D125, ""en"", ""zh"")"),"A) 执行两种威胁")</f>
        <v>A) 执行两种威胁</v>
      </c>
      <c r="L125" s="24" t="str">
        <f>IFERROR(__xludf.DUMMYFUNCTION("GOOGLETRANSLATE(E125, ""en"", ""zh"")"),"#VALUE!")</f>
        <v>#VALUE!</v>
      </c>
      <c r="M125" s="21"/>
      <c r="N125" s="21"/>
      <c r="O125" s="21"/>
      <c r="P125" s="21"/>
      <c r="Q125" s="19"/>
      <c r="R125" s="19"/>
      <c r="S125" s="19"/>
      <c r="T125" s="19"/>
      <c r="U125" s="19"/>
      <c r="V125" s="19"/>
      <c r="W125" s="19"/>
      <c r="X125" s="19"/>
      <c r="Y125" s="19"/>
      <c r="Z125" s="19"/>
    </row>
    <row r="126">
      <c r="A126" s="37">
        <v>125.0</v>
      </c>
      <c r="B126" s="12" t="s">
        <v>2151</v>
      </c>
      <c r="C126" s="12" t="s">
        <v>2152</v>
      </c>
      <c r="D126" s="12" t="s">
        <v>2153</v>
      </c>
      <c r="E126" s="27"/>
      <c r="F126" s="21"/>
      <c r="G126" s="21"/>
      <c r="H126" s="21"/>
      <c r="I126" s="24" t="str">
        <f>IFERROR(__xludf.DUMMYFUNCTION("GOOGLETRANSLATE(B126, ""en"", ""zh"")"),"对手大幅加强了一方的实力，你该如何应对？")</f>
        <v>对手大幅加强了一方的实力，你该如何应对？</v>
      </c>
      <c r="J126" s="24" t="str">
        <f>IFERROR(__xludf.DUMMYFUNCTION("GOOGLETRANSLATE(C126, ""en"", ""zh"")"),"A) 攻击弱势一方 B) 无视 C) 牺牲 D) 随机行动")</f>
        <v>A) 攻击弱势一方 B) 无视 C) 牺牲 D) 随机行动</v>
      </c>
      <c r="K126" s="24" t="str">
        <f>IFERROR(__xludf.DUMMYFUNCTION("GOOGLETRANSLATE(D126, ""en"", ""zh"")"),"A) 攻击弱点")</f>
        <v>A) 攻击弱点</v>
      </c>
      <c r="L126" s="24" t="str">
        <f>IFERROR(__xludf.DUMMYFUNCTION("GOOGLETRANSLATE(E126, ""en"", ""zh"")"),"#VALUE!")</f>
        <v>#VALUE!</v>
      </c>
      <c r="M126" s="21"/>
      <c r="N126" s="21"/>
      <c r="O126" s="21"/>
      <c r="P126" s="21"/>
      <c r="Q126" s="19"/>
      <c r="R126" s="19"/>
      <c r="S126" s="19"/>
      <c r="T126" s="19"/>
      <c r="U126" s="19"/>
      <c r="V126" s="19"/>
      <c r="W126" s="19"/>
      <c r="X126" s="19"/>
      <c r="Y126" s="19"/>
      <c r="Z126" s="19"/>
    </row>
    <row r="127">
      <c r="A127" s="37">
        <v>126.0</v>
      </c>
      <c r="B127" s="12" t="s">
        <v>2154</v>
      </c>
      <c r="C127" s="12" t="s">
        <v>2155</v>
      </c>
      <c r="D127" s="12" t="s">
        <v>2156</v>
      </c>
      <c r="E127" s="27"/>
      <c r="F127" s="21"/>
      <c r="G127" s="21"/>
      <c r="H127" s="21"/>
      <c r="I127" s="24" t="str">
        <f>IFERROR(__xludf.DUMMYFUNCTION("GOOGLETRANSLATE(B127, ""en"", ""zh"")"),"你看到了一个晋升的机会。你会怎么做？")</f>
        <v>你看到了一个晋升的机会。你会怎么做？</v>
      </c>
      <c r="J127" s="24" t="str">
        <f>IFERROR(__xludf.DUMMYFUNCTION("GOOGLETRANSLATE(C127, ""en"", ""zh"")"),"A) 执行梯子 B) 忽略 C) 牺牲 D) 在其他地方玩")</f>
        <v>A) 执行梯子 B) 忽略 C) 牺牲 D) 在其他地方玩</v>
      </c>
      <c r="K127" s="24" t="str">
        <f>IFERROR(__xludf.DUMMYFUNCTION("GOOGLETRANSLATE(D127, ""en"", ""zh"")"),"A) 执行梯形图")</f>
        <v>A) 执行梯形图</v>
      </c>
      <c r="L127" s="24" t="str">
        <f>IFERROR(__xludf.DUMMYFUNCTION("GOOGLETRANSLATE(E127, ""en"", ""zh"")"),"#VALUE!")</f>
        <v>#VALUE!</v>
      </c>
      <c r="M127" s="21"/>
      <c r="N127" s="21"/>
      <c r="O127" s="21"/>
      <c r="P127" s="21"/>
      <c r="Q127" s="19"/>
      <c r="R127" s="19"/>
      <c r="S127" s="19"/>
      <c r="T127" s="19"/>
      <c r="U127" s="19"/>
      <c r="V127" s="19"/>
      <c r="W127" s="19"/>
      <c r="X127" s="19"/>
      <c r="Y127" s="19"/>
      <c r="Z127" s="19"/>
    </row>
    <row r="128">
      <c r="A128" s="37">
        <v>127.0</v>
      </c>
      <c r="B128" s="12" t="s">
        <v>2157</v>
      </c>
      <c r="C128" s="12" t="s">
        <v>2158</v>
      </c>
      <c r="D128" s="12" t="s">
        <v>2030</v>
      </c>
      <c r="E128" s="27"/>
      <c r="F128" s="21"/>
      <c r="G128" s="21"/>
      <c r="H128" s="21"/>
      <c r="I128" s="24" t="str">
        <f>IFERROR(__xludf.DUMMYFUNCTION("GOOGLETRANSLATE(B128, ""en"", ""zh"")"),"游戏中期，你有机会裁掉两组人。你会怎么做？")</f>
        <v>游戏中期，你有机会裁掉两组人。你会怎么做？</v>
      </c>
      <c r="J128" s="24" t="str">
        <f>IFERROR(__xludf.DUMMYFUNCTION("GOOGLETRANSLATE(C128, ""en"", ""zh"")"),"A) 立即切断 B) 忽略 C) 牺牲 D) 随机玩")</f>
        <v>A) 立即切断 B) 忽略 C) 牺牲 D) 随机玩</v>
      </c>
      <c r="K128" s="24" t="str">
        <f>IFERROR(__xludf.DUMMYFUNCTION("GOOGLETRANSLATE(D128, ""en"", ""zh"")"),"A) 立即切开")</f>
        <v>A) 立即切开</v>
      </c>
      <c r="L128" s="24" t="str">
        <f>IFERROR(__xludf.DUMMYFUNCTION("GOOGLETRANSLATE(E128, ""en"", ""zh"")"),"#VALUE!")</f>
        <v>#VALUE!</v>
      </c>
      <c r="M128" s="21"/>
      <c r="N128" s="21"/>
      <c r="O128" s="21"/>
      <c r="P128" s="21"/>
      <c r="Q128" s="19"/>
      <c r="R128" s="19"/>
      <c r="S128" s="19"/>
      <c r="T128" s="19"/>
      <c r="U128" s="19"/>
      <c r="V128" s="19"/>
      <c r="W128" s="19"/>
      <c r="X128" s="19"/>
      <c r="Y128" s="19"/>
      <c r="Z128" s="19"/>
    </row>
    <row r="129">
      <c r="A129" s="37">
        <v>128.0</v>
      </c>
      <c r="B129" s="12" t="s">
        <v>2159</v>
      </c>
      <c r="C129" s="12" t="s">
        <v>2160</v>
      </c>
      <c r="D129" s="12" t="s">
        <v>2000</v>
      </c>
      <c r="E129" s="27"/>
      <c r="F129" s="21"/>
      <c r="G129" s="21"/>
      <c r="H129" s="21"/>
      <c r="I129" s="24" t="str">
        <f>IFERROR(__xludf.DUMMYFUNCTION("GOOGLETRANSLATE(B129, ""en"", ""zh"")"),"你的棋子在棋盘上分散开来。最佳策略是什么？")</f>
        <v>你的棋子在棋盘上分散开来。最佳策略是什么？</v>
      </c>
      <c r="J129" s="24" t="str">
        <f>IFERROR(__xludf.DUMMYFUNCTION("GOOGLETRANSLATE(C129, ""en"", ""zh"")"),"A) 连接棋子 B) 忽略 C) 牺牲 D) 放置于其他位置")</f>
        <v>A) 连接棋子 B) 忽略 C) 牺牲 D) 放置于其他位置</v>
      </c>
      <c r="K129" s="24" t="str">
        <f>IFERROR(__xludf.DUMMYFUNCTION("GOOGLETRANSLATE(D129, ""en"", ""zh"")"),"A) 连接石头")</f>
        <v>A) 连接石头</v>
      </c>
      <c r="L129" s="24" t="str">
        <f>IFERROR(__xludf.DUMMYFUNCTION("GOOGLETRANSLATE(E129, ""en"", ""zh"")"),"#VALUE!")</f>
        <v>#VALUE!</v>
      </c>
      <c r="M129" s="21"/>
      <c r="N129" s="21"/>
      <c r="O129" s="21"/>
      <c r="P129" s="21"/>
      <c r="Q129" s="19"/>
      <c r="R129" s="19"/>
      <c r="S129" s="19"/>
      <c r="T129" s="19"/>
      <c r="U129" s="19"/>
      <c r="V129" s="19"/>
      <c r="W129" s="19"/>
      <c r="X129" s="19"/>
      <c r="Y129" s="19"/>
      <c r="Z129" s="19"/>
    </row>
    <row r="130">
      <c r="A130" s="37">
        <v>129.0</v>
      </c>
      <c r="B130" s="12" t="s">
        <v>2161</v>
      </c>
      <c r="C130" s="12" t="s">
        <v>2162</v>
      </c>
      <c r="D130" s="12" t="s">
        <v>2163</v>
      </c>
      <c r="E130" s="27"/>
      <c r="F130" s="21"/>
      <c r="G130" s="21"/>
      <c r="H130" s="21"/>
      <c r="I130" s="24" t="str">
        <f>IFERROR(__xludf.DUMMYFUNCTION("GOOGLETRANSLATE(B130, ""en"", ""zh"")"),"对手留下一个空三角形。你应该如何应对？")</f>
        <v>对手留下一个空三角形。你应该如何应对？</v>
      </c>
      <c r="J130" s="24" t="str">
        <f>IFERROR(__xludf.DUMMYFUNCTION("GOOGLETRANSLATE(C130, ""en"", ""zh"")"),"A) 利用形状优势下注 B) 忽略形状优势 C) 牺牲掉一方 D) 随机下注")</f>
        <v>A) 利用形状优势下注 B) 忽略形状优势 C) 牺牲掉一方 D) 随机下注</v>
      </c>
      <c r="K130" s="24" t="str">
        <f>IFERROR(__xludf.DUMMYFUNCTION("GOOGLETRANSLATE(D130, ""en"", ""zh"")"),"A) 利用形状优势进行比赛")</f>
        <v>A) 利用形状优势进行比赛</v>
      </c>
      <c r="L130" s="24" t="str">
        <f>IFERROR(__xludf.DUMMYFUNCTION("GOOGLETRANSLATE(E130, ""en"", ""zh"")"),"#VALUE!")</f>
        <v>#VALUE!</v>
      </c>
      <c r="M130" s="21"/>
      <c r="N130" s="21"/>
      <c r="O130" s="21"/>
      <c r="P130" s="21"/>
      <c r="Q130" s="19"/>
      <c r="R130" s="19"/>
      <c r="S130" s="19"/>
      <c r="T130" s="19"/>
      <c r="U130" s="19"/>
      <c r="V130" s="19"/>
      <c r="W130" s="19"/>
      <c r="X130" s="19"/>
      <c r="Y130" s="19"/>
      <c r="Z130" s="19"/>
    </row>
    <row r="131">
      <c r="A131" s="37">
        <v>130.0</v>
      </c>
      <c r="B131" s="12" t="s">
        <v>2164</v>
      </c>
      <c r="C131" s="12" t="s">
        <v>2165</v>
      </c>
      <c r="D131" s="12" t="s">
        <v>2166</v>
      </c>
      <c r="E131" s="27"/>
      <c r="F131" s="21"/>
      <c r="G131" s="21"/>
      <c r="H131" s="21"/>
      <c r="I131" s="24" t="str">
        <f>IFERROR(__xludf.DUMMYFUNCTION("GOOGLETRANSLATE(B131, ""en"", ""zh"")"),"你可以威胁对手的视线范围。接下来该怎么做？")</f>
        <v>你可以威胁对手的视线范围。接下来该怎么做？</v>
      </c>
      <c r="J131" s="24" t="str">
        <f>IFERROR(__xludf.DUMMYFUNCTION("GOOGLETRANSLATE(C131, ""en"", ""zh"")"),"A) 立即攻击 B) 无视 C) 牺牲 D) 转移到其他地方")</f>
        <v>A) 立即攻击 B) 无视 C) 牺牲 D) 转移到其他地方</v>
      </c>
      <c r="K131" s="24" t="str">
        <f>IFERROR(__xludf.DUMMYFUNCTION("GOOGLETRANSLATE(D131, ""en"", ""zh"")"),"A) 立即攻击")</f>
        <v>A) 立即攻击</v>
      </c>
      <c r="L131" s="24" t="str">
        <f>IFERROR(__xludf.DUMMYFUNCTION("GOOGLETRANSLATE(E131, ""en"", ""zh"")"),"#VALUE!")</f>
        <v>#VALUE!</v>
      </c>
      <c r="M131" s="21"/>
      <c r="N131" s="21"/>
      <c r="O131" s="21"/>
      <c r="P131" s="21"/>
      <c r="Q131" s="19"/>
      <c r="R131" s="19"/>
      <c r="S131" s="19"/>
      <c r="T131" s="19"/>
      <c r="U131" s="19"/>
      <c r="V131" s="19"/>
      <c r="W131" s="19"/>
      <c r="X131" s="19"/>
      <c r="Y131" s="19"/>
      <c r="Z131" s="19"/>
    </row>
    <row r="132">
      <c r="A132" s="37">
        <v>131.0</v>
      </c>
      <c r="B132" s="12" t="s">
        <v>2167</v>
      </c>
      <c r="C132" s="12" t="s">
        <v>2168</v>
      </c>
      <c r="D132" s="12" t="s">
        <v>2169</v>
      </c>
      <c r="E132" s="27"/>
      <c r="F132" s="21"/>
      <c r="G132" s="21"/>
      <c r="H132" s="21"/>
      <c r="I132" s="24" t="str">
        <f>IFERROR(__xludf.DUMMYFUNCTION("GOOGLETRANSLATE(B132, ""en"", ""zh"")"),"对手在一处角落扩张过快，你该如何应对？")</f>
        <v>对手在一处角落扩张过快，你该如何应对？</v>
      </c>
      <c r="J132" s="24" t="str">
        <f>IFERROR(__xludf.DUMMYFUNCTION("GOOGLETRANSLATE(C132, ""en"", ""zh"")"),"A) 入侵 B) 无视 C) 牺牲 D) 随机游戏")</f>
        <v>A) 入侵 B) 无视 C) 牺牲 D) 随机游戏</v>
      </c>
      <c r="K132" s="24" t="str">
        <f>IFERROR(__xludf.DUMMYFUNCTION("GOOGLETRANSLATE(D132, ""en"", ""zh"")"),"A) 入侵")</f>
        <v>A) 入侵</v>
      </c>
      <c r="L132" s="24" t="str">
        <f>IFERROR(__xludf.DUMMYFUNCTION("GOOGLETRANSLATE(E132, ""en"", ""zh"")"),"#VALUE!")</f>
        <v>#VALUE!</v>
      </c>
      <c r="M132" s="21"/>
      <c r="N132" s="21"/>
      <c r="O132" s="21"/>
      <c r="P132" s="21"/>
      <c r="Q132" s="19"/>
      <c r="R132" s="19"/>
      <c r="S132" s="19"/>
      <c r="T132" s="19"/>
      <c r="U132" s="19"/>
      <c r="V132" s="19"/>
      <c r="W132" s="19"/>
      <c r="X132" s="19"/>
      <c r="Y132" s="19"/>
      <c r="Z132" s="19"/>
    </row>
    <row r="133">
      <c r="A133" s="37">
        <v>132.0</v>
      </c>
      <c r="B133" s="12" t="s">
        <v>2170</v>
      </c>
      <c r="C133" s="12" t="s">
        <v>2171</v>
      </c>
      <c r="D133" s="12" t="s">
        <v>2172</v>
      </c>
      <c r="E133" s="27"/>
      <c r="F133" s="21"/>
      <c r="G133" s="21"/>
      <c r="H133" s="21"/>
      <c r="I133" s="24" t="str">
        <f>IFERROR(__xludf.DUMMYFUNCTION("GOOGLETRANSLATE(B133, ""en"", ""zh"")"),"你们这支实力较弱的队伍已被包围，但有机会逃脱。你们应该怎么做？")</f>
        <v>你们这支实力较弱的队伍已被包围，但有机会逃脱。你们应该怎么做？</v>
      </c>
      <c r="J133" s="24" t="str">
        <f>IFERROR(__xludf.DUMMYFUNCTION("GOOGLETRANSLATE(C133, ""en"", ""zh"")"),"A) 逃脱或连接 B) 无视 C) 牺牲 D) 在别处玩耍")</f>
        <v>A) 逃脱或连接 B) 无视 C) 牺牲 D) 在别处玩耍</v>
      </c>
      <c r="K133" s="24" t="str">
        <f>IFERROR(__xludf.DUMMYFUNCTION("GOOGLETRANSLATE(D133, ""en"", ""zh"")"),"A) 逃脱或连接")</f>
        <v>A) 逃脱或连接</v>
      </c>
      <c r="L133" s="24" t="str">
        <f>IFERROR(__xludf.DUMMYFUNCTION("GOOGLETRANSLATE(E133, ""en"", ""zh"")"),"#VALUE!")</f>
        <v>#VALUE!</v>
      </c>
      <c r="M133" s="21"/>
      <c r="N133" s="21"/>
      <c r="O133" s="21"/>
      <c r="P133" s="21"/>
      <c r="Q133" s="19"/>
      <c r="R133" s="19"/>
      <c r="S133" s="19"/>
      <c r="T133" s="19"/>
      <c r="U133" s="19"/>
      <c r="V133" s="19"/>
      <c r="W133" s="19"/>
      <c r="X133" s="19"/>
      <c r="Y133" s="19"/>
      <c r="Z133" s="19"/>
    </row>
    <row r="134">
      <c r="A134" s="37">
        <v>133.0</v>
      </c>
      <c r="B134" s="12" t="s">
        <v>2173</v>
      </c>
      <c r="C134" s="12" t="s">
        <v>2174</v>
      </c>
      <c r="D134" s="12" t="s">
        <v>2057</v>
      </c>
      <c r="E134" s="27"/>
      <c r="F134" s="21"/>
      <c r="G134" s="21"/>
      <c r="H134" s="21"/>
      <c r="I134" s="24" t="str">
        <f>IFERROR(__xludf.DUMMYFUNCTION("GOOGLETRANSLATE(B134, ""en"", ""zh"")"),"游戏中期，你的棋子附近出现了一场决斗。正确的应对方法是什么？")</f>
        <v>游戏中期，你的棋子附近出现了一场决斗。正确的应对方法是什么？</v>
      </c>
      <c r="J134" s="24" t="str">
        <f>IFERROR(__xludf.DUMMYFUNCTION("GOOGLETRANSLATE(C134, ""en"", ""zh"")"),"A) 准备多个击杀威胁 B) 忽略 C) 牺牲 D) 随机下棋")</f>
        <v>A) 准备多个击杀威胁 B) 忽略 C) 牺牲 D) 随机下棋</v>
      </c>
      <c r="K134" s="24" t="str">
        <f>IFERROR(__xludf.DUMMYFUNCTION("GOOGLETRANSLATE(D134, ""en"", ""zh"")"),"A) 准备多个 ko 威胁")</f>
        <v>A) 准备多个 ko 威胁</v>
      </c>
      <c r="L134" s="24" t="str">
        <f>IFERROR(__xludf.DUMMYFUNCTION("GOOGLETRANSLATE(E134, ""en"", ""zh"")"),"#VALUE!")</f>
        <v>#VALUE!</v>
      </c>
      <c r="M134" s="21"/>
      <c r="N134" s="21"/>
      <c r="O134" s="21"/>
      <c r="P134" s="21"/>
      <c r="Q134" s="19"/>
      <c r="R134" s="19"/>
      <c r="S134" s="19"/>
      <c r="T134" s="19"/>
      <c r="U134" s="19"/>
      <c r="V134" s="19"/>
      <c r="W134" s="19"/>
      <c r="X134" s="19"/>
      <c r="Y134" s="19"/>
      <c r="Z134" s="19"/>
    </row>
    <row r="135">
      <c r="A135" s="37">
        <v>134.0</v>
      </c>
      <c r="B135" s="12" t="s">
        <v>2175</v>
      </c>
      <c r="C135" s="12" t="s">
        <v>2176</v>
      </c>
      <c r="D135" s="12" t="s">
        <v>1834</v>
      </c>
      <c r="E135" s="27"/>
      <c r="F135" s="21"/>
      <c r="G135" s="21"/>
      <c r="H135" s="21"/>
      <c r="I135" s="24" t="str">
        <f>IFERROR(__xludf.DUMMYFUNCTION("GOOGLETRANSLATE(B135, ""en"", ""zh"")"),"你有机会塑造一个鲜活的生命形态。你的下一步是什么？")</f>
        <v>你有机会塑造一个鲜活的生命形态。你的下一步是什么？</v>
      </c>
      <c r="J135" s="24" t="str">
        <f>IFERROR(__xludf.DUMMYFUNCTION("GOOGLETRANSLATE(C135, ""en"", ""zh"")"),"A) 形成两只眼睛 B) 无视 C) 牺牲 D) 在别处玩耍")</f>
        <v>A) 形成两只眼睛 B) 无视 C) 牺牲 D) 在别处玩耍</v>
      </c>
      <c r="K135" s="24" t="str">
        <f>IFERROR(__xludf.DUMMYFUNCTION("GOOGLETRANSLATE(D135, ""en"", ""zh"")"),"A) 形成两个眼睛")</f>
        <v>A) 形成两个眼睛</v>
      </c>
      <c r="L135" s="24" t="str">
        <f>IFERROR(__xludf.DUMMYFUNCTION("GOOGLETRANSLATE(E135, ""en"", ""zh"")"),"#VALUE!")</f>
        <v>#VALUE!</v>
      </c>
      <c r="M135" s="21"/>
      <c r="N135" s="21"/>
      <c r="O135" s="21"/>
      <c r="P135" s="21"/>
      <c r="Q135" s="19"/>
      <c r="R135" s="19"/>
      <c r="S135" s="19"/>
      <c r="T135" s="19"/>
      <c r="U135" s="19"/>
      <c r="V135" s="19"/>
      <c r="W135" s="19"/>
      <c r="X135" s="19"/>
      <c r="Y135" s="19"/>
      <c r="Z135" s="19"/>
    </row>
    <row r="136">
      <c r="A136" s="37">
        <v>135.0</v>
      </c>
      <c r="B136" s="12" t="s">
        <v>2177</v>
      </c>
      <c r="C136" s="12" t="s">
        <v>2178</v>
      </c>
      <c r="D136" s="12" t="s">
        <v>2179</v>
      </c>
      <c r="E136" s="27"/>
      <c r="F136" s="21"/>
      <c r="G136" s="21"/>
      <c r="H136" s="21"/>
      <c r="I136" s="24" t="str">
        <f>IFERROR(__xludf.DUMMYFUNCTION("GOOGLETRANSLATE(B136, ""en"", ""zh"")"),"对手威胁多个弱势群体，你会如何应对？")</f>
        <v>对手威胁多个弱势群体，你会如何应对？</v>
      </c>
      <c r="J136" s="24" t="str">
        <f>IFERROR(__xludf.DUMMYFUNCTION("GOOGLETRANSLATE(C136, ""en"", ""zh"")"),"A) 优先攻击关键目标 B) 忽略 C) 牺牲 D) 随机行动")</f>
        <v>A) 优先攻击关键目标 B) 忽略 C) 牺牲 D) 随机行动</v>
      </c>
      <c r="K136" s="24" t="str">
        <f>IFERROR(__xludf.DUMMYFUNCTION("GOOGLETRANSLATE(D136, ""en"", ""zh"")"),"A) 优先处理关键攻击")</f>
        <v>A) 优先处理关键攻击</v>
      </c>
      <c r="L136" s="24" t="str">
        <f>IFERROR(__xludf.DUMMYFUNCTION("GOOGLETRANSLATE(E136, ""en"", ""zh"")"),"#VALUE!")</f>
        <v>#VALUE!</v>
      </c>
      <c r="M136" s="21"/>
      <c r="N136" s="21"/>
      <c r="O136" s="21"/>
      <c r="P136" s="21"/>
      <c r="Q136" s="19"/>
      <c r="R136" s="19"/>
      <c r="S136" s="19"/>
      <c r="T136" s="19"/>
      <c r="U136" s="19"/>
      <c r="V136" s="19"/>
      <c r="W136" s="19"/>
      <c r="X136" s="19"/>
      <c r="Y136" s="19"/>
      <c r="Z136" s="19"/>
    </row>
    <row r="137">
      <c r="A137" s="38">
        <v>136.0</v>
      </c>
      <c r="B137" s="12" t="s">
        <v>2180</v>
      </c>
      <c r="C137" s="12" t="s">
        <v>2181</v>
      </c>
      <c r="D137" s="12" t="s">
        <v>2182</v>
      </c>
      <c r="E137" s="27"/>
      <c r="F137" s="21"/>
      <c r="G137" s="21"/>
      <c r="H137" s="21"/>
      <c r="I137" s="24" t="str">
        <f>IFERROR(__xludf.DUMMYFUNCTION("GOOGLETRANSLATE(B137, ""en"", ""zh"")"),"你的石头散落一地。最佳策略是什么？")</f>
        <v>你的石头散落一地。最佳策略是什么？</v>
      </c>
      <c r="J137" s="24" t="str">
        <f>IFERROR(__xludf.DUMMYFUNCTION("GOOGLETRANSLATE(C137, ""en"", ""zh"")"),"A) 高效连接它们 B) 忽略它们 C) 牺牲它们 D) 随机玩耍")</f>
        <v>A) 高效连接它们 B) 忽略它们 C) 牺牲它们 D) 随机玩耍</v>
      </c>
      <c r="K137" s="24" t="str">
        <f>IFERROR(__xludf.DUMMYFUNCTION("GOOGLETRANSLATE(D137, ""en"", ""zh"")"),"A) 高效连接它们")</f>
        <v>A) 高效连接它们</v>
      </c>
      <c r="L137" s="24" t="str">
        <f>IFERROR(__xludf.DUMMYFUNCTION("GOOGLETRANSLATE(E137, ""en"", ""zh"")"),"#VALUE!")</f>
        <v>#VALUE!</v>
      </c>
      <c r="M137" s="21"/>
      <c r="N137" s="21"/>
      <c r="O137" s="21"/>
      <c r="P137" s="21"/>
      <c r="Q137" s="19"/>
      <c r="R137" s="19"/>
      <c r="S137" s="19"/>
      <c r="T137" s="19"/>
      <c r="U137" s="19"/>
      <c r="V137" s="19"/>
      <c r="W137" s="19"/>
      <c r="X137" s="19"/>
      <c r="Y137" s="19"/>
      <c r="Z137" s="19"/>
    </row>
    <row r="138">
      <c r="A138" s="38">
        <v>137.0</v>
      </c>
      <c r="B138" s="12" t="s">
        <v>2183</v>
      </c>
      <c r="C138" s="12" t="s">
        <v>2035</v>
      </c>
      <c r="D138" s="12" t="s">
        <v>2036</v>
      </c>
      <c r="E138" s="27"/>
      <c r="F138" s="21"/>
      <c r="G138" s="21"/>
      <c r="H138" s="21"/>
      <c r="I138" s="24" t="str">
        <f>IFERROR(__xludf.DUMMYFUNCTION("GOOGLETRANSLATE(B138, ""en"", ""zh"")"),"对手在某一方建立影响力，你应该如何应对？")</f>
        <v>对手在某一方建立影响力，你应该如何应对？</v>
      </c>
      <c r="J138" s="24" t="str">
        <f>IFERROR(__xludf.DUMMYFUNCTION("GOOGLETRANSLATE(C138, ""en"", ""zh"")"),"A) 减少入侵的影响 B) 忽略 C) 牺牲 D) 随机行动")</f>
        <v>A) 减少入侵的影响 B) 忽略 C) 牺牲 D) 随机行动</v>
      </c>
      <c r="K138" s="24" t="str">
        <f>IFERROR(__xludf.DUMMYFUNCTION("GOOGLETRANSLATE(D138, ""en"", ""zh"")"),"A) 减少入侵的影响")</f>
        <v>A) 减少入侵的影响</v>
      </c>
      <c r="L138" s="24" t="str">
        <f>IFERROR(__xludf.DUMMYFUNCTION("GOOGLETRANSLATE(E138, ""en"", ""zh"")"),"#VALUE!")</f>
        <v>#VALUE!</v>
      </c>
      <c r="M138" s="21"/>
      <c r="N138" s="21"/>
      <c r="O138" s="21"/>
      <c r="P138" s="21"/>
      <c r="Q138" s="19"/>
      <c r="R138" s="19"/>
      <c r="S138" s="19"/>
      <c r="T138" s="19"/>
      <c r="U138" s="19"/>
      <c r="V138" s="19"/>
      <c r="W138" s="19"/>
      <c r="X138" s="19"/>
      <c r="Y138" s="19"/>
      <c r="Z138" s="19"/>
    </row>
    <row r="139">
      <c r="A139" s="38">
        <v>138.0</v>
      </c>
      <c r="B139" s="12" t="s">
        <v>2184</v>
      </c>
      <c r="C139" s="12" t="s">
        <v>2059</v>
      </c>
      <c r="D139" s="12" t="s">
        <v>2060</v>
      </c>
      <c r="E139" s="27"/>
      <c r="F139" s="21"/>
      <c r="G139" s="21"/>
      <c r="H139" s="21"/>
      <c r="I139" s="24" t="str">
        <f>IFERROR(__xludf.DUMMYFUNCTION("GOOGLETRANSLATE(B139, ""en"", ""zh"")"),"你发现了一个可能有助于生存的空隙。你会怎么做？")</f>
        <v>你发现了一个可能有助于生存的空隙。你会怎么做？</v>
      </c>
      <c r="J139" s="24" t="str">
        <f>IFERROR(__xludf.DUMMYFUNCTION("GOOGLETRANSLATE(C139, ""en"", ""zh"")"),"A) 确保视线空间 B) 忽略 C) 牺牲 D) 随机游戏")</f>
        <v>A) 确保视线空间 B) 忽略 C) 牺牲 D) 随机游戏</v>
      </c>
      <c r="K139" s="24" t="str">
        <f>IFERROR(__xludf.DUMMYFUNCTION("GOOGLETRANSLATE(D139, ""en"", ""zh"")"),"A) 安全的眼部空间")</f>
        <v>A) 安全的眼部空间</v>
      </c>
      <c r="L139" s="24" t="str">
        <f>IFERROR(__xludf.DUMMYFUNCTION("GOOGLETRANSLATE(E139, ""en"", ""zh"")"),"#VALUE!")</f>
        <v>#VALUE!</v>
      </c>
      <c r="M139" s="21"/>
      <c r="N139" s="21"/>
      <c r="O139" s="21"/>
      <c r="P139" s="21"/>
      <c r="Q139" s="19"/>
      <c r="R139" s="19"/>
      <c r="S139" s="19"/>
      <c r="T139" s="19"/>
      <c r="U139" s="19"/>
      <c r="V139" s="19"/>
      <c r="W139" s="19"/>
      <c r="X139" s="19"/>
      <c r="Y139" s="19"/>
      <c r="Z139" s="19"/>
    </row>
    <row r="140">
      <c r="A140" s="38">
        <v>139.0</v>
      </c>
      <c r="B140" s="12" t="s">
        <v>2185</v>
      </c>
      <c r="C140" s="12" t="s">
        <v>2032</v>
      </c>
      <c r="D140" s="12" t="s">
        <v>2033</v>
      </c>
      <c r="E140" s="27"/>
      <c r="F140" s="21"/>
      <c r="G140" s="21"/>
      <c r="H140" s="21"/>
      <c r="I140" s="24" t="str">
        <f>IFERROR(__xludf.DUMMYFUNCTION("GOOGLETRANSLATE(B140, ""en"", ""zh"")"),"比赛中途，对手威胁到你的底角。你应该如何应对？")</f>
        <v>比赛中途，对手威胁到你的底角。你应该如何应对？</v>
      </c>
      <c r="J140" s="24" t="str">
        <f>IFERROR(__xludf.DUMMYFUNCTION("GOOGLETRANSLATE(C140, ""en"", ""zh"")"),"A) 加强角落 B) 忽略 C) 牺牲 D) 随机出牌")</f>
        <v>A) 加强角落 B) 忽略 C) 牺牲 D) 随机出牌</v>
      </c>
      <c r="K140" s="24" t="str">
        <f>IFERROR(__xludf.DUMMYFUNCTION("GOOGLETRANSLATE(D140, ""en"", ""zh"")"),"A) 加固角部")</f>
        <v>A) 加固角部</v>
      </c>
      <c r="L140" s="24" t="str">
        <f>IFERROR(__xludf.DUMMYFUNCTION("GOOGLETRANSLATE(E140, ""en"", ""zh"")"),"#VALUE!")</f>
        <v>#VALUE!</v>
      </c>
      <c r="M140" s="21"/>
      <c r="N140" s="21"/>
      <c r="O140" s="21"/>
      <c r="P140" s="21"/>
      <c r="Q140" s="19"/>
      <c r="R140" s="19"/>
      <c r="S140" s="19"/>
      <c r="T140" s="19"/>
      <c r="U140" s="19"/>
      <c r="V140" s="19"/>
      <c r="W140" s="19"/>
      <c r="X140" s="19"/>
      <c r="Y140" s="19"/>
      <c r="Z140" s="19"/>
    </row>
    <row r="141">
      <c r="A141" s="38">
        <v>140.0</v>
      </c>
      <c r="B141" s="12" t="s">
        <v>2186</v>
      </c>
      <c r="C141" s="12" t="s">
        <v>2029</v>
      </c>
      <c r="D141" s="12" t="s">
        <v>2030</v>
      </c>
      <c r="E141" s="27"/>
      <c r="F141" s="21"/>
      <c r="G141" s="21"/>
      <c r="H141" s="21"/>
      <c r="I141" s="24" t="str">
        <f>IFERROR(__xludf.DUMMYFUNCTION("GOOGLETRANSLATE(B141, ""en"", ""zh"")"),"你可以削减两组对手。你的行动是什么？")</f>
        <v>你可以削减两组对手。你的行动是什么？</v>
      </c>
      <c r="J141" s="24" t="str">
        <f>IFERROR(__xludf.DUMMYFUNCTION("GOOGLETRANSLATE(C141, ""en"", ""zh"")"),"A) 立即切断 B) 忽略 C) 牺牲 D) 转移到其他地方")</f>
        <v>A) 立即切断 B) 忽略 C) 牺牲 D) 转移到其他地方</v>
      </c>
      <c r="K141" s="24" t="str">
        <f>IFERROR(__xludf.DUMMYFUNCTION("GOOGLETRANSLATE(D141, ""en"", ""zh"")"),"A) 立即切开")</f>
        <v>A) 立即切开</v>
      </c>
      <c r="L141" s="24" t="str">
        <f>IFERROR(__xludf.DUMMYFUNCTION("GOOGLETRANSLATE(E141, ""en"", ""zh"")"),"#VALUE!")</f>
        <v>#VALUE!</v>
      </c>
      <c r="M141" s="21"/>
      <c r="N141" s="21"/>
      <c r="O141" s="21"/>
      <c r="P141" s="21"/>
      <c r="Q141" s="19"/>
      <c r="R141" s="19"/>
      <c r="S141" s="19"/>
      <c r="T141" s="19"/>
      <c r="U141" s="19"/>
      <c r="V141" s="19"/>
      <c r="W141" s="19"/>
      <c r="X141" s="19"/>
      <c r="Y141" s="19"/>
      <c r="Z141" s="19"/>
    </row>
    <row r="142">
      <c r="A142" s="38">
        <v>141.0</v>
      </c>
      <c r="B142" s="12" t="s">
        <v>2187</v>
      </c>
      <c r="C142" s="12" t="s">
        <v>2188</v>
      </c>
      <c r="D142" s="12" t="s">
        <v>2189</v>
      </c>
      <c r="E142" s="27"/>
      <c r="F142" s="21"/>
      <c r="G142" s="21"/>
      <c r="H142" s="21"/>
      <c r="I142" s="24" t="str">
        <f>IFERROR(__xludf.DUMMYFUNCTION("GOOGLETRANSLATE(B142, ""en"", ""zh"")"),"你们小组处于劣势，濒临崩溃边缘。你们应该怎么做？")</f>
        <v>你们小组处于劣势，濒临崩溃边缘。你们应该怎么做？</v>
      </c>
      <c r="J142" s="24" t="str">
        <f>IFERROR(__xludf.DUMMYFUNCTION("GOOGLETRANSLATE(C142, ""en"", ""zh"")"),"A) 连接到强力石块 B) 忽略 C) 牺牲 D) 在其他地方放置")</f>
        <v>A) 连接到强力石块 B) 忽略 C) 牺牲 D) 在其他地方放置</v>
      </c>
      <c r="K142" s="24" t="str">
        <f>IFERROR(__xludf.DUMMYFUNCTION("GOOGLETRANSLATE(D142, ""en"", ""zh"")"),"A) 连接到坚固的石头")</f>
        <v>A) 连接到坚固的石头</v>
      </c>
      <c r="L142" s="24" t="str">
        <f>IFERROR(__xludf.DUMMYFUNCTION("GOOGLETRANSLATE(E142, ""en"", ""zh"")"),"#VALUE!")</f>
        <v>#VALUE!</v>
      </c>
      <c r="M142" s="21"/>
      <c r="N142" s="21"/>
      <c r="O142" s="21"/>
      <c r="P142" s="21"/>
      <c r="Q142" s="19"/>
      <c r="R142" s="19"/>
      <c r="S142" s="19"/>
      <c r="T142" s="19"/>
      <c r="U142" s="19"/>
      <c r="V142" s="19"/>
      <c r="W142" s="19"/>
      <c r="X142" s="19"/>
      <c r="Y142" s="19"/>
      <c r="Z142" s="19"/>
    </row>
    <row r="143">
      <c r="A143" s="38">
        <v>142.0</v>
      </c>
      <c r="B143" s="12" t="s">
        <v>2190</v>
      </c>
      <c r="C143" s="12" t="s">
        <v>2191</v>
      </c>
      <c r="D143" s="12" t="s">
        <v>2192</v>
      </c>
      <c r="E143" s="27"/>
      <c r="F143" s="21"/>
      <c r="G143" s="21"/>
      <c r="H143" s="21"/>
      <c r="I143" s="24" t="str">
        <f>IFERROR(__xludf.DUMMYFUNCTION("GOOGLETRANSLATE(B143, ""en"", ""zh"")"),"对手在棋盘中央摆出梯子，你如何应对？")</f>
        <v>对手在棋盘中央摆出梯子，你如何应对？</v>
      </c>
      <c r="J143" s="24" t="str">
        <f>IFERROR(__xludf.DUMMYFUNCTION("GOOGLETRANSLATE(C143, ""en"", ""zh"")"),"A) 打破梯子 B) 无视 C) 牺牲 D) 随机游戏")</f>
        <v>A) 打破梯子 B) 无视 C) 牺牲 D) 随机游戏</v>
      </c>
      <c r="K143" s="24" t="str">
        <f>IFERROR(__xludf.DUMMYFUNCTION("GOOGLETRANSLATE(D143, ""en"", ""zh"")"),"A）弄断梯子")</f>
        <v>A）弄断梯子</v>
      </c>
      <c r="L143" s="24" t="str">
        <f>IFERROR(__xludf.DUMMYFUNCTION("GOOGLETRANSLATE(E143, ""en"", ""zh"")"),"#VALUE!")</f>
        <v>#VALUE!</v>
      </c>
      <c r="M143" s="21"/>
      <c r="N143" s="21"/>
      <c r="O143" s="21"/>
      <c r="P143" s="21"/>
      <c r="Q143" s="19"/>
      <c r="R143" s="19"/>
      <c r="S143" s="19"/>
      <c r="T143" s="19"/>
      <c r="U143" s="19"/>
      <c r="V143" s="19"/>
      <c r="W143" s="19"/>
      <c r="X143" s="19"/>
      <c r="Y143" s="19"/>
      <c r="Z143" s="19"/>
    </row>
    <row r="144">
      <c r="A144" s="38">
        <v>143.0</v>
      </c>
      <c r="B144" s="12" t="s">
        <v>2193</v>
      </c>
      <c r="C144" s="12" t="s">
        <v>2194</v>
      </c>
      <c r="D144" s="12" t="s">
        <v>2195</v>
      </c>
      <c r="E144" s="27"/>
      <c r="F144" s="21"/>
      <c r="G144" s="21"/>
      <c r="H144" s="21"/>
      <c r="I144" s="24" t="str">
        <f>IFERROR(__xludf.DUMMYFUNCTION("GOOGLETRANSLATE(B144, ""en"", ""zh"")"),"你发现了一个潜在的moyo（可能是指某种交易或交易）。你的策略是什么？")</f>
        <v>你发现了一个潜在的moyo（可能是指某种交易或交易）。你的策略是什么？</v>
      </c>
      <c r="J144" s="24" t="str">
        <f>IFERROR(__xludf.DUMMYFUNCTION("GOOGLETRANSLATE(C144, ""en"", ""zh"")"),"A) 扩张并巩固边界 B) 无视 C) 牺牲 D) 随机行动")</f>
        <v>A) 扩张并巩固边界 B) 无视 C) 牺牲 D) 随机行动</v>
      </c>
      <c r="K144" s="24" t="str">
        <f>IFERROR(__xludf.DUMMYFUNCTION("GOOGLETRANSLATE(D144, ""en"", ""zh"")"),"A) 扩大和加强边境安全")</f>
        <v>A) 扩大和加强边境安全</v>
      </c>
      <c r="L144" s="24" t="str">
        <f>IFERROR(__xludf.DUMMYFUNCTION("GOOGLETRANSLATE(E144, ""en"", ""zh"")"),"#VALUE!")</f>
        <v>#VALUE!</v>
      </c>
      <c r="M144" s="21"/>
      <c r="N144" s="21"/>
      <c r="O144" s="21"/>
      <c r="P144" s="21"/>
      <c r="Q144" s="19"/>
      <c r="R144" s="19"/>
      <c r="S144" s="19"/>
      <c r="T144" s="19"/>
      <c r="U144" s="19"/>
      <c r="V144" s="19"/>
      <c r="W144" s="19"/>
      <c r="X144" s="19"/>
      <c r="Y144" s="19"/>
      <c r="Z144" s="19"/>
    </row>
    <row r="145">
      <c r="A145" s="38">
        <v>144.0</v>
      </c>
      <c r="B145" s="12" t="s">
        <v>2196</v>
      </c>
      <c r="C145" s="12" t="s">
        <v>2029</v>
      </c>
      <c r="D145" s="12" t="s">
        <v>2030</v>
      </c>
      <c r="E145" s="27"/>
      <c r="F145" s="21"/>
      <c r="G145" s="21"/>
      <c r="H145" s="21"/>
      <c r="I145" s="24" t="str">
        <f>IFERROR(__xludf.DUMMYFUNCTION("GOOGLETRANSLATE(B145, ""en"", ""zh"")"),"对手留下了一个关键的切入点。你会如何应对？")</f>
        <v>对手留下了一个关键的切入点。你会如何应对？</v>
      </c>
      <c r="J145" s="24" t="str">
        <f>IFERROR(__xludf.DUMMYFUNCTION("GOOGLETRANSLATE(C145, ""en"", ""zh"")"),"A) 立即切断 B) 忽略 C) 牺牲 D) 转移到其他地方")</f>
        <v>A) 立即切断 B) 忽略 C) 牺牲 D) 转移到其他地方</v>
      </c>
      <c r="K145" s="24" t="str">
        <f>IFERROR(__xludf.DUMMYFUNCTION("GOOGLETRANSLATE(D145, ""en"", ""zh"")"),"A) 立即切开")</f>
        <v>A) 立即切开</v>
      </c>
      <c r="L145" s="24" t="str">
        <f>IFERROR(__xludf.DUMMYFUNCTION("GOOGLETRANSLATE(E145, ""en"", ""zh"")"),"#VALUE!")</f>
        <v>#VALUE!</v>
      </c>
      <c r="M145" s="21"/>
      <c r="N145" s="21"/>
      <c r="O145" s="21"/>
      <c r="P145" s="21"/>
      <c r="Q145" s="19"/>
      <c r="R145" s="19"/>
      <c r="S145" s="19"/>
      <c r="T145" s="19"/>
      <c r="U145" s="19"/>
      <c r="V145" s="19"/>
      <c r="W145" s="19"/>
      <c r="X145" s="19"/>
      <c r="Y145" s="19"/>
      <c r="Z145" s="19"/>
    </row>
    <row r="146">
      <c r="A146" s="38">
        <v>145.0</v>
      </c>
      <c r="B146" s="12" t="s">
        <v>2197</v>
      </c>
      <c r="C146" s="12" t="s">
        <v>2074</v>
      </c>
      <c r="D146" s="12" t="s">
        <v>2075</v>
      </c>
      <c r="E146" s="27"/>
      <c r="F146" s="21"/>
      <c r="G146" s="21"/>
      <c r="H146" s="21"/>
      <c r="I146" s="24" t="str">
        <f>IFERROR(__xludf.DUMMYFUNCTION("GOOGLETRANSLATE(B146, ""en"", ""zh"")"),"游戏中期，你那支弱小的队伍被敌方石块包围了。你该如何生存？")</f>
        <v>游戏中期，你那支弱小的队伍被敌方石块包围了。你该如何生存？</v>
      </c>
      <c r="J146" s="24" t="str">
        <f>IFERROR(__xludf.DUMMYFUNCTION("GOOGLETRANSLATE(C146, ""en"", ""zh"")"),"A) 连接或逃脱 B) 忽略 C) 牺牲 D) 随机游戏")</f>
        <v>A) 连接或逃脱 B) 忽略 C) 牺牲 D) 随机游戏</v>
      </c>
      <c r="K146" s="24" t="str">
        <f>IFERROR(__xludf.DUMMYFUNCTION("GOOGLETRANSLATE(D146, ""en"", ""zh"")"),"A) 连接或退出")</f>
        <v>A) 连接或退出</v>
      </c>
      <c r="L146" s="24" t="str">
        <f>IFERROR(__xludf.DUMMYFUNCTION("GOOGLETRANSLATE(E146, ""en"", ""zh"")"),"#VALUE!")</f>
        <v>#VALUE!</v>
      </c>
      <c r="M146" s="21"/>
      <c r="N146" s="21"/>
      <c r="O146" s="21"/>
      <c r="P146" s="21"/>
      <c r="Q146" s="19"/>
      <c r="R146" s="19"/>
      <c r="S146" s="19"/>
      <c r="T146" s="19"/>
      <c r="U146" s="19"/>
      <c r="V146" s="19"/>
      <c r="W146" s="19"/>
      <c r="X146" s="19"/>
      <c r="Y146" s="19"/>
      <c r="Z146" s="19"/>
    </row>
    <row r="147">
      <c r="A147" s="38">
        <v>146.0</v>
      </c>
      <c r="B147" s="12" t="s">
        <v>2198</v>
      </c>
      <c r="C147" s="12" t="s">
        <v>2199</v>
      </c>
      <c r="D147" s="12" t="s">
        <v>2200</v>
      </c>
      <c r="E147" s="27"/>
      <c r="F147" s="21"/>
      <c r="G147" s="21"/>
      <c r="H147" s="21"/>
      <c r="I147" s="24" t="str">
        <f>IFERROR(__xludf.DUMMYFUNCTION("GOOGLETRANSLATE(B147, ""en"", ""zh"")"),"你可以威胁对手的多个阵营。你的策略是什么？")</f>
        <v>你可以威胁对手的多个阵营。你的策略是什么？</v>
      </c>
      <c r="J147" s="24" t="str">
        <f>IFERROR(__xludf.DUMMYFUNCTION("GOOGLETRANSLATE(C147, ""en"", ""zh"")"),"A) 同时攻击 B) 无视 C) 牺牲 D) 转移到其他地方")</f>
        <v>A) 同时攻击 B) 无视 C) 牺牲 D) 转移到其他地方</v>
      </c>
      <c r="K147" s="24" t="str">
        <f>IFERROR(__xludf.DUMMYFUNCTION("GOOGLETRANSLATE(D147, ""en"", ""zh"")"),"A) 同时攻击")</f>
        <v>A) 同时攻击</v>
      </c>
      <c r="L147" s="24" t="str">
        <f>IFERROR(__xludf.DUMMYFUNCTION("GOOGLETRANSLATE(E147, ""en"", ""zh"")"),"#VALUE!")</f>
        <v>#VALUE!</v>
      </c>
      <c r="M147" s="21"/>
      <c r="N147" s="21"/>
      <c r="O147" s="21"/>
      <c r="P147" s="21"/>
      <c r="Q147" s="19"/>
      <c r="R147" s="19"/>
      <c r="S147" s="19"/>
      <c r="T147" s="19"/>
      <c r="U147" s="19"/>
      <c r="V147" s="19"/>
      <c r="W147" s="19"/>
      <c r="X147" s="19"/>
      <c r="Y147" s="19"/>
      <c r="Z147" s="19"/>
    </row>
    <row r="148">
      <c r="A148" s="44">
        <v>147.0</v>
      </c>
      <c r="B148" s="12" t="s">
        <v>2201</v>
      </c>
      <c r="C148" s="12" t="s">
        <v>2129</v>
      </c>
      <c r="D148" s="12" t="s">
        <v>2130</v>
      </c>
      <c r="E148" s="27"/>
      <c r="F148" s="21"/>
      <c r="G148" s="21"/>
      <c r="H148" s="21"/>
      <c r="I148" s="24" t="str">
        <f>IFERROR(__xludf.DUMMYFUNCTION("GOOGLETRANSLATE(B148, ""en"", ""zh"")"),"你的对手加强了一个关键阵容。你该如何应对？")</f>
        <v>你的对手加强了一个关键阵容。你该如何应对？</v>
      </c>
      <c r="J148" s="24" t="str">
        <f>IFERROR(__xludf.DUMMYFUNCTION("GOOGLETRANSLATE(C148, ""en"", ""zh"")"),"A) 攻击薄弱环节 B) 忽略 C) 牺牲 D) 随机行动")</f>
        <v>A) 攻击薄弱环节 B) 忽略 C) 牺牲 D) 随机行动</v>
      </c>
      <c r="K148" s="24" t="str">
        <f>IFERROR(__xludf.DUMMYFUNCTION("GOOGLETRANSLATE(D148, ""en"", ""zh"")"),"A) 按压较弱部位")</f>
        <v>A) 按压较弱部位</v>
      </c>
      <c r="L148" s="24" t="str">
        <f>IFERROR(__xludf.DUMMYFUNCTION("GOOGLETRANSLATE(E148, ""en"", ""zh"")"),"#VALUE!")</f>
        <v>#VALUE!</v>
      </c>
      <c r="M148" s="21"/>
      <c r="N148" s="21"/>
      <c r="O148" s="21"/>
      <c r="P148" s="21"/>
      <c r="Q148" s="19"/>
      <c r="R148" s="19"/>
      <c r="S148" s="19"/>
      <c r="T148" s="19"/>
      <c r="U148" s="19"/>
      <c r="V148" s="19"/>
      <c r="W148" s="19"/>
      <c r="X148" s="19"/>
      <c r="Y148" s="19"/>
      <c r="Z148" s="19"/>
    </row>
    <row r="149">
      <c r="A149" s="21"/>
      <c r="B149" s="21"/>
      <c r="C149" s="21"/>
      <c r="D149" s="21"/>
      <c r="E149" s="21"/>
      <c r="F149" s="21"/>
      <c r="G149" s="21"/>
      <c r="H149" s="21"/>
      <c r="I149" s="21"/>
      <c r="J149" s="21"/>
      <c r="K149" s="21"/>
      <c r="L149" s="21"/>
      <c r="M149" s="21"/>
      <c r="N149" s="21"/>
      <c r="O149" s="21"/>
      <c r="P149" s="21"/>
      <c r="Q149" s="19"/>
      <c r="R149" s="19"/>
      <c r="S149" s="19"/>
      <c r="T149" s="19"/>
      <c r="U149" s="19"/>
      <c r="V149" s="19"/>
      <c r="W149" s="19"/>
      <c r="X149" s="19"/>
      <c r="Y149" s="19"/>
      <c r="Z149" s="19"/>
    </row>
    <row r="150">
      <c r="A150" s="21"/>
      <c r="B150" s="21"/>
      <c r="C150" s="21"/>
      <c r="D150" s="21"/>
      <c r="E150" s="21"/>
      <c r="F150" s="21"/>
      <c r="G150" s="21"/>
      <c r="H150" s="21"/>
      <c r="I150" s="21"/>
      <c r="J150" s="21"/>
      <c r="K150" s="21"/>
      <c r="L150" s="21"/>
      <c r="M150" s="21"/>
      <c r="N150" s="21"/>
      <c r="O150" s="21"/>
      <c r="P150" s="21"/>
      <c r="Q150" s="19"/>
      <c r="R150" s="19"/>
      <c r="S150" s="19"/>
      <c r="T150" s="19"/>
      <c r="U150" s="19"/>
      <c r="V150" s="19"/>
      <c r="W150" s="19"/>
      <c r="X150" s="19"/>
      <c r="Y150" s="19"/>
      <c r="Z150" s="19"/>
    </row>
    <row r="151">
      <c r="A151" s="21"/>
      <c r="B151" s="21"/>
      <c r="C151" s="21"/>
      <c r="D151" s="21"/>
      <c r="E151" s="21"/>
      <c r="F151" s="21"/>
      <c r="G151" s="21"/>
      <c r="H151" s="21"/>
      <c r="I151" s="21"/>
      <c r="J151" s="21"/>
      <c r="K151" s="21"/>
      <c r="L151" s="21"/>
      <c r="M151" s="21"/>
      <c r="N151" s="21"/>
      <c r="O151" s="21"/>
      <c r="P151" s="21"/>
      <c r="Q151" s="19"/>
      <c r="R151" s="19"/>
      <c r="S151" s="19"/>
      <c r="T151" s="19"/>
      <c r="U151" s="19"/>
      <c r="V151" s="19"/>
      <c r="W151" s="19"/>
      <c r="X151" s="19"/>
      <c r="Y151" s="19"/>
      <c r="Z151" s="19"/>
    </row>
    <row r="152">
      <c r="A152" s="21"/>
      <c r="B152" s="21"/>
      <c r="C152" s="21"/>
      <c r="D152" s="21"/>
      <c r="E152" s="21"/>
      <c r="F152" s="21"/>
      <c r="G152" s="21"/>
      <c r="H152" s="21"/>
      <c r="I152" s="21"/>
      <c r="J152" s="21"/>
      <c r="K152" s="21"/>
      <c r="L152" s="21"/>
      <c r="M152" s="21"/>
      <c r="N152" s="21"/>
      <c r="O152" s="21"/>
      <c r="P152" s="21"/>
      <c r="Q152" s="19"/>
      <c r="R152" s="19"/>
      <c r="S152" s="19"/>
      <c r="T152" s="19"/>
      <c r="U152" s="19"/>
      <c r="V152" s="19"/>
      <c r="W152" s="19"/>
      <c r="X152" s="19"/>
      <c r="Y152" s="19"/>
      <c r="Z152" s="19"/>
    </row>
    <row r="153">
      <c r="A153" s="21"/>
      <c r="B153" s="21"/>
      <c r="C153" s="21"/>
      <c r="D153" s="21"/>
      <c r="E153" s="21"/>
      <c r="F153" s="21"/>
      <c r="G153" s="21"/>
      <c r="H153" s="21"/>
      <c r="I153" s="21"/>
      <c r="J153" s="21"/>
      <c r="K153" s="21"/>
      <c r="L153" s="21"/>
      <c r="M153" s="21"/>
      <c r="N153" s="21"/>
      <c r="O153" s="21"/>
      <c r="P153" s="21"/>
      <c r="Q153" s="19"/>
      <c r="R153" s="19"/>
      <c r="S153" s="19"/>
      <c r="T153" s="19"/>
      <c r="U153" s="19"/>
      <c r="V153" s="19"/>
      <c r="W153" s="19"/>
      <c r="X153" s="19"/>
      <c r="Y153" s="19"/>
      <c r="Z153" s="19"/>
    </row>
    <row r="154">
      <c r="A154" s="21"/>
      <c r="B154" s="21"/>
      <c r="C154" s="21"/>
      <c r="D154" s="21"/>
      <c r="E154" s="21"/>
      <c r="F154" s="21"/>
      <c r="G154" s="21"/>
      <c r="H154" s="21"/>
      <c r="I154" s="21"/>
      <c r="J154" s="21"/>
      <c r="K154" s="21"/>
      <c r="L154" s="21"/>
      <c r="M154" s="21"/>
      <c r="N154" s="21"/>
      <c r="O154" s="21"/>
      <c r="P154" s="21"/>
      <c r="Q154" s="19"/>
      <c r="R154" s="19"/>
      <c r="S154" s="19"/>
      <c r="T154" s="19"/>
      <c r="U154" s="19"/>
      <c r="V154" s="19"/>
      <c r="W154" s="19"/>
      <c r="X154" s="19"/>
      <c r="Y154" s="19"/>
      <c r="Z154" s="19"/>
    </row>
    <row r="155">
      <c r="A155" s="21"/>
      <c r="B155" s="21"/>
      <c r="C155" s="21"/>
      <c r="D155" s="21"/>
      <c r="E155" s="21"/>
      <c r="F155" s="21"/>
      <c r="G155" s="21"/>
      <c r="H155" s="21"/>
      <c r="I155" s="21"/>
      <c r="J155" s="21"/>
      <c r="K155" s="21"/>
      <c r="L155" s="21"/>
      <c r="M155" s="21"/>
      <c r="N155" s="21"/>
      <c r="O155" s="21"/>
      <c r="P155" s="21"/>
      <c r="Q155" s="19"/>
      <c r="R155" s="19"/>
      <c r="S155" s="19"/>
      <c r="T155" s="19"/>
      <c r="U155" s="19"/>
      <c r="V155" s="19"/>
      <c r="W155" s="19"/>
      <c r="X155" s="19"/>
      <c r="Y155" s="19"/>
      <c r="Z155" s="19"/>
    </row>
    <row r="156">
      <c r="A156" s="21"/>
      <c r="B156" s="21"/>
      <c r="C156" s="21"/>
      <c r="D156" s="21"/>
      <c r="E156" s="21"/>
      <c r="F156" s="21"/>
      <c r="G156" s="21"/>
      <c r="H156" s="21"/>
      <c r="I156" s="21"/>
      <c r="J156" s="21"/>
      <c r="K156" s="21"/>
      <c r="L156" s="21"/>
      <c r="M156" s="21"/>
      <c r="N156" s="21"/>
      <c r="O156" s="21"/>
      <c r="P156" s="21"/>
      <c r="Q156" s="19"/>
      <c r="R156" s="19"/>
      <c r="S156" s="19"/>
      <c r="T156" s="19"/>
      <c r="U156" s="19"/>
      <c r="V156" s="19"/>
      <c r="W156" s="19"/>
      <c r="X156" s="19"/>
      <c r="Y156" s="19"/>
      <c r="Z156" s="19"/>
    </row>
    <row r="157">
      <c r="A157" s="21"/>
      <c r="B157" s="21"/>
      <c r="C157" s="21"/>
      <c r="D157" s="21"/>
      <c r="E157" s="21"/>
      <c r="F157" s="21"/>
      <c r="G157" s="21"/>
      <c r="H157" s="21"/>
      <c r="I157" s="21"/>
      <c r="J157" s="21"/>
      <c r="K157" s="21"/>
      <c r="L157" s="21"/>
      <c r="M157" s="21"/>
      <c r="N157" s="21"/>
      <c r="O157" s="21"/>
      <c r="P157" s="21"/>
      <c r="Q157" s="19"/>
      <c r="R157" s="19"/>
      <c r="S157" s="19"/>
      <c r="T157" s="19"/>
      <c r="U157" s="19"/>
      <c r="V157" s="19"/>
      <c r="W157" s="19"/>
      <c r="X157" s="19"/>
      <c r="Y157" s="19"/>
      <c r="Z157" s="19"/>
    </row>
    <row r="158">
      <c r="A158" s="21"/>
      <c r="B158" s="21"/>
      <c r="C158" s="21"/>
      <c r="D158" s="21"/>
      <c r="E158" s="21"/>
      <c r="F158" s="21"/>
      <c r="G158" s="21"/>
      <c r="H158" s="21"/>
      <c r="I158" s="21"/>
      <c r="J158" s="21"/>
      <c r="K158" s="21"/>
      <c r="L158" s="21"/>
      <c r="M158" s="21"/>
      <c r="N158" s="21"/>
      <c r="O158" s="21"/>
      <c r="P158" s="21"/>
      <c r="Q158" s="19"/>
      <c r="R158" s="19"/>
      <c r="S158" s="19"/>
      <c r="T158" s="19"/>
      <c r="U158" s="19"/>
      <c r="V158" s="19"/>
      <c r="W158" s="19"/>
      <c r="X158" s="19"/>
      <c r="Y158" s="19"/>
      <c r="Z158" s="19"/>
    </row>
    <row r="159">
      <c r="A159" s="21"/>
      <c r="B159" s="21"/>
      <c r="C159" s="21"/>
      <c r="D159" s="21"/>
      <c r="E159" s="21"/>
      <c r="F159" s="21"/>
      <c r="G159" s="21"/>
      <c r="H159" s="21"/>
      <c r="I159" s="21"/>
      <c r="J159" s="21"/>
      <c r="K159" s="21"/>
      <c r="L159" s="21"/>
      <c r="M159" s="21"/>
      <c r="N159" s="21"/>
      <c r="O159" s="21"/>
      <c r="P159" s="21"/>
      <c r="Q159" s="19"/>
      <c r="R159" s="19"/>
      <c r="S159" s="19"/>
      <c r="T159" s="19"/>
      <c r="U159" s="19"/>
      <c r="V159" s="19"/>
      <c r="W159" s="19"/>
      <c r="X159" s="19"/>
      <c r="Y159" s="19"/>
      <c r="Z159" s="19"/>
    </row>
    <row r="160">
      <c r="A160" s="21"/>
      <c r="B160" s="21"/>
      <c r="C160" s="21"/>
      <c r="D160" s="21"/>
      <c r="E160" s="21"/>
      <c r="F160" s="21"/>
      <c r="G160" s="21"/>
      <c r="H160" s="21"/>
      <c r="I160" s="21"/>
      <c r="J160" s="21"/>
      <c r="K160" s="21"/>
      <c r="L160" s="21"/>
      <c r="M160" s="21"/>
      <c r="N160" s="21"/>
      <c r="O160" s="21"/>
      <c r="P160" s="21"/>
      <c r="Q160" s="19"/>
      <c r="R160" s="19"/>
      <c r="S160" s="19"/>
      <c r="T160" s="19"/>
      <c r="U160" s="19"/>
      <c r="V160" s="19"/>
      <c r="W160" s="19"/>
      <c r="X160" s="19"/>
      <c r="Y160" s="19"/>
      <c r="Z160" s="19"/>
    </row>
    <row r="161">
      <c r="A161" s="21"/>
      <c r="B161" s="21"/>
      <c r="C161" s="21"/>
      <c r="D161" s="21"/>
      <c r="E161" s="21"/>
      <c r="F161" s="21"/>
      <c r="G161" s="21"/>
      <c r="H161" s="21"/>
      <c r="I161" s="21"/>
      <c r="J161" s="21"/>
      <c r="K161" s="21"/>
      <c r="L161" s="21"/>
      <c r="M161" s="21"/>
      <c r="N161" s="21"/>
      <c r="O161" s="21"/>
      <c r="P161" s="21"/>
      <c r="Q161" s="19"/>
      <c r="R161" s="19"/>
      <c r="S161" s="19"/>
      <c r="T161" s="19"/>
      <c r="U161" s="19"/>
      <c r="V161" s="19"/>
      <c r="W161" s="19"/>
      <c r="X161" s="19"/>
      <c r="Y161" s="19"/>
      <c r="Z161" s="19"/>
    </row>
    <row r="162">
      <c r="A162" s="21"/>
      <c r="B162" s="21"/>
      <c r="C162" s="21"/>
      <c r="D162" s="21"/>
      <c r="E162" s="21"/>
      <c r="F162" s="21"/>
      <c r="G162" s="21"/>
      <c r="H162" s="21"/>
      <c r="I162" s="21"/>
      <c r="J162" s="21"/>
      <c r="K162" s="21"/>
      <c r="L162" s="21"/>
      <c r="M162" s="21"/>
      <c r="N162" s="21"/>
      <c r="O162" s="21"/>
      <c r="P162" s="21"/>
      <c r="Q162" s="19"/>
      <c r="R162" s="19"/>
      <c r="S162" s="19"/>
      <c r="T162" s="19"/>
      <c r="U162" s="19"/>
      <c r="V162" s="19"/>
      <c r="W162" s="19"/>
      <c r="X162" s="19"/>
      <c r="Y162" s="19"/>
      <c r="Z162" s="19"/>
    </row>
    <row r="163">
      <c r="A163" s="21"/>
      <c r="B163" s="21"/>
      <c r="C163" s="21"/>
      <c r="D163" s="21"/>
      <c r="E163" s="21"/>
      <c r="F163" s="21"/>
      <c r="G163" s="21"/>
      <c r="H163" s="21"/>
      <c r="I163" s="21"/>
      <c r="J163" s="21"/>
      <c r="K163" s="21"/>
      <c r="L163" s="21"/>
      <c r="M163" s="21"/>
      <c r="N163" s="21"/>
      <c r="O163" s="21"/>
      <c r="P163" s="21"/>
      <c r="Q163" s="19"/>
      <c r="R163" s="19"/>
      <c r="S163" s="19"/>
      <c r="T163" s="19"/>
      <c r="U163" s="19"/>
      <c r="V163" s="19"/>
      <c r="W163" s="19"/>
      <c r="X163" s="19"/>
      <c r="Y163" s="19"/>
      <c r="Z163" s="19"/>
    </row>
    <row r="164">
      <c r="A164" s="21"/>
      <c r="B164" s="21"/>
      <c r="C164" s="21"/>
      <c r="D164" s="21"/>
      <c r="E164" s="21"/>
      <c r="F164" s="21"/>
      <c r="G164" s="21"/>
      <c r="H164" s="21"/>
      <c r="I164" s="21"/>
      <c r="J164" s="21"/>
      <c r="K164" s="21"/>
      <c r="L164" s="21"/>
      <c r="M164" s="21"/>
      <c r="N164" s="21"/>
      <c r="O164" s="21"/>
      <c r="P164" s="21"/>
      <c r="Q164" s="19"/>
      <c r="R164" s="19"/>
      <c r="S164" s="19"/>
      <c r="T164" s="19"/>
      <c r="U164" s="19"/>
      <c r="V164" s="19"/>
      <c r="W164" s="19"/>
      <c r="X164" s="19"/>
      <c r="Y164" s="19"/>
      <c r="Z164" s="19"/>
    </row>
    <row r="165">
      <c r="A165" s="21"/>
      <c r="B165" s="21"/>
      <c r="C165" s="21"/>
      <c r="D165" s="21"/>
      <c r="E165" s="21"/>
      <c r="F165" s="21"/>
      <c r="G165" s="21"/>
      <c r="H165" s="21"/>
      <c r="I165" s="21"/>
      <c r="J165" s="21"/>
      <c r="K165" s="21"/>
      <c r="L165" s="21"/>
      <c r="M165" s="21"/>
      <c r="N165" s="21"/>
      <c r="O165" s="21"/>
      <c r="P165" s="21"/>
      <c r="Q165" s="19"/>
      <c r="R165" s="19"/>
      <c r="S165" s="19"/>
      <c r="T165" s="19"/>
      <c r="U165" s="19"/>
      <c r="V165" s="19"/>
      <c r="W165" s="19"/>
      <c r="X165" s="19"/>
      <c r="Y165" s="19"/>
      <c r="Z165" s="19"/>
    </row>
    <row r="166">
      <c r="A166" s="21"/>
      <c r="B166" s="21"/>
      <c r="C166" s="21"/>
      <c r="D166" s="21"/>
      <c r="E166" s="21"/>
      <c r="F166" s="21"/>
      <c r="G166" s="21"/>
      <c r="H166" s="21"/>
      <c r="I166" s="21"/>
      <c r="J166" s="21"/>
      <c r="K166" s="21"/>
      <c r="L166" s="21"/>
      <c r="M166" s="21"/>
      <c r="N166" s="21"/>
      <c r="O166" s="21"/>
      <c r="P166" s="21"/>
      <c r="Q166" s="19"/>
      <c r="R166" s="19"/>
      <c r="S166" s="19"/>
      <c r="T166" s="19"/>
      <c r="U166" s="19"/>
      <c r="V166" s="19"/>
      <c r="W166" s="19"/>
      <c r="X166" s="19"/>
      <c r="Y166" s="19"/>
      <c r="Z166" s="19"/>
    </row>
    <row r="167">
      <c r="A167" s="21"/>
      <c r="B167" s="21"/>
      <c r="C167" s="21"/>
      <c r="D167" s="21"/>
      <c r="E167" s="21"/>
      <c r="F167" s="21"/>
      <c r="G167" s="21"/>
      <c r="H167" s="21"/>
      <c r="I167" s="21"/>
      <c r="J167" s="21"/>
      <c r="K167" s="21"/>
      <c r="L167" s="21"/>
      <c r="M167" s="21"/>
      <c r="N167" s="21"/>
      <c r="O167" s="21"/>
      <c r="P167" s="21"/>
      <c r="Q167" s="19"/>
      <c r="R167" s="19"/>
      <c r="S167" s="19"/>
      <c r="T167" s="19"/>
      <c r="U167" s="19"/>
      <c r="V167" s="19"/>
      <c r="W167" s="19"/>
      <c r="X167" s="19"/>
      <c r="Y167" s="19"/>
      <c r="Z167" s="19"/>
    </row>
    <row r="168">
      <c r="A168" s="21"/>
      <c r="B168" s="21"/>
      <c r="C168" s="21"/>
      <c r="D168" s="21"/>
      <c r="E168" s="21"/>
      <c r="F168" s="21"/>
      <c r="G168" s="21"/>
      <c r="H168" s="21"/>
      <c r="I168" s="21"/>
      <c r="J168" s="21"/>
      <c r="K168" s="21"/>
      <c r="L168" s="21"/>
      <c r="M168" s="21"/>
      <c r="N168" s="21"/>
      <c r="O168" s="21"/>
      <c r="P168" s="21"/>
      <c r="Q168" s="19"/>
      <c r="R168" s="19"/>
      <c r="S168" s="19"/>
      <c r="T168" s="19"/>
      <c r="U168" s="19"/>
      <c r="V168" s="19"/>
      <c r="W168" s="19"/>
      <c r="X168" s="19"/>
      <c r="Y168" s="19"/>
      <c r="Z168" s="19"/>
    </row>
    <row r="169">
      <c r="A169" s="21"/>
      <c r="B169" s="21"/>
      <c r="C169" s="21"/>
      <c r="D169" s="21"/>
      <c r="E169" s="21"/>
      <c r="F169" s="21"/>
      <c r="G169" s="21"/>
      <c r="H169" s="21"/>
      <c r="I169" s="21"/>
      <c r="J169" s="21"/>
      <c r="K169" s="21"/>
      <c r="L169" s="21"/>
      <c r="M169" s="21"/>
      <c r="N169" s="21"/>
      <c r="O169" s="21"/>
      <c r="P169" s="21"/>
      <c r="Q169" s="19"/>
      <c r="R169" s="19"/>
      <c r="S169" s="19"/>
      <c r="T169" s="19"/>
      <c r="U169" s="19"/>
      <c r="V169" s="19"/>
      <c r="W169" s="19"/>
      <c r="X169" s="19"/>
      <c r="Y169" s="19"/>
      <c r="Z169" s="19"/>
    </row>
    <row r="170">
      <c r="A170" s="21"/>
      <c r="B170" s="21"/>
      <c r="C170" s="21"/>
      <c r="D170" s="21"/>
      <c r="E170" s="21"/>
      <c r="F170" s="21"/>
      <c r="G170" s="21"/>
      <c r="H170" s="21"/>
      <c r="I170" s="21"/>
      <c r="J170" s="21"/>
      <c r="K170" s="21"/>
      <c r="L170" s="21"/>
      <c r="M170" s="21"/>
      <c r="N170" s="21"/>
      <c r="O170" s="21"/>
      <c r="P170" s="21"/>
      <c r="Q170" s="19"/>
      <c r="R170" s="19"/>
      <c r="S170" s="19"/>
      <c r="T170" s="19"/>
      <c r="U170" s="19"/>
      <c r="V170" s="19"/>
      <c r="W170" s="19"/>
      <c r="X170" s="19"/>
      <c r="Y170" s="19"/>
      <c r="Z170" s="19"/>
    </row>
    <row r="171">
      <c r="A171" s="21"/>
      <c r="B171" s="21"/>
      <c r="C171" s="21"/>
      <c r="D171" s="21"/>
      <c r="E171" s="21"/>
      <c r="F171" s="21"/>
      <c r="G171" s="21"/>
      <c r="H171" s="21"/>
      <c r="I171" s="21"/>
      <c r="J171" s="21"/>
      <c r="K171" s="21"/>
      <c r="L171" s="21"/>
      <c r="M171" s="21"/>
      <c r="N171" s="21"/>
      <c r="O171" s="21"/>
      <c r="P171" s="21"/>
      <c r="Q171" s="19"/>
      <c r="R171" s="19"/>
      <c r="S171" s="19"/>
      <c r="T171" s="19"/>
      <c r="U171" s="19"/>
      <c r="V171" s="19"/>
      <c r="W171" s="19"/>
      <c r="X171" s="19"/>
      <c r="Y171" s="19"/>
      <c r="Z171" s="19"/>
    </row>
    <row r="172">
      <c r="A172" s="21"/>
      <c r="B172" s="21"/>
      <c r="C172" s="21"/>
      <c r="D172" s="21"/>
      <c r="E172" s="21"/>
      <c r="F172" s="21"/>
      <c r="G172" s="21"/>
      <c r="H172" s="21"/>
      <c r="I172" s="21"/>
      <c r="J172" s="21"/>
      <c r="K172" s="21"/>
      <c r="L172" s="21"/>
      <c r="M172" s="21"/>
      <c r="N172" s="21"/>
      <c r="O172" s="21"/>
      <c r="P172" s="21"/>
      <c r="Q172" s="19"/>
      <c r="R172" s="19"/>
      <c r="S172" s="19"/>
      <c r="T172" s="19"/>
      <c r="U172" s="19"/>
      <c r="V172" s="19"/>
      <c r="W172" s="19"/>
      <c r="X172" s="19"/>
      <c r="Y172" s="19"/>
      <c r="Z172" s="19"/>
    </row>
    <row r="173">
      <c r="A173" s="21"/>
      <c r="B173" s="21"/>
      <c r="C173" s="21"/>
      <c r="D173" s="21"/>
      <c r="E173" s="21"/>
      <c r="F173" s="21"/>
      <c r="G173" s="21"/>
      <c r="H173" s="21"/>
      <c r="I173" s="21"/>
      <c r="J173" s="21"/>
      <c r="K173" s="21"/>
      <c r="L173" s="21"/>
      <c r="M173" s="21"/>
      <c r="N173" s="21"/>
      <c r="O173" s="21"/>
      <c r="P173" s="21"/>
      <c r="Q173" s="19"/>
      <c r="R173" s="19"/>
      <c r="S173" s="19"/>
      <c r="T173" s="19"/>
      <c r="U173" s="19"/>
      <c r="V173" s="19"/>
      <c r="W173" s="19"/>
      <c r="X173" s="19"/>
      <c r="Y173" s="19"/>
      <c r="Z173" s="19"/>
    </row>
    <row r="174">
      <c r="A174" s="21"/>
      <c r="B174" s="21"/>
      <c r="C174" s="21"/>
      <c r="D174" s="21"/>
      <c r="E174" s="21"/>
      <c r="F174" s="21"/>
      <c r="G174" s="21"/>
      <c r="H174" s="21"/>
      <c r="I174" s="21"/>
      <c r="J174" s="21"/>
      <c r="K174" s="21"/>
      <c r="L174" s="21"/>
      <c r="M174" s="21"/>
      <c r="N174" s="21"/>
      <c r="O174" s="21"/>
      <c r="P174" s="21"/>
      <c r="Q174" s="19"/>
      <c r="R174" s="19"/>
      <c r="S174" s="19"/>
      <c r="T174" s="19"/>
      <c r="U174" s="19"/>
      <c r="V174" s="19"/>
      <c r="W174" s="19"/>
      <c r="X174" s="19"/>
      <c r="Y174" s="19"/>
      <c r="Z174" s="19"/>
    </row>
    <row r="175">
      <c r="A175" s="21"/>
      <c r="B175" s="21"/>
      <c r="C175" s="21"/>
      <c r="D175" s="21"/>
      <c r="E175" s="21"/>
      <c r="F175" s="21"/>
      <c r="G175" s="21"/>
      <c r="H175" s="21"/>
      <c r="I175" s="21"/>
      <c r="J175" s="21"/>
      <c r="K175" s="21"/>
      <c r="L175" s="21"/>
      <c r="M175" s="21"/>
      <c r="N175" s="21"/>
      <c r="O175" s="21"/>
      <c r="P175" s="21"/>
      <c r="Q175" s="19"/>
      <c r="R175" s="19"/>
      <c r="S175" s="19"/>
      <c r="T175" s="19"/>
      <c r="U175" s="19"/>
      <c r="V175" s="19"/>
      <c r="W175" s="19"/>
      <c r="X175" s="19"/>
      <c r="Y175" s="19"/>
      <c r="Z175" s="19"/>
    </row>
    <row r="176">
      <c r="A176" s="21"/>
      <c r="B176" s="21"/>
      <c r="C176" s="21"/>
      <c r="D176" s="21"/>
      <c r="E176" s="21"/>
      <c r="F176" s="21"/>
      <c r="G176" s="21"/>
      <c r="H176" s="21"/>
      <c r="I176" s="21"/>
      <c r="J176" s="21"/>
      <c r="K176" s="21"/>
      <c r="L176" s="21"/>
      <c r="M176" s="21"/>
      <c r="N176" s="21"/>
      <c r="O176" s="21"/>
      <c r="P176" s="21"/>
      <c r="Q176" s="19"/>
      <c r="R176" s="19"/>
      <c r="S176" s="19"/>
      <c r="T176" s="19"/>
      <c r="U176" s="19"/>
      <c r="V176" s="19"/>
      <c r="W176" s="19"/>
      <c r="X176" s="19"/>
      <c r="Y176" s="19"/>
      <c r="Z176" s="19"/>
    </row>
    <row r="177">
      <c r="A177" s="21"/>
      <c r="B177" s="21"/>
      <c r="C177" s="21"/>
      <c r="D177" s="21"/>
      <c r="E177" s="21"/>
      <c r="F177" s="21"/>
      <c r="G177" s="21"/>
      <c r="H177" s="21"/>
      <c r="I177" s="21"/>
      <c r="J177" s="21"/>
      <c r="K177" s="21"/>
      <c r="L177" s="21"/>
      <c r="M177" s="21"/>
      <c r="N177" s="21"/>
      <c r="O177" s="21"/>
      <c r="P177" s="21"/>
      <c r="Q177" s="19"/>
      <c r="R177" s="19"/>
      <c r="S177" s="19"/>
      <c r="T177" s="19"/>
      <c r="U177" s="19"/>
      <c r="V177" s="19"/>
      <c r="W177" s="19"/>
      <c r="X177" s="19"/>
      <c r="Y177" s="19"/>
      <c r="Z177" s="19"/>
    </row>
    <row r="178">
      <c r="A178" s="21"/>
      <c r="B178" s="21"/>
      <c r="C178" s="21"/>
      <c r="D178" s="21"/>
      <c r="E178" s="21"/>
      <c r="F178" s="21"/>
      <c r="G178" s="21"/>
      <c r="H178" s="21"/>
      <c r="I178" s="21"/>
      <c r="J178" s="21"/>
      <c r="K178" s="21"/>
      <c r="L178" s="21"/>
      <c r="M178" s="21"/>
      <c r="N178" s="21"/>
      <c r="O178" s="21"/>
      <c r="P178" s="21"/>
      <c r="Q178" s="19"/>
      <c r="R178" s="19"/>
      <c r="S178" s="19"/>
      <c r="T178" s="19"/>
      <c r="U178" s="19"/>
      <c r="V178" s="19"/>
      <c r="W178" s="19"/>
      <c r="X178" s="19"/>
      <c r="Y178" s="19"/>
      <c r="Z178" s="19"/>
    </row>
    <row r="179">
      <c r="A179" s="21"/>
      <c r="B179" s="21"/>
      <c r="C179" s="21"/>
      <c r="D179" s="21"/>
      <c r="E179" s="21"/>
      <c r="F179" s="21"/>
      <c r="G179" s="21"/>
      <c r="H179" s="21"/>
      <c r="I179" s="21"/>
      <c r="J179" s="21"/>
      <c r="K179" s="21"/>
      <c r="L179" s="21"/>
      <c r="M179" s="21"/>
      <c r="N179" s="21"/>
      <c r="O179" s="21"/>
      <c r="P179" s="21"/>
      <c r="Q179" s="19"/>
      <c r="R179" s="19"/>
      <c r="S179" s="19"/>
      <c r="T179" s="19"/>
      <c r="U179" s="19"/>
      <c r="V179" s="19"/>
      <c r="W179" s="19"/>
      <c r="X179" s="19"/>
      <c r="Y179" s="19"/>
      <c r="Z179" s="19"/>
    </row>
    <row r="180">
      <c r="A180" s="21"/>
      <c r="B180" s="21"/>
      <c r="C180" s="21"/>
      <c r="D180" s="21"/>
      <c r="E180" s="21"/>
      <c r="F180" s="21"/>
      <c r="G180" s="21"/>
      <c r="H180" s="21"/>
      <c r="I180" s="21"/>
      <c r="J180" s="21"/>
      <c r="K180" s="21"/>
      <c r="L180" s="21"/>
      <c r="M180" s="21"/>
      <c r="N180" s="21"/>
      <c r="O180" s="21"/>
      <c r="P180" s="21"/>
      <c r="Q180" s="19"/>
      <c r="R180" s="19"/>
      <c r="S180" s="19"/>
      <c r="T180" s="19"/>
      <c r="U180" s="19"/>
      <c r="V180" s="19"/>
      <c r="W180" s="19"/>
      <c r="X180" s="19"/>
      <c r="Y180" s="19"/>
      <c r="Z180" s="19"/>
    </row>
    <row r="181">
      <c r="A181" s="21"/>
      <c r="B181" s="21"/>
      <c r="C181" s="21"/>
      <c r="D181" s="21"/>
      <c r="E181" s="21"/>
      <c r="F181" s="21"/>
      <c r="G181" s="21"/>
      <c r="H181" s="21"/>
      <c r="I181" s="21"/>
      <c r="J181" s="21"/>
      <c r="K181" s="21"/>
      <c r="L181" s="21"/>
      <c r="M181" s="21"/>
      <c r="N181" s="21"/>
      <c r="O181" s="21"/>
      <c r="P181" s="21"/>
      <c r="Q181" s="19"/>
      <c r="R181" s="19"/>
      <c r="S181" s="19"/>
      <c r="T181" s="19"/>
      <c r="U181" s="19"/>
      <c r="V181" s="19"/>
      <c r="W181" s="19"/>
      <c r="X181" s="19"/>
      <c r="Y181" s="19"/>
      <c r="Z181" s="19"/>
    </row>
    <row r="182">
      <c r="A182" s="21"/>
      <c r="B182" s="21"/>
      <c r="C182" s="21"/>
      <c r="D182" s="21"/>
      <c r="E182" s="21"/>
      <c r="F182" s="21"/>
      <c r="G182" s="21"/>
      <c r="H182" s="21"/>
      <c r="I182" s="21"/>
      <c r="J182" s="21"/>
      <c r="K182" s="21"/>
      <c r="L182" s="21"/>
      <c r="M182" s="21"/>
      <c r="N182" s="21"/>
      <c r="O182" s="21"/>
      <c r="P182" s="21"/>
      <c r="Q182" s="19"/>
      <c r="R182" s="19"/>
      <c r="S182" s="19"/>
      <c r="T182" s="19"/>
      <c r="U182" s="19"/>
      <c r="V182" s="19"/>
      <c r="W182" s="19"/>
      <c r="X182" s="19"/>
      <c r="Y182" s="19"/>
      <c r="Z182" s="19"/>
    </row>
    <row r="183">
      <c r="A183" s="21"/>
      <c r="B183" s="21"/>
      <c r="C183" s="21"/>
      <c r="D183" s="21"/>
      <c r="E183" s="21"/>
      <c r="F183" s="21"/>
      <c r="G183" s="21"/>
      <c r="H183" s="21"/>
      <c r="I183" s="21"/>
      <c r="J183" s="21"/>
      <c r="K183" s="21"/>
      <c r="L183" s="21"/>
      <c r="M183" s="21"/>
      <c r="N183" s="21"/>
      <c r="O183" s="21"/>
      <c r="P183" s="21"/>
      <c r="Q183" s="19"/>
      <c r="R183" s="19"/>
      <c r="S183" s="19"/>
      <c r="T183" s="19"/>
      <c r="U183" s="19"/>
      <c r="V183" s="19"/>
      <c r="W183" s="19"/>
      <c r="X183" s="19"/>
      <c r="Y183" s="19"/>
      <c r="Z183" s="19"/>
    </row>
    <row r="184">
      <c r="A184" s="21"/>
      <c r="B184" s="21"/>
      <c r="C184" s="21"/>
      <c r="D184" s="21"/>
      <c r="E184" s="21"/>
      <c r="F184" s="21"/>
      <c r="G184" s="21"/>
      <c r="H184" s="21"/>
      <c r="I184" s="21"/>
      <c r="J184" s="21"/>
      <c r="K184" s="21"/>
      <c r="L184" s="21"/>
      <c r="M184" s="21"/>
      <c r="N184" s="21"/>
      <c r="O184" s="21"/>
      <c r="P184" s="21"/>
      <c r="Q184" s="19"/>
      <c r="R184" s="19"/>
      <c r="S184" s="19"/>
      <c r="T184" s="19"/>
      <c r="U184" s="19"/>
      <c r="V184" s="19"/>
      <c r="W184" s="19"/>
      <c r="X184" s="19"/>
      <c r="Y184" s="19"/>
      <c r="Z184" s="19"/>
    </row>
    <row r="185">
      <c r="A185" s="21"/>
      <c r="B185" s="21"/>
      <c r="C185" s="21"/>
      <c r="D185" s="21"/>
      <c r="E185" s="21"/>
      <c r="F185" s="21"/>
      <c r="G185" s="21"/>
      <c r="H185" s="21"/>
      <c r="I185" s="21"/>
      <c r="J185" s="21"/>
      <c r="K185" s="21"/>
      <c r="L185" s="21"/>
      <c r="M185" s="21"/>
      <c r="N185" s="21"/>
      <c r="O185" s="21"/>
      <c r="P185" s="21"/>
      <c r="Q185" s="19"/>
      <c r="R185" s="19"/>
      <c r="S185" s="19"/>
      <c r="T185" s="19"/>
      <c r="U185" s="19"/>
      <c r="V185" s="19"/>
      <c r="W185" s="19"/>
      <c r="X185" s="19"/>
      <c r="Y185" s="19"/>
      <c r="Z185" s="19"/>
    </row>
    <row r="186">
      <c r="A186" s="21"/>
      <c r="B186" s="21"/>
      <c r="C186" s="21"/>
      <c r="D186" s="21"/>
      <c r="E186" s="21"/>
      <c r="F186" s="21"/>
      <c r="G186" s="21"/>
      <c r="H186" s="21"/>
      <c r="I186" s="21"/>
      <c r="J186" s="21"/>
      <c r="K186" s="21"/>
      <c r="L186" s="21"/>
      <c r="M186" s="21"/>
      <c r="N186" s="21"/>
      <c r="O186" s="21"/>
      <c r="P186" s="21"/>
      <c r="Q186" s="19"/>
      <c r="R186" s="19"/>
      <c r="S186" s="19"/>
      <c r="T186" s="19"/>
      <c r="U186" s="19"/>
      <c r="V186" s="19"/>
      <c r="W186" s="19"/>
      <c r="X186" s="19"/>
      <c r="Y186" s="19"/>
      <c r="Z186" s="19"/>
    </row>
    <row r="187">
      <c r="A187" s="21"/>
      <c r="B187" s="21"/>
      <c r="C187" s="21"/>
      <c r="D187" s="21"/>
      <c r="E187" s="21"/>
      <c r="F187" s="21"/>
      <c r="G187" s="21"/>
      <c r="H187" s="21"/>
      <c r="I187" s="21"/>
      <c r="J187" s="21"/>
      <c r="K187" s="21"/>
      <c r="L187" s="21"/>
      <c r="M187" s="21"/>
      <c r="N187" s="21"/>
      <c r="O187" s="21"/>
      <c r="P187" s="21"/>
      <c r="Q187" s="19"/>
      <c r="R187" s="19"/>
      <c r="S187" s="19"/>
      <c r="T187" s="19"/>
      <c r="U187" s="19"/>
      <c r="V187" s="19"/>
      <c r="W187" s="19"/>
      <c r="X187" s="19"/>
      <c r="Y187" s="19"/>
      <c r="Z187" s="19"/>
    </row>
    <row r="188">
      <c r="A188" s="21"/>
      <c r="B188" s="21"/>
      <c r="C188" s="21"/>
      <c r="D188" s="21"/>
      <c r="E188" s="21"/>
      <c r="F188" s="21"/>
      <c r="G188" s="21"/>
      <c r="H188" s="21"/>
      <c r="I188" s="21"/>
      <c r="J188" s="21"/>
      <c r="K188" s="21"/>
      <c r="L188" s="21"/>
      <c r="M188" s="21"/>
      <c r="N188" s="21"/>
      <c r="O188" s="21"/>
      <c r="P188" s="21"/>
      <c r="Q188" s="19"/>
      <c r="R188" s="19"/>
      <c r="S188" s="19"/>
      <c r="T188" s="19"/>
      <c r="U188" s="19"/>
      <c r="V188" s="19"/>
      <c r="W188" s="19"/>
      <c r="X188" s="19"/>
      <c r="Y188" s="19"/>
      <c r="Z188" s="19"/>
    </row>
    <row r="189">
      <c r="A189" s="21"/>
      <c r="B189" s="21"/>
      <c r="C189" s="21"/>
      <c r="D189" s="21"/>
      <c r="E189" s="21"/>
      <c r="F189" s="21"/>
      <c r="G189" s="21"/>
      <c r="H189" s="21"/>
      <c r="I189" s="21"/>
      <c r="J189" s="21"/>
      <c r="K189" s="21"/>
      <c r="L189" s="21"/>
      <c r="M189" s="21"/>
      <c r="N189" s="21"/>
      <c r="O189" s="21"/>
      <c r="P189" s="21"/>
      <c r="Q189" s="19"/>
      <c r="R189" s="19"/>
      <c r="S189" s="19"/>
      <c r="T189" s="19"/>
      <c r="U189" s="19"/>
      <c r="V189" s="19"/>
      <c r="W189" s="19"/>
      <c r="X189" s="19"/>
      <c r="Y189" s="19"/>
      <c r="Z189" s="19"/>
    </row>
    <row r="190">
      <c r="A190" s="21"/>
      <c r="B190" s="21"/>
      <c r="C190" s="21"/>
      <c r="D190" s="21"/>
      <c r="E190" s="21"/>
      <c r="F190" s="21"/>
      <c r="G190" s="21"/>
      <c r="H190" s="21"/>
      <c r="I190" s="21"/>
      <c r="J190" s="21"/>
      <c r="K190" s="21"/>
      <c r="L190" s="21"/>
      <c r="M190" s="21"/>
      <c r="N190" s="21"/>
      <c r="O190" s="21"/>
      <c r="P190" s="21"/>
      <c r="Q190" s="19"/>
      <c r="R190" s="19"/>
      <c r="S190" s="19"/>
      <c r="T190" s="19"/>
      <c r="U190" s="19"/>
      <c r="V190" s="19"/>
      <c r="W190" s="19"/>
      <c r="X190" s="19"/>
      <c r="Y190" s="19"/>
      <c r="Z190" s="19"/>
    </row>
    <row r="191">
      <c r="A191" s="21"/>
      <c r="B191" s="21"/>
      <c r="C191" s="21"/>
      <c r="D191" s="21"/>
      <c r="E191" s="21"/>
      <c r="F191" s="21"/>
      <c r="G191" s="21"/>
      <c r="H191" s="21"/>
      <c r="I191" s="21"/>
      <c r="J191" s="21"/>
      <c r="K191" s="21"/>
      <c r="L191" s="21"/>
      <c r="M191" s="21"/>
      <c r="N191" s="21"/>
      <c r="O191" s="21"/>
      <c r="P191" s="21"/>
      <c r="Q191" s="19"/>
      <c r="R191" s="19"/>
      <c r="S191" s="19"/>
      <c r="T191" s="19"/>
      <c r="U191" s="19"/>
      <c r="V191" s="19"/>
      <c r="W191" s="19"/>
      <c r="X191" s="19"/>
      <c r="Y191" s="19"/>
      <c r="Z191" s="19"/>
    </row>
    <row r="192">
      <c r="A192" s="21"/>
      <c r="B192" s="21"/>
      <c r="C192" s="21"/>
      <c r="D192" s="21"/>
      <c r="E192" s="21"/>
      <c r="F192" s="21"/>
      <c r="G192" s="21"/>
      <c r="H192" s="21"/>
      <c r="I192" s="21"/>
      <c r="J192" s="21"/>
      <c r="K192" s="21"/>
      <c r="L192" s="21"/>
      <c r="M192" s="21"/>
      <c r="N192" s="21"/>
      <c r="O192" s="21"/>
      <c r="P192" s="21"/>
      <c r="Q192" s="19"/>
      <c r="R192" s="19"/>
      <c r="S192" s="19"/>
      <c r="T192" s="19"/>
      <c r="U192" s="19"/>
      <c r="V192" s="19"/>
      <c r="W192" s="19"/>
      <c r="X192" s="19"/>
      <c r="Y192" s="19"/>
      <c r="Z192" s="19"/>
    </row>
    <row r="193">
      <c r="A193" s="21"/>
      <c r="B193" s="21"/>
      <c r="C193" s="21"/>
      <c r="D193" s="21"/>
      <c r="E193" s="21"/>
      <c r="F193" s="21"/>
      <c r="G193" s="21"/>
      <c r="H193" s="21"/>
      <c r="I193" s="21"/>
      <c r="J193" s="21"/>
      <c r="K193" s="21"/>
      <c r="L193" s="21"/>
      <c r="M193" s="21"/>
      <c r="N193" s="21"/>
      <c r="O193" s="21"/>
      <c r="P193" s="21"/>
      <c r="Q193" s="19"/>
      <c r="R193" s="19"/>
      <c r="S193" s="19"/>
      <c r="T193" s="19"/>
      <c r="U193" s="19"/>
      <c r="V193" s="19"/>
      <c r="W193" s="19"/>
      <c r="X193" s="19"/>
      <c r="Y193" s="19"/>
      <c r="Z193" s="19"/>
    </row>
    <row r="194">
      <c r="A194" s="21"/>
      <c r="B194" s="21"/>
      <c r="C194" s="21"/>
      <c r="D194" s="21"/>
      <c r="E194" s="21"/>
      <c r="F194" s="21"/>
      <c r="G194" s="21"/>
      <c r="H194" s="21"/>
      <c r="I194" s="21"/>
      <c r="J194" s="21"/>
      <c r="K194" s="21"/>
      <c r="L194" s="21"/>
      <c r="M194" s="21"/>
      <c r="N194" s="21"/>
      <c r="O194" s="21"/>
      <c r="P194" s="21"/>
      <c r="Q194" s="19"/>
      <c r="R194" s="19"/>
      <c r="S194" s="19"/>
      <c r="T194" s="19"/>
      <c r="U194" s="19"/>
      <c r="V194" s="19"/>
      <c r="W194" s="19"/>
      <c r="X194" s="19"/>
      <c r="Y194" s="19"/>
      <c r="Z194" s="19"/>
    </row>
    <row r="195">
      <c r="A195" s="21"/>
      <c r="B195" s="21"/>
      <c r="C195" s="21"/>
      <c r="D195" s="21"/>
      <c r="E195" s="21"/>
      <c r="F195" s="21"/>
      <c r="G195" s="21"/>
      <c r="H195" s="21"/>
      <c r="I195" s="21"/>
      <c r="J195" s="21"/>
      <c r="K195" s="21"/>
      <c r="L195" s="21"/>
      <c r="M195" s="21"/>
      <c r="N195" s="21"/>
      <c r="O195" s="21"/>
      <c r="P195" s="21"/>
      <c r="Q195" s="19"/>
      <c r="R195" s="19"/>
      <c r="S195" s="19"/>
      <c r="T195" s="19"/>
      <c r="U195" s="19"/>
      <c r="V195" s="19"/>
      <c r="W195" s="19"/>
      <c r="X195" s="19"/>
      <c r="Y195" s="19"/>
      <c r="Z195" s="19"/>
    </row>
    <row r="196">
      <c r="A196" s="21"/>
      <c r="B196" s="21"/>
      <c r="C196" s="21"/>
      <c r="D196" s="21"/>
      <c r="E196" s="21"/>
      <c r="F196" s="21"/>
      <c r="G196" s="21"/>
      <c r="H196" s="21"/>
      <c r="I196" s="21"/>
      <c r="J196" s="21"/>
      <c r="K196" s="21"/>
      <c r="L196" s="21"/>
      <c r="M196" s="21"/>
      <c r="N196" s="21"/>
      <c r="O196" s="21"/>
      <c r="P196" s="21"/>
      <c r="Q196" s="19"/>
      <c r="R196" s="19"/>
      <c r="S196" s="19"/>
      <c r="T196" s="19"/>
      <c r="U196" s="19"/>
      <c r="V196" s="19"/>
      <c r="W196" s="19"/>
      <c r="X196" s="19"/>
      <c r="Y196" s="19"/>
      <c r="Z196" s="19"/>
    </row>
    <row r="197">
      <c r="A197" s="21"/>
      <c r="B197" s="21"/>
      <c r="C197" s="21"/>
      <c r="D197" s="21"/>
      <c r="E197" s="21"/>
      <c r="F197" s="21"/>
      <c r="G197" s="21"/>
      <c r="H197" s="21"/>
      <c r="I197" s="21"/>
      <c r="J197" s="21"/>
      <c r="K197" s="21"/>
      <c r="L197" s="21"/>
      <c r="M197" s="21"/>
      <c r="N197" s="21"/>
      <c r="O197" s="21"/>
      <c r="P197" s="21"/>
      <c r="Q197" s="19"/>
      <c r="R197" s="19"/>
      <c r="S197" s="19"/>
      <c r="T197" s="19"/>
      <c r="U197" s="19"/>
      <c r="V197" s="19"/>
      <c r="W197" s="19"/>
      <c r="X197" s="19"/>
      <c r="Y197" s="19"/>
      <c r="Z197" s="19"/>
    </row>
    <row r="198">
      <c r="A198" s="21"/>
      <c r="B198" s="21"/>
      <c r="C198" s="21"/>
      <c r="D198" s="21"/>
      <c r="E198" s="21"/>
      <c r="F198" s="21"/>
      <c r="G198" s="21"/>
      <c r="H198" s="21"/>
      <c r="I198" s="21"/>
      <c r="J198" s="21"/>
      <c r="K198" s="21"/>
      <c r="L198" s="21"/>
      <c r="M198" s="21"/>
      <c r="N198" s="21"/>
      <c r="O198" s="21"/>
      <c r="P198" s="21"/>
      <c r="Q198" s="19"/>
      <c r="R198" s="19"/>
      <c r="S198" s="19"/>
      <c r="T198" s="19"/>
      <c r="U198" s="19"/>
      <c r="V198" s="19"/>
      <c r="W198" s="19"/>
      <c r="X198" s="19"/>
      <c r="Y198" s="19"/>
      <c r="Z198" s="19"/>
    </row>
    <row r="199">
      <c r="A199" s="21"/>
      <c r="B199" s="21"/>
      <c r="C199" s="21"/>
      <c r="D199" s="21"/>
      <c r="E199" s="21"/>
      <c r="F199" s="21"/>
      <c r="G199" s="21"/>
      <c r="H199" s="21"/>
      <c r="I199" s="21"/>
      <c r="J199" s="21"/>
      <c r="K199" s="21"/>
      <c r="L199" s="21"/>
      <c r="M199" s="21"/>
      <c r="N199" s="21"/>
      <c r="O199" s="21"/>
      <c r="P199" s="21"/>
      <c r="Q199" s="19"/>
      <c r="R199" s="19"/>
      <c r="S199" s="19"/>
      <c r="T199" s="19"/>
      <c r="U199" s="19"/>
      <c r="V199" s="19"/>
      <c r="W199" s="19"/>
      <c r="X199" s="19"/>
      <c r="Y199" s="19"/>
      <c r="Z199" s="19"/>
    </row>
    <row r="200">
      <c r="A200" s="21"/>
      <c r="B200" s="21"/>
      <c r="C200" s="21"/>
      <c r="D200" s="21"/>
      <c r="E200" s="21"/>
      <c r="F200" s="21"/>
      <c r="G200" s="21"/>
      <c r="H200" s="21"/>
      <c r="I200" s="21"/>
      <c r="J200" s="21"/>
      <c r="K200" s="21"/>
      <c r="L200" s="21"/>
      <c r="M200" s="21"/>
      <c r="N200" s="21"/>
      <c r="O200" s="21"/>
      <c r="P200" s="21"/>
      <c r="Q200" s="19"/>
      <c r="R200" s="19"/>
      <c r="S200" s="19"/>
      <c r="T200" s="19"/>
      <c r="U200" s="19"/>
      <c r="V200" s="19"/>
      <c r="W200" s="19"/>
      <c r="X200" s="19"/>
      <c r="Y200" s="19"/>
      <c r="Z200" s="19"/>
    </row>
    <row r="201">
      <c r="A201" s="21"/>
      <c r="B201" s="21"/>
      <c r="C201" s="21"/>
      <c r="D201" s="21"/>
      <c r="E201" s="21"/>
      <c r="F201" s="21"/>
      <c r="G201" s="21"/>
      <c r="H201" s="21"/>
      <c r="I201" s="21"/>
      <c r="J201" s="21"/>
      <c r="K201" s="21"/>
      <c r="L201" s="21"/>
      <c r="M201" s="21"/>
      <c r="N201" s="21"/>
      <c r="O201" s="21"/>
      <c r="P201" s="21"/>
      <c r="Q201" s="19"/>
      <c r="R201" s="19"/>
      <c r="S201" s="19"/>
      <c r="T201" s="19"/>
      <c r="U201" s="19"/>
      <c r="V201" s="19"/>
      <c r="W201" s="19"/>
      <c r="X201" s="19"/>
      <c r="Y201" s="19"/>
      <c r="Z201" s="19"/>
    </row>
    <row r="202">
      <c r="A202" s="21"/>
      <c r="B202" s="21"/>
      <c r="C202" s="21"/>
      <c r="D202" s="21"/>
      <c r="E202" s="21"/>
      <c r="F202" s="21"/>
      <c r="G202" s="21"/>
      <c r="H202" s="21"/>
      <c r="I202" s="21"/>
      <c r="J202" s="21"/>
      <c r="K202" s="21"/>
      <c r="L202" s="21"/>
      <c r="M202" s="21"/>
      <c r="N202" s="21"/>
      <c r="O202" s="21"/>
      <c r="P202" s="21"/>
      <c r="Q202" s="19"/>
      <c r="R202" s="19"/>
      <c r="S202" s="19"/>
      <c r="T202" s="19"/>
      <c r="U202" s="19"/>
      <c r="V202" s="19"/>
      <c r="W202" s="19"/>
      <c r="X202" s="19"/>
      <c r="Y202" s="19"/>
      <c r="Z202" s="19"/>
    </row>
    <row r="203">
      <c r="A203" s="21"/>
      <c r="B203" s="21"/>
      <c r="C203" s="21"/>
      <c r="D203" s="21"/>
      <c r="E203" s="21"/>
      <c r="F203" s="21"/>
      <c r="G203" s="21"/>
      <c r="H203" s="21"/>
      <c r="I203" s="21"/>
      <c r="J203" s="21"/>
      <c r="K203" s="21"/>
      <c r="L203" s="21"/>
      <c r="M203" s="21"/>
      <c r="N203" s="21"/>
      <c r="O203" s="21"/>
      <c r="P203" s="21"/>
      <c r="Q203" s="19"/>
      <c r="R203" s="19"/>
      <c r="S203" s="19"/>
      <c r="T203" s="19"/>
      <c r="U203" s="19"/>
      <c r="V203" s="19"/>
      <c r="W203" s="19"/>
      <c r="X203" s="19"/>
      <c r="Y203" s="19"/>
      <c r="Z203" s="19"/>
    </row>
    <row r="204">
      <c r="A204" s="21"/>
      <c r="B204" s="21"/>
      <c r="C204" s="21"/>
      <c r="D204" s="21"/>
      <c r="E204" s="21"/>
      <c r="F204" s="21"/>
      <c r="G204" s="21"/>
      <c r="H204" s="21"/>
      <c r="I204" s="21"/>
      <c r="J204" s="21"/>
      <c r="K204" s="21"/>
      <c r="L204" s="21"/>
      <c r="M204" s="21"/>
      <c r="N204" s="21"/>
      <c r="O204" s="21"/>
      <c r="P204" s="21"/>
      <c r="Q204" s="19"/>
      <c r="R204" s="19"/>
      <c r="S204" s="19"/>
      <c r="T204" s="19"/>
      <c r="U204" s="19"/>
      <c r="V204" s="19"/>
      <c r="W204" s="19"/>
      <c r="X204" s="19"/>
      <c r="Y204" s="19"/>
      <c r="Z204" s="19"/>
    </row>
    <row r="205">
      <c r="A205" s="21"/>
      <c r="B205" s="21"/>
      <c r="C205" s="21"/>
      <c r="D205" s="21"/>
      <c r="E205" s="21"/>
      <c r="F205" s="21"/>
      <c r="G205" s="21"/>
      <c r="H205" s="21"/>
      <c r="I205" s="21"/>
      <c r="J205" s="21"/>
      <c r="K205" s="21"/>
      <c r="L205" s="21"/>
      <c r="M205" s="21"/>
      <c r="N205" s="21"/>
      <c r="O205" s="21"/>
      <c r="P205" s="21"/>
      <c r="Q205" s="19"/>
      <c r="R205" s="19"/>
      <c r="S205" s="19"/>
      <c r="T205" s="19"/>
      <c r="U205" s="19"/>
      <c r="V205" s="19"/>
      <c r="W205" s="19"/>
      <c r="X205" s="19"/>
      <c r="Y205" s="19"/>
      <c r="Z205" s="19"/>
    </row>
    <row r="206">
      <c r="A206" s="21"/>
      <c r="B206" s="21"/>
      <c r="C206" s="21"/>
      <c r="D206" s="21"/>
      <c r="E206" s="21"/>
      <c r="F206" s="21"/>
      <c r="G206" s="21"/>
      <c r="H206" s="21"/>
      <c r="I206" s="21"/>
      <c r="J206" s="21"/>
      <c r="K206" s="21"/>
      <c r="L206" s="21"/>
      <c r="M206" s="21"/>
      <c r="N206" s="21"/>
      <c r="O206" s="21"/>
      <c r="P206" s="21"/>
      <c r="Q206" s="19"/>
      <c r="R206" s="19"/>
      <c r="S206" s="19"/>
      <c r="T206" s="19"/>
      <c r="U206" s="19"/>
      <c r="V206" s="19"/>
      <c r="W206" s="19"/>
      <c r="X206" s="19"/>
      <c r="Y206" s="19"/>
      <c r="Z206" s="19"/>
    </row>
    <row r="207">
      <c r="A207" s="21"/>
      <c r="B207" s="21"/>
      <c r="C207" s="21"/>
      <c r="D207" s="21"/>
      <c r="E207" s="21"/>
      <c r="F207" s="21"/>
      <c r="G207" s="21"/>
      <c r="H207" s="21"/>
      <c r="I207" s="21"/>
      <c r="J207" s="21"/>
      <c r="K207" s="21"/>
      <c r="L207" s="21"/>
      <c r="M207" s="21"/>
      <c r="N207" s="21"/>
      <c r="O207" s="21"/>
      <c r="P207" s="21"/>
      <c r="Q207" s="19"/>
      <c r="R207" s="19"/>
      <c r="S207" s="19"/>
      <c r="T207" s="19"/>
      <c r="U207" s="19"/>
      <c r="V207" s="19"/>
      <c r="W207" s="19"/>
      <c r="X207" s="19"/>
      <c r="Y207" s="19"/>
      <c r="Z207" s="19"/>
    </row>
    <row r="208">
      <c r="A208" s="21"/>
      <c r="B208" s="21"/>
      <c r="C208" s="21"/>
      <c r="D208" s="21"/>
      <c r="E208" s="21"/>
      <c r="F208" s="21"/>
      <c r="G208" s="21"/>
      <c r="H208" s="21"/>
      <c r="I208" s="21"/>
      <c r="J208" s="21"/>
      <c r="K208" s="21"/>
      <c r="L208" s="21"/>
      <c r="M208" s="21"/>
      <c r="N208" s="21"/>
      <c r="O208" s="21"/>
      <c r="P208" s="21"/>
      <c r="Q208" s="19"/>
      <c r="R208" s="19"/>
      <c r="S208" s="19"/>
      <c r="T208" s="19"/>
      <c r="U208" s="19"/>
      <c r="V208" s="19"/>
      <c r="W208" s="19"/>
      <c r="X208" s="19"/>
      <c r="Y208" s="19"/>
      <c r="Z208" s="19"/>
    </row>
    <row r="209">
      <c r="A209" s="21"/>
      <c r="B209" s="21"/>
      <c r="C209" s="21"/>
      <c r="D209" s="21"/>
      <c r="E209" s="21"/>
      <c r="F209" s="21"/>
      <c r="G209" s="21"/>
      <c r="H209" s="21"/>
      <c r="I209" s="21"/>
      <c r="J209" s="21"/>
      <c r="K209" s="21"/>
      <c r="L209" s="21"/>
      <c r="M209" s="21"/>
      <c r="N209" s="21"/>
      <c r="O209" s="21"/>
      <c r="P209" s="21"/>
      <c r="Q209" s="19"/>
      <c r="R209" s="19"/>
      <c r="S209" s="19"/>
      <c r="T209" s="19"/>
      <c r="U209" s="19"/>
      <c r="V209" s="19"/>
      <c r="W209" s="19"/>
      <c r="X209" s="19"/>
      <c r="Y209" s="19"/>
      <c r="Z209" s="19"/>
    </row>
    <row r="210">
      <c r="A210" s="21"/>
      <c r="B210" s="21"/>
      <c r="C210" s="21"/>
      <c r="D210" s="21"/>
      <c r="E210" s="21"/>
      <c r="F210" s="21"/>
      <c r="G210" s="21"/>
      <c r="H210" s="21"/>
      <c r="I210" s="21"/>
      <c r="J210" s="21"/>
      <c r="K210" s="21"/>
      <c r="L210" s="21"/>
      <c r="M210" s="21"/>
      <c r="N210" s="21"/>
      <c r="O210" s="21"/>
      <c r="P210" s="21"/>
      <c r="Q210" s="19"/>
      <c r="R210" s="19"/>
      <c r="S210" s="19"/>
      <c r="T210" s="19"/>
      <c r="U210" s="19"/>
      <c r="V210" s="19"/>
      <c r="W210" s="19"/>
      <c r="X210" s="19"/>
      <c r="Y210" s="19"/>
      <c r="Z210" s="19"/>
    </row>
    <row r="211">
      <c r="A211" s="21"/>
      <c r="B211" s="21"/>
      <c r="C211" s="21"/>
      <c r="D211" s="21"/>
      <c r="E211" s="21"/>
      <c r="F211" s="21"/>
      <c r="G211" s="21"/>
      <c r="H211" s="21"/>
      <c r="I211" s="21"/>
      <c r="J211" s="21"/>
      <c r="K211" s="21"/>
      <c r="L211" s="21"/>
      <c r="M211" s="21"/>
      <c r="N211" s="21"/>
      <c r="O211" s="21"/>
      <c r="P211" s="21"/>
      <c r="Q211" s="19"/>
      <c r="R211" s="19"/>
      <c r="S211" s="19"/>
      <c r="T211" s="19"/>
      <c r="U211" s="19"/>
      <c r="V211" s="19"/>
      <c r="W211" s="19"/>
      <c r="X211" s="19"/>
      <c r="Y211" s="19"/>
      <c r="Z211" s="19"/>
    </row>
    <row r="212">
      <c r="A212" s="21"/>
      <c r="B212" s="21"/>
      <c r="C212" s="21"/>
      <c r="D212" s="21"/>
      <c r="E212" s="21"/>
      <c r="F212" s="21"/>
      <c r="G212" s="21"/>
      <c r="H212" s="21"/>
      <c r="I212" s="21"/>
      <c r="J212" s="21"/>
      <c r="K212" s="21"/>
      <c r="L212" s="21"/>
      <c r="M212" s="21"/>
      <c r="N212" s="21"/>
      <c r="O212" s="21"/>
      <c r="P212" s="21"/>
      <c r="Q212" s="19"/>
      <c r="R212" s="19"/>
      <c r="S212" s="19"/>
      <c r="T212" s="19"/>
      <c r="U212" s="19"/>
      <c r="V212" s="19"/>
      <c r="W212" s="19"/>
      <c r="X212" s="19"/>
      <c r="Y212" s="19"/>
      <c r="Z212" s="19"/>
    </row>
    <row r="213">
      <c r="A213" s="21"/>
      <c r="B213" s="21"/>
      <c r="C213" s="21"/>
      <c r="D213" s="21"/>
      <c r="E213" s="21"/>
      <c r="F213" s="21"/>
      <c r="G213" s="21"/>
      <c r="H213" s="21"/>
      <c r="I213" s="21"/>
      <c r="J213" s="21"/>
      <c r="K213" s="21"/>
      <c r="L213" s="21"/>
      <c r="M213" s="21"/>
      <c r="N213" s="21"/>
      <c r="O213" s="21"/>
      <c r="P213" s="21"/>
      <c r="Q213" s="19"/>
      <c r="R213" s="19"/>
      <c r="S213" s="19"/>
      <c r="T213" s="19"/>
      <c r="U213" s="19"/>
      <c r="V213" s="19"/>
      <c r="W213" s="19"/>
      <c r="X213" s="19"/>
      <c r="Y213" s="19"/>
      <c r="Z213" s="19"/>
    </row>
    <row r="214">
      <c r="A214" s="21"/>
      <c r="B214" s="21"/>
      <c r="C214" s="21"/>
      <c r="D214" s="21"/>
      <c r="E214" s="21"/>
      <c r="F214" s="21"/>
      <c r="G214" s="21"/>
      <c r="H214" s="21"/>
      <c r="I214" s="21"/>
      <c r="J214" s="21"/>
      <c r="K214" s="21"/>
      <c r="L214" s="21"/>
      <c r="M214" s="21"/>
      <c r="N214" s="21"/>
      <c r="O214" s="21"/>
      <c r="P214" s="21"/>
      <c r="Q214" s="19"/>
      <c r="R214" s="19"/>
      <c r="S214" s="19"/>
      <c r="T214" s="19"/>
      <c r="U214" s="19"/>
      <c r="V214" s="19"/>
      <c r="W214" s="19"/>
      <c r="X214" s="19"/>
      <c r="Y214" s="19"/>
      <c r="Z214" s="19"/>
    </row>
    <row r="215">
      <c r="A215" s="21"/>
      <c r="B215" s="21"/>
      <c r="C215" s="21"/>
      <c r="D215" s="21"/>
      <c r="E215" s="21"/>
      <c r="F215" s="21"/>
      <c r="G215" s="21"/>
      <c r="H215" s="21"/>
      <c r="I215" s="21"/>
      <c r="J215" s="21"/>
      <c r="K215" s="21"/>
      <c r="L215" s="21"/>
      <c r="M215" s="21"/>
      <c r="N215" s="21"/>
      <c r="O215" s="21"/>
      <c r="P215" s="21"/>
      <c r="Q215" s="19"/>
      <c r="R215" s="19"/>
      <c r="S215" s="19"/>
      <c r="T215" s="19"/>
      <c r="U215" s="19"/>
      <c r="V215" s="19"/>
      <c r="W215" s="19"/>
      <c r="X215" s="19"/>
      <c r="Y215" s="19"/>
      <c r="Z215" s="19"/>
    </row>
    <row r="216">
      <c r="A216" s="21"/>
      <c r="B216" s="21"/>
      <c r="C216" s="21"/>
      <c r="D216" s="21"/>
      <c r="E216" s="21"/>
      <c r="F216" s="21"/>
      <c r="G216" s="21"/>
      <c r="H216" s="21"/>
      <c r="I216" s="21"/>
      <c r="J216" s="21"/>
      <c r="K216" s="21"/>
      <c r="L216" s="21"/>
      <c r="M216" s="21"/>
      <c r="N216" s="21"/>
      <c r="O216" s="21"/>
      <c r="P216" s="21"/>
      <c r="Q216" s="19"/>
      <c r="R216" s="19"/>
      <c r="S216" s="19"/>
      <c r="T216" s="19"/>
      <c r="U216" s="19"/>
      <c r="V216" s="19"/>
      <c r="W216" s="19"/>
      <c r="X216" s="19"/>
      <c r="Y216" s="19"/>
      <c r="Z216" s="19"/>
    </row>
    <row r="217">
      <c r="A217" s="21"/>
      <c r="B217" s="21"/>
      <c r="C217" s="21"/>
      <c r="D217" s="21"/>
      <c r="E217" s="21"/>
      <c r="F217" s="21"/>
      <c r="G217" s="21"/>
      <c r="H217" s="21"/>
      <c r="I217" s="21"/>
      <c r="J217" s="21"/>
      <c r="K217" s="21"/>
      <c r="L217" s="21"/>
      <c r="M217" s="21"/>
      <c r="N217" s="21"/>
      <c r="O217" s="21"/>
      <c r="P217" s="21"/>
      <c r="Q217" s="19"/>
      <c r="R217" s="19"/>
      <c r="S217" s="19"/>
      <c r="T217" s="19"/>
      <c r="U217" s="19"/>
      <c r="V217" s="19"/>
      <c r="W217" s="19"/>
      <c r="X217" s="19"/>
      <c r="Y217" s="19"/>
      <c r="Z217" s="19"/>
    </row>
    <row r="218">
      <c r="A218" s="21"/>
      <c r="B218" s="21"/>
      <c r="C218" s="21"/>
      <c r="D218" s="21"/>
      <c r="E218" s="21"/>
      <c r="F218" s="21"/>
      <c r="G218" s="21"/>
      <c r="H218" s="21"/>
      <c r="I218" s="21"/>
      <c r="J218" s="21"/>
      <c r="K218" s="21"/>
      <c r="L218" s="21"/>
      <c r="M218" s="21"/>
      <c r="N218" s="21"/>
      <c r="O218" s="21"/>
      <c r="P218" s="21"/>
      <c r="Q218" s="19"/>
      <c r="R218" s="19"/>
      <c r="S218" s="19"/>
      <c r="T218" s="19"/>
      <c r="U218" s="19"/>
      <c r="V218" s="19"/>
      <c r="W218" s="19"/>
      <c r="X218" s="19"/>
      <c r="Y218" s="19"/>
      <c r="Z218" s="19"/>
    </row>
    <row r="219">
      <c r="A219" s="21"/>
      <c r="B219" s="21"/>
      <c r="C219" s="21"/>
      <c r="D219" s="21"/>
      <c r="E219" s="21"/>
      <c r="F219" s="21"/>
      <c r="G219" s="21"/>
      <c r="H219" s="21"/>
      <c r="I219" s="21"/>
      <c r="J219" s="21"/>
      <c r="K219" s="21"/>
      <c r="L219" s="21"/>
      <c r="M219" s="21"/>
      <c r="N219" s="21"/>
      <c r="O219" s="21"/>
      <c r="P219" s="21"/>
      <c r="Q219" s="19"/>
      <c r="R219" s="19"/>
      <c r="S219" s="19"/>
      <c r="T219" s="19"/>
      <c r="U219" s="19"/>
      <c r="V219" s="19"/>
      <c r="W219" s="19"/>
      <c r="X219" s="19"/>
      <c r="Y219" s="19"/>
      <c r="Z219" s="19"/>
    </row>
    <row r="220">
      <c r="A220" s="21"/>
      <c r="B220" s="21"/>
      <c r="C220" s="21"/>
      <c r="D220" s="21"/>
      <c r="E220" s="21"/>
      <c r="F220" s="21"/>
      <c r="G220" s="21"/>
      <c r="H220" s="21"/>
      <c r="I220" s="21"/>
      <c r="J220" s="21"/>
      <c r="K220" s="21"/>
      <c r="L220" s="21"/>
      <c r="M220" s="21"/>
      <c r="N220" s="21"/>
      <c r="O220" s="21"/>
      <c r="P220" s="21"/>
      <c r="Q220" s="19"/>
      <c r="R220" s="19"/>
      <c r="S220" s="19"/>
      <c r="T220" s="19"/>
      <c r="U220" s="19"/>
      <c r="V220" s="19"/>
      <c r="W220" s="19"/>
      <c r="X220" s="19"/>
      <c r="Y220" s="19"/>
      <c r="Z220" s="19"/>
    </row>
    <row r="221">
      <c r="A221" s="21"/>
      <c r="B221" s="21"/>
      <c r="C221" s="21"/>
      <c r="D221" s="21"/>
      <c r="E221" s="21"/>
      <c r="F221" s="21"/>
      <c r="G221" s="21"/>
      <c r="H221" s="21"/>
      <c r="I221" s="21"/>
      <c r="J221" s="21"/>
      <c r="K221" s="21"/>
      <c r="L221" s="21"/>
      <c r="M221" s="21"/>
      <c r="N221" s="21"/>
      <c r="O221" s="21"/>
      <c r="P221" s="21"/>
      <c r="Q221" s="19"/>
      <c r="R221" s="19"/>
      <c r="S221" s="19"/>
      <c r="T221" s="19"/>
      <c r="U221" s="19"/>
      <c r="V221" s="19"/>
      <c r="W221" s="19"/>
      <c r="X221" s="19"/>
      <c r="Y221" s="19"/>
      <c r="Z221" s="19"/>
    </row>
    <row r="222">
      <c r="A222" s="21"/>
      <c r="B222" s="21"/>
      <c r="C222" s="21"/>
      <c r="D222" s="21"/>
      <c r="E222" s="21"/>
      <c r="F222" s="21"/>
      <c r="G222" s="21"/>
      <c r="H222" s="21"/>
      <c r="I222" s="21"/>
      <c r="J222" s="21"/>
      <c r="K222" s="21"/>
      <c r="L222" s="21"/>
      <c r="M222" s="21"/>
      <c r="N222" s="21"/>
      <c r="O222" s="21"/>
      <c r="P222" s="21"/>
      <c r="Q222" s="19"/>
      <c r="R222" s="19"/>
      <c r="S222" s="19"/>
      <c r="T222" s="19"/>
      <c r="U222" s="19"/>
      <c r="V222" s="19"/>
      <c r="W222" s="19"/>
      <c r="X222" s="19"/>
      <c r="Y222" s="19"/>
      <c r="Z222" s="19"/>
    </row>
    <row r="223">
      <c r="A223" s="21"/>
      <c r="B223" s="21"/>
      <c r="C223" s="21"/>
      <c r="D223" s="21"/>
      <c r="E223" s="21"/>
      <c r="F223" s="21"/>
      <c r="G223" s="21"/>
      <c r="H223" s="21"/>
      <c r="I223" s="21"/>
      <c r="J223" s="21"/>
      <c r="K223" s="21"/>
      <c r="L223" s="21"/>
      <c r="M223" s="21"/>
      <c r="N223" s="21"/>
      <c r="O223" s="21"/>
      <c r="P223" s="21"/>
      <c r="Q223" s="19"/>
      <c r="R223" s="19"/>
      <c r="S223" s="19"/>
      <c r="T223" s="19"/>
      <c r="U223" s="19"/>
      <c r="V223" s="19"/>
      <c r="W223" s="19"/>
      <c r="X223" s="19"/>
      <c r="Y223" s="19"/>
      <c r="Z223" s="19"/>
    </row>
    <row r="224">
      <c r="A224" s="21"/>
      <c r="B224" s="21"/>
      <c r="C224" s="21"/>
      <c r="D224" s="21"/>
      <c r="E224" s="21"/>
      <c r="F224" s="21"/>
      <c r="G224" s="21"/>
      <c r="H224" s="21"/>
      <c r="I224" s="21"/>
      <c r="J224" s="21"/>
      <c r="K224" s="21"/>
      <c r="L224" s="21"/>
      <c r="M224" s="21"/>
      <c r="N224" s="21"/>
      <c r="O224" s="21"/>
      <c r="P224" s="21"/>
      <c r="Q224" s="19"/>
      <c r="R224" s="19"/>
      <c r="S224" s="19"/>
      <c r="T224" s="19"/>
      <c r="U224" s="19"/>
      <c r="V224" s="19"/>
      <c r="W224" s="19"/>
      <c r="X224" s="19"/>
      <c r="Y224" s="19"/>
      <c r="Z224" s="19"/>
    </row>
    <row r="225">
      <c r="A225" s="21"/>
      <c r="B225" s="21"/>
      <c r="C225" s="21"/>
      <c r="D225" s="21"/>
      <c r="E225" s="21"/>
      <c r="F225" s="21"/>
      <c r="G225" s="21"/>
      <c r="H225" s="21"/>
      <c r="I225" s="21"/>
      <c r="J225" s="21"/>
      <c r="K225" s="21"/>
      <c r="L225" s="21"/>
      <c r="M225" s="21"/>
      <c r="N225" s="21"/>
      <c r="O225" s="21"/>
      <c r="P225" s="21"/>
      <c r="Q225" s="19"/>
      <c r="R225" s="19"/>
      <c r="S225" s="19"/>
      <c r="T225" s="19"/>
      <c r="U225" s="19"/>
      <c r="V225" s="19"/>
      <c r="W225" s="19"/>
      <c r="X225" s="19"/>
      <c r="Y225" s="19"/>
      <c r="Z225" s="19"/>
    </row>
    <row r="226">
      <c r="A226" s="21"/>
      <c r="B226" s="21"/>
      <c r="C226" s="21"/>
      <c r="D226" s="21"/>
      <c r="E226" s="21"/>
      <c r="F226" s="21"/>
      <c r="G226" s="21"/>
      <c r="H226" s="21"/>
      <c r="I226" s="21"/>
      <c r="J226" s="21"/>
      <c r="K226" s="21"/>
      <c r="L226" s="21"/>
      <c r="M226" s="21"/>
      <c r="N226" s="21"/>
      <c r="O226" s="21"/>
      <c r="P226" s="21"/>
      <c r="Q226" s="19"/>
      <c r="R226" s="19"/>
      <c r="S226" s="19"/>
      <c r="T226" s="19"/>
      <c r="U226" s="19"/>
      <c r="V226" s="19"/>
      <c r="W226" s="19"/>
      <c r="X226" s="19"/>
      <c r="Y226" s="19"/>
      <c r="Z226" s="19"/>
    </row>
    <row r="227">
      <c r="A227" s="21"/>
      <c r="B227" s="21"/>
      <c r="C227" s="21"/>
      <c r="D227" s="21"/>
      <c r="E227" s="21"/>
      <c r="F227" s="21"/>
      <c r="G227" s="21"/>
      <c r="H227" s="21"/>
      <c r="I227" s="21"/>
      <c r="J227" s="21"/>
      <c r="K227" s="21"/>
      <c r="L227" s="21"/>
      <c r="M227" s="21"/>
      <c r="N227" s="21"/>
      <c r="O227" s="21"/>
      <c r="P227" s="21"/>
      <c r="Q227" s="19"/>
      <c r="R227" s="19"/>
      <c r="S227" s="19"/>
      <c r="T227" s="19"/>
      <c r="U227" s="19"/>
      <c r="V227" s="19"/>
      <c r="W227" s="19"/>
      <c r="X227" s="19"/>
      <c r="Y227" s="19"/>
      <c r="Z227" s="19"/>
    </row>
    <row r="228">
      <c r="A228" s="21"/>
      <c r="B228" s="21"/>
      <c r="C228" s="21"/>
      <c r="D228" s="21"/>
      <c r="E228" s="21"/>
      <c r="F228" s="21"/>
      <c r="G228" s="21"/>
      <c r="H228" s="21"/>
      <c r="I228" s="21"/>
      <c r="J228" s="21"/>
      <c r="K228" s="21"/>
      <c r="L228" s="21"/>
      <c r="M228" s="21"/>
      <c r="N228" s="21"/>
      <c r="O228" s="21"/>
      <c r="P228" s="21"/>
      <c r="Q228" s="19"/>
      <c r="R228" s="19"/>
      <c r="S228" s="19"/>
      <c r="T228" s="19"/>
      <c r="U228" s="19"/>
      <c r="V228" s="19"/>
      <c r="W228" s="19"/>
      <c r="X228" s="19"/>
      <c r="Y228" s="19"/>
      <c r="Z228" s="19"/>
    </row>
    <row r="229">
      <c r="A229" s="21"/>
      <c r="B229" s="21"/>
      <c r="C229" s="21"/>
      <c r="D229" s="21"/>
      <c r="E229" s="21"/>
      <c r="F229" s="21"/>
      <c r="G229" s="21"/>
      <c r="H229" s="21"/>
      <c r="I229" s="21"/>
      <c r="J229" s="21"/>
      <c r="K229" s="21"/>
      <c r="L229" s="21"/>
      <c r="M229" s="21"/>
      <c r="N229" s="21"/>
      <c r="O229" s="21"/>
      <c r="P229" s="21"/>
      <c r="Q229" s="19"/>
      <c r="R229" s="19"/>
      <c r="S229" s="19"/>
      <c r="T229" s="19"/>
      <c r="U229" s="19"/>
      <c r="V229" s="19"/>
      <c r="W229" s="19"/>
      <c r="X229" s="19"/>
      <c r="Y229" s="19"/>
      <c r="Z229" s="19"/>
    </row>
    <row r="230">
      <c r="A230" s="21"/>
      <c r="B230" s="21"/>
      <c r="C230" s="21"/>
      <c r="D230" s="21"/>
      <c r="E230" s="21"/>
      <c r="F230" s="21"/>
      <c r="G230" s="21"/>
      <c r="H230" s="21"/>
      <c r="I230" s="21"/>
      <c r="J230" s="21"/>
      <c r="K230" s="21"/>
      <c r="L230" s="21"/>
      <c r="M230" s="21"/>
      <c r="N230" s="21"/>
      <c r="O230" s="21"/>
      <c r="P230" s="21"/>
      <c r="Q230" s="19"/>
      <c r="R230" s="19"/>
      <c r="S230" s="19"/>
      <c r="T230" s="19"/>
      <c r="U230" s="19"/>
      <c r="V230" s="19"/>
      <c r="W230" s="19"/>
      <c r="X230" s="19"/>
      <c r="Y230" s="19"/>
      <c r="Z230" s="19"/>
    </row>
    <row r="231">
      <c r="A231" s="21"/>
      <c r="B231" s="21"/>
      <c r="C231" s="21"/>
      <c r="D231" s="21"/>
      <c r="E231" s="21"/>
      <c r="F231" s="21"/>
      <c r="G231" s="21"/>
      <c r="H231" s="21"/>
      <c r="I231" s="21"/>
      <c r="J231" s="21"/>
      <c r="K231" s="21"/>
      <c r="L231" s="21"/>
      <c r="M231" s="21"/>
      <c r="N231" s="21"/>
      <c r="O231" s="21"/>
      <c r="P231" s="21"/>
      <c r="Q231" s="19"/>
      <c r="R231" s="19"/>
      <c r="S231" s="19"/>
      <c r="T231" s="19"/>
      <c r="U231" s="19"/>
      <c r="V231" s="19"/>
      <c r="W231" s="19"/>
      <c r="X231" s="19"/>
      <c r="Y231" s="19"/>
      <c r="Z231" s="19"/>
    </row>
    <row r="232">
      <c r="A232" s="21"/>
      <c r="B232" s="21"/>
      <c r="C232" s="21"/>
      <c r="D232" s="21"/>
      <c r="E232" s="21"/>
      <c r="F232" s="21"/>
      <c r="G232" s="21"/>
      <c r="H232" s="21"/>
      <c r="I232" s="21"/>
      <c r="J232" s="21"/>
      <c r="K232" s="21"/>
      <c r="L232" s="21"/>
      <c r="M232" s="21"/>
      <c r="N232" s="21"/>
      <c r="O232" s="21"/>
      <c r="P232" s="21"/>
      <c r="Q232" s="19"/>
      <c r="R232" s="19"/>
      <c r="S232" s="19"/>
      <c r="T232" s="19"/>
      <c r="U232" s="19"/>
      <c r="V232" s="19"/>
      <c r="W232" s="19"/>
      <c r="X232" s="19"/>
      <c r="Y232" s="19"/>
      <c r="Z232" s="19"/>
    </row>
    <row r="233">
      <c r="A233" s="21"/>
      <c r="B233" s="21"/>
      <c r="C233" s="21"/>
      <c r="D233" s="21"/>
      <c r="E233" s="21"/>
      <c r="F233" s="21"/>
      <c r="G233" s="21"/>
      <c r="H233" s="21"/>
      <c r="I233" s="21"/>
      <c r="J233" s="21"/>
      <c r="K233" s="21"/>
      <c r="L233" s="21"/>
      <c r="M233" s="21"/>
      <c r="N233" s="21"/>
      <c r="O233" s="21"/>
      <c r="P233" s="21"/>
      <c r="Q233" s="19"/>
      <c r="R233" s="19"/>
      <c r="S233" s="19"/>
      <c r="T233" s="19"/>
      <c r="U233" s="19"/>
      <c r="V233" s="19"/>
      <c r="W233" s="19"/>
      <c r="X233" s="19"/>
      <c r="Y233" s="19"/>
      <c r="Z233" s="19"/>
    </row>
    <row r="234">
      <c r="A234" s="21"/>
      <c r="B234" s="21"/>
      <c r="C234" s="21"/>
      <c r="D234" s="21"/>
      <c r="E234" s="21"/>
      <c r="F234" s="21"/>
      <c r="G234" s="21"/>
      <c r="H234" s="21"/>
      <c r="I234" s="21"/>
      <c r="J234" s="21"/>
      <c r="K234" s="21"/>
      <c r="L234" s="21"/>
      <c r="M234" s="21"/>
      <c r="N234" s="21"/>
      <c r="O234" s="21"/>
      <c r="P234" s="21"/>
      <c r="Q234" s="19"/>
      <c r="R234" s="19"/>
      <c r="S234" s="19"/>
      <c r="T234" s="19"/>
      <c r="U234" s="19"/>
      <c r="V234" s="19"/>
      <c r="W234" s="19"/>
      <c r="X234" s="19"/>
      <c r="Y234" s="19"/>
      <c r="Z234" s="19"/>
    </row>
    <row r="235">
      <c r="A235" s="21"/>
      <c r="B235" s="21"/>
      <c r="C235" s="21"/>
      <c r="D235" s="21"/>
      <c r="E235" s="21"/>
      <c r="F235" s="21"/>
      <c r="G235" s="21"/>
      <c r="H235" s="21"/>
      <c r="I235" s="21"/>
      <c r="J235" s="21"/>
      <c r="K235" s="21"/>
      <c r="L235" s="21"/>
      <c r="M235" s="21"/>
      <c r="N235" s="21"/>
      <c r="O235" s="21"/>
      <c r="P235" s="21"/>
      <c r="Q235" s="19"/>
      <c r="R235" s="19"/>
      <c r="S235" s="19"/>
      <c r="T235" s="19"/>
      <c r="U235" s="19"/>
      <c r="V235" s="19"/>
      <c r="W235" s="19"/>
      <c r="X235" s="19"/>
      <c r="Y235" s="19"/>
      <c r="Z235" s="19"/>
    </row>
    <row r="236">
      <c r="A236" s="21"/>
      <c r="B236" s="21"/>
      <c r="C236" s="21"/>
      <c r="D236" s="21"/>
      <c r="E236" s="21"/>
      <c r="F236" s="21"/>
      <c r="G236" s="21"/>
      <c r="H236" s="21"/>
      <c r="I236" s="21"/>
      <c r="J236" s="21"/>
      <c r="K236" s="21"/>
      <c r="L236" s="21"/>
      <c r="M236" s="21"/>
      <c r="N236" s="21"/>
      <c r="O236" s="21"/>
      <c r="P236" s="21"/>
      <c r="Q236" s="19"/>
      <c r="R236" s="19"/>
      <c r="S236" s="19"/>
      <c r="T236" s="19"/>
      <c r="U236" s="19"/>
      <c r="V236" s="19"/>
      <c r="W236" s="19"/>
      <c r="X236" s="19"/>
      <c r="Y236" s="19"/>
      <c r="Z236" s="19"/>
    </row>
    <row r="237">
      <c r="A237" s="21"/>
      <c r="B237" s="21"/>
      <c r="C237" s="21"/>
      <c r="D237" s="21"/>
      <c r="E237" s="21"/>
      <c r="F237" s="21"/>
      <c r="G237" s="21"/>
      <c r="H237" s="21"/>
      <c r="I237" s="21"/>
      <c r="J237" s="21"/>
      <c r="K237" s="21"/>
      <c r="L237" s="21"/>
      <c r="M237" s="21"/>
      <c r="N237" s="21"/>
      <c r="O237" s="21"/>
      <c r="P237" s="21"/>
      <c r="Q237" s="19"/>
      <c r="R237" s="19"/>
      <c r="S237" s="19"/>
      <c r="T237" s="19"/>
      <c r="U237" s="19"/>
      <c r="V237" s="19"/>
      <c r="W237" s="19"/>
      <c r="X237" s="19"/>
      <c r="Y237" s="19"/>
      <c r="Z237" s="19"/>
    </row>
    <row r="238">
      <c r="A238" s="21"/>
      <c r="B238" s="21"/>
      <c r="C238" s="21"/>
      <c r="D238" s="21"/>
      <c r="E238" s="21"/>
      <c r="F238" s="21"/>
      <c r="G238" s="21"/>
      <c r="H238" s="21"/>
      <c r="I238" s="21"/>
      <c r="J238" s="21"/>
      <c r="K238" s="21"/>
      <c r="L238" s="21"/>
      <c r="M238" s="21"/>
      <c r="N238" s="21"/>
      <c r="O238" s="21"/>
      <c r="P238" s="21"/>
      <c r="Q238" s="19"/>
      <c r="R238" s="19"/>
      <c r="S238" s="19"/>
      <c r="T238" s="19"/>
      <c r="U238" s="19"/>
      <c r="V238" s="19"/>
      <c r="W238" s="19"/>
      <c r="X238" s="19"/>
      <c r="Y238" s="19"/>
      <c r="Z238" s="19"/>
    </row>
    <row r="239">
      <c r="A239" s="21"/>
      <c r="B239" s="21"/>
      <c r="C239" s="21"/>
      <c r="D239" s="21"/>
      <c r="E239" s="21"/>
      <c r="F239" s="21"/>
      <c r="G239" s="21"/>
      <c r="H239" s="21"/>
      <c r="I239" s="21"/>
      <c r="J239" s="21"/>
      <c r="K239" s="21"/>
      <c r="L239" s="21"/>
      <c r="M239" s="21"/>
      <c r="N239" s="21"/>
      <c r="O239" s="21"/>
      <c r="P239" s="21"/>
      <c r="Q239" s="19"/>
      <c r="R239" s="19"/>
      <c r="S239" s="19"/>
      <c r="T239" s="19"/>
      <c r="U239" s="19"/>
      <c r="V239" s="19"/>
      <c r="W239" s="19"/>
      <c r="X239" s="19"/>
      <c r="Y239" s="19"/>
      <c r="Z239" s="19"/>
    </row>
    <row r="240">
      <c r="A240" s="21"/>
      <c r="B240" s="21"/>
      <c r="C240" s="21"/>
      <c r="D240" s="21"/>
      <c r="E240" s="21"/>
      <c r="F240" s="21"/>
      <c r="G240" s="21"/>
      <c r="H240" s="21"/>
      <c r="I240" s="21"/>
      <c r="J240" s="21"/>
      <c r="K240" s="21"/>
      <c r="L240" s="21"/>
      <c r="M240" s="21"/>
      <c r="N240" s="21"/>
      <c r="O240" s="21"/>
      <c r="P240" s="21"/>
      <c r="Q240" s="19"/>
      <c r="R240" s="19"/>
      <c r="S240" s="19"/>
      <c r="T240" s="19"/>
      <c r="U240" s="19"/>
      <c r="V240" s="19"/>
      <c r="W240" s="19"/>
      <c r="X240" s="19"/>
      <c r="Y240" s="19"/>
      <c r="Z240" s="19"/>
    </row>
    <row r="241">
      <c r="A241" s="21"/>
      <c r="B241" s="21"/>
      <c r="C241" s="21"/>
      <c r="D241" s="21"/>
      <c r="E241" s="21"/>
      <c r="F241" s="21"/>
      <c r="G241" s="21"/>
      <c r="H241" s="21"/>
      <c r="I241" s="21"/>
      <c r="J241" s="21"/>
      <c r="K241" s="21"/>
      <c r="L241" s="21"/>
      <c r="M241" s="21"/>
      <c r="N241" s="21"/>
      <c r="O241" s="21"/>
      <c r="P241" s="21"/>
      <c r="Q241" s="19"/>
      <c r="R241" s="19"/>
      <c r="S241" s="19"/>
      <c r="T241" s="19"/>
      <c r="U241" s="19"/>
      <c r="V241" s="19"/>
      <c r="W241" s="19"/>
      <c r="X241" s="19"/>
      <c r="Y241" s="19"/>
      <c r="Z241" s="19"/>
    </row>
    <row r="242">
      <c r="A242" s="21"/>
      <c r="B242" s="21"/>
      <c r="C242" s="21"/>
      <c r="D242" s="21"/>
      <c r="E242" s="21"/>
      <c r="F242" s="21"/>
      <c r="G242" s="21"/>
      <c r="H242" s="21"/>
      <c r="I242" s="21"/>
      <c r="J242" s="21"/>
      <c r="K242" s="21"/>
      <c r="L242" s="21"/>
      <c r="M242" s="21"/>
      <c r="N242" s="21"/>
      <c r="O242" s="21"/>
      <c r="P242" s="21"/>
      <c r="Q242" s="19"/>
      <c r="R242" s="19"/>
      <c r="S242" s="19"/>
      <c r="T242" s="19"/>
      <c r="U242" s="19"/>
      <c r="V242" s="19"/>
      <c r="W242" s="19"/>
      <c r="X242" s="19"/>
      <c r="Y242" s="19"/>
      <c r="Z242" s="19"/>
    </row>
    <row r="243">
      <c r="A243" s="21"/>
      <c r="B243" s="21"/>
      <c r="C243" s="21"/>
      <c r="D243" s="21"/>
      <c r="E243" s="21"/>
      <c r="F243" s="21"/>
      <c r="G243" s="21"/>
      <c r="H243" s="21"/>
      <c r="I243" s="21"/>
      <c r="J243" s="21"/>
      <c r="K243" s="21"/>
      <c r="L243" s="21"/>
      <c r="M243" s="21"/>
      <c r="N243" s="21"/>
      <c r="O243" s="21"/>
      <c r="P243" s="21"/>
      <c r="Q243" s="19"/>
      <c r="R243" s="19"/>
      <c r="S243" s="19"/>
      <c r="T243" s="19"/>
      <c r="U243" s="19"/>
      <c r="V243" s="19"/>
      <c r="W243" s="19"/>
      <c r="X243" s="19"/>
      <c r="Y243" s="19"/>
      <c r="Z243" s="19"/>
    </row>
    <row r="244">
      <c r="A244" s="21"/>
      <c r="B244" s="21"/>
      <c r="C244" s="21"/>
      <c r="D244" s="21"/>
      <c r="E244" s="21"/>
      <c r="F244" s="21"/>
      <c r="G244" s="21"/>
      <c r="H244" s="21"/>
      <c r="I244" s="21"/>
      <c r="J244" s="21"/>
      <c r="K244" s="21"/>
      <c r="L244" s="21"/>
      <c r="M244" s="21"/>
      <c r="N244" s="21"/>
      <c r="O244" s="21"/>
      <c r="P244" s="21"/>
      <c r="Q244" s="19"/>
      <c r="R244" s="19"/>
      <c r="S244" s="19"/>
      <c r="T244" s="19"/>
      <c r="U244" s="19"/>
      <c r="V244" s="19"/>
      <c r="W244" s="19"/>
      <c r="X244" s="19"/>
      <c r="Y244" s="19"/>
      <c r="Z244" s="19"/>
    </row>
    <row r="245">
      <c r="A245" s="21"/>
      <c r="B245" s="21"/>
      <c r="C245" s="21"/>
      <c r="D245" s="21"/>
      <c r="E245" s="21"/>
      <c r="F245" s="21"/>
      <c r="G245" s="21"/>
      <c r="H245" s="21"/>
      <c r="I245" s="21"/>
      <c r="J245" s="21"/>
      <c r="K245" s="21"/>
      <c r="L245" s="21"/>
      <c r="M245" s="21"/>
      <c r="N245" s="21"/>
      <c r="O245" s="21"/>
      <c r="P245" s="21"/>
      <c r="Q245" s="19"/>
      <c r="R245" s="19"/>
      <c r="S245" s="19"/>
      <c r="T245" s="19"/>
      <c r="U245" s="19"/>
      <c r="V245" s="19"/>
      <c r="W245" s="19"/>
      <c r="X245" s="19"/>
      <c r="Y245" s="19"/>
      <c r="Z245" s="19"/>
    </row>
    <row r="246">
      <c r="A246" s="21"/>
      <c r="B246" s="21"/>
      <c r="C246" s="21"/>
      <c r="D246" s="21"/>
      <c r="E246" s="21"/>
      <c r="F246" s="21"/>
      <c r="G246" s="21"/>
      <c r="H246" s="21"/>
      <c r="I246" s="21"/>
      <c r="J246" s="21"/>
      <c r="K246" s="21"/>
      <c r="L246" s="21"/>
      <c r="M246" s="21"/>
      <c r="N246" s="21"/>
      <c r="O246" s="21"/>
      <c r="P246" s="21"/>
      <c r="Q246" s="19"/>
      <c r="R246" s="19"/>
      <c r="S246" s="19"/>
      <c r="T246" s="19"/>
      <c r="U246" s="19"/>
      <c r="V246" s="19"/>
      <c r="W246" s="19"/>
      <c r="X246" s="19"/>
      <c r="Y246" s="19"/>
      <c r="Z246" s="19"/>
    </row>
    <row r="247">
      <c r="A247" s="21"/>
      <c r="B247" s="21"/>
      <c r="C247" s="21"/>
      <c r="D247" s="21"/>
      <c r="E247" s="21"/>
      <c r="F247" s="21"/>
      <c r="G247" s="21"/>
      <c r="H247" s="21"/>
      <c r="I247" s="21"/>
      <c r="J247" s="21"/>
      <c r="K247" s="21"/>
      <c r="L247" s="21"/>
      <c r="M247" s="21"/>
      <c r="N247" s="21"/>
      <c r="O247" s="21"/>
      <c r="P247" s="21"/>
      <c r="Q247" s="19"/>
      <c r="R247" s="19"/>
      <c r="S247" s="19"/>
      <c r="T247" s="19"/>
      <c r="U247" s="19"/>
      <c r="V247" s="19"/>
      <c r="W247" s="19"/>
      <c r="X247" s="19"/>
      <c r="Y247" s="19"/>
      <c r="Z247" s="19"/>
    </row>
    <row r="248">
      <c r="A248" s="21"/>
      <c r="B248" s="21"/>
      <c r="C248" s="21"/>
      <c r="D248" s="21"/>
      <c r="E248" s="21"/>
      <c r="F248" s="21"/>
      <c r="G248" s="21"/>
      <c r="H248" s="21"/>
      <c r="I248" s="21"/>
      <c r="J248" s="21"/>
      <c r="K248" s="21"/>
      <c r="L248" s="21"/>
      <c r="M248" s="21"/>
      <c r="N248" s="21"/>
      <c r="O248" s="21"/>
      <c r="P248" s="21"/>
      <c r="Q248" s="19"/>
      <c r="R248" s="19"/>
      <c r="S248" s="19"/>
      <c r="T248" s="19"/>
      <c r="U248" s="19"/>
      <c r="V248" s="19"/>
      <c r="W248" s="19"/>
      <c r="X248" s="19"/>
      <c r="Y248" s="19"/>
      <c r="Z248" s="19"/>
    </row>
    <row r="249">
      <c r="A249" s="21"/>
      <c r="B249" s="21"/>
      <c r="C249" s="21"/>
      <c r="D249" s="21"/>
      <c r="E249" s="21"/>
      <c r="F249" s="21"/>
      <c r="G249" s="21"/>
      <c r="H249" s="21"/>
      <c r="I249" s="21"/>
      <c r="J249" s="21"/>
      <c r="K249" s="21"/>
      <c r="L249" s="21"/>
      <c r="M249" s="21"/>
      <c r="N249" s="21"/>
      <c r="O249" s="21"/>
      <c r="P249" s="21"/>
      <c r="Q249" s="19"/>
      <c r="R249" s="19"/>
      <c r="S249" s="19"/>
      <c r="T249" s="19"/>
      <c r="U249" s="19"/>
      <c r="V249" s="19"/>
      <c r="W249" s="19"/>
      <c r="X249" s="19"/>
      <c r="Y249" s="19"/>
      <c r="Z249" s="19"/>
    </row>
    <row r="250">
      <c r="A250" s="21"/>
      <c r="B250" s="21"/>
      <c r="C250" s="21"/>
      <c r="D250" s="21"/>
      <c r="E250" s="21"/>
      <c r="F250" s="21"/>
      <c r="G250" s="21"/>
      <c r="H250" s="21"/>
      <c r="I250" s="21"/>
      <c r="J250" s="21"/>
      <c r="K250" s="21"/>
      <c r="L250" s="21"/>
      <c r="M250" s="21"/>
      <c r="N250" s="21"/>
      <c r="O250" s="21"/>
      <c r="P250" s="21"/>
      <c r="Q250" s="19"/>
      <c r="R250" s="19"/>
      <c r="S250" s="19"/>
      <c r="T250" s="19"/>
      <c r="U250" s="19"/>
      <c r="V250" s="19"/>
      <c r="W250" s="19"/>
      <c r="X250" s="19"/>
      <c r="Y250" s="19"/>
      <c r="Z250" s="19"/>
    </row>
    <row r="251">
      <c r="A251" s="21"/>
      <c r="B251" s="21"/>
      <c r="C251" s="21"/>
      <c r="D251" s="21"/>
      <c r="E251" s="21"/>
      <c r="F251" s="21"/>
      <c r="G251" s="21"/>
      <c r="H251" s="21"/>
      <c r="I251" s="21"/>
      <c r="J251" s="21"/>
      <c r="K251" s="21"/>
      <c r="L251" s="21"/>
      <c r="M251" s="21"/>
      <c r="N251" s="21"/>
      <c r="O251" s="21"/>
      <c r="P251" s="21"/>
      <c r="Q251" s="19"/>
      <c r="R251" s="19"/>
      <c r="S251" s="19"/>
      <c r="T251" s="19"/>
      <c r="U251" s="19"/>
      <c r="V251" s="19"/>
      <c r="W251" s="19"/>
      <c r="X251" s="19"/>
      <c r="Y251" s="19"/>
      <c r="Z251" s="19"/>
    </row>
    <row r="252">
      <c r="A252" s="21"/>
      <c r="B252" s="21"/>
      <c r="C252" s="21"/>
      <c r="D252" s="21"/>
      <c r="E252" s="21"/>
      <c r="F252" s="21"/>
      <c r="G252" s="21"/>
      <c r="H252" s="21"/>
      <c r="I252" s="21"/>
      <c r="J252" s="21"/>
      <c r="K252" s="21"/>
      <c r="L252" s="21"/>
      <c r="M252" s="21"/>
      <c r="N252" s="21"/>
      <c r="O252" s="21"/>
      <c r="P252" s="21"/>
      <c r="Q252" s="19"/>
      <c r="R252" s="19"/>
      <c r="S252" s="19"/>
      <c r="T252" s="19"/>
      <c r="U252" s="19"/>
      <c r="V252" s="19"/>
      <c r="W252" s="19"/>
      <c r="X252" s="19"/>
      <c r="Y252" s="19"/>
      <c r="Z252" s="19"/>
    </row>
    <row r="253">
      <c r="A253" s="21"/>
      <c r="B253" s="21"/>
      <c r="C253" s="21"/>
      <c r="D253" s="21"/>
      <c r="E253" s="21"/>
      <c r="F253" s="21"/>
      <c r="G253" s="21"/>
      <c r="H253" s="21"/>
      <c r="I253" s="21"/>
      <c r="J253" s="21"/>
      <c r="K253" s="21"/>
      <c r="L253" s="21"/>
      <c r="M253" s="21"/>
      <c r="N253" s="21"/>
      <c r="O253" s="21"/>
      <c r="P253" s="21"/>
      <c r="Q253" s="19"/>
      <c r="R253" s="19"/>
      <c r="S253" s="19"/>
      <c r="T253" s="19"/>
      <c r="U253" s="19"/>
      <c r="V253" s="19"/>
      <c r="W253" s="19"/>
      <c r="X253" s="19"/>
      <c r="Y253" s="19"/>
      <c r="Z253" s="19"/>
    </row>
    <row r="254">
      <c r="A254" s="21"/>
      <c r="B254" s="21"/>
      <c r="C254" s="21"/>
      <c r="D254" s="21"/>
      <c r="E254" s="21"/>
      <c r="F254" s="21"/>
      <c r="G254" s="21"/>
      <c r="H254" s="21"/>
      <c r="I254" s="21"/>
      <c r="J254" s="21"/>
      <c r="K254" s="21"/>
      <c r="L254" s="21"/>
      <c r="M254" s="21"/>
      <c r="N254" s="21"/>
      <c r="O254" s="21"/>
      <c r="P254" s="21"/>
      <c r="Q254" s="19"/>
      <c r="R254" s="19"/>
      <c r="S254" s="19"/>
      <c r="T254" s="19"/>
      <c r="U254" s="19"/>
      <c r="V254" s="19"/>
      <c r="W254" s="19"/>
      <c r="X254" s="19"/>
      <c r="Y254" s="19"/>
      <c r="Z254" s="19"/>
    </row>
    <row r="255">
      <c r="A255" s="21"/>
      <c r="B255" s="21"/>
      <c r="C255" s="21"/>
      <c r="D255" s="21"/>
      <c r="E255" s="21"/>
      <c r="F255" s="21"/>
      <c r="G255" s="21"/>
      <c r="H255" s="21"/>
      <c r="I255" s="21"/>
      <c r="J255" s="21"/>
      <c r="K255" s="21"/>
      <c r="L255" s="21"/>
      <c r="M255" s="21"/>
      <c r="N255" s="21"/>
      <c r="O255" s="21"/>
      <c r="P255" s="21"/>
      <c r="Q255" s="19"/>
      <c r="R255" s="19"/>
      <c r="S255" s="19"/>
      <c r="T255" s="19"/>
      <c r="U255" s="19"/>
      <c r="V255" s="19"/>
      <c r="W255" s="19"/>
      <c r="X255" s="19"/>
      <c r="Y255" s="19"/>
      <c r="Z255" s="19"/>
    </row>
    <row r="256">
      <c r="A256" s="21"/>
      <c r="B256" s="21"/>
      <c r="C256" s="21"/>
      <c r="D256" s="21"/>
      <c r="E256" s="21"/>
      <c r="F256" s="21"/>
      <c r="G256" s="21"/>
      <c r="H256" s="21"/>
      <c r="I256" s="21"/>
      <c r="J256" s="21"/>
      <c r="K256" s="21"/>
      <c r="L256" s="21"/>
      <c r="M256" s="21"/>
      <c r="N256" s="21"/>
      <c r="O256" s="21"/>
      <c r="P256" s="21"/>
      <c r="Q256" s="19"/>
      <c r="R256" s="19"/>
      <c r="S256" s="19"/>
      <c r="T256" s="19"/>
      <c r="U256" s="19"/>
      <c r="V256" s="19"/>
      <c r="W256" s="19"/>
      <c r="X256" s="19"/>
      <c r="Y256" s="19"/>
      <c r="Z256" s="19"/>
    </row>
    <row r="257">
      <c r="A257" s="21"/>
      <c r="B257" s="21"/>
      <c r="C257" s="21"/>
      <c r="D257" s="21"/>
      <c r="E257" s="21"/>
      <c r="F257" s="21"/>
      <c r="G257" s="21"/>
      <c r="H257" s="21"/>
      <c r="I257" s="21"/>
      <c r="J257" s="21"/>
      <c r="K257" s="21"/>
      <c r="L257" s="21"/>
      <c r="M257" s="21"/>
      <c r="N257" s="21"/>
      <c r="O257" s="21"/>
      <c r="P257" s="21"/>
      <c r="Q257" s="19"/>
      <c r="R257" s="19"/>
      <c r="S257" s="19"/>
      <c r="T257" s="19"/>
      <c r="U257" s="19"/>
      <c r="V257" s="19"/>
      <c r="W257" s="19"/>
      <c r="X257" s="19"/>
      <c r="Y257" s="19"/>
      <c r="Z257" s="19"/>
    </row>
    <row r="258">
      <c r="A258" s="21"/>
      <c r="B258" s="21"/>
      <c r="C258" s="21"/>
      <c r="D258" s="21"/>
      <c r="E258" s="21"/>
      <c r="F258" s="21"/>
      <c r="G258" s="21"/>
      <c r="H258" s="21"/>
      <c r="I258" s="21"/>
      <c r="J258" s="21"/>
      <c r="K258" s="21"/>
      <c r="L258" s="21"/>
      <c r="M258" s="21"/>
      <c r="N258" s="21"/>
      <c r="O258" s="21"/>
      <c r="P258" s="21"/>
      <c r="Q258" s="19"/>
      <c r="R258" s="19"/>
      <c r="S258" s="19"/>
      <c r="T258" s="19"/>
      <c r="U258" s="19"/>
      <c r="V258" s="19"/>
      <c r="W258" s="19"/>
      <c r="X258" s="19"/>
      <c r="Y258" s="19"/>
      <c r="Z258" s="19"/>
    </row>
    <row r="259">
      <c r="A259" s="21"/>
      <c r="B259" s="21"/>
      <c r="C259" s="21"/>
      <c r="D259" s="21"/>
      <c r="E259" s="21"/>
      <c r="F259" s="21"/>
      <c r="G259" s="21"/>
      <c r="H259" s="21"/>
      <c r="I259" s="21"/>
      <c r="J259" s="21"/>
      <c r="K259" s="21"/>
      <c r="L259" s="21"/>
      <c r="M259" s="21"/>
      <c r="N259" s="21"/>
      <c r="O259" s="21"/>
      <c r="P259" s="21"/>
      <c r="Q259" s="19"/>
      <c r="R259" s="19"/>
      <c r="S259" s="19"/>
      <c r="T259" s="19"/>
      <c r="U259" s="19"/>
      <c r="V259" s="19"/>
      <c r="W259" s="19"/>
      <c r="X259" s="19"/>
      <c r="Y259" s="19"/>
      <c r="Z259" s="19"/>
    </row>
    <row r="260">
      <c r="A260" s="21"/>
      <c r="B260" s="21"/>
      <c r="C260" s="21"/>
      <c r="D260" s="21"/>
      <c r="E260" s="21"/>
      <c r="F260" s="21"/>
      <c r="G260" s="21"/>
      <c r="H260" s="21"/>
      <c r="I260" s="21"/>
      <c r="J260" s="21"/>
      <c r="K260" s="21"/>
      <c r="L260" s="21"/>
      <c r="M260" s="21"/>
      <c r="N260" s="21"/>
      <c r="O260" s="21"/>
      <c r="P260" s="21"/>
      <c r="Q260" s="19"/>
      <c r="R260" s="19"/>
      <c r="S260" s="19"/>
      <c r="T260" s="19"/>
      <c r="U260" s="19"/>
      <c r="V260" s="19"/>
      <c r="W260" s="19"/>
      <c r="X260" s="19"/>
      <c r="Y260" s="19"/>
      <c r="Z260" s="19"/>
    </row>
    <row r="261">
      <c r="A261" s="21"/>
      <c r="B261" s="21"/>
      <c r="C261" s="21"/>
      <c r="D261" s="21"/>
      <c r="E261" s="21"/>
      <c r="F261" s="21"/>
      <c r="G261" s="21"/>
      <c r="H261" s="21"/>
      <c r="I261" s="21"/>
      <c r="J261" s="21"/>
      <c r="K261" s="21"/>
      <c r="L261" s="21"/>
      <c r="M261" s="21"/>
      <c r="N261" s="21"/>
      <c r="O261" s="21"/>
      <c r="P261" s="21"/>
      <c r="Q261" s="19"/>
      <c r="R261" s="19"/>
      <c r="S261" s="19"/>
      <c r="T261" s="19"/>
      <c r="U261" s="19"/>
      <c r="V261" s="19"/>
      <c r="W261" s="19"/>
      <c r="X261" s="19"/>
      <c r="Y261" s="19"/>
      <c r="Z261" s="19"/>
    </row>
    <row r="262">
      <c r="A262" s="21"/>
      <c r="B262" s="21"/>
      <c r="C262" s="21"/>
      <c r="D262" s="21"/>
      <c r="E262" s="21"/>
      <c r="F262" s="21"/>
      <c r="G262" s="21"/>
      <c r="H262" s="21"/>
      <c r="I262" s="21"/>
      <c r="J262" s="21"/>
      <c r="K262" s="21"/>
      <c r="L262" s="21"/>
      <c r="M262" s="21"/>
      <c r="N262" s="21"/>
      <c r="O262" s="21"/>
      <c r="P262" s="21"/>
      <c r="Q262" s="19"/>
      <c r="R262" s="19"/>
      <c r="S262" s="19"/>
      <c r="T262" s="19"/>
      <c r="U262" s="19"/>
      <c r="V262" s="19"/>
      <c r="W262" s="19"/>
      <c r="X262" s="19"/>
      <c r="Y262" s="19"/>
      <c r="Z262" s="19"/>
    </row>
    <row r="263">
      <c r="A263" s="21"/>
      <c r="B263" s="21"/>
      <c r="C263" s="21"/>
      <c r="D263" s="21"/>
      <c r="E263" s="21"/>
      <c r="F263" s="21"/>
      <c r="G263" s="21"/>
      <c r="H263" s="21"/>
      <c r="I263" s="21"/>
      <c r="J263" s="21"/>
      <c r="K263" s="21"/>
      <c r="L263" s="21"/>
      <c r="M263" s="21"/>
      <c r="N263" s="21"/>
      <c r="O263" s="21"/>
      <c r="P263" s="21"/>
      <c r="Q263" s="19"/>
      <c r="R263" s="19"/>
      <c r="S263" s="19"/>
      <c r="T263" s="19"/>
      <c r="U263" s="19"/>
      <c r="V263" s="19"/>
      <c r="W263" s="19"/>
      <c r="X263" s="19"/>
      <c r="Y263" s="19"/>
      <c r="Z263" s="19"/>
    </row>
    <row r="264">
      <c r="A264" s="21"/>
      <c r="B264" s="21"/>
      <c r="C264" s="21"/>
      <c r="D264" s="21"/>
      <c r="E264" s="21"/>
      <c r="F264" s="21"/>
      <c r="G264" s="21"/>
      <c r="H264" s="21"/>
      <c r="I264" s="21"/>
      <c r="J264" s="21"/>
      <c r="K264" s="21"/>
      <c r="L264" s="21"/>
      <c r="M264" s="21"/>
      <c r="N264" s="21"/>
      <c r="O264" s="21"/>
      <c r="P264" s="21"/>
      <c r="Q264" s="19"/>
      <c r="R264" s="19"/>
      <c r="S264" s="19"/>
      <c r="T264" s="19"/>
      <c r="U264" s="19"/>
      <c r="V264" s="19"/>
      <c r="W264" s="19"/>
      <c r="X264" s="19"/>
      <c r="Y264" s="19"/>
      <c r="Z264" s="19"/>
    </row>
    <row r="265">
      <c r="A265" s="21"/>
      <c r="B265" s="21"/>
      <c r="C265" s="21"/>
      <c r="D265" s="21"/>
      <c r="E265" s="21"/>
      <c r="F265" s="21"/>
      <c r="G265" s="21"/>
      <c r="H265" s="21"/>
      <c r="I265" s="21"/>
      <c r="J265" s="21"/>
      <c r="K265" s="21"/>
      <c r="L265" s="21"/>
      <c r="M265" s="21"/>
      <c r="N265" s="21"/>
      <c r="O265" s="21"/>
      <c r="P265" s="21"/>
      <c r="Q265" s="19"/>
      <c r="R265" s="19"/>
      <c r="S265" s="19"/>
      <c r="T265" s="19"/>
      <c r="U265" s="19"/>
      <c r="V265" s="19"/>
      <c r="W265" s="19"/>
      <c r="X265" s="19"/>
      <c r="Y265" s="19"/>
      <c r="Z265" s="19"/>
    </row>
    <row r="266">
      <c r="A266" s="21"/>
      <c r="B266" s="21"/>
      <c r="C266" s="21"/>
      <c r="D266" s="21"/>
      <c r="E266" s="21"/>
      <c r="F266" s="21"/>
      <c r="G266" s="21"/>
      <c r="H266" s="21"/>
      <c r="I266" s="21"/>
      <c r="J266" s="21"/>
      <c r="K266" s="21"/>
      <c r="L266" s="21"/>
      <c r="M266" s="21"/>
      <c r="N266" s="21"/>
      <c r="O266" s="21"/>
      <c r="P266" s="21"/>
      <c r="Q266" s="19"/>
      <c r="R266" s="19"/>
      <c r="S266" s="19"/>
      <c r="T266" s="19"/>
      <c r="U266" s="19"/>
      <c r="V266" s="19"/>
      <c r="W266" s="19"/>
      <c r="X266" s="19"/>
      <c r="Y266" s="19"/>
      <c r="Z266" s="19"/>
    </row>
    <row r="267">
      <c r="A267" s="21"/>
      <c r="B267" s="21"/>
      <c r="C267" s="21"/>
      <c r="D267" s="21"/>
      <c r="E267" s="21"/>
      <c r="F267" s="21"/>
      <c r="G267" s="21"/>
      <c r="H267" s="21"/>
      <c r="I267" s="21"/>
      <c r="J267" s="21"/>
      <c r="K267" s="21"/>
      <c r="L267" s="21"/>
      <c r="M267" s="21"/>
      <c r="N267" s="21"/>
      <c r="O267" s="21"/>
      <c r="P267" s="21"/>
      <c r="Q267" s="19"/>
      <c r="R267" s="19"/>
      <c r="S267" s="19"/>
      <c r="T267" s="19"/>
      <c r="U267" s="19"/>
      <c r="V267" s="19"/>
      <c r="W267" s="19"/>
      <c r="X267" s="19"/>
      <c r="Y267" s="19"/>
      <c r="Z267" s="19"/>
    </row>
    <row r="268">
      <c r="A268" s="21"/>
      <c r="B268" s="21"/>
      <c r="C268" s="21"/>
      <c r="D268" s="21"/>
      <c r="E268" s="21"/>
      <c r="F268" s="21"/>
      <c r="G268" s="21"/>
      <c r="H268" s="21"/>
      <c r="I268" s="21"/>
      <c r="J268" s="21"/>
      <c r="K268" s="21"/>
      <c r="L268" s="21"/>
      <c r="M268" s="21"/>
      <c r="N268" s="21"/>
      <c r="O268" s="21"/>
      <c r="P268" s="21"/>
      <c r="Q268" s="19"/>
      <c r="R268" s="19"/>
      <c r="S268" s="19"/>
      <c r="T268" s="19"/>
      <c r="U268" s="19"/>
      <c r="V268" s="19"/>
      <c r="W268" s="19"/>
      <c r="X268" s="19"/>
      <c r="Y268" s="19"/>
      <c r="Z268" s="19"/>
    </row>
    <row r="269">
      <c r="A269" s="21"/>
      <c r="B269" s="21"/>
      <c r="C269" s="21"/>
      <c r="D269" s="21"/>
      <c r="E269" s="21"/>
      <c r="F269" s="21"/>
      <c r="G269" s="21"/>
      <c r="H269" s="21"/>
      <c r="I269" s="21"/>
      <c r="J269" s="21"/>
      <c r="K269" s="21"/>
      <c r="L269" s="21"/>
      <c r="M269" s="21"/>
      <c r="N269" s="21"/>
      <c r="O269" s="21"/>
      <c r="P269" s="21"/>
      <c r="Q269" s="19"/>
      <c r="R269" s="19"/>
      <c r="S269" s="19"/>
      <c r="T269" s="19"/>
      <c r="U269" s="19"/>
      <c r="V269" s="19"/>
      <c r="W269" s="19"/>
      <c r="X269" s="19"/>
      <c r="Y269" s="19"/>
      <c r="Z269" s="19"/>
    </row>
    <row r="270">
      <c r="A270" s="21"/>
      <c r="B270" s="21"/>
      <c r="C270" s="21"/>
      <c r="D270" s="21"/>
      <c r="E270" s="21"/>
      <c r="F270" s="21"/>
      <c r="G270" s="21"/>
      <c r="H270" s="21"/>
      <c r="I270" s="21"/>
      <c r="J270" s="21"/>
      <c r="K270" s="21"/>
      <c r="L270" s="21"/>
      <c r="M270" s="21"/>
      <c r="N270" s="21"/>
      <c r="O270" s="21"/>
      <c r="P270" s="21"/>
      <c r="Q270" s="19"/>
      <c r="R270" s="19"/>
      <c r="S270" s="19"/>
      <c r="T270" s="19"/>
      <c r="U270" s="19"/>
      <c r="V270" s="19"/>
      <c r="W270" s="19"/>
      <c r="X270" s="19"/>
      <c r="Y270" s="19"/>
      <c r="Z270" s="19"/>
    </row>
    <row r="271">
      <c r="A271" s="21"/>
      <c r="B271" s="21"/>
      <c r="C271" s="21"/>
      <c r="D271" s="21"/>
      <c r="E271" s="21"/>
      <c r="F271" s="21"/>
      <c r="G271" s="21"/>
      <c r="H271" s="21"/>
      <c r="I271" s="21"/>
      <c r="J271" s="21"/>
      <c r="K271" s="21"/>
      <c r="L271" s="21"/>
      <c r="M271" s="21"/>
      <c r="N271" s="21"/>
      <c r="O271" s="21"/>
      <c r="P271" s="21"/>
      <c r="Q271" s="19"/>
      <c r="R271" s="19"/>
      <c r="S271" s="19"/>
      <c r="T271" s="19"/>
      <c r="U271" s="19"/>
      <c r="V271" s="19"/>
      <c r="W271" s="19"/>
      <c r="X271" s="19"/>
      <c r="Y271" s="19"/>
      <c r="Z271" s="19"/>
    </row>
    <row r="272">
      <c r="A272" s="21"/>
      <c r="B272" s="21"/>
      <c r="C272" s="21"/>
      <c r="D272" s="21"/>
      <c r="E272" s="21"/>
      <c r="F272" s="21"/>
      <c r="G272" s="21"/>
      <c r="H272" s="21"/>
      <c r="I272" s="21"/>
      <c r="J272" s="21"/>
      <c r="K272" s="21"/>
      <c r="L272" s="21"/>
      <c r="M272" s="21"/>
      <c r="N272" s="21"/>
      <c r="O272" s="21"/>
      <c r="P272" s="21"/>
      <c r="Q272" s="19"/>
      <c r="R272" s="19"/>
      <c r="S272" s="19"/>
      <c r="T272" s="19"/>
      <c r="U272" s="19"/>
      <c r="V272" s="19"/>
      <c r="W272" s="19"/>
      <c r="X272" s="19"/>
      <c r="Y272" s="19"/>
      <c r="Z272" s="19"/>
    </row>
    <row r="273">
      <c r="A273" s="21"/>
      <c r="B273" s="21"/>
      <c r="C273" s="21"/>
      <c r="D273" s="21"/>
      <c r="E273" s="21"/>
      <c r="F273" s="21"/>
      <c r="G273" s="21"/>
      <c r="H273" s="21"/>
      <c r="I273" s="21"/>
      <c r="J273" s="21"/>
      <c r="K273" s="21"/>
      <c r="L273" s="21"/>
      <c r="M273" s="21"/>
      <c r="N273" s="21"/>
      <c r="O273" s="21"/>
      <c r="P273" s="21"/>
      <c r="Q273" s="19"/>
      <c r="R273" s="19"/>
      <c r="S273" s="19"/>
      <c r="T273" s="19"/>
      <c r="U273" s="19"/>
      <c r="V273" s="19"/>
      <c r="W273" s="19"/>
      <c r="X273" s="19"/>
      <c r="Y273" s="19"/>
      <c r="Z273" s="19"/>
    </row>
    <row r="274">
      <c r="A274" s="21"/>
      <c r="B274" s="21"/>
      <c r="C274" s="21"/>
      <c r="D274" s="21"/>
      <c r="E274" s="21"/>
      <c r="F274" s="21"/>
      <c r="G274" s="21"/>
      <c r="H274" s="21"/>
      <c r="I274" s="21"/>
      <c r="J274" s="21"/>
      <c r="K274" s="21"/>
      <c r="L274" s="21"/>
      <c r="M274" s="21"/>
      <c r="N274" s="21"/>
      <c r="O274" s="21"/>
      <c r="P274" s="21"/>
      <c r="Q274" s="19"/>
      <c r="R274" s="19"/>
      <c r="S274" s="19"/>
      <c r="T274" s="19"/>
      <c r="U274" s="19"/>
      <c r="V274" s="19"/>
      <c r="W274" s="19"/>
      <c r="X274" s="19"/>
      <c r="Y274" s="19"/>
      <c r="Z274" s="19"/>
    </row>
    <row r="275">
      <c r="A275" s="21"/>
      <c r="B275" s="21"/>
      <c r="C275" s="21"/>
      <c r="D275" s="21"/>
      <c r="E275" s="21"/>
      <c r="F275" s="21"/>
      <c r="G275" s="21"/>
      <c r="H275" s="21"/>
      <c r="I275" s="21"/>
      <c r="J275" s="21"/>
      <c r="K275" s="21"/>
      <c r="L275" s="21"/>
      <c r="M275" s="21"/>
      <c r="N275" s="21"/>
      <c r="O275" s="21"/>
      <c r="P275" s="21"/>
      <c r="Q275" s="19"/>
      <c r="R275" s="19"/>
      <c r="S275" s="19"/>
      <c r="T275" s="19"/>
      <c r="U275" s="19"/>
      <c r="V275" s="19"/>
      <c r="W275" s="19"/>
      <c r="X275" s="19"/>
      <c r="Y275" s="19"/>
      <c r="Z275" s="19"/>
    </row>
    <row r="276">
      <c r="A276" s="21"/>
      <c r="B276" s="21"/>
      <c r="C276" s="21"/>
      <c r="D276" s="21"/>
      <c r="E276" s="21"/>
      <c r="F276" s="21"/>
      <c r="G276" s="21"/>
      <c r="H276" s="21"/>
      <c r="I276" s="21"/>
      <c r="J276" s="21"/>
      <c r="K276" s="21"/>
      <c r="L276" s="21"/>
      <c r="M276" s="21"/>
      <c r="N276" s="21"/>
      <c r="O276" s="21"/>
      <c r="P276" s="21"/>
      <c r="Q276" s="19"/>
      <c r="R276" s="19"/>
      <c r="S276" s="19"/>
      <c r="T276" s="19"/>
      <c r="U276" s="19"/>
      <c r="V276" s="19"/>
      <c r="W276" s="19"/>
      <c r="X276" s="19"/>
      <c r="Y276" s="19"/>
      <c r="Z276" s="19"/>
    </row>
    <row r="277">
      <c r="A277" s="21"/>
      <c r="B277" s="21"/>
      <c r="C277" s="21"/>
      <c r="D277" s="21"/>
      <c r="E277" s="21"/>
      <c r="F277" s="21"/>
      <c r="G277" s="21"/>
      <c r="H277" s="21"/>
      <c r="I277" s="21"/>
      <c r="J277" s="21"/>
      <c r="K277" s="21"/>
      <c r="L277" s="21"/>
      <c r="M277" s="21"/>
      <c r="N277" s="21"/>
      <c r="O277" s="21"/>
      <c r="P277" s="21"/>
      <c r="Q277" s="19"/>
      <c r="R277" s="19"/>
      <c r="S277" s="19"/>
      <c r="T277" s="19"/>
      <c r="U277" s="19"/>
      <c r="V277" s="19"/>
      <c r="W277" s="19"/>
      <c r="X277" s="19"/>
      <c r="Y277" s="19"/>
      <c r="Z277" s="19"/>
    </row>
    <row r="278">
      <c r="A278" s="21"/>
      <c r="B278" s="21"/>
      <c r="C278" s="21"/>
      <c r="D278" s="21"/>
      <c r="E278" s="21"/>
      <c r="F278" s="21"/>
      <c r="G278" s="21"/>
      <c r="H278" s="21"/>
      <c r="I278" s="21"/>
      <c r="J278" s="21"/>
      <c r="K278" s="21"/>
      <c r="L278" s="21"/>
      <c r="M278" s="21"/>
      <c r="N278" s="21"/>
      <c r="O278" s="21"/>
      <c r="P278" s="21"/>
      <c r="Q278" s="19"/>
      <c r="R278" s="19"/>
      <c r="S278" s="19"/>
      <c r="T278" s="19"/>
      <c r="U278" s="19"/>
      <c r="V278" s="19"/>
      <c r="W278" s="19"/>
      <c r="X278" s="19"/>
      <c r="Y278" s="19"/>
      <c r="Z278" s="19"/>
    </row>
    <row r="279">
      <c r="A279" s="21"/>
      <c r="B279" s="21"/>
      <c r="C279" s="21"/>
      <c r="D279" s="21"/>
      <c r="E279" s="21"/>
      <c r="F279" s="21"/>
      <c r="G279" s="21"/>
      <c r="H279" s="21"/>
      <c r="I279" s="21"/>
      <c r="J279" s="21"/>
      <c r="K279" s="21"/>
      <c r="L279" s="21"/>
      <c r="M279" s="21"/>
      <c r="N279" s="21"/>
      <c r="O279" s="21"/>
      <c r="P279" s="21"/>
      <c r="Q279" s="19"/>
      <c r="R279" s="19"/>
      <c r="S279" s="19"/>
      <c r="T279" s="19"/>
      <c r="U279" s="19"/>
      <c r="V279" s="19"/>
      <c r="W279" s="19"/>
      <c r="X279" s="19"/>
      <c r="Y279" s="19"/>
      <c r="Z279" s="19"/>
    </row>
    <row r="280">
      <c r="A280" s="21"/>
      <c r="B280" s="21"/>
      <c r="C280" s="21"/>
      <c r="D280" s="21"/>
      <c r="E280" s="21"/>
      <c r="F280" s="21"/>
      <c r="G280" s="21"/>
      <c r="H280" s="21"/>
      <c r="I280" s="21"/>
      <c r="J280" s="21"/>
      <c r="K280" s="21"/>
      <c r="L280" s="21"/>
      <c r="M280" s="21"/>
      <c r="N280" s="21"/>
      <c r="O280" s="21"/>
      <c r="P280" s="21"/>
      <c r="Q280" s="19"/>
      <c r="R280" s="19"/>
      <c r="S280" s="19"/>
      <c r="T280" s="19"/>
      <c r="U280" s="19"/>
      <c r="V280" s="19"/>
      <c r="W280" s="19"/>
      <c r="X280" s="19"/>
      <c r="Y280" s="19"/>
      <c r="Z280" s="19"/>
    </row>
    <row r="281">
      <c r="A281" s="21"/>
      <c r="B281" s="21"/>
      <c r="C281" s="21"/>
      <c r="D281" s="21"/>
      <c r="E281" s="21"/>
      <c r="F281" s="21"/>
      <c r="G281" s="21"/>
      <c r="H281" s="21"/>
      <c r="I281" s="21"/>
      <c r="J281" s="21"/>
      <c r="K281" s="21"/>
      <c r="L281" s="21"/>
      <c r="M281" s="21"/>
      <c r="N281" s="21"/>
      <c r="O281" s="21"/>
      <c r="P281" s="21"/>
      <c r="Q281" s="19"/>
      <c r="R281" s="19"/>
      <c r="S281" s="19"/>
      <c r="T281" s="19"/>
      <c r="U281" s="19"/>
      <c r="V281" s="19"/>
      <c r="W281" s="19"/>
      <c r="X281" s="19"/>
      <c r="Y281" s="19"/>
      <c r="Z281" s="19"/>
    </row>
    <row r="282">
      <c r="A282" s="21"/>
      <c r="B282" s="21"/>
      <c r="C282" s="21"/>
      <c r="D282" s="21"/>
      <c r="E282" s="21"/>
      <c r="F282" s="21"/>
      <c r="G282" s="21"/>
      <c r="H282" s="21"/>
      <c r="I282" s="21"/>
      <c r="J282" s="21"/>
      <c r="K282" s="21"/>
      <c r="L282" s="21"/>
      <c r="M282" s="21"/>
      <c r="N282" s="21"/>
      <c r="O282" s="21"/>
      <c r="P282" s="21"/>
      <c r="Q282" s="19"/>
      <c r="R282" s="19"/>
      <c r="S282" s="19"/>
      <c r="T282" s="19"/>
      <c r="U282" s="19"/>
      <c r="V282" s="19"/>
      <c r="W282" s="19"/>
      <c r="X282" s="19"/>
      <c r="Y282" s="19"/>
      <c r="Z282" s="19"/>
    </row>
    <row r="283">
      <c r="A283" s="21"/>
      <c r="B283" s="21"/>
      <c r="C283" s="21"/>
      <c r="D283" s="21"/>
      <c r="E283" s="21"/>
      <c r="F283" s="21"/>
      <c r="G283" s="21"/>
      <c r="H283" s="21"/>
      <c r="I283" s="21"/>
      <c r="J283" s="21"/>
      <c r="K283" s="21"/>
      <c r="L283" s="21"/>
      <c r="M283" s="21"/>
      <c r="N283" s="21"/>
      <c r="O283" s="21"/>
      <c r="P283" s="21"/>
      <c r="Q283" s="19"/>
      <c r="R283" s="19"/>
      <c r="S283" s="19"/>
      <c r="T283" s="19"/>
      <c r="U283" s="19"/>
      <c r="V283" s="19"/>
      <c r="W283" s="19"/>
      <c r="X283" s="19"/>
      <c r="Y283" s="19"/>
      <c r="Z283" s="19"/>
    </row>
    <row r="284">
      <c r="A284" s="21"/>
      <c r="B284" s="21"/>
      <c r="C284" s="21"/>
      <c r="D284" s="21"/>
      <c r="E284" s="21"/>
      <c r="F284" s="21"/>
      <c r="G284" s="21"/>
      <c r="H284" s="21"/>
      <c r="I284" s="21"/>
      <c r="J284" s="21"/>
      <c r="K284" s="21"/>
      <c r="L284" s="21"/>
      <c r="M284" s="21"/>
      <c r="N284" s="21"/>
      <c r="O284" s="21"/>
      <c r="P284" s="21"/>
      <c r="Q284" s="19"/>
      <c r="R284" s="19"/>
      <c r="S284" s="19"/>
      <c r="T284" s="19"/>
      <c r="U284" s="19"/>
      <c r="V284" s="19"/>
      <c r="W284" s="19"/>
      <c r="X284" s="19"/>
      <c r="Y284" s="19"/>
      <c r="Z284" s="19"/>
    </row>
    <row r="285">
      <c r="A285" s="21"/>
      <c r="B285" s="21"/>
      <c r="C285" s="21"/>
      <c r="D285" s="21"/>
      <c r="E285" s="21"/>
      <c r="F285" s="21"/>
      <c r="G285" s="21"/>
      <c r="H285" s="21"/>
      <c r="I285" s="21"/>
      <c r="J285" s="21"/>
      <c r="K285" s="21"/>
      <c r="L285" s="21"/>
      <c r="M285" s="21"/>
      <c r="N285" s="21"/>
      <c r="O285" s="21"/>
      <c r="P285" s="21"/>
      <c r="Q285" s="19"/>
      <c r="R285" s="19"/>
      <c r="S285" s="19"/>
      <c r="T285" s="19"/>
      <c r="U285" s="19"/>
      <c r="V285" s="19"/>
      <c r="W285" s="19"/>
      <c r="X285" s="19"/>
      <c r="Y285" s="19"/>
      <c r="Z285" s="19"/>
    </row>
    <row r="286">
      <c r="A286" s="21"/>
      <c r="B286" s="21"/>
      <c r="C286" s="21"/>
      <c r="D286" s="21"/>
      <c r="E286" s="21"/>
      <c r="F286" s="21"/>
      <c r="G286" s="21"/>
      <c r="H286" s="21"/>
      <c r="I286" s="21"/>
      <c r="J286" s="21"/>
      <c r="K286" s="21"/>
      <c r="L286" s="21"/>
      <c r="M286" s="21"/>
      <c r="N286" s="21"/>
      <c r="O286" s="21"/>
      <c r="P286" s="21"/>
      <c r="Q286" s="19"/>
      <c r="R286" s="19"/>
      <c r="S286" s="19"/>
      <c r="T286" s="19"/>
      <c r="U286" s="19"/>
      <c r="V286" s="19"/>
      <c r="W286" s="19"/>
      <c r="X286" s="19"/>
      <c r="Y286" s="19"/>
      <c r="Z286" s="19"/>
    </row>
    <row r="287">
      <c r="A287" s="21"/>
      <c r="B287" s="21"/>
      <c r="C287" s="21"/>
      <c r="D287" s="21"/>
      <c r="E287" s="21"/>
      <c r="F287" s="21"/>
      <c r="G287" s="21"/>
      <c r="H287" s="21"/>
      <c r="I287" s="21"/>
      <c r="J287" s="21"/>
      <c r="K287" s="21"/>
      <c r="L287" s="21"/>
      <c r="M287" s="21"/>
      <c r="N287" s="21"/>
      <c r="O287" s="21"/>
      <c r="P287" s="21"/>
      <c r="Q287" s="19"/>
      <c r="R287" s="19"/>
      <c r="S287" s="19"/>
      <c r="T287" s="19"/>
      <c r="U287" s="19"/>
      <c r="V287" s="19"/>
      <c r="W287" s="19"/>
      <c r="X287" s="19"/>
      <c r="Y287" s="19"/>
      <c r="Z287" s="19"/>
    </row>
    <row r="288">
      <c r="A288" s="21"/>
      <c r="B288" s="21"/>
      <c r="C288" s="21"/>
      <c r="D288" s="21"/>
      <c r="E288" s="21"/>
      <c r="F288" s="21"/>
      <c r="G288" s="21"/>
      <c r="H288" s="21"/>
      <c r="I288" s="21"/>
      <c r="J288" s="21"/>
      <c r="K288" s="21"/>
      <c r="L288" s="21"/>
      <c r="M288" s="21"/>
      <c r="N288" s="21"/>
      <c r="O288" s="21"/>
      <c r="P288" s="21"/>
      <c r="Q288" s="19"/>
      <c r="R288" s="19"/>
      <c r="S288" s="19"/>
      <c r="T288" s="19"/>
      <c r="U288" s="19"/>
      <c r="V288" s="19"/>
      <c r="W288" s="19"/>
      <c r="X288" s="19"/>
      <c r="Y288" s="19"/>
      <c r="Z288" s="19"/>
    </row>
    <row r="289">
      <c r="A289" s="21"/>
      <c r="B289" s="21"/>
      <c r="C289" s="21"/>
      <c r="D289" s="21"/>
      <c r="E289" s="21"/>
      <c r="F289" s="21"/>
      <c r="G289" s="21"/>
      <c r="H289" s="21"/>
      <c r="I289" s="21"/>
      <c r="J289" s="21"/>
      <c r="K289" s="21"/>
      <c r="L289" s="21"/>
      <c r="M289" s="21"/>
      <c r="N289" s="21"/>
      <c r="O289" s="21"/>
      <c r="P289" s="21"/>
      <c r="Q289" s="19"/>
      <c r="R289" s="19"/>
      <c r="S289" s="19"/>
      <c r="T289" s="19"/>
      <c r="U289" s="19"/>
      <c r="V289" s="19"/>
      <c r="W289" s="19"/>
      <c r="X289" s="19"/>
      <c r="Y289" s="19"/>
      <c r="Z289" s="19"/>
    </row>
    <row r="290">
      <c r="A290" s="21"/>
      <c r="B290" s="21"/>
      <c r="C290" s="21"/>
      <c r="D290" s="21"/>
      <c r="E290" s="21"/>
      <c r="F290" s="21"/>
      <c r="G290" s="21"/>
      <c r="H290" s="21"/>
      <c r="I290" s="21"/>
      <c r="J290" s="21"/>
      <c r="K290" s="21"/>
      <c r="L290" s="21"/>
      <c r="M290" s="21"/>
      <c r="N290" s="21"/>
      <c r="O290" s="21"/>
      <c r="P290" s="21"/>
      <c r="Q290" s="19"/>
      <c r="R290" s="19"/>
      <c r="S290" s="19"/>
      <c r="T290" s="19"/>
      <c r="U290" s="19"/>
      <c r="V290" s="19"/>
      <c r="W290" s="19"/>
      <c r="X290" s="19"/>
      <c r="Y290" s="19"/>
      <c r="Z290" s="19"/>
    </row>
    <row r="291">
      <c r="A291" s="21"/>
      <c r="B291" s="21"/>
      <c r="C291" s="21"/>
      <c r="D291" s="21"/>
      <c r="E291" s="21"/>
      <c r="F291" s="21"/>
      <c r="G291" s="21"/>
      <c r="H291" s="21"/>
      <c r="I291" s="21"/>
      <c r="J291" s="21"/>
      <c r="K291" s="21"/>
      <c r="L291" s="21"/>
      <c r="M291" s="21"/>
      <c r="N291" s="21"/>
      <c r="O291" s="21"/>
      <c r="P291" s="21"/>
      <c r="Q291" s="19"/>
      <c r="R291" s="19"/>
      <c r="S291" s="19"/>
      <c r="T291" s="19"/>
      <c r="U291" s="19"/>
      <c r="V291" s="19"/>
      <c r="W291" s="19"/>
      <c r="X291" s="19"/>
      <c r="Y291" s="19"/>
      <c r="Z291" s="19"/>
    </row>
    <row r="292">
      <c r="A292" s="21"/>
      <c r="B292" s="21"/>
      <c r="C292" s="21"/>
      <c r="D292" s="21"/>
      <c r="E292" s="21"/>
      <c r="F292" s="21"/>
      <c r="G292" s="21"/>
      <c r="H292" s="21"/>
      <c r="I292" s="21"/>
      <c r="J292" s="21"/>
      <c r="K292" s="21"/>
      <c r="L292" s="21"/>
      <c r="M292" s="21"/>
      <c r="N292" s="21"/>
      <c r="O292" s="21"/>
      <c r="P292" s="21"/>
      <c r="Q292" s="19"/>
      <c r="R292" s="19"/>
      <c r="S292" s="19"/>
      <c r="T292" s="19"/>
      <c r="U292" s="19"/>
      <c r="V292" s="19"/>
      <c r="W292" s="19"/>
      <c r="X292" s="19"/>
      <c r="Y292" s="19"/>
      <c r="Z292" s="19"/>
    </row>
    <row r="293">
      <c r="A293" s="21"/>
      <c r="B293" s="21"/>
      <c r="C293" s="21"/>
      <c r="D293" s="21"/>
      <c r="E293" s="21"/>
      <c r="F293" s="21"/>
      <c r="G293" s="21"/>
      <c r="H293" s="21"/>
      <c r="I293" s="21"/>
      <c r="J293" s="21"/>
      <c r="K293" s="21"/>
      <c r="L293" s="21"/>
      <c r="M293" s="21"/>
      <c r="N293" s="21"/>
      <c r="O293" s="21"/>
      <c r="P293" s="21"/>
      <c r="Q293" s="19"/>
      <c r="R293" s="19"/>
      <c r="S293" s="19"/>
      <c r="T293" s="19"/>
      <c r="U293" s="19"/>
      <c r="V293" s="19"/>
      <c r="W293" s="19"/>
      <c r="X293" s="19"/>
      <c r="Y293" s="19"/>
      <c r="Z293" s="19"/>
    </row>
    <row r="294">
      <c r="A294" s="21"/>
      <c r="B294" s="21"/>
      <c r="C294" s="21"/>
      <c r="D294" s="21"/>
      <c r="E294" s="21"/>
      <c r="F294" s="21"/>
      <c r="G294" s="21"/>
      <c r="H294" s="21"/>
      <c r="I294" s="21"/>
      <c r="J294" s="21"/>
      <c r="K294" s="21"/>
      <c r="L294" s="21"/>
      <c r="M294" s="21"/>
      <c r="N294" s="21"/>
      <c r="O294" s="21"/>
      <c r="P294" s="21"/>
      <c r="Q294" s="19"/>
      <c r="R294" s="19"/>
      <c r="S294" s="19"/>
      <c r="T294" s="19"/>
      <c r="U294" s="19"/>
      <c r="V294" s="19"/>
      <c r="W294" s="19"/>
      <c r="X294" s="19"/>
      <c r="Y294" s="19"/>
      <c r="Z294" s="19"/>
    </row>
    <row r="295">
      <c r="A295" s="21"/>
      <c r="B295" s="21"/>
      <c r="C295" s="21"/>
      <c r="D295" s="21"/>
      <c r="E295" s="21"/>
      <c r="F295" s="21"/>
      <c r="G295" s="21"/>
      <c r="H295" s="21"/>
      <c r="I295" s="21"/>
      <c r="J295" s="21"/>
      <c r="K295" s="21"/>
      <c r="L295" s="21"/>
      <c r="M295" s="21"/>
      <c r="N295" s="21"/>
      <c r="O295" s="21"/>
      <c r="P295" s="21"/>
      <c r="Q295" s="19"/>
      <c r="R295" s="19"/>
      <c r="S295" s="19"/>
      <c r="T295" s="19"/>
      <c r="U295" s="19"/>
      <c r="V295" s="19"/>
      <c r="W295" s="19"/>
      <c r="X295" s="19"/>
      <c r="Y295" s="19"/>
      <c r="Z295" s="19"/>
    </row>
    <row r="296">
      <c r="A296" s="21"/>
      <c r="B296" s="21"/>
      <c r="C296" s="21"/>
      <c r="D296" s="21"/>
      <c r="E296" s="21"/>
      <c r="F296" s="21"/>
      <c r="G296" s="21"/>
      <c r="H296" s="21"/>
      <c r="I296" s="21"/>
      <c r="J296" s="21"/>
      <c r="K296" s="21"/>
      <c r="L296" s="21"/>
      <c r="M296" s="21"/>
      <c r="N296" s="21"/>
      <c r="O296" s="21"/>
      <c r="P296" s="21"/>
      <c r="Q296" s="19"/>
      <c r="R296" s="19"/>
      <c r="S296" s="19"/>
      <c r="T296" s="19"/>
      <c r="U296" s="19"/>
      <c r="V296" s="19"/>
      <c r="W296" s="19"/>
      <c r="X296" s="19"/>
      <c r="Y296" s="19"/>
      <c r="Z296" s="19"/>
    </row>
    <row r="297">
      <c r="A297" s="21"/>
      <c r="B297" s="21"/>
      <c r="C297" s="21"/>
      <c r="D297" s="21"/>
      <c r="E297" s="21"/>
      <c r="F297" s="21"/>
      <c r="G297" s="21"/>
      <c r="H297" s="21"/>
      <c r="I297" s="21"/>
      <c r="J297" s="21"/>
      <c r="K297" s="21"/>
      <c r="L297" s="21"/>
      <c r="M297" s="21"/>
      <c r="N297" s="21"/>
      <c r="O297" s="21"/>
      <c r="P297" s="21"/>
      <c r="Q297" s="19"/>
      <c r="R297" s="19"/>
      <c r="S297" s="19"/>
      <c r="T297" s="19"/>
      <c r="U297" s="19"/>
      <c r="V297" s="19"/>
      <c r="W297" s="19"/>
      <c r="X297" s="19"/>
      <c r="Y297" s="19"/>
      <c r="Z297" s="19"/>
    </row>
    <row r="298">
      <c r="A298" s="21"/>
      <c r="B298" s="21"/>
      <c r="C298" s="21"/>
      <c r="D298" s="21"/>
      <c r="E298" s="21"/>
      <c r="F298" s="21"/>
      <c r="G298" s="21"/>
      <c r="H298" s="21"/>
      <c r="I298" s="21"/>
      <c r="J298" s="21"/>
      <c r="K298" s="21"/>
      <c r="L298" s="21"/>
      <c r="M298" s="21"/>
      <c r="N298" s="21"/>
      <c r="O298" s="21"/>
      <c r="P298" s="21"/>
      <c r="Q298" s="19"/>
      <c r="R298" s="19"/>
      <c r="S298" s="19"/>
      <c r="T298" s="19"/>
      <c r="U298" s="19"/>
      <c r="V298" s="19"/>
      <c r="W298" s="19"/>
      <c r="X298" s="19"/>
      <c r="Y298" s="19"/>
      <c r="Z298" s="19"/>
    </row>
    <row r="299">
      <c r="A299" s="21"/>
      <c r="B299" s="21"/>
      <c r="C299" s="21"/>
      <c r="D299" s="21"/>
      <c r="E299" s="21"/>
      <c r="F299" s="21"/>
      <c r="G299" s="21"/>
      <c r="H299" s="21"/>
      <c r="I299" s="21"/>
      <c r="J299" s="21"/>
      <c r="K299" s="21"/>
      <c r="L299" s="21"/>
      <c r="M299" s="21"/>
      <c r="N299" s="21"/>
      <c r="O299" s="21"/>
      <c r="P299" s="21"/>
      <c r="Q299" s="19"/>
      <c r="R299" s="19"/>
      <c r="S299" s="19"/>
      <c r="T299" s="19"/>
      <c r="U299" s="19"/>
      <c r="V299" s="19"/>
      <c r="W299" s="19"/>
      <c r="X299" s="19"/>
      <c r="Y299" s="19"/>
      <c r="Z299" s="19"/>
    </row>
    <row r="300">
      <c r="A300" s="21"/>
      <c r="B300" s="21"/>
      <c r="C300" s="21"/>
      <c r="D300" s="21"/>
      <c r="E300" s="21"/>
      <c r="F300" s="21"/>
      <c r="G300" s="21"/>
      <c r="H300" s="21"/>
      <c r="I300" s="21"/>
      <c r="J300" s="21"/>
      <c r="K300" s="21"/>
      <c r="L300" s="21"/>
      <c r="M300" s="21"/>
      <c r="N300" s="21"/>
      <c r="O300" s="21"/>
      <c r="P300" s="21"/>
      <c r="Q300" s="19"/>
      <c r="R300" s="19"/>
      <c r="S300" s="19"/>
      <c r="T300" s="19"/>
      <c r="U300" s="19"/>
      <c r="V300" s="19"/>
      <c r="W300" s="19"/>
      <c r="X300" s="19"/>
      <c r="Y300" s="19"/>
      <c r="Z300" s="19"/>
    </row>
    <row r="301">
      <c r="A301" s="21"/>
      <c r="B301" s="21"/>
      <c r="C301" s="21"/>
      <c r="D301" s="21"/>
      <c r="E301" s="21"/>
      <c r="F301" s="21"/>
      <c r="G301" s="21"/>
      <c r="H301" s="21"/>
      <c r="I301" s="21"/>
      <c r="J301" s="21"/>
      <c r="K301" s="21"/>
      <c r="L301" s="21"/>
      <c r="M301" s="21"/>
      <c r="N301" s="21"/>
      <c r="O301" s="21"/>
      <c r="P301" s="21"/>
      <c r="Q301" s="19"/>
      <c r="R301" s="19"/>
      <c r="S301" s="19"/>
      <c r="T301" s="19"/>
      <c r="U301" s="19"/>
      <c r="V301" s="19"/>
      <c r="W301" s="19"/>
      <c r="X301" s="19"/>
      <c r="Y301" s="19"/>
      <c r="Z301" s="19"/>
    </row>
    <row r="302">
      <c r="A302" s="21"/>
      <c r="B302" s="21"/>
      <c r="C302" s="21"/>
      <c r="D302" s="21"/>
      <c r="E302" s="21"/>
      <c r="F302" s="21"/>
      <c r="G302" s="21"/>
      <c r="H302" s="21"/>
      <c r="I302" s="21"/>
      <c r="J302" s="21"/>
      <c r="K302" s="21"/>
      <c r="L302" s="21"/>
      <c r="M302" s="21"/>
      <c r="N302" s="21"/>
      <c r="O302" s="21"/>
      <c r="P302" s="21"/>
      <c r="Q302" s="19"/>
      <c r="R302" s="19"/>
      <c r="S302" s="19"/>
      <c r="T302" s="19"/>
      <c r="U302" s="19"/>
      <c r="V302" s="19"/>
      <c r="W302" s="19"/>
      <c r="X302" s="19"/>
      <c r="Y302" s="19"/>
      <c r="Z302" s="19"/>
    </row>
    <row r="303">
      <c r="A303" s="21"/>
      <c r="B303" s="21"/>
      <c r="C303" s="21"/>
      <c r="D303" s="21"/>
      <c r="E303" s="21"/>
      <c r="F303" s="21"/>
      <c r="G303" s="21"/>
      <c r="H303" s="21"/>
      <c r="I303" s="21"/>
      <c r="J303" s="21"/>
      <c r="K303" s="21"/>
      <c r="L303" s="21"/>
      <c r="M303" s="21"/>
      <c r="N303" s="21"/>
      <c r="O303" s="21"/>
      <c r="P303" s="21"/>
      <c r="Q303" s="19"/>
      <c r="R303" s="19"/>
      <c r="S303" s="19"/>
      <c r="T303" s="19"/>
      <c r="U303" s="19"/>
      <c r="V303" s="19"/>
      <c r="W303" s="19"/>
      <c r="X303" s="19"/>
      <c r="Y303" s="19"/>
      <c r="Z303" s="19"/>
    </row>
    <row r="304">
      <c r="A304" s="21"/>
      <c r="B304" s="21"/>
      <c r="C304" s="21"/>
      <c r="D304" s="21"/>
      <c r="E304" s="21"/>
      <c r="F304" s="21"/>
      <c r="G304" s="21"/>
      <c r="H304" s="21"/>
      <c r="I304" s="21"/>
      <c r="J304" s="21"/>
      <c r="K304" s="21"/>
      <c r="L304" s="21"/>
      <c r="M304" s="21"/>
      <c r="N304" s="21"/>
      <c r="O304" s="21"/>
      <c r="P304" s="21"/>
      <c r="Q304" s="19"/>
      <c r="R304" s="19"/>
      <c r="S304" s="19"/>
      <c r="T304" s="19"/>
      <c r="U304" s="19"/>
      <c r="V304" s="19"/>
      <c r="W304" s="19"/>
      <c r="X304" s="19"/>
      <c r="Y304" s="19"/>
      <c r="Z304" s="19"/>
    </row>
    <row r="305">
      <c r="A305" s="21"/>
      <c r="B305" s="21"/>
      <c r="C305" s="21"/>
      <c r="D305" s="21"/>
      <c r="E305" s="21"/>
      <c r="F305" s="21"/>
      <c r="G305" s="21"/>
      <c r="H305" s="21"/>
      <c r="I305" s="21"/>
      <c r="J305" s="21"/>
      <c r="K305" s="21"/>
      <c r="L305" s="21"/>
      <c r="M305" s="21"/>
      <c r="N305" s="21"/>
      <c r="O305" s="21"/>
      <c r="P305" s="21"/>
      <c r="Q305" s="19"/>
      <c r="R305" s="19"/>
      <c r="S305" s="19"/>
      <c r="T305" s="19"/>
      <c r="U305" s="19"/>
      <c r="V305" s="19"/>
      <c r="W305" s="19"/>
      <c r="X305" s="19"/>
      <c r="Y305" s="19"/>
      <c r="Z305" s="19"/>
    </row>
    <row r="306">
      <c r="A306" s="21"/>
      <c r="B306" s="21"/>
      <c r="C306" s="21"/>
      <c r="D306" s="21"/>
      <c r="E306" s="21"/>
      <c r="F306" s="21"/>
      <c r="G306" s="21"/>
      <c r="H306" s="21"/>
      <c r="I306" s="21"/>
      <c r="J306" s="21"/>
      <c r="K306" s="21"/>
      <c r="L306" s="21"/>
      <c r="M306" s="21"/>
      <c r="N306" s="21"/>
      <c r="O306" s="21"/>
      <c r="P306" s="21"/>
      <c r="Q306" s="19"/>
      <c r="R306" s="19"/>
      <c r="S306" s="19"/>
      <c r="T306" s="19"/>
      <c r="U306" s="19"/>
      <c r="V306" s="19"/>
      <c r="W306" s="19"/>
      <c r="X306" s="19"/>
      <c r="Y306" s="19"/>
      <c r="Z306" s="19"/>
    </row>
    <row r="307">
      <c r="A307" s="21"/>
      <c r="B307" s="21"/>
      <c r="C307" s="21"/>
      <c r="D307" s="21"/>
      <c r="E307" s="21"/>
      <c r="F307" s="21"/>
      <c r="G307" s="21"/>
      <c r="H307" s="21"/>
      <c r="I307" s="21"/>
      <c r="J307" s="21"/>
      <c r="K307" s="21"/>
      <c r="L307" s="21"/>
      <c r="M307" s="21"/>
      <c r="N307" s="21"/>
      <c r="O307" s="21"/>
      <c r="P307" s="21"/>
      <c r="Q307" s="19"/>
      <c r="R307" s="19"/>
      <c r="S307" s="19"/>
      <c r="T307" s="19"/>
      <c r="U307" s="19"/>
      <c r="V307" s="19"/>
      <c r="W307" s="19"/>
      <c r="X307" s="19"/>
      <c r="Y307" s="19"/>
      <c r="Z307" s="19"/>
    </row>
    <row r="308">
      <c r="A308" s="21"/>
      <c r="B308" s="21"/>
      <c r="C308" s="21"/>
      <c r="D308" s="21"/>
      <c r="E308" s="21"/>
      <c r="F308" s="21"/>
      <c r="G308" s="21"/>
      <c r="H308" s="21"/>
      <c r="I308" s="21"/>
      <c r="J308" s="21"/>
      <c r="K308" s="21"/>
      <c r="L308" s="21"/>
      <c r="M308" s="21"/>
      <c r="N308" s="21"/>
      <c r="O308" s="21"/>
      <c r="P308" s="21"/>
      <c r="Q308" s="19"/>
      <c r="R308" s="19"/>
      <c r="S308" s="19"/>
      <c r="T308" s="19"/>
      <c r="U308" s="19"/>
      <c r="V308" s="19"/>
      <c r="W308" s="19"/>
      <c r="X308" s="19"/>
      <c r="Y308" s="19"/>
      <c r="Z308" s="19"/>
    </row>
    <row r="309">
      <c r="A309" s="21"/>
      <c r="B309" s="21"/>
      <c r="C309" s="21"/>
      <c r="D309" s="21"/>
      <c r="E309" s="21"/>
      <c r="F309" s="21"/>
      <c r="G309" s="21"/>
      <c r="H309" s="21"/>
      <c r="I309" s="21"/>
      <c r="J309" s="21"/>
      <c r="K309" s="21"/>
      <c r="L309" s="21"/>
      <c r="M309" s="21"/>
      <c r="N309" s="21"/>
      <c r="O309" s="21"/>
      <c r="P309" s="21"/>
      <c r="Q309" s="19"/>
      <c r="R309" s="19"/>
      <c r="S309" s="19"/>
      <c r="T309" s="19"/>
      <c r="U309" s="19"/>
      <c r="V309" s="19"/>
      <c r="W309" s="19"/>
      <c r="X309" s="19"/>
      <c r="Y309" s="19"/>
      <c r="Z309" s="19"/>
    </row>
    <row r="310">
      <c r="A310" s="21"/>
      <c r="B310" s="21"/>
      <c r="C310" s="21"/>
      <c r="D310" s="21"/>
      <c r="E310" s="21"/>
      <c r="F310" s="21"/>
      <c r="G310" s="21"/>
      <c r="H310" s="21"/>
      <c r="I310" s="21"/>
      <c r="J310" s="21"/>
      <c r="K310" s="21"/>
      <c r="L310" s="21"/>
      <c r="M310" s="21"/>
      <c r="N310" s="21"/>
      <c r="O310" s="21"/>
      <c r="P310" s="21"/>
      <c r="Q310" s="19"/>
      <c r="R310" s="19"/>
      <c r="S310" s="19"/>
      <c r="T310" s="19"/>
      <c r="U310" s="19"/>
      <c r="V310" s="19"/>
      <c r="W310" s="19"/>
      <c r="X310" s="19"/>
      <c r="Y310" s="19"/>
      <c r="Z310" s="19"/>
    </row>
    <row r="311">
      <c r="A311" s="21"/>
      <c r="B311" s="21"/>
      <c r="C311" s="21"/>
      <c r="D311" s="21"/>
      <c r="E311" s="21"/>
      <c r="F311" s="21"/>
      <c r="G311" s="21"/>
      <c r="H311" s="21"/>
      <c r="I311" s="21"/>
      <c r="J311" s="21"/>
      <c r="K311" s="21"/>
      <c r="L311" s="21"/>
      <c r="M311" s="21"/>
      <c r="N311" s="21"/>
      <c r="O311" s="21"/>
      <c r="P311" s="21"/>
      <c r="Q311" s="19"/>
      <c r="R311" s="19"/>
      <c r="S311" s="19"/>
      <c r="T311" s="19"/>
      <c r="U311" s="19"/>
      <c r="V311" s="19"/>
      <c r="W311" s="19"/>
      <c r="X311" s="19"/>
      <c r="Y311" s="19"/>
      <c r="Z311" s="19"/>
    </row>
    <row r="312">
      <c r="A312" s="21"/>
      <c r="B312" s="21"/>
      <c r="C312" s="21"/>
      <c r="D312" s="21"/>
      <c r="E312" s="21"/>
      <c r="F312" s="21"/>
      <c r="G312" s="21"/>
      <c r="H312" s="21"/>
      <c r="I312" s="21"/>
      <c r="J312" s="21"/>
      <c r="K312" s="21"/>
      <c r="L312" s="21"/>
      <c r="M312" s="21"/>
      <c r="N312" s="21"/>
      <c r="O312" s="21"/>
      <c r="P312" s="21"/>
      <c r="Q312" s="19"/>
      <c r="R312" s="19"/>
      <c r="S312" s="19"/>
      <c r="T312" s="19"/>
      <c r="U312" s="19"/>
      <c r="V312" s="19"/>
      <c r="W312" s="19"/>
      <c r="X312" s="19"/>
      <c r="Y312" s="19"/>
      <c r="Z312" s="19"/>
    </row>
    <row r="313">
      <c r="A313" s="21"/>
      <c r="B313" s="21"/>
      <c r="C313" s="21"/>
      <c r="D313" s="21"/>
      <c r="E313" s="21"/>
      <c r="F313" s="21"/>
      <c r="G313" s="21"/>
      <c r="H313" s="21"/>
      <c r="I313" s="21"/>
      <c r="J313" s="21"/>
      <c r="K313" s="21"/>
      <c r="L313" s="21"/>
      <c r="M313" s="21"/>
      <c r="N313" s="21"/>
      <c r="O313" s="21"/>
      <c r="P313" s="21"/>
      <c r="Q313" s="19"/>
      <c r="R313" s="19"/>
      <c r="S313" s="19"/>
      <c r="T313" s="19"/>
      <c r="U313" s="19"/>
      <c r="V313" s="19"/>
      <c r="W313" s="19"/>
      <c r="X313" s="19"/>
      <c r="Y313" s="19"/>
      <c r="Z313" s="19"/>
    </row>
    <row r="314">
      <c r="A314" s="21"/>
      <c r="B314" s="21"/>
      <c r="C314" s="21"/>
      <c r="D314" s="21"/>
      <c r="E314" s="21"/>
      <c r="F314" s="21"/>
      <c r="G314" s="21"/>
      <c r="H314" s="21"/>
      <c r="I314" s="21"/>
      <c r="J314" s="21"/>
      <c r="K314" s="21"/>
      <c r="L314" s="21"/>
      <c r="M314" s="21"/>
      <c r="N314" s="21"/>
      <c r="O314" s="21"/>
      <c r="P314" s="21"/>
      <c r="Q314" s="19"/>
      <c r="R314" s="19"/>
      <c r="S314" s="19"/>
      <c r="T314" s="19"/>
      <c r="U314" s="19"/>
      <c r="V314" s="19"/>
      <c r="W314" s="19"/>
      <c r="X314" s="19"/>
      <c r="Y314" s="19"/>
      <c r="Z314" s="19"/>
    </row>
    <row r="315">
      <c r="A315" s="21"/>
      <c r="B315" s="21"/>
      <c r="C315" s="21"/>
      <c r="D315" s="21"/>
      <c r="E315" s="21"/>
      <c r="F315" s="21"/>
      <c r="G315" s="21"/>
      <c r="H315" s="21"/>
      <c r="I315" s="21"/>
      <c r="J315" s="21"/>
      <c r="K315" s="21"/>
      <c r="L315" s="21"/>
      <c r="M315" s="21"/>
      <c r="N315" s="21"/>
      <c r="O315" s="21"/>
      <c r="P315" s="21"/>
      <c r="Q315" s="19"/>
      <c r="R315" s="19"/>
      <c r="S315" s="19"/>
      <c r="T315" s="19"/>
      <c r="U315" s="19"/>
      <c r="V315" s="19"/>
      <c r="W315" s="19"/>
      <c r="X315" s="19"/>
      <c r="Y315" s="19"/>
      <c r="Z315" s="19"/>
    </row>
    <row r="316">
      <c r="A316" s="21"/>
      <c r="B316" s="21"/>
      <c r="C316" s="21"/>
      <c r="D316" s="21"/>
      <c r="E316" s="21"/>
      <c r="F316" s="21"/>
      <c r="G316" s="21"/>
      <c r="H316" s="21"/>
      <c r="I316" s="21"/>
      <c r="J316" s="21"/>
      <c r="K316" s="21"/>
      <c r="L316" s="21"/>
      <c r="M316" s="21"/>
      <c r="N316" s="21"/>
      <c r="O316" s="21"/>
      <c r="P316" s="21"/>
      <c r="Q316" s="19"/>
      <c r="R316" s="19"/>
      <c r="S316" s="19"/>
      <c r="T316" s="19"/>
      <c r="U316" s="19"/>
      <c r="V316" s="19"/>
      <c r="W316" s="19"/>
      <c r="X316" s="19"/>
      <c r="Y316" s="19"/>
      <c r="Z316" s="19"/>
    </row>
    <row r="317">
      <c r="A317" s="21"/>
      <c r="B317" s="21"/>
      <c r="C317" s="21"/>
      <c r="D317" s="21"/>
      <c r="E317" s="21"/>
      <c r="F317" s="21"/>
      <c r="G317" s="21"/>
      <c r="H317" s="21"/>
      <c r="I317" s="21"/>
      <c r="J317" s="21"/>
      <c r="K317" s="21"/>
      <c r="L317" s="21"/>
      <c r="M317" s="21"/>
      <c r="N317" s="21"/>
      <c r="O317" s="21"/>
      <c r="P317" s="21"/>
      <c r="Q317" s="19"/>
      <c r="R317" s="19"/>
      <c r="S317" s="19"/>
      <c r="T317" s="19"/>
      <c r="U317" s="19"/>
      <c r="V317" s="19"/>
      <c r="W317" s="19"/>
      <c r="X317" s="19"/>
      <c r="Y317" s="19"/>
      <c r="Z317" s="19"/>
    </row>
    <row r="318">
      <c r="A318" s="21"/>
      <c r="B318" s="21"/>
      <c r="C318" s="21"/>
      <c r="D318" s="21"/>
      <c r="E318" s="21"/>
      <c r="F318" s="21"/>
      <c r="G318" s="21"/>
      <c r="H318" s="21"/>
      <c r="I318" s="21"/>
      <c r="J318" s="21"/>
      <c r="K318" s="21"/>
      <c r="L318" s="21"/>
      <c r="M318" s="21"/>
      <c r="N318" s="21"/>
      <c r="O318" s="21"/>
      <c r="P318" s="21"/>
      <c r="Q318" s="19"/>
      <c r="R318" s="19"/>
      <c r="S318" s="19"/>
      <c r="T318" s="19"/>
      <c r="U318" s="19"/>
      <c r="V318" s="19"/>
      <c r="W318" s="19"/>
      <c r="X318" s="19"/>
      <c r="Y318" s="19"/>
      <c r="Z318" s="19"/>
    </row>
    <row r="319">
      <c r="A319" s="21"/>
      <c r="B319" s="21"/>
      <c r="C319" s="21"/>
      <c r="D319" s="21"/>
      <c r="E319" s="21"/>
      <c r="F319" s="21"/>
      <c r="G319" s="21"/>
      <c r="H319" s="21"/>
      <c r="I319" s="21"/>
      <c r="J319" s="21"/>
      <c r="K319" s="21"/>
      <c r="L319" s="21"/>
      <c r="M319" s="21"/>
      <c r="N319" s="21"/>
      <c r="O319" s="21"/>
      <c r="P319" s="21"/>
      <c r="Q319" s="19"/>
      <c r="R319" s="19"/>
      <c r="S319" s="19"/>
      <c r="T319" s="19"/>
      <c r="U319" s="19"/>
      <c r="V319" s="19"/>
      <c r="W319" s="19"/>
      <c r="X319" s="19"/>
      <c r="Y319" s="19"/>
      <c r="Z319" s="19"/>
    </row>
    <row r="320">
      <c r="A320" s="21"/>
      <c r="B320" s="21"/>
      <c r="C320" s="21"/>
      <c r="D320" s="21"/>
      <c r="E320" s="21"/>
      <c r="F320" s="21"/>
      <c r="G320" s="21"/>
      <c r="H320" s="21"/>
      <c r="I320" s="21"/>
      <c r="J320" s="21"/>
      <c r="K320" s="21"/>
      <c r="L320" s="21"/>
      <c r="M320" s="21"/>
      <c r="N320" s="21"/>
      <c r="O320" s="21"/>
      <c r="P320" s="21"/>
      <c r="Q320" s="19"/>
      <c r="R320" s="19"/>
      <c r="S320" s="19"/>
      <c r="T320" s="19"/>
      <c r="U320" s="19"/>
      <c r="V320" s="19"/>
      <c r="W320" s="19"/>
      <c r="X320" s="19"/>
      <c r="Y320" s="19"/>
      <c r="Z320" s="19"/>
    </row>
    <row r="321">
      <c r="A321" s="21"/>
      <c r="B321" s="21"/>
      <c r="C321" s="21"/>
      <c r="D321" s="21"/>
      <c r="E321" s="21"/>
      <c r="F321" s="21"/>
      <c r="G321" s="21"/>
      <c r="H321" s="21"/>
      <c r="I321" s="21"/>
      <c r="J321" s="21"/>
      <c r="K321" s="21"/>
      <c r="L321" s="21"/>
      <c r="M321" s="21"/>
      <c r="N321" s="21"/>
      <c r="O321" s="21"/>
      <c r="P321" s="21"/>
      <c r="Q321" s="19"/>
      <c r="R321" s="19"/>
      <c r="S321" s="19"/>
      <c r="T321" s="19"/>
      <c r="U321" s="19"/>
      <c r="V321" s="19"/>
      <c r="W321" s="19"/>
      <c r="X321" s="19"/>
      <c r="Y321" s="19"/>
      <c r="Z321" s="19"/>
    </row>
    <row r="322">
      <c r="A322" s="21"/>
      <c r="B322" s="21"/>
      <c r="C322" s="21"/>
      <c r="D322" s="21"/>
      <c r="E322" s="21"/>
      <c r="F322" s="21"/>
      <c r="G322" s="21"/>
      <c r="H322" s="21"/>
      <c r="I322" s="21"/>
      <c r="J322" s="21"/>
      <c r="K322" s="21"/>
      <c r="L322" s="21"/>
      <c r="M322" s="21"/>
      <c r="N322" s="21"/>
      <c r="O322" s="21"/>
      <c r="P322" s="21"/>
      <c r="Q322" s="19"/>
      <c r="R322" s="19"/>
      <c r="S322" s="19"/>
      <c r="T322" s="19"/>
      <c r="U322" s="19"/>
      <c r="V322" s="19"/>
      <c r="W322" s="19"/>
      <c r="X322" s="19"/>
      <c r="Y322" s="19"/>
      <c r="Z322" s="19"/>
    </row>
    <row r="323">
      <c r="A323" s="21"/>
      <c r="B323" s="21"/>
      <c r="C323" s="21"/>
      <c r="D323" s="21"/>
      <c r="E323" s="21"/>
      <c r="F323" s="21"/>
      <c r="G323" s="21"/>
      <c r="H323" s="21"/>
      <c r="I323" s="21"/>
      <c r="J323" s="21"/>
      <c r="K323" s="21"/>
      <c r="L323" s="21"/>
      <c r="M323" s="21"/>
      <c r="N323" s="21"/>
      <c r="O323" s="21"/>
      <c r="P323" s="21"/>
      <c r="Q323" s="19"/>
      <c r="R323" s="19"/>
      <c r="S323" s="19"/>
      <c r="T323" s="19"/>
      <c r="U323" s="19"/>
      <c r="V323" s="19"/>
      <c r="W323" s="19"/>
      <c r="X323" s="19"/>
      <c r="Y323" s="19"/>
      <c r="Z323" s="19"/>
    </row>
    <row r="324">
      <c r="A324" s="21"/>
      <c r="B324" s="21"/>
      <c r="C324" s="21"/>
      <c r="D324" s="21"/>
      <c r="E324" s="21"/>
      <c r="F324" s="21"/>
      <c r="G324" s="21"/>
      <c r="H324" s="21"/>
      <c r="I324" s="21"/>
      <c r="J324" s="21"/>
      <c r="K324" s="21"/>
      <c r="L324" s="21"/>
      <c r="M324" s="21"/>
      <c r="N324" s="21"/>
      <c r="O324" s="21"/>
      <c r="P324" s="21"/>
      <c r="Q324" s="19"/>
      <c r="R324" s="19"/>
      <c r="S324" s="19"/>
      <c r="T324" s="19"/>
      <c r="U324" s="19"/>
      <c r="V324" s="19"/>
      <c r="W324" s="19"/>
      <c r="X324" s="19"/>
      <c r="Y324" s="19"/>
      <c r="Z324" s="19"/>
    </row>
    <row r="325">
      <c r="A325" s="21"/>
      <c r="B325" s="21"/>
      <c r="C325" s="21"/>
      <c r="D325" s="21"/>
      <c r="E325" s="21"/>
      <c r="F325" s="21"/>
      <c r="G325" s="21"/>
      <c r="H325" s="21"/>
      <c r="I325" s="21"/>
      <c r="J325" s="21"/>
      <c r="K325" s="21"/>
      <c r="L325" s="21"/>
      <c r="M325" s="21"/>
      <c r="N325" s="21"/>
      <c r="O325" s="21"/>
      <c r="P325" s="21"/>
      <c r="Q325" s="19"/>
      <c r="R325" s="19"/>
      <c r="S325" s="19"/>
      <c r="T325" s="19"/>
      <c r="U325" s="19"/>
      <c r="V325" s="19"/>
      <c r="W325" s="19"/>
      <c r="X325" s="19"/>
      <c r="Y325" s="19"/>
      <c r="Z325" s="19"/>
    </row>
    <row r="326">
      <c r="A326" s="21"/>
      <c r="B326" s="21"/>
      <c r="C326" s="21"/>
      <c r="D326" s="21"/>
      <c r="E326" s="21"/>
      <c r="F326" s="21"/>
      <c r="G326" s="21"/>
      <c r="H326" s="21"/>
      <c r="I326" s="21"/>
      <c r="J326" s="21"/>
      <c r="K326" s="21"/>
      <c r="L326" s="21"/>
      <c r="M326" s="21"/>
      <c r="N326" s="21"/>
      <c r="O326" s="21"/>
      <c r="P326" s="21"/>
      <c r="Q326" s="19"/>
      <c r="R326" s="19"/>
      <c r="S326" s="19"/>
      <c r="T326" s="19"/>
      <c r="U326" s="19"/>
      <c r="V326" s="19"/>
      <c r="W326" s="19"/>
      <c r="X326" s="19"/>
      <c r="Y326" s="19"/>
      <c r="Z326" s="19"/>
    </row>
    <row r="327">
      <c r="A327" s="21"/>
      <c r="B327" s="21"/>
      <c r="C327" s="21"/>
      <c r="D327" s="21"/>
      <c r="E327" s="21"/>
      <c r="F327" s="21"/>
      <c r="G327" s="21"/>
      <c r="H327" s="21"/>
      <c r="I327" s="21"/>
      <c r="J327" s="21"/>
      <c r="K327" s="21"/>
      <c r="L327" s="21"/>
      <c r="M327" s="21"/>
      <c r="N327" s="21"/>
      <c r="O327" s="21"/>
      <c r="P327" s="21"/>
      <c r="Q327" s="19"/>
      <c r="R327" s="19"/>
      <c r="S327" s="19"/>
      <c r="T327" s="19"/>
      <c r="U327" s="19"/>
      <c r="V327" s="19"/>
      <c r="W327" s="19"/>
      <c r="X327" s="19"/>
      <c r="Y327" s="19"/>
      <c r="Z327" s="19"/>
    </row>
    <row r="328">
      <c r="A328" s="21"/>
      <c r="B328" s="21"/>
      <c r="C328" s="21"/>
      <c r="D328" s="21"/>
      <c r="E328" s="21"/>
      <c r="F328" s="21"/>
      <c r="G328" s="21"/>
      <c r="H328" s="21"/>
      <c r="I328" s="21"/>
      <c r="J328" s="21"/>
      <c r="K328" s="21"/>
      <c r="L328" s="21"/>
      <c r="M328" s="21"/>
      <c r="N328" s="21"/>
      <c r="O328" s="21"/>
      <c r="P328" s="21"/>
      <c r="Q328" s="19"/>
      <c r="R328" s="19"/>
      <c r="S328" s="19"/>
      <c r="T328" s="19"/>
      <c r="U328" s="19"/>
      <c r="V328" s="19"/>
      <c r="W328" s="19"/>
      <c r="X328" s="19"/>
      <c r="Y328" s="19"/>
      <c r="Z328" s="19"/>
    </row>
    <row r="329">
      <c r="A329" s="21"/>
      <c r="B329" s="21"/>
      <c r="C329" s="21"/>
      <c r="D329" s="21"/>
      <c r="E329" s="21"/>
      <c r="F329" s="21"/>
      <c r="G329" s="21"/>
      <c r="H329" s="21"/>
      <c r="I329" s="21"/>
      <c r="J329" s="21"/>
      <c r="K329" s="21"/>
      <c r="L329" s="21"/>
      <c r="M329" s="21"/>
      <c r="N329" s="21"/>
      <c r="O329" s="21"/>
      <c r="P329" s="21"/>
      <c r="Q329" s="19"/>
      <c r="R329" s="19"/>
      <c r="S329" s="19"/>
      <c r="T329" s="19"/>
      <c r="U329" s="19"/>
      <c r="V329" s="19"/>
      <c r="W329" s="19"/>
      <c r="X329" s="19"/>
      <c r="Y329" s="19"/>
      <c r="Z329" s="19"/>
    </row>
    <row r="330">
      <c r="A330" s="21"/>
      <c r="B330" s="21"/>
      <c r="C330" s="21"/>
      <c r="D330" s="21"/>
      <c r="E330" s="21"/>
      <c r="F330" s="21"/>
      <c r="G330" s="21"/>
      <c r="H330" s="21"/>
      <c r="I330" s="21"/>
      <c r="J330" s="21"/>
      <c r="K330" s="21"/>
      <c r="L330" s="21"/>
      <c r="M330" s="21"/>
      <c r="N330" s="21"/>
      <c r="O330" s="21"/>
      <c r="P330" s="21"/>
      <c r="Q330" s="19"/>
      <c r="R330" s="19"/>
      <c r="S330" s="19"/>
      <c r="T330" s="19"/>
      <c r="U330" s="19"/>
      <c r="V330" s="19"/>
      <c r="W330" s="19"/>
      <c r="X330" s="19"/>
      <c r="Y330" s="19"/>
      <c r="Z330" s="19"/>
    </row>
    <row r="331">
      <c r="A331" s="21"/>
      <c r="B331" s="21"/>
      <c r="C331" s="21"/>
      <c r="D331" s="21"/>
      <c r="E331" s="21"/>
      <c r="F331" s="21"/>
      <c r="G331" s="21"/>
      <c r="H331" s="21"/>
      <c r="I331" s="21"/>
      <c r="J331" s="21"/>
      <c r="K331" s="21"/>
      <c r="L331" s="21"/>
      <c r="M331" s="21"/>
      <c r="N331" s="21"/>
      <c r="O331" s="21"/>
      <c r="P331" s="21"/>
      <c r="Q331" s="19"/>
      <c r="R331" s="19"/>
      <c r="S331" s="19"/>
      <c r="T331" s="19"/>
      <c r="U331" s="19"/>
      <c r="V331" s="19"/>
      <c r="W331" s="19"/>
      <c r="X331" s="19"/>
      <c r="Y331" s="19"/>
      <c r="Z331" s="19"/>
    </row>
    <row r="332">
      <c r="A332" s="21"/>
      <c r="B332" s="21"/>
      <c r="C332" s="21"/>
      <c r="D332" s="21"/>
      <c r="E332" s="21"/>
      <c r="F332" s="21"/>
      <c r="G332" s="21"/>
      <c r="H332" s="21"/>
      <c r="I332" s="21"/>
      <c r="J332" s="21"/>
      <c r="K332" s="21"/>
      <c r="L332" s="21"/>
      <c r="M332" s="21"/>
      <c r="N332" s="21"/>
      <c r="O332" s="21"/>
      <c r="P332" s="21"/>
      <c r="Q332" s="19"/>
      <c r="R332" s="19"/>
      <c r="S332" s="19"/>
      <c r="T332" s="19"/>
      <c r="U332" s="19"/>
      <c r="V332" s="19"/>
      <c r="W332" s="19"/>
      <c r="X332" s="19"/>
      <c r="Y332" s="19"/>
      <c r="Z332" s="19"/>
    </row>
    <row r="333">
      <c r="A333" s="21"/>
      <c r="B333" s="21"/>
      <c r="C333" s="21"/>
      <c r="D333" s="21"/>
      <c r="E333" s="21"/>
      <c r="F333" s="21"/>
      <c r="G333" s="21"/>
      <c r="H333" s="21"/>
      <c r="I333" s="21"/>
      <c r="J333" s="21"/>
      <c r="K333" s="21"/>
      <c r="L333" s="21"/>
      <c r="M333" s="21"/>
      <c r="N333" s="21"/>
      <c r="O333" s="21"/>
      <c r="P333" s="21"/>
      <c r="Q333" s="19"/>
      <c r="R333" s="19"/>
      <c r="S333" s="19"/>
      <c r="T333" s="19"/>
      <c r="U333" s="19"/>
      <c r="V333" s="19"/>
      <c r="W333" s="19"/>
      <c r="X333" s="19"/>
      <c r="Y333" s="19"/>
      <c r="Z333" s="19"/>
    </row>
    <row r="334">
      <c r="A334" s="21"/>
      <c r="B334" s="21"/>
      <c r="C334" s="21"/>
      <c r="D334" s="21"/>
      <c r="E334" s="21"/>
      <c r="F334" s="21"/>
      <c r="G334" s="21"/>
      <c r="H334" s="21"/>
      <c r="I334" s="21"/>
      <c r="J334" s="21"/>
      <c r="K334" s="21"/>
      <c r="L334" s="21"/>
      <c r="M334" s="21"/>
      <c r="N334" s="21"/>
      <c r="O334" s="21"/>
      <c r="P334" s="21"/>
      <c r="Q334" s="19"/>
      <c r="R334" s="19"/>
      <c r="S334" s="19"/>
      <c r="T334" s="19"/>
      <c r="U334" s="19"/>
      <c r="V334" s="19"/>
      <c r="W334" s="19"/>
      <c r="X334" s="19"/>
      <c r="Y334" s="19"/>
      <c r="Z334" s="19"/>
    </row>
    <row r="335">
      <c r="A335" s="21"/>
      <c r="B335" s="21"/>
      <c r="C335" s="21"/>
      <c r="D335" s="21"/>
      <c r="E335" s="21"/>
      <c r="F335" s="21"/>
      <c r="G335" s="21"/>
      <c r="H335" s="21"/>
      <c r="I335" s="21"/>
      <c r="J335" s="21"/>
      <c r="K335" s="21"/>
      <c r="L335" s="21"/>
      <c r="M335" s="21"/>
      <c r="N335" s="21"/>
      <c r="O335" s="21"/>
      <c r="P335" s="21"/>
      <c r="Q335" s="19"/>
      <c r="R335" s="19"/>
      <c r="S335" s="19"/>
      <c r="T335" s="19"/>
      <c r="U335" s="19"/>
      <c r="V335" s="19"/>
      <c r="W335" s="19"/>
      <c r="X335" s="19"/>
      <c r="Y335" s="19"/>
      <c r="Z335" s="19"/>
    </row>
    <row r="336">
      <c r="A336" s="21"/>
      <c r="B336" s="21"/>
      <c r="C336" s="21"/>
      <c r="D336" s="21"/>
      <c r="E336" s="21"/>
      <c r="F336" s="21"/>
      <c r="G336" s="21"/>
      <c r="H336" s="21"/>
      <c r="I336" s="21"/>
      <c r="J336" s="21"/>
      <c r="K336" s="21"/>
      <c r="L336" s="21"/>
      <c r="M336" s="21"/>
      <c r="N336" s="21"/>
      <c r="O336" s="21"/>
      <c r="P336" s="21"/>
      <c r="Q336" s="19"/>
      <c r="R336" s="19"/>
      <c r="S336" s="19"/>
      <c r="T336" s="19"/>
      <c r="U336" s="19"/>
      <c r="V336" s="19"/>
      <c r="W336" s="19"/>
      <c r="X336" s="19"/>
      <c r="Y336" s="19"/>
      <c r="Z336" s="19"/>
    </row>
    <row r="337">
      <c r="A337" s="21"/>
      <c r="B337" s="21"/>
      <c r="C337" s="21"/>
      <c r="D337" s="21"/>
      <c r="E337" s="21"/>
      <c r="F337" s="21"/>
      <c r="G337" s="21"/>
      <c r="H337" s="21"/>
      <c r="I337" s="21"/>
      <c r="J337" s="21"/>
      <c r="K337" s="21"/>
      <c r="L337" s="21"/>
      <c r="M337" s="21"/>
      <c r="N337" s="21"/>
      <c r="O337" s="21"/>
      <c r="P337" s="21"/>
      <c r="Q337" s="19"/>
      <c r="R337" s="19"/>
      <c r="S337" s="19"/>
      <c r="T337" s="19"/>
      <c r="U337" s="19"/>
      <c r="V337" s="19"/>
      <c r="W337" s="19"/>
      <c r="X337" s="19"/>
      <c r="Y337" s="19"/>
      <c r="Z337" s="19"/>
    </row>
    <row r="338">
      <c r="A338" s="21"/>
      <c r="B338" s="21"/>
      <c r="C338" s="21"/>
      <c r="D338" s="21"/>
      <c r="E338" s="21"/>
      <c r="F338" s="21"/>
      <c r="G338" s="21"/>
      <c r="H338" s="21"/>
      <c r="I338" s="21"/>
      <c r="J338" s="21"/>
      <c r="K338" s="21"/>
      <c r="L338" s="21"/>
      <c r="M338" s="21"/>
      <c r="N338" s="21"/>
      <c r="O338" s="21"/>
      <c r="P338" s="21"/>
      <c r="Q338" s="19"/>
      <c r="R338" s="19"/>
      <c r="S338" s="19"/>
      <c r="T338" s="19"/>
      <c r="U338" s="19"/>
      <c r="V338" s="19"/>
      <c r="W338" s="19"/>
      <c r="X338" s="19"/>
      <c r="Y338" s="19"/>
      <c r="Z338" s="19"/>
    </row>
    <row r="339">
      <c r="A339" s="21"/>
      <c r="B339" s="21"/>
      <c r="C339" s="21"/>
      <c r="D339" s="21"/>
      <c r="E339" s="21"/>
      <c r="F339" s="21"/>
      <c r="G339" s="21"/>
      <c r="H339" s="21"/>
      <c r="I339" s="21"/>
      <c r="J339" s="21"/>
      <c r="K339" s="21"/>
      <c r="L339" s="21"/>
      <c r="M339" s="21"/>
      <c r="N339" s="21"/>
      <c r="O339" s="21"/>
      <c r="P339" s="21"/>
      <c r="Q339" s="19"/>
      <c r="R339" s="19"/>
      <c r="S339" s="19"/>
      <c r="T339" s="19"/>
      <c r="U339" s="19"/>
      <c r="V339" s="19"/>
      <c r="W339" s="19"/>
      <c r="X339" s="19"/>
      <c r="Y339" s="19"/>
      <c r="Z339" s="19"/>
    </row>
    <row r="340">
      <c r="A340" s="21"/>
      <c r="B340" s="21"/>
      <c r="C340" s="21"/>
      <c r="D340" s="21"/>
      <c r="E340" s="21"/>
      <c r="F340" s="21"/>
      <c r="G340" s="21"/>
      <c r="H340" s="21"/>
      <c r="I340" s="21"/>
      <c r="J340" s="21"/>
      <c r="K340" s="21"/>
      <c r="L340" s="21"/>
      <c r="M340" s="21"/>
      <c r="N340" s="21"/>
      <c r="O340" s="21"/>
      <c r="P340" s="21"/>
      <c r="Q340" s="19"/>
      <c r="R340" s="19"/>
      <c r="S340" s="19"/>
      <c r="T340" s="19"/>
      <c r="U340" s="19"/>
      <c r="V340" s="19"/>
      <c r="W340" s="19"/>
      <c r="X340" s="19"/>
      <c r="Y340" s="19"/>
      <c r="Z340" s="19"/>
    </row>
    <row r="341">
      <c r="A341" s="21"/>
      <c r="B341" s="21"/>
      <c r="C341" s="21"/>
      <c r="D341" s="21"/>
      <c r="E341" s="21"/>
      <c r="F341" s="21"/>
      <c r="G341" s="21"/>
      <c r="H341" s="21"/>
      <c r="I341" s="21"/>
      <c r="J341" s="21"/>
      <c r="K341" s="21"/>
      <c r="L341" s="21"/>
      <c r="M341" s="21"/>
      <c r="N341" s="21"/>
      <c r="O341" s="21"/>
      <c r="P341" s="21"/>
      <c r="Q341" s="19"/>
      <c r="R341" s="19"/>
      <c r="S341" s="19"/>
      <c r="T341" s="19"/>
      <c r="U341" s="19"/>
      <c r="V341" s="19"/>
      <c r="W341" s="19"/>
      <c r="X341" s="19"/>
      <c r="Y341" s="19"/>
      <c r="Z341" s="19"/>
    </row>
    <row r="342">
      <c r="A342" s="21"/>
      <c r="B342" s="21"/>
      <c r="C342" s="21"/>
      <c r="D342" s="21"/>
      <c r="E342" s="21"/>
      <c r="F342" s="21"/>
      <c r="G342" s="21"/>
      <c r="H342" s="21"/>
      <c r="I342" s="21"/>
      <c r="J342" s="21"/>
      <c r="K342" s="21"/>
      <c r="L342" s="21"/>
      <c r="M342" s="21"/>
      <c r="N342" s="21"/>
      <c r="O342" s="21"/>
      <c r="P342" s="21"/>
      <c r="Q342" s="19"/>
      <c r="R342" s="19"/>
      <c r="S342" s="19"/>
      <c r="T342" s="19"/>
      <c r="U342" s="19"/>
      <c r="V342" s="19"/>
      <c r="W342" s="19"/>
      <c r="X342" s="19"/>
      <c r="Y342" s="19"/>
      <c r="Z342" s="19"/>
    </row>
    <row r="343">
      <c r="A343" s="21"/>
      <c r="B343" s="21"/>
      <c r="C343" s="21"/>
      <c r="D343" s="21"/>
      <c r="E343" s="21"/>
      <c r="F343" s="21"/>
      <c r="G343" s="21"/>
      <c r="H343" s="21"/>
      <c r="I343" s="21"/>
      <c r="J343" s="21"/>
      <c r="K343" s="21"/>
      <c r="L343" s="21"/>
      <c r="M343" s="21"/>
      <c r="N343" s="21"/>
      <c r="O343" s="21"/>
      <c r="P343" s="21"/>
      <c r="Q343" s="19"/>
      <c r="R343" s="19"/>
      <c r="S343" s="19"/>
      <c r="T343" s="19"/>
      <c r="U343" s="19"/>
      <c r="V343" s="19"/>
      <c r="W343" s="19"/>
      <c r="X343" s="19"/>
      <c r="Y343" s="19"/>
      <c r="Z343" s="19"/>
    </row>
    <row r="344">
      <c r="A344" s="21"/>
      <c r="B344" s="21"/>
      <c r="C344" s="21"/>
      <c r="D344" s="21"/>
      <c r="E344" s="21"/>
      <c r="F344" s="21"/>
      <c r="G344" s="21"/>
      <c r="H344" s="21"/>
      <c r="I344" s="21"/>
      <c r="J344" s="21"/>
      <c r="K344" s="21"/>
      <c r="L344" s="21"/>
      <c r="M344" s="21"/>
      <c r="N344" s="21"/>
      <c r="O344" s="21"/>
      <c r="P344" s="21"/>
      <c r="Q344" s="19"/>
      <c r="R344" s="19"/>
      <c r="S344" s="19"/>
      <c r="T344" s="19"/>
      <c r="U344" s="19"/>
      <c r="V344" s="19"/>
      <c r="W344" s="19"/>
      <c r="X344" s="19"/>
      <c r="Y344" s="19"/>
      <c r="Z344" s="19"/>
    </row>
    <row r="345">
      <c r="A345" s="21"/>
      <c r="B345" s="21"/>
      <c r="C345" s="21"/>
      <c r="D345" s="21"/>
      <c r="E345" s="21"/>
      <c r="F345" s="21"/>
      <c r="G345" s="21"/>
      <c r="H345" s="21"/>
      <c r="I345" s="21"/>
      <c r="J345" s="21"/>
      <c r="K345" s="21"/>
      <c r="L345" s="21"/>
      <c r="M345" s="21"/>
      <c r="N345" s="21"/>
      <c r="O345" s="21"/>
      <c r="P345" s="21"/>
      <c r="Q345" s="19"/>
      <c r="R345" s="19"/>
      <c r="S345" s="19"/>
      <c r="T345" s="19"/>
      <c r="U345" s="19"/>
      <c r="V345" s="19"/>
      <c r="W345" s="19"/>
      <c r="X345" s="19"/>
      <c r="Y345" s="19"/>
      <c r="Z345" s="19"/>
    </row>
    <row r="346">
      <c r="A346" s="21"/>
      <c r="B346" s="21"/>
      <c r="C346" s="21"/>
      <c r="D346" s="21"/>
      <c r="E346" s="21"/>
      <c r="F346" s="21"/>
      <c r="G346" s="21"/>
      <c r="H346" s="21"/>
      <c r="I346" s="21"/>
      <c r="J346" s="21"/>
      <c r="K346" s="21"/>
      <c r="L346" s="21"/>
      <c r="M346" s="21"/>
      <c r="N346" s="21"/>
      <c r="O346" s="21"/>
      <c r="P346" s="21"/>
      <c r="Q346" s="19"/>
      <c r="R346" s="19"/>
      <c r="S346" s="19"/>
      <c r="T346" s="19"/>
      <c r="U346" s="19"/>
      <c r="V346" s="19"/>
      <c r="W346" s="19"/>
      <c r="X346" s="19"/>
      <c r="Y346" s="19"/>
      <c r="Z346" s="19"/>
    </row>
    <row r="347">
      <c r="A347" s="21"/>
      <c r="B347" s="21"/>
      <c r="C347" s="21"/>
      <c r="D347" s="21"/>
      <c r="E347" s="21"/>
      <c r="F347" s="21"/>
      <c r="G347" s="21"/>
      <c r="H347" s="21"/>
      <c r="I347" s="21"/>
      <c r="J347" s="21"/>
      <c r="K347" s="21"/>
      <c r="L347" s="21"/>
      <c r="M347" s="21"/>
      <c r="N347" s="21"/>
      <c r="O347" s="21"/>
      <c r="P347" s="21"/>
      <c r="Q347" s="19"/>
      <c r="R347" s="19"/>
      <c r="S347" s="19"/>
      <c r="T347" s="19"/>
      <c r="U347" s="19"/>
      <c r="V347" s="19"/>
      <c r="W347" s="19"/>
      <c r="X347" s="19"/>
      <c r="Y347" s="19"/>
      <c r="Z347" s="19"/>
    </row>
    <row r="348">
      <c r="A348" s="21"/>
      <c r="B348" s="21"/>
      <c r="C348" s="21"/>
      <c r="D348" s="21"/>
      <c r="E348" s="21"/>
      <c r="F348" s="21"/>
      <c r="G348" s="21"/>
      <c r="H348" s="21"/>
      <c r="I348" s="21"/>
      <c r="J348" s="21"/>
      <c r="K348" s="21"/>
      <c r="L348" s="21"/>
      <c r="M348" s="21"/>
      <c r="N348" s="21"/>
      <c r="O348" s="21"/>
      <c r="P348" s="21"/>
      <c r="Q348" s="19"/>
      <c r="R348" s="19"/>
      <c r="S348" s="19"/>
      <c r="T348" s="19"/>
      <c r="U348" s="19"/>
      <c r="V348" s="19"/>
      <c r="W348" s="19"/>
      <c r="X348" s="19"/>
      <c r="Y348" s="19"/>
      <c r="Z348" s="19"/>
    </row>
    <row r="349">
      <c r="A349" s="21"/>
      <c r="B349" s="21"/>
      <c r="C349" s="21"/>
      <c r="D349" s="21"/>
      <c r="E349" s="21"/>
      <c r="F349" s="21"/>
      <c r="G349" s="21"/>
      <c r="H349" s="21"/>
      <c r="I349" s="21"/>
      <c r="J349" s="21"/>
      <c r="K349" s="21"/>
      <c r="L349" s="21"/>
      <c r="M349" s="21"/>
      <c r="N349" s="21"/>
      <c r="O349" s="21"/>
      <c r="P349" s="21"/>
      <c r="Q349" s="19"/>
      <c r="R349" s="19"/>
      <c r="S349" s="19"/>
      <c r="T349" s="19"/>
      <c r="U349" s="19"/>
      <c r="V349" s="19"/>
      <c r="W349" s="19"/>
      <c r="X349" s="19"/>
      <c r="Y349" s="19"/>
      <c r="Z349" s="19"/>
    </row>
    <row r="350">
      <c r="A350" s="21"/>
      <c r="B350" s="21"/>
      <c r="C350" s="21"/>
      <c r="D350" s="21"/>
      <c r="E350" s="21"/>
      <c r="F350" s="21"/>
      <c r="G350" s="21"/>
      <c r="H350" s="21"/>
      <c r="I350" s="21"/>
      <c r="J350" s="21"/>
      <c r="K350" s="21"/>
      <c r="L350" s="21"/>
      <c r="M350" s="21"/>
      <c r="N350" s="21"/>
      <c r="O350" s="21"/>
      <c r="P350" s="21"/>
      <c r="Q350" s="19"/>
      <c r="R350" s="19"/>
      <c r="S350" s="19"/>
      <c r="T350" s="19"/>
      <c r="U350" s="19"/>
      <c r="V350" s="19"/>
      <c r="W350" s="19"/>
      <c r="X350" s="19"/>
      <c r="Y350" s="19"/>
      <c r="Z350" s="19"/>
    </row>
    <row r="351">
      <c r="A351" s="21"/>
      <c r="B351" s="21"/>
      <c r="C351" s="21"/>
      <c r="D351" s="21"/>
      <c r="E351" s="21"/>
      <c r="F351" s="21"/>
      <c r="G351" s="21"/>
      <c r="H351" s="21"/>
      <c r="I351" s="21"/>
      <c r="J351" s="21"/>
      <c r="K351" s="21"/>
      <c r="L351" s="21"/>
      <c r="M351" s="21"/>
      <c r="N351" s="21"/>
      <c r="O351" s="21"/>
      <c r="P351" s="21"/>
      <c r="Q351" s="19"/>
      <c r="R351" s="19"/>
      <c r="S351" s="19"/>
      <c r="T351" s="19"/>
      <c r="U351" s="19"/>
      <c r="V351" s="19"/>
      <c r="W351" s="19"/>
      <c r="X351" s="19"/>
      <c r="Y351" s="19"/>
      <c r="Z351" s="19"/>
    </row>
    <row r="352">
      <c r="A352" s="21"/>
      <c r="B352" s="21"/>
      <c r="C352" s="21"/>
      <c r="D352" s="21"/>
      <c r="E352" s="21"/>
      <c r="F352" s="21"/>
      <c r="G352" s="21"/>
      <c r="H352" s="21"/>
      <c r="I352" s="21"/>
      <c r="J352" s="21"/>
      <c r="K352" s="21"/>
      <c r="L352" s="21"/>
      <c r="M352" s="21"/>
      <c r="N352" s="21"/>
      <c r="O352" s="21"/>
      <c r="P352" s="21"/>
      <c r="Q352" s="19"/>
      <c r="R352" s="19"/>
      <c r="S352" s="19"/>
      <c r="T352" s="19"/>
      <c r="U352" s="19"/>
      <c r="V352" s="19"/>
      <c r="W352" s="19"/>
      <c r="X352" s="19"/>
      <c r="Y352" s="19"/>
      <c r="Z352" s="19"/>
    </row>
    <row r="353">
      <c r="A353" s="21"/>
      <c r="B353" s="21"/>
      <c r="C353" s="21"/>
      <c r="D353" s="21"/>
      <c r="E353" s="21"/>
      <c r="F353" s="21"/>
      <c r="G353" s="21"/>
      <c r="H353" s="21"/>
      <c r="I353" s="21"/>
      <c r="J353" s="21"/>
      <c r="K353" s="21"/>
      <c r="L353" s="21"/>
      <c r="M353" s="21"/>
      <c r="N353" s="21"/>
      <c r="O353" s="21"/>
      <c r="P353" s="21"/>
      <c r="Q353" s="19"/>
      <c r="R353" s="19"/>
      <c r="S353" s="19"/>
      <c r="T353" s="19"/>
      <c r="U353" s="19"/>
      <c r="V353" s="19"/>
      <c r="W353" s="19"/>
      <c r="X353" s="19"/>
      <c r="Y353" s="19"/>
      <c r="Z353" s="19"/>
    </row>
    <row r="354">
      <c r="A354" s="21"/>
      <c r="B354" s="21"/>
      <c r="C354" s="21"/>
      <c r="D354" s="21"/>
      <c r="E354" s="21"/>
      <c r="F354" s="21"/>
      <c r="G354" s="21"/>
      <c r="H354" s="21"/>
      <c r="I354" s="21"/>
      <c r="J354" s="21"/>
      <c r="K354" s="21"/>
      <c r="L354" s="21"/>
      <c r="M354" s="21"/>
      <c r="N354" s="21"/>
      <c r="O354" s="21"/>
      <c r="P354" s="21"/>
      <c r="Q354" s="19"/>
      <c r="R354" s="19"/>
      <c r="S354" s="19"/>
      <c r="T354" s="19"/>
      <c r="U354" s="19"/>
      <c r="V354" s="19"/>
      <c r="W354" s="19"/>
      <c r="X354" s="19"/>
      <c r="Y354" s="19"/>
      <c r="Z354" s="19"/>
    </row>
    <row r="355">
      <c r="A355" s="21"/>
      <c r="B355" s="21"/>
      <c r="C355" s="21"/>
      <c r="D355" s="21"/>
      <c r="E355" s="21"/>
      <c r="F355" s="21"/>
      <c r="G355" s="21"/>
      <c r="H355" s="21"/>
      <c r="I355" s="21"/>
      <c r="J355" s="21"/>
      <c r="K355" s="21"/>
      <c r="L355" s="21"/>
      <c r="M355" s="21"/>
      <c r="N355" s="21"/>
      <c r="O355" s="21"/>
      <c r="P355" s="21"/>
      <c r="Q355" s="19"/>
      <c r="R355" s="19"/>
      <c r="S355" s="19"/>
      <c r="T355" s="19"/>
      <c r="U355" s="19"/>
      <c r="V355" s="19"/>
      <c r="W355" s="19"/>
      <c r="X355" s="19"/>
      <c r="Y355" s="19"/>
      <c r="Z355" s="19"/>
    </row>
    <row r="356">
      <c r="A356" s="21"/>
      <c r="B356" s="21"/>
      <c r="C356" s="21"/>
      <c r="D356" s="21"/>
      <c r="E356" s="21"/>
      <c r="F356" s="21"/>
      <c r="G356" s="21"/>
      <c r="H356" s="21"/>
      <c r="I356" s="21"/>
      <c r="J356" s="21"/>
      <c r="K356" s="21"/>
      <c r="L356" s="21"/>
      <c r="M356" s="21"/>
      <c r="N356" s="21"/>
      <c r="O356" s="21"/>
      <c r="P356" s="21"/>
      <c r="Q356" s="19"/>
      <c r="R356" s="19"/>
      <c r="S356" s="19"/>
      <c r="T356" s="19"/>
      <c r="U356" s="19"/>
      <c r="V356" s="19"/>
      <c r="W356" s="19"/>
      <c r="X356" s="19"/>
      <c r="Y356" s="19"/>
      <c r="Z356" s="19"/>
    </row>
    <row r="357">
      <c r="A357" s="21"/>
      <c r="B357" s="21"/>
      <c r="C357" s="21"/>
      <c r="D357" s="21"/>
      <c r="E357" s="21"/>
      <c r="F357" s="21"/>
      <c r="G357" s="21"/>
      <c r="H357" s="21"/>
      <c r="I357" s="21"/>
      <c r="J357" s="21"/>
      <c r="K357" s="21"/>
      <c r="L357" s="21"/>
      <c r="M357" s="21"/>
      <c r="N357" s="21"/>
      <c r="O357" s="21"/>
      <c r="P357" s="21"/>
      <c r="Q357" s="19"/>
      <c r="R357" s="19"/>
      <c r="S357" s="19"/>
      <c r="T357" s="19"/>
      <c r="U357" s="19"/>
      <c r="V357" s="19"/>
      <c r="W357" s="19"/>
      <c r="X357" s="19"/>
      <c r="Y357" s="19"/>
      <c r="Z357" s="19"/>
    </row>
    <row r="358">
      <c r="A358" s="21"/>
      <c r="B358" s="21"/>
      <c r="C358" s="21"/>
      <c r="D358" s="21"/>
      <c r="E358" s="21"/>
      <c r="F358" s="21"/>
      <c r="G358" s="21"/>
      <c r="H358" s="21"/>
      <c r="I358" s="21"/>
      <c r="J358" s="21"/>
      <c r="K358" s="21"/>
      <c r="L358" s="21"/>
      <c r="M358" s="21"/>
      <c r="N358" s="21"/>
      <c r="O358" s="21"/>
      <c r="P358" s="21"/>
      <c r="Q358" s="19"/>
      <c r="R358" s="19"/>
      <c r="S358" s="19"/>
      <c r="T358" s="19"/>
      <c r="U358" s="19"/>
      <c r="V358" s="19"/>
      <c r="W358" s="19"/>
      <c r="X358" s="19"/>
      <c r="Y358" s="19"/>
      <c r="Z358" s="19"/>
    </row>
    <row r="359">
      <c r="A359" s="21"/>
      <c r="B359" s="21"/>
      <c r="C359" s="21"/>
      <c r="D359" s="21"/>
      <c r="E359" s="21"/>
      <c r="F359" s="21"/>
      <c r="G359" s="21"/>
      <c r="H359" s="21"/>
      <c r="I359" s="21"/>
      <c r="J359" s="21"/>
      <c r="K359" s="21"/>
      <c r="L359" s="21"/>
      <c r="M359" s="21"/>
      <c r="N359" s="21"/>
      <c r="O359" s="21"/>
      <c r="P359" s="21"/>
      <c r="Q359" s="19"/>
      <c r="R359" s="19"/>
      <c r="S359" s="19"/>
      <c r="T359" s="19"/>
      <c r="U359" s="19"/>
      <c r="V359" s="19"/>
      <c r="W359" s="19"/>
      <c r="X359" s="19"/>
      <c r="Y359" s="19"/>
      <c r="Z359" s="19"/>
    </row>
    <row r="360">
      <c r="A360" s="21"/>
      <c r="B360" s="21"/>
      <c r="C360" s="21"/>
      <c r="D360" s="21"/>
      <c r="E360" s="21"/>
      <c r="F360" s="21"/>
      <c r="G360" s="21"/>
      <c r="H360" s="21"/>
      <c r="I360" s="21"/>
      <c r="J360" s="21"/>
      <c r="K360" s="21"/>
      <c r="L360" s="21"/>
      <c r="M360" s="21"/>
      <c r="N360" s="21"/>
      <c r="O360" s="21"/>
      <c r="P360" s="21"/>
      <c r="Q360" s="19"/>
      <c r="R360" s="19"/>
      <c r="S360" s="19"/>
      <c r="T360" s="19"/>
      <c r="U360" s="19"/>
      <c r="V360" s="19"/>
      <c r="W360" s="19"/>
      <c r="X360" s="19"/>
      <c r="Y360" s="19"/>
      <c r="Z360" s="19"/>
    </row>
    <row r="361">
      <c r="A361" s="21"/>
      <c r="B361" s="21"/>
      <c r="C361" s="21"/>
      <c r="D361" s="21"/>
      <c r="E361" s="21"/>
      <c r="F361" s="21"/>
      <c r="G361" s="21"/>
      <c r="H361" s="21"/>
      <c r="I361" s="21"/>
      <c r="J361" s="21"/>
      <c r="K361" s="21"/>
      <c r="L361" s="21"/>
      <c r="M361" s="21"/>
      <c r="N361" s="21"/>
      <c r="O361" s="21"/>
      <c r="P361" s="21"/>
      <c r="Q361" s="19"/>
      <c r="R361" s="19"/>
      <c r="S361" s="19"/>
      <c r="T361" s="19"/>
      <c r="U361" s="19"/>
      <c r="V361" s="19"/>
      <c r="W361" s="19"/>
      <c r="X361" s="19"/>
      <c r="Y361" s="19"/>
      <c r="Z361" s="19"/>
    </row>
    <row r="362">
      <c r="A362" s="21"/>
      <c r="B362" s="21"/>
      <c r="C362" s="21"/>
      <c r="D362" s="21"/>
      <c r="E362" s="21"/>
      <c r="F362" s="21"/>
      <c r="G362" s="21"/>
      <c r="H362" s="21"/>
      <c r="I362" s="21"/>
      <c r="J362" s="21"/>
      <c r="K362" s="21"/>
      <c r="L362" s="21"/>
      <c r="M362" s="21"/>
      <c r="N362" s="21"/>
      <c r="O362" s="21"/>
      <c r="P362" s="21"/>
      <c r="Q362" s="19"/>
      <c r="R362" s="19"/>
      <c r="S362" s="19"/>
      <c r="T362" s="19"/>
      <c r="U362" s="19"/>
      <c r="V362" s="19"/>
      <c r="W362" s="19"/>
      <c r="X362" s="19"/>
      <c r="Y362" s="19"/>
      <c r="Z362" s="19"/>
    </row>
    <row r="363">
      <c r="A363" s="21"/>
      <c r="B363" s="21"/>
      <c r="C363" s="21"/>
      <c r="D363" s="21"/>
      <c r="E363" s="21"/>
      <c r="F363" s="21"/>
      <c r="G363" s="21"/>
      <c r="H363" s="21"/>
      <c r="I363" s="21"/>
      <c r="J363" s="21"/>
      <c r="K363" s="21"/>
      <c r="L363" s="21"/>
      <c r="M363" s="21"/>
      <c r="N363" s="21"/>
      <c r="O363" s="21"/>
      <c r="P363" s="21"/>
      <c r="Q363" s="19"/>
      <c r="R363" s="19"/>
      <c r="S363" s="19"/>
      <c r="T363" s="19"/>
      <c r="U363" s="19"/>
      <c r="V363" s="19"/>
      <c r="W363" s="19"/>
      <c r="X363" s="19"/>
      <c r="Y363" s="19"/>
      <c r="Z363" s="19"/>
    </row>
    <row r="364">
      <c r="A364" s="21"/>
      <c r="B364" s="21"/>
      <c r="C364" s="21"/>
      <c r="D364" s="21"/>
      <c r="E364" s="21"/>
      <c r="F364" s="21"/>
      <c r="G364" s="21"/>
      <c r="H364" s="21"/>
      <c r="I364" s="21"/>
      <c r="J364" s="21"/>
      <c r="K364" s="21"/>
      <c r="L364" s="21"/>
      <c r="M364" s="21"/>
      <c r="N364" s="21"/>
      <c r="O364" s="21"/>
      <c r="P364" s="21"/>
      <c r="Q364" s="19"/>
      <c r="R364" s="19"/>
      <c r="S364" s="19"/>
      <c r="T364" s="19"/>
      <c r="U364" s="19"/>
      <c r="V364" s="19"/>
      <c r="W364" s="19"/>
      <c r="X364" s="19"/>
      <c r="Y364" s="19"/>
      <c r="Z364" s="19"/>
    </row>
    <row r="365">
      <c r="A365" s="21"/>
      <c r="B365" s="21"/>
      <c r="C365" s="21"/>
      <c r="D365" s="21"/>
      <c r="E365" s="21"/>
      <c r="F365" s="21"/>
      <c r="G365" s="21"/>
      <c r="H365" s="21"/>
      <c r="I365" s="21"/>
      <c r="J365" s="21"/>
      <c r="K365" s="21"/>
      <c r="L365" s="21"/>
      <c r="M365" s="21"/>
      <c r="N365" s="21"/>
      <c r="O365" s="21"/>
      <c r="P365" s="21"/>
      <c r="Q365" s="19"/>
      <c r="R365" s="19"/>
      <c r="S365" s="19"/>
      <c r="T365" s="19"/>
      <c r="U365" s="19"/>
      <c r="V365" s="19"/>
      <c r="W365" s="19"/>
      <c r="X365" s="19"/>
      <c r="Y365" s="19"/>
      <c r="Z365" s="19"/>
    </row>
    <row r="366">
      <c r="A366" s="21"/>
      <c r="B366" s="21"/>
      <c r="C366" s="21"/>
      <c r="D366" s="21"/>
      <c r="E366" s="21"/>
      <c r="F366" s="21"/>
      <c r="G366" s="21"/>
      <c r="H366" s="21"/>
      <c r="I366" s="21"/>
      <c r="J366" s="21"/>
      <c r="K366" s="21"/>
      <c r="L366" s="21"/>
      <c r="M366" s="21"/>
      <c r="N366" s="21"/>
      <c r="O366" s="21"/>
      <c r="P366" s="21"/>
      <c r="Q366" s="19"/>
      <c r="R366" s="19"/>
      <c r="S366" s="19"/>
      <c r="T366" s="19"/>
      <c r="U366" s="19"/>
      <c r="V366" s="19"/>
      <c r="W366" s="19"/>
      <c r="X366" s="19"/>
      <c r="Y366" s="19"/>
      <c r="Z366" s="19"/>
    </row>
    <row r="367">
      <c r="A367" s="21"/>
      <c r="B367" s="21"/>
      <c r="C367" s="21"/>
      <c r="D367" s="21"/>
      <c r="E367" s="21"/>
      <c r="F367" s="21"/>
      <c r="G367" s="21"/>
      <c r="H367" s="21"/>
      <c r="I367" s="21"/>
      <c r="J367" s="21"/>
      <c r="K367" s="21"/>
      <c r="L367" s="21"/>
      <c r="M367" s="21"/>
      <c r="N367" s="21"/>
      <c r="O367" s="21"/>
      <c r="P367" s="21"/>
      <c r="Q367" s="19"/>
      <c r="R367" s="19"/>
      <c r="S367" s="19"/>
      <c r="T367" s="19"/>
      <c r="U367" s="19"/>
      <c r="V367" s="19"/>
      <c r="W367" s="19"/>
      <c r="X367" s="19"/>
      <c r="Y367" s="19"/>
      <c r="Z367" s="19"/>
    </row>
    <row r="368">
      <c r="A368" s="21"/>
      <c r="B368" s="21"/>
      <c r="C368" s="21"/>
      <c r="D368" s="21"/>
      <c r="E368" s="21"/>
      <c r="F368" s="21"/>
      <c r="G368" s="21"/>
      <c r="H368" s="21"/>
      <c r="I368" s="21"/>
      <c r="J368" s="21"/>
      <c r="K368" s="21"/>
      <c r="L368" s="21"/>
      <c r="M368" s="21"/>
      <c r="N368" s="21"/>
      <c r="O368" s="21"/>
      <c r="P368" s="21"/>
      <c r="Q368" s="19"/>
      <c r="R368" s="19"/>
      <c r="S368" s="19"/>
      <c r="T368" s="19"/>
      <c r="U368" s="19"/>
      <c r="V368" s="19"/>
      <c r="W368" s="19"/>
      <c r="X368" s="19"/>
      <c r="Y368" s="19"/>
      <c r="Z368" s="19"/>
    </row>
    <row r="369">
      <c r="A369" s="21"/>
      <c r="B369" s="21"/>
      <c r="C369" s="21"/>
      <c r="D369" s="21"/>
      <c r="E369" s="21"/>
      <c r="F369" s="21"/>
      <c r="G369" s="21"/>
      <c r="H369" s="21"/>
      <c r="I369" s="21"/>
      <c r="J369" s="21"/>
      <c r="K369" s="21"/>
      <c r="L369" s="21"/>
      <c r="M369" s="21"/>
      <c r="N369" s="21"/>
      <c r="O369" s="21"/>
      <c r="P369" s="21"/>
      <c r="Q369" s="19"/>
      <c r="R369" s="19"/>
      <c r="S369" s="19"/>
      <c r="T369" s="19"/>
      <c r="U369" s="19"/>
      <c r="V369" s="19"/>
      <c r="W369" s="19"/>
      <c r="X369" s="19"/>
      <c r="Y369" s="19"/>
      <c r="Z369" s="19"/>
    </row>
    <row r="370">
      <c r="A370" s="21"/>
      <c r="B370" s="21"/>
      <c r="C370" s="21"/>
      <c r="D370" s="21"/>
      <c r="E370" s="21"/>
      <c r="F370" s="21"/>
      <c r="G370" s="21"/>
      <c r="H370" s="21"/>
      <c r="I370" s="21"/>
      <c r="J370" s="21"/>
      <c r="K370" s="21"/>
      <c r="L370" s="21"/>
      <c r="M370" s="21"/>
      <c r="N370" s="21"/>
      <c r="O370" s="21"/>
      <c r="P370" s="21"/>
      <c r="Q370" s="19"/>
      <c r="R370" s="19"/>
      <c r="S370" s="19"/>
      <c r="T370" s="19"/>
      <c r="U370" s="19"/>
      <c r="V370" s="19"/>
      <c r="W370" s="19"/>
      <c r="X370" s="19"/>
      <c r="Y370" s="19"/>
      <c r="Z370" s="19"/>
    </row>
    <row r="371">
      <c r="A371" s="21"/>
      <c r="B371" s="21"/>
      <c r="C371" s="21"/>
      <c r="D371" s="21"/>
      <c r="E371" s="21"/>
      <c r="F371" s="21"/>
      <c r="G371" s="21"/>
      <c r="H371" s="21"/>
      <c r="I371" s="21"/>
      <c r="J371" s="21"/>
      <c r="K371" s="21"/>
      <c r="L371" s="21"/>
      <c r="M371" s="21"/>
      <c r="N371" s="21"/>
      <c r="O371" s="21"/>
      <c r="P371" s="21"/>
      <c r="Q371" s="19"/>
      <c r="R371" s="19"/>
      <c r="S371" s="19"/>
      <c r="T371" s="19"/>
      <c r="U371" s="19"/>
      <c r="V371" s="19"/>
      <c r="W371" s="19"/>
      <c r="X371" s="19"/>
      <c r="Y371" s="19"/>
      <c r="Z371" s="19"/>
    </row>
    <row r="372">
      <c r="A372" s="21"/>
      <c r="B372" s="21"/>
      <c r="C372" s="21"/>
      <c r="D372" s="21"/>
      <c r="E372" s="21"/>
      <c r="F372" s="21"/>
      <c r="G372" s="21"/>
      <c r="H372" s="21"/>
      <c r="I372" s="21"/>
      <c r="J372" s="21"/>
      <c r="K372" s="21"/>
      <c r="L372" s="21"/>
      <c r="M372" s="21"/>
      <c r="N372" s="21"/>
      <c r="O372" s="21"/>
      <c r="P372" s="21"/>
      <c r="Q372" s="19"/>
      <c r="R372" s="19"/>
      <c r="S372" s="19"/>
      <c r="T372" s="19"/>
      <c r="U372" s="19"/>
      <c r="V372" s="19"/>
      <c r="W372" s="19"/>
      <c r="X372" s="19"/>
      <c r="Y372" s="19"/>
      <c r="Z372" s="19"/>
    </row>
    <row r="373">
      <c r="A373" s="21"/>
      <c r="B373" s="21"/>
      <c r="C373" s="21"/>
      <c r="D373" s="21"/>
      <c r="E373" s="21"/>
      <c r="F373" s="21"/>
      <c r="G373" s="21"/>
      <c r="H373" s="21"/>
      <c r="I373" s="21"/>
      <c r="J373" s="21"/>
      <c r="K373" s="21"/>
      <c r="L373" s="21"/>
      <c r="M373" s="21"/>
      <c r="N373" s="21"/>
      <c r="O373" s="21"/>
      <c r="P373" s="21"/>
      <c r="Q373" s="19"/>
      <c r="R373" s="19"/>
      <c r="S373" s="19"/>
      <c r="T373" s="19"/>
      <c r="U373" s="19"/>
      <c r="V373" s="19"/>
      <c r="W373" s="19"/>
      <c r="X373" s="19"/>
      <c r="Y373" s="19"/>
      <c r="Z373" s="19"/>
    </row>
    <row r="374">
      <c r="A374" s="21"/>
      <c r="B374" s="21"/>
      <c r="C374" s="21"/>
      <c r="D374" s="21"/>
      <c r="E374" s="21"/>
      <c r="F374" s="21"/>
      <c r="G374" s="21"/>
      <c r="H374" s="21"/>
      <c r="I374" s="21"/>
      <c r="J374" s="21"/>
      <c r="K374" s="21"/>
      <c r="L374" s="21"/>
      <c r="M374" s="21"/>
      <c r="N374" s="21"/>
      <c r="O374" s="21"/>
      <c r="P374" s="21"/>
      <c r="Q374" s="19"/>
      <c r="R374" s="19"/>
      <c r="S374" s="19"/>
      <c r="T374" s="19"/>
      <c r="U374" s="19"/>
      <c r="V374" s="19"/>
      <c r="W374" s="19"/>
      <c r="X374" s="19"/>
      <c r="Y374" s="19"/>
      <c r="Z374" s="19"/>
    </row>
    <row r="375">
      <c r="A375" s="21"/>
      <c r="B375" s="21"/>
      <c r="C375" s="21"/>
      <c r="D375" s="21"/>
      <c r="E375" s="21"/>
      <c r="F375" s="21"/>
      <c r="G375" s="21"/>
      <c r="H375" s="21"/>
      <c r="I375" s="21"/>
      <c r="J375" s="21"/>
      <c r="K375" s="21"/>
      <c r="L375" s="21"/>
      <c r="M375" s="21"/>
      <c r="N375" s="21"/>
      <c r="O375" s="21"/>
      <c r="P375" s="21"/>
      <c r="Q375" s="19"/>
      <c r="R375" s="19"/>
      <c r="S375" s="19"/>
      <c r="T375" s="19"/>
      <c r="U375" s="19"/>
      <c r="V375" s="19"/>
      <c r="W375" s="19"/>
      <c r="X375" s="19"/>
      <c r="Y375" s="19"/>
      <c r="Z375" s="19"/>
    </row>
    <row r="376">
      <c r="A376" s="21"/>
      <c r="B376" s="21"/>
      <c r="C376" s="21"/>
      <c r="D376" s="21"/>
      <c r="E376" s="21"/>
      <c r="F376" s="21"/>
      <c r="G376" s="21"/>
      <c r="H376" s="21"/>
      <c r="I376" s="21"/>
      <c r="J376" s="21"/>
      <c r="K376" s="21"/>
      <c r="L376" s="21"/>
      <c r="M376" s="21"/>
      <c r="N376" s="21"/>
      <c r="O376" s="21"/>
      <c r="P376" s="21"/>
      <c r="Q376" s="19"/>
      <c r="R376" s="19"/>
      <c r="S376" s="19"/>
      <c r="T376" s="19"/>
      <c r="U376" s="19"/>
      <c r="V376" s="19"/>
      <c r="W376" s="19"/>
      <c r="X376" s="19"/>
      <c r="Y376" s="19"/>
      <c r="Z376" s="19"/>
    </row>
    <row r="377">
      <c r="A377" s="21"/>
      <c r="B377" s="21"/>
      <c r="C377" s="21"/>
      <c r="D377" s="21"/>
      <c r="E377" s="21"/>
      <c r="F377" s="21"/>
      <c r="G377" s="21"/>
      <c r="H377" s="21"/>
      <c r="I377" s="21"/>
      <c r="J377" s="21"/>
      <c r="K377" s="21"/>
      <c r="L377" s="21"/>
      <c r="M377" s="21"/>
      <c r="N377" s="21"/>
      <c r="O377" s="21"/>
      <c r="P377" s="21"/>
      <c r="Q377" s="19"/>
      <c r="R377" s="19"/>
      <c r="S377" s="19"/>
      <c r="T377" s="19"/>
      <c r="U377" s="19"/>
      <c r="V377" s="19"/>
      <c r="W377" s="19"/>
      <c r="X377" s="19"/>
      <c r="Y377" s="19"/>
      <c r="Z377" s="19"/>
    </row>
    <row r="378">
      <c r="A378" s="21"/>
      <c r="B378" s="21"/>
      <c r="C378" s="21"/>
      <c r="D378" s="21"/>
      <c r="E378" s="21"/>
      <c r="F378" s="21"/>
      <c r="G378" s="21"/>
      <c r="H378" s="21"/>
      <c r="I378" s="21"/>
      <c r="J378" s="21"/>
      <c r="K378" s="21"/>
      <c r="L378" s="21"/>
      <c r="M378" s="21"/>
      <c r="N378" s="21"/>
      <c r="O378" s="21"/>
      <c r="P378" s="21"/>
      <c r="Q378" s="19"/>
      <c r="R378" s="19"/>
      <c r="S378" s="19"/>
      <c r="T378" s="19"/>
      <c r="U378" s="19"/>
      <c r="V378" s="19"/>
      <c r="W378" s="19"/>
      <c r="X378" s="19"/>
      <c r="Y378" s="19"/>
      <c r="Z378" s="19"/>
    </row>
    <row r="379">
      <c r="A379" s="21"/>
      <c r="B379" s="21"/>
      <c r="C379" s="21"/>
      <c r="D379" s="21"/>
      <c r="E379" s="21"/>
      <c r="F379" s="21"/>
      <c r="G379" s="21"/>
      <c r="H379" s="21"/>
      <c r="I379" s="21"/>
      <c r="J379" s="21"/>
      <c r="K379" s="21"/>
      <c r="L379" s="21"/>
      <c r="M379" s="21"/>
      <c r="N379" s="21"/>
      <c r="O379" s="21"/>
      <c r="P379" s="21"/>
      <c r="Q379" s="19"/>
      <c r="R379" s="19"/>
      <c r="S379" s="19"/>
      <c r="T379" s="19"/>
      <c r="U379" s="19"/>
      <c r="V379" s="19"/>
      <c r="W379" s="19"/>
      <c r="X379" s="19"/>
      <c r="Y379" s="19"/>
      <c r="Z379" s="19"/>
    </row>
    <row r="380">
      <c r="A380" s="21"/>
      <c r="B380" s="21"/>
      <c r="C380" s="21"/>
      <c r="D380" s="21"/>
      <c r="E380" s="21"/>
      <c r="F380" s="21"/>
      <c r="G380" s="21"/>
      <c r="H380" s="21"/>
      <c r="I380" s="21"/>
      <c r="J380" s="21"/>
      <c r="K380" s="21"/>
      <c r="L380" s="21"/>
      <c r="M380" s="21"/>
      <c r="N380" s="21"/>
      <c r="O380" s="21"/>
      <c r="P380" s="21"/>
      <c r="Q380" s="19"/>
      <c r="R380" s="19"/>
      <c r="S380" s="19"/>
      <c r="T380" s="19"/>
      <c r="U380" s="19"/>
      <c r="V380" s="19"/>
      <c r="W380" s="19"/>
      <c r="X380" s="19"/>
      <c r="Y380" s="19"/>
      <c r="Z380" s="19"/>
    </row>
    <row r="381">
      <c r="A381" s="21"/>
      <c r="B381" s="21"/>
      <c r="C381" s="21"/>
      <c r="D381" s="21"/>
      <c r="E381" s="21"/>
      <c r="F381" s="21"/>
      <c r="G381" s="21"/>
      <c r="H381" s="21"/>
      <c r="I381" s="21"/>
      <c r="J381" s="21"/>
      <c r="K381" s="21"/>
      <c r="L381" s="21"/>
      <c r="M381" s="21"/>
      <c r="N381" s="21"/>
      <c r="O381" s="21"/>
      <c r="P381" s="21"/>
      <c r="Q381" s="19"/>
      <c r="R381" s="19"/>
      <c r="S381" s="19"/>
      <c r="T381" s="19"/>
      <c r="U381" s="19"/>
      <c r="V381" s="19"/>
      <c r="W381" s="19"/>
      <c r="X381" s="19"/>
      <c r="Y381" s="19"/>
      <c r="Z381" s="19"/>
    </row>
    <row r="382">
      <c r="A382" s="21"/>
      <c r="B382" s="21"/>
      <c r="C382" s="21"/>
      <c r="D382" s="21"/>
      <c r="E382" s="21"/>
      <c r="F382" s="21"/>
      <c r="G382" s="21"/>
      <c r="H382" s="21"/>
      <c r="I382" s="21"/>
      <c r="J382" s="21"/>
      <c r="K382" s="21"/>
      <c r="L382" s="21"/>
      <c r="M382" s="21"/>
      <c r="N382" s="21"/>
      <c r="O382" s="21"/>
      <c r="P382" s="21"/>
      <c r="Q382" s="19"/>
      <c r="R382" s="19"/>
      <c r="S382" s="19"/>
      <c r="T382" s="19"/>
      <c r="U382" s="19"/>
      <c r="V382" s="19"/>
      <c r="W382" s="19"/>
      <c r="X382" s="19"/>
      <c r="Y382" s="19"/>
      <c r="Z382" s="19"/>
    </row>
    <row r="383">
      <c r="A383" s="21"/>
      <c r="B383" s="21"/>
      <c r="C383" s="21"/>
      <c r="D383" s="21"/>
      <c r="E383" s="21"/>
      <c r="F383" s="21"/>
      <c r="G383" s="21"/>
      <c r="H383" s="21"/>
      <c r="I383" s="21"/>
      <c r="J383" s="21"/>
      <c r="K383" s="21"/>
      <c r="L383" s="21"/>
      <c r="M383" s="21"/>
      <c r="N383" s="21"/>
      <c r="O383" s="21"/>
      <c r="P383" s="21"/>
      <c r="Q383" s="19"/>
      <c r="R383" s="19"/>
      <c r="S383" s="19"/>
      <c r="T383" s="19"/>
      <c r="U383" s="19"/>
      <c r="V383" s="19"/>
      <c r="W383" s="19"/>
      <c r="X383" s="19"/>
      <c r="Y383" s="19"/>
      <c r="Z383" s="19"/>
    </row>
    <row r="384">
      <c r="A384" s="21"/>
      <c r="B384" s="21"/>
      <c r="C384" s="21"/>
      <c r="D384" s="21"/>
      <c r="E384" s="21"/>
      <c r="F384" s="21"/>
      <c r="G384" s="21"/>
      <c r="H384" s="21"/>
      <c r="I384" s="21"/>
      <c r="J384" s="21"/>
      <c r="K384" s="21"/>
      <c r="L384" s="21"/>
      <c r="M384" s="21"/>
      <c r="N384" s="21"/>
      <c r="O384" s="21"/>
      <c r="P384" s="21"/>
      <c r="Q384" s="19"/>
      <c r="R384" s="19"/>
      <c r="S384" s="19"/>
      <c r="T384" s="19"/>
      <c r="U384" s="19"/>
      <c r="V384" s="19"/>
      <c r="W384" s="19"/>
      <c r="X384" s="19"/>
      <c r="Y384" s="19"/>
      <c r="Z384" s="19"/>
    </row>
    <row r="385">
      <c r="A385" s="21"/>
      <c r="B385" s="21"/>
      <c r="C385" s="21"/>
      <c r="D385" s="21"/>
      <c r="E385" s="21"/>
      <c r="F385" s="21"/>
      <c r="G385" s="21"/>
      <c r="H385" s="21"/>
      <c r="I385" s="21"/>
      <c r="J385" s="21"/>
      <c r="K385" s="21"/>
      <c r="L385" s="21"/>
      <c r="M385" s="21"/>
      <c r="N385" s="21"/>
      <c r="O385" s="21"/>
      <c r="P385" s="21"/>
      <c r="Q385" s="19"/>
      <c r="R385" s="19"/>
      <c r="S385" s="19"/>
      <c r="T385" s="19"/>
      <c r="U385" s="19"/>
      <c r="V385" s="19"/>
      <c r="W385" s="19"/>
      <c r="X385" s="19"/>
      <c r="Y385" s="19"/>
      <c r="Z385" s="19"/>
    </row>
    <row r="386">
      <c r="A386" s="21"/>
      <c r="B386" s="21"/>
      <c r="C386" s="21"/>
      <c r="D386" s="21"/>
      <c r="E386" s="21"/>
      <c r="F386" s="21"/>
      <c r="G386" s="21"/>
      <c r="H386" s="21"/>
      <c r="I386" s="21"/>
      <c r="J386" s="21"/>
      <c r="K386" s="21"/>
      <c r="L386" s="21"/>
      <c r="M386" s="21"/>
      <c r="N386" s="21"/>
      <c r="O386" s="21"/>
      <c r="P386" s="21"/>
      <c r="Q386" s="19"/>
      <c r="R386" s="19"/>
      <c r="S386" s="19"/>
      <c r="T386" s="19"/>
      <c r="U386" s="19"/>
      <c r="V386" s="19"/>
      <c r="W386" s="19"/>
      <c r="X386" s="19"/>
      <c r="Y386" s="19"/>
      <c r="Z386" s="19"/>
    </row>
    <row r="387">
      <c r="A387" s="21"/>
      <c r="B387" s="21"/>
      <c r="C387" s="21"/>
      <c r="D387" s="21"/>
      <c r="E387" s="21"/>
      <c r="F387" s="21"/>
      <c r="G387" s="21"/>
      <c r="H387" s="21"/>
      <c r="I387" s="21"/>
      <c r="J387" s="21"/>
      <c r="K387" s="21"/>
      <c r="L387" s="21"/>
      <c r="M387" s="21"/>
      <c r="N387" s="21"/>
      <c r="O387" s="21"/>
      <c r="P387" s="21"/>
      <c r="Q387" s="19"/>
      <c r="R387" s="19"/>
      <c r="S387" s="19"/>
      <c r="T387" s="19"/>
      <c r="U387" s="19"/>
      <c r="V387" s="19"/>
      <c r="W387" s="19"/>
      <c r="X387" s="19"/>
      <c r="Y387" s="19"/>
      <c r="Z387" s="19"/>
    </row>
    <row r="388">
      <c r="A388" s="21"/>
      <c r="B388" s="21"/>
      <c r="C388" s="21"/>
      <c r="D388" s="21"/>
      <c r="E388" s="21"/>
      <c r="F388" s="21"/>
      <c r="G388" s="21"/>
      <c r="H388" s="21"/>
      <c r="I388" s="21"/>
      <c r="J388" s="21"/>
      <c r="K388" s="21"/>
      <c r="L388" s="21"/>
      <c r="M388" s="21"/>
      <c r="N388" s="21"/>
      <c r="O388" s="21"/>
      <c r="P388" s="21"/>
      <c r="Q388" s="19"/>
      <c r="R388" s="19"/>
      <c r="S388" s="19"/>
      <c r="T388" s="19"/>
      <c r="U388" s="19"/>
      <c r="V388" s="19"/>
      <c r="W388" s="19"/>
      <c r="X388" s="19"/>
      <c r="Y388" s="19"/>
      <c r="Z388" s="19"/>
    </row>
    <row r="389">
      <c r="A389" s="21"/>
      <c r="B389" s="21"/>
      <c r="C389" s="21"/>
      <c r="D389" s="21"/>
      <c r="E389" s="21"/>
      <c r="F389" s="21"/>
      <c r="G389" s="21"/>
      <c r="H389" s="21"/>
      <c r="I389" s="21"/>
      <c r="J389" s="21"/>
      <c r="K389" s="21"/>
      <c r="L389" s="21"/>
      <c r="M389" s="21"/>
      <c r="N389" s="21"/>
      <c r="O389" s="21"/>
      <c r="P389" s="21"/>
      <c r="Q389" s="19"/>
      <c r="R389" s="19"/>
      <c r="S389" s="19"/>
      <c r="T389" s="19"/>
      <c r="U389" s="19"/>
      <c r="V389" s="19"/>
      <c r="W389" s="19"/>
      <c r="X389" s="19"/>
      <c r="Y389" s="19"/>
      <c r="Z389" s="19"/>
    </row>
    <row r="390">
      <c r="A390" s="21"/>
      <c r="B390" s="21"/>
      <c r="C390" s="21"/>
      <c r="D390" s="21"/>
      <c r="E390" s="21"/>
      <c r="F390" s="21"/>
      <c r="G390" s="21"/>
      <c r="H390" s="21"/>
      <c r="I390" s="21"/>
      <c r="J390" s="21"/>
      <c r="K390" s="21"/>
      <c r="L390" s="21"/>
      <c r="M390" s="21"/>
      <c r="N390" s="21"/>
      <c r="O390" s="21"/>
      <c r="P390" s="21"/>
      <c r="Q390" s="19"/>
      <c r="R390" s="19"/>
      <c r="S390" s="19"/>
      <c r="T390" s="19"/>
      <c r="U390" s="19"/>
      <c r="V390" s="19"/>
      <c r="W390" s="19"/>
      <c r="X390" s="19"/>
      <c r="Y390" s="19"/>
      <c r="Z390" s="19"/>
    </row>
    <row r="391">
      <c r="A391" s="21"/>
      <c r="B391" s="21"/>
      <c r="C391" s="21"/>
      <c r="D391" s="21"/>
      <c r="E391" s="21"/>
      <c r="F391" s="21"/>
      <c r="G391" s="21"/>
      <c r="H391" s="21"/>
      <c r="I391" s="21"/>
      <c r="J391" s="21"/>
      <c r="K391" s="21"/>
      <c r="L391" s="21"/>
      <c r="M391" s="21"/>
      <c r="N391" s="21"/>
      <c r="O391" s="21"/>
      <c r="P391" s="21"/>
      <c r="Q391" s="19"/>
      <c r="R391" s="19"/>
      <c r="S391" s="19"/>
      <c r="T391" s="19"/>
      <c r="U391" s="19"/>
      <c r="V391" s="19"/>
      <c r="W391" s="19"/>
      <c r="X391" s="19"/>
      <c r="Y391" s="19"/>
      <c r="Z391" s="19"/>
    </row>
    <row r="392">
      <c r="A392" s="21"/>
      <c r="B392" s="21"/>
      <c r="C392" s="21"/>
      <c r="D392" s="21"/>
      <c r="E392" s="21"/>
      <c r="F392" s="21"/>
      <c r="G392" s="21"/>
      <c r="H392" s="21"/>
      <c r="I392" s="21"/>
      <c r="J392" s="21"/>
      <c r="K392" s="21"/>
      <c r="L392" s="21"/>
      <c r="M392" s="21"/>
      <c r="N392" s="21"/>
      <c r="O392" s="21"/>
      <c r="P392" s="21"/>
      <c r="Q392" s="19"/>
      <c r="R392" s="19"/>
      <c r="S392" s="19"/>
      <c r="T392" s="19"/>
      <c r="U392" s="19"/>
      <c r="V392" s="19"/>
      <c r="W392" s="19"/>
      <c r="X392" s="19"/>
      <c r="Y392" s="19"/>
      <c r="Z392" s="19"/>
    </row>
    <row r="393">
      <c r="A393" s="21"/>
      <c r="B393" s="21"/>
      <c r="C393" s="21"/>
      <c r="D393" s="21"/>
      <c r="E393" s="21"/>
      <c r="F393" s="21"/>
      <c r="G393" s="21"/>
      <c r="H393" s="21"/>
      <c r="I393" s="21"/>
      <c r="J393" s="21"/>
      <c r="K393" s="21"/>
      <c r="L393" s="21"/>
      <c r="M393" s="21"/>
      <c r="N393" s="21"/>
      <c r="O393" s="21"/>
      <c r="P393" s="21"/>
      <c r="Q393" s="19"/>
      <c r="R393" s="19"/>
      <c r="S393" s="19"/>
      <c r="T393" s="19"/>
      <c r="U393" s="19"/>
      <c r="V393" s="19"/>
      <c r="W393" s="19"/>
      <c r="X393" s="19"/>
      <c r="Y393" s="19"/>
      <c r="Z393" s="19"/>
    </row>
    <row r="394">
      <c r="A394" s="21"/>
      <c r="B394" s="21"/>
      <c r="C394" s="21"/>
      <c r="D394" s="21"/>
      <c r="E394" s="21"/>
      <c r="F394" s="21"/>
      <c r="G394" s="21"/>
      <c r="H394" s="21"/>
      <c r="I394" s="21"/>
      <c r="J394" s="21"/>
      <c r="K394" s="21"/>
      <c r="L394" s="21"/>
      <c r="M394" s="21"/>
      <c r="N394" s="21"/>
      <c r="O394" s="21"/>
      <c r="P394" s="21"/>
      <c r="Q394" s="19"/>
      <c r="R394" s="19"/>
      <c r="S394" s="19"/>
      <c r="T394" s="19"/>
      <c r="U394" s="19"/>
      <c r="V394" s="19"/>
      <c r="W394" s="19"/>
      <c r="X394" s="19"/>
      <c r="Y394" s="19"/>
      <c r="Z394" s="19"/>
    </row>
    <row r="395">
      <c r="A395" s="21"/>
      <c r="B395" s="21"/>
      <c r="C395" s="21"/>
      <c r="D395" s="21"/>
      <c r="E395" s="21"/>
      <c r="F395" s="21"/>
      <c r="G395" s="21"/>
      <c r="H395" s="21"/>
      <c r="I395" s="21"/>
      <c r="J395" s="21"/>
      <c r="K395" s="21"/>
      <c r="L395" s="21"/>
      <c r="M395" s="21"/>
      <c r="N395" s="21"/>
      <c r="O395" s="21"/>
      <c r="P395" s="21"/>
      <c r="Q395" s="19"/>
      <c r="R395" s="19"/>
      <c r="S395" s="19"/>
      <c r="T395" s="19"/>
      <c r="U395" s="19"/>
      <c r="V395" s="19"/>
      <c r="W395" s="19"/>
      <c r="X395" s="19"/>
      <c r="Y395" s="19"/>
      <c r="Z395" s="19"/>
    </row>
    <row r="396">
      <c r="A396" s="21"/>
      <c r="B396" s="21"/>
      <c r="C396" s="21"/>
      <c r="D396" s="21"/>
      <c r="E396" s="21"/>
      <c r="F396" s="21"/>
      <c r="G396" s="21"/>
      <c r="H396" s="21"/>
      <c r="I396" s="21"/>
      <c r="J396" s="21"/>
      <c r="K396" s="21"/>
      <c r="L396" s="21"/>
      <c r="M396" s="21"/>
      <c r="N396" s="21"/>
      <c r="O396" s="21"/>
      <c r="P396" s="21"/>
      <c r="Q396" s="19"/>
      <c r="R396" s="19"/>
      <c r="S396" s="19"/>
      <c r="T396" s="19"/>
      <c r="U396" s="19"/>
      <c r="V396" s="19"/>
      <c r="W396" s="19"/>
      <c r="X396" s="19"/>
      <c r="Y396" s="19"/>
      <c r="Z396" s="19"/>
    </row>
    <row r="397">
      <c r="A397" s="21"/>
      <c r="B397" s="21"/>
      <c r="C397" s="21"/>
      <c r="D397" s="21"/>
      <c r="E397" s="21"/>
      <c r="F397" s="21"/>
      <c r="G397" s="21"/>
      <c r="H397" s="21"/>
      <c r="I397" s="21"/>
      <c r="J397" s="21"/>
      <c r="K397" s="21"/>
      <c r="L397" s="21"/>
      <c r="M397" s="21"/>
      <c r="N397" s="21"/>
      <c r="O397" s="21"/>
      <c r="P397" s="21"/>
      <c r="Q397" s="19"/>
      <c r="R397" s="19"/>
      <c r="S397" s="19"/>
      <c r="T397" s="19"/>
      <c r="U397" s="19"/>
      <c r="V397" s="19"/>
      <c r="W397" s="19"/>
      <c r="X397" s="19"/>
      <c r="Y397" s="19"/>
      <c r="Z397" s="19"/>
    </row>
    <row r="398">
      <c r="A398" s="21"/>
      <c r="B398" s="21"/>
      <c r="C398" s="21"/>
      <c r="D398" s="21"/>
      <c r="E398" s="21"/>
      <c r="F398" s="21"/>
      <c r="G398" s="21"/>
      <c r="H398" s="21"/>
      <c r="I398" s="21"/>
      <c r="J398" s="21"/>
      <c r="K398" s="21"/>
      <c r="L398" s="21"/>
      <c r="M398" s="21"/>
      <c r="N398" s="21"/>
      <c r="O398" s="21"/>
      <c r="P398" s="21"/>
      <c r="Q398" s="19"/>
      <c r="R398" s="19"/>
      <c r="S398" s="19"/>
      <c r="T398" s="19"/>
      <c r="U398" s="19"/>
      <c r="V398" s="19"/>
      <c r="W398" s="19"/>
      <c r="X398" s="19"/>
      <c r="Y398" s="19"/>
      <c r="Z398" s="19"/>
    </row>
    <row r="399">
      <c r="A399" s="21"/>
      <c r="B399" s="21"/>
      <c r="C399" s="21"/>
      <c r="D399" s="21"/>
      <c r="E399" s="21"/>
      <c r="F399" s="21"/>
      <c r="G399" s="21"/>
      <c r="H399" s="21"/>
      <c r="I399" s="21"/>
      <c r="J399" s="21"/>
      <c r="K399" s="21"/>
      <c r="L399" s="21"/>
      <c r="M399" s="21"/>
      <c r="N399" s="21"/>
      <c r="O399" s="21"/>
      <c r="P399" s="21"/>
      <c r="Q399" s="19"/>
      <c r="R399" s="19"/>
      <c r="S399" s="19"/>
      <c r="T399" s="19"/>
      <c r="U399" s="19"/>
      <c r="V399" s="19"/>
      <c r="W399" s="19"/>
      <c r="X399" s="19"/>
      <c r="Y399" s="19"/>
      <c r="Z399" s="19"/>
    </row>
    <row r="400">
      <c r="A400" s="21"/>
      <c r="B400" s="21"/>
      <c r="C400" s="21"/>
      <c r="D400" s="21"/>
      <c r="E400" s="21"/>
      <c r="F400" s="21"/>
      <c r="G400" s="21"/>
      <c r="H400" s="21"/>
      <c r="I400" s="21"/>
      <c r="J400" s="21"/>
      <c r="K400" s="21"/>
      <c r="L400" s="21"/>
      <c r="M400" s="21"/>
      <c r="N400" s="21"/>
      <c r="O400" s="21"/>
      <c r="P400" s="21"/>
      <c r="Q400" s="19"/>
      <c r="R400" s="19"/>
      <c r="S400" s="19"/>
      <c r="T400" s="19"/>
      <c r="U400" s="19"/>
      <c r="V400" s="19"/>
      <c r="W400" s="19"/>
      <c r="X400" s="19"/>
      <c r="Y400" s="19"/>
      <c r="Z400" s="19"/>
    </row>
    <row r="401">
      <c r="A401" s="21"/>
      <c r="B401" s="21"/>
      <c r="C401" s="21"/>
      <c r="D401" s="21"/>
      <c r="E401" s="21"/>
      <c r="F401" s="21"/>
      <c r="G401" s="21"/>
      <c r="H401" s="21"/>
      <c r="I401" s="21"/>
      <c r="J401" s="21"/>
      <c r="K401" s="21"/>
      <c r="L401" s="21"/>
      <c r="M401" s="21"/>
      <c r="N401" s="21"/>
      <c r="O401" s="21"/>
      <c r="P401" s="21"/>
      <c r="Q401" s="19"/>
      <c r="R401" s="19"/>
      <c r="S401" s="19"/>
      <c r="T401" s="19"/>
      <c r="U401" s="19"/>
      <c r="V401" s="19"/>
      <c r="W401" s="19"/>
      <c r="X401" s="19"/>
      <c r="Y401" s="19"/>
      <c r="Z401" s="19"/>
    </row>
    <row r="402">
      <c r="A402" s="21"/>
      <c r="B402" s="21"/>
      <c r="C402" s="21"/>
      <c r="D402" s="21"/>
      <c r="E402" s="21"/>
      <c r="F402" s="21"/>
      <c r="G402" s="21"/>
      <c r="H402" s="21"/>
      <c r="I402" s="21"/>
      <c r="J402" s="21"/>
      <c r="K402" s="21"/>
      <c r="L402" s="21"/>
      <c r="M402" s="21"/>
      <c r="N402" s="21"/>
      <c r="O402" s="21"/>
      <c r="P402" s="21"/>
      <c r="Q402" s="19"/>
      <c r="R402" s="19"/>
      <c r="S402" s="19"/>
      <c r="T402" s="19"/>
      <c r="U402" s="19"/>
      <c r="V402" s="19"/>
      <c r="W402" s="19"/>
      <c r="X402" s="19"/>
      <c r="Y402" s="19"/>
      <c r="Z402" s="19"/>
    </row>
    <row r="403">
      <c r="A403" s="21"/>
      <c r="B403" s="21"/>
      <c r="C403" s="21"/>
      <c r="D403" s="21"/>
      <c r="E403" s="21"/>
      <c r="F403" s="21"/>
      <c r="G403" s="21"/>
      <c r="H403" s="21"/>
      <c r="I403" s="21"/>
      <c r="J403" s="21"/>
      <c r="K403" s="21"/>
      <c r="L403" s="21"/>
      <c r="M403" s="21"/>
      <c r="N403" s="21"/>
      <c r="O403" s="21"/>
      <c r="P403" s="21"/>
      <c r="Q403" s="19"/>
      <c r="R403" s="19"/>
      <c r="S403" s="19"/>
      <c r="T403" s="19"/>
      <c r="U403" s="19"/>
      <c r="V403" s="19"/>
      <c r="W403" s="19"/>
      <c r="X403" s="19"/>
      <c r="Y403" s="19"/>
      <c r="Z403" s="19"/>
    </row>
    <row r="404">
      <c r="A404" s="21"/>
      <c r="B404" s="21"/>
      <c r="C404" s="21"/>
      <c r="D404" s="21"/>
      <c r="E404" s="21"/>
      <c r="F404" s="21"/>
      <c r="G404" s="21"/>
      <c r="H404" s="21"/>
      <c r="I404" s="21"/>
      <c r="J404" s="21"/>
      <c r="K404" s="21"/>
      <c r="L404" s="21"/>
      <c r="M404" s="21"/>
      <c r="N404" s="21"/>
      <c r="O404" s="21"/>
      <c r="P404" s="21"/>
      <c r="Q404" s="19"/>
      <c r="R404" s="19"/>
      <c r="S404" s="19"/>
      <c r="T404" s="19"/>
      <c r="U404" s="19"/>
      <c r="V404" s="19"/>
      <c r="W404" s="19"/>
      <c r="X404" s="19"/>
      <c r="Y404" s="19"/>
      <c r="Z404" s="19"/>
    </row>
    <row r="405">
      <c r="A405" s="21"/>
      <c r="B405" s="21"/>
      <c r="C405" s="21"/>
      <c r="D405" s="21"/>
      <c r="E405" s="21"/>
      <c r="F405" s="21"/>
      <c r="G405" s="21"/>
      <c r="H405" s="21"/>
      <c r="I405" s="21"/>
      <c r="J405" s="21"/>
      <c r="K405" s="21"/>
      <c r="L405" s="21"/>
      <c r="M405" s="21"/>
      <c r="N405" s="21"/>
      <c r="O405" s="21"/>
      <c r="P405" s="21"/>
      <c r="Q405" s="19"/>
      <c r="R405" s="19"/>
      <c r="S405" s="19"/>
      <c r="T405" s="19"/>
      <c r="U405" s="19"/>
      <c r="V405" s="19"/>
      <c r="W405" s="19"/>
      <c r="X405" s="19"/>
      <c r="Y405" s="19"/>
      <c r="Z405" s="19"/>
    </row>
    <row r="406">
      <c r="A406" s="21"/>
      <c r="B406" s="21"/>
      <c r="C406" s="21"/>
      <c r="D406" s="21"/>
      <c r="E406" s="21"/>
      <c r="F406" s="21"/>
      <c r="G406" s="21"/>
      <c r="H406" s="21"/>
      <c r="I406" s="21"/>
      <c r="J406" s="21"/>
      <c r="K406" s="21"/>
      <c r="L406" s="21"/>
      <c r="M406" s="21"/>
      <c r="N406" s="21"/>
      <c r="O406" s="21"/>
      <c r="P406" s="21"/>
      <c r="Q406" s="19"/>
      <c r="R406" s="19"/>
      <c r="S406" s="19"/>
      <c r="T406" s="19"/>
      <c r="U406" s="19"/>
      <c r="V406" s="19"/>
      <c r="W406" s="19"/>
      <c r="X406" s="19"/>
      <c r="Y406" s="19"/>
      <c r="Z406" s="19"/>
    </row>
    <row r="407">
      <c r="A407" s="21"/>
      <c r="B407" s="21"/>
      <c r="C407" s="21"/>
      <c r="D407" s="21"/>
      <c r="E407" s="21"/>
      <c r="F407" s="21"/>
      <c r="G407" s="21"/>
      <c r="H407" s="21"/>
      <c r="I407" s="21"/>
      <c r="J407" s="21"/>
      <c r="K407" s="21"/>
      <c r="L407" s="21"/>
      <c r="M407" s="21"/>
      <c r="N407" s="21"/>
      <c r="O407" s="21"/>
      <c r="P407" s="21"/>
      <c r="Q407" s="19"/>
      <c r="R407" s="19"/>
      <c r="S407" s="19"/>
      <c r="T407" s="19"/>
      <c r="U407" s="19"/>
      <c r="V407" s="19"/>
      <c r="W407" s="19"/>
      <c r="X407" s="19"/>
      <c r="Y407" s="19"/>
      <c r="Z407" s="19"/>
    </row>
    <row r="408">
      <c r="A408" s="21"/>
      <c r="B408" s="21"/>
      <c r="C408" s="21"/>
      <c r="D408" s="21"/>
      <c r="E408" s="21"/>
      <c r="F408" s="21"/>
      <c r="G408" s="21"/>
      <c r="H408" s="21"/>
      <c r="I408" s="21"/>
      <c r="J408" s="21"/>
      <c r="K408" s="21"/>
      <c r="L408" s="21"/>
      <c r="M408" s="21"/>
      <c r="N408" s="21"/>
      <c r="O408" s="21"/>
      <c r="P408" s="21"/>
      <c r="Q408" s="19"/>
      <c r="R408" s="19"/>
      <c r="S408" s="19"/>
      <c r="T408" s="19"/>
      <c r="U408" s="19"/>
      <c r="V408" s="19"/>
      <c r="W408" s="19"/>
      <c r="X408" s="19"/>
      <c r="Y408" s="19"/>
      <c r="Z408" s="19"/>
    </row>
    <row r="409">
      <c r="A409" s="21"/>
      <c r="B409" s="21"/>
      <c r="C409" s="21"/>
      <c r="D409" s="21"/>
      <c r="E409" s="21"/>
      <c r="F409" s="21"/>
      <c r="G409" s="21"/>
      <c r="H409" s="21"/>
      <c r="I409" s="21"/>
      <c r="J409" s="21"/>
      <c r="K409" s="21"/>
      <c r="L409" s="21"/>
      <c r="M409" s="21"/>
      <c r="N409" s="21"/>
      <c r="O409" s="21"/>
      <c r="P409" s="21"/>
      <c r="Q409" s="19"/>
      <c r="R409" s="19"/>
      <c r="S409" s="19"/>
      <c r="T409" s="19"/>
      <c r="U409" s="19"/>
      <c r="V409" s="19"/>
      <c r="W409" s="19"/>
      <c r="X409" s="19"/>
      <c r="Y409" s="19"/>
      <c r="Z409" s="19"/>
    </row>
    <row r="410">
      <c r="A410" s="21"/>
      <c r="B410" s="21"/>
      <c r="C410" s="21"/>
      <c r="D410" s="21"/>
      <c r="E410" s="21"/>
      <c r="F410" s="21"/>
      <c r="G410" s="21"/>
      <c r="H410" s="21"/>
      <c r="I410" s="21"/>
      <c r="J410" s="21"/>
      <c r="K410" s="21"/>
      <c r="L410" s="21"/>
      <c r="M410" s="21"/>
      <c r="N410" s="21"/>
      <c r="O410" s="21"/>
      <c r="P410" s="21"/>
      <c r="Q410" s="19"/>
      <c r="R410" s="19"/>
      <c r="S410" s="19"/>
      <c r="T410" s="19"/>
      <c r="U410" s="19"/>
      <c r="V410" s="19"/>
      <c r="W410" s="19"/>
      <c r="X410" s="19"/>
      <c r="Y410" s="19"/>
      <c r="Z410" s="19"/>
    </row>
    <row r="411">
      <c r="A411" s="21"/>
      <c r="B411" s="21"/>
      <c r="C411" s="21"/>
      <c r="D411" s="21"/>
      <c r="E411" s="21"/>
      <c r="F411" s="21"/>
      <c r="G411" s="21"/>
      <c r="H411" s="21"/>
      <c r="I411" s="21"/>
      <c r="J411" s="21"/>
      <c r="K411" s="21"/>
      <c r="L411" s="21"/>
      <c r="M411" s="21"/>
      <c r="N411" s="21"/>
      <c r="O411" s="21"/>
      <c r="P411" s="21"/>
      <c r="Q411" s="19"/>
      <c r="R411" s="19"/>
      <c r="S411" s="19"/>
      <c r="T411" s="19"/>
      <c r="U411" s="19"/>
      <c r="V411" s="19"/>
      <c r="W411" s="19"/>
      <c r="X411" s="19"/>
      <c r="Y411" s="19"/>
      <c r="Z411" s="19"/>
    </row>
    <row r="412">
      <c r="A412" s="21"/>
      <c r="B412" s="21"/>
      <c r="C412" s="21"/>
      <c r="D412" s="21"/>
      <c r="E412" s="21"/>
      <c r="F412" s="21"/>
      <c r="G412" s="21"/>
      <c r="H412" s="21"/>
      <c r="I412" s="21"/>
      <c r="J412" s="21"/>
      <c r="K412" s="21"/>
      <c r="L412" s="21"/>
      <c r="M412" s="21"/>
      <c r="N412" s="21"/>
      <c r="O412" s="21"/>
      <c r="P412" s="21"/>
      <c r="Q412" s="19"/>
      <c r="R412" s="19"/>
      <c r="S412" s="19"/>
      <c r="T412" s="19"/>
      <c r="U412" s="19"/>
      <c r="V412" s="19"/>
      <c r="W412" s="19"/>
      <c r="X412" s="19"/>
      <c r="Y412" s="19"/>
      <c r="Z412" s="19"/>
    </row>
    <row r="413">
      <c r="A413" s="21"/>
      <c r="B413" s="21"/>
      <c r="C413" s="21"/>
      <c r="D413" s="21"/>
      <c r="E413" s="21"/>
      <c r="F413" s="21"/>
      <c r="G413" s="21"/>
      <c r="H413" s="21"/>
      <c r="I413" s="21"/>
      <c r="J413" s="21"/>
      <c r="K413" s="21"/>
      <c r="L413" s="21"/>
      <c r="M413" s="21"/>
      <c r="N413" s="21"/>
      <c r="O413" s="21"/>
      <c r="P413" s="21"/>
      <c r="Q413" s="19"/>
      <c r="R413" s="19"/>
      <c r="S413" s="19"/>
      <c r="T413" s="19"/>
      <c r="U413" s="19"/>
      <c r="V413" s="19"/>
      <c r="W413" s="19"/>
      <c r="X413" s="19"/>
      <c r="Y413" s="19"/>
      <c r="Z413" s="19"/>
    </row>
    <row r="414">
      <c r="A414" s="21"/>
      <c r="B414" s="21"/>
      <c r="C414" s="21"/>
      <c r="D414" s="21"/>
      <c r="E414" s="21"/>
      <c r="F414" s="21"/>
      <c r="G414" s="21"/>
      <c r="H414" s="21"/>
      <c r="I414" s="21"/>
      <c r="J414" s="21"/>
      <c r="K414" s="21"/>
      <c r="L414" s="21"/>
      <c r="M414" s="21"/>
      <c r="N414" s="21"/>
      <c r="O414" s="21"/>
      <c r="P414" s="21"/>
      <c r="Q414" s="19"/>
      <c r="R414" s="19"/>
      <c r="S414" s="19"/>
      <c r="T414" s="19"/>
      <c r="U414" s="19"/>
      <c r="V414" s="19"/>
      <c r="W414" s="19"/>
      <c r="X414" s="19"/>
      <c r="Y414" s="19"/>
      <c r="Z414" s="19"/>
    </row>
    <row r="415">
      <c r="A415" s="21"/>
      <c r="B415" s="21"/>
      <c r="C415" s="21"/>
      <c r="D415" s="21"/>
      <c r="E415" s="21"/>
      <c r="F415" s="21"/>
      <c r="G415" s="21"/>
      <c r="H415" s="21"/>
      <c r="I415" s="21"/>
      <c r="J415" s="21"/>
      <c r="K415" s="21"/>
      <c r="L415" s="21"/>
      <c r="M415" s="21"/>
      <c r="N415" s="21"/>
      <c r="O415" s="21"/>
      <c r="P415" s="21"/>
      <c r="Q415" s="19"/>
      <c r="R415" s="19"/>
      <c r="S415" s="19"/>
      <c r="T415" s="19"/>
      <c r="U415" s="19"/>
      <c r="V415" s="19"/>
      <c r="W415" s="19"/>
      <c r="X415" s="19"/>
      <c r="Y415" s="19"/>
      <c r="Z415" s="19"/>
    </row>
    <row r="416">
      <c r="A416" s="21"/>
      <c r="B416" s="21"/>
      <c r="C416" s="21"/>
      <c r="D416" s="21"/>
      <c r="E416" s="21"/>
      <c r="F416" s="21"/>
      <c r="G416" s="21"/>
      <c r="H416" s="21"/>
      <c r="I416" s="21"/>
      <c r="J416" s="21"/>
      <c r="K416" s="21"/>
      <c r="L416" s="21"/>
      <c r="M416" s="21"/>
      <c r="N416" s="21"/>
      <c r="O416" s="21"/>
      <c r="P416" s="21"/>
      <c r="Q416" s="19"/>
      <c r="R416" s="19"/>
      <c r="S416" s="19"/>
      <c r="T416" s="19"/>
      <c r="U416" s="19"/>
      <c r="V416" s="19"/>
      <c r="W416" s="19"/>
      <c r="X416" s="19"/>
      <c r="Y416" s="19"/>
      <c r="Z416" s="19"/>
    </row>
    <row r="417">
      <c r="A417" s="21"/>
      <c r="B417" s="21"/>
      <c r="C417" s="21"/>
      <c r="D417" s="21"/>
      <c r="E417" s="21"/>
      <c r="F417" s="21"/>
      <c r="G417" s="21"/>
      <c r="H417" s="21"/>
      <c r="I417" s="21"/>
      <c r="J417" s="21"/>
      <c r="K417" s="21"/>
      <c r="L417" s="21"/>
      <c r="M417" s="21"/>
      <c r="N417" s="21"/>
      <c r="O417" s="21"/>
      <c r="P417" s="21"/>
      <c r="Q417" s="19"/>
      <c r="R417" s="19"/>
      <c r="S417" s="19"/>
      <c r="T417" s="19"/>
      <c r="U417" s="19"/>
      <c r="V417" s="19"/>
      <c r="W417" s="19"/>
      <c r="X417" s="19"/>
      <c r="Y417" s="19"/>
      <c r="Z417" s="19"/>
    </row>
    <row r="418">
      <c r="A418" s="21"/>
      <c r="B418" s="21"/>
      <c r="C418" s="21"/>
      <c r="D418" s="21"/>
      <c r="E418" s="21"/>
      <c r="F418" s="21"/>
      <c r="G418" s="21"/>
      <c r="H418" s="21"/>
      <c r="I418" s="21"/>
      <c r="J418" s="21"/>
      <c r="K418" s="21"/>
      <c r="L418" s="21"/>
      <c r="M418" s="21"/>
      <c r="N418" s="21"/>
      <c r="O418" s="21"/>
      <c r="P418" s="21"/>
      <c r="Q418" s="19"/>
      <c r="R418" s="19"/>
      <c r="S418" s="19"/>
      <c r="T418" s="19"/>
      <c r="U418" s="19"/>
      <c r="V418" s="19"/>
      <c r="W418" s="19"/>
      <c r="X418" s="19"/>
      <c r="Y418" s="19"/>
      <c r="Z418" s="19"/>
    </row>
    <row r="419">
      <c r="A419" s="21"/>
      <c r="B419" s="21"/>
      <c r="C419" s="21"/>
      <c r="D419" s="21"/>
      <c r="E419" s="21"/>
      <c r="F419" s="21"/>
      <c r="G419" s="21"/>
      <c r="H419" s="21"/>
      <c r="I419" s="21"/>
      <c r="J419" s="21"/>
      <c r="K419" s="21"/>
      <c r="L419" s="21"/>
      <c r="M419" s="21"/>
      <c r="N419" s="21"/>
      <c r="O419" s="21"/>
      <c r="P419" s="21"/>
      <c r="Q419" s="19"/>
      <c r="R419" s="19"/>
      <c r="S419" s="19"/>
      <c r="T419" s="19"/>
      <c r="U419" s="19"/>
      <c r="V419" s="19"/>
      <c r="W419" s="19"/>
      <c r="X419" s="19"/>
      <c r="Y419" s="19"/>
      <c r="Z419" s="19"/>
    </row>
    <row r="420">
      <c r="A420" s="21"/>
      <c r="B420" s="21"/>
      <c r="C420" s="21"/>
      <c r="D420" s="21"/>
      <c r="E420" s="21"/>
      <c r="F420" s="21"/>
      <c r="G420" s="21"/>
      <c r="H420" s="21"/>
      <c r="I420" s="21"/>
      <c r="J420" s="21"/>
      <c r="K420" s="21"/>
      <c r="L420" s="21"/>
      <c r="M420" s="21"/>
      <c r="N420" s="21"/>
      <c r="O420" s="21"/>
      <c r="P420" s="21"/>
      <c r="Q420" s="19"/>
      <c r="R420" s="19"/>
      <c r="S420" s="19"/>
      <c r="T420" s="19"/>
      <c r="U420" s="19"/>
      <c r="V420" s="19"/>
      <c r="W420" s="19"/>
      <c r="X420" s="19"/>
      <c r="Y420" s="19"/>
      <c r="Z420" s="19"/>
    </row>
    <row r="421">
      <c r="A421" s="21"/>
      <c r="B421" s="21"/>
      <c r="C421" s="21"/>
      <c r="D421" s="21"/>
      <c r="E421" s="21"/>
      <c r="F421" s="21"/>
      <c r="G421" s="21"/>
      <c r="H421" s="21"/>
      <c r="I421" s="21"/>
      <c r="J421" s="21"/>
      <c r="K421" s="21"/>
      <c r="L421" s="21"/>
      <c r="M421" s="21"/>
      <c r="N421" s="21"/>
      <c r="O421" s="21"/>
      <c r="P421" s="21"/>
      <c r="Q421" s="19"/>
      <c r="R421" s="19"/>
      <c r="S421" s="19"/>
      <c r="T421" s="19"/>
      <c r="U421" s="19"/>
      <c r="V421" s="19"/>
      <c r="W421" s="19"/>
      <c r="X421" s="19"/>
      <c r="Y421" s="19"/>
      <c r="Z421" s="19"/>
    </row>
    <row r="422">
      <c r="A422" s="21"/>
      <c r="B422" s="21"/>
      <c r="C422" s="21"/>
      <c r="D422" s="21"/>
      <c r="E422" s="21"/>
      <c r="F422" s="21"/>
      <c r="G422" s="21"/>
      <c r="H422" s="21"/>
      <c r="I422" s="21"/>
      <c r="J422" s="21"/>
      <c r="K422" s="21"/>
      <c r="L422" s="21"/>
      <c r="M422" s="21"/>
      <c r="N422" s="21"/>
      <c r="O422" s="21"/>
      <c r="P422" s="21"/>
      <c r="Q422" s="19"/>
      <c r="R422" s="19"/>
      <c r="S422" s="19"/>
      <c r="T422" s="19"/>
      <c r="U422" s="19"/>
      <c r="V422" s="19"/>
      <c r="W422" s="19"/>
      <c r="X422" s="19"/>
      <c r="Y422" s="19"/>
      <c r="Z422" s="19"/>
    </row>
    <row r="423">
      <c r="A423" s="21"/>
      <c r="B423" s="21"/>
      <c r="C423" s="21"/>
      <c r="D423" s="21"/>
      <c r="E423" s="21"/>
      <c r="F423" s="21"/>
      <c r="G423" s="21"/>
      <c r="H423" s="21"/>
      <c r="I423" s="21"/>
      <c r="J423" s="21"/>
      <c r="K423" s="21"/>
      <c r="L423" s="21"/>
      <c r="M423" s="21"/>
      <c r="N423" s="21"/>
      <c r="O423" s="21"/>
      <c r="P423" s="21"/>
      <c r="Q423" s="19"/>
      <c r="R423" s="19"/>
      <c r="S423" s="19"/>
      <c r="T423" s="19"/>
      <c r="U423" s="19"/>
      <c r="V423" s="19"/>
      <c r="W423" s="19"/>
      <c r="X423" s="19"/>
      <c r="Y423" s="19"/>
      <c r="Z423" s="19"/>
    </row>
    <row r="424">
      <c r="A424" s="21"/>
      <c r="B424" s="21"/>
      <c r="C424" s="21"/>
      <c r="D424" s="21"/>
      <c r="E424" s="21"/>
      <c r="F424" s="21"/>
      <c r="G424" s="21"/>
      <c r="H424" s="21"/>
      <c r="I424" s="21"/>
      <c r="J424" s="21"/>
      <c r="K424" s="21"/>
      <c r="L424" s="21"/>
      <c r="M424" s="21"/>
      <c r="N424" s="21"/>
      <c r="O424" s="21"/>
      <c r="P424" s="21"/>
      <c r="Q424" s="19"/>
      <c r="R424" s="19"/>
      <c r="S424" s="19"/>
      <c r="T424" s="19"/>
      <c r="U424" s="19"/>
      <c r="V424" s="19"/>
      <c r="W424" s="19"/>
      <c r="X424" s="19"/>
      <c r="Y424" s="19"/>
      <c r="Z424" s="19"/>
    </row>
    <row r="425">
      <c r="A425" s="21"/>
      <c r="B425" s="21"/>
      <c r="C425" s="21"/>
      <c r="D425" s="21"/>
      <c r="E425" s="21"/>
      <c r="F425" s="21"/>
      <c r="G425" s="21"/>
      <c r="H425" s="21"/>
      <c r="I425" s="21"/>
      <c r="J425" s="21"/>
      <c r="K425" s="21"/>
      <c r="L425" s="21"/>
      <c r="M425" s="21"/>
      <c r="N425" s="21"/>
      <c r="O425" s="21"/>
      <c r="P425" s="21"/>
      <c r="Q425" s="19"/>
      <c r="R425" s="19"/>
      <c r="S425" s="19"/>
      <c r="T425" s="19"/>
      <c r="U425" s="19"/>
      <c r="V425" s="19"/>
      <c r="W425" s="19"/>
      <c r="X425" s="19"/>
      <c r="Y425" s="19"/>
      <c r="Z425" s="19"/>
    </row>
    <row r="426">
      <c r="A426" s="21"/>
      <c r="B426" s="21"/>
      <c r="C426" s="21"/>
      <c r="D426" s="21"/>
      <c r="E426" s="21"/>
      <c r="F426" s="21"/>
      <c r="G426" s="21"/>
      <c r="H426" s="21"/>
      <c r="I426" s="21"/>
      <c r="J426" s="21"/>
      <c r="K426" s="21"/>
      <c r="L426" s="21"/>
      <c r="M426" s="21"/>
      <c r="N426" s="21"/>
      <c r="O426" s="21"/>
      <c r="P426" s="21"/>
      <c r="Q426" s="19"/>
      <c r="R426" s="19"/>
      <c r="S426" s="19"/>
      <c r="T426" s="19"/>
      <c r="U426" s="19"/>
      <c r="V426" s="19"/>
      <c r="W426" s="19"/>
      <c r="X426" s="19"/>
      <c r="Y426" s="19"/>
      <c r="Z426" s="19"/>
    </row>
    <row r="427">
      <c r="A427" s="21"/>
      <c r="B427" s="21"/>
      <c r="C427" s="21"/>
      <c r="D427" s="21"/>
      <c r="E427" s="21"/>
      <c r="F427" s="21"/>
      <c r="G427" s="21"/>
      <c r="H427" s="21"/>
      <c r="I427" s="21"/>
      <c r="J427" s="21"/>
      <c r="K427" s="21"/>
      <c r="L427" s="21"/>
      <c r="M427" s="21"/>
      <c r="N427" s="21"/>
      <c r="O427" s="21"/>
      <c r="P427" s="21"/>
      <c r="Q427" s="19"/>
      <c r="R427" s="19"/>
      <c r="S427" s="19"/>
      <c r="T427" s="19"/>
      <c r="U427" s="19"/>
      <c r="V427" s="19"/>
      <c r="W427" s="19"/>
      <c r="X427" s="19"/>
      <c r="Y427" s="19"/>
      <c r="Z427" s="19"/>
    </row>
    <row r="428">
      <c r="A428" s="21"/>
      <c r="B428" s="21"/>
      <c r="C428" s="21"/>
      <c r="D428" s="21"/>
      <c r="E428" s="21"/>
      <c r="F428" s="21"/>
      <c r="G428" s="21"/>
      <c r="H428" s="21"/>
      <c r="I428" s="21"/>
      <c r="J428" s="21"/>
      <c r="K428" s="21"/>
      <c r="L428" s="21"/>
      <c r="M428" s="21"/>
      <c r="N428" s="21"/>
      <c r="O428" s="21"/>
      <c r="P428" s="21"/>
      <c r="Q428" s="19"/>
      <c r="R428" s="19"/>
      <c r="S428" s="19"/>
      <c r="T428" s="19"/>
      <c r="U428" s="19"/>
      <c r="V428" s="19"/>
      <c r="W428" s="19"/>
      <c r="X428" s="19"/>
      <c r="Y428" s="19"/>
      <c r="Z428" s="19"/>
    </row>
    <row r="429">
      <c r="A429" s="21"/>
      <c r="B429" s="21"/>
      <c r="C429" s="21"/>
      <c r="D429" s="21"/>
      <c r="E429" s="21"/>
      <c r="F429" s="21"/>
      <c r="G429" s="21"/>
      <c r="H429" s="21"/>
      <c r="I429" s="21"/>
      <c r="J429" s="21"/>
      <c r="K429" s="21"/>
      <c r="L429" s="21"/>
      <c r="M429" s="21"/>
      <c r="N429" s="21"/>
      <c r="O429" s="21"/>
      <c r="P429" s="21"/>
      <c r="Q429" s="19"/>
      <c r="R429" s="19"/>
      <c r="S429" s="19"/>
      <c r="T429" s="19"/>
      <c r="U429" s="19"/>
      <c r="V429" s="19"/>
      <c r="W429" s="19"/>
      <c r="X429" s="19"/>
      <c r="Y429" s="19"/>
      <c r="Z429" s="19"/>
    </row>
    <row r="430">
      <c r="A430" s="21"/>
      <c r="B430" s="21"/>
      <c r="C430" s="21"/>
      <c r="D430" s="21"/>
      <c r="E430" s="21"/>
      <c r="F430" s="21"/>
      <c r="G430" s="21"/>
      <c r="H430" s="21"/>
      <c r="I430" s="21"/>
      <c r="J430" s="21"/>
      <c r="K430" s="21"/>
      <c r="L430" s="21"/>
      <c r="M430" s="21"/>
      <c r="N430" s="21"/>
      <c r="O430" s="21"/>
      <c r="P430" s="21"/>
      <c r="Q430" s="19"/>
      <c r="R430" s="19"/>
      <c r="S430" s="19"/>
      <c r="T430" s="19"/>
      <c r="U430" s="19"/>
      <c r="V430" s="19"/>
      <c r="W430" s="19"/>
      <c r="X430" s="19"/>
      <c r="Y430" s="19"/>
      <c r="Z430" s="19"/>
    </row>
    <row r="431">
      <c r="A431" s="21"/>
      <c r="B431" s="21"/>
      <c r="C431" s="21"/>
      <c r="D431" s="21"/>
      <c r="E431" s="21"/>
      <c r="F431" s="21"/>
      <c r="G431" s="21"/>
      <c r="H431" s="21"/>
      <c r="I431" s="21"/>
      <c r="J431" s="21"/>
      <c r="K431" s="21"/>
      <c r="L431" s="21"/>
      <c r="M431" s="21"/>
      <c r="N431" s="21"/>
      <c r="O431" s="21"/>
      <c r="P431" s="21"/>
      <c r="Q431" s="19"/>
      <c r="R431" s="19"/>
      <c r="S431" s="19"/>
      <c r="T431" s="19"/>
      <c r="U431" s="19"/>
      <c r="V431" s="19"/>
      <c r="W431" s="19"/>
      <c r="X431" s="19"/>
      <c r="Y431" s="19"/>
      <c r="Z431" s="19"/>
    </row>
    <row r="432">
      <c r="A432" s="21"/>
      <c r="B432" s="21"/>
      <c r="C432" s="21"/>
      <c r="D432" s="21"/>
      <c r="E432" s="21"/>
      <c r="F432" s="21"/>
      <c r="G432" s="21"/>
      <c r="H432" s="21"/>
      <c r="I432" s="21"/>
      <c r="J432" s="21"/>
      <c r="K432" s="21"/>
      <c r="L432" s="21"/>
      <c r="M432" s="21"/>
      <c r="N432" s="21"/>
      <c r="O432" s="21"/>
      <c r="P432" s="21"/>
      <c r="Q432" s="19"/>
      <c r="R432" s="19"/>
      <c r="S432" s="19"/>
      <c r="T432" s="19"/>
      <c r="U432" s="19"/>
      <c r="V432" s="19"/>
      <c r="W432" s="19"/>
      <c r="X432" s="19"/>
      <c r="Y432" s="19"/>
      <c r="Z432" s="19"/>
    </row>
    <row r="433">
      <c r="A433" s="21"/>
      <c r="B433" s="21"/>
      <c r="C433" s="21"/>
      <c r="D433" s="21"/>
      <c r="E433" s="21"/>
      <c r="F433" s="21"/>
      <c r="G433" s="21"/>
      <c r="H433" s="21"/>
      <c r="I433" s="21"/>
      <c r="J433" s="21"/>
      <c r="K433" s="21"/>
      <c r="L433" s="21"/>
      <c r="M433" s="21"/>
      <c r="N433" s="21"/>
      <c r="O433" s="21"/>
      <c r="P433" s="21"/>
      <c r="Q433" s="19"/>
      <c r="R433" s="19"/>
      <c r="S433" s="19"/>
      <c r="T433" s="19"/>
      <c r="U433" s="19"/>
      <c r="V433" s="19"/>
      <c r="W433" s="19"/>
      <c r="X433" s="19"/>
      <c r="Y433" s="19"/>
      <c r="Z433" s="19"/>
    </row>
    <row r="434">
      <c r="A434" s="21"/>
      <c r="B434" s="21"/>
      <c r="C434" s="21"/>
      <c r="D434" s="21"/>
      <c r="E434" s="21"/>
      <c r="F434" s="21"/>
      <c r="G434" s="21"/>
      <c r="H434" s="21"/>
      <c r="I434" s="21"/>
      <c r="J434" s="21"/>
      <c r="K434" s="21"/>
      <c r="L434" s="21"/>
      <c r="M434" s="21"/>
      <c r="N434" s="21"/>
      <c r="O434" s="21"/>
      <c r="P434" s="21"/>
      <c r="Q434" s="19"/>
      <c r="R434" s="19"/>
      <c r="S434" s="19"/>
      <c r="T434" s="19"/>
      <c r="U434" s="19"/>
      <c r="V434" s="19"/>
      <c r="W434" s="19"/>
      <c r="X434" s="19"/>
      <c r="Y434" s="19"/>
      <c r="Z434" s="19"/>
    </row>
    <row r="435">
      <c r="A435" s="21"/>
      <c r="B435" s="21"/>
      <c r="C435" s="21"/>
      <c r="D435" s="21"/>
      <c r="E435" s="21"/>
      <c r="F435" s="21"/>
      <c r="G435" s="21"/>
      <c r="H435" s="21"/>
      <c r="I435" s="21"/>
      <c r="J435" s="21"/>
      <c r="K435" s="21"/>
      <c r="L435" s="21"/>
      <c r="M435" s="21"/>
      <c r="N435" s="21"/>
      <c r="O435" s="21"/>
      <c r="P435" s="21"/>
      <c r="Q435" s="19"/>
      <c r="R435" s="19"/>
      <c r="S435" s="19"/>
      <c r="T435" s="19"/>
      <c r="U435" s="19"/>
      <c r="V435" s="19"/>
      <c r="W435" s="19"/>
      <c r="X435" s="19"/>
      <c r="Y435" s="19"/>
      <c r="Z435" s="19"/>
    </row>
    <row r="436">
      <c r="A436" s="21"/>
      <c r="B436" s="21"/>
      <c r="C436" s="21"/>
      <c r="D436" s="21"/>
      <c r="E436" s="21"/>
      <c r="F436" s="21"/>
      <c r="G436" s="21"/>
      <c r="H436" s="21"/>
      <c r="I436" s="21"/>
      <c r="J436" s="21"/>
      <c r="K436" s="21"/>
      <c r="L436" s="21"/>
      <c r="M436" s="21"/>
      <c r="N436" s="21"/>
      <c r="O436" s="21"/>
      <c r="P436" s="21"/>
      <c r="Q436" s="19"/>
      <c r="R436" s="19"/>
      <c r="S436" s="19"/>
      <c r="T436" s="19"/>
      <c r="U436" s="19"/>
      <c r="V436" s="19"/>
      <c r="W436" s="19"/>
      <c r="X436" s="19"/>
      <c r="Y436" s="19"/>
      <c r="Z436" s="19"/>
    </row>
    <row r="437">
      <c r="A437" s="21"/>
      <c r="B437" s="21"/>
      <c r="C437" s="21"/>
      <c r="D437" s="21"/>
      <c r="E437" s="21"/>
      <c r="F437" s="21"/>
      <c r="G437" s="21"/>
      <c r="H437" s="21"/>
      <c r="I437" s="21"/>
      <c r="J437" s="21"/>
      <c r="K437" s="21"/>
      <c r="L437" s="21"/>
      <c r="M437" s="21"/>
      <c r="N437" s="21"/>
      <c r="O437" s="21"/>
      <c r="P437" s="21"/>
      <c r="Q437" s="19"/>
      <c r="R437" s="19"/>
      <c r="S437" s="19"/>
      <c r="T437" s="19"/>
      <c r="U437" s="19"/>
      <c r="V437" s="19"/>
      <c r="W437" s="19"/>
      <c r="X437" s="19"/>
      <c r="Y437" s="19"/>
      <c r="Z437" s="19"/>
    </row>
    <row r="438">
      <c r="A438" s="21"/>
      <c r="B438" s="21"/>
      <c r="C438" s="21"/>
      <c r="D438" s="21"/>
      <c r="E438" s="21"/>
      <c r="F438" s="21"/>
      <c r="G438" s="21"/>
      <c r="H438" s="21"/>
      <c r="I438" s="21"/>
      <c r="J438" s="21"/>
      <c r="K438" s="21"/>
      <c r="L438" s="21"/>
      <c r="M438" s="21"/>
      <c r="N438" s="21"/>
      <c r="O438" s="21"/>
      <c r="P438" s="21"/>
      <c r="Q438" s="19"/>
      <c r="R438" s="19"/>
      <c r="S438" s="19"/>
      <c r="T438" s="19"/>
      <c r="U438" s="19"/>
      <c r="V438" s="19"/>
      <c r="W438" s="19"/>
      <c r="X438" s="19"/>
      <c r="Y438" s="19"/>
      <c r="Z438" s="19"/>
    </row>
    <row r="439">
      <c r="A439" s="21"/>
      <c r="B439" s="21"/>
      <c r="C439" s="21"/>
      <c r="D439" s="21"/>
      <c r="E439" s="21"/>
      <c r="F439" s="21"/>
      <c r="G439" s="21"/>
      <c r="H439" s="21"/>
      <c r="I439" s="21"/>
      <c r="J439" s="21"/>
      <c r="K439" s="21"/>
      <c r="L439" s="21"/>
      <c r="M439" s="21"/>
      <c r="N439" s="21"/>
      <c r="O439" s="21"/>
      <c r="P439" s="21"/>
      <c r="Q439" s="19"/>
      <c r="R439" s="19"/>
      <c r="S439" s="19"/>
      <c r="T439" s="19"/>
      <c r="U439" s="19"/>
      <c r="V439" s="19"/>
      <c r="W439" s="19"/>
      <c r="X439" s="19"/>
      <c r="Y439" s="19"/>
      <c r="Z439" s="19"/>
    </row>
    <row r="440">
      <c r="A440" s="21"/>
      <c r="B440" s="21"/>
      <c r="C440" s="21"/>
      <c r="D440" s="21"/>
      <c r="E440" s="21"/>
      <c r="F440" s="21"/>
      <c r="G440" s="21"/>
      <c r="H440" s="21"/>
      <c r="I440" s="21"/>
      <c r="J440" s="21"/>
      <c r="K440" s="21"/>
      <c r="L440" s="21"/>
      <c r="M440" s="21"/>
      <c r="N440" s="21"/>
      <c r="O440" s="21"/>
      <c r="P440" s="21"/>
      <c r="Q440" s="19"/>
      <c r="R440" s="19"/>
      <c r="S440" s="19"/>
      <c r="T440" s="19"/>
      <c r="U440" s="19"/>
      <c r="V440" s="19"/>
      <c r="W440" s="19"/>
      <c r="X440" s="19"/>
      <c r="Y440" s="19"/>
      <c r="Z440" s="19"/>
    </row>
    <row r="441">
      <c r="A441" s="21"/>
      <c r="B441" s="21"/>
      <c r="C441" s="21"/>
      <c r="D441" s="21"/>
      <c r="E441" s="21"/>
      <c r="F441" s="21"/>
      <c r="G441" s="21"/>
      <c r="H441" s="21"/>
      <c r="I441" s="21"/>
      <c r="J441" s="21"/>
      <c r="K441" s="21"/>
      <c r="L441" s="21"/>
      <c r="M441" s="21"/>
      <c r="N441" s="21"/>
      <c r="O441" s="21"/>
      <c r="P441" s="21"/>
      <c r="Q441" s="19"/>
      <c r="R441" s="19"/>
      <c r="S441" s="19"/>
      <c r="T441" s="19"/>
      <c r="U441" s="19"/>
      <c r="V441" s="19"/>
      <c r="W441" s="19"/>
      <c r="X441" s="19"/>
      <c r="Y441" s="19"/>
      <c r="Z441" s="19"/>
    </row>
    <row r="442">
      <c r="A442" s="21"/>
      <c r="B442" s="21"/>
      <c r="C442" s="21"/>
      <c r="D442" s="21"/>
      <c r="E442" s="21"/>
      <c r="F442" s="21"/>
      <c r="G442" s="21"/>
      <c r="H442" s="21"/>
      <c r="I442" s="21"/>
      <c r="J442" s="21"/>
      <c r="K442" s="21"/>
      <c r="L442" s="21"/>
      <c r="M442" s="21"/>
      <c r="N442" s="21"/>
      <c r="O442" s="21"/>
      <c r="P442" s="21"/>
      <c r="Q442" s="19"/>
      <c r="R442" s="19"/>
      <c r="S442" s="19"/>
      <c r="T442" s="19"/>
      <c r="U442" s="19"/>
      <c r="V442" s="19"/>
      <c r="W442" s="19"/>
      <c r="X442" s="19"/>
      <c r="Y442" s="19"/>
      <c r="Z442" s="19"/>
    </row>
    <row r="443">
      <c r="A443" s="21"/>
      <c r="B443" s="21"/>
      <c r="C443" s="21"/>
      <c r="D443" s="21"/>
      <c r="E443" s="21"/>
      <c r="F443" s="21"/>
      <c r="G443" s="21"/>
      <c r="H443" s="21"/>
      <c r="I443" s="21"/>
      <c r="J443" s="21"/>
      <c r="K443" s="21"/>
      <c r="L443" s="21"/>
      <c r="M443" s="21"/>
      <c r="N443" s="21"/>
      <c r="O443" s="21"/>
      <c r="P443" s="21"/>
      <c r="Q443" s="19"/>
      <c r="R443" s="19"/>
      <c r="S443" s="19"/>
      <c r="T443" s="19"/>
      <c r="U443" s="19"/>
      <c r="V443" s="19"/>
      <c r="W443" s="19"/>
      <c r="X443" s="19"/>
      <c r="Y443" s="19"/>
      <c r="Z443" s="19"/>
    </row>
    <row r="444">
      <c r="A444" s="21"/>
      <c r="B444" s="21"/>
      <c r="C444" s="21"/>
      <c r="D444" s="21"/>
      <c r="E444" s="21"/>
      <c r="F444" s="21"/>
      <c r="G444" s="21"/>
      <c r="H444" s="21"/>
      <c r="I444" s="21"/>
      <c r="J444" s="21"/>
      <c r="K444" s="21"/>
      <c r="L444" s="21"/>
      <c r="M444" s="21"/>
      <c r="N444" s="21"/>
      <c r="O444" s="21"/>
      <c r="P444" s="21"/>
      <c r="Q444" s="19"/>
      <c r="R444" s="19"/>
      <c r="S444" s="19"/>
      <c r="T444" s="19"/>
      <c r="U444" s="19"/>
      <c r="V444" s="19"/>
      <c r="W444" s="19"/>
      <c r="X444" s="19"/>
      <c r="Y444" s="19"/>
      <c r="Z444" s="19"/>
    </row>
    <row r="445">
      <c r="A445" s="21"/>
      <c r="B445" s="21"/>
      <c r="C445" s="21"/>
      <c r="D445" s="21"/>
      <c r="E445" s="21"/>
      <c r="F445" s="21"/>
      <c r="G445" s="21"/>
      <c r="H445" s="21"/>
      <c r="I445" s="21"/>
      <c r="J445" s="21"/>
      <c r="K445" s="21"/>
      <c r="L445" s="21"/>
      <c r="M445" s="21"/>
      <c r="N445" s="21"/>
      <c r="O445" s="21"/>
      <c r="P445" s="21"/>
      <c r="Q445" s="19"/>
      <c r="R445" s="19"/>
      <c r="S445" s="19"/>
      <c r="T445" s="19"/>
      <c r="U445" s="19"/>
      <c r="V445" s="19"/>
      <c r="W445" s="19"/>
      <c r="X445" s="19"/>
      <c r="Y445" s="19"/>
      <c r="Z445" s="19"/>
    </row>
    <row r="446">
      <c r="A446" s="21"/>
      <c r="B446" s="21"/>
      <c r="C446" s="21"/>
      <c r="D446" s="21"/>
      <c r="E446" s="21"/>
      <c r="F446" s="21"/>
      <c r="G446" s="21"/>
      <c r="H446" s="21"/>
      <c r="I446" s="21"/>
      <c r="J446" s="21"/>
      <c r="K446" s="21"/>
      <c r="L446" s="21"/>
      <c r="M446" s="21"/>
      <c r="N446" s="21"/>
      <c r="O446" s="21"/>
      <c r="P446" s="21"/>
      <c r="Q446" s="19"/>
      <c r="R446" s="19"/>
      <c r="S446" s="19"/>
      <c r="T446" s="19"/>
      <c r="U446" s="19"/>
      <c r="V446" s="19"/>
      <c r="W446" s="19"/>
      <c r="X446" s="19"/>
      <c r="Y446" s="19"/>
      <c r="Z446" s="19"/>
    </row>
    <row r="447">
      <c r="A447" s="21"/>
      <c r="B447" s="21"/>
      <c r="C447" s="21"/>
      <c r="D447" s="21"/>
      <c r="E447" s="21"/>
      <c r="F447" s="21"/>
      <c r="G447" s="21"/>
      <c r="H447" s="21"/>
      <c r="I447" s="21"/>
      <c r="J447" s="21"/>
      <c r="K447" s="21"/>
      <c r="L447" s="21"/>
      <c r="M447" s="21"/>
      <c r="N447" s="21"/>
      <c r="O447" s="21"/>
      <c r="P447" s="21"/>
      <c r="Q447" s="19"/>
      <c r="R447" s="19"/>
      <c r="S447" s="19"/>
      <c r="T447" s="19"/>
      <c r="U447" s="19"/>
      <c r="V447" s="19"/>
      <c r="W447" s="19"/>
      <c r="X447" s="19"/>
      <c r="Y447" s="19"/>
      <c r="Z447" s="19"/>
    </row>
    <row r="448">
      <c r="A448" s="21"/>
      <c r="B448" s="21"/>
      <c r="C448" s="21"/>
      <c r="D448" s="21"/>
      <c r="E448" s="21"/>
      <c r="F448" s="21"/>
      <c r="G448" s="21"/>
      <c r="H448" s="21"/>
      <c r="I448" s="21"/>
      <c r="J448" s="21"/>
      <c r="K448" s="21"/>
      <c r="L448" s="21"/>
      <c r="M448" s="21"/>
      <c r="N448" s="21"/>
      <c r="O448" s="21"/>
      <c r="P448" s="21"/>
      <c r="Q448" s="19"/>
      <c r="R448" s="19"/>
      <c r="S448" s="19"/>
      <c r="T448" s="19"/>
      <c r="U448" s="19"/>
      <c r="V448" s="19"/>
      <c r="W448" s="19"/>
      <c r="X448" s="19"/>
      <c r="Y448" s="19"/>
      <c r="Z448" s="19"/>
    </row>
    <row r="449">
      <c r="A449" s="21"/>
      <c r="B449" s="21"/>
      <c r="C449" s="21"/>
      <c r="D449" s="21"/>
      <c r="E449" s="21"/>
      <c r="F449" s="21"/>
      <c r="G449" s="21"/>
      <c r="H449" s="21"/>
      <c r="I449" s="21"/>
      <c r="J449" s="21"/>
      <c r="K449" s="21"/>
      <c r="L449" s="21"/>
      <c r="M449" s="21"/>
      <c r="N449" s="21"/>
      <c r="O449" s="21"/>
      <c r="P449" s="21"/>
      <c r="Q449" s="19"/>
      <c r="R449" s="19"/>
      <c r="S449" s="19"/>
      <c r="T449" s="19"/>
      <c r="U449" s="19"/>
      <c r="V449" s="19"/>
      <c r="W449" s="19"/>
      <c r="X449" s="19"/>
      <c r="Y449" s="19"/>
      <c r="Z449" s="19"/>
    </row>
    <row r="450">
      <c r="A450" s="21"/>
      <c r="B450" s="21"/>
      <c r="C450" s="21"/>
      <c r="D450" s="21"/>
      <c r="E450" s="21"/>
      <c r="F450" s="21"/>
      <c r="G450" s="21"/>
      <c r="H450" s="21"/>
      <c r="I450" s="21"/>
      <c r="J450" s="21"/>
      <c r="K450" s="21"/>
      <c r="L450" s="21"/>
      <c r="M450" s="21"/>
      <c r="N450" s="21"/>
      <c r="O450" s="21"/>
      <c r="P450" s="21"/>
      <c r="Q450" s="19"/>
      <c r="R450" s="19"/>
      <c r="S450" s="19"/>
      <c r="T450" s="19"/>
      <c r="U450" s="19"/>
      <c r="V450" s="19"/>
      <c r="W450" s="19"/>
      <c r="X450" s="19"/>
      <c r="Y450" s="19"/>
      <c r="Z450" s="19"/>
    </row>
    <row r="451">
      <c r="A451" s="21"/>
      <c r="B451" s="21"/>
      <c r="C451" s="21"/>
      <c r="D451" s="21"/>
      <c r="E451" s="21"/>
      <c r="F451" s="21"/>
      <c r="G451" s="21"/>
      <c r="H451" s="21"/>
      <c r="I451" s="21"/>
      <c r="J451" s="21"/>
      <c r="K451" s="21"/>
      <c r="L451" s="21"/>
      <c r="M451" s="21"/>
      <c r="N451" s="21"/>
      <c r="O451" s="21"/>
      <c r="P451" s="21"/>
      <c r="Q451" s="19"/>
      <c r="R451" s="19"/>
      <c r="S451" s="19"/>
      <c r="T451" s="19"/>
      <c r="U451" s="19"/>
      <c r="V451" s="19"/>
      <c r="W451" s="19"/>
      <c r="X451" s="19"/>
      <c r="Y451" s="19"/>
      <c r="Z451" s="19"/>
    </row>
    <row r="452">
      <c r="A452" s="21"/>
      <c r="B452" s="21"/>
      <c r="C452" s="21"/>
      <c r="D452" s="21"/>
      <c r="E452" s="21"/>
      <c r="F452" s="21"/>
      <c r="G452" s="21"/>
      <c r="H452" s="21"/>
      <c r="I452" s="21"/>
      <c r="J452" s="21"/>
      <c r="K452" s="21"/>
      <c r="L452" s="21"/>
      <c r="M452" s="21"/>
      <c r="N452" s="21"/>
      <c r="O452" s="21"/>
      <c r="P452" s="21"/>
      <c r="Q452" s="19"/>
      <c r="R452" s="19"/>
      <c r="S452" s="19"/>
      <c r="T452" s="19"/>
      <c r="U452" s="19"/>
      <c r="V452" s="19"/>
      <c r="W452" s="19"/>
      <c r="X452" s="19"/>
      <c r="Y452" s="19"/>
      <c r="Z452" s="19"/>
    </row>
    <row r="453">
      <c r="A453" s="21"/>
      <c r="B453" s="21"/>
      <c r="C453" s="21"/>
      <c r="D453" s="21"/>
      <c r="E453" s="21"/>
      <c r="F453" s="21"/>
      <c r="G453" s="21"/>
      <c r="H453" s="21"/>
      <c r="I453" s="21"/>
      <c r="J453" s="21"/>
      <c r="K453" s="21"/>
      <c r="L453" s="21"/>
      <c r="M453" s="21"/>
      <c r="N453" s="21"/>
      <c r="O453" s="21"/>
      <c r="P453" s="21"/>
      <c r="Q453" s="19"/>
      <c r="R453" s="19"/>
      <c r="S453" s="19"/>
      <c r="T453" s="19"/>
      <c r="U453" s="19"/>
      <c r="V453" s="19"/>
      <c r="W453" s="19"/>
      <c r="X453" s="19"/>
      <c r="Y453" s="19"/>
      <c r="Z453" s="19"/>
    </row>
    <row r="454">
      <c r="A454" s="21"/>
      <c r="B454" s="21"/>
      <c r="C454" s="21"/>
      <c r="D454" s="21"/>
      <c r="E454" s="21"/>
      <c r="F454" s="21"/>
      <c r="G454" s="21"/>
      <c r="H454" s="21"/>
      <c r="I454" s="21"/>
      <c r="J454" s="21"/>
      <c r="K454" s="21"/>
      <c r="L454" s="21"/>
      <c r="M454" s="21"/>
      <c r="N454" s="21"/>
      <c r="O454" s="21"/>
      <c r="P454" s="21"/>
      <c r="Q454" s="19"/>
      <c r="R454" s="19"/>
      <c r="S454" s="19"/>
      <c r="T454" s="19"/>
      <c r="U454" s="19"/>
      <c r="V454" s="19"/>
      <c r="W454" s="19"/>
      <c r="X454" s="19"/>
      <c r="Y454" s="19"/>
      <c r="Z454" s="19"/>
    </row>
    <row r="455">
      <c r="A455" s="21"/>
      <c r="B455" s="21"/>
      <c r="C455" s="21"/>
      <c r="D455" s="21"/>
      <c r="E455" s="21"/>
      <c r="F455" s="21"/>
      <c r="G455" s="21"/>
      <c r="H455" s="21"/>
      <c r="I455" s="21"/>
      <c r="J455" s="21"/>
      <c r="K455" s="21"/>
      <c r="L455" s="21"/>
      <c r="M455" s="21"/>
      <c r="N455" s="21"/>
      <c r="O455" s="21"/>
      <c r="P455" s="21"/>
      <c r="Q455" s="19"/>
      <c r="R455" s="19"/>
      <c r="S455" s="19"/>
      <c r="T455" s="19"/>
      <c r="U455" s="19"/>
      <c r="V455" s="19"/>
      <c r="W455" s="19"/>
      <c r="X455" s="19"/>
      <c r="Y455" s="19"/>
      <c r="Z455" s="19"/>
    </row>
    <row r="456">
      <c r="A456" s="21"/>
      <c r="B456" s="21"/>
      <c r="C456" s="21"/>
      <c r="D456" s="21"/>
      <c r="E456" s="21"/>
      <c r="F456" s="21"/>
      <c r="G456" s="21"/>
      <c r="H456" s="21"/>
      <c r="I456" s="21"/>
      <c r="J456" s="21"/>
      <c r="K456" s="21"/>
      <c r="L456" s="21"/>
      <c r="M456" s="21"/>
      <c r="N456" s="21"/>
      <c r="O456" s="21"/>
      <c r="P456" s="21"/>
      <c r="Q456" s="19"/>
      <c r="R456" s="19"/>
      <c r="S456" s="19"/>
      <c r="T456" s="19"/>
      <c r="U456" s="19"/>
      <c r="V456" s="19"/>
      <c r="W456" s="19"/>
      <c r="X456" s="19"/>
      <c r="Y456" s="19"/>
      <c r="Z456" s="19"/>
    </row>
    <row r="457">
      <c r="A457" s="21"/>
      <c r="B457" s="21"/>
      <c r="C457" s="21"/>
      <c r="D457" s="21"/>
      <c r="E457" s="21"/>
      <c r="F457" s="21"/>
      <c r="G457" s="21"/>
      <c r="H457" s="21"/>
      <c r="I457" s="21"/>
      <c r="J457" s="21"/>
      <c r="K457" s="21"/>
      <c r="L457" s="21"/>
      <c r="M457" s="21"/>
      <c r="N457" s="21"/>
      <c r="O457" s="21"/>
      <c r="P457" s="21"/>
      <c r="Q457" s="19"/>
      <c r="R457" s="19"/>
      <c r="S457" s="19"/>
      <c r="T457" s="19"/>
      <c r="U457" s="19"/>
      <c r="V457" s="19"/>
      <c r="W457" s="19"/>
      <c r="X457" s="19"/>
      <c r="Y457" s="19"/>
      <c r="Z457" s="19"/>
    </row>
    <row r="458">
      <c r="A458" s="21"/>
      <c r="B458" s="21"/>
      <c r="C458" s="21"/>
      <c r="D458" s="21"/>
      <c r="E458" s="21"/>
      <c r="F458" s="21"/>
      <c r="G458" s="21"/>
      <c r="H458" s="21"/>
      <c r="I458" s="21"/>
      <c r="J458" s="21"/>
      <c r="K458" s="21"/>
      <c r="L458" s="21"/>
      <c r="M458" s="21"/>
      <c r="N458" s="21"/>
      <c r="O458" s="21"/>
      <c r="P458" s="21"/>
      <c r="Q458" s="19"/>
      <c r="R458" s="19"/>
      <c r="S458" s="19"/>
      <c r="T458" s="19"/>
      <c r="U458" s="19"/>
      <c r="V458" s="19"/>
      <c r="W458" s="19"/>
      <c r="X458" s="19"/>
      <c r="Y458" s="19"/>
      <c r="Z458" s="19"/>
    </row>
    <row r="459">
      <c r="A459" s="21"/>
      <c r="B459" s="21"/>
      <c r="C459" s="21"/>
      <c r="D459" s="21"/>
      <c r="E459" s="21"/>
      <c r="F459" s="21"/>
      <c r="G459" s="21"/>
      <c r="H459" s="21"/>
      <c r="I459" s="21"/>
      <c r="J459" s="21"/>
      <c r="K459" s="21"/>
      <c r="L459" s="21"/>
      <c r="M459" s="21"/>
      <c r="N459" s="21"/>
      <c r="O459" s="21"/>
      <c r="P459" s="21"/>
      <c r="Q459" s="19"/>
      <c r="R459" s="19"/>
      <c r="S459" s="19"/>
      <c r="T459" s="19"/>
      <c r="U459" s="19"/>
      <c r="V459" s="19"/>
      <c r="W459" s="19"/>
      <c r="X459" s="19"/>
      <c r="Y459" s="19"/>
      <c r="Z459" s="19"/>
    </row>
    <row r="460">
      <c r="A460" s="21"/>
      <c r="B460" s="21"/>
      <c r="C460" s="21"/>
      <c r="D460" s="21"/>
      <c r="E460" s="21"/>
      <c r="F460" s="21"/>
      <c r="G460" s="21"/>
      <c r="H460" s="21"/>
      <c r="I460" s="21"/>
      <c r="J460" s="21"/>
      <c r="K460" s="21"/>
      <c r="L460" s="21"/>
      <c r="M460" s="21"/>
      <c r="N460" s="21"/>
      <c r="O460" s="21"/>
      <c r="P460" s="21"/>
      <c r="Q460" s="19"/>
      <c r="R460" s="19"/>
      <c r="S460" s="19"/>
      <c r="T460" s="19"/>
      <c r="U460" s="19"/>
      <c r="V460" s="19"/>
      <c r="W460" s="19"/>
      <c r="X460" s="19"/>
      <c r="Y460" s="19"/>
      <c r="Z460" s="19"/>
    </row>
    <row r="461">
      <c r="A461" s="21"/>
      <c r="B461" s="21"/>
      <c r="C461" s="21"/>
      <c r="D461" s="21"/>
      <c r="E461" s="21"/>
      <c r="F461" s="21"/>
      <c r="G461" s="21"/>
      <c r="H461" s="21"/>
      <c r="I461" s="21"/>
      <c r="J461" s="21"/>
      <c r="K461" s="21"/>
      <c r="L461" s="21"/>
      <c r="M461" s="21"/>
      <c r="N461" s="21"/>
      <c r="O461" s="21"/>
      <c r="P461" s="21"/>
      <c r="Q461" s="19"/>
      <c r="R461" s="19"/>
      <c r="S461" s="19"/>
      <c r="T461" s="19"/>
      <c r="U461" s="19"/>
      <c r="V461" s="19"/>
      <c r="W461" s="19"/>
      <c r="X461" s="19"/>
      <c r="Y461" s="19"/>
      <c r="Z461" s="19"/>
    </row>
    <row r="462">
      <c r="A462" s="21"/>
      <c r="B462" s="21"/>
      <c r="C462" s="21"/>
      <c r="D462" s="21"/>
      <c r="E462" s="21"/>
      <c r="F462" s="21"/>
      <c r="G462" s="21"/>
      <c r="H462" s="21"/>
      <c r="I462" s="21"/>
      <c r="J462" s="21"/>
      <c r="K462" s="21"/>
      <c r="L462" s="21"/>
      <c r="M462" s="21"/>
      <c r="N462" s="21"/>
      <c r="O462" s="21"/>
      <c r="P462" s="21"/>
      <c r="Q462" s="19"/>
      <c r="R462" s="19"/>
      <c r="S462" s="19"/>
      <c r="T462" s="19"/>
      <c r="U462" s="19"/>
      <c r="V462" s="19"/>
      <c r="W462" s="19"/>
      <c r="X462" s="19"/>
      <c r="Y462" s="19"/>
      <c r="Z462" s="19"/>
    </row>
    <row r="463">
      <c r="A463" s="21"/>
      <c r="B463" s="21"/>
      <c r="C463" s="21"/>
      <c r="D463" s="21"/>
      <c r="E463" s="21"/>
      <c r="F463" s="21"/>
      <c r="G463" s="21"/>
      <c r="H463" s="21"/>
      <c r="I463" s="21"/>
      <c r="J463" s="21"/>
      <c r="K463" s="21"/>
      <c r="L463" s="21"/>
      <c r="M463" s="21"/>
      <c r="N463" s="21"/>
      <c r="O463" s="21"/>
      <c r="P463" s="21"/>
      <c r="Q463" s="19"/>
      <c r="R463" s="19"/>
      <c r="S463" s="19"/>
      <c r="T463" s="19"/>
      <c r="U463" s="19"/>
      <c r="V463" s="19"/>
      <c r="W463" s="19"/>
      <c r="X463" s="19"/>
      <c r="Y463" s="19"/>
      <c r="Z463" s="19"/>
    </row>
    <row r="464">
      <c r="A464" s="21"/>
      <c r="B464" s="21"/>
      <c r="C464" s="21"/>
      <c r="D464" s="21"/>
      <c r="E464" s="21"/>
      <c r="F464" s="21"/>
      <c r="G464" s="21"/>
      <c r="H464" s="21"/>
      <c r="I464" s="21"/>
      <c r="J464" s="21"/>
      <c r="K464" s="21"/>
      <c r="L464" s="21"/>
      <c r="M464" s="21"/>
      <c r="N464" s="21"/>
      <c r="O464" s="21"/>
      <c r="P464" s="21"/>
      <c r="Q464" s="19"/>
      <c r="R464" s="19"/>
      <c r="S464" s="19"/>
      <c r="T464" s="19"/>
      <c r="U464" s="19"/>
      <c r="V464" s="19"/>
      <c r="W464" s="19"/>
      <c r="X464" s="19"/>
      <c r="Y464" s="19"/>
      <c r="Z464" s="19"/>
    </row>
    <row r="465">
      <c r="A465" s="21"/>
      <c r="B465" s="21"/>
      <c r="C465" s="21"/>
      <c r="D465" s="21"/>
      <c r="E465" s="21"/>
      <c r="F465" s="21"/>
      <c r="G465" s="21"/>
      <c r="H465" s="21"/>
      <c r="I465" s="21"/>
      <c r="J465" s="21"/>
      <c r="K465" s="21"/>
      <c r="L465" s="21"/>
      <c r="M465" s="21"/>
      <c r="N465" s="21"/>
      <c r="O465" s="21"/>
      <c r="P465" s="21"/>
      <c r="Q465" s="19"/>
      <c r="R465" s="19"/>
      <c r="S465" s="19"/>
      <c r="T465" s="19"/>
      <c r="U465" s="19"/>
      <c r="V465" s="19"/>
      <c r="W465" s="19"/>
      <c r="X465" s="19"/>
      <c r="Y465" s="19"/>
      <c r="Z465" s="19"/>
    </row>
    <row r="466">
      <c r="A466" s="21"/>
      <c r="B466" s="21"/>
      <c r="C466" s="21"/>
      <c r="D466" s="21"/>
      <c r="E466" s="21"/>
      <c r="F466" s="21"/>
      <c r="G466" s="21"/>
      <c r="H466" s="21"/>
      <c r="I466" s="21"/>
      <c r="J466" s="21"/>
      <c r="K466" s="21"/>
      <c r="L466" s="21"/>
      <c r="M466" s="21"/>
      <c r="N466" s="21"/>
      <c r="O466" s="21"/>
      <c r="P466" s="21"/>
      <c r="Q466" s="19"/>
      <c r="R466" s="19"/>
      <c r="S466" s="19"/>
      <c r="T466" s="19"/>
      <c r="U466" s="19"/>
      <c r="V466" s="19"/>
      <c r="W466" s="19"/>
      <c r="X466" s="19"/>
      <c r="Y466" s="19"/>
      <c r="Z466" s="19"/>
    </row>
    <row r="467">
      <c r="A467" s="21"/>
      <c r="B467" s="21"/>
      <c r="C467" s="21"/>
      <c r="D467" s="21"/>
      <c r="E467" s="21"/>
      <c r="F467" s="21"/>
      <c r="G467" s="21"/>
      <c r="H467" s="21"/>
      <c r="I467" s="21"/>
      <c r="J467" s="21"/>
      <c r="K467" s="21"/>
      <c r="L467" s="21"/>
      <c r="M467" s="21"/>
      <c r="N467" s="21"/>
      <c r="O467" s="21"/>
      <c r="P467" s="21"/>
      <c r="Q467" s="19"/>
      <c r="R467" s="19"/>
      <c r="S467" s="19"/>
      <c r="T467" s="19"/>
      <c r="U467" s="19"/>
      <c r="V467" s="19"/>
      <c r="W467" s="19"/>
      <c r="X467" s="19"/>
      <c r="Y467" s="19"/>
      <c r="Z467" s="19"/>
    </row>
    <row r="468">
      <c r="A468" s="21"/>
      <c r="B468" s="21"/>
      <c r="C468" s="21"/>
      <c r="D468" s="21"/>
      <c r="E468" s="21"/>
      <c r="F468" s="21"/>
      <c r="G468" s="21"/>
      <c r="H468" s="21"/>
      <c r="I468" s="21"/>
      <c r="J468" s="21"/>
      <c r="K468" s="21"/>
      <c r="L468" s="21"/>
      <c r="M468" s="21"/>
      <c r="N468" s="21"/>
      <c r="O468" s="21"/>
      <c r="P468" s="21"/>
      <c r="Q468" s="19"/>
      <c r="R468" s="19"/>
      <c r="S468" s="19"/>
      <c r="T468" s="19"/>
      <c r="U468" s="19"/>
      <c r="V468" s="19"/>
      <c r="W468" s="19"/>
      <c r="X468" s="19"/>
      <c r="Y468" s="19"/>
      <c r="Z468" s="19"/>
    </row>
    <row r="469">
      <c r="A469" s="21"/>
      <c r="B469" s="21"/>
      <c r="C469" s="21"/>
      <c r="D469" s="21"/>
      <c r="E469" s="21"/>
      <c r="F469" s="21"/>
      <c r="G469" s="21"/>
      <c r="H469" s="21"/>
      <c r="I469" s="21"/>
      <c r="J469" s="21"/>
      <c r="K469" s="21"/>
      <c r="L469" s="21"/>
      <c r="M469" s="21"/>
      <c r="N469" s="21"/>
      <c r="O469" s="21"/>
      <c r="P469" s="21"/>
      <c r="Q469" s="19"/>
      <c r="R469" s="19"/>
      <c r="S469" s="19"/>
      <c r="T469" s="19"/>
      <c r="U469" s="19"/>
      <c r="V469" s="19"/>
      <c r="W469" s="19"/>
      <c r="X469" s="19"/>
      <c r="Y469" s="19"/>
      <c r="Z469" s="19"/>
    </row>
    <row r="470">
      <c r="A470" s="21"/>
      <c r="B470" s="21"/>
      <c r="C470" s="21"/>
      <c r="D470" s="21"/>
      <c r="E470" s="21"/>
      <c r="F470" s="21"/>
      <c r="G470" s="21"/>
      <c r="H470" s="21"/>
      <c r="I470" s="21"/>
      <c r="J470" s="21"/>
      <c r="K470" s="21"/>
      <c r="L470" s="21"/>
      <c r="M470" s="21"/>
      <c r="N470" s="21"/>
      <c r="O470" s="21"/>
      <c r="P470" s="21"/>
      <c r="Q470" s="19"/>
      <c r="R470" s="19"/>
      <c r="S470" s="19"/>
      <c r="T470" s="19"/>
      <c r="U470" s="19"/>
      <c r="V470" s="19"/>
      <c r="W470" s="19"/>
      <c r="X470" s="19"/>
      <c r="Y470" s="19"/>
      <c r="Z470" s="19"/>
    </row>
    <row r="471">
      <c r="A471" s="21"/>
      <c r="B471" s="21"/>
      <c r="C471" s="21"/>
      <c r="D471" s="21"/>
      <c r="E471" s="21"/>
      <c r="F471" s="21"/>
      <c r="G471" s="21"/>
      <c r="H471" s="21"/>
      <c r="I471" s="21"/>
      <c r="J471" s="21"/>
      <c r="K471" s="21"/>
      <c r="L471" s="21"/>
      <c r="M471" s="21"/>
      <c r="N471" s="21"/>
      <c r="O471" s="21"/>
      <c r="P471" s="21"/>
      <c r="Q471" s="19"/>
      <c r="R471" s="19"/>
      <c r="S471" s="19"/>
      <c r="T471" s="19"/>
      <c r="U471" s="19"/>
      <c r="V471" s="19"/>
      <c r="W471" s="19"/>
      <c r="X471" s="19"/>
      <c r="Y471" s="19"/>
      <c r="Z471" s="19"/>
    </row>
    <row r="472">
      <c r="A472" s="21"/>
      <c r="B472" s="21"/>
      <c r="C472" s="21"/>
      <c r="D472" s="21"/>
      <c r="E472" s="21"/>
      <c r="F472" s="21"/>
      <c r="G472" s="21"/>
      <c r="H472" s="21"/>
      <c r="I472" s="21"/>
      <c r="J472" s="21"/>
      <c r="K472" s="21"/>
      <c r="L472" s="21"/>
      <c r="M472" s="21"/>
      <c r="N472" s="21"/>
      <c r="O472" s="21"/>
      <c r="P472" s="21"/>
      <c r="Q472" s="19"/>
      <c r="R472" s="19"/>
      <c r="S472" s="19"/>
      <c r="T472" s="19"/>
      <c r="U472" s="19"/>
      <c r="V472" s="19"/>
      <c r="W472" s="19"/>
      <c r="X472" s="19"/>
      <c r="Y472" s="19"/>
      <c r="Z472" s="19"/>
    </row>
    <row r="473">
      <c r="A473" s="21"/>
      <c r="B473" s="21"/>
      <c r="C473" s="21"/>
      <c r="D473" s="21"/>
      <c r="E473" s="21"/>
      <c r="F473" s="21"/>
      <c r="G473" s="21"/>
      <c r="H473" s="21"/>
      <c r="I473" s="21"/>
      <c r="J473" s="21"/>
      <c r="K473" s="21"/>
      <c r="L473" s="21"/>
      <c r="M473" s="21"/>
      <c r="N473" s="21"/>
      <c r="O473" s="21"/>
      <c r="P473" s="21"/>
      <c r="Q473" s="19"/>
      <c r="R473" s="19"/>
      <c r="S473" s="19"/>
      <c r="T473" s="19"/>
      <c r="U473" s="19"/>
      <c r="V473" s="19"/>
      <c r="W473" s="19"/>
      <c r="X473" s="19"/>
      <c r="Y473" s="19"/>
      <c r="Z473" s="19"/>
    </row>
    <row r="474">
      <c r="A474" s="21"/>
      <c r="B474" s="21"/>
      <c r="C474" s="21"/>
      <c r="D474" s="21"/>
      <c r="E474" s="21"/>
      <c r="F474" s="21"/>
      <c r="G474" s="21"/>
      <c r="H474" s="21"/>
      <c r="I474" s="21"/>
      <c r="J474" s="21"/>
      <c r="K474" s="21"/>
      <c r="L474" s="21"/>
      <c r="M474" s="21"/>
      <c r="N474" s="21"/>
      <c r="O474" s="21"/>
      <c r="P474" s="21"/>
      <c r="Q474" s="19"/>
      <c r="R474" s="19"/>
      <c r="S474" s="19"/>
      <c r="T474" s="19"/>
      <c r="U474" s="19"/>
      <c r="V474" s="19"/>
      <c r="W474" s="19"/>
      <c r="X474" s="19"/>
      <c r="Y474" s="19"/>
      <c r="Z474" s="19"/>
    </row>
    <row r="475">
      <c r="A475" s="21"/>
      <c r="B475" s="21"/>
      <c r="C475" s="21"/>
      <c r="D475" s="21"/>
      <c r="E475" s="21"/>
      <c r="F475" s="21"/>
      <c r="G475" s="21"/>
      <c r="H475" s="21"/>
      <c r="I475" s="21"/>
      <c r="J475" s="21"/>
      <c r="K475" s="21"/>
      <c r="L475" s="21"/>
      <c r="M475" s="21"/>
      <c r="N475" s="21"/>
      <c r="O475" s="21"/>
      <c r="P475" s="21"/>
      <c r="Q475" s="19"/>
      <c r="R475" s="19"/>
      <c r="S475" s="19"/>
      <c r="T475" s="19"/>
      <c r="U475" s="19"/>
      <c r="V475" s="19"/>
      <c r="W475" s="19"/>
      <c r="X475" s="19"/>
      <c r="Y475" s="19"/>
      <c r="Z475" s="19"/>
    </row>
    <row r="476">
      <c r="A476" s="21"/>
      <c r="B476" s="21"/>
      <c r="C476" s="21"/>
      <c r="D476" s="21"/>
      <c r="E476" s="21"/>
      <c r="F476" s="21"/>
      <c r="G476" s="21"/>
      <c r="H476" s="21"/>
      <c r="I476" s="21"/>
      <c r="J476" s="21"/>
      <c r="K476" s="21"/>
      <c r="L476" s="21"/>
      <c r="M476" s="21"/>
      <c r="N476" s="21"/>
      <c r="O476" s="21"/>
      <c r="P476" s="21"/>
      <c r="Q476" s="19"/>
      <c r="R476" s="19"/>
      <c r="S476" s="19"/>
      <c r="T476" s="19"/>
      <c r="U476" s="19"/>
      <c r="V476" s="19"/>
      <c r="W476" s="19"/>
      <c r="X476" s="19"/>
      <c r="Y476" s="19"/>
      <c r="Z476" s="19"/>
    </row>
    <row r="477">
      <c r="A477" s="21"/>
      <c r="B477" s="21"/>
      <c r="C477" s="21"/>
      <c r="D477" s="21"/>
      <c r="E477" s="21"/>
      <c r="F477" s="21"/>
      <c r="G477" s="21"/>
      <c r="H477" s="21"/>
      <c r="I477" s="21"/>
      <c r="J477" s="21"/>
      <c r="K477" s="21"/>
      <c r="L477" s="21"/>
      <c r="M477" s="21"/>
      <c r="N477" s="21"/>
      <c r="O477" s="21"/>
      <c r="P477" s="21"/>
      <c r="Q477" s="19"/>
      <c r="R477" s="19"/>
      <c r="S477" s="19"/>
      <c r="T477" s="19"/>
      <c r="U477" s="19"/>
      <c r="V477" s="19"/>
      <c r="W477" s="19"/>
      <c r="X477" s="19"/>
      <c r="Y477" s="19"/>
      <c r="Z477" s="19"/>
    </row>
    <row r="478">
      <c r="A478" s="21"/>
      <c r="B478" s="21"/>
      <c r="C478" s="21"/>
      <c r="D478" s="21"/>
      <c r="E478" s="21"/>
      <c r="F478" s="21"/>
      <c r="G478" s="21"/>
      <c r="H478" s="21"/>
      <c r="I478" s="21"/>
      <c r="J478" s="21"/>
      <c r="K478" s="21"/>
      <c r="L478" s="21"/>
      <c r="M478" s="21"/>
      <c r="N478" s="21"/>
      <c r="O478" s="21"/>
      <c r="P478" s="21"/>
      <c r="Q478" s="19"/>
      <c r="R478" s="19"/>
      <c r="S478" s="19"/>
      <c r="T478" s="19"/>
      <c r="U478" s="19"/>
      <c r="V478" s="19"/>
      <c r="W478" s="19"/>
      <c r="X478" s="19"/>
      <c r="Y478" s="19"/>
      <c r="Z478" s="19"/>
    </row>
    <row r="479">
      <c r="A479" s="21"/>
      <c r="B479" s="21"/>
      <c r="C479" s="21"/>
      <c r="D479" s="21"/>
      <c r="E479" s="21"/>
      <c r="F479" s="21"/>
      <c r="G479" s="21"/>
      <c r="H479" s="21"/>
      <c r="I479" s="21"/>
      <c r="J479" s="21"/>
      <c r="K479" s="21"/>
      <c r="L479" s="21"/>
      <c r="M479" s="21"/>
      <c r="N479" s="21"/>
      <c r="O479" s="21"/>
      <c r="P479" s="21"/>
      <c r="Q479" s="19"/>
      <c r="R479" s="19"/>
      <c r="S479" s="19"/>
      <c r="T479" s="19"/>
      <c r="U479" s="19"/>
      <c r="V479" s="19"/>
      <c r="W479" s="19"/>
      <c r="X479" s="19"/>
      <c r="Y479" s="19"/>
      <c r="Z479" s="19"/>
    </row>
    <row r="480">
      <c r="A480" s="21"/>
      <c r="B480" s="21"/>
      <c r="C480" s="21"/>
      <c r="D480" s="21"/>
      <c r="E480" s="21"/>
      <c r="F480" s="21"/>
      <c r="G480" s="21"/>
      <c r="H480" s="21"/>
      <c r="I480" s="21"/>
      <c r="J480" s="21"/>
      <c r="K480" s="21"/>
      <c r="L480" s="21"/>
      <c r="M480" s="21"/>
      <c r="N480" s="21"/>
      <c r="O480" s="21"/>
      <c r="P480" s="21"/>
      <c r="Q480" s="19"/>
      <c r="R480" s="19"/>
      <c r="S480" s="19"/>
      <c r="T480" s="19"/>
      <c r="U480" s="19"/>
      <c r="V480" s="19"/>
      <c r="W480" s="19"/>
      <c r="X480" s="19"/>
      <c r="Y480" s="19"/>
      <c r="Z480" s="19"/>
    </row>
    <row r="481">
      <c r="A481" s="21"/>
      <c r="B481" s="21"/>
      <c r="C481" s="21"/>
      <c r="D481" s="21"/>
      <c r="E481" s="21"/>
      <c r="F481" s="21"/>
      <c r="G481" s="21"/>
      <c r="H481" s="21"/>
      <c r="I481" s="21"/>
      <c r="J481" s="21"/>
      <c r="K481" s="21"/>
      <c r="L481" s="21"/>
      <c r="M481" s="21"/>
      <c r="N481" s="21"/>
      <c r="O481" s="21"/>
      <c r="P481" s="21"/>
      <c r="Q481" s="19"/>
      <c r="R481" s="19"/>
      <c r="S481" s="19"/>
      <c r="T481" s="19"/>
      <c r="U481" s="19"/>
      <c r="V481" s="19"/>
      <c r="W481" s="19"/>
      <c r="X481" s="19"/>
      <c r="Y481" s="19"/>
      <c r="Z481" s="19"/>
    </row>
    <row r="482">
      <c r="A482" s="21"/>
      <c r="B482" s="21"/>
      <c r="C482" s="21"/>
      <c r="D482" s="21"/>
      <c r="E482" s="21"/>
      <c r="F482" s="21"/>
      <c r="G482" s="21"/>
      <c r="H482" s="21"/>
      <c r="I482" s="21"/>
      <c r="J482" s="21"/>
      <c r="K482" s="21"/>
      <c r="L482" s="21"/>
      <c r="M482" s="21"/>
      <c r="N482" s="21"/>
      <c r="O482" s="21"/>
      <c r="P482" s="21"/>
      <c r="Q482" s="19"/>
      <c r="R482" s="19"/>
      <c r="S482" s="19"/>
      <c r="T482" s="19"/>
      <c r="U482" s="19"/>
      <c r="V482" s="19"/>
      <c r="W482" s="19"/>
      <c r="X482" s="19"/>
      <c r="Y482" s="19"/>
      <c r="Z482" s="19"/>
    </row>
    <row r="483">
      <c r="A483" s="21"/>
      <c r="B483" s="21"/>
      <c r="C483" s="21"/>
      <c r="D483" s="21"/>
      <c r="E483" s="21"/>
      <c r="F483" s="21"/>
      <c r="G483" s="21"/>
      <c r="H483" s="21"/>
      <c r="I483" s="21"/>
      <c r="J483" s="21"/>
      <c r="K483" s="21"/>
      <c r="L483" s="21"/>
      <c r="M483" s="21"/>
      <c r="N483" s="21"/>
      <c r="O483" s="21"/>
      <c r="P483" s="21"/>
      <c r="Q483" s="19"/>
      <c r="R483" s="19"/>
      <c r="S483" s="19"/>
      <c r="T483" s="19"/>
      <c r="U483" s="19"/>
      <c r="V483" s="19"/>
      <c r="W483" s="19"/>
      <c r="X483" s="19"/>
      <c r="Y483" s="19"/>
      <c r="Z483" s="19"/>
    </row>
    <row r="484">
      <c r="A484" s="21"/>
      <c r="B484" s="21"/>
      <c r="C484" s="21"/>
      <c r="D484" s="21"/>
      <c r="E484" s="21"/>
      <c r="F484" s="21"/>
      <c r="G484" s="21"/>
      <c r="H484" s="21"/>
      <c r="I484" s="21"/>
      <c r="J484" s="21"/>
      <c r="K484" s="21"/>
      <c r="L484" s="21"/>
      <c r="M484" s="21"/>
      <c r="N484" s="21"/>
      <c r="O484" s="21"/>
      <c r="P484" s="21"/>
      <c r="Q484" s="19"/>
      <c r="R484" s="19"/>
      <c r="S484" s="19"/>
      <c r="T484" s="19"/>
      <c r="U484" s="19"/>
      <c r="V484" s="19"/>
      <c r="W484" s="19"/>
      <c r="X484" s="19"/>
      <c r="Y484" s="19"/>
      <c r="Z484" s="19"/>
    </row>
    <row r="485">
      <c r="A485" s="21"/>
      <c r="B485" s="21"/>
      <c r="C485" s="21"/>
      <c r="D485" s="21"/>
      <c r="E485" s="21"/>
      <c r="F485" s="21"/>
      <c r="G485" s="21"/>
      <c r="H485" s="21"/>
      <c r="I485" s="21"/>
      <c r="J485" s="21"/>
      <c r="K485" s="21"/>
      <c r="L485" s="21"/>
      <c r="M485" s="21"/>
      <c r="N485" s="21"/>
      <c r="O485" s="21"/>
      <c r="P485" s="21"/>
      <c r="Q485" s="19"/>
      <c r="R485" s="19"/>
      <c r="S485" s="19"/>
      <c r="T485" s="19"/>
      <c r="U485" s="19"/>
      <c r="V485" s="19"/>
      <c r="W485" s="19"/>
      <c r="X485" s="19"/>
      <c r="Y485" s="19"/>
      <c r="Z485" s="19"/>
    </row>
    <row r="486">
      <c r="A486" s="21"/>
      <c r="B486" s="21"/>
      <c r="C486" s="21"/>
      <c r="D486" s="21"/>
      <c r="E486" s="21"/>
      <c r="F486" s="21"/>
      <c r="G486" s="21"/>
      <c r="H486" s="21"/>
      <c r="I486" s="21"/>
      <c r="J486" s="21"/>
      <c r="K486" s="21"/>
      <c r="L486" s="21"/>
      <c r="M486" s="21"/>
      <c r="N486" s="21"/>
      <c r="O486" s="21"/>
      <c r="P486" s="21"/>
      <c r="Q486" s="19"/>
      <c r="R486" s="19"/>
      <c r="S486" s="19"/>
      <c r="T486" s="19"/>
      <c r="U486" s="19"/>
      <c r="V486" s="19"/>
      <c r="W486" s="19"/>
      <c r="X486" s="19"/>
      <c r="Y486" s="19"/>
      <c r="Z486" s="19"/>
    </row>
    <row r="487">
      <c r="A487" s="21"/>
      <c r="B487" s="21"/>
      <c r="C487" s="21"/>
      <c r="D487" s="21"/>
      <c r="E487" s="21"/>
      <c r="F487" s="21"/>
      <c r="G487" s="21"/>
      <c r="H487" s="21"/>
      <c r="I487" s="21"/>
      <c r="J487" s="21"/>
      <c r="K487" s="21"/>
      <c r="L487" s="21"/>
      <c r="M487" s="21"/>
      <c r="N487" s="21"/>
      <c r="O487" s="21"/>
      <c r="P487" s="21"/>
      <c r="Q487" s="19"/>
      <c r="R487" s="19"/>
      <c r="S487" s="19"/>
      <c r="T487" s="19"/>
      <c r="U487" s="19"/>
      <c r="V487" s="19"/>
      <c r="W487" s="19"/>
      <c r="X487" s="19"/>
      <c r="Y487" s="19"/>
      <c r="Z487" s="19"/>
    </row>
    <row r="488">
      <c r="A488" s="21"/>
      <c r="B488" s="21"/>
      <c r="C488" s="21"/>
      <c r="D488" s="21"/>
      <c r="E488" s="21"/>
      <c r="F488" s="21"/>
      <c r="G488" s="21"/>
      <c r="H488" s="21"/>
      <c r="I488" s="21"/>
      <c r="J488" s="21"/>
      <c r="K488" s="21"/>
      <c r="L488" s="21"/>
      <c r="M488" s="21"/>
      <c r="N488" s="21"/>
      <c r="O488" s="21"/>
      <c r="P488" s="21"/>
      <c r="Q488" s="19"/>
      <c r="R488" s="19"/>
      <c r="S488" s="19"/>
      <c r="T488" s="19"/>
      <c r="U488" s="19"/>
      <c r="V488" s="19"/>
      <c r="W488" s="19"/>
      <c r="X488" s="19"/>
      <c r="Y488" s="19"/>
      <c r="Z488" s="19"/>
    </row>
    <row r="489">
      <c r="A489" s="21"/>
      <c r="B489" s="21"/>
      <c r="C489" s="21"/>
      <c r="D489" s="21"/>
      <c r="E489" s="21"/>
      <c r="F489" s="21"/>
      <c r="G489" s="21"/>
      <c r="H489" s="21"/>
      <c r="I489" s="21"/>
      <c r="J489" s="21"/>
      <c r="K489" s="21"/>
      <c r="L489" s="21"/>
      <c r="M489" s="21"/>
      <c r="N489" s="21"/>
      <c r="O489" s="21"/>
      <c r="P489" s="21"/>
      <c r="Q489" s="19"/>
      <c r="R489" s="19"/>
      <c r="S489" s="19"/>
      <c r="T489" s="19"/>
      <c r="U489" s="19"/>
      <c r="V489" s="19"/>
      <c r="W489" s="19"/>
      <c r="X489" s="19"/>
      <c r="Y489" s="19"/>
      <c r="Z489" s="19"/>
    </row>
    <row r="490">
      <c r="A490" s="21"/>
      <c r="B490" s="21"/>
      <c r="C490" s="21"/>
      <c r="D490" s="21"/>
      <c r="E490" s="21"/>
      <c r="F490" s="21"/>
      <c r="G490" s="21"/>
      <c r="H490" s="21"/>
      <c r="I490" s="21"/>
      <c r="J490" s="21"/>
      <c r="K490" s="21"/>
      <c r="L490" s="21"/>
      <c r="M490" s="21"/>
      <c r="N490" s="21"/>
      <c r="O490" s="21"/>
      <c r="P490" s="21"/>
      <c r="Q490" s="19"/>
      <c r="R490" s="19"/>
      <c r="S490" s="19"/>
      <c r="T490" s="19"/>
      <c r="U490" s="19"/>
      <c r="V490" s="19"/>
      <c r="W490" s="19"/>
      <c r="X490" s="19"/>
      <c r="Y490" s="19"/>
      <c r="Z490" s="19"/>
    </row>
    <row r="491">
      <c r="A491" s="21"/>
      <c r="B491" s="21"/>
      <c r="C491" s="21"/>
      <c r="D491" s="21"/>
      <c r="E491" s="21"/>
      <c r="F491" s="21"/>
      <c r="G491" s="21"/>
      <c r="H491" s="21"/>
      <c r="I491" s="21"/>
      <c r="J491" s="21"/>
      <c r="K491" s="21"/>
      <c r="L491" s="21"/>
      <c r="M491" s="21"/>
      <c r="N491" s="21"/>
      <c r="O491" s="21"/>
      <c r="P491" s="21"/>
      <c r="Q491" s="19"/>
      <c r="R491" s="19"/>
      <c r="S491" s="19"/>
      <c r="T491" s="19"/>
      <c r="U491" s="19"/>
      <c r="V491" s="19"/>
      <c r="W491" s="19"/>
      <c r="X491" s="19"/>
      <c r="Y491" s="19"/>
      <c r="Z491" s="19"/>
    </row>
    <row r="492">
      <c r="A492" s="21"/>
      <c r="B492" s="21"/>
      <c r="C492" s="21"/>
      <c r="D492" s="21"/>
      <c r="E492" s="21"/>
      <c r="F492" s="21"/>
      <c r="G492" s="21"/>
      <c r="H492" s="21"/>
      <c r="I492" s="21"/>
      <c r="J492" s="21"/>
      <c r="K492" s="21"/>
      <c r="L492" s="21"/>
      <c r="M492" s="21"/>
      <c r="N492" s="21"/>
      <c r="O492" s="21"/>
      <c r="P492" s="21"/>
      <c r="Q492" s="19"/>
      <c r="R492" s="19"/>
      <c r="S492" s="19"/>
      <c r="T492" s="19"/>
      <c r="U492" s="19"/>
      <c r="V492" s="19"/>
      <c r="W492" s="19"/>
      <c r="X492" s="19"/>
      <c r="Y492" s="19"/>
      <c r="Z492" s="19"/>
    </row>
    <row r="493">
      <c r="A493" s="21"/>
      <c r="B493" s="21"/>
      <c r="C493" s="21"/>
      <c r="D493" s="21"/>
      <c r="E493" s="21"/>
      <c r="F493" s="21"/>
      <c r="G493" s="21"/>
      <c r="H493" s="21"/>
      <c r="I493" s="21"/>
      <c r="J493" s="21"/>
      <c r="K493" s="21"/>
      <c r="L493" s="21"/>
      <c r="M493" s="21"/>
      <c r="N493" s="21"/>
      <c r="O493" s="21"/>
      <c r="P493" s="21"/>
      <c r="Q493" s="19"/>
      <c r="R493" s="19"/>
      <c r="S493" s="19"/>
      <c r="T493" s="19"/>
      <c r="U493" s="19"/>
      <c r="V493" s="19"/>
      <c r="W493" s="19"/>
      <c r="X493" s="19"/>
      <c r="Y493" s="19"/>
      <c r="Z493" s="19"/>
    </row>
    <row r="494">
      <c r="A494" s="21"/>
      <c r="B494" s="21"/>
      <c r="C494" s="21"/>
      <c r="D494" s="21"/>
      <c r="E494" s="21"/>
      <c r="F494" s="21"/>
      <c r="G494" s="21"/>
      <c r="H494" s="21"/>
      <c r="I494" s="21"/>
      <c r="J494" s="21"/>
      <c r="K494" s="21"/>
      <c r="L494" s="21"/>
      <c r="M494" s="21"/>
      <c r="N494" s="21"/>
      <c r="O494" s="21"/>
      <c r="P494" s="21"/>
      <c r="Q494" s="19"/>
      <c r="R494" s="19"/>
      <c r="S494" s="19"/>
      <c r="T494" s="19"/>
      <c r="U494" s="19"/>
      <c r="V494" s="19"/>
      <c r="W494" s="19"/>
      <c r="X494" s="19"/>
      <c r="Y494" s="19"/>
      <c r="Z494" s="19"/>
    </row>
    <row r="495">
      <c r="A495" s="21"/>
      <c r="B495" s="21"/>
      <c r="C495" s="21"/>
      <c r="D495" s="21"/>
      <c r="E495" s="21"/>
      <c r="F495" s="21"/>
      <c r="G495" s="21"/>
      <c r="H495" s="21"/>
      <c r="I495" s="21"/>
      <c r="J495" s="21"/>
      <c r="K495" s="21"/>
      <c r="L495" s="21"/>
      <c r="M495" s="21"/>
      <c r="N495" s="21"/>
      <c r="O495" s="21"/>
      <c r="P495" s="21"/>
      <c r="Q495" s="19"/>
      <c r="R495" s="19"/>
      <c r="S495" s="19"/>
      <c r="T495" s="19"/>
      <c r="U495" s="19"/>
      <c r="V495" s="19"/>
      <c r="W495" s="19"/>
      <c r="X495" s="19"/>
      <c r="Y495" s="19"/>
      <c r="Z495" s="19"/>
    </row>
    <row r="496">
      <c r="A496" s="21"/>
      <c r="B496" s="21"/>
      <c r="C496" s="21"/>
      <c r="D496" s="21"/>
      <c r="E496" s="21"/>
      <c r="F496" s="21"/>
      <c r="G496" s="21"/>
      <c r="H496" s="21"/>
      <c r="I496" s="21"/>
      <c r="J496" s="21"/>
      <c r="K496" s="21"/>
      <c r="L496" s="21"/>
      <c r="M496" s="21"/>
      <c r="N496" s="21"/>
      <c r="O496" s="21"/>
      <c r="P496" s="21"/>
      <c r="Q496" s="19"/>
      <c r="R496" s="19"/>
      <c r="S496" s="19"/>
      <c r="T496" s="19"/>
      <c r="U496" s="19"/>
      <c r="V496" s="19"/>
      <c r="W496" s="19"/>
      <c r="X496" s="19"/>
      <c r="Y496" s="19"/>
      <c r="Z496" s="19"/>
    </row>
    <row r="497">
      <c r="A497" s="21"/>
      <c r="B497" s="21"/>
      <c r="C497" s="21"/>
      <c r="D497" s="21"/>
      <c r="E497" s="21"/>
      <c r="F497" s="21"/>
      <c r="G497" s="21"/>
      <c r="H497" s="21"/>
      <c r="I497" s="21"/>
      <c r="J497" s="21"/>
      <c r="K497" s="21"/>
      <c r="L497" s="21"/>
      <c r="M497" s="21"/>
      <c r="N497" s="21"/>
      <c r="O497" s="21"/>
      <c r="P497" s="21"/>
      <c r="Q497" s="19"/>
      <c r="R497" s="19"/>
      <c r="S497" s="19"/>
      <c r="T497" s="19"/>
      <c r="U497" s="19"/>
      <c r="V497" s="19"/>
      <c r="W497" s="19"/>
      <c r="X497" s="19"/>
      <c r="Y497" s="19"/>
      <c r="Z497" s="19"/>
    </row>
    <row r="498">
      <c r="A498" s="21"/>
      <c r="B498" s="21"/>
      <c r="C498" s="21"/>
      <c r="D498" s="21"/>
      <c r="E498" s="21"/>
      <c r="F498" s="21"/>
      <c r="G498" s="21"/>
      <c r="H498" s="21"/>
      <c r="I498" s="21"/>
      <c r="J498" s="21"/>
      <c r="K498" s="21"/>
      <c r="L498" s="21"/>
      <c r="M498" s="21"/>
      <c r="N498" s="21"/>
      <c r="O498" s="21"/>
      <c r="P498" s="21"/>
      <c r="Q498" s="19"/>
      <c r="R498" s="19"/>
      <c r="S498" s="19"/>
      <c r="T498" s="19"/>
      <c r="U498" s="19"/>
      <c r="V498" s="19"/>
      <c r="W498" s="19"/>
      <c r="X498" s="19"/>
      <c r="Y498" s="19"/>
      <c r="Z498" s="19"/>
    </row>
    <row r="499">
      <c r="A499" s="21"/>
      <c r="B499" s="21"/>
      <c r="C499" s="21"/>
      <c r="D499" s="21"/>
      <c r="E499" s="21"/>
      <c r="F499" s="21"/>
      <c r="G499" s="21"/>
      <c r="H499" s="21"/>
      <c r="I499" s="21"/>
      <c r="J499" s="21"/>
      <c r="K499" s="21"/>
      <c r="L499" s="21"/>
      <c r="M499" s="21"/>
      <c r="N499" s="21"/>
      <c r="O499" s="21"/>
      <c r="P499" s="21"/>
      <c r="Q499" s="19"/>
      <c r="R499" s="19"/>
      <c r="S499" s="19"/>
      <c r="T499" s="19"/>
      <c r="U499" s="19"/>
      <c r="V499" s="19"/>
      <c r="W499" s="19"/>
      <c r="X499" s="19"/>
      <c r="Y499" s="19"/>
      <c r="Z499" s="19"/>
    </row>
    <row r="500">
      <c r="A500" s="21"/>
      <c r="B500" s="21"/>
      <c r="C500" s="21"/>
      <c r="D500" s="21"/>
      <c r="E500" s="21"/>
      <c r="F500" s="21"/>
      <c r="G500" s="21"/>
      <c r="H500" s="21"/>
      <c r="I500" s="21"/>
      <c r="J500" s="21"/>
      <c r="K500" s="21"/>
      <c r="L500" s="21"/>
      <c r="M500" s="21"/>
      <c r="N500" s="21"/>
      <c r="O500" s="21"/>
      <c r="P500" s="21"/>
      <c r="Q500" s="19"/>
      <c r="R500" s="19"/>
      <c r="S500" s="19"/>
      <c r="T500" s="19"/>
      <c r="U500" s="19"/>
      <c r="V500" s="19"/>
      <c r="W500" s="19"/>
      <c r="X500" s="19"/>
      <c r="Y500" s="19"/>
      <c r="Z500" s="19"/>
    </row>
    <row r="501">
      <c r="A501" s="21"/>
      <c r="B501" s="21"/>
      <c r="C501" s="21"/>
      <c r="D501" s="21"/>
      <c r="E501" s="21"/>
      <c r="F501" s="21"/>
      <c r="G501" s="21"/>
      <c r="H501" s="21"/>
      <c r="I501" s="21"/>
      <c r="J501" s="21"/>
      <c r="K501" s="21"/>
      <c r="L501" s="21"/>
      <c r="M501" s="21"/>
      <c r="N501" s="21"/>
      <c r="O501" s="21"/>
      <c r="P501" s="21"/>
      <c r="Q501" s="19"/>
      <c r="R501" s="19"/>
      <c r="S501" s="19"/>
      <c r="T501" s="19"/>
      <c r="U501" s="19"/>
      <c r="V501" s="19"/>
      <c r="W501" s="19"/>
      <c r="X501" s="19"/>
      <c r="Y501" s="19"/>
      <c r="Z501" s="19"/>
    </row>
    <row r="502">
      <c r="A502" s="21"/>
      <c r="B502" s="21"/>
      <c r="C502" s="21"/>
      <c r="D502" s="21"/>
      <c r="E502" s="21"/>
      <c r="F502" s="21"/>
      <c r="G502" s="21"/>
      <c r="H502" s="21"/>
      <c r="I502" s="21"/>
      <c r="J502" s="21"/>
      <c r="K502" s="21"/>
      <c r="L502" s="21"/>
      <c r="M502" s="21"/>
      <c r="N502" s="21"/>
      <c r="O502" s="21"/>
      <c r="P502" s="21"/>
      <c r="Q502" s="19"/>
      <c r="R502" s="19"/>
      <c r="S502" s="19"/>
      <c r="T502" s="19"/>
      <c r="U502" s="19"/>
      <c r="V502" s="19"/>
      <c r="W502" s="19"/>
      <c r="X502" s="19"/>
      <c r="Y502" s="19"/>
      <c r="Z502" s="19"/>
    </row>
    <row r="503">
      <c r="A503" s="21"/>
      <c r="B503" s="21"/>
      <c r="C503" s="21"/>
      <c r="D503" s="21"/>
      <c r="E503" s="21"/>
      <c r="F503" s="21"/>
      <c r="G503" s="21"/>
      <c r="H503" s="21"/>
      <c r="I503" s="21"/>
      <c r="J503" s="21"/>
      <c r="K503" s="21"/>
      <c r="L503" s="21"/>
      <c r="M503" s="21"/>
      <c r="N503" s="21"/>
      <c r="O503" s="21"/>
      <c r="P503" s="21"/>
      <c r="Q503" s="19"/>
      <c r="R503" s="19"/>
      <c r="S503" s="19"/>
      <c r="T503" s="19"/>
      <c r="U503" s="19"/>
      <c r="V503" s="19"/>
      <c r="W503" s="19"/>
      <c r="X503" s="19"/>
      <c r="Y503" s="19"/>
      <c r="Z503" s="19"/>
    </row>
    <row r="504">
      <c r="A504" s="21"/>
      <c r="B504" s="21"/>
      <c r="C504" s="21"/>
      <c r="D504" s="21"/>
      <c r="E504" s="21"/>
      <c r="F504" s="21"/>
      <c r="G504" s="21"/>
      <c r="H504" s="21"/>
      <c r="I504" s="21"/>
      <c r="J504" s="21"/>
      <c r="K504" s="21"/>
      <c r="L504" s="21"/>
      <c r="M504" s="21"/>
      <c r="N504" s="21"/>
      <c r="O504" s="21"/>
      <c r="P504" s="21"/>
      <c r="Q504" s="19"/>
      <c r="R504" s="19"/>
      <c r="S504" s="19"/>
      <c r="T504" s="19"/>
      <c r="U504" s="19"/>
      <c r="V504" s="19"/>
      <c r="W504" s="19"/>
      <c r="X504" s="19"/>
      <c r="Y504" s="19"/>
      <c r="Z504" s="19"/>
    </row>
    <row r="505">
      <c r="A505" s="21"/>
      <c r="B505" s="21"/>
      <c r="C505" s="21"/>
      <c r="D505" s="21"/>
      <c r="E505" s="21"/>
      <c r="F505" s="21"/>
      <c r="G505" s="21"/>
      <c r="H505" s="21"/>
      <c r="I505" s="21"/>
      <c r="J505" s="21"/>
      <c r="K505" s="21"/>
      <c r="L505" s="21"/>
      <c r="M505" s="21"/>
      <c r="N505" s="21"/>
      <c r="O505" s="21"/>
      <c r="P505" s="21"/>
      <c r="Q505" s="19"/>
      <c r="R505" s="19"/>
      <c r="S505" s="19"/>
      <c r="T505" s="19"/>
      <c r="U505" s="19"/>
      <c r="V505" s="19"/>
      <c r="W505" s="19"/>
      <c r="X505" s="19"/>
      <c r="Y505" s="19"/>
      <c r="Z505" s="19"/>
    </row>
    <row r="506">
      <c r="A506" s="21"/>
      <c r="B506" s="21"/>
      <c r="C506" s="21"/>
      <c r="D506" s="21"/>
      <c r="E506" s="21"/>
      <c r="F506" s="21"/>
      <c r="G506" s="21"/>
      <c r="H506" s="21"/>
      <c r="I506" s="21"/>
      <c r="J506" s="21"/>
      <c r="K506" s="21"/>
      <c r="L506" s="21"/>
      <c r="M506" s="21"/>
      <c r="N506" s="21"/>
      <c r="O506" s="21"/>
      <c r="P506" s="21"/>
      <c r="Q506" s="19"/>
      <c r="R506" s="19"/>
      <c r="S506" s="19"/>
      <c r="T506" s="19"/>
      <c r="U506" s="19"/>
      <c r="V506" s="19"/>
      <c r="W506" s="19"/>
      <c r="X506" s="19"/>
      <c r="Y506" s="19"/>
      <c r="Z506" s="19"/>
    </row>
    <row r="507">
      <c r="A507" s="21"/>
      <c r="B507" s="21"/>
      <c r="C507" s="21"/>
      <c r="D507" s="21"/>
      <c r="E507" s="21"/>
      <c r="F507" s="21"/>
      <c r="G507" s="21"/>
      <c r="H507" s="21"/>
      <c r="I507" s="21"/>
      <c r="J507" s="21"/>
      <c r="K507" s="21"/>
      <c r="L507" s="21"/>
      <c r="M507" s="21"/>
      <c r="N507" s="21"/>
      <c r="O507" s="21"/>
      <c r="P507" s="21"/>
      <c r="Q507" s="19"/>
      <c r="R507" s="19"/>
      <c r="S507" s="19"/>
      <c r="T507" s="19"/>
      <c r="U507" s="19"/>
      <c r="V507" s="19"/>
      <c r="W507" s="19"/>
      <c r="X507" s="19"/>
      <c r="Y507" s="19"/>
      <c r="Z507" s="19"/>
    </row>
    <row r="508">
      <c r="A508" s="21"/>
      <c r="B508" s="21"/>
      <c r="C508" s="21"/>
      <c r="D508" s="21"/>
      <c r="E508" s="21"/>
      <c r="F508" s="21"/>
      <c r="G508" s="21"/>
      <c r="H508" s="21"/>
      <c r="I508" s="21"/>
      <c r="J508" s="21"/>
      <c r="K508" s="21"/>
      <c r="L508" s="21"/>
      <c r="M508" s="21"/>
      <c r="N508" s="21"/>
      <c r="O508" s="21"/>
      <c r="P508" s="21"/>
      <c r="Q508" s="19"/>
      <c r="R508" s="19"/>
      <c r="S508" s="19"/>
      <c r="T508" s="19"/>
      <c r="U508" s="19"/>
      <c r="V508" s="19"/>
      <c r="W508" s="19"/>
      <c r="X508" s="19"/>
      <c r="Y508" s="19"/>
      <c r="Z508" s="19"/>
    </row>
    <row r="509">
      <c r="A509" s="21"/>
      <c r="B509" s="21"/>
      <c r="C509" s="21"/>
      <c r="D509" s="21"/>
      <c r="E509" s="21"/>
      <c r="F509" s="21"/>
      <c r="G509" s="21"/>
      <c r="H509" s="21"/>
      <c r="I509" s="21"/>
      <c r="J509" s="21"/>
      <c r="K509" s="21"/>
      <c r="L509" s="21"/>
      <c r="M509" s="21"/>
      <c r="N509" s="21"/>
      <c r="O509" s="21"/>
      <c r="P509" s="21"/>
      <c r="Q509" s="19"/>
      <c r="R509" s="19"/>
      <c r="S509" s="19"/>
      <c r="T509" s="19"/>
      <c r="U509" s="19"/>
      <c r="V509" s="19"/>
      <c r="W509" s="19"/>
      <c r="X509" s="19"/>
      <c r="Y509" s="19"/>
      <c r="Z509" s="19"/>
    </row>
    <row r="510">
      <c r="A510" s="21"/>
      <c r="B510" s="21"/>
      <c r="C510" s="21"/>
      <c r="D510" s="21"/>
      <c r="E510" s="21"/>
      <c r="F510" s="21"/>
      <c r="G510" s="21"/>
      <c r="H510" s="21"/>
      <c r="I510" s="21"/>
      <c r="J510" s="21"/>
      <c r="K510" s="21"/>
      <c r="L510" s="21"/>
      <c r="M510" s="21"/>
      <c r="N510" s="21"/>
      <c r="O510" s="21"/>
      <c r="P510" s="21"/>
      <c r="Q510" s="19"/>
      <c r="R510" s="19"/>
      <c r="S510" s="19"/>
      <c r="T510" s="19"/>
      <c r="U510" s="19"/>
      <c r="V510" s="19"/>
      <c r="W510" s="19"/>
      <c r="X510" s="19"/>
      <c r="Y510" s="19"/>
      <c r="Z510" s="19"/>
    </row>
    <row r="511">
      <c r="A511" s="21"/>
      <c r="B511" s="21"/>
      <c r="C511" s="21"/>
      <c r="D511" s="21"/>
      <c r="E511" s="21"/>
      <c r="F511" s="21"/>
      <c r="G511" s="21"/>
      <c r="H511" s="21"/>
      <c r="I511" s="21"/>
      <c r="J511" s="21"/>
      <c r="K511" s="21"/>
      <c r="L511" s="21"/>
      <c r="M511" s="21"/>
      <c r="N511" s="21"/>
      <c r="O511" s="21"/>
      <c r="P511" s="21"/>
      <c r="Q511" s="19"/>
      <c r="R511" s="19"/>
      <c r="S511" s="19"/>
      <c r="T511" s="19"/>
      <c r="U511" s="19"/>
      <c r="V511" s="19"/>
      <c r="W511" s="19"/>
      <c r="X511" s="19"/>
      <c r="Y511" s="19"/>
      <c r="Z511" s="19"/>
    </row>
    <row r="512">
      <c r="A512" s="21"/>
      <c r="B512" s="21"/>
      <c r="C512" s="21"/>
      <c r="D512" s="21"/>
      <c r="E512" s="21"/>
      <c r="F512" s="21"/>
      <c r="G512" s="21"/>
      <c r="H512" s="21"/>
      <c r="I512" s="21"/>
      <c r="J512" s="21"/>
      <c r="K512" s="21"/>
      <c r="L512" s="21"/>
      <c r="M512" s="21"/>
      <c r="N512" s="21"/>
      <c r="O512" s="21"/>
      <c r="P512" s="21"/>
      <c r="Q512" s="19"/>
      <c r="R512" s="19"/>
      <c r="S512" s="19"/>
      <c r="T512" s="19"/>
      <c r="U512" s="19"/>
      <c r="V512" s="19"/>
      <c r="W512" s="19"/>
      <c r="X512" s="19"/>
      <c r="Y512" s="19"/>
      <c r="Z512" s="19"/>
    </row>
    <row r="513">
      <c r="A513" s="21"/>
      <c r="B513" s="21"/>
      <c r="C513" s="21"/>
      <c r="D513" s="21"/>
      <c r="E513" s="21"/>
      <c r="F513" s="21"/>
      <c r="G513" s="21"/>
      <c r="H513" s="21"/>
      <c r="I513" s="21"/>
      <c r="J513" s="21"/>
      <c r="K513" s="21"/>
      <c r="L513" s="21"/>
      <c r="M513" s="21"/>
      <c r="N513" s="21"/>
      <c r="O513" s="21"/>
      <c r="P513" s="21"/>
      <c r="Q513" s="19"/>
      <c r="R513" s="19"/>
      <c r="S513" s="19"/>
      <c r="T513" s="19"/>
      <c r="U513" s="19"/>
      <c r="V513" s="19"/>
      <c r="W513" s="19"/>
      <c r="X513" s="19"/>
      <c r="Y513" s="19"/>
      <c r="Z513" s="19"/>
    </row>
    <row r="514">
      <c r="A514" s="21"/>
      <c r="B514" s="21"/>
      <c r="C514" s="21"/>
      <c r="D514" s="21"/>
      <c r="E514" s="21"/>
      <c r="F514" s="21"/>
      <c r="G514" s="21"/>
      <c r="H514" s="21"/>
      <c r="I514" s="21"/>
      <c r="J514" s="21"/>
      <c r="K514" s="21"/>
      <c r="L514" s="21"/>
      <c r="M514" s="21"/>
      <c r="N514" s="21"/>
      <c r="O514" s="21"/>
      <c r="P514" s="21"/>
      <c r="Q514" s="19"/>
      <c r="R514" s="19"/>
      <c r="S514" s="19"/>
      <c r="T514" s="19"/>
      <c r="U514" s="19"/>
      <c r="V514" s="19"/>
      <c r="W514" s="19"/>
      <c r="X514" s="19"/>
      <c r="Y514" s="19"/>
      <c r="Z514" s="19"/>
    </row>
    <row r="515">
      <c r="A515" s="21"/>
      <c r="B515" s="21"/>
      <c r="C515" s="21"/>
      <c r="D515" s="21"/>
      <c r="E515" s="21"/>
      <c r="F515" s="21"/>
      <c r="G515" s="21"/>
      <c r="H515" s="21"/>
      <c r="I515" s="21"/>
      <c r="J515" s="21"/>
      <c r="K515" s="21"/>
      <c r="L515" s="21"/>
      <c r="M515" s="21"/>
      <c r="N515" s="21"/>
      <c r="O515" s="21"/>
      <c r="P515" s="21"/>
      <c r="Q515" s="19"/>
      <c r="R515" s="19"/>
      <c r="S515" s="19"/>
      <c r="T515" s="19"/>
      <c r="U515" s="19"/>
      <c r="V515" s="19"/>
      <c r="W515" s="19"/>
      <c r="X515" s="19"/>
      <c r="Y515" s="19"/>
      <c r="Z515" s="19"/>
    </row>
    <row r="516">
      <c r="A516" s="21"/>
      <c r="B516" s="21"/>
      <c r="C516" s="21"/>
      <c r="D516" s="21"/>
      <c r="E516" s="21"/>
      <c r="F516" s="21"/>
      <c r="G516" s="21"/>
      <c r="H516" s="21"/>
      <c r="I516" s="21"/>
      <c r="J516" s="21"/>
      <c r="K516" s="21"/>
      <c r="L516" s="21"/>
      <c r="M516" s="21"/>
      <c r="N516" s="21"/>
      <c r="O516" s="21"/>
      <c r="P516" s="21"/>
      <c r="Q516" s="19"/>
      <c r="R516" s="19"/>
      <c r="S516" s="19"/>
      <c r="T516" s="19"/>
      <c r="U516" s="19"/>
      <c r="V516" s="19"/>
      <c r="W516" s="19"/>
      <c r="X516" s="19"/>
      <c r="Y516" s="19"/>
      <c r="Z516" s="19"/>
    </row>
    <row r="517">
      <c r="A517" s="21"/>
      <c r="B517" s="21"/>
      <c r="C517" s="21"/>
      <c r="D517" s="21"/>
      <c r="E517" s="21"/>
      <c r="F517" s="21"/>
      <c r="G517" s="21"/>
      <c r="H517" s="21"/>
      <c r="I517" s="21"/>
      <c r="J517" s="21"/>
      <c r="K517" s="21"/>
      <c r="L517" s="21"/>
      <c r="M517" s="21"/>
      <c r="N517" s="21"/>
      <c r="O517" s="21"/>
      <c r="P517" s="21"/>
      <c r="Q517" s="19"/>
      <c r="R517" s="19"/>
      <c r="S517" s="19"/>
      <c r="T517" s="19"/>
      <c r="U517" s="19"/>
      <c r="V517" s="19"/>
      <c r="W517" s="19"/>
      <c r="X517" s="19"/>
      <c r="Y517" s="19"/>
      <c r="Z517" s="19"/>
    </row>
    <row r="518">
      <c r="A518" s="21"/>
      <c r="B518" s="21"/>
      <c r="C518" s="21"/>
      <c r="D518" s="21"/>
      <c r="E518" s="21"/>
      <c r="F518" s="21"/>
      <c r="G518" s="21"/>
      <c r="H518" s="21"/>
      <c r="I518" s="21"/>
      <c r="J518" s="21"/>
      <c r="K518" s="21"/>
      <c r="L518" s="21"/>
      <c r="M518" s="21"/>
      <c r="N518" s="21"/>
      <c r="O518" s="21"/>
      <c r="P518" s="21"/>
      <c r="Q518" s="19"/>
      <c r="R518" s="19"/>
      <c r="S518" s="19"/>
      <c r="T518" s="19"/>
      <c r="U518" s="19"/>
      <c r="V518" s="19"/>
      <c r="W518" s="19"/>
      <c r="X518" s="19"/>
      <c r="Y518" s="19"/>
      <c r="Z518" s="19"/>
    </row>
    <row r="519">
      <c r="A519" s="21"/>
      <c r="B519" s="21"/>
      <c r="C519" s="21"/>
      <c r="D519" s="21"/>
      <c r="E519" s="21"/>
      <c r="F519" s="21"/>
      <c r="G519" s="21"/>
      <c r="H519" s="21"/>
      <c r="I519" s="21"/>
      <c r="J519" s="21"/>
      <c r="K519" s="21"/>
      <c r="L519" s="21"/>
      <c r="M519" s="21"/>
      <c r="N519" s="21"/>
      <c r="O519" s="21"/>
      <c r="P519" s="21"/>
      <c r="Q519" s="19"/>
      <c r="R519" s="19"/>
      <c r="S519" s="19"/>
      <c r="T519" s="19"/>
      <c r="U519" s="19"/>
      <c r="V519" s="19"/>
      <c r="W519" s="19"/>
      <c r="X519" s="19"/>
      <c r="Y519" s="19"/>
      <c r="Z519" s="19"/>
    </row>
    <row r="520">
      <c r="A520" s="21"/>
      <c r="B520" s="21"/>
      <c r="C520" s="21"/>
      <c r="D520" s="21"/>
      <c r="E520" s="21"/>
      <c r="F520" s="21"/>
      <c r="G520" s="21"/>
      <c r="H520" s="21"/>
      <c r="I520" s="21"/>
      <c r="J520" s="21"/>
      <c r="K520" s="21"/>
      <c r="L520" s="21"/>
      <c r="M520" s="21"/>
      <c r="N520" s="21"/>
      <c r="O520" s="21"/>
      <c r="P520" s="21"/>
      <c r="Q520" s="19"/>
      <c r="R520" s="19"/>
      <c r="S520" s="19"/>
      <c r="T520" s="19"/>
      <c r="U520" s="19"/>
      <c r="V520" s="19"/>
      <c r="W520" s="19"/>
      <c r="X520" s="19"/>
      <c r="Y520" s="19"/>
      <c r="Z520" s="19"/>
    </row>
    <row r="521">
      <c r="A521" s="21"/>
      <c r="B521" s="21"/>
      <c r="C521" s="21"/>
      <c r="D521" s="21"/>
      <c r="E521" s="21"/>
      <c r="F521" s="21"/>
      <c r="G521" s="21"/>
      <c r="H521" s="21"/>
      <c r="I521" s="21"/>
      <c r="J521" s="21"/>
      <c r="K521" s="21"/>
      <c r="L521" s="21"/>
      <c r="M521" s="21"/>
      <c r="N521" s="21"/>
      <c r="O521" s="21"/>
      <c r="P521" s="21"/>
      <c r="Q521" s="19"/>
      <c r="R521" s="19"/>
      <c r="S521" s="19"/>
      <c r="T521" s="19"/>
      <c r="U521" s="19"/>
      <c r="V521" s="19"/>
      <c r="W521" s="19"/>
      <c r="X521" s="19"/>
      <c r="Y521" s="19"/>
      <c r="Z521" s="19"/>
    </row>
    <row r="522">
      <c r="A522" s="21"/>
      <c r="B522" s="21"/>
      <c r="C522" s="21"/>
      <c r="D522" s="21"/>
      <c r="E522" s="21"/>
      <c r="F522" s="21"/>
      <c r="G522" s="21"/>
      <c r="H522" s="21"/>
      <c r="I522" s="21"/>
      <c r="J522" s="21"/>
      <c r="K522" s="21"/>
      <c r="L522" s="21"/>
      <c r="M522" s="21"/>
      <c r="N522" s="21"/>
      <c r="O522" s="21"/>
      <c r="P522" s="21"/>
      <c r="Q522" s="19"/>
      <c r="R522" s="19"/>
      <c r="S522" s="19"/>
      <c r="T522" s="19"/>
      <c r="U522" s="19"/>
      <c r="V522" s="19"/>
      <c r="W522" s="19"/>
      <c r="X522" s="19"/>
      <c r="Y522" s="19"/>
      <c r="Z522" s="19"/>
    </row>
    <row r="523">
      <c r="A523" s="21"/>
      <c r="B523" s="21"/>
      <c r="C523" s="21"/>
      <c r="D523" s="21"/>
      <c r="E523" s="21"/>
      <c r="F523" s="21"/>
      <c r="G523" s="21"/>
      <c r="H523" s="21"/>
      <c r="I523" s="21"/>
      <c r="J523" s="21"/>
      <c r="K523" s="21"/>
      <c r="L523" s="21"/>
      <c r="M523" s="21"/>
      <c r="N523" s="21"/>
      <c r="O523" s="21"/>
      <c r="P523" s="21"/>
      <c r="Q523" s="19"/>
      <c r="R523" s="19"/>
      <c r="S523" s="19"/>
      <c r="T523" s="19"/>
      <c r="U523" s="19"/>
      <c r="V523" s="19"/>
      <c r="W523" s="19"/>
      <c r="X523" s="19"/>
      <c r="Y523" s="19"/>
      <c r="Z523" s="19"/>
    </row>
    <row r="524">
      <c r="A524" s="21"/>
      <c r="B524" s="21"/>
      <c r="C524" s="21"/>
      <c r="D524" s="21"/>
      <c r="E524" s="21"/>
      <c r="F524" s="21"/>
      <c r="G524" s="21"/>
      <c r="H524" s="21"/>
      <c r="I524" s="21"/>
      <c r="J524" s="21"/>
      <c r="K524" s="21"/>
      <c r="L524" s="21"/>
      <c r="M524" s="21"/>
      <c r="N524" s="21"/>
      <c r="O524" s="21"/>
      <c r="P524" s="21"/>
      <c r="Q524" s="19"/>
      <c r="R524" s="19"/>
      <c r="S524" s="19"/>
      <c r="T524" s="19"/>
      <c r="U524" s="19"/>
      <c r="V524" s="19"/>
      <c r="W524" s="19"/>
      <c r="X524" s="19"/>
      <c r="Y524" s="19"/>
      <c r="Z524" s="19"/>
    </row>
    <row r="525">
      <c r="A525" s="21"/>
      <c r="B525" s="21"/>
      <c r="C525" s="21"/>
      <c r="D525" s="21"/>
      <c r="E525" s="21"/>
      <c r="F525" s="21"/>
      <c r="G525" s="21"/>
      <c r="H525" s="21"/>
      <c r="I525" s="21"/>
      <c r="J525" s="21"/>
      <c r="K525" s="21"/>
      <c r="L525" s="21"/>
      <c r="M525" s="21"/>
      <c r="N525" s="21"/>
      <c r="O525" s="21"/>
      <c r="P525" s="21"/>
      <c r="Q525" s="19"/>
      <c r="R525" s="19"/>
      <c r="S525" s="19"/>
      <c r="T525" s="19"/>
      <c r="U525" s="19"/>
      <c r="V525" s="19"/>
      <c r="W525" s="19"/>
      <c r="X525" s="19"/>
      <c r="Y525" s="19"/>
      <c r="Z525" s="19"/>
    </row>
    <row r="526">
      <c r="A526" s="21"/>
      <c r="B526" s="21"/>
      <c r="C526" s="21"/>
      <c r="D526" s="21"/>
      <c r="E526" s="21"/>
      <c r="F526" s="21"/>
      <c r="G526" s="21"/>
      <c r="H526" s="21"/>
      <c r="I526" s="21"/>
      <c r="J526" s="21"/>
      <c r="K526" s="21"/>
      <c r="L526" s="21"/>
      <c r="M526" s="21"/>
      <c r="N526" s="21"/>
      <c r="O526" s="21"/>
      <c r="P526" s="21"/>
      <c r="Q526" s="19"/>
      <c r="R526" s="19"/>
      <c r="S526" s="19"/>
      <c r="T526" s="19"/>
      <c r="U526" s="19"/>
      <c r="V526" s="19"/>
      <c r="W526" s="19"/>
      <c r="X526" s="19"/>
      <c r="Y526" s="19"/>
      <c r="Z526" s="19"/>
    </row>
    <row r="527">
      <c r="A527" s="21"/>
      <c r="B527" s="21"/>
      <c r="C527" s="21"/>
      <c r="D527" s="21"/>
      <c r="E527" s="21"/>
      <c r="F527" s="21"/>
      <c r="G527" s="21"/>
      <c r="H527" s="21"/>
      <c r="I527" s="21"/>
      <c r="J527" s="21"/>
      <c r="K527" s="21"/>
      <c r="L527" s="21"/>
      <c r="M527" s="21"/>
      <c r="N527" s="21"/>
      <c r="O527" s="21"/>
      <c r="P527" s="21"/>
      <c r="Q527" s="19"/>
      <c r="R527" s="19"/>
      <c r="S527" s="19"/>
      <c r="T527" s="19"/>
      <c r="U527" s="19"/>
      <c r="V527" s="19"/>
      <c r="W527" s="19"/>
      <c r="X527" s="19"/>
      <c r="Y527" s="19"/>
      <c r="Z527" s="19"/>
    </row>
    <row r="528">
      <c r="A528" s="21"/>
      <c r="B528" s="21"/>
      <c r="C528" s="21"/>
      <c r="D528" s="21"/>
      <c r="E528" s="21"/>
      <c r="F528" s="21"/>
      <c r="G528" s="21"/>
      <c r="H528" s="21"/>
      <c r="I528" s="21"/>
      <c r="J528" s="21"/>
      <c r="K528" s="21"/>
      <c r="L528" s="21"/>
      <c r="M528" s="21"/>
      <c r="N528" s="21"/>
      <c r="O528" s="21"/>
      <c r="P528" s="21"/>
      <c r="Q528" s="19"/>
      <c r="R528" s="19"/>
      <c r="S528" s="19"/>
      <c r="T528" s="19"/>
      <c r="U528" s="19"/>
      <c r="V528" s="19"/>
      <c r="W528" s="19"/>
      <c r="X528" s="19"/>
      <c r="Y528" s="19"/>
      <c r="Z528" s="19"/>
    </row>
    <row r="529">
      <c r="A529" s="21"/>
      <c r="B529" s="21"/>
      <c r="C529" s="21"/>
      <c r="D529" s="21"/>
      <c r="E529" s="21"/>
      <c r="F529" s="21"/>
      <c r="G529" s="21"/>
      <c r="H529" s="21"/>
      <c r="I529" s="21"/>
      <c r="J529" s="21"/>
      <c r="K529" s="21"/>
      <c r="L529" s="21"/>
      <c r="M529" s="21"/>
      <c r="N529" s="21"/>
      <c r="O529" s="21"/>
      <c r="P529" s="21"/>
      <c r="Q529" s="19"/>
      <c r="R529" s="19"/>
      <c r="S529" s="19"/>
      <c r="T529" s="19"/>
      <c r="U529" s="19"/>
      <c r="V529" s="19"/>
      <c r="W529" s="19"/>
      <c r="X529" s="19"/>
      <c r="Y529" s="19"/>
      <c r="Z529" s="19"/>
    </row>
    <row r="530">
      <c r="A530" s="21"/>
      <c r="B530" s="21"/>
      <c r="C530" s="21"/>
      <c r="D530" s="21"/>
      <c r="E530" s="21"/>
      <c r="F530" s="21"/>
      <c r="G530" s="21"/>
      <c r="H530" s="21"/>
      <c r="I530" s="21"/>
      <c r="J530" s="21"/>
      <c r="K530" s="21"/>
      <c r="L530" s="21"/>
      <c r="M530" s="21"/>
      <c r="N530" s="21"/>
      <c r="O530" s="21"/>
      <c r="P530" s="21"/>
      <c r="Q530" s="19"/>
      <c r="R530" s="19"/>
      <c r="S530" s="19"/>
      <c r="T530" s="19"/>
      <c r="U530" s="19"/>
      <c r="V530" s="19"/>
      <c r="W530" s="19"/>
      <c r="X530" s="19"/>
      <c r="Y530" s="19"/>
      <c r="Z530" s="19"/>
    </row>
    <row r="531">
      <c r="A531" s="21"/>
      <c r="B531" s="21"/>
      <c r="C531" s="21"/>
      <c r="D531" s="21"/>
      <c r="E531" s="21"/>
      <c r="F531" s="21"/>
      <c r="G531" s="21"/>
      <c r="H531" s="21"/>
      <c r="I531" s="21"/>
      <c r="J531" s="21"/>
      <c r="K531" s="21"/>
      <c r="L531" s="21"/>
      <c r="M531" s="21"/>
      <c r="N531" s="21"/>
      <c r="O531" s="21"/>
      <c r="P531" s="21"/>
      <c r="Q531" s="19"/>
      <c r="R531" s="19"/>
      <c r="S531" s="19"/>
      <c r="T531" s="19"/>
      <c r="U531" s="19"/>
      <c r="V531" s="19"/>
      <c r="W531" s="19"/>
      <c r="X531" s="19"/>
      <c r="Y531" s="19"/>
      <c r="Z531" s="19"/>
    </row>
    <row r="532">
      <c r="A532" s="21"/>
      <c r="B532" s="21"/>
      <c r="C532" s="21"/>
      <c r="D532" s="21"/>
      <c r="E532" s="21"/>
      <c r="F532" s="21"/>
      <c r="G532" s="21"/>
      <c r="H532" s="21"/>
      <c r="I532" s="21"/>
      <c r="J532" s="21"/>
      <c r="K532" s="21"/>
      <c r="L532" s="21"/>
      <c r="M532" s="21"/>
      <c r="N532" s="21"/>
      <c r="O532" s="21"/>
      <c r="P532" s="21"/>
      <c r="Q532" s="19"/>
      <c r="R532" s="19"/>
      <c r="S532" s="19"/>
      <c r="T532" s="19"/>
      <c r="U532" s="19"/>
      <c r="V532" s="19"/>
      <c r="W532" s="19"/>
      <c r="X532" s="19"/>
      <c r="Y532" s="19"/>
      <c r="Z532" s="19"/>
    </row>
    <row r="533">
      <c r="A533" s="21"/>
      <c r="B533" s="21"/>
      <c r="C533" s="21"/>
      <c r="D533" s="21"/>
      <c r="E533" s="21"/>
      <c r="F533" s="21"/>
      <c r="G533" s="21"/>
      <c r="H533" s="21"/>
      <c r="I533" s="21"/>
      <c r="J533" s="21"/>
      <c r="K533" s="21"/>
      <c r="L533" s="21"/>
      <c r="M533" s="21"/>
      <c r="N533" s="21"/>
      <c r="O533" s="21"/>
      <c r="P533" s="21"/>
      <c r="Q533" s="19"/>
      <c r="R533" s="19"/>
      <c r="S533" s="19"/>
      <c r="T533" s="19"/>
      <c r="U533" s="19"/>
      <c r="V533" s="19"/>
      <c r="W533" s="19"/>
      <c r="X533" s="19"/>
      <c r="Y533" s="19"/>
      <c r="Z533" s="19"/>
    </row>
    <row r="534">
      <c r="A534" s="21"/>
      <c r="B534" s="21"/>
      <c r="C534" s="21"/>
      <c r="D534" s="21"/>
      <c r="E534" s="21"/>
      <c r="F534" s="21"/>
      <c r="G534" s="21"/>
      <c r="H534" s="21"/>
      <c r="I534" s="21"/>
      <c r="J534" s="21"/>
      <c r="K534" s="21"/>
      <c r="L534" s="21"/>
      <c r="M534" s="21"/>
      <c r="N534" s="21"/>
      <c r="O534" s="21"/>
      <c r="P534" s="21"/>
      <c r="Q534" s="19"/>
      <c r="R534" s="19"/>
      <c r="S534" s="19"/>
      <c r="T534" s="19"/>
      <c r="U534" s="19"/>
      <c r="V534" s="19"/>
      <c r="W534" s="19"/>
      <c r="X534" s="19"/>
      <c r="Y534" s="19"/>
      <c r="Z534" s="19"/>
    </row>
    <row r="535">
      <c r="A535" s="21"/>
      <c r="B535" s="21"/>
      <c r="C535" s="21"/>
      <c r="D535" s="21"/>
      <c r="E535" s="21"/>
      <c r="F535" s="21"/>
      <c r="G535" s="21"/>
      <c r="H535" s="21"/>
      <c r="I535" s="21"/>
      <c r="J535" s="21"/>
      <c r="K535" s="21"/>
      <c r="L535" s="21"/>
      <c r="M535" s="21"/>
      <c r="N535" s="21"/>
      <c r="O535" s="21"/>
      <c r="P535" s="21"/>
      <c r="Q535" s="19"/>
      <c r="R535" s="19"/>
      <c r="S535" s="19"/>
      <c r="T535" s="19"/>
      <c r="U535" s="19"/>
      <c r="V535" s="19"/>
      <c r="W535" s="19"/>
      <c r="X535" s="19"/>
      <c r="Y535" s="19"/>
      <c r="Z535" s="19"/>
    </row>
    <row r="536">
      <c r="A536" s="21"/>
      <c r="B536" s="21"/>
      <c r="C536" s="21"/>
      <c r="D536" s="21"/>
      <c r="E536" s="21"/>
      <c r="F536" s="21"/>
      <c r="G536" s="21"/>
      <c r="H536" s="21"/>
      <c r="I536" s="21"/>
      <c r="J536" s="21"/>
      <c r="K536" s="21"/>
      <c r="L536" s="21"/>
      <c r="M536" s="21"/>
      <c r="N536" s="21"/>
      <c r="O536" s="21"/>
      <c r="P536" s="21"/>
      <c r="Q536" s="19"/>
      <c r="R536" s="19"/>
      <c r="S536" s="19"/>
      <c r="T536" s="19"/>
      <c r="U536" s="19"/>
      <c r="V536" s="19"/>
      <c r="W536" s="19"/>
      <c r="X536" s="19"/>
      <c r="Y536" s="19"/>
      <c r="Z536" s="19"/>
    </row>
    <row r="537">
      <c r="A537" s="21"/>
      <c r="B537" s="21"/>
      <c r="C537" s="21"/>
      <c r="D537" s="21"/>
      <c r="E537" s="21"/>
      <c r="F537" s="21"/>
      <c r="G537" s="21"/>
      <c r="H537" s="21"/>
      <c r="I537" s="21"/>
      <c r="J537" s="21"/>
      <c r="K537" s="21"/>
      <c r="L537" s="21"/>
      <c r="M537" s="21"/>
      <c r="N537" s="21"/>
      <c r="O537" s="21"/>
      <c r="P537" s="21"/>
      <c r="Q537" s="19"/>
      <c r="R537" s="19"/>
      <c r="S537" s="19"/>
      <c r="T537" s="19"/>
      <c r="U537" s="19"/>
      <c r="V537" s="19"/>
      <c r="W537" s="19"/>
      <c r="X537" s="19"/>
      <c r="Y537" s="19"/>
      <c r="Z537" s="19"/>
    </row>
    <row r="538">
      <c r="A538" s="21"/>
      <c r="B538" s="21"/>
      <c r="C538" s="21"/>
      <c r="D538" s="21"/>
      <c r="E538" s="21"/>
      <c r="F538" s="21"/>
      <c r="G538" s="21"/>
      <c r="H538" s="21"/>
      <c r="I538" s="21"/>
      <c r="J538" s="21"/>
      <c r="K538" s="21"/>
      <c r="L538" s="21"/>
      <c r="M538" s="21"/>
      <c r="N538" s="21"/>
      <c r="O538" s="21"/>
      <c r="P538" s="21"/>
      <c r="Q538" s="19"/>
      <c r="R538" s="19"/>
      <c r="S538" s="19"/>
      <c r="T538" s="19"/>
      <c r="U538" s="19"/>
      <c r="V538" s="19"/>
      <c r="W538" s="19"/>
      <c r="X538" s="19"/>
      <c r="Y538" s="19"/>
      <c r="Z538" s="19"/>
    </row>
    <row r="539">
      <c r="A539" s="21"/>
      <c r="B539" s="21"/>
      <c r="C539" s="21"/>
      <c r="D539" s="21"/>
      <c r="E539" s="21"/>
      <c r="F539" s="21"/>
      <c r="G539" s="21"/>
      <c r="H539" s="21"/>
      <c r="I539" s="21"/>
      <c r="J539" s="21"/>
      <c r="K539" s="21"/>
      <c r="L539" s="21"/>
      <c r="M539" s="21"/>
      <c r="N539" s="21"/>
      <c r="O539" s="21"/>
      <c r="P539" s="21"/>
      <c r="Q539" s="19"/>
      <c r="R539" s="19"/>
      <c r="S539" s="19"/>
      <c r="T539" s="19"/>
      <c r="U539" s="19"/>
      <c r="V539" s="19"/>
      <c r="W539" s="19"/>
      <c r="X539" s="19"/>
      <c r="Y539" s="19"/>
      <c r="Z539" s="19"/>
    </row>
    <row r="540">
      <c r="A540" s="21"/>
      <c r="B540" s="21"/>
      <c r="C540" s="21"/>
      <c r="D540" s="21"/>
      <c r="E540" s="21"/>
      <c r="F540" s="21"/>
      <c r="G540" s="21"/>
      <c r="H540" s="21"/>
      <c r="I540" s="21"/>
      <c r="J540" s="21"/>
      <c r="K540" s="21"/>
      <c r="L540" s="21"/>
      <c r="M540" s="21"/>
      <c r="N540" s="21"/>
      <c r="O540" s="21"/>
      <c r="P540" s="21"/>
      <c r="Q540" s="19"/>
      <c r="R540" s="19"/>
      <c r="S540" s="19"/>
      <c r="T540" s="19"/>
      <c r="U540" s="19"/>
      <c r="V540" s="19"/>
      <c r="W540" s="19"/>
      <c r="X540" s="19"/>
      <c r="Y540" s="19"/>
      <c r="Z540" s="19"/>
    </row>
    <row r="541">
      <c r="A541" s="21"/>
      <c r="B541" s="21"/>
      <c r="C541" s="21"/>
      <c r="D541" s="21"/>
      <c r="E541" s="21"/>
      <c r="F541" s="21"/>
      <c r="G541" s="21"/>
      <c r="H541" s="21"/>
      <c r="I541" s="21"/>
      <c r="J541" s="21"/>
      <c r="K541" s="21"/>
      <c r="L541" s="21"/>
      <c r="M541" s="21"/>
      <c r="N541" s="21"/>
      <c r="O541" s="21"/>
      <c r="P541" s="21"/>
      <c r="Q541" s="19"/>
      <c r="R541" s="19"/>
      <c r="S541" s="19"/>
      <c r="T541" s="19"/>
      <c r="U541" s="19"/>
      <c r="V541" s="19"/>
      <c r="W541" s="19"/>
      <c r="X541" s="19"/>
      <c r="Y541" s="19"/>
      <c r="Z541" s="19"/>
    </row>
    <row r="542">
      <c r="A542" s="21"/>
      <c r="B542" s="21"/>
      <c r="C542" s="21"/>
      <c r="D542" s="21"/>
      <c r="E542" s="21"/>
      <c r="F542" s="21"/>
      <c r="G542" s="21"/>
      <c r="H542" s="21"/>
      <c r="I542" s="21"/>
      <c r="J542" s="21"/>
      <c r="K542" s="21"/>
      <c r="L542" s="21"/>
      <c r="M542" s="21"/>
      <c r="N542" s="21"/>
      <c r="O542" s="21"/>
      <c r="P542" s="21"/>
      <c r="Q542" s="19"/>
      <c r="R542" s="19"/>
      <c r="S542" s="19"/>
      <c r="T542" s="19"/>
      <c r="U542" s="19"/>
      <c r="V542" s="19"/>
      <c r="W542" s="19"/>
      <c r="X542" s="19"/>
      <c r="Y542" s="19"/>
      <c r="Z542" s="19"/>
    </row>
    <row r="543">
      <c r="A543" s="21"/>
      <c r="B543" s="21"/>
      <c r="C543" s="21"/>
      <c r="D543" s="21"/>
      <c r="E543" s="21"/>
      <c r="F543" s="21"/>
      <c r="G543" s="21"/>
      <c r="H543" s="21"/>
      <c r="I543" s="21"/>
      <c r="J543" s="21"/>
      <c r="K543" s="21"/>
      <c r="L543" s="21"/>
      <c r="M543" s="21"/>
      <c r="N543" s="21"/>
      <c r="O543" s="21"/>
      <c r="P543" s="21"/>
      <c r="Q543" s="19"/>
      <c r="R543" s="19"/>
      <c r="S543" s="19"/>
      <c r="T543" s="19"/>
      <c r="U543" s="19"/>
      <c r="V543" s="19"/>
      <c r="W543" s="19"/>
      <c r="X543" s="19"/>
      <c r="Y543" s="19"/>
      <c r="Z543" s="19"/>
    </row>
    <row r="544">
      <c r="A544" s="21"/>
      <c r="B544" s="21"/>
      <c r="C544" s="21"/>
      <c r="D544" s="21"/>
      <c r="E544" s="21"/>
      <c r="F544" s="21"/>
      <c r="G544" s="21"/>
      <c r="H544" s="21"/>
      <c r="I544" s="21"/>
      <c r="J544" s="21"/>
      <c r="K544" s="21"/>
      <c r="L544" s="21"/>
      <c r="M544" s="21"/>
      <c r="N544" s="21"/>
      <c r="O544" s="21"/>
      <c r="P544" s="21"/>
      <c r="Q544" s="19"/>
      <c r="R544" s="19"/>
      <c r="S544" s="19"/>
      <c r="T544" s="19"/>
      <c r="U544" s="19"/>
      <c r="V544" s="19"/>
      <c r="W544" s="19"/>
      <c r="X544" s="19"/>
      <c r="Y544" s="19"/>
      <c r="Z544" s="19"/>
    </row>
    <row r="545">
      <c r="A545" s="21"/>
      <c r="B545" s="21"/>
      <c r="C545" s="21"/>
      <c r="D545" s="21"/>
      <c r="E545" s="21"/>
      <c r="F545" s="21"/>
      <c r="G545" s="21"/>
      <c r="H545" s="21"/>
      <c r="I545" s="21"/>
      <c r="J545" s="21"/>
      <c r="K545" s="21"/>
      <c r="L545" s="21"/>
      <c r="M545" s="21"/>
      <c r="N545" s="21"/>
      <c r="O545" s="21"/>
      <c r="P545" s="21"/>
      <c r="Q545" s="19"/>
      <c r="R545" s="19"/>
      <c r="S545" s="19"/>
      <c r="T545" s="19"/>
      <c r="U545" s="19"/>
      <c r="V545" s="19"/>
      <c r="W545" s="19"/>
      <c r="X545" s="19"/>
      <c r="Y545" s="19"/>
      <c r="Z545" s="19"/>
    </row>
    <row r="546">
      <c r="A546" s="21"/>
      <c r="B546" s="21"/>
      <c r="C546" s="21"/>
      <c r="D546" s="21"/>
      <c r="E546" s="21"/>
      <c r="F546" s="21"/>
      <c r="G546" s="21"/>
      <c r="H546" s="21"/>
      <c r="I546" s="21"/>
      <c r="J546" s="21"/>
      <c r="K546" s="21"/>
      <c r="L546" s="21"/>
      <c r="M546" s="21"/>
      <c r="N546" s="21"/>
      <c r="O546" s="21"/>
      <c r="P546" s="21"/>
      <c r="Q546" s="19"/>
      <c r="R546" s="19"/>
      <c r="S546" s="19"/>
      <c r="T546" s="19"/>
      <c r="U546" s="19"/>
      <c r="V546" s="19"/>
      <c r="W546" s="19"/>
      <c r="X546" s="19"/>
      <c r="Y546" s="19"/>
      <c r="Z546" s="19"/>
    </row>
    <row r="547">
      <c r="A547" s="21"/>
      <c r="B547" s="21"/>
      <c r="C547" s="21"/>
      <c r="D547" s="21"/>
      <c r="E547" s="21"/>
      <c r="F547" s="21"/>
      <c r="G547" s="21"/>
      <c r="H547" s="21"/>
      <c r="I547" s="21"/>
      <c r="J547" s="21"/>
      <c r="K547" s="21"/>
      <c r="L547" s="21"/>
      <c r="M547" s="21"/>
      <c r="N547" s="21"/>
      <c r="O547" s="21"/>
      <c r="P547" s="21"/>
      <c r="Q547" s="19"/>
      <c r="R547" s="19"/>
      <c r="S547" s="19"/>
      <c r="T547" s="19"/>
      <c r="U547" s="19"/>
      <c r="V547" s="19"/>
      <c r="W547" s="19"/>
      <c r="X547" s="19"/>
      <c r="Y547" s="19"/>
      <c r="Z547" s="19"/>
    </row>
    <row r="548">
      <c r="A548" s="21"/>
      <c r="B548" s="21"/>
      <c r="C548" s="21"/>
      <c r="D548" s="21"/>
      <c r="E548" s="21"/>
      <c r="F548" s="21"/>
      <c r="G548" s="21"/>
      <c r="H548" s="21"/>
      <c r="I548" s="21"/>
      <c r="J548" s="21"/>
      <c r="K548" s="21"/>
      <c r="L548" s="21"/>
      <c r="M548" s="21"/>
      <c r="N548" s="21"/>
      <c r="O548" s="21"/>
      <c r="P548" s="21"/>
      <c r="Q548" s="19"/>
      <c r="R548" s="19"/>
      <c r="S548" s="19"/>
      <c r="T548" s="19"/>
      <c r="U548" s="19"/>
      <c r="V548" s="19"/>
      <c r="W548" s="19"/>
      <c r="X548" s="19"/>
      <c r="Y548" s="19"/>
      <c r="Z548" s="19"/>
    </row>
    <row r="549">
      <c r="A549" s="21"/>
      <c r="B549" s="21"/>
      <c r="C549" s="21"/>
      <c r="D549" s="21"/>
      <c r="E549" s="21"/>
      <c r="F549" s="21"/>
      <c r="G549" s="21"/>
      <c r="H549" s="21"/>
      <c r="I549" s="21"/>
      <c r="J549" s="21"/>
      <c r="K549" s="21"/>
      <c r="L549" s="21"/>
      <c r="M549" s="21"/>
      <c r="N549" s="21"/>
      <c r="O549" s="21"/>
      <c r="P549" s="21"/>
      <c r="Q549" s="19"/>
      <c r="R549" s="19"/>
      <c r="S549" s="19"/>
      <c r="T549" s="19"/>
      <c r="U549" s="19"/>
      <c r="V549" s="19"/>
      <c r="W549" s="19"/>
      <c r="X549" s="19"/>
      <c r="Y549" s="19"/>
      <c r="Z549" s="19"/>
    </row>
    <row r="550">
      <c r="A550" s="21"/>
      <c r="B550" s="21"/>
      <c r="C550" s="21"/>
      <c r="D550" s="21"/>
      <c r="E550" s="21"/>
      <c r="F550" s="21"/>
      <c r="G550" s="21"/>
      <c r="H550" s="21"/>
      <c r="I550" s="21"/>
      <c r="J550" s="21"/>
      <c r="K550" s="21"/>
      <c r="L550" s="21"/>
      <c r="M550" s="21"/>
      <c r="N550" s="21"/>
      <c r="O550" s="21"/>
      <c r="P550" s="21"/>
      <c r="Q550" s="19"/>
      <c r="R550" s="19"/>
      <c r="S550" s="19"/>
      <c r="T550" s="19"/>
      <c r="U550" s="19"/>
      <c r="V550" s="19"/>
      <c r="W550" s="19"/>
      <c r="X550" s="19"/>
      <c r="Y550" s="19"/>
      <c r="Z550" s="19"/>
    </row>
    <row r="551">
      <c r="A551" s="21"/>
      <c r="B551" s="21"/>
      <c r="C551" s="21"/>
      <c r="D551" s="21"/>
      <c r="E551" s="21"/>
      <c r="F551" s="21"/>
      <c r="G551" s="21"/>
      <c r="H551" s="21"/>
      <c r="I551" s="21"/>
      <c r="J551" s="21"/>
      <c r="K551" s="21"/>
      <c r="L551" s="21"/>
      <c r="M551" s="21"/>
      <c r="N551" s="21"/>
      <c r="O551" s="21"/>
      <c r="P551" s="21"/>
      <c r="Q551" s="19"/>
      <c r="R551" s="19"/>
      <c r="S551" s="19"/>
      <c r="T551" s="19"/>
      <c r="U551" s="19"/>
      <c r="V551" s="19"/>
      <c r="W551" s="19"/>
      <c r="X551" s="19"/>
      <c r="Y551" s="19"/>
      <c r="Z551" s="19"/>
    </row>
    <row r="552">
      <c r="A552" s="21"/>
      <c r="B552" s="21"/>
      <c r="C552" s="21"/>
      <c r="D552" s="21"/>
      <c r="E552" s="21"/>
      <c r="F552" s="21"/>
      <c r="G552" s="21"/>
      <c r="H552" s="21"/>
      <c r="I552" s="21"/>
      <c r="J552" s="21"/>
      <c r="K552" s="21"/>
      <c r="L552" s="21"/>
      <c r="M552" s="21"/>
      <c r="N552" s="21"/>
      <c r="O552" s="21"/>
      <c r="P552" s="21"/>
      <c r="Q552" s="19"/>
      <c r="R552" s="19"/>
      <c r="S552" s="19"/>
      <c r="T552" s="19"/>
      <c r="U552" s="19"/>
      <c r="V552" s="19"/>
      <c r="W552" s="19"/>
      <c r="X552" s="19"/>
      <c r="Y552" s="19"/>
      <c r="Z552" s="19"/>
    </row>
    <row r="553">
      <c r="A553" s="21"/>
      <c r="B553" s="21"/>
      <c r="C553" s="21"/>
      <c r="D553" s="21"/>
      <c r="E553" s="21"/>
      <c r="F553" s="21"/>
      <c r="G553" s="21"/>
      <c r="H553" s="21"/>
      <c r="I553" s="21"/>
      <c r="J553" s="21"/>
      <c r="K553" s="21"/>
      <c r="L553" s="21"/>
      <c r="M553" s="21"/>
      <c r="N553" s="21"/>
      <c r="O553" s="21"/>
      <c r="P553" s="21"/>
      <c r="Q553" s="19"/>
      <c r="R553" s="19"/>
      <c r="S553" s="19"/>
      <c r="T553" s="19"/>
      <c r="U553" s="19"/>
      <c r="V553" s="19"/>
      <c r="W553" s="19"/>
      <c r="X553" s="19"/>
      <c r="Y553" s="19"/>
      <c r="Z553" s="19"/>
    </row>
    <row r="554">
      <c r="A554" s="21"/>
      <c r="B554" s="21"/>
      <c r="C554" s="21"/>
      <c r="D554" s="21"/>
      <c r="E554" s="21"/>
      <c r="F554" s="21"/>
      <c r="G554" s="21"/>
      <c r="H554" s="21"/>
      <c r="I554" s="21"/>
      <c r="J554" s="21"/>
      <c r="K554" s="21"/>
      <c r="L554" s="21"/>
      <c r="M554" s="21"/>
      <c r="N554" s="21"/>
      <c r="O554" s="21"/>
      <c r="P554" s="21"/>
      <c r="Q554" s="19"/>
      <c r="R554" s="19"/>
      <c r="S554" s="19"/>
      <c r="T554" s="19"/>
      <c r="U554" s="19"/>
      <c r="V554" s="19"/>
      <c r="W554" s="19"/>
      <c r="X554" s="19"/>
      <c r="Y554" s="19"/>
      <c r="Z554" s="19"/>
    </row>
    <row r="555">
      <c r="A555" s="21"/>
      <c r="B555" s="21"/>
      <c r="C555" s="21"/>
      <c r="D555" s="21"/>
      <c r="E555" s="21"/>
      <c r="F555" s="21"/>
      <c r="G555" s="21"/>
      <c r="H555" s="21"/>
      <c r="I555" s="21"/>
      <c r="J555" s="21"/>
      <c r="K555" s="21"/>
      <c r="L555" s="21"/>
      <c r="M555" s="21"/>
      <c r="N555" s="21"/>
      <c r="O555" s="21"/>
      <c r="P555" s="21"/>
      <c r="Q555" s="19"/>
      <c r="R555" s="19"/>
      <c r="S555" s="19"/>
      <c r="T555" s="19"/>
      <c r="U555" s="19"/>
      <c r="V555" s="19"/>
      <c r="W555" s="19"/>
      <c r="X555" s="19"/>
      <c r="Y555" s="19"/>
      <c r="Z555" s="19"/>
    </row>
    <row r="556">
      <c r="A556" s="21"/>
      <c r="B556" s="21"/>
      <c r="C556" s="21"/>
      <c r="D556" s="21"/>
      <c r="E556" s="21"/>
      <c r="F556" s="21"/>
      <c r="G556" s="21"/>
      <c r="H556" s="21"/>
      <c r="I556" s="21"/>
      <c r="J556" s="21"/>
      <c r="K556" s="21"/>
      <c r="L556" s="21"/>
      <c r="M556" s="21"/>
      <c r="N556" s="21"/>
      <c r="O556" s="21"/>
      <c r="P556" s="21"/>
      <c r="Q556" s="19"/>
      <c r="R556" s="19"/>
      <c r="S556" s="19"/>
      <c r="T556" s="19"/>
      <c r="U556" s="19"/>
      <c r="V556" s="19"/>
      <c r="W556" s="19"/>
      <c r="X556" s="19"/>
      <c r="Y556" s="19"/>
      <c r="Z556" s="19"/>
    </row>
    <row r="557">
      <c r="A557" s="21"/>
      <c r="B557" s="21"/>
      <c r="C557" s="21"/>
      <c r="D557" s="21"/>
      <c r="E557" s="21"/>
      <c r="F557" s="21"/>
      <c r="G557" s="21"/>
      <c r="H557" s="21"/>
      <c r="I557" s="21"/>
      <c r="J557" s="21"/>
      <c r="K557" s="21"/>
      <c r="L557" s="21"/>
      <c r="M557" s="21"/>
      <c r="N557" s="21"/>
      <c r="O557" s="21"/>
      <c r="P557" s="21"/>
      <c r="Q557" s="19"/>
      <c r="R557" s="19"/>
      <c r="S557" s="19"/>
      <c r="T557" s="19"/>
      <c r="U557" s="19"/>
      <c r="V557" s="19"/>
      <c r="W557" s="19"/>
      <c r="X557" s="19"/>
      <c r="Y557" s="19"/>
      <c r="Z557" s="19"/>
    </row>
    <row r="558">
      <c r="A558" s="21"/>
      <c r="B558" s="21"/>
      <c r="C558" s="21"/>
      <c r="D558" s="21"/>
      <c r="E558" s="21"/>
      <c r="F558" s="21"/>
      <c r="G558" s="21"/>
      <c r="H558" s="21"/>
      <c r="I558" s="21"/>
      <c r="J558" s="21"/>
      <c r="K558" s="21"/>
      <c r="L558" s="21"/>
      <c r="M558" s="21"/>
      <c r="N558" s="21"/>
      <c r="O558" s="21"/>
      <c r="P558" s="21"/>
      <c r="Q558" s="19"/>
      <c r="R558" s="19"/>
      <c r="S558" s="19"/>
      <c r="T558" s="19"/>
      <c r="U558" s="19"/>
      <c r="V558" s="19"/>
      <c r="W558" s="19"/>
      <c r="X558" s="19"/>
      <c r="Y558" s="19"/>
      <c r="Z558" s="19"/>
    </row>
    <row r="559">
      <c r="A559" s="21"/>
      <c r="B559" s="21"/>
      <c r="C559" s="21"/>
      <c r="D559" s="21"/>
      <c r="E559" s="21"/>
      <c r="F559" s="21"/>
      <c r="G559" s="21"/>
      <c r="H559" s="21"/>
      <c r="I559" s="21"/>
      <c r="J559" s="21"/>
      <c r="K559" s="21"/>
      <c r="L559" s="21"/>
      <c r="M559" s="21"/>
      <c r="N559" s="21"/>
      <c r="O559" s="21"/>
      <c r="P559" s="21"/>
      <c r="Q559" s="19"/>
      <c r="R559" s="19"/>
      <c r="S559" s="19"/>
      <c r="T559" s="19"/>
      <c r="U559" s="19"/>
      <c r="V559" s="19"/>
      <c r="W559" s="19"/>
      <c r="X559" s="19"/>
      <c r="Y559" s="19"/>
      <c r="Z559" s="19"/>
    </row>
    <row r="560">
      <c r="A560" s="21"/>
      <c r="B560" s="21"/>
      <c r="C560" s="21"/>
      <c r="D560" s="21"/>
      <c r="E560" s="21"/>
      <c r="F560" s="21"/>
      <c r="G560" s="21"/>
      <c r="H560" s="21"/>
      <c r="I560" s="21"/>
      <c r="J560" s="21"/>
      <c r="K560" s="21"/>
      <c r="L560" s="21"/>
      <c r="M560" s="21"/>
      <c r="N560" s="21"/>
      <c r="O560" s="21"/>
      <c r="P560" s="21"/>
      <c r="Q560" s="19"/>
      <c r="R560" s="19"/>
      <c r="S560" s="19"/>
      <c r="T560" s="19"/>
      <c r="U560" s="19"/>
      <c r="V560" s="19"/>
      <c r="W560" s="19"/>
      <c r="X560" s="19"/>
      <c r="Y560" s="19"/>
      <c r="Z560" s="19"/>
    </row>
    <row r="561">
      <c r="A561" s="21"/>
      <c r="B561" s="21"/>
      <c r="C561" s="21"/>
      <c r="D561" s="21"/>
      <c r="E561" s="21"/>
      <c r="F561" s="21"/>
      <c r="G561" s="21"/>
      <c r="H561" s="21"/>
      <c r="I561" s="21"/>
      <c r="J561" s="21"/>
      <c r="K561" s="21"/>
      <c r="L561" s="21"/>
      <c r="M561" s="21"/>
      <c r="N561" s="21"/>
      <c r="O561" s="21"/>
      <c r="P561" s="21"/>
      <c r="Q561" s="19"/>
      <c r="R561" s="19"/>
      <c r="S561" s="19"/>
      <c r="T561" s="19"/>
      <c r="U561" s="19"/>
      <c r="V561" s="19"/>
      <c r="W561" s="19"/>
      <c r="X561" s="19"/>
      <c r="Y561" s="19"/>
      <c r="Z561" s="19"/>
    </row>
    <row r="562">
      <c r="A562" s="21"/>
      <c r="B562" s="21"/>
      <c r="C562" s="21"/>
      <c r="D562" s="21"/>
      <c r="E562" s="21"/>
      <c r="F562" s="21"/>
      <c r="G562" s="21"/>
      <c r="H562" s="21"/>
      <c r="I562" s="21"/>
      <c r="J562" s="21"/>
      <c r="K562" s="21"/>
      <c r="L562" s="21"/>
      <c r="M562" s="21"/>
      <c r="N562" s="21"/>
      <c r="O562" s="21"/>
      <c r="P562" s="21"/>
      <c r="Q562" s="19"/>
      <c r="R562" s="19"/>
      <c r="S562" s="19"/>
      <c r="T562" s="19"/>
      <c r="U562" s="19"/>
      <c r="V562" s="19"/>
      <c r="W562" s="19"/>
      <c r="X562" s="19"/>
      <c r="Y562" s="19"/>
      <c r="Z562" s="19"/>
    </row>
    <row r="563">
      <c r="A563" s="21"/>
      <c r="B563" s="21"/>
      <c r="C563" s="21"/>
      <c r="D563" s="21"/>
      <c r="E563" s="21"/>
      <c r="F563" s="21"/>
      <c r="G563" s="21"/>
      <c r="H563" s="21"/>
      <c r="I563" s="21"/>
      <c r="J563" s="21"/>
      <c r="K563" s="21"/>
      <c r="L563" s="21"/>
      <c r="M563" s="21"/>
      <c r="N563" s="21"/>
      <c r="O563" s="21"/>
      <c r="P563" s="21"/>
      <c r="Q563" s="19"/>
      <c r="R563" s="19"/>
      <c r="S563" s="19"/>
      <c r="T563" s="19"/>
      <c r="U563" s="19"/>
      <c r="V563" s="19"/>
      <c r="W563" s="19"/>
      <c r="X563" s="19"/>
      <c r="Y563" s="19"/>
      <c r="Z563" s="19"/>
    </row>
    <row r="564">
      <c r="A564" s="21"/>
      <c r="B564" s="21"/>
      <c r="C564" s="21"/>
      <c r="D564" s="21"/>
      <c r="E564" s="21"/>
      <c r="F564" s="21"/>
      <c r="G564" s="21"/>
      <c r="H564" s="21"/>
      <c r="I564" s="21"/>
      <c r="J564" s="21"/>
      <c r="K564" s="21"/>
      <c r="L564" s="21"/>
      <c r="M564" s="21"/>
      <c r="N564" s="21"/>
      <c r="O564" s="21"/>
      <c r="P564" s="21"/>
      <c r="Q564" s="19"/>
      <c r="R564" s="19"/>
      <c r="S564" s="19"/>
      <c r="T564" s="19"/>
      <c r="U564" s="19"/>
      <c r="V564" s="19"/>
      <c r="W564" s="19"/>
      <c r="X564" s="19"/>
      <c r="Y564" s="19"/>
      <c r="Z564" s="19"/>
    </row>
    <row r="565">
      <c r="A565" s="21"/>
      <c r="B565" s="21"/>
      <c r="C565" s="21"/>
      <c r="D565" s="21"/>
      <c r="E565" s="21"/>
      <c r="F565" s="21"/>
      <c r="G565" s="21"/>
      <c r="H565" s="21"/>
      <c r="I565" s="21"/>
      <c r="J565" s="21"/>
      <c r="K565" s="21"/>
      <c r="L565" s="21"/>
      <c r="M565" s="21"/>
      <c r="N565" s="21"/>
      <c r="O565" s="21"/>
      <c r="P565" s="21"/>
      <c r="Q565" s="19"/>
      <c r="R565" s="19"/>
      <c r="S565" s="19"/>
      <c r="T565" s="19"/>
      <c r="U565" s="19"/>
      <c r="V565" s="19"/>
      <c r="W565" s="19"/>
      <c r="X565" s="19"/>
      <c r="Y565" s="19"/>
      <c r="Z565" s="19"/>
    </row>
    <row r="566">
      <c r="A566" s="21"/>
      <c r="B566" s="21"/>
      <c r="C566" s="21"/>
      <c r="D566" s="21"/>
      <c r="E566" s="21"/>
      <c r="F566" s="21"/>
      <c r="G566" s="21"/>
      <c r="H566" s="21"/>
      <c r="I566" s="21"/>
      <c r="J566" s="21"/>
      <c r="K566" s="21"/>
      <c r="L566" s="21"/>
      <c r="M566" s="21"/>
      <c r="N566" s="21"/>
      <c r="O566" s="21"/>
      <c r="P566" s="21"/>
      <c r="Q566" s="19"/>
      <c r="R566" s="19"/>
      <c r="S566" s="19"/>
      <c r="T566" s="19"/>
      <c r="U566" s="19"/>
      <c r="V566" s="19"/>
      <c r="W566" s="19"/>
      <c r="X566" s="19"/>
      <c r="Y566" s="19"/>
      <c r="Z566" s="19"/>
    </row>
    <row r="567">
      <c r="A567" s="21"/>
      <c r="B567" s="21"/>
      <c r="C567" s="21"/>
      <c r="D567" s="21"/>
      <c r="E567" s="21"/>
      <c r="F567" s="21"/>
      <c r="G567" s="21"/>
      <c r="H567" s="21"/>
      <c r="I567" s="21"/>
      <c r="J567" s="21"/>
      <c r="K567" s="21"/>
      <c r="L567" s="21"/>
      <c r="M567" s="21"/>
      <c r="N567" s="21"/>
      <c r="O567" s="21"/>
      <c r="P567" s="21"/>
      <c r="Q567" s="19"/>
      <c r="R567" s="19"/>
      <c r="S567" s="19"/>
      <c r="T567" s="19"/>
      <c r="U567" s="19"/>
      <c r="V567" s="19"/>
      <c r="W567" s="19"/>
      <c r="X567" s="19"/>
      <c r="Y567" s="19"/>
      <c r="Z567" s="19"/>
    </row>
    <row r="568">
      <c r="A568" s="21"/>
      <c r="B568" s="21"/>
      <c r="C568" s="21"/>
      <c r="D568" s="21"/>
      <c r="E568" s="21"/>
      <c r="F568" s="21"/>
      <c r="G568" s="21"/>
      <c r="H568" s="21"/>
      <c r="I568" s="21"/>
      <c r="J568" s="21"/>
      <c r="K568" s="21"/>
      <c r="L568" s="21"/>
      <c r="M568" s="21"/>
      <c r="N568" s="21"/>
      <c r="O568" s="21"/>
      <c r="P568" s="21"/>
      <c r="Q568" s="19"/>
      <c r="R568" s="19"/>
      <c r="S568" s="19"/>
      <c r="T568" s="19"/>
      <c r="U568" s="19"/>
      <c r="V568" s="19"/>
      <c r="W568" s="19"/>
      <c r="X568" s="19"/>
      <c r="Y568" s="19"/>
      <c r="Z568" s="19"/>
    </row>
    <row r="569">
      <c r="A569" s="21"/>
      <c r="B569" s="21"/>
      <c r="C569" s="21"/>
      <c r="D569" s="21"/>
      <c r="E569" s="21"/>
      <c r="F569" s="21"/>
      <c r="G569" s="21"/>
      <c r="H569" s="21"/>
      <c r="I569" s="21"/>
      <c r="J569" s="21"/>
      <c r="K569" s="21"/>
      <c r="L569" s="21"/>
      <c r="M569" s="21"/>
      <c r="N569" s="21"/>
      <c r="O569" s="21"/>
      <c r="P569" s="21"/>
      <c r="Q569" s="19"/>
      <c r="R569" s="19"/>
      <c r="S569" s="19"/>
      <c r="T569" s="19"/>
      <c r="U569" s="19"/>
      <c r="V569" s="19"/>
      <c r="W569" s="19"/>
      <c r="X569" s="19"/>
      <c r="Y569" s="19"/>
      <c r="Z569" s="19"/>
    </row>
    <row r="570">
      <c r="A570" s="21"/>
      <c r="B570" s="21"/>
      <c r="C570" s="21"/>
      <c r="D570" s="21"/>
      <c r="E570" s="21"/>
      <c r="F570" s="21"/>
      <c r="G570" s="21"/>
      <c r="H570" s="21"/>
      <c r="I570" s="21"/>
      <c r="J570" s="21"/>
      <c r="K570" s="21"/>
      <c r="L570" s="21"/>
      <c r="M570" s="21"/>
      <c r="N570" s="21"/>
      <c r="O570" s="21"/>
      <c r="P570" s="21"/>
      <c r="Q570" s="19"/>
      <c r="R570" s="19"/>
      <c r="S570" s="19"/>
      <c r="T570" s="19"/>
      <c r="U570" s="19"/>
      <c r="V570" s="19"/>
      <c r="W570" s="19"/>
      <c r="X570" s="19"/>
      <c r="Y570" s="19"/>
      <c r="Z570" s="19"/>
    </row>
    <row r="571">
      <c r="A571" s="21"/>
      <c r="B571" s="21"/>
      <c r="C571" s="21"/>
      <c r="D571" s="21"/>
      <c r="E571" s="21"/>
      <c r="F571" s="21"/>
      <c r="G571" s="21"/>
      <c r="H571" s="21"/>
      <c r="I571" s="21"/>
      <c r="J571" s="21"/>
      <c r="K571" s="21"/>
      <c r="L571" s="21"/>
      <c r="M571" s="21"/>
      <c r="N571" s="21"/>
      <c r="O571" s="21"/>
      <c r="P571" s="21"/>
      <c r="Q571" s="19"/>
      <c r="R571" s="19"/>
      <c r="S571" s="19"/>
      <c r="T571" s="19"/>
      <c r="U571" s="19"/>
      <c r="V571" s="19"/>
      <c r="W571" s="19"/>
      <c r="X571" s="19"/>
      <c r="Y571" s="19"/>
      <c r="Z571" s="19"/>
    </row>
    <row r="572">
      <c r="A572" s="21"/>
      <c r="B572" s="21"/>
      <c r="C572" s="21"/>
      <c r="D572" s="21"/>
      <c r="E572" s="21"/>
      <c r="F572" s="21"/>
      <c r="G572" s="21"/>
      <c r="H572" s="21"/>
      <c r="I572" s="21"/>
      <c r="J572" s="21"/>
      <c r="K572" s="21"/>
      <c r="L572" s="21"/>
      <c r="M572" s="21"/>
      <c r="N572" s="21"/>
      <c r="O572" s="21"/>
      <c r="P572" s="21"/>
      <c r="Q572" s="19"/>
      <c r="R572" s="19"/>
      <c r="S572" s="19"/>
      <c r="T572" s="19"/>
      <c r="U572" s="19"/>
      <c r="V572" s="19"/>
      <c r="W572" s="19"/>
      <c r="X572" s="19"/>
      <c r="Y572" s="19"/>
      <c r="Z572" s="19"/>
    </row>
    <row r="573">
      <c r="A573" s="21"/>
      <c r="B573" s="21"/>
      <c r="C573" s="21"/>
      <c r="D573" s="21"/>
      <c r="E573" s="21"/>
      <c r="F573" s="21"/>
      <c r="G573" s="21"/>
      <c r="H573" s="21"/>
      <c r="I573" s="21"/>
      <c r="J573" s="21"/>
      <c r="K573" s="21"/>
      <c r="L573" s="21"/>
      <c r="M573" s="21"/>
      <c r="N573" s="21"/>
      <c r="O573" s="21"/>
      <c r="P573" s="21"/>
      <c r="Q573" s="19"/>
      <c r="R573" s="19"/>
      <c r="S573" s="19"/>
      <c r="T573" s="19"/>
      <c r="U573" s="19"/>
      <c r="V573" s="19"/>
      <c r="W573" s="19"/>
      <c r="X573" s="19"/>
      <c r="Y573" s="19"/>
      <c r="Z573" s="19"/>
    </row>
    <row r="574">
      <c r="A574" s="21"/>
      <c r="B574" s="21"/>
      <c r="C574" s="21"/>
      <c r="D574" s="21"/>
      <c r="E574" s="21"/>
      <c r="F574" s="21"/>
      <c r="G574" s="21"/>
      <c r="H574" s="21"/>
      <c r="I574" s="21"/>
      <c r="J574" s="21"/>
      <c r="K574" s="21"/>
      <c r="L574" s="21"/>
      <c r="M574" s="21"/>
      <c r="N574" s="21"/>
      <c r="O574" s="21"/>
      <c r="P574" s="21"/>
      <c r="Q574" s="19"/>
      <c r="R574" s="19"/>
      <c r="S574" s="19"/>
      <c r="T574" s="19"/>
      <c r="U574" s="19"/>
      <c r="V574" s="19"/>
      <c r="W574" s="19"/>
      <c r="X574" s="19"/>
      <c r="Y574" s="19"/>
      <c r="Z574" s="19"/>
    </row>
    <row r="575">
      <c r="A575" s="21"/>
      <c r="B575" s="21"/>
      <c r="C575" s="21"/>
      <c r="D575" s="21"/>
      <c r="E575" s="21"/>
      <c r="F575" s="21"/>
      <c r="G575" s="21"/>
      <c r="H575" s="21"/>
      <c r="I575" s="21"/>
      <c r="J575" s="21"/>
      <c r="K575" s="21"/>
      <c r="L575" s="21"/>
      <c r="M575" s="21"/>
      <c r="N575" s="21"/>
      <c r="O575" s="21"/>
      <c r="P575" s="21"/>
      <c r="Q575" s="19"/>
      <c r="R575" s="19"/>
      <c r="S575" s="19"/>
      <c r="T575" s="19"/>
      <c r="U575" s="19"/>
      <c r="V575" s="19"/>
      <c r="W575" s="19"/>
      <c r="X575" s="19"/>
      <c r="Y575" s="19"/>
      <c r="Z575" s="19"/>
    </row>
    <row r="576">
      <c r="A576" s="21"/>
      <c r="B576" s="21"/>
      <c r="C576" s="21"/>
      <c r="D576" s="21"/>
      <c r="E576" s="21"/>
      <c r="F576" s="21"/>
      <c r="G576" s="21"/>
      <c r="H576" s="21"/>
      <c r="I576" s="21"/>
      <c r="J576" s="21"/>
      <c r="K576" s="21"/>
      <c r="L576" s="21"/>
      <c r="M576" s="21"/>
      <c r="N576" s="21"/>
      <c r="O576" s="21"/>
      <c r="P576" s="21"/>
      <c r="Q576" s="19"/>
      <c r="R576" s="19"/>
      <c r="S576" s="19"/>
      <c r="T576" s="19"/>
      <c r="U576" s="19"/>
      <c r="V576" s="19"/>
      <c r="W576" s="19"/>
      <c r="X576" s="19"/>
      <c r="Y576" s="19"/>
      <c r="Z576" s="19"/>
    </row>
    <row r="577">
      <c r="A577" s="21"/>
      <c r="B577" s="21"/>
      <c r="C577" s="21"/>
      <c r="D577" s="21"/>
      <c r="E577" s="21"/>
      <c r="F577" s="21"/>
      <c r="G577" s="21"/>
      <c r="H577" s="21"/>
      <c r="I577" s="21"/>
      <c r="J577" s="21"/>
      <c r="K577" s="21"/>
      <c r="L577" s="21"/>
      <c r="M577" s="21"/>
      <c r="N577" s="21"/>
      <c r="O577" s="21"/>
      <c r="P577" s="21"/>
      <c r="Q577" s="19"/>
      <c r="R577" s="19"/>
      <c r="S577" s="19"/>
      <c r="T577" s="19"/>
      <c r="U577" s="19"/>
      <c r="V577" s="19"/>
      <c r="W577" s="19"/>
      <c r="X577" s="19"/>
      <c r="Y577" s="19"/>
      <c r="Z577" s="19"/>
    </row>
    <row r="578">
      <c r="A578" s="21"/>
      <c r="B578" s="21"/>
      <c r="C578" s="21"/>
      <c r="D578" s="21"/>
      <c r="E578" s="21"/>
      <c r="F578" s="21"/>
      <c r="G578" s="21"/>
      <c r="H578" s="21"/>
      <c r="I578" s="21"/>
      <c r="J578" s="21"/>
      <c r="K578" s="21"/>
      <c r="L578" s="21"/>
      <c r="M578" s="21"/>
      <c r="N578" s="21"/>
      <c r="O578" s="21"/>
      <c r="P578" s="21"/>
      <c r="Q578" s="19"/>
      <c r="R578" s="19"/>
      <c r="S578" s="19"/>
      <c r="T578" s="19"/>
      <c r="U578" s="19"/>
      <c r="V578" s="19"/>
      <c r="W578" s="19"/>
      <c r="X578" s="19"/>
      <c r="Y578" s="19"/>
      <c r="Z578" s="19"/>
    </row>
    <row r="579">
      <c r="A579" s="21"/>
      <c r="B579" s="21"/>
      <c r="C579" s="21"/>
      <c r="D579" s="21"/>
      <c r="E579" s="21"/>
      <c r="F579" s="21"/>
      <c r="G579" s="21"/>
      <c r="H579" s="21"/>
      <c r="I579" s="21"/>
      <c r="J579" s="21"/>
      <c r="K579" s="21"/>
      <c r="L579" s="21"/>
      <c r="M579" s="21"/>
      <c r="N579" s="21"/>
      <c r="O579" s="21"/>
      <c r="P579" s="21"/>
      <c r="Q579" s="19"/>
      <c r="R579" s="19"/>
      <c r="S579" s="19"/>
      <c r="T579" s="19"/>
      <c r="U579" s="19"/>
      <c r="V579" s="19"/>
      <c r="W579" s="19"/>
      <c r="X579" s="19"/>
      <c r="Y579" s="19"/>
      <c r="Z579" s="19"/>
    </row>
    <row r="580">
      <c r="A580" s="21"/>
      <c r="B580" s="21"/>
      <c r="C580" s="21"/>
      <c r="D580" s="21"/>
      <c r="E580" s="21"/>
      <c r="F580" s="21"/>
      <c r="G580" s="21"/>
      <c r="H580" s="21"/>
      <c r="I580" s="21"/>
      <c r="J580" s="21"/>
      <c r="K580" s="21"/>
      <c r="L580" s="21"/>
      <c r="M580" s="21"/>
      <c r="N580" s="21"/>
      <c r="O580" s="21"/>
      <c r="P580" s="21"/>
      <c r="Q580" s="19"/>
      <c r="R580" s="19"/>
      <c r="S580" s="19"/>
      <c r="T580" s="19"/>
      <c r="U580" s="19"/>
      <c r="V580" s="19"/>
      <c r="W580" s="19"/>
      <c r="X580" s="19"/>
      <c r="Y580" s="19"/>
      <c r="Z580" s="19"/>
    </row>
    <row r="581">
      <c r="A581" s="21"/>
      <c r="B581" s="21"/>
      <c r="C581" s="21"/>
      <c r="D581" s="21"/>
      <c r="E581" s="21"/>
      <c r="F581" s="21"/>
      <c r="G581" s="21"/>
      <c r="H581" s="21"/>
      <c r="I581" s="21"/>
      <c r="J581" s="21"/>
      <c r="K581" s="21"/>
      <c r="L581" s="21"/>
      <c r="M581" s="21"/>
      <c r="N581" s="21"/>
      <c r="O581" s="21"/>
      <c r="P581" s="21"/>
      <c r="Q581" s="19"/>
      <c r="R581" s="19"/>
      <c r="S581" s="19"/>
      <c r="T581" s="19"/>
      <c r="U581" s="19"/>
      <c r="V581" s="19"/>
      <c r="W581" s="19"/>
      <c r="X581" s="19"/>
      <c r="Y581" s="19"/>
      <c r="Z581" s="19"/>
    </row>
    <row r="582">
      <c r="A582" s="21"/>
      <c r="B582" s="21"/>
      <c r="C582" s="21"/>
      <c r="D582" s="21"/>
      <c r="E582" s="21"/>
      <c r="F582" s="21"/>
      <c r="G582" s="21"/>
      <c r="H582" s="21"/>
      <c r="I582" s="21"/>
      <c r="J582" s="21"/>
      <c r="K582" s="21"/>
      <c r="L582" s="21"/>
      <c r="M582" s="21"/>
      <c r="N582" s="21"/>
      <c r="O582" s="21"/>
      <c r="P582" s="21"/>
      <c r="Q582" s="19"/>
      <c r="R582" s="19"/>
      <c r="S582" s="19"/>
      <c r="T582" s="19"/>
      <c r="U582" s="19"/>
      <c r="V582" s="19"/>
      <c r="W582" s="19"/>
      <c r="X582" s="19"/>
      <c r="Y582" s="19"/>
      <c r="Z582" s="19"/>
    </row>
    <row r="583">
      <c r="A583" s="21"/>
      <c r="B583" s="21"/>
      <c r="C583" s="21"/>
      <c r="D583" s="21"/>
      <c r="E583" s="21"/>
      <c r="F583" s="21"/>
      <c r="G583" s="21"/>
      <c r="H583" s="21"/>
      <c r="I583" s="21"/>
      <c r="J583" s="21"/>
      <c r="K583" s="21"/>
      <c r="L583" s="21"/>
      <c r="M583" s="21"/>
      <c r="N583" s="21"/>
      <c r="O583" s="21"/>
      <c r="P583" s="21"/>
      <c r="Q583" s="19"/>
      <c r="R583" s="19"/>
      <c r="S583" s="19"/>
      <c r="T583" s="19"/>
      <c r="U583" s="19"/>
      <c r="V583" s="19"/>
      <c r="W583" s="19"/>
      <c r="X583" s="19"/>
      <c r="Y583" s="19"/>
      <c r="Z583" s="19"/>
    </row>
    <row r="584">
      <c r="A584" s="21"/>
      <c r="B584" s="21"/>
      <c r="C584" s="21"/>
      <c r="D584" s="21"/>
      <c r="E584" s="21"/>
      <c r="F584" s="21"/>
      <c r="G584" s="21"/>
      <c r="H584" s="21"/>
      <c r="I584" s="21"/>
      <c r="J584" s="21"/>
      <c r="K584" s="21"/>
      <c r="L584" s="21"/>
      <c r="M584" s="21"/>
      <c r="N584" s="21"/>
      <c r="O584" s="21"/>
      <c r="P584" s="21"/>
      <c r="Q584" s="19"/>
      <c r="R584" s="19"/>
      <c r="S584" s="19"/>
      <c r="T584" s="19"/>
      <c r="U584" s="19"/>
      <c r="V584" s="19"/>
      <c r="W584" s="19"/>
      <c r="X584" s="19"/>
      <c r="Y584" s="19"/>
      <c r="Z584" s="19"/>
    </row>
    <row r="585">
      <c r="A585" s="21"/>
      <c r="B585" s="21"/>
      <c r="C585" s="21"/>
      <c r="D585" s="21"/>
      <c r="E585" s="21"/>
      <c r="F585" s="21"/>
      <c r="G585" s="21"/>
      <c r="H585" s="21"/>
      <c r="I585" s="21"/>
      <c r="J585" s="21"/>
      <c r="K585" s="21"/>
      <c r="L585" s="21"/>
      <c r="M585" s="21"/>
      <c r="N585" s="21"/>
      <c r="O585" s="21"/>
      <c r="P585" s="21"/>
      <c r="Q585" s="19"/>
      <c r="R585" s="19"/>
      <c r="S585" s="19"/>
      <c r="T585" s="19"/>
      <c r="U585" s="19"/>
      <c r="V585" s="19"/>
      <c r="W585" s="19"/>
      <c r="X585" s="19"/>
      <c r="Y585" s="19"/>
      <c r="Z585" s="19"/>
    </row>
    <row r="586">
      <c r="A586" s="21"/>
      <c r="B586" s="21"/>
      <c r="C586" s="21"/>
      <c r="D586" s="21"/>
      <c r="E586" s="21"/>
      <c r="F586" s="21"/>
      <c r="G586" s="21"/>
      <c r="H586" s="21"/>
      <c r="I586" s="21"/>
      <c r="J586" s="21"/>
      <c r="K586" s="21"/>
      <c r="L586" s="21"/>
      <c r="M586" s="21"/>
      <c r="N586" s="21"/>
      <c r="O586" s="21"/>
      <c r="P586" s="21"/>
      <c r="Q586" s="19"/>
      <c r="R586" s="19"/>
      <c r="S586" s="19"/>
      <c r="T586" s="19"/>
      <c r="U586" s="19"/>
      <c r="V586" s="19"/>
      <c r="W586" s="19"/>
      <c r="X586" s="19"/>
      <c r="Y586" s="19"/>
      <c r="Z586" s="19"/>
    </row>
    <row r="587">
      <c r="A587" s="21"/>
      <c r="B587" s="21"/>
      <c r="C587" s="21"/>
      <c r="D587" s="21"/>
      <c r="E587" s="21"/>
      <c r="F587" s="21"/>
      <c r="G587" s="21"/>
      <c r="H587" s="21"/>
      <c r="I587" s="21"/>
      <c r="J587" s="21"/>
      <c r="K587" s="21"/>
      <c r="L587" s="21"/>
      <c r="M587" s="21"/>
      <c r="N587" s="21"/>
      <c r="O587" s="21"/>
      <c r="P587" s="21"/>
      <c r="Q587" s="19"/>
      <c r="R587" s="19"/>
      <c r="S587" s="19"/>
      <c r="T587" s="19"/>
      <c r="U587" s="19"/>
      <c r="V587" s="19"/>
      <c r="W587" s="19"/>
      <c r="X587" s="19"/>
      <c r="Y587" s="19"/>
      <c r="Z587" s="19"/>
    </row>
    <row r="588">
      <c r="A588" s="21"/>
      <c r="B588" s="21"/>
      <c r="C588" s="21"/>
      <c r="D588" s="21"/>
      <c r="E588" s="21"/>
      <c r="F588" s="21"/>
      <c r="G588" s="21"/>
      <c r="H588" s="21"/>
      <c r="I588" s="21"/>
      <c r="J588" s="21"/>
      <c r="K588" s="21"/>
      <c r="L588" s="21"/>
      <c r="M588" s="21"/>
      <c r="N588" s="21"/>
      <c r="O588" s="21"/>
      <c r="P588" s="21"/>
      <c r="Q588" s="19"/>
      <c r="R588" s="19"/>
      <c r="S588" s="19"/>
      <c r="T588" s="19"/>
      <c r="U588" s="19"/>
      <c r="V588" s="19"/>
      <c r="W588" s="19"/>
      <c r="X588" s="19"/>
      <c r="Y588" s="19"/>
      <c r="Z588" s="19"/>
    </row>
    <row r="589">
      <c r="A589" s="21"/>
      <c r="B589" s="21"/>
      <c r="C589" s="21"/>
      <c r="D589" s="21"/>
      <c r="E589" s="21"/>
      <c r="F589" s="21"/>
      <c r="G589" s="21"/>
      <c r="H589" s="21"/>
      <c r="I589" s="21"/>
      <c r="J589" s="21"/>
      <c r="K589" s="21"/>
      <c r="L589" s="21"/>
      <c r="M589" s="21"/>
      <c r="N589" s="21"/>
      <c r="O589" s="21"/>
      <c r="P589" s="21"/>
      <c r="Q589" s="19"/>
      <c r="R589" s="19"/>
      <c r="S589" s="19"/>
      <c r="T589" s="19"/>
      <c r="U589" s="19"/>
      <c r="V589" s="19"/>
      <c r="W589" s="19"/>
      <c r="X589" s="19"/>
      <c r="Y589" s="19"/>
      <c r="Z589" s="19"/>
    </row>
    <row r="590">
      <c r="A590" s="21"/>
      <c r="B590" s="21"/>
      <c r="C590" s="21"/>
      <c r="D590" s="21"/>
      <c r="E590" s="21"/>
      <c r="F590" s="21"/>
      <c r="G590" s="21"/>
      <c r="H590" s="21"/>
      <c r="I590" s="21"/>
      <c r="J590" s="21"/>
      <c r="K590" s="21"/>
      <c r="L590" s="21"/>
      <c r="M590" s="21"/>
      <c r="N590" s="21"/>
      <c r="O590" s="21"/>
      <c r="P590" s="21"/>
      <c r="Q590" s="19"/>
      <c r="R590" s="19"/>
      <c r="S590" s="19"/>
      <c r="T590" s="19"/>
      <c r="U590" s="19"/>
      <c r="V590" s="19"/>
      <c r="W590" s="19"/>
      <c r="X590" s="19"/>
      <c r="Y590" s="19"/>
      <c r="Z590" s="19"/>
    </row>
    <row r="591">
      <c r="A591" s="21"/>
      <c r="B591" s="21"/>
      <c r="C591" s="21"/>
      <c r="D591" s="21"/>
      <c r="E591" s="21"/>
      <c r="F591" s="21"/>
      <c r="G591" s="21"/>
      <c r="H591" s="21"/>
      <c r="I591" s="21"/>
      <c r="J591" s="21"/>
      <c r="K591" s="21"/>
      <c r="L591" s="21"/>
      <c r="M591" s="21"/>
      <c r="N591" s="21"/>
      <c r="O591" s="21"/>
      <c r="P591" s="21"/>
      <c r="Q591" s="19"/>
      <c r="R591" s="19"/>
      <c r="S591" s="19"/>
      <c r="T591" s="19"/>
      <c r="U591" s="19"/>
      <c r="V591" s="19"/>
      <c r="W591" s="19"/>
      <c r="X591" s="19"/>
      <c r="Y591" s="19"/>
      <c r="Z591" s="19"/>
    </row>
    <row r="592">
      <c r="A592" s="21"/>
      <c r="B592" s="21"/>
      <c r="C592" s="21"/>
      <c r="D592" s="21"/>
      <c r="E592" s="21"/>
      <c r="F592" s="21"/>
      <c r="G592" s="21"/>
      <c r="H592" s="21"/>
      <c r="I592" s="21"/>
      <c r="J592" s="21"/>
      <c r="K592" s="21"/>
      <c r="L592" s="21"/>
      <c r="M592" s="21"/>
      <c r="N592" s="21"/>
      <c r="O592" s="21"/>
      <c r="P592" s="21"/>
      <c r="Q592" s="19"/>
      <c r="R592" s="19"/>
      <c r="S592" s="19"/>
      <c r="T592" s="19"/>
      <c r="U592" s="19"/>
      <c r="V592" s="19"/>
      <c r="W592" s="19"/>
      <c r="X592" s="19"/>
      <c r="Y592" s="19"/>
      <c r="Z592" s="19"/>
    </row>
    <row r="593">
      <c r="A593" s="21"/>
      <c r="B593" s="21"/>
      <c r="C593" s="21"/>
      <c r="D593" s="21"/>
      <c r="E593" s="21"/>
      <c r="F593" s="21"/>
      <c r="G593" s="21"/>
      <c r="H593" s="21"/>
      <c r="I593" s="21"/>
      <c r="J593" s="21"/>
      <c r="K593" s="21"/>
      <c r="L593" s="21"/>
      <c r="M593" s="21"/>
      <c r="N593" s="21"/>
      <c r="O593" s="21"/>
      <c r="P593" s="21"/>
      <c r="Q593" s="19"/>
      <c r="R593" s="19"/>
      <c r="S593" s="19"/>
      <c r="T593" s="19"/>
      <c r="U593" s="19"/>
      <c r="V593" s="19"/>
      <c r="W593" s="19"/>
      <c r="X593" s="19"/>
      <c r="Y593" s="19"/>
      <c r="Z593" s="19"/>
    </row>
    <row r="594">
      <c r="A594" s="21"/>
      <c r="B594" s="21"/>
      <c r="C594" s="21"/>
      <c r="D594" s="21"/>
      <c r="E594" s="21"/>
      <c r="F594" s="21"/>
      <c r="G594" s="21"/>
      <c r="H594" s="21"/>
      <c r="I594" s="21"/>
      <c r="J594" s="21"/>
      <c r="K594" s="21"/>
      <c r="L594" s="21"/>
      <c r="M594" s="21"/>
      <c r="N594" s="21"/>
      <c r="O594" s="21"/>
      <c r="P594" s="21"/>
      <c r="Q594" s="19"/>
      <c r="R594" s="19"/>
      <c r="S594" s="19"/>
      <c r="T594" s="19"/>
      <c r="U594" s="19"/>
      <c r="V594" s="19"/>
      <c r="W594" s="19"/>
      <c r="X594" s="19"/>
      <c r="Y594" s="19"/>
      <c r="Z594" s="19"/>
    </row>
    <row r="595">
      <c r="A595" s="21"/>
      <c r="B595" s="21"/>
      <c r="C595" s="21"/>
      <c r="D595" s="21"/>
      <c r="E595" s="21"/>
      <c r="F595" s="21"/>
      <c r="G595" s="21"/>
      <c r="H595" s="21"/>
      <c r="I595" s="21"/>
      <c r="J595" s="21"/>
      <c r="K595" s="21"/>
      <c r="L595" s="21"/>
      <c r="M595" s="21"/>
      <c r="N595" s="21"/>
      <c r="O595" s="21"/>
      <c r="P595" s="21"/>
      <c r="Q595" s="19"/>
      <c r="R595" s="19"/>
      <c r="S595" s="19"/>
      <c r="T595" s="19"/>
      <c r="U595" s="19"/>
      <c r="V595" s="19"/>
      <c r="W595" s="19"/>
      <c r="X595" s="19"/>
      <c r="Y595" s="19"/>
      <c r="Z595" s="19"/>
    </row>
    <row r="596">
      <c r="A596" s="21"/>
      <c r="B596" s="21"/>
      <c r="C596" s="21"/>
      <c r="D596" s="21"/>
      <c r="E596" s="21"/>
      <c r="F596" s="21"/>
      <c r="G596" s="21"/>
      <c r="H596" s="21"/>
      <c r="I596" s="21"/>
      <c r="J596" s="21"/>
      <c r="K596" s="21"/>
      <c r="L596" s="21"/>
      <c r="M596" s="21"/>
      <c r="N596" s="21"/>
      <c r="O596" s="21"/>
      <c r="P596" s="21"/>
      <c r="Q596" s="19"/>
      <c r="R596" s="19"/>
      <c r="S596" s="19"/>
      <c r="T596" s="19"/>
      <c r="U596" s="19"/>
      <c r="V596" s="19"/>
      <c r="W596" s="19"/>
      <c r="X596" s="19"/>
      <c r="Y596" s="19"/>
      <c r="Z596" s="19"/>
    </row>
    <row r="597">
      <c r="A597" s="21"/>
      <c r="B597" s="21"/>
      <c r="C597" s="21"/>
      <c r="D597" s="21"/>
      <c r="E597" s="21"/>
      <c r="F597" s="21"/>
      <c r="G597" s="21"/>
      <c r="H597" s="21"/>
      <c r="I597" s="21"/>
      <c r="J597" s="21"/>
      <c r="K597" s="21"/>
      <c r="L597" s="21"/>
      <c r="M597" s="21"/>
      <c r="N597" s="21"/>
      <c r="O597" s="21"/>
      <c r="P597" s="21"/>
      <c r="Q597" s="19"/>
      <c r="R597" s="19"/>
      <c r="S597" s="19"/>
      <c r="T597" s="19"/>
      <c r="U597" s="19"/>
      <c r="V597" s="19"/>
      <c r="W597" s="19"/>
      <c r="X597" s="19"/>
      <c r="Y597" s="19"/>
      <c r="Z597" s="19"/>
    </row>
    <row r="598">
      <c r="A598" s="21"/>
      <c r="B598" s="21"/>
      <c r="C598" s="21"/>
      <c r="D598" s="21"/>
      <c r="E598" s="21"/>
      <c r="F598" s="21"/>
      <c r="G598" s="21"/>
      <c r="H598" s="21"/>
      <c r="I598" s="21"/>
      <c r="J598" s="21"/>
      <c r="K598" s="21"/>
      <c r="L598" s="21"/>
      <c r="M598" s="21"/>
      <c r="N598" s="21"/>
      <c r="O598" s="21"/>
      <c r="P598" s="21"/>
      <c r="Q598" s="19"/>
      <c r="R598" s="19"/>
      <c r="S598" s="19"/>
      <c r="T598" s="19"/>
      <c r="U598" s="19"/>
      <c r="V598" s="19"/>
      <c r="W598" s="19"/>
      <c r="X598" s="19"/>
      <c r="Y598" s="19"/>
      <c r="Z598" s="19"/>
    </row>
    <row r="599">
      <c r="A599" s="21"/>
      <c r="B599" s="21"/>
      <c r="C599" s="21"/>
      <c r="D599" s="21"/>
      <c r="E599" s="21"/>
      <c r="F599" s="21"/>
      <c r="G599" s="21"/>
      <c r="H599" s="21"/>
      <c r="I599" s="21"/>
      <c r="J599" s="21"/>
      <c r="K599" s="21"/>
      <c r="L599" s="21"/>
      <c r="M599" s="21"/>
      <c r="N599" s="21"/>
      <c r="O599" s="21"/>
      <c r="P599" s="21"/>
      <c r="Q599" s="19"/>
      <c r="R599" s="19"/>
      <c r="S599" s="19"/>
      <c r="T599" s="19"/>
      <c r="U599" s="19"/>
      <c r="V599" s="19"/>
      <c r="W599" s="19"/>
      <c r="X599" s="19"/>
      <c r="Y599" s="19"/>
      <c r="Z599" s="19"/>
    </row>
    <row r="600">
      <c r="A600" s="21"/>
      <c r="B600" s="21"/>
      <c r="C600" s="21"/>
      <c r="D600" s="21"/>
      <c r="E600" s="21"/>
      <c r="F600" s="21"/>
      <c r="G600" s="21"/>
      <c r="H600" s="21"/>
      <c r="I600" s="21"/>
      <c r="J600" s="21"/>
      <c r="K600" s="21"/>
      <c r="L600" s="21"/>
      <c r="M600" s="21"/>
      <c r="N600" s="21"/>
      <c r="O600" s="21"/>
      <c r="P600" s="21"/>
      <c r="Q600" s="19"/>
      <c r="R600" s="19"/>
      <c r="S600" s="19"/>
      <c r="T600" s="19"/>
      <c r="U600" s="19"/>
      <c r="V600" s="19"/>
      <c r="W600" s="19"/>
      <c r="X600" s="19"/>
      <c r="Y600" s="19"/>
      <c r="Z600" s="19"/>
    </row>
    <row r="601">
      <c r="A601" s="21"/>
      <c r="B601" s="21"/>
      <c r="C601" s="21"/>
      <c r="D601" s="21"/>
      <c r="E601" s="21"/>
      <c r="F601" s="21"/>
      <c r="G601" s="21"/>
      <c r="H601" s="21"/>
      <c r="I601" s="21"/>
      <c r="J601" s="21"/>
      <c r="K601" s="21"/>
      <c r="L601" s="21"/>
      <c r="M601" s="21"/>
      <c r="N601" s="21"/>
      <c r="O601" s="21"/>
      <c r="P601" s="21"/>
      <c r="Q601" s="19"/>
      <c r="R601" s="19"/>
      <c r="S601" s="19"/>
      <c r="T601" s="19"/>
      <c r="U601" s="19"/>
      <c r="V601" s="19"/>
      <c r="W601" s="19"/>
      <c r="X601" s="19"/>
      <c r="Y601" s="19"/>
      <c r="Z601" s="19"/>
    </row>
    <row r="602">
      <c r="A602" s="21"/>
      <c r="B602" s="21"/>
      <c r="C602" s="21"/>
      <c r="D602" s="21"/>
      <c r="E602" s="21"/>
      <c r="F602" s="21"/>
      <c r="G602" s="21"/>
      <c r="H602" s="21"/>
      <c r="I602" s="21"/>
      <c r="J602" s="21"/>
      <c r="K602" s="21"/>
      <c r="L602" s="21"/>
      <c r="M602" s="21"/>
      <c r="N602" s="21"/>
      <c r="O602" s="21"/>
      <c r="P602" s="21"/>
      <c r="Q602" s="19"/>
      <c r="R602" s="19"/>
      <c r="S602" s="19"/>
      <c r="T602" s="19"/>
      <c r="U602" s="19"/>
      <c r="V602" s="19"/>
      <c r="W602" s="19"/>
      <c r="X602" s="19"/>
      <c r="Y602" s="19"/>
      <c r="Z602" s="19"/>
    </row>
    <row r="603">
      <c r="A603" s="21"/>
      <c r="B603" s="21"/>
      <c r="C603" s="21"/>
      <c r="D603" s="21"/>
      <c r="E603" s="21"/>
      <c r="F603" s="21"/>
      <c r="G603" s="21"/>
      <c r="H603" s="21"/>
      <c r="I603" s="21"/>
      <c r="J603" s="21"/>
      <c r="K603" s="21"/>
      <c r="L603" s="21"/>
      <c r="M603" s="21"/>
      <c r="N603" s="21"/>
      <c r="O603" s="21"/>
      <c r="P603" s="21"/>
      <c r="Q603" s="19"/>
      <c r="R603" s="19"/>
      <c r="S603" s="19"/>
      <c r="T603" s="19"/>
      <c r="U603" s="19"/>
      <c r="V603" s="19"/>
      <c r="W603" s="19"/>
      <c r="X603" s="19"/>
      <c r="Y603" s="19"/>
      <c r="Z603" s="19"/>
    </row>
    <row r="604">
      <c r="A604" s="21"/>
      <c r="B604" s="21"/>
      <c r="C604" s="21"/>
      <c r="D604" s="21"/>
      <c r="E604" s="21"/>
      <c r="F604" s="21"/>
      <c r="G604" s="21"/>
      <c r="H604" s="21"/>
      <c r="I604" s="21"/>
      <c r="J604" s="21"/>
      <c r="K604" s="21"/>
      <c r="L604" s="21"/>
      <c r="M604" s="21"/>
      <c r="N604" s="21"/>
      <c r="O604" s="21"/>
      <c r="P604" s="21"/>
      <c r="Q604" s="19"/>
      <c r="R604" s="19"/>
      <c r="S604" s="19"/>
      <c r="T604" s="19"/>
      <c r="U604" s="19"/>
      <c r="V604" s="19"/>
      <c r="W604" s="19"/>
      <c r="X604" s="19"/>
      <c r="Y604" s="19"/>
      <c r="Z604" s="19"/>
    </row>
    <row r="605">
      <c r="A605" s="21"/>
      <c r="B605" s="21"/>
      <c r="C605" s="21"/>
      <c r="D605" s="21"/>
      <c r="E605" s="21"/>
      <c r="F605" s="21"/>
      <c r="G605" s="21"/>
      <c r="H605" s="21"/>
      <c r="I605" s="21"/>
      <c r="J605" s="21"/>
      <c r="K605" s="21"/>
      <c r="L605" s="21"/>
      <c r="M605" s="21"/>
      <c r="N605" s="21"/>
      <c r="O605" s="21"/>
      <c r="P605" s="21"/>
      <c r="Q605" s="19"/>
      <c r="R605" s="19"/>
      <c r="S605" s="19"/>
      <c r="T605" s="19"/>
      <c r="U605" s="19"/>
      <c r="V605" s="19"/>
      <c r="W605" s="19"/>
      <c r="X605" s="19"/>
      <c r="Y605" s="19"/>
      <c r="Z605" s="19"/>
    </row>
    <row r="606">
      <c r="A606" s="21"/>
      <c r="B606" s="21"/>
      <c r="C606" s="21"/>
      <c r="D606" s="21"/>
      <c r="E606" s="21"/>
      <c r="F606" s="21"/>
      <c r="G606" s="21"/>
      <c r="H606" s="21"/>
      <c r="I606" s="21"/>
      <c r="J606" s="21"/>
      <c r="K606" s="21"/>
      <c r="L606" s="21"/>
      <c r="M606" s="21"/>
      <c r="N606" s="21"/>
      <c r="O606" s="21"/>
      <c r="P606" s="21"/>
      <c r="Q606" s="19"/>
      <c r="R606" s="19"/>
      <c r="S606" s="19"/>
      <c r="T606" s="19"/>
      <c r="U606" s="19"/>
      <c r="V606" s="19"/>
      <c r="W606" s="19"/>
      <c r="X606" s="19"/>
      <c r="Y606" s="19"/>
      <c r="Z606" s="19"/>
    </row>
    <row r="607">
      <c r="A607" s="21"/>
      <c r="B607" s="21"/>
      <c r="C607" s="21"/>
      <c r="D607" s="21"/>
      <c r="E607" s="21"/>
      <c r="F607" s="21"/>
      <c r="G607" s="21"/>
      <c r="H607" s="21"/>
      <c r="I607" s="21"/>
      <c r="J607" s="21"/>
      <c r="K607" s="21"/>
      <c r="L607" s="21"/>
      <c r="M607" s="21"/>
      <c r="N607" s="21"/>
      <c r="O607" s="21"/>
      <c r="P607" s="21"/>
      <c r="Q607" s="19"/>
      <c r="R607" s="19"/>
      <c r="S607" s="19"/>
      <c r="T607" s="19"/>
      <c r="U607" s="19"/>
      <c r="V607" s="19"/>
      <c r="W607" s="19"/>
      <c r="X607" s="19"/>
      <c r="Y607" s="19"/>
      <c r="Z607" s="19"/>
    </row>
    <row r="608">
      <c r="A608" s="21"/>
      <c r="B608" s="21"/>
      <c r="C608" s="21"/>
      <c r="D608" s="21"/>
      <c r="E608" s="21"/>
      <c r="F608" s="21"/>
      <c r="G608" s="21"/>
      <c r="H608" s="21"/>
      <c r="I608" s="21"/>
      <c r="J608" s="21"/>
      <c r="K608" s="21"/>
      <c r="L608" s="21"/>
      <c r="M608" s="21"/>
      <c r="N608" s="21"/>
      <c r="O608" s="21"/>
      <c r="P608" s="21"/>
      <c r="Q608" s="19"/>
      <c r="R608" s="19"/>
      <c r="S608" s="19"/>
      <c r="T608" s="19"/>
      <c r="U608" s="19"/>
      <c r="V608" s="19"/>
      <c r="W608" s="19"/>
      <c r="X608" s="19"/>
      <c r="Y608" s="19"/>
      <c r="Z608" s="19"/>
    </row>
    <row r="609">
      <c r="A609" s="21"/>
      <c r="B609" s="21"/>
      <c r="C609" s="21"/>
      <c r="D609" s="21"/>
      <c r="E609" s="21"/>
      <c r="F609" s="21"/>
      <c r="G609" s="21"/>
      <c r="H609" s="21"/>
      <c r="I609" s="21"/>
      <c r="J609" s="21"/>
      <c r="K609" s="21"/>
      <c r="L609" s="21"/>
      <c r="M609" s="21"/>
      <c r="N609" s="21"/>
      <c r="O609" s="21"/>
      <c r="P609" s="21"/>
      <c r="Q609" s="19"/>
      <c r="R609" s="19"/>
      <c r="S609" s="19"/>
      <c r="T609" s="19"/>
      <c r="U609" s="19"/>
      <c r="V609" s="19"/>
      <c r="W609" s="19"/>
      <c r="X609" s="19"/>
      <c r="Y609" s="19"/>
      <c r="Z609" s="19"/>
    </row>
    <row r="610">
      <c r="A610" s="21"/>
      <c r="B610" s="21"/>
      <c r="C610" s="21"/>
      <c r="D610" s="21"/>
      <c r="E610" s="21"/>
      <c r="F610" s="21"/>
      <c r="G610" s="21"/>
      <c r="H610" s="21"/>
      <c r="I610" s="21"/>
      <c r="J610" s="21"/>
      <c r="K610" s="21"/>
      <c r="L610" s="21"/>
      <c r="M610" s="21"/>
      <c r="N610" s="21"/>
      <c r="O610" s="21"/>
      <c r="P610" s="21"/>
      <c r="Q610" s="19"/>
      <c r="R610" s="19"/>
      <c r="S610" s="19"/>
      <c r="T610" s="19"/>
      <c r="U610" s="19"/>
      <c r="V610" s="19"/>
      <c r="W610" s="19"/>
      <c r="X610" s="19"/>
      <c r="Y610" s="19"/>
      <c r="Z610" s="19"/>
    </row>
    <row r="611">
      <c r="A611" s="21"/>
      <c r="B611" s="21"/>
      <c r="C611" s="21"/>
      <c r="D611" s="21"/>
      <c r="E611" s="21"/>
      <c r="F611" s="21"/>
      <c r="G611" s="21"/>
      <c r="H611" s="21"/>
      <c r="I611" s="21"/>
      <c r="J611" s="21"/>
      <c r="K611" s="21"/>
      <c r="L611" s="21"/>
      <c r="M611" s="21"/>
      <c r="N611" s="21"/>
      <c r="O611" s="21"/>
      <c r="P611" s="21"/>
      <c r="Q611" s="19"/>
      <c r="R611" s="19"/>
      <c r="S611" s="19"/>
      <c r="T611" s="19"/>
      <c r="U611" s="19"/>
      <c r="V611" s="19"/>
      <c r="W611" s="19"/>
      <c r="X611" s="19"/>
      <c r="Y611" s="19"/>
      <c r="Z611" s="19"/>
    </row>
    <row r="612">
      <c r="A612" s="21"/>
      <c r="B612" s="21"/>
      <c r="C612" s="21"/>
      <c r="D612" s="21"/>
      <c r="E612" s="21"/>
      <c r="F612" s="21"/>
      <c r="G612" s="21"/>
      <c r="H612" s="21"/>
      <c r="I612" s="21"/>
      <c r="J612" s="21"/>
      <c r="K612" s="21"/>
      <c r="L612" s="21"/>
      <c r="M612" s="21"/>
      <c r="N612" s="21"/>
      <c r="O612" s="21"/>
      <c r="P612" s="21"/>
      <c r="Q612" s="19"/>
      <c r="R612" s="19"/>
      <c r="S612" s="19"/>
      <c r="T612" s="19"/>
      <c r="U612" s="19"/>
      <c r="V612" s="19"/>
      <c r="W612" s="19"/>
      <c r="X612" s="19"/>
      <c r="Y612" s="19"/>
      <c r="Z612" s="19"/>
    </row>
    <row r="613">
      <c r="A613" s="21"/>
      <c r="B613" s="21"/>
      <c r="C613" s="21"/>
      <c r="D613" s="21"/>
      <c r="E613" s="21"/>
      <c r="F613" s="21"/>
      <c r="G613" s="21"/>
      <c r="H613" s="21"/>
      <c r="I613" s="21"/>
      <c r="J613" s="21"/>
      <c r="K613" s="21"/>
      <c r="L613" s="21"/>
      <c r="M613" s="21"/>
      <c r="N613" s="21"/>
      <c r="O613" s="21"/>
      <c r="P613" s="21"/>
      <c r="Q613" s="19"/>
      <c r="R613" s="19"/>
      <c r="S613" s="19"/>
      <c r="T613" s="19"/>
      <c r="U613" s="19"/>
      <c r="V613" s="19"/>
      <c r="W613" s="19"/>
      <c r="X613" s="19"/>
      <c r="Y613" s="19"/>
      <c r="Z613" s="19"/>
    </row>
    <row r="614">
      <c r="A614" s="21"/>
      <c r="B614" s="21"/>
      <c r="C614" s="21"/>
      <c r="D614" s="21"/>
      <c r="E614" s="21"/>
      <c r="F614" s="21"/>
      <c r="G614" s="21"/>
      <c r="H614" s="21"/>
      <c r="I614" s="21"/>
      <c r="J614" s="21"/>
      <c r="K614" s="21"/>
      <c r="L614" s="21"/>
      <c r="M614" s="21"/>
      <c r="N614" s="21"/>
      <c r="O614" s="21"/>
      <c r="P614" s="21"/>
      <c r="Q614" s="19"/>
      <c r="R614" s="19"/>
      <c r="S614" s="19"/>
      <c r="T614" s="19"/>
      <c r="U614" s="19"/>
      <c r="V614" s="19"/>
      <c r="W614" s="19"/>
      <c r="X614" s="19"/>
      <c r="Y614" s="19"/>
      <c r="Z614" s="19"/>
    </row>
    <row r="615">
      <c r="A615" s="21"/>
      <c r="B615" s="21"/>
      <c r="C615" s="21"/>
      <c r="D615" s="21"/>
      <c r="E615" s="21"/>
      <c r="F615" s="21"/>
      <c r="G615" s="21"/>
      <c r="H615" s="21"/>
      <c r="I615" s="21"/>
      <c r="J615" s="21"/>
      <c r="K615" s="21"/>
      <c r="L615" s="21"/>
      <c r="M615" s="21"/>
      <c r="N615" s="21"/>
      <c r="O615" s="21"/>
      <c r="P615" s="21"/>
      <c r="Q615" s="19"/>
      <c r="R615" s="19"/>
      <c r="S615" s="19"/>
      <c r="T615" s="19"/>
      <c r="U615" s="19"/>
      <c r="V615" s="19"/>
      <c r="W615" s="19"/>
      <c r="X615" s="19"/>
      <c r="Y615" s="19"/>
      <c r="Z615" s="19"/>
    </row>
    <row r="616">
      <c r="A616" s="21"/>
      <c r="B616" s="21"/>
      <c r="C616" s="21"/>
      <c r="D616" s="21"/>
      <c r="E616" s="21"/>
      <c r="F616" s="21"/>
      <c r="G616" s="21"/>
      <c r="H616" s="21"/>
      <c r="I616" s="21"/>
      <c r="J616" s="21"/>
      <c r="K616" s="21"/>
      <c r="L616" s="21"/>
      <c r="M616" s="21"/>
      <c r="N616" s="21"/>
      <c r="O616" s="21"/>
      <c r="P616" s="21"/>
      <c r="Q616" s="19"/>
      <c r="R616" s="19"/>
      <c r="S616" s="19"/>
      <c r="T616" s="19"/>
      <c r="U616" s="19"/>
      <c r="V616" s="19"/>
      <c r="W616" s="19"/>
      <c r="X616" s="19"/>
      <c r="Y616" s="19"/>
      <c r="Z616" s="19"/>
    </row>
    <row r="617">
      <c r="A617" s="21"/>
      <c r="B617" s="21"/>
      <c r="C617" s="21"/>
      <c r="D617" s="21"/>
      <c r="E617" s="21"/>
      <c r="F617" s="21"/>
      <c r="G617" s="21"/>
      <c r="H617" s="21"/>
      <c r="I617" s="21"/>
      <c r="J617" s="21"/>
      <c r="K617" s="21"/>
      <c r="L617" s="21"/>
      <c r="M617" s="21"/>
      <c r="N617" s="21"/>
      <c r="O617" s="21"/>
      <c r="P617" s="21"/>
      <c r="Q617" s="19"/>
      <c r="R617" s="19"/>
      <c r="S617" s="19"/>
      <c r="T617" s="19"/>
      <c r="U617" s="19"/>
      <c r="V617" s="19"/>
      <c r="W617" s="19"/>
      <c r="X617" s="19"/>
      <c r="Y617" s="19"/>
      <c r="Z617" s="19"/>
    </row>
    <row r="618">
      <c r="A618" s="21"/>
      <c r="B618" s="21"/>
      <c r="C618" s="21"/>
      <c r="D618" s="21"/>
      <c r="E618" s="21"/>
      <c r="F618" s="21"/>
      <c r="G618" s="21"/>
      <c r="H618" s="21"/>
      <c r="I618" s="21"/>
      <c r="J618" s="21"/>
      <c r="K618" s="21"/>
      <c r="L618" s="21"/>
      <c r="M618" s="21"/>
      <c r="N618" s="21"/>
      <c r="O618" s="21"/>
      <c r="P618" s="21"/>
      <c r="Q618" s="19"/>
      <c r="R618" s="19"/>
      <c r="S618" s="19"/>
      <c r="T618" s="19"/>
      <c r="U618" s="19"/>
      <c r="V618" s="19"/>
      <c r="W618" s="19"/>
      <c r="X618" s="19"/>
      <c r="Y618" s="19"/>
      <c r="Z618" s="19"/>
    </row>
    <row r="619">
      <c r="A619" s="21"/>
      <c r="B619" s="21"/>
      <c r="C619" s="21"/>
      <c r="D619" s="21"/>
      <c r="E619" s="21"/>
      <c r="F619" s="21"/>
      <c r="G619" s="21"/>
      <c r="H619" s="21"/>
      <c r="I619" s="21"/>
      <c r="J619" s="21"/>
      <c r="K619" s="21"/>
      <c r="L619" s="21"/>
      <c r="M619" s="21"/>
      <c r="N619" s="21"/>
      <c r="O619" s="21"/>
      <c r="P619" s="21"/>
      <c r="Q619" s="19"/>
      <c r="R619" s="19"/>
      <c r="S619" s="19"/>
      <c r="T619" s="19"/>
      <c r="U619" s="19"/>
      <c r="V619" s="19"/>
      <c r="W619" s="19"/>
      <c r="X619" s="19"/>
      <c r="Y619" s="19"/>
      <c r="Z619" s="19"/>
    </row>
    <row r="620">
      <c r="A620" s="21"/>
      <c r="B620" s="21"/>
      <c r="C620" s="21"/>
      <c r="D620" s="21"/>
      <c r="E620" s="21"/>
      <c r="F620" s="21"/>
      <c r="G620" s="21"/>
      <c r="H620" s="21"/>
      <c r="I620" s="21"/>
      <c r="J620" s="21"/>
      <c r="K620" s="21"/>
      <c r="L620" s="21"/>
      <c r="M620" s="21"/>
      <c r="N620" s="21"/>
      <c r="O620" s="21"/>
      <c r="P620" s="21"/>
      <c r="Q620" s="19"/>
      <c r="R620" s="19"/>
      <c r="S620" s="19"/>
      <c r="T620" s="19"/>
      <c r="U620" s="19"/>
      <c r="V620" s="19"/>
      <c r="W620" s="19"/>
      <c r="X620" s="19"/>
      <c r="Y620" s="19"/>
      <c r="Z620" s="19"/>
    </row>
    <row r="621">
      <c r="A621" s="21"/>
      <c r="B621" s="21"/>
      <c r="C621" s="21"/>
      <c r="D621" s="21"/>
      <c r="E621" s="21"/>
      <c r="F621" s="21"/>
      <c r="G621" s="21"/>
      <c r="H621" s="21"/>
      <c r="I621" s="21"/>
      <c r="J621" s="21"/>
      <c r="K621" s="21"/>
      <c r="L621" s="21"/>
      <c r="M621" s="21"/>
      <c r="N621" s="21"/>
      <c r="O621" s="21"/>
      <c r="P621" s="21"/>
      <c r="Q621" s="19"/>
      <c r="R621" s="19"/>
      <c r="S621" s="19"/>
      <c r="T621" s="19"/>
      <c r="U621" s="19"/>
      <c r="V621" s="19"/>
      <c r="W621" s="19"/>
      <c r="X621" s="19"/>
      <c r="Y621" s="19"/>
      <c r="Z621" s="19"/>
    </row>
    <row r="622">
      <c r="A622" s="21"/>
      <c r="B622" s="21"/>
      <c r="C622" s="21"/>
      <c r="D622" s="21"/>
      <c r="E622" s="21"/>
      <c r="F622" s="21"/>
      <c r="G622" s="21"/>
      <c r="H622" s="21"/>
      <c r="I622" s="21"/>
      <c r="J622" s="21"/>
      <c r="K622" s="21"/>
      <c r="L622" s="21"/>
      <c r="M622" s="21"/>
      <c r="N622" s="21"/>
      <c r="O622" s="21"/>
      <c r="P622" s="21"/>
      <c r="Q622" s="19"/>
      <c r="R622" s="19"/>
      <c r="S622" s="19"/>
      <c r="T622" s="19"/>
      <c r="U622" s="19"/>
      <c r="V622" s="19"/>
      <c r="W622" s="19"/>
      <c r="X622" s="19"/>
      <c r="Y622" s="19"/>
      <c r="Z622" s="19"/>
    </row>
    <row r="623">
      <c r="A623" s="21"/>
      <c r="B623" s="21"/>
      <c r="C623" s="21"/>
      <c r="D623" s="21"/>
      <c r="E623" s="21"/>
      <c r="F623" s="21"/>
      <c r="G623" s="21"/>
      <c r="H623" s="21"/>
      <c r="I623" s="21"/>
      <c r="J623" s="21"/>
      <c r="K623" s="21"/>
      <c r="L623" s="21"/>
      <c r="M623" s="21"/>
      <c r="N623" s="21"/>
      <c r="O623" s="21"/>
      <c r="P623" s="21"/>
      <c r="Q623" s="19"/>
      <c r="R623" s="19"/>
      <c r="S623" s="19"/>
      <c r="T623" s="19"/>
      <c r="U623" s="19"/>
      <c r="V623" s="19"/>
      <c r="W623" s="19"/>
      <c r="X623" s="19"/>
      <c r="Y623" s="19"/>
      <c r="Z623" s="19"/>
    </row>
    <row r="624">
      <c r="A624" s="21"/>
      <c r="B624" s="21"/>
      <c r="C624" s="21"/>
      <c r="D624" s="21"/>
      <c r="E624" s="21"/>
      <c r="F624" s="21"/>
      <c r="G624" s="21"/>
      <c r="H624" s="21"/>
      <c r="I624" s="21"/>
      <c r="J624" s="21"/>
      <c r="K624" s="21"/>
      <c r="L624" s="21"/>
      <c r="M624" s="21"/>
      <c r="N624" s="21"/>
      <c r="O624" s="21"/>
      <c r="P624" s="21"/>
      <c r="Q624" s="19"/>
      <c r="R624" s="19"/>
      <c r="S624" s="19"/>
      <c r="T624" s="19"/>
      <c r="U624" s="19"/>
      <c r="V624" s="19"/>
      <c r="W624" s="19"/>
      <c r="X624" s="19"/>
      <c r="Y624" s="19"/>
      <c r="Z624" s="19"/>
    </row>
    <row r="625">
      <c r="A625" s="21"/>
      <c r="B625" s="21"/>
      <c r="C625" s="21"/>
      <c r="D625" s="21"/>
      <c r="E625" s="21"/>
      <c r="F625" s="21"/>
      <c r="G625" s="21"/>
      <c r="H625" s="21"/>
      <c r="I625" s="21"/>
      <c r="J625" s="21"/>
      <c r="K625" s="21"/>
      <c r="L625" s="21"/>
      <c r="M625" s="21"/>
      <c r="N625" s="21"/>
      <c r="O625" s="21"/>
      <c r="P625" s="21"/>
      <c r="Q625" s="19"/>
      <c r="R625" s="19"/>
      <c r="S625" s="19"/>
      <c r="T625" s="19"/>
      <c r="U625" s="19"/>
      <c r="V625" s="19"/>
      <c r="W625" s="19"/>
      <c r="X625" s="19"/>
      <c r="Y625" s="19"/>
      <c r="Z625" s="19"/>
    </row>
    <row r="626">
      <c r="A626" s="21"/>
      <c r="B626" s="21"/>
      <c r="C626" s="21"/>
      <c r="D626" s="21"/>
      <c r="E626" s="21"/>
      <c r="F626" s="21"/>
      <c r="G626" s="21"/>
      <c r="H626" s="21"/>
      <c r="I626" s="21"/>
      <c r="J626" s="21"/>
      <c r="K626" s="21"/>
      <c r="L626" s="21"/>
      <c r="M626" s="21"/>
      <c r="N626" s="21"/>
      <c r="O626" s="21"/>
      <c r="P626" s="21"/>
      <c r="Q626" s="19"/>
      <c r="R626" s="19"/>
      <c r="S626" s="19"/>
      <c r="T626" s="19"/>
      <c r="U626" s="19"/>
      <c r="V626" s="19"/>
      <c r="W626" s="19"/>
      <c r="X626" s="19"/>
      <c r="Y626" s="19"/>
      <c r="Z626" s="19"/>
    </row>
    <row r="627">
      <c r="A627" s="21"/>
      <c r="B627" s="21"/>
      <c r="C627" s="21"/>
      <c r="D627" s="21"/>
      <c r="E627" s="21"/>
      <c r="F627" s="21"/>
      <c r="G627" s="21"/>
      <c r="H627" s="21"/>
      <c r="I627" s="21"/>
      <c r="J627" s="21"/>
      <c r="K627" s="21"/>
      <c r="L627" s="21"/>
      <c r="M627" s="21"/>
      <c r="N627" s="21"/>
      <c r="O627" s="21"/>
      <c r="P627" s="21"/>
      <c r="Q627" s="19"/>
      <c r="R627" s="19"/>
      <c r="S627" s="19"/>
      <c r="T627" s="19"/>
      <c r="U627" s="19"/>
      <c r="V627" s="19"/>
      <c r="W627" s="19"/>
      <c r="X627" s="19"/>
      <c r="Y627" s="19"/>
      <c r="Z627" s="19"/>
    </row>
    <row r="628">
      <c r="A628" s="21"/>
      <c r="B628" s="21"/>
      <c r="C628" s="21"/>
      <c r="D628" s="21"/>
      <c r="E628" s="21"/>
      <c r="F628" s="21"/>
      <c r="G628" s="21"/>
      <c r="H628" s="21"/>
      <c r="I628" s="21"/>
      <c r="J628" s="21"/>
      <c r="K628" s="21"/>
      <c r="L628" s="21"/>
      <c r="M628" s="21"/>
      <c r="N628" s="21"/>
      <c r="O628" s="21"/>
      <c r="P628" s="21"/>
      <c r="Q628" s="19"/>
      <c r="R628" s="19"/>
      <c r="S628" s="19"/>
      <c r="T628" s="19"/>
      <c r="U628" s="19"/>
      <c r="V628" s="19"/>
      <c r="W628" s="19"/>
      <c r="X628" s="19"/>
      <c r="Y628" s="19"/>
      <c r="Z628" s="19"/>
    </row>
    <row r="629">
      <c r="A629" s="21"/>
      <c r="B629" s="21"/>
      <c r="C629" s="21"/>
      <c r="D629" s="21"/>
      <c r="E629" s="21"/>
      <c r="F629" s="21"/>
      <c r="G629" s="21"/>
      <c r="H629" s="21"/>
      <c r="I629" s="21"/>
      <c r="J629" s="21"/>
      <c r="K629" s="21"/>
      <c r="L629" s="21"/>
      <c r="M629" s="21"/>
      <c r="N629" s="21"/>
      <c r="O629" s="21"/>
      <c r="P629" s="21"/>
      <c r="Q629" s="19"/>
      <c r="R629" s="19"/>
      <c r="S629" s="19"/>
      <c r="T629" s="19"/>
      <c r="U629" s="19"/>
      <c r="V629" s="19"/>
      <c r="W629" s="19"/>
      <c r="X629" s="19"/>
      <c r="Y629" s="19"/>
      <c r="Z629" s="19"/>
    </row>
    <row r="630">
      <c r="A630" s="21"/>
      <c r="B630" s="21"/>
      <c r="C630" s="21"/>
      <c r="D630" s="21"/>
      <c r="E630" s="21"/>
      <c r="F630" s="21"/>
      <c r="G630" s="21"/>
      <c r="H630" s="21"/>
      <c r="I630" s="21"/>
      <c r="J630" s="21"/>
      <c r="K630" s="21"/>
      <c r="L630" s="21"/>
      <c r="M630" s="21"/>
      <c r="N630" s="21"/>
      <c r="O630" s="21"/>
      <c r="P630" s="21"/>
      <c r="Q630" s="19"/>
      <c r="R630" s="19"/>
      <c r="S630" s="19"/>
      <c r="T630" s="19"/>
      <c r="U630" s="19"/>
      <c r="V630" s="19"/>
      <c r="W630" s="19"/>
      <c r="X630" s="19"/>
      <c r="Y630" s="19"/>
      <c r="Z630" s="19"/>
    </row>
    <row r="631">
      <c r="A631" s="21"/>
      <c r="B631" s="21"/>
      <c r="C631" s="21"/>
      <c r="D631" s="21"/>
      <c r="E631" s="21"/>
      <c r="F631" s="21"/>
      <c r="G631" s="21"/>
      <c r="H631" s="21"/>
      <c r="I631" s="21"/>
      <c r="J631" s="21"/>
      <c r="K631" s="21"/>
      <c r="L631" s="21"/>
      <c r="M631" s="21"/>
      <c r="N631" s="21"/>
      <c r="O631" s="21"/>
      <c r="P631" s="21"/>
      <c r="Q631" s="19"/>
      <c r="R631" s="19"/>
      <c r="S631" s="19"/>
      <c r="T631" s="19"/>
      <c r="U631" s="19"/>
      <c r="V631" s="19"/>
      <c r="W631" s="19"/>
      <c r="X631" s="19"/>
      <c r="Y631" s="19"/>
      <c r="Z631" s="19"/>
    </row>
    <row r="632">
      <c r="A632" s="21"/>
      <c r="B632" s="21"/>
      <c r="C632" s="21"/>
      <c r="D632" s="21"/>
      <c r="E632" s="21"/>
      <c r="F632" s="21"/>
      <c r="G632" s="21"/>
      <c r="H632" s="21"/>
      <c r="I632" s="21"/>
      <c r="J632" s="21"/>
      <c r="K632" s="21"/>
      <c r="L632" s="21"/>
      <c r="M632" s="21"/>
      <c r="N632" s="21"/>
      <c r="O632" s="21"/>
      <c r="P632" s="21"/>
      <c r="Q632" s="19"/>
      <c r="R632" s="19"/>
      <c r="S632" s="19"/>
      <c r="T632" s="19"/>
      <c r="U632" s="19"/>
      <c r="V632" s="19"/>
      <c r="W632" s="19"/>
      <c r="X632" s="19"/>
      <c r="Y632" s="19"/>
      <c r="Z632" s="19"/>
    </row>
    <row r="633">
      <c r="A633" s="21"/>
      <c r="B633" s="21"/>
      <c r="C633" s="21"/>
      <c r="D633" s="21"/>
      <c r="E633" s="21"/>
      <c r="F633" s="21"/>
      <c r="G633" s="21"/>
      <c r="H633" s="21"/>
      <c r="I633" s="21"/>
      <c r="J633" s="21"/>
      <c r="K633" s="21"/>
      <c r="L633" s="21"/>
      <c r="M633" s="21"/>
      <c r="N633" s="21"/>
      <c r="O633" s="21"/>
      <c r="P633" s="21"/>
      <c r="Q633" s="19"/>
      <c r="R633" s="19"/>
      <c r="S633" s="19"/>
      <c r="T633" s="19"/>
      <c r="U633" s="19"/>
      <c r="V633" s="19"/>
      <c r="W633" s="19"/>
      <c r="X633" s="19"/>
      <c r="Y633" s="19"/>
      <c r="Z633" s="19"/>
    </row>
    <row r="634">
      <c r="A634" s="21"/>
      <c r="B634" s="21"/>
      <c r="C634" s="21"/>
      <c r="D634" s="21"/>
      <c r="E634" s="21"/>
      <c r="F634" s="21"/>
      <c r="G634" s="21"/>
      <c r="H634" s="21"/>
      <c r="I634" s="21"/>
      <c r="J634" s="21"/>
      <c r="K634" s="21"/>
      <c r="L634" s="21"/>
      <c r="M634" s="21"/>
      <c r="N634" s="21"/>
      <c r="O634" s="21"/>
      <c r="P634" s="21"/>
      <c r="Q634" s="19"/>
      <c r="R634" s="19"/>
      <c r="S634" s="19"/>
      <c r="T634" s="19"/>
      <c r="U634" s="19"/>
      <c r="V634" s="19"/>
      <c r="W634" s="19"/>
      <c r="X634" s="19"/>
      <c r="Y634" s="19"/>
      <c r="Z634" s="19"/>
    </row>
    <row r="635">
      <c r="A635" s="21"/>
      <c r="B635" s="21"/>
      <c r="C635" s="21"/>
      <c r="D635" s="21"/>
      <c r="E635" s="21"/>
      <c r="F635" s="21"/>
      <c r="G635" s="21"/>
      <c r="H635" s="21"/>
      <c r="I635" s="21"/>
      <c r="J635" s="21"/>
      <c r="K635" s="21"/>
      <c r="L635" s="21"/>
      <c r="M635" s="21"/>
      <c r="N635" s="21"/>
      <c r="O635" s="21"/>
      <c r="P635" s="21"/>
      <c r="Q635" s="19"/>
      <c r="R635" s="19"/>
      <c r="S635" s="19"/>
      <c r="T635" s="19"/>
      <c r="U635" s="19"/>
      <c r="V635" s="19"/>
      <c r="W635" s="19"/>
      <c r="X635" s="19"/>
      <c r="Y635" s="19"/>
      <c r="Z635" s="19"/>
    </row>
    <row r="636">
      <c r="A636" s="21"/>
      <c r="B636" s="21"/>
      <c r="C636" s="21"/>
      <c r="D636" s="21"/>
      <c r="E636" s="21"/>
      <c r="F636" s="21"/>
      <c r="G636" s="21"/>
      <c r="H636" s="21"/>
      <c r="I636" s="21"/>
      <c r="J636" s="21"/>
      <c r="K636" s="21"/>
      <c r="L636" s="21"/>
      <c r="M636" s="21"/>
      <c r="N636" s="21"/>
      <c r="O636" s="21"/>
      <c r="P636" s="21"/>
      <c r="Q636" s="19"/>
      <c r="R636" s="19"/>
      <c r="S636" s="19"/>
      <c r="T636" s="19"/>
      <c r="U636" s="19"/>
      <c r="V636" s="19"/>
      <c r="W636" s="19"/>
      <c r="X636" s="19"/>
      <c r="Y636" s="19"/>
      <c r="Z636" s="19"/>
    </row>
    <row r="637">
      <c r="A637" s="21"/>
      <c r="B637" s="21"/>
      <c r="C637" s="21"/>
      <c r="D637" s="21"/>
      <c r="E637" s="21"/>
      <c r="F637" s="21"/>
      <c r="G637" s="21"/>
      <c r="H637" s="21"/>
      <c r="I637" s="21"/>
      <c r="J637" s="21"/>
      <c r="K637" s="21"/>
      <c r="L637" s="21"/>
      <c r="M637" s="21"/>
      <c r="N637" s="21"/>
      <c r="O637" s="21"/>
      <c r="P637" s="21"/>
      <c r="Q637" s="19"/>
      <c r="R637" s="19"/>
      <c r="S637" s="19"/>
      <c r="T637" s="19"/>
      <c r="U637" s="19"/>
      <c r="V637" s="19"/>
      <c r="W637" s="19"/>
      <c r="X637" s="19"/>
      <c r="Y637" s="19"/>
      <c r="Z637" s="19"/>
    </row>
    <row r="638">
      <c r="A638" s="21"/>
      <c r="B638" s="21"/>
      <c r="C638" s="21"/>
      <c r="D638" s="21"/>
      <c r="E638" s="21"/>
      <c r="F638" s="21"/>
      <c r="G638" s="21"/>
      <c r="H638" s="21"/>
      <c r="I638" s="21"/>
      <c r="J638" s="21"/>
      <c r="K638" s="21"/>
      <c r="L638" s="21"/>
      <c r="M638" s="21"/>
      <c r="N638" s="21"/>
      <c r="O638" s="21"/>
      <c r="P638" s="21"/>
      <c r="Q638" s="19"/>
      <c r="R638" s="19"/>
      <c r="S638" s="19"/>
      <c r="T638" s="19"/>
      <c r="U638" s="19"/>
      <c r="V638" s="19"/>
      <c r="W638" s="19"/>
      <c r="X638" s="19"/>
      <c r="Y638" s="19"/>
      <c r="Z638" s="19"/>
    </row>
    <row r="639">
      <c r="A639" s="21"/>
      <c r="B639" s="21"/>
      <c r="C639" s="21"/>
      <c r="D639" s="21"/>
      <c r="E639" s="21"/>
      <c r="F639" s="21"/>
      <c r="G639" s="21"/>
      <c r="H639" s="21"/>
      <c r="I639" s="21"/>
      <c r="J639" s="21"/>
      <c r="K639" s="21"/>
      <c r="L639" s="21"/>
      <c r="M639" s="21"/>
      <c r="N639" s="21"/>
      <c r="O639" s="21"/>
      <c r="P639" s="21"/>
      <c r="Q639" s="19"/>
      <c r="R639" s="19"/>
      <c r="S639" s="19"/>
      <c r="T639" s="19"/>
      <c r="U639" s="19"/>
      <c r="V639" s="19"/>
      <c r="W639" s="19"/>
      <c r="X639" s="19"/>
      <c r="Y639" s="19"/>
      <c r="Z639" s="19"/>
    </row>
    <row r="640">
      <c r="A640" s="21"/>
      <c r="B640" s="21"/>
      <c r="C640" s="21"/>
      <c r="D640" s="21"/>
      <c r="E640" s="21"/>
      <c r="F640" s="21"/>
      <c r="G640" s="21"/>
      <c r="H640" s="21"/>
      <c r="I640" s="21"/>
      <c r="J640" s="21"/>
      <c r="K640" s="21"/>
      <c r="L640" s="21"/>
      <c r="M640" s="21"/>
      <c r="N640" s="21"/>
      <c r="O640" s="21"/>
      <c r="P640" s="21"/>
      <c r="Q640" s="19"/>
      <c r="R640" s="19"/>
      <c r="S640" s="19"/>
      <c r="T640" s="19"/>
      <c r="U640" s="19"/>
      <c r="V640" s="19"/>
      <c r="W640" s="19"/>
      <c r="X640" s="19"/>
      <c r="Y640" s="19"/>
      <c r="Z640" s="19"/>
    </row>
    <row r="641">
      <c r="A641" s="21"/>
      <c r="B641" s="21"/>
      <c r="C641" s="21"/>
      <c r="D641" s="21"/>
      <c r="E641" s="21"/>
      <c r="F641" s="21"/>
      <c r="G641" s="21"/>
      <c r="H641" s="21"/>
      <c r="I641" s="21"/>
      <c r="J641" s="21"/>
      <c r="K641" s="21"/>
      <c r="L641" s="21"/>
      <c r="M641" s="21"/>
      <c r="N641" s="21"/>
      <c r="O641" s="21"/>
      <c r="P641" s="21"/>
      <c r="Q641" s="19"/>
      <c r="R641" s="19"/>
      <c r="S641" s="19"/>
      <c r="T641" s="19"/>
      <c r="U641" s="19"/>
      <c r="V641" s="19"/>
      <c r="W641" s="19"/>
      <c r="X641" s="19"/>
      <c r="Y641" s="19"/>
      <c r="Z641" s="19"/>
    </row>
    <row r="642">
      <c r="A642" s="21"/>
      <c r="B642" s="21"/>
      <c r="C642" s="21"/>
      <c r="D642" s="21"/>
      <c r="E642" s="21"/>
      <c r="F642" s="21"/>
      <c r="G642" s="21"/>
      <c r="H642" s="21"/>
      <c r="I642" s="21"/>
      <c r="J642" s="21"/>
      <c r="K642" s="21"/>
      <c r="L642" s="21"/>
      <c r="M642" s="21"/>
      <c r="N642" s="21"/>
      <c r="O642" s="21"/>
      <c r="P642" s="21"/>
      <c r="Q642" s="19"/>
      <c r="R642" s="19"/>
      <c r="S642" s="19"/>
      <c r="T642" s="19"/>
      <c r="U642" s="19"/>
      <c r="V642" s="19"/>
      <c r="W642" s="19"/>
      <c r="X642" s="19"/>
      <c r="Y642" s="19"/>
      <c r="Z642" s="19"/>
    </row>
    <row r="643">
      <c r="A643" s="21"/>
      <c r="B643" s="21"/>
      <c r="C643" s="21"/>
      <c r="D643" s="21"/>
      <c r="E643" s="21"/>
      <c r="F643" s="21"/>
      <c r="G643" s="21"/>
      <c r="H643" s="21"/>
      <c r="I643" s="21"/>
      <c r="J643" s="21"/>
      <c r="K643" s="21"/>
      <c r="L643" s="21"/>
      <c r="M643" s="21"/>
      <c r="N643" s="21"/>
      <c r="O643" s="21"/>
      <c r="P643" s="21"/>
      <c r="Q643" s="19"/>
      <c r="R643" s="19"/>
      <c r="S643" s="19"/>
      <c r="T643" s="19"/>
      <c r="U643" s="19"/>
      <c r="V643" s="19"/>
      <c r="W643" s="19"/>
      <c r="X643" s="19"/>
      <c r="Y643" s="19"/>
      <c r="Z643" s="19"/>
    </row>
    <row r="644">
      <c r="A644" s="21"/>
      <c r="B644" s="21"/>
      <c r="C644" s="21"/>
      <c r="D644" s="21"/>
      <c r="E644" s="21"/>
      <c r="F644" s="21"/>
      <c r="G644" s="21"/>
      <c r="H644" s="21"/>
      <c r="I644" s="21"/>
      <c r="J644" s="21"/>
      <c r="K644" s="21"/>
      <c r="L644" s="21"/>
      <c r="M644" s="21"/>
      <c r="N644" s="21"/>
      <c r="O644" s="21"/>
      <c r="P644" s="21"/>
      <c r="Q644" s="19"/>
      <c r="R644" s="19"/>
      <c r="S644" s="19"/>
      <c r="T644" s="19"/>
      <c r="U644" s="19"/>
      <c r="V644" s="19"/>
      <c r="W644" s="19"/>
      <c r="X644" s="19"/>
      <c r="Y644" s="19"/>
      <c r="Z644" s="19"/>
    </row>
    <row r="645">
      <c r="A645" s="21"/>
      <c r="B645" s="21"/>
      <c r="C645" s="21"/>
      <c r="D645" s="21"/>
      <c r="E645" s="21"/>
      <c r="F645" s="21"/>
      <c r="G645" s="21"/>
      <c r="H645" s="21"/>
      <c r="I645" s="21"/>
      <c r="J645" s="21"/>
      <c r="K645" s="21"/>
      <c r="L645" s="21"/>
      <c r="M645" s="21"/>
      <c r="N645" s="21"/>
      <c r="O645" s="21"/>
      <c r="P645" s="21"/>
      <c r="Q645" s="19"/>
      <c r="R645" s="19"/>
      <c r="S645" s="19"/>
      <c r="T645" s="19"/>
      <c r="U645" s="19"/>
      <c r="V645" s="19"/>
      <c r="W645" s="19"/>
      <c r="X645" s="19"/>
      <c r="Y645" s="19"/>
      <c r="Z645" s="19"/>
    </row>
    <row r="646">
      <c r="A646" s="21"/>
      <c r="B646" s="21"/>
      <c r="C646" s="21"/>
      <c r="D646" s="21"/>
      <c r="E646" s="21"/>
      <c r="F646" s="21"/>
      <c r="G646" s="21"/>
      <c r="H646" s="21"/>
      <c r="I646" s="21"/>
      <c r="J646" s="21"/>
      <c r="K646" s="21"/>
      <c r="L646" s="21"/>
      <c r="M646" s="21"/>
      <c r="N646" s="21"/>
      <c r="O646" s="21"/>
      <c r="P646" s="21"/>
      <c r="Q646" s="19"/>
      <c r="R646" s="19"/>
      <c r="S646" s="19"/>
      <c r="T646" s="19"/>
      <c r="U646" s="19"/>
      <c r="V646" s="19"/>
      <c r="W646" s="19"/>
      <c r="X646" s="19"/>
      <c r="Y646" s="19"/>
      <c r="Z646" s="19"/>
    </row>
    <row r="647">
      <c r="A647" s="21"/>
      <c r="B647" s="21"/>
      <c r="C647" s="21"/>
      <c r="D647" s="21"/>
      <c r="E647" s="21"/>
      <c r="F647" s="21"/>
      <c r="G647" s="21"/>
      <c r="H647" s="21"/>
      <c r="I647" s="21"/>
      <c r="J647" s="21"/>
      <c r="K647" s="21"/>
      <c r="L647" s="21"/>
      <c r="M647" s="21"/>
      <c r="N647" s="21"/>
      <c r="O647" s="21"/>
      <c r="P647" s="21"/>
      <c r="Q647" s="19"/>
      <c r="R647" s="19"/>
      <c r="S647" s="19"/>
      <c r="T647" s="19"/>
      <c r="U647" s="19"/>
      <c r="V647" s="19"/>
      <c r="W647" s="19"/>
      <c r="X647" s="19"/>
      <c r="Y647" s="19"/>
      <c r="Z647" s="19"/>
    </row>
    <row r="648">
      <c r="A648" s="21"/>
      <c r="B648" s="21"/>
      <c r="C648" s="21"/>
      <c r="D648" s="21"/>
      <c r="E648" s="21"/>
      <c r="F648" s="21"/>
      <c r="G648" s="21"/>
      <c r="H648" s="21"/>
      <c r="I648" s="21"/>
      <c r="J648" s="21"/>
      <c r="K648" s="21"/>
      <c r="L648" s="21"/>
      <c r="M648" s="21"/>
      <c r="N648" s="21"/>
      <c r="O648" s="21"/>
      <c r="P648" s="21"/>
      <c r="Q648" s="19"/>
      <c r="R648" s="19"/>
      <c r="S648" s="19"/>
      <c r="T648" s="19"/>
      <c r="U648" s="19"/>
      <c r="V648" s="19"/>
      <c r="W648" s="19"/>
      <c r="X648" s="19"/>
      <c r="Y648" s="19"/>
      <c r="Z648" s="19"/>
    </row>
    <row r="649">
      <c r="A649" s="21"/>
      <c r="B649" s="21"/>
      <c r="C649" s="21"/>
      <c r="D649" s="21"/>
      <c r="E649" s="21"/>
      <c r="F649" s="21"/>
      <c r="G649" s="21"/>
      <c r="H649" s="21"/>
      <c r="I649" s="21"/>
      <c r="J649" s="21"/>
      <c r="K649" s="21"/>
      <c r="L649" s="21"/>
      <c r="M649" s="21"/>
      <c r="N649" s="21"/>
      <c r="O649" s="21"/>
      <c r="P649" s="21"/>
      <c r="Q649" s="19"/>
      <c r="R649" s="19"/>
      <c r="S649" s="19"/>
      <c r="T649" s="19"/>
      <c r="U649" s="19"/>
      <c r="V649" s="19"/>
      <c r="W649" s="19"/>
      <c r="X649" s="19"/>
      <c r="Y649" s="19"/>
      <c r="Z649" s="19"/>
    </row>
    <row r="650">
      <c r="A650" s="21"/>
      <c r="B650" s="21"/>
      <c r="C650" s="21"/>
      <c r="D650" s="21"/>
      <c r="E650" s="21"/>
      <c r="F650" s="21"/>
      <c r="G650" s="21"/>
      <c r="H650" s="21"/>
      <c r="I650" s="21"/>
      <c r="J650" s="21"/>
      <c r="K650" s="21"/>
      <c r="L650" s="21"/>
      <c r="M650" s="21"/>
      <c r="N650" s="21"/>
      <c r="O650" s="21"/>
      <c r="P650" s="21"/>
      <c r="Q650" s="19"/>
      <c r="R650" s="19"/>
      <c r="S650" s="19"/>
      <c r="T650" s="19"/>
      <c r="U650" s="19"/>
      <c r="V650" s="19"/>
      <c r="W650" s="19"/>
      <c r="X650" s="19"/>
      <c r="Y650" s="19"/>
      <c r="Z650" s="19"/>
    </row>
    <row r="651">
      <c r="A651" s="21"/>
      <c r="B651" s="21"/>
      <c r="C651" s="21"/>
      <c r="D651" s="21"/>
      <c r="E651" s="21"/>
      <c r="F651" s="21"/>
      <c r="G651" s="21"/>
      <c r="H651" s="21"/>
      <c r="I651" s="21"/>
      <c r="J651" s="21"/>
      <c r="K651" s="21"/>
      <c r="L651" s="21"/>
      <c r="M651" s="21"/>
      <c r="N651" s="21"/>
      <c r="O651" s="21"/>
      <c r="P651" s="21"/>
      <c r="Q651" s="19"/>
      <c r="R651" s="19"/>
      <c r="S651" s="19"/>
      <c r="T651" s="19"/>
      <c r="U651" s="19"/>
      <c r="V651" s="19"/>
      <c r="W651" s="19"/>
      <c r="X651" s="19"/>
      <c r="Y651" s="19"/>
      <c r="Z651" s="19"/>
    </row>
    <row r="652">
      <c r="A652" s="21"/>
      <c r="B652" s="21"/>
      <c r="C652" s="21"/>
      <c r="D652" s="21"/>
      <c r="E652" s="21"/>
      <c r="F652" s="21"/>
      <c r="G652" s="21"/>
      <c r="H652" s="21"/>
      <c r="I652" s="21"/>
      <c r="J652" s="21"/>
      <c r="K652" s="21"/>
      <c r="L652" s="21"/>
      <c r="M652" s="21"/>
      <c r="N652" s="21"/>
      <c r="O652" s="21"/>
      <c r="P652" s="21"/>
      <c r="Q652" s="19"/>
      <c r="R652" s="19"/>
      <c r="S652" s="19"/>
      <c r="T652" s="19"/>
      <c r="U652" s="19"/>
      <c r="V652" s="19"/>
      <c r="W652" s="19"/>
      <c r="X652" s="19"/>
      <c r="Y652" s="19"/>
      <c r="Z652" s="19"/>
    </row>
    <row r="653">
      <c r="A653" s="21"/>
      <c r="B653" s="21"/>
      <c r="C653" s="21"/>
      <c r="D653" s="21"/>
      <c r="E653" s="21"/>
      <c r="F653" s="21"/>
      <c r="G653" s="21"/>
      <c r="H653" s="21"/>
      <c r="I653" s="21"/>
      <c r="J653" s="21"/>
      <c r="K653" s="21"/>
      <c r="L653" s="21"/>
      <c r="M653" s="21"/>
      <c r="N653" s="21"/>
      <c r="O653" s="21"/>
      <c r="P653" s="21"/>
      <c r="Q653" s="19"/>
      <c r="R653" s="19"/>
      <c r="S653" s="19"/>
      <c r="T653" s="19"/>
      <c r="U653" s="19"/>
      <c r="V653" s="19"/>
      <c r="W653" s="19"/>
      <c r="X653" s="19"/>
      <c r="Y653" s="19"/>
      <c r="Z653" s="19"/>
    </row>
    <row r="654">
      <c r="A654" s="21"/>
      <c r="B654" s="21"/>
      <c r="C654" s="21"/>
      <c r="D654" s="21"/>
      <c r="E654" s="21"/>
      <c r="F654" s="21"/>
      <c r="G654" s="21"/>
      <c r="H654" s="21"/>
      <c r="I654" s="21"/>
      <c r="J654" s="21"/>
      <c r="K654" s="21"/>
      <c r="L654" s="21"/>
      <c r="M654" s="21"/>
      <c r="N654" s="21"/>
      <c r="O654" s="21"/>
      <c r="P654" s="21"/>
      <c r="Q654" s="19"/>
      <c r="R654" s="19"/>
      <c r="S654" s="19"/>
      <c r="T654" s="19"/>
      <c r="U654" s="19"/>
      <c r="V654" s="19"/>
      <c r="W654" s="19"/>
      <c r="X654" s="19"/>
      <c r="Y654" s="19"/>
      <c r="Z654" s="19"/>
    </row>
    <row r="655">
      <c r="A655" s="21"/>
      <c r="B655" s="21"/>
      <c r="C655" s="21"/>
      <c r="D655" s="21"/>
      <c r="E655" s="21"/>
      <c r="F655" s="21"/>
      <c r="G655" s="21"/>
      <c r="H655" s="21"/>
      <c r="I655" s="21"/>
      <c r="J655" s="21"/>
      <c r="K655" s="21"/>
      <c r="L655" s="21"/>
      <c r="M655" s="21"/>
      <c r="N655" s="21"/>
      <c r="O655" s="21"/>
      <c r="P655" s="21"/>
      <c r="Q655" s="19"/>
      <c r="R655" s="19"/>
      <c r="S655" s="19"/>
      <c r="T655" s="19"/>
      <c r="U655" s="19"/>
      <c r="V655" s="19"/>
      <c r="W655" s="19"/>
      <c r="X655" s="19"/>
      <c r="Y655" s="19"/>
      <c r="Z655" s="19"/>
    </row>
    <row r="656">
      <c r="A656" s="21"/>
      <c r="B656" s="21"/>
      <c r="C656" s="21"/>
      <c r="D656" s="21"/>
      <c r="E656" s="21"/>
      <c r="F656" s="21"/>
      <c r="G656" s="21"/>
      <c r="H656" s="21"/>
      <c r="I656" s="21"/>
      <c r="J656" s="21"/>
      <c r="K656" s="21"/>
      <c r="L656" s="21"/>
      <c r="M656" s="21"/>
      <c r="N656" s="21"/>
      <c r="O656" s="21"/>
      <c r="P656" s="21"/>
      <c r="Q656" s="19"/>
      <c r="R656" s="19"/>
      <c r="S656" s="19"/>
      <c r="T656" s="19"/>
      <c r="U656" s="19"/>
      <c r="V656" s="19"/>
      <c r="W656" s="19"/>
      <c r="X656" s="19"/>
      <c r="Y656" s="19"/>
      <c r="Z656" s="19"/>
    </row>
    <row r="657">
      <c r="A657" s="21"/>
      <c r="B657" s="21"/>
      <c r="C657" s="21"/>
      <c r="D657" s="21"/>
      <c r="E657" s="21"/>
      <c r="F657" s="21"/>
      <c r="G657" s="21"/>
      <c r="H657" s="21"/>
      <c r="I657" s="21"/>
      <c r="J657" s="21"/>
      <c r="K657" s="21"/>
      <c r="L657" s="21"/>
      <c r="M657" s="21"/>
      <c r="N657" s="21"/>
      <c r="O657" s="21"/>
      <c r="P657" s="21"/>
      <c r="Q657" s="19"/>
      <c r="R657" s="19"/>
      <c r="S657" s="19"/>
      <c r="T657" s="19"/>
      <c r="U657" s="19"/>
      <c r="V657" s="19"/>
      <c r="W657" s="19"/>
      <c r="X657" s="19"/>
      <c r="Y657" s="19"/>
      <c r="Z657" s="19"/>
    </row>
    <row r="658">
      <c r="A658" s="21"/>
      <c r="B658" s="21"/>
      <c r="C658" s="21"/>
      <c r="D658" s="21"/>
      <c r="E658" s="21"/>
      <c r="F658" s="21"/>
      <c r="G658" s="21"/>
      <c r="H658" s="21"/>
      <c r="I658" s="21"/>
      <c r="J658" s="21"/>
      <c r="K658" s="21"/>
      <c r="L658" s="21"/>
      <c r="M658" s="21"/>
      <c r="N658" s="21"/>
      <c r="O658" s="21"/>
      <c r="P658" s="21"/>
      <c r="Q658" s="19"/>
      <c r="R658" s="19"/>
      <c r="S658" s="19"/>
      <c r="T658" s="19"/>
      <c r="U658" s="19"/>
      <c r="V658" s="19"/>
      <c r="W658" s="19"/>
      <c r="X658" s="19"/>
      <c r="Y658" s="19"/>
      <c r="Z658" s="19"/>
    </row>
    <row r="659">
      <c r="A659" s="21"/>
      <c r="B659" s="21"/>
      <c r="C659" s="21"/>
      <c r="D659" s="21"/>
      <c r="E659" s="21"/>
      <c r="F659" s="21"/>
      <c r="G659" s="21"/>
      <c r="H659" s="21"/>
      <c r="I659" s="21"/>
      <c r="J659" s="21"/>
      <c r="K659" s="21"/>
      <c r="L659" s="21"/>
      <c r="M659" s="21"/>
      <c r="N659" s="21"/>
      <c r="O659" s="21"/>
      <c r="P659" s="21"/>
      <c r="Q659" s="19"/>
      <c r="R659" s="19"/>
      <c r="S659" s="19"/>
      <c r="T659" s="19"/>
      <c r="U659" s="19"/>
      <c r="V659" s="19"/>
      <c r="W659" s="19"/>
      <c r="X659" s="19"/>
      <c r="Y659" s="19"/>
      <c r="Z659" s="19"/>
    </row>
    <row r="660">
      <c r="A660" s="21"/>
      <c r="B660" s="21"/>
      <c r="C660" s="21"/>
      <c r="D660" s="21"/>
      <c r="E660" s="21"/>
      <c r="F660" s="21"/>
      <c r="G660" s="21"/>
      <c r="H660" s="21"/>
      <c r="I660" s="21"/>
      <c r="J660" s="21"/>
      <c r="K660" s="21"/>
      <c r="L660" s="21"/>
      <c r="M660" s="21"/>
      <c r="N660" s="21"/>
      <c r="O660" s="21"/>
      <c r="P660" s="21"/>
      <c r="Q660" s="19"/>
      <c r="R660" s="19"/>
      <c r="S660" s="19"/>
      <c r="T660" s="19"/>
      <c r="U660" s="19"/>
      <c r="V660" s="19"/>
      <c r="W660" s="19"/>
      <c r="X660" s="19"/>
      <c r="Y660" s="19"/>
      <c r="Z660" s="19"/>
    </row>
    <row r="661">
      <c r="A661" s="21"/>
      <c r="B661" s="21"/>
      <c r="C661" s="21"/>
      <c r="D661" s="21"/>
      <c r="E661" s="21"/>
      <c r="F661" s="21"/>
      <c r="G661" s="21"/>
      <c r="H661" s="21"/>
      <c r="I661" s="21"/>
      <c r="J661" s="21"/>
      <c r="K661" s="21"/>
      <c r="L661" s="21"/>
      <c r="M661" s="21"/>
      <c r="N661" s="21"/>
      <c r="O661" s="21"/>
      <c r="P661" s="21"/>
      <c r="Q661" s="19"/>
      <c r="R661" s="19"/>
      <c r="S661" s="19"/>
      <c r="T661" s="19"/>
      <c r="U661" s="19"/>
      <c r="V661" s="19"/>
      <c r="W661" s="19"/>
      <c r="X661" s="19"/>
      <c r="Y661" s="19"/>
      <c r="Z661" s="19"/>
    </row>
    <row r="662">
      <c r="A662" s="21"/>
      <c r="B662" s="21"/>
      <c r="C662" s="21"/>
      <c r="D662" s="21"/>
      <c r="E662" s="21"/>
      <c r="F662" s="21"/>
      <c r="G662" s="21"/>
      <c r="H662" s="21"/>
      <c r="I662" s="21"/>
      <c r="J662" s="21"/>
      <c r="K662" s="21"/>
      <c r="L662" s="21"/>
      <c r="M662" s="21"/>
      <c r="N662" s="21"/>
      <c r="O662" s="21"/>
      <c r="P662" s="21"/>
      <c r="Q662" s="19"/>
      <c r="R662" s="19"/>
      <c r="S662" s="19"/>
      <c r="T662" s="19"/>
      <c r="U662" s="19"/>
      <c r="V662" s="19"/>
      <c r="W662" s="19"/>
      <c r="X662" s="19"/>
      <c r="Y662" s="19"/>
      <c r="Z662" s="19"/>
    </row>
    <row r="663">
      <c r="A663" s="21"/>
      <c r="B663" s="21"/>
      <c r="C663" s="21"/>
      <c r="D663" s="21"/>
      <c r="E663" s="21"/>
      <c r="F663" s="21"/>
      <c r="G663" s="21"/>
      <c r="H663" s="21"/>
      <c r="I663" s="21"/>
      <c r="J663" s="21"/>
      <c r="K663" s="21"/>
      <c r="L663" s="21"/>
      <c r="M663" s="21"/>
      <c r="N663" s="21"/>
      <c r="O663" s="21"/>
      <c r="P663" s="21"/>
      <c r="Q663" s="19"/>
      <c r="R663" s="19"/>
      <c r="S663" s="19"/>
      <c r="T663" s="19"/>
      <c r="U663" s="19"/>
      <c r="V663" s="19"/>
      <c r="W663" s="19"/>
      <c r="X663" s="19"/>
      <c r="Y663" s="19"/>
      <c r="Z663" s="19"/>
    </row>
    <row r="664">
      <c r="A664" s="21"/>
      <c r="B664" s="21"/>
      <c r="C664" s="21"/>
      <c r="D664" s="21"/>
      <c r="E664" s="21"/>
      <c r="F664" s="21"/>
      <c r="G664" s="21"/>
      <c r="H664" s="21"/>
      <c r="I664" s="21"/>
      <c r="J664" s="21"/>
      <c r="K664" s="21"/>
      <c r="L664" s="21"/>
      <c r="M664" s="21"/>
      <c r="N664" s="21"/>
      <c r="O664" s="21"/>
      <c r="P664" s="21"/>
      <c r="Q664" s="19"/>
      <c r="R664" s="19"/>
      <c r="S664" s="19"/>
      <c r="T664" s="19"/>
      <c r="U664" s="19"/>
      <c r="V664" s="19"/>
      <c r="W664" s="19"/>
      <c r="X664" s="19"/>
      <c r="Y664" s="19"/>
      <c r="Z664" s="19"/>
    </row>
    <row r="665">
      <c r="A665" s="21"/>
      <c r="B665" s="21"/>
      <c r="C665" s="21"/>
      <c r="D665" s="21"/>
      <c r="E665" s="21"/>
      <c r="F665" s="21"/>
      <c r="G665" s="21"/>
      <c r="H665" s="21"/>
      <c r="I665" s="21"/>
      <c r="J665" s="21"/>
      <c r="K665" s="21"/>
      <c r="L665" s="21"/>
      <c r="M665" s="21"/>
      <c r="N665" s="21"/>
      <c r="O665" s="21"/>
      <c r="P665" s="21"/>
      <c r="Q665" s="19"/>
      <c r="R665" s="19"/>
      <c r="S665" s="19"/>
      <c r="T665" s="19"/>
      <c r="U665" s="19"/>
      <c r="V665" s="19"/>
      <c r="W665" s="19"/>
      <c r="X665" s="19"/>
      <c r="Y665" s="19"/>
      <c r="Z665" s="19"/>
    </row>
    <row r="666">
      <c r="A666" s="21"/>
      <c r="B666" s="21"/>
      <c r="C666" s="21"/>
      <c r="D666" s="21"/>
      <c r="E666" s="21"/>
      <c r="F666" s="21"/>
      <c r="G666" s="21"/>
      <c r="H666" s="21"/>
      <c r="I666" s="21"/>
      <c r="J666" s="21"/>
      <c r="K666" s="21"/>
      <c r="L666" s="21"/>
      <c r="M666" s="21"/>
      <c r="N666" s="21"/>
      <c r="O666" s="21"/>
      <c r="P666" s="21"/>
      <c r="Q666" s="19"/>
      <c r="R666" s="19"/>
      <c r="S666" s="19"/>
      <c r="T666" s="19"/>
      <c r="U666" s="19"/>
      <c r="V666" s="19"/>
      <c r="W666" s="19"/>
      <c r="X666" s="19"/>
      <c r="Y666" s="19"/>
      <c r="Z666" s="19"/>
    </row>
    <row r="667">
      <c r="A667" s="21"/>
      <c r="B667" s="21"/>
      <c r="C667" s="21"/>
      <c r="D667" s="21"/>
      <c r="E667" s="21"/>
      <c r="F667" s="21"/>
      <c r="G667" s="21"/>
      <c r="H667" s="21"/>
      <c r="I667" s="21"/>
      <c r="J667" s="21"/>
      <c r="K667" s="21"/>
      <c r="L667" s="21"/>
      <c r="M667" s="21"/>
      <c r="N667" s="21"/>
      <c r="O667" s="21"/>
      <c r="P667" s="21"/>
      <c r="Q667" s="19"/>
      <c r="R667" s="19"/>
      <c r="S667" s="19"/>
      <c r="T667" s="19"/>
      <c r="U667" s="19"/>
      <c r="V667" s="19"/>
      <c r="W667" s="19"/>
      <c r="X667" s="19"/>
      <c r="Y667" s="19"/>
      <c r="Z667" s="19"/>
    </row>
    <row r="668">
      <c r="A668" s="21"/>
      <c r="B668" s="21"/>
      <c r="C668" s="21"/>
      <c r="D668" s="21"/>
      <c r="E668" s="21"/>
      <c r="F668" s="21"/>
      <c r="G668" s="21"/>
      <c r="H668" s="21"/>
      <c r="I668" s="21"/>
      <c r="J668" s="21"/>
      <c r="K668" s="21"/>
      <c r="L668" s="21"/>
      <c r="M668" s="21"/>
      <c r="N668" s="21"/>
      <c r="O668" s="21"/>
      <c r="P668" s="21"/>
      <c r="Q668" s="19"/>
      <c r="R668" s="19"/>
      <c r="S668" s="19"/>
      <c r="T668" s="19"/>
      <c r="U668" s="19"/>
      <c r="V668" s="19"/>
      <c r="W668" s="19"/>
      <c r="X668" s="19"/>
      <c r="Y668" s="19"/>
      <c r="Z668" s="19"/>
    </row>
    <row r="669">
      <c r="A669" s="21"/>
      <c r="B669" s="21"/>
      <c r="C669" s="21"/>
      <c r="D669" s="21"/>
      <c r="E669" s="21"/>
      <c r="F669" s="21"/>
      <c r="G669" s="21"/>
      <c r="H669" s="21"/>
      <c r="I669" s="21"/>
      <c r="J669" s="21"/>
      <c r="K669" s="21"/>
      <c r="L669" s="21"/>
      <c r="M669" s="21"/>
      <c r="N669" s="21"/>
      <c r="O669" s="21"/>
      <c r="P669" s="21"/>
      <c r="Q669" s="19"/>
      <c r="R669" s="19"/>
      <c r="S669" s="19"/>
      <c r="T669" s="19"/>
      <c r="U669" s="19"/>
      <c r="V669" s="19"/>
      <c r="W669" s="19"/>
      <c r="X669" s="19"/>
      <c r="Y669" s="19"/>
      <c r="Z669" s="19"/>
    </row>
    <row r="670">
      <c r="A670" s="21"/>
      <c r="B670" s="21"/>
      <c r="C670" s="21"/>
      <c r="D670" s="21"/>
      <c r="E670" s="21"/>
      <c r="F670" s="21"/>
      <c r="G670" s="21"/>
      <c r="H670" s="21"/>
      <c r="I670" s="21"/>
      <c r="J670" s="21"/>
      <c r="K670" s="21"/>
      <c r="L670" s="21"/>
      <c r="M670" s="21"/>
      <c r="N670" s="21"/>
      <c r="O670" s="21"/>
      <c r="P670" s="21"/>
      <c r="Q670" s="19"/>
      <c r="R670" s="19"/>
      <c r="S670" s="19"/>
      <c r="T670" s="19"/>
      <c r="U670" s="19"/>
      <c r="V670" s="19"/>
      <c r="W670" s="19"/>
      <c r="X670" s="19"/>
      <c r="Y670" s="19"/>
      <c r="Z670" s="19"/>
    </row>
    <row r="671">
      <c r="A671" s="21"/>
      <c r="B671" s="21"/>
      <c r="C671" s="21"/>
      <c r="D671" s="21"/>
      <c r="E671" s="21"/>
      <c r="F671" s="21"/>
      <c r="G671" s="21"/>
      <c r="H671" s="21"/>
      <c r="I671" s="21"/>
      <c r="J671" s="21"/>
      <c r="K671" s="21"/>
      <c r="L671" s="21"/>
      <c r="M671" s="21"/>
      <c r="N671" s="21"/>
      <c r="O671" s="21"/>
      <c r="P671" s="21"/>
      <c r="Q671" s="19"/>
      <c r="R671" s="19"/>
      <c r="S671" s="19"/>
      <c r="T671" s="19"/>
      <c r="U671" s="19"/>
      <c r="V671" s="19"/>
      <c r="W671" s="19"/>
      <c r="X671" s="19"/>
      <c r="Y671" s="19"/>
      <c r="Z671" s="19"/>
    </row>
    <row r="672">
      <c r="A672" s="21"/>
      <c r="B672" s="21"/>
      <c r="C672" s="21"/>
      <c r="D672" s="21"/>
      <c r="E672" s="21"/>
      <c r="F672" s="21"/>
      <c r="G672" s="21"/>
      <c r="H672" s="21"/>
      <c r="I672" s="21"/>
      <c r="J672" s="21"/>
      <c r="K672" s="21"/>
      <c r="L672" s="21"/>
      <c r="M672" s="21"/>
      <c r="N672" s="21"/>
      <c r="O672" s="21"/>
      <c r="P672" s="21"/>
      <c r="Q672" s="19"/>
      <c r="R672" s="19"/>
      <c r="S672" s="19"/>
      <c r="T672" s="19"/>
      <c r="U672" s="19"/>
      <c r="V672" s="19"/>
      <c r="W672" s="19"/>
      <c r="X672" s="19"/>
      <c r="Y672" s="19"/>
      <c r="Z672" s="19"/>
    </row>
    <row r="673">
      <c r="A673" s="21"/>
      <c r="B673" s="21"/>
      <c r="C673" s="21"/>
      <c r="D673" s="21"/>
      <c r="E673" s="21"/>
      <c r="F673" s="21"/>
      <c r="G673" s="21"/>
      <c r="H673" s="21"/>
      <c r="I673" s="21"/>
      <c r="J673" s="21"/>
      <c r="K673" s="21"/>
      <c r="L673" s="21"/>
      <c r="M673" s="21"/>
      <c r="N673" s="21"/>
      <c r="O673" s="21"/>
      <c r="P673" s="21"/>
      <c r="Q673" s="19"/>
      <c r="R673" s="19"/>
      <c r="S673" s="19"/>
      <c r="T673" s="19"/>
      <c r="U673" s="19"/>
      <c r="V673" s="19"/>
      <c r="W673" s="19"/>
      <c r="X673" s="19"/>
      <c r="Y673" s="19"/>
      <c r="Z673" s="19"/>
    </row>
    <row r="674">
      <c r="A674" s="21"/>
      <c r="B674" s="21"/>
      <c r="C674" s="21"/>
      <c r="D674" s="21"/>
      <c r="E674" s="21"/>
      <c r="F674" s="21"/>
      <c r="G674" s="21"/>
      <c r="H674" s="21"/>
      <c r="I674" s="21"/>
      <c r="J674" s="21"/>
      <c r="K674" s="21"/>
      <c r="L674" s="21"/>
      <c r="M674" s="21"/>
      <c r="N674" s="21"/>
      <c r="O674" s="21"/>
      <c r="P674" s="21"/>
      <c r="Q674" s="19"/>
      <c r="R674" s="19"/>
      <c r="S674" s="19"/>
      <c r="T674" s="19"/>
      <c r="U674" s="19"/>
      <c r="V674" s="19"/>
      <c r="W674" s="19"/>
      <c r="X674" s="19"/>
      <c r="Y674" s="19"/>
      <c r="Z674" s="19"/>
    </row>
    <row r="675">
      <c r="A675" s="21"/>
      <c r="B675" s="21"/>
      <c r="C675" s="21"/>
      <c r="D675" s="21"/>
      <c r="E675" s="21"/>
      <c r="F675" s="21"/>
      <c r="G675" s="21"/>
      <c r="H675" s="21"/>
      <c r="I675" s="21"/>
      <c r="J675" s="21"/>
      <c r="K675" s="21"/>
      <c r="L675" s="21"/>
      <c r="M675" s="21"/>
      <c r="N675" s="21"/>
      <c r="O675" s="21"/>
      <c r="P675" s="21"/>
      <c r="Q675" s="19"/>
      <c r="R675" s="19"/>
      <c r="S675" s="19"/>
      <c r="T675" s="19"/>
      <c r="U675" s="19"/>
      <c r="V675" s="19"/>
      <c r="W675" s="19"/>
      <c r="X675" s="19"/>
      <c r="Y675" s="19"/>
      <c r="Z675" s="19"/>
    </row>
    <row r="676">
      <c r="A676" s="21"/>
      <c r="B676" s="21"/>
      <c r="C676" s="21"/>
      <c r="D676" s="21"/>
      <c r="E676" s="21"/>
      <c r="F676" s="21"/>
      <c r="G676" s="21"/>
      <c r="H676" s="21"/>
      <c r="I676" s="21"/>
      <c r="J676" s="21"/>
      <c r="K676" s="21"/>
      <c r="L676" s="21"/>
      <c r="M676" s="21"/>
      <c r="N676" s="21"/>
      <c r="O676" s="21"/>
      <c r="P676" s="21"/>
      <c r="Q676" s="19"/>
      <c r="R676" s="19"/>
      <c r="S676" s="19"/>
      <c r="T676" s="19"/>
      <c r="U676" s="19"/>
      <c r="V676" s="19"/>
      <c r="W676" s="19"/>
      <c r="X676" s="19"/>
      <c r="Y676" s="19"/>
      <c r="Z676" s="19"/>
    </row>
    <row r="677">
      <c r="A677" s="21"/>
      <c r="B677" s="21"/>
      <c r="C677" s="21"/>
      <c r="D677" s="21"/>
      <c r="E677" s="21"/>
      <c r="F677" s="21"/>
      <c r="G677" s="21"/>
      <c r="H677" s="21"/>
      <c r="I677" s="21"/>
      <c r="J677" s="21"/>
      <c r="K677" s="21"/>
      <c r="L677" s="21"/>
      <c r="M677" s="21"/>
      <c r="N677" s="21"/>
      <c r="O677" s="21"/>
      <c r="P677" s="21"/>
      <c r="Q677" s="19"/>
      <c r="R677" s="19"/>
      <c r="S677" s="19"/>
      <c r="T677" s="19"/>
      <c r="U677" s="19"/>
      <c r="V677" s="19"/>
      <c r="W677" s="19"/>
      <c r="X677" s="19"/>
      <c r="Y677" s="19"/>
      <c r="Z677" s="19"/>
    </row>
    <row r="678">
      <c r="A678" s="21"/>
      <c r="B678" s="21"/>
      <c r="C678" s="21"/>
      <c r="D678" s="21"/>
      <c r="E678" s="21"/>
      <c r="F678" s="21"/>
      <c r="G678" s="21"/>
      <c r="H678" s="21"/>
      <c r="I678" s="21"/>
      <c r="J678" s="21"/>
      <c r="K678" s="21"/>
      <c r="L678" s="21"/>
      <c r="M678" s="21"/>
      <c r="N678" s="21"/>
      <c r="O678" s="21"/>
      <c r="P678" s="21"/>
      <c r="Q678" s="19"/>
      <c r="R678" s="19"/>
      <c r="S678" s="19"/>
      <c r="T678" s="19"/>
      <c r="U678" s="19"/>
      <c r="V678" s="19"/>
      <c r="W678" s="19"/>
      <c r="X678" s="19"/>
      <c r="Y678" s="19"/>
      <c r="Z678" s="19"/>
    </row>
    <row r="679">
      <c r="A679" s="21"/>
      <c r="B679" s="21"/>
      <c r="C679" s="21"/>
      <c r="D679" s="21"/>
      <c r="E679" s="21"/>
      <c r="F679" s="21"/>
      <c r="G679" s="21"/>
      <c r="H679" s="21"/>
      <c r="I679" s="21"/>
      <c r="J679" s="21"/>
      <c r="K679" s="21"/>
      <c r="L679" s="21"/>
      <c r="M679" s="21"/>
      <c r="N679" s="21"/>
      <c r="O679" s="21"/>
      <c r="P679" s="21"/>
      <c r="Q679" s="19"/>
      <c r="R679" s="19"/>
      <c r="S679" s="19"/>
      <c r="T679" s="19"/>
      <c r="U679" s="19"/>
      <c r="V679" s="19"/>
      <c r="W679" s="19"/>
      <c r="X679" s="19"/>
      <c r="Y679" s="19"/>
      <c r="Z679" s="19"/>
    </row>
    <row r="680">
      <c r="A680" s="21"/>
      <c r="B680" s="21"/>
      <c r="C680" s="21"/>
      <c r="D680" s="21"/>
      <c r="E680" s="21"/>
      <c r="F680" s="21"/>
      <c r="G680" s="21"/>
      <c r="H680" s="21"/>
      <c r="I680" s="21"/>
      <c r="J680" s="21"/>
      <c r="K680" s="21"/>
      <c r="L680" s="21"/>
      <c r="M680" s="21"/>
      <c r="N680" s="21"/>
      <c r="O680" s="21"/>
      <c r="P680" s="21"/>
      <c r="Q680" s="19"/>
      <c r="R680" s="19"/>
      <c r="S680" s="19"/>
      <c r="T680" s="19"/>
      <c r="U680" s="19"/>
      <c r="V680" s="19"/>
      <c r="W680" s="19"/>
      <c r="X680" s="19"/>
      <c r="Y680" s="19"/>
      <c r="Z680" s="19"/>
    </row>
    <row r="681">
      <c r="A681" s="21"/>
      <c r="B681" s="21"/>
      <c r="C681" s="21"/>
      <c r="D681" s="21"/>
      <c r="E681" s="21"/>
      <c r="F681" s="21"/>
      <c r="G681" s="21"/>
      <c r="H681" s="21"/>
      <c r="I681" s="21"/>
      <c r="J681" s="21"/>
      <c r="K681" s="21"/>
      <c r="L681" s="21"/>
      <c r="M681" s="21"/>
      <c r="N681" s="21"/>
      <c r="O681" s="21"/>
      <c r="P681" s="21"/>
      <c r="Q681" s="19"/>
      <c r="R681" s="19"/>
      <c r="S681" s="19"/>
      <c r="T681" s="19"/>
      <c r="U681" s="19"/>
      <c r="V681" s="19"/>
      <c r="W681" s="19"/>
      <c r="X681" s="19"/>
      <c r="Y681" s="19"/>
      <c r="Z681" s="19"/>
    </row>
    <row r="682">
      <c r="A682" s="21"/>
      <c r="B682" s="21"/>
      <c r="C682" s="21"/>
      <c r="D682" s="21"/>
      <c r="E682" s="21"/>
      <c r="F682" s="21"/>
      <c r="G682" s="21"/>
      <c r="H682" s="21"/>
      <c r="I682" s="21"/>
      <c r="J682" s="21"/>
      <c r="K682" s="21"/>
      <c r="L682" s="21"/>
      <c r="M682" s="21"/>
      <c r="N682" s="21"/>
      <c r="O682" s="21"/>
      <c r="P682" s="21"/>
      <c r="Q682" s="19"/>
      <c r="R682" s="19"/>
      <c r="S682" s="19"/>
      <c r="T682" s="19"/>
      <c r="U682" s="19"/>
      <c r="V682" s="19"/>
      <c r="W682" s="19"/>
      <c r="X682" s="19"/>
      <c r="Y682" s="19"/>
      <c r="Z682" s="19"/>
    </row>
    <row r="683">
      <c r="A683" s="21"/>
      <c r="B683" s="21"/>
      <c r="C683" s="21"/>
      <c r="D683" s="21"/>
      <c r="E683" s="21"/>
      <c r="F683" s="21"/>
      <c r="G683" s="21"/>
      <c r="H683" s="21"/>
      <c r="I683" s="21"/>
      <c r="J683" s="21"/>
      <c r="K683" s="21"/>
      <c r="L683" s="21"/>
      <c r="M683" s="21"/>
      <c r="N683" s="21"/>
      <c r="O683" s="21"/>
      <c r="P683" s="21"/>
      <c r="Q683" s="19"/>
      <c r="R683" s="19"/>
      <c r="S683" s="19"/>
      <c r="T683" s="19"/>
      <c r="U683" s="19"/>
      <c r="V683" s="19"/>
      <c r="W683" s="19"/>
      <c r="X683" s="19"/>
      <c r="Y683" s="19"/>
      <c r="Z683" s="19"/>
    </row>
    <row r="684">
      <c r="A684" s="21"/>
      <c r="B684" s="21"/>
      <c r="C684" s="21"/>
      <c r="D684" s="21"/>
      <c r="E684" s="21"/>
      <c r="F684" s="21"/>
      <c r="G684" s="21"/>
      <c r="H684" s="21"/>
      <c r="I684" s="21"/>
      <c r="J684" s="21"/>
      <c r="K684" s="21"/>
      <c r="L684" s="21"/>
      <c r="M684" s="21"/>
      <c r="N684" s="21"/>
      <c r="O684" s="21"/>
      <c r="P684" s="21"/>
      <c r="Q684" s="19"/>
      <c r="R684" s="19"/>
      <c r="S684" s="19"/>
      <c r="T684" s="19"/>
      <c r="U684" s="19"/>
      <c r="V684" s="19"/>
      <c r="W684" s="19"/>
      <c r="X684" s="19"/>
      <c r="Y684" s="19"/>
      <c r="Z684" s="19"/>
    </row>
    <row r="685">
      <c r="A685" s="21"/>
      <c r="B685" s="21"/>
      <c r="C685" s="21"/>
      <c r="D685" s="21"/>
      <c r="E685" s="21"/>
      <c r="F685" s="21"/>
      <c r="G685" s="21"/>
      <c r="H685" s="21"/>
      <c r="I685" s="21"/>
      <c r="J685" s="21"/>
      <c r="K685" s="21"/>
      <c r="L685" s="21"/>
      <c r="M685" s="21"/>
      <c r="N685" s="21"/>
      <c r="O685" s="21"/>
      <c r="P685" s="21"/>
      <c r="Q685" s="19"/>
      <c r="R685" s="19"/>
      <c r="S685" s="19"/>
      <c r="T685" s="19"/>
      <c r="U685" s="19"/>
      <c r="V685" s="19"/>
      <c r="W685" s="19"/>
      <c r="X685" s="19"/>
      <c r="Y685" s="19"/>
      <c r="Z685" s="19"/>
    </row>
    <row r="686">
      <c r="A686" s="21"/>
      <c r="B686" s="21"/>
      <c r="C686" s="21"/>
      <c r="D686" s="21"/>
      <c r="E686" s="21"/>
      <c r="F686" s="21"/>
      <c r="G686" s="21"/>
      <c r="H686" s="21"/>
      <c r="I686" s="21"/>
      <c r="J686" s="21"/>
      <c r="K686" s="21"/>
      <c r="L686" s="21"/>
      <c r="M686" s="21"/>
      <c r="N686" s="21"/>
      <c r="O686" s="21"/>
      <c r="P686" s="21"/>
      <c r="Q686" s="19"/>
      <c r="R686" s="19"/>
      <c r="S686" s="19"/>
      <c r="T686" s="19"/>
      <c r="U686" s="19"/>
      <c r="V686" s="19"/>
      <c r="W686" s="19"/>
      <c r="X686" s="19"/>
      <c r="Y686" s="19"/>
      <c r="Z686" s="19"/>
    </row>
    <row r="687">
      <c r="A687" s="21"/>
      <c r="B687" s="21"/>
      <c r="C687" s="21"/>
      <c r="D687" s="21"/>
      <c r="E687" s="21"/>
      <c r="F687" s="21"/>
      <c r="G687" s="21"/>
      <c r="H687" s="21"/>
      <c r="I687" s="21"/>
      <c r="J687" s="21"/>
      <c r="K687" s="21"/>
      <c r="L687" s="21"/>
      <c r="M687" s="21"/>
      <c r="N687" s="21"/>
      <c r="O687" s="21"/>
      <c r="P687" s="21"/>
      <c r="Q687" s="19"/>
      <c r="R687" s="19"/>
      <c r="S687" s="19"/>
      <c r="T687" s="19"/>
      <c r="U687" s="19"/>
      <c r="V687" s="19"/>
      <c r="W687" s="19"/>
      <c r="X687" s="19"/>
      <c r="Y687" s="19"/>
      <c r="Z687" s="19"/>
    </row>
    <row r="688">
      <c r="A688" s="21"/>
      <c r="B688" s="21"/>
      <c r="C688" s="21"/>
      <c r="D688" s="21"/>
      <c r="E688" s="21"/>
      <c r="F688" s="21"/>
      <c r="G688" s="21"/>
      <c r="H688" s="21"/>
      <c r="I688" s="21"/>
      <c r="J688" s="21"/>
      <c r="K688" s="21"/>
      <c r="L688" s="21"/>
      <c r="M688" s="21"/>
      <c r="N688" s="21"/>
      <c r="O688" s="21"/>
      <c r="P688" s="21"/>
      <c r="Q688" s="19"/>
      <c r="R688" s="19"/>
      <c r="S688" s="19"/>
      <c r="T688" s="19"/>
      <c r="U688" s="19"/>
      <c r="V688" s="19"/>
      <c r="W688" s="19"/>
      <c r="X688" s="19"/>
      <c r="Y688" s="19"/>
      <c r="Z688" s="19"/>
    </row>
    <row r="689">
      <c r="A689" s="21"/>
      <c r="B689" s="21"/>
      <c r="C689" s="21"/>
      <c r="D689" s="21"/>
      <c r="E689" s="21"/>
      <c r="F689" s="21"/>
      <c r="G689" s="21"/>
      <c r="H689" s="21"/>
      <c r="I689" s="21"/>
      <c r="J689" s="21"/>
      <c r="K689" s="21"/>
      <c r="L689" s="21"/>
      <c r="M689" s="21"/>
      <c r="N689" s="21"/>
      <c r="O689" s="21"/>
      <c r="P689" s="21"/>
      <c r="Q689" s="19"/>
      <c r="R689" s="19"/>
      <c r="S689" s="19"/>
      <c r="T689" s="19"/>
      <c r="U689" s="19"/>
      <c r="V689" s="19"/>
      <c r="W689" s="19"/>
      <c r="X689" s="19"/>
      <c r="Y689" s="19"/>
      <c r="Z689" s="19"/>
    </row>
    <row r="690">
      <c r="A690" s="21"/>
      <c r="B690" s="21"/>
      <c r="C690" s="21"/>
      <c r="D690" s="21"/>
      <c r="E690" s="21"/>
      <c r="F690" s="21"/>
      <c r="G690" s="21"/>
      <c r="H690" s="21"/>
      <c r="I690" s="21"/>
      <c r="J690" s="21"/>
      <c r="K690" s="21"/>
      <c r="L690" s="21"/>
      <c r="M690" s="21"/>
      <c r="N690" s="21"/>
      <c r="O690" s="21"/>
      <c r="P690" s="21"/>
      <c r="Q690" s="19"/>
      <c r="R690" s="19"/>
      <c r="S690" s="19"/>
      <c r="T690" s="19"/>
      <c r="U690" s="19"/>
      <c r="V690" s="19"/>
      <c r="W690" s="19"/>
      <c r="X690" s="19"/>
      <c r="Y690" s="19"/>
      <c r="Z690" s="19"/>
    </row>
    <row r="691">
      <c r="A691" s="21"/>
      <c r="B691" s="21"/>
      <c r="C691" s="21"/>
      <c r="D691" s="21"/>
      <c r="E691" s="21"/>
      <c r="F691" s="21"/>
      <c r="G691" s="21"/>
      <c r="H691" s="21"/>
      <c r="I691" s="21"/>
      <c r="J691" s="21"/>
      <c r="K691" s="21"/>
      <c r="L691" s="21"/>
      <c r="M691" s="21"/>
      <c r="N691" s="21"/>
      <c r="O691" s="21"/>
      <c r="P691" s="21"/>
      <c r="Q691" s="19"/>
      <c r="R691" s="19"/>
      <c r="S691" s="19"/>
      <c r="T691" s="19"/>
      <c r="U691" s="19"/>
      <c r="V691" s="19"/>
      <c r="W691" s="19"/>
      <c r="X691" s="19"/>
      <c r="Y691" s="19"/>
      <c r="Z691" s="19"/>
    </row>
    <row r="692">
      <c r="A692" s="21"/>
      <c r="B692" s="21"/>
      <c r="C692" s="21"/>
      <c r="D692" s="21"/>
      <c r="E692" s="21"/>
      <c r="F692" s="21"/>
      <c r="G692" s="21"/>
      <c r="H692" s="21"/>
      <c r="I692" s="21"/>
      <c r="J692" s="21"/>
      <c r="K692" s="21"/>
      <c r="L692" s="21"/>
      <c r="M692" s="21"/>
      <c r="N692" s="21"/>
      <c r="O692" s="21"/>
      <c r="P692" s="21"/>
      <c r="Q692" s="19"/>
      <c r="R692" s="19"/>
      <c r="S692" s="19"/>
      <c r="T692" s="19"/>
      <c r="U692" s="19"/>
      <c r="V692" s="19"/>
      <c r="W692" s="19"/>
      <c r="X692" s="19"/>
      <c r="Y692" s="19"/>
      <c r="Z692" s="19"/>
    </row>
    <row r="693">
      <c r="A693" s="21"/>
      <c r="B693" s="21"/>
      <c r="C693" s="21"/>
      <c r="D693" s="21"/>
      <c r="E693" s="21"/>
      <c r="F693" s="21"/>
      <c r="G693" s="21"/>
      <c r="H693" s="21"/>
      <c r="I693" s="21"/>
      <c r="J693" s="21"/>
      <c r="K693" s="21"/>
      <c r="L693" s="21"/>
      <c r="M693" s="21"/>
      <c r="N693" s="21"/>
      <c r="O693" s="21"/>
      <c r="P693" s="21"/>
      <c r="Q693" s="19"/>
      <c r="R693" s="19"/>
      <c r="S693" s="19"/>
      <c r="T693" s="19"/>
      <c r="U693" s="19"/>
      <c r="V693" s="19"/>
      <c r="W693" s="19"/>
      <c r="X693" s="19"/>
      <c r="Y693" s="19"/>
      <c r="Z693" s="19"/>
    </row>
    <row r="694">
      <c r="A694" s="21"/>
      <c r="B694" s="21"/>
      <c r="C694" s="21"/>
      <c r="D694" s="21"/>
      <c r="E694" s="21"/>
      <c r="F694" s="21"/>
      <c r="G694" s="21"/>
      <c r="H694" s="21"/>
      <c r="I694" s="21"/>
      <c r="J694" s="21"/>
      <c r="K694" s="21"/>
      <c r="L694" s="21"/>
      <c r="M694" s="21"/>
      <c r="N694" s="21"/>
      <c r="O694" s="21"/>
      <c r="P694" s="21"/>
      <c r="Q694" s="19"/>
      <c r="R694" s="19"/>
      <c r="S694" s="19"/>
      <c r="T694" s="19"/>
      <c r="U694" s="19"/>
      <c r="V694" s="19"/>
      <c r="W694" s="19"/>
      <c r="X694" s="19"/>
      <c r="Y694" s="19"/>
      <c r="Z694" s="19"/>
    </row>
    <row r="695">
      <c r="A695" s="21"/>
      <c r="B695" s="21"/>
      <c r="C695" s="21"/>
      <c r="D695" s="21"/>
      <c r="E695" s="21"/>
      <c r="F695" s="21"/>
      <c r="G695" s="21"/>
      <c r="H695" s="21"/>
      <c r="I695" s="21"/>
      <c r="J695" s="21"/>
      <c r="K695" s="21"/>
      <c r="L695" s="21"/>
      <c r="M695" s="21"/>
      <c r="N695" s="21"/>
      <c r="O695" s="21"/>
      <c r="P695" s="21"/>
      <c r="Q695" s="19"/>
      <c r="R695" s="19"/>
      <c r="S695" s="19"/>
      <c r="T695" s="19"/>
      <c r="U695" s="19"/>
      <c r="V695" s="19"/>
      <c r="W695" s="19"/>
      <c r="X695" s="19"/>
      <c r="Y695" s="19"/>
      <c r="Z695" s="19"/>
    </row>
    <row r="696">
      <c r="A696" s="21"/>
      <c r="B696" s="21"/>
      <c r="C696" s="21"/>
      <c r="D696" s="21"/>
      <c r="E696" s="21"/>
      <c r="F696" s="21"/>
      <c r="G696" s="21"/>
      <c r="H696" s="21"/>
      <c r="I696" s="21"/>
      <c r="J696" s="21"/>
      <c r="K696" s="21"/>
      <c r="L696" s="21"/>
      <c r="M696" s="21"/>
      <c r="N696" s="21"/>
      <c r="O696" s="21"/>
      <c r="P696" s="21"/>
      <c r="Q696" s="19"/>
      <c r="R696" s="19"/>
      <c r="S696" s="19"/>
      <c r="T696" s="19"/>
      <c r="U696" s="19"/>
      <c r="V696" s="19"/>
      <c r="W696" s="19"/>
      <c r="X696" s="19"/>
      <c r="Y696" s="19"/>
      <c r="Z696" s="19"/>
    </row>
    <row r="697">
      <c r="A697" s="21"/>
      <c r="B697" s="21"/>
      <c r="C697" s="21"/>
      <c r="D697" s="21"/>
      <c r="E697" s="21"/>
      <c r="F697" s="21"/>
      <c r="G697" s="21"/>
      <c r="H697" s="21"/>
      <c r="I697" s="21"/>
      <c r="J697" s="21"/>
      <c r="K697" s="21"/>
      <c r="L697" s="21"/>
      <c r="M697" s="21"/>
      <c r="N697" s="21"/>
      <c r="O697" s="21"/>
      <c r="P697" s="21"/>
      <c r="Q697" s="19"/>
      <c r="R697" s="19"/>
      <c r="S697" s="19"/>
      <c r="T697" s="19"/>
      <c r="U697" s="19"/>
      <c r="V697" s="19"/>
      <c r="W697" s="19"/>
      <c r="X697" s="19"/>
      <c r="Y697" s="19"/>
      <c r="Z697" s="19"/>
    </row>
    <row r="698">
      <c r="A698" s="21"/>
      <c r="B698" s="21"/>
      <c r="C698" s="21"/>
      <c r="D698" s="21"/>
      <c r="E698" s="21"/>
      <c r="F698" s="21"/>
      <c r="G698" s="21"/>
      <c r="H698" s="21"/>
      <c r="I698" s="21"/>
      <c r="J698" s="21"/>
      <c r="K698" s="21"/>
      <c r="L698" s="21"/>
      <c r="M698" s="21"/>
      <c r="N698" s="21"/>
      <c r="O698" s="21"/>
      <c r="P698" s="21"/>
      <c r="Q698" s="19"/>
      <c r="R698" s="19"/>
      <c r="S698" s="19"/>
      <c r="T698" s="19"/>
      <c r="U698" s="19"/>
      <c r="V698" s="19"/>
      <c r="W698" s="19"/>
      <c r="X698" s="19"/>
      <c r="Y698" s="19"/>
      <c r="Z698" s="19"/>
    </row>
    <row r="699">
      <c r="A699" s="21"/>
      <c r="B699" s="21"/>
      <c r="C699" s="21"/>
      <c r="D699" s="21"/>
      <c r="E699" s="21"/>
      <c r="F699" s="21"/>
      <c r="G699" s="21"/>
      <c r="H699" s="21"/>
      <c r="I699" s="21"/>
      <c r="J699" s="21"/>
      <c r="K699" s="21"/>
      <c r="L699" s="21"/>
      <c r="M699" s="21"/>
      <c r="N699" s="21"/>
      <c r="O699" s="21"/>
      <c r="P699" s="21"/>
      <c r="Q699" s="19"/>
      <c r="R699" s="19"/>
      <c r="S699" s="19"/>
      <c r="T699" s="19"/>
      <c r="U699" s="19"/>
      <c r="V699" s="19"/>
      <c r="W699" s="19"/>
      <c r="X699" s="19"/>
      <c r="Y699" s="19"/>
      <c r="Z699" s="19"/>
    </row>
    <row r="700">
      <c r="A700" s="21"/>
      <c r="B700" s="21"/>
      <c r="C700" s="21"/>
      <c r="D700" s="21"/>
      <c r="E700" s="21"/>
      <c r="F700" s="21"/>
      <c r="G700" s="21"/>
      <c r="H700" s="21"/>
      <c r="I700" s="21"/>
      <c r="J700" s="21"/>
      <c r="K700" s="21"/>
      <c r="L700" s="21"/>
      <c r="M700" s="21"/>
      <c r="N700" s="21"/>
      <c r="O700" s="21"/>
      <c r="P700" s="21"/>
      <c r="Q700" s="19"/>
      <c r="R700" s="19"/>
      <c r="S700" s="19"/>
      <c r="T700" s="19"/>
      <c r="U700" s="19"/>
      <c r="V700" s="19"/>
      <c r="W700" s="19"/>
      <c r="X700" s="19"/>
      <c r="Y700" s="19"/>
      <c r="Z700" s="19"/>
    </row>
    <row r="701">
      <c r="A701" s="21"/>
      <c r="B701" s="21"/>
      <c r="C701" s="21"/>
      <c r="D701" s="21"/>
      <c r="E701" s="21"/>
      <c r="F701" s="21"/>
      <c r="G701" s="21"/>
      <c r="H701" s="21"/>
      <c r="I701" s="21"/>
      <c r="J701" s="21"/>
      <c r="K701" s="21"/>
      <c r="L701" s="21"/>
      <c r="M701" s="21"/>
      <c r="N701" s="21"/>
      <c r="O701" s="21"/>
      <c r="P701" s="21"/>
      <c r="Q701" s="19"/>
      <c r="R701" s="19"/>
      <c r="S701" s="19"/>
      <c r="T701" s="19"/>
      <c r="U701" s="19"/>
      <c r="V701" s="19"/>
      <c r="W701" s="19"/>
      <c r="X701" s="19"/>
      <c r="Y701" s="19"/>
      <c r="Z701" s="19"/>
    </row>
    <row r="702">
      <c r="A702" s="21"/>
      <c r="B702" s="21"/>
      <c r="C702" s="21"/>
      <c r="D702" s="21"/>
      <c r="E702" s="21"/>
      <c r="F702" s="21"/>
      <c r="G702" s="21"/>
      <c r="H702" s="21"/>
      <c r="I702" s="21"/>
      <c r="J702" s="21"/>
      <c r="K702" s="21"/>
      <c r="L702" s="21"/>
      <c r="M702" s="21"/>
      <c r="N702" s="21"/>
      <c r="O702" s="21"/>
      <c r="P702" s="21"/>
      <c r="Q702" s="19"/>
      <c r="R702" s="19"/>
      <c r="S702" s="19"/>
      <c r="T702" s="19"/>
      <c r="U702" s="19"/>
      <c r="V702" s="19"/>
      <c r="W702" s="19"/>
      <c r="X702" s="19"/>
      <c r="Y702" s="19"/>
      <c r="Z702" s="19"/>
    </row>
    <row r="703">
      <c r="A703" s="21"/>
      <c r="B703" s="21"/>
      <c r="C703" s="21"/>
      <c r="D703" s="21"/>
      <c r="E703" s="21"/>
      <c r="F703" s="21"/>
      <c r="G703" s="21"/>
      <c r="H703" s="21"/>
      <c r="I703" s="21"/>
      <c r="J703" s="21"/>
      <c r="K703" s="21"/>
      <c r="L703" s="21"/>
      <c r="M703" s="21"/>
      <c r="N703" s="21"/>
      <c r="O703" s="21"/>
      <c r="P703" s="21"/>
      <c r="Q703" s="19"/>
      <c r="R703" s="19"/>
      <c r="S703" s="19"/>
      <c r="T703" s="19"/>
      <c r="U703" s="19"/>
      <c r="V703" s="19"/>
      <c r="W703" s="19"/>
      <c r="X703" s="19"/>
      <c r="Y703" s="19"/>
      <c r="Z703" s="19"/>
    </row>
    <row r="704">
      <c r="A704" s="21"/>
      <c r="B704" s="21"/>
      <c r="C704" s="21"/>
      <c r="D704" s="21"/>
      <c r="E704" s="21"/>
      <c r="F704" s="21"/>
      <c r="G704" s="21"/>
      <c r="H704" s="21"/>
      <c r="I704" s="21"/>
      <c r="J704" s="21"/>
      <c r="K704" s="21"/>
      <c r="L704" s="21"/>
      <c r="M704" s="21"/>
      <c r="N704" s="21"/>
      <c r="O704" s="21"/>
      <c r="P704" s="21"/>
      <c r="Q704" s="19"/>
      <c r="R704" s="19"/>
      <c r="S704" s="19"/>
      <c r="T704" s="19"/>
      <c r="U704" s="19"/>
      <c r="V704" s="19"/>
      <c r="W704" s="19"/>
      <c r="X704" s="19"/>
      <c r="Y704" s="19"/>
      <c r="Z704" s="19"/>
    </row>
    <row r="705">
      <c r="A705" s="21"/>
      <c r="B705" s="21"/>
      <c r="C705" s="21"/>
      <c r="D705" s="21"/>
      <c r="E705" s="21"/>
      <c r="F705" s="21"/>
      <c r="G705" s="21"/>
      <c r="H705" s="21"/>
      <c r="I705" s="21"/>
      <c r="J705" s="21"/>
      <c r="K705" s="21"/>
      <c r="L705" s="21"/>
      <c r="M705" s="21"/>
      <c r="N705" s="21"/>
      <c r="O705" s="21"/>
      <c r="P705" s="21"/>
      <c r="Q705" s="19"/>
      <c r="R705" s="19"/>
      <c r="S705" s="19"/>
      <c r="T705" s="19"/>
      <c r="U705" s="19"/>
      <c r="V705" s="19"/>
      <c r="W705" s="19"/>
      <c r="X705" s="19"/>
      <c r="Y705" s="19"/>
      <c r="Z705" s="19"/>
    </row>
    <row r="706">
      <c r="A706" s="21"/>
      <c r="B706" s="21"/>
      <c r="C706" s="21"/>
      <c r="D706" s="21"/>
      <c r="E706" s="21"/>
      <c r="F706" s="21"/>
      <c r="G706" s="21"/>
      <c r="H706" s="21"/>
      <c r="I706" s="21"/>
      <c r="J706" s="21"/>
      <c r="K706" s="21"/>
      <c r="L706" s="21"/>
      <c r="M706" s="21"/>
      <c r="N706" s="21"/>
      <c r="O706" s="21"/>
      <c r="P706" s="21"/>
      <c r="Q706" s="19"/>
      <c r="R706" s="19"/>
      <c r="S706" s="19"/>
      <c r="T706" s="19"/>
      <c r="U706" s="19"/>
      <c r="V706" s="19"/>
      <c r="W706" s="19"/>
      <c r="X706" s="19"/>
      <c r="Y706" s="19"/>
      <c r="Z706" s="19"/>
    </row>
    <row r="707">
      <c r="A707" s="21"/>
      <c r="B707" s="21"/>
      <c r="C707" s="21"/>
      <c r="D707" s="21"/>
      <c r="E707" s="21"/>
      <c r="F707" s="21"/>
      <c r="G707" s="21"/>
      <c r="H707" s="21"/>
      <c r="I707" s="21"/>
      <c r="J707" s="21"/>
      <c r="K707" s="21"/>
      <c r="L707" s="21"/>
      <c r="M707" s="21"/>
      <c r="N707" s="21"/>
      <c r="O707" s="21"/>
      <c r="P707" s="21"/>
      <c r="Q707" s="19"/>
      <c r="R707" s="19"/>
      <c r="S707" s="19"/>
      <c r="T707" s="19"/>
      <c r="U707" s="19"/>
      <c r="V707" s="19"/>
      <c r="W707" s="19"/>
      <c r="X707" s="19"/>
      <c r="Y707" s="19"/>
      <c r="Z707" s="19"/>
    </row>
    <row r="708">
      <c r="A708" s="21"/>
      <c r="B708" s="21"/>
      <c r="C708" s="21"/>
      <c r="D708" s="21"/>
      <c r="E708" s="21"/>
      <c r="F708" s="21"/>
      <c r="G708" s="21"/>
      <c r="H708" s="21"/>
      <c r="I708" s="21"/>
      <c r="J708" s="21"/>
      <c r="K708" s="21"/>
      <c r="L708" s="21"/>
      <c r="M708" s="21"/>
      <c r="N708" s="21"/>
      <c r="O708" s="21"/>
      <c r="P708" s="21"/>
      <c r="Q708" s="19"/>
      <c r="R708" s="19"/>
      <c r="S708" s="19"/>
      <c r="T708" s="19"/>
      <c r="U708" s="19"/>
      <c r="V708" s="19"/>
      <c r="W708" s="19"/>
      <c r="X708" s="19"/>
      <c r="Y708" s="19"/>
      <c r="Z708" s="19"/>
    </row>
    <row r="709">
      <c r="A709" s="21"/>
      <c r="B709" s="21"/>
      <c r="C709" s="21"/>
      <c r="D709" s="21"/>
      <c r="E709" s="21"/>
      <c r="F709" s="21"/>
      <c r="G709" s="21"/>
      <c r="H709" s="21"/>
      <c r="I709" s="21"/>
      <c r="J709" s="21"/>
      <c r="K709" s="21"/>
      <c r="L709" s="21"/>
      <c r="M709" s="21"/>
      <c r="N709" s="21"/>
      <c r="O709" s="21"/>
      <c r="P709" s="21"/>
      <c r="Q709" s="19"/>
      <c r="R709" s="19"/>
      <c r="S709" s="19"/>
      <c r="T709" s="19"/>
      <c r="U709" s="19"/>
      <c r="V709" s="19"/>
      <c r="W709" s="19"/>
      <c r="X709" s="19"/>
      <c r="Y709" s="19"/>
      <c r="Z709" s="19"/>
    </row>
    <row r="710">
      <c r="A710" s="21"/>
      <c r="B710" s="21"/>
      <c r="C710" s="21"/>
      <c r="D710" s="21"/>
      <c r="E710" s="21"/>
      <c r="F710" s="21"/>
      <c r="G710" s="21"/>
      <c r="H710" s="21"/>
      <c r="I710" s="21"/>
      <c r="J710" s="21"/>
      <c r="K710" s="21"/>
      <c r="L710" s="21"/>
      <c r="M710" s="21"/>
      <c r="N710" s="21"/>
      <c r="O710" s="21"/>
      <c r="P710" s="21"/>
      <c r="Q710" s="19"/>
      <c r="R710" s="19"/>
      <c r="S710" s="19"/>
      <c r="T710" s="19"/>
      <c r="U710" s="19"/>
      <c r="V710" s="19"/>
      <c r="W710" s="19"/>
      <c r="X710" s="19"/>
      <c r="Y710" s="19"/>
      <c r="Z710" s="19"/>
    </row>
    <row r="711">
      <c r="A711" s="21"/>
      <c r="B711" s="21"/>
      <c r="C711" s="21"/>
      <c r="D711" s="21"/>
      <c r="E711" s="21"/>
      <c r="F711" s="21"/>
      <c r="G711" s="21"/>
      <c r="H711" s="21"/>
      <c r="I711" s="21"/>
      <c r="J711" s="21"/>
      <c r="K711" s="21"/>
      <c r="L711" s="21"/>
      <c r="M711" s="21"/>
      <c r="N711" s="21"/>
      <c r="O711" s="21"/>
      <c r="P711" s="21"/>
      <c r="Q711" s="19"/>
      <c r="R711" s="19"/>
      <c r="S711" s="19"/>
      <c r="T711" s="19"/>
      <c r="U711" s="19"/>
      <c r="V711" s="19"/>
      <c r="W711" s="19"/>
      <c r="X711" s="19"/>
      <c r="Y711" s="19"/>
      <c r="Z711" s="19"/>
    </row>
    <row r="712">
      <c r="A712" s="21"/>
      <c r="B712" s="21"/>
      <c r="C712" s="21"/>
      <c r="D712" s="21"/>
      <c r="E712" s="21"/>
      <c r="F712" s="21"/>
      <c r="G712" s="21"/>
      <c r="H712" s="21"/>
      <c r="I712" s="21"/>
      <c r="J712" s="21"/>
      <c r="K712" s="21"/>
      <c r="L712" s="21"/>
      <c r="M712" s="21"/>
      <c r="N712" s="21"/>
      <c r="O712" s="21"/>
      <c r="P712" s="21"/>
      <c r="Q712" s="19"/>
      <c r="R712" s="19"/>
      <c r="S712" s="19"/>
      <c r="T712" s="19"/>
      <c r="U712" s="19"/>
      <c r="V712" s="19"/>
      <c r="W712" s="19"/>
      <c r="X712" s="19"/>
      <c r="Y712" s="19"/>
      <c r="Z712" s="19"/>
    </row>
    <row r="713">
      <c r="A713" s="21"/>
      <c r="B713" s="21"/>
      <c r="C713" s="21"/>
      <c r="D713" s="21"/>
      <c r="E713" s="21"/>
      <c r="F713" s="21"/>
      <c r="G713" s="21"/>
      <c r="H713" s="21"/>
      <c r="I713" s="21"/>
      <c r="J713" s="21"/>
      <c r="K713" s="21"/>
      <c r="L713" s="21"/>
      <c r="M713" s="21"/>
      <c r="N713" s="21"/>
      <c r="O713" s="21"/>
      <c r="P713" s="21"/>
      <c r="Q713" s="19"/>
      <c r="R713" s="19"/>
      <c r="S713" s="19"/>
      <c r="T713" s="19"/>
      <c r="U713" s="19"/>
      <c r="V713" s="19"/>
      <c r="W713" s="19"/>
      <c r="X713" s="19"/>
      <c r="Y713" s="19"/>
      <c r="Z713" s="19"/>
    </row>
    <row r="714">
      <c r="A714" s="21"/>
      <c r="B714" s="21"/>
      <c r="C714" s="21"/>
      <c r="D714" s="21"/>
      <c r="E714" s="21"/>
      <c r="F714" s="21"/>
      <c r="G714" s="21"/>
      <c r="H714" s="21"/>
      <c r="I714" s="21"/>
      <c r="J714" s="21"/>
      <c r="K714" s="21"/>
      <c r="L714" s="21"/>
      <c r="M714" s="21"/>
      <c r="N714" s="21"/>
      <c r="O714" s="21"/>
      <c r="P714" s="21"/>
      <c r="Q714" s="19"/>
      <c r="R714" s="19"/>
      <c r="S714" s="19"/>
      <c r="T714" s="19"/>
      <c r="U714" s="19"/>
      <c r="V714" s="19"/>
      <c r="W714" s="19"/>
      <c r="X714" s="19"/>
      <c r="Y714" s="19"/>
      <c r="Z714" s="19"/>
    </row>
    <row r="715">
      <c r="A715" s="21"/>
      <c r="B715" s="21"/>
      <c r="C715" s="21"/>
      <c r="D715" s="21"/>
      <c r="E715" s="21"/>
      <c r="F715" s="21"/>
      <c r="G715" s="21"/>
      <c r="H715" s="21"/>
      <c r="I715" s="21"/>
      <c r="J715" s="21"/>
      <c r="K715" s="21"/>
      <c r="L715" s="21"/>
      <c r="M715" s="21"/>
      <c r="N715" s="21"/>
      <c r="O715" s="21"/>
      <c r="P715" s="21"/>
      <c r="Q715" s="19"/>
      <c r="R715" s="19"/>
      <c r="S715" s="19"/>
      <c r="T715" s="19"/>
      <c r="U715" s="19"/>
      <c r="V715" s="19"/>
      <c r="W715" s="19"/>
      <c r="X715" s="19"/>
      <c r="Y715" s="19"/>
      <c r="Z715" s="19"/>
    </row>
    <row r="716">
      <c r="A716" s="21"/>
      <c r="B716" s="21"/>
      <c r="C716" s="21"/>
      <c r="D716" s="21"/>
      <c r="E716" s="21"/>
      <c r="F716" s="21"/>
      <c r="G716" s="21"/>
      <c r="H716" s="21"/>
      <c r="I716" s="21"/>
      <c r="J716" s="21"/>
      <c r="K716" s="21"/>
      <c r="L716" s="21"/>
      <c r="M716" s="21"/>
      <c r="N716" s="21"/>
      <c r="O716" s="21"/>
      <c r="P716" s="21"/>
      <c r="Q716" s="19"/>
      <c r="R716" s="19"/>
      <c r="S716" s="19"/>
      <c r="T716" s="19"/>
      <c r="U716" s="19"/>
      <c r="V716" s="19"/>
      <c r="W716" s="19"/>
      <c r="X716" s="19"/>
      <c r="Y716" s="19"/>
      <c r="Z716" s="19"/>
    </row>
    <row r="717">
      <c r="A717" s="21"/>
      <c r="B717" s="21"/>
      <c r="C717" s="21"/>
      <c r="D717" s="21"/>
      <c r="E717" s="21"/>
      <c r="F717" s="21"/>
      <c r="G717" s="21"/>
      <c r="H717" s="21"/>
      <c r="I717" s="21"/>
      <c r="J717" s="21"/>
      <c r="K717" s="21"/>
      <c r="L717" s="21"/>
      <c r="M717" s="21"/>
      <c r="N717" s="21"/>
      <c r="O717" s="21"/>
      <c r="P717" s="21"/>
      <c r="Q717" s="19"/>
      <c r="R717" s="19"/>
      <c r="S717" s="19"/>
      <c r="T717" s="19"/>
      <c r="U717" s="19"/>
      <c r="V717" s="19"/>
      <c r="W717" s="19"/>
      <c r="X717" s="19"/>
      <c r="Y717" s="19"/>
      <c r="Z717" s="19"/>
    </row>
    <row r="718">
      <c r="A718" s="21"/>
      <c r="B718" s="21"/>
      <c r="C718" s="21"/>
      <c r="D718" s="21"/>
      <c r="E718" s="21"/>
      <c r="F718" s="21"/>
      <c r="G718" s="21"/>
      <c r="H718" s="21"/>
      <c r="I718" s="21"/>
      <c r="J718" s="21"/>
      <c r="K718" s="21"/>
      <c r="L718" s="21"/>
      <c r="M718" s="21"/>
      <c r="N718" s="21"/>
      <c r="O718" s="21"/>
      <c r="P718" s="21"/>
      <c r="Q718" s="19"/>
      <c r="R718" s="19"/>
      <c r="S718" s="19"/>
      <c r="T718" s="19"/>
      <c r="U718" s="19"/>
      <c r="V718" s="19"/>
      <c r="W718" s="19"/>
      <c r="X718" s="19"/>
      <c r="Y718" s="19"/>
      <c r="Z718" s="19"/>
    </row>
    <row r="719">
      <c r="A719" s="21"/>
      <c r="B719" s="21"/>
      <c r="C719" s="21"/>
      <c r="D719" s="21"/>
      <c r="E719" s="21"/>
      <c r="F719" s="21"/>
      <c r="G719" s="21"/>
      <c r="H719" s="21"/>
      <c r="I719" s="21"/>
      <c r="J719" s="21"/>
      <c r="K719" s="21"/>
      <c r="L719" s="21"/>
      <c r="M719" s="21"/>
      <c r="N719" s="21"/>
      <c r="O719" s="21"/>
      <c r="P719" s="21"/>
      <c r="Q719" s="19"/>
      <c r="R719" s="19"/>
      <c r="S719" s="19"/>
      <c r="T719" s="19"/>
      <c r="U719" s="19"/>
      <c r="V719" s="19"/>
      <c r="W719" s="19"/>
      <c r="X719" s="19"/>
      <c r="Y719" s="19"/>
      <c r="Z719" s="19"/>
    </row>
    <row r="720">
      <c r="A720" s="21"/>
      <c r="B720" s="21"/>
      <c r="C720" s="21"/>
      <c r="D720" s="21"/>
      <c r="E720" s="21"/>
      <c r="F720" s="21"/>
      <c r="G720" s="21"/>
      <c r="H720" s="21"/>
      <c r="I720" s="21"/>
      <c r="J720" s="21"/>
      <c r="K720" s="21"/>
      <c r="L720" s="21"/>
      <c r="M720" s="21"/>
      <c r="N720" s="21"/>
      <c r="O720" s="21"/>
      <c r="P720" s="21"/>
      <c r="Q720" s="19"/>
      <c r="R720" s="19"/>
      <c r="S720" s="19"/>
      <c r="T720" s="19"/>
      <c r="U720" s="19"/>
      <c r="V720" s="19"/>
      <c r="W720" s="19"/>
      <c r="X720" s="19"/>
      <c r="Y720" s="19"/>
      <c r="Z720" s="19"/>
    </row>
    <row r="721">
      <c r="A721" s="21"/>
      <c r="B721" s="21"/>
      <c r="C721" s="21"/>
      <c r="D721" s="21"/>
      <c r="E721" s="21"/>
      <c r="F721" s="21"/>
      <c r="G721" s="21"/>
      <c r="H721" s="21"/>
      <c r="I721" s="21"/>
      <c r="J721" s="21"/>
      <c r="K721" s="21"/>
      <c r="L721" s="21"/>
      <c r="M721" s="21"/>
      <c r="N721" s="21"/>
      <c r="O721" s="21"/>
      <c r="P721" s="21"/>
      <c r="Q721" s="19"/>
      <c r="R721" s="19"/>
      <c r="S721" s="19"/>
      <c r="T721" s="19"/>
      <c r="U721" s="19"/>
      <c r="V721" s="19"/>
      <c r="W721" s="19"/>
      <c r="X721" s="19"/>
      <c r="Y721" s="19"/>
      <c r="Z721" s="19"/>
    </row>
    <row r="722">
      <c r="A722" s="21"/>
      <c r="B722" s="21"/>
      <c r="C722" s="21"/>
      <c r="D722" s="21"/>
      <c r="E722" s="21"/>
      <c r="F722" s="21"/>
      <c r="G722" s="21"/>
      <c r="H722" s="21"/>
      <c r="I722" s="21"/>
      <c r="J722" s="21"/>
      <c r="K722" s="21"/>
      <c r="L722" s="21"/>
      <c r="M722" s="21"/>
      <c r="N722" s="21"/>
      <c r="O722" s="21"/>
      <c r="P722" s="21"/>
      <c r="Q722" s="19"/>
      <c r="R722" s="19"/>
      <c r="S722" s="19"/>
      <c r="T722" s="19"/>
      <c r="U722" s="19"/>
      <c r="V722" s="19"/>
      <c r="W722" s="19"/>
      <c r="X722" s="19"/>
      <c r="Y722" s="19"/>
      <c r="Z722" s="19"/>
    </row>
    <row r="723">
      <c r="A723" s="21"/>
      <c r="B723" s="21"/>
      <c r="C723" s="21"/>
      <c r="D723" s="21"/>
      <c r="E723" s="21"/>
      <c r="F723" s="21"/>
      <c r="G723" s="21"/>
      <c r="H723" s="21"/>
      <c r="I723" s="21"/>
      <c r="J723" s="21"/>
      <c r="K723" s="21"/>
      <c r="L723" s="21"/>
      <c r="M723" s="21"/>
      <c r="N723" s="21"/>
      <c r="O723" s="21"/>
      <c r="P723" s="21"/>
      <c r="Q723" s="19"/>
      <c r="R723" s="19"/>
      <c r="S723" s="19"/>
      <c r="T723" s="19"/>
      <c r="U723" s="19"/>
      <c r="V723" s="19"/>
      <c r="W723" s="19"/>
      <c r="X723" s="19"/>
      <c r="Y723" s="19"/>
      <c r="Z723" s="19"/>
    </row>
    <row r="724">
      <c r="A724" s="21"/>
      <c r="B724" s="21"/>
      <c r="C724" s="21"/>
      <c r="D724" s="21"/>
      <c r="E724" s="21"/>
      <c r="F724" s="21"/>
      <c r="G724" s="21"/>
      <c r="H724" s="21"/>
      <c r="I724" s="21"/>
      <c r="J724" s="21"/>
      <c r="K724" s="21"/>
      <c r="L724" s="21"/>
      <c r="M724" s="21"/>
      <c r="N724" s="21"/>
      <c r="O724" s="21"/>
      <c r="P724" s="21"/>
      <c r="Q724" s="19"/>
      <c r="R724" s="19"/>
      <c r="S724" s="19"/>
      <c r="T724" s="19"/>
      <c r="U724" s="19"/>
      <c r="V724" s="19"/>
      <c r="W724" s="19"/>
      <c r="X724" s="19"/>
      <c r="Y724" s="19"/>
      <c r="Z724" s="19"/>
    </row>
    <row r="725">
      <c r="A725" s="21"/>
      <c r="B725" s="21"/>
      <c r="C725" s="21"/>
      <c r="D725" s="21"/>
      <c r="E725" s="21"/>
      <c r="F725" s="21"/>
      <c r="G725" s="21"/>
      <c r="H725" s="21"/>
      <c r="I725" s="21"/>
      <c r="J725" s="21"/>
      <c r="K725" s="21"/>
      <c r="L725" s="21"/>
      <c r="M725" s="21"/>
      <c r="N725" s="21"/>
      <c r="O725" s="21"/>
      <c r="P725" s="21"/>
      <c r="Q725" s="19"/>
      <c r="R725" s="19"/>
      <c r="S725" s="19"/>
      <c r="T725" s="19"/>
      <c r="U725" s="19"/>
      <c r="V725" s="19"/>
      <c r="W725" s="19"/>
      <c r="X725" s="19"/>
      <c r="Y725" s="19"/>
      <c r="Z725" s="19"/>
    </row>
    <row r="726">
      <c r="A726" s="21"/>
      <c r="B726" s="21"/>
      <c r="C726" s="21"/>
      <c r="D726" s="21"/>
      <c r="E726" s="21"/>
      <c r="F726" s="21"/>
      <c r="G726" s="21"/>
      <c r="H726" s="21"/>
      <c r="I726" s="21"/>
      <c r="J726" s="21"/>
      <c r="K726" s="21"/>
      <c r="L726" s="21"/>
      <c r="M726" s="21"/>
      <c r="N726" s="21"/>
      <c r="O726" s="21"/>
      <c r="P726" s="21"/>
      <c r="Q726" s="19"/>
      <c r="R726" s="19"/>
      <c r="S726" s="19"/>
      <c r="T726" s="19"/>
      <c r="U726" s="19"/>
      <c r="V726" s="19"/>
      <c r="W726" s="19"/>
      <c r="X726" s="19"/>
      <c r="Y726" s="19"/>
      <c r="Z726" s="19"/>
    </row>
    <row r="727">
      <c r="A727" s="21"/>
      <c r="B727" s="21"/>
      <c r="C727" s="21"/>
      <c r="D727" s="21"/>
      <c r="E727" s="21"/>
      <c r="F727" s="21"/>
      <c r="G727" s="21"/>
      <c r="H727" s="21"/>
      <c r="I727" s="21"/>
      <c r="J727" s="21"/>
      <c r="K727" s="21"/>
      <c r="L727" s="21"/>
      <c r="M727" s="21"/>
      <c r="N727" s="21"/>
      <c r="O727" s="21"/>
      <c r="P727" s="21"/>
      <c r="Q727" s="19"/>
      <c r="R727" s="19"/>
      <c r="S727" s="19"/>
      <c r="T727" s="19"/>
      <c r="U727" s="19"/>
      <c r="V727" s="19"/>
      <c r="W727" s="19"/>
      <c r="X727" s="19"/>
      <c r="Y727" s="19"/>
      <c r="Z727" s="19"/>
    </row>
    <row r="728">
      <c r="A728" s="21"/>
      <c r="B728" s="21"/>
      <c r="C728" s="21"/>
      <c r="D728" s="21"/>
      <c r="E728" s="21"/>
      <c r="F728" s="21"/>
      <c r="G728" s="21"/>
      <c r="H728" s="21"/>
      <c r="I728" s="21"/>
      <c r="J728" s="21"/>
      <c r="K728" s="21"/>
      <c r="L728" s="21"/>
      <c r="M728" s="21"/>
      <c r="N728" s="21"/>
      <c r="O728" s="21"/>
      <c r="P728" s="21"/>
      <c r="Q728" s="19"/>
      <c r="R728" s="19"/>
      <c r="S728" s="19"/>
      <c r="T728" s="19"/>
      <c r="U728" s="19"/>
      <c r="V728" s="19"/>
      <c r="W728" s="19"/>
      <c r="X728" s="19"/>
      <c r="Y728" s="19"/>
      <c r="Z728" s="19"/>
    </row>
    <row r="729">
      <c r="A729" s="21"/>
      <c r="B729" s="21"/>
      <c r="C729" s="21"/>
      <c r="D729" s="21"/>
      <c r="E729" s="21"/>
      <c r="F729" s="21"/>
      <c r="G729" s="21"/>
      <c r="H729" s="21"/>
      <c r="I729" s="21"/>
      <c r="J729" s="21"/>
      <c r="K729" s="21"/>
      <c r="L729" s="21"/>
      <c r="M729" s="21"/>
      <c r="N729" s="21"/>
      <c r="O729" s="21"/>
      <c r="P729" s="21"/>
      <c r="Q729" s="19"/>
      <c r="R729" s="19"/>
      <c r="S729" s="19"/>
      <c r="T729" s="19"/>
      <c r="U729" s="19"/>
      <c r="V729" s="19"/>
      <c r="W729" s="19"/>
      <c r="X729" s="19"/>
      <c r="Y729" s="19"/>
      <c r="Z729" s="19"/>
    </row>
    <row r="730">
      <c r="A730" s="21"/>
      <c r="B730" s="21"/>
      <c r="C730" s="21"/>
      <c r="D730" s="21"/>
      <c r="E730" s="21"/>
      <c r="F730" s="21"/>
      <c r="G730" s="21"/>
      <c r="H730" s="21"/>
      <c r="I730" s="21"/>
      <c r="J730" s="21"/>
      <c r="K730" s="21"/>
      <c r="L730" s="21"/>
      <c r="M730" s="21"/>
      <c r="N730" s="21"/>
      <c r="O730" s="21"/>
      <c r="P730" s="21"/>
      <c r="Q730" s="19"/>
      <c r="R730" s="19"/>
      <c r="S730" s="19"/>
      <c r="T730" s="19"/>
      <c r="U730" s="19"/>
      <c r="V730" s="19"/>
      <c r="W730" s="19"/>
      <c r="X730" s="19"/>
      <c r="Y730" s="19"/>
      <c r="Z730" s="19"/>
    </row>
    <row r="731">
      <c r="A731" s="21"/>
      <c r="B731" s="21"/>
      <c r="C731" s="21"/>
      <c r="D731" s="21"/>
      <c r="E731" s="21"/>
      <c r="F731" s="21"/>
      <c r="G731" s="21"/>
      <c r="H731" s="21"/>
      <c r="I731" s="21"/>
      <c r="J731" s="21"/>
      <c r="K731" s="21"/>
      <c r="L731" s="21"/>
      <c r="M731" s="21"/>
      <c r="N731" s="21"/>
      <c r="O731" s="21"/>
      <c r="P731" s="21"/>
      <c r="Q731" s="19"/>
      <c r="R731" s="19"/>
      <c r="S731" s="19"/>
      <c r="T731" s="19"/>
      <c r="U731" s="19"/>
      <c r="V731" s="19"/>
      <c r="W731" s="19"/>
      <c r="X731" s="19"/>
      <c r="Y731" s="19"/>
      <c r="Z731" s="19"/>
    </row>
    <row r="732">
      <c r="A732" s="21"/>
      <c r="B732" s="21"/>
      <c r="C732" s="21"/>
      <c r="D732" s="21"/>
      <c r="E732" s="21"/>
      <c r="F732" s="21"/>
      <c r="G732" s="21"/>
      <c r="H732" s="21"/>
      <c r="I732" s="21"/>
      <c r="J732" s="21"/>
      <c r="K732" s="21"/>
      <c r="L732" s="21"/>
      <c r="M732" s="21"/>
      <c r="N732" s="21"/>
      <c r="O732" s="21"/>
      <c r="P732" s="21"/>
      <c r="Q732" s="19"/>
      <c r="R732" s="19"/>
      <c r="S732" s="19"/>
      <c r="T732" s="19"/>
      <c r="U732" s="19"/>
      <c r="V732" s="19"/>
      <c r="W732" s="19"/>
      <c r="X732" s="19"/>
      <c r="Y732" s="19"/>
      <c r="Z732" s="19"/>
    </row>
    <row r="733">
      <c r="A733" s="21"/>
      <c r="B733" s="21"/>
      <c r="C733" s="21"/>
      <c r="D733" s="21"/>
      <c r="E733" s="21"/>
      <c r="F733" s="21"/>
      <c r="G733" s="21"/>
      <c r="H733" s="21"/>
      <c r="I733" s="21"/>
      <c r="J733" s="21"/>
      <c r="K733" s="21"/>
      <c r="L733" s="21"/>
      <c r="M733" s="21"/>
      <c r="N733" s="21"/>
      <c r="O733" s="21"/>
      <c r="P733" s="21"/>
      <c r="Q733" s="19"/>
      <c r="R733" s="19"/>
      <c r="S733" s="19"/>
      <c r="T733" s="19"/>
      <c r="U733" s="19"/>
      <c r="V733" s="19"/>
      <c r="W733" s="19"/>
      <c r="X733" s="19"/>
      <c r="Y733" s="19"/>
      <c r="Z733" s="19"/>
    </row>
    <row r="734">
      <c r="A734" s="21"/>
      <c r="B734" s="21"/>
      <c r="C734" s="21"/>
      <c r="D734" s="21"/>
      <c r="E734" s="21"/>
      <c r="F734" s="21"/>
      <c r="G734" s="21"/>
      <c r="H734" s="21"/>
      <c r="I734" s="21"/>
      <c r="J734" s="21"/>
      <c r="K734" s="21"/>
      <c r="L734" s="21"/>
      <c r="M734" s="21"/>
      <c r="N734" s="21"/>
      <c r="O734" s="21"/>
      <c r="P734" s="21"/>
      <c r="Q734" s="19"/>
      <c r="R734" s="19"/>
      <c r="S734" s="19"/>
      <c r="T734" s="19"/>
      <c r="U734" s="19"/>
      <c r="V734" s="19"/>
      <c r="W734" s="19"/>
      <c r="X734" s="19"/>
      <c r="Y734" s="19"/>
      <c r="Z734" s="19"/>
    </row>
    <row r="735">
      <c r="A735" s="21"/>
      <c r="B735" s="21"/>
      <c r="C735" s="21"/>
      <c r="D735" s="21"/>
      <c r="E735" s="21"/>
      <c r="F735" s="21"/>
      <c r="G735" s="21"/>
      <c r="H735" s="21"/>
      <c r="I735" s="21"/>
      <c r="J735" s="21"/>
      <c r="K735" s="21"/>
      <c r="L735" s="21"/>
      <c r="M735" s="21"/>
      <c r="N735" s="21"/>
      <c r="O735" s="21"/>
      <c r="P735" s="21"/>
      <c r="Q735" s="19"/>
      <c r="R735" s="19"/>
      <c r="S735" s="19"/>
      <c r="T735" s="19"/>
      <c r="U735" s="19"/>
      <c r="V735" s="19"/>
      <c r="W735" s="19"/>
      <c r="X735" s="19"/>
      <c r="Y735" s="19"/>
      <c r="Z735" s="19"/>
    </row>
    <row r="736">
      <c r="A736" s="21"/>
      <c r="B736" s="21"/>
      <c r="C736" s="21"/>
      <c r="D736" s="21"/>
      <c r="E736" s="21"/>
      <c r="F736" s="21"/>
      <c r="G736" s="21"/>
      <c r="H736" s="21"/>
      <c r="I736" s="21"/>
      <c r="J736" s="21"/>
      <c r="K736" s="21"/>
      <c r="L736" s="21"/>
      <c r="M736" s="21"/>
      <c r="N736" s="21"/>
      <c r="O736" s="21"/>
      <c r="P736" s="21"/>
      <c r="Q736" s="19"/>
      <c r="R736" s="19"/>
      <c r="S736" s="19"/>
      <c r="T736" s="19"/>
      <c r="U736" s="19"/>
      <c r="V736" s="19"/>
      <c r="W736" s="19"/>
      <c r="X736" s="19"/>
      <c r="Y736" s="19"/>
      <c r="Z736" s="19"/>
    </row>
    <row r="737">
      <c r="A737" s="21"/>
      <c r="B737" s="21"/>
      <c r="C737" s="21"/>
      <c r="D737" s="21"/>
      <c r="E737" s="21"/>
      <c r="F737" s="21"/>
      <c r="G737" s="21"/>
      <c r="H737" s="21"/>
      <c r="I737" s="21"/>
      <c r="J737" s="21"/>
      <c r="K737" s="21"/>
      <c r="L737" s="21"/>
      <c r="M737" s="21"/>
      <c r="N737" s="21"/>
      <c r="O737" s="21"/>
      <c r="P737" s="21"/>
      <c r="Q737" s="19"/>
      <c r="R737" s="19"/>
      <c r="S737" s="19"/>
      <c r="T737" s="19"/>
      <c r="U737" s="19"/>
      <c r="V737" s="19"/>
      <c r="W737" s="19"/>
      <c r="X737" s="19"/>
      <c r="Y737" s="19"/>
      <c r="Z737" s="19"/>
    </row>
    <row r="738">
      <c r="A738" s="21"/>
      <c r="B738" s="21"/>
      <c r="C738" s="21"/>
      <c r="D738" s="21"/>
      <c r="E738" s="21"/>
      <c r="F738" s="21"/>
      <c r="G738" s="21"/>
      <c r="H738" s="21"/>
      <c r="I738" s="21"/>
      <c r="J738" s="21"/>
      <c r="K738" s="21"/>
      <c r="L738" s="21"/>
      <c r="M738" s="21"/>
      <c r="N738" s="21"/>
      <c r="O738" s="21"/>
      <c r="P738" s="21"/>
      <c r="Q738" s="19"/>
      <c r="R738" s="19"/>
      <c r="S738" s="19"/>
      <c r="T738" s="19"/>
      <c r="U738" s="19"/>
      <c r="V738" s="19"/>
      <c r="W738" s="19"/>
      <c r="X738" s="19"/>
      <c r="Y738" s="19"/>
      <c r="Z738" s="19"/>
    </row>
    <row r="739">
      <c r="A739" s="21"/>
      <c r="B739" s="21"/>
      <c r="C739" s="21"/>
      <c r="D739" s="21"/>
      <c r="E739" s="21"/>
      <c r="F739" s="21"/>
      <c r="G739" s="21"/>
      <c r="H739" s="21"/>
      <c r="I739" s="21"/>
      <c r="J739" s="21"/>
      <c r="K739" s="21"/>
      <c r="L739" s="21"/>
      <c r="M739" s="21"/>
      <c r="N739" s="21"/>
      <c r="O739" s="21"/>
      <c r="P739" s="21"/>
      <c r="Q739" s="19"/>
      <c r="R739" s="19"/>
      <c r="S739" s="19"/>
      <c r="T739" s="19"/>
      <c r="U739" s="19"/>
      <c r="V739" s="19"/>
      <c r="W739" s="19"/>
      <c r="X739" s="19"/>
      <c r="Y739" s="19"/>
      <c r="Z739" s="19"/>
    </row>
    <row r="740">
      <c r="A740" s="21"/>
      <c r="B740" s="21"/>
      <c r="C740" s="21"/>
      <c r="D740" s="21"/>
      <c r="E740" s="21"/>
      <c r="F740" s="21"/>
      <c r="G740" s="21"/>
      <c r="H740" s="21"/>
      <c r="I740" s="21"/>
      <c r="J740" s="21"/>
      <c r="K740" s="21"/>
      <c r="L740" s="21"/>
      <c r="M740" s="21"/>
      <c r="N740" s="21"/>
      <c r="O740" s="21"/>
      <c r="P740" s="21"/>
      <c r="Q740" s="19"/>
      <c r="R740" s="19"/>
      <c r="S740" s="19"/>
      <c r="T740" s="19"/>
      <c r="U740" s="19"/>
      <c r="V740" s="19"/>
      <c r="W740" s="19"/>
      <c r="X740" s="19"/>
      <c r="Y740" s="19"/>
      <c r="Z740" s="19"/>
    </row>
    <row r="741">
      <c r="A741" s="21"/>
      <c r="B741" s="21"/>
      <c r="C741" s="21"/>
      <c r="D741" s="21"/>
      <c r="E741" s="21"/>
      <c r="F741" s="21"/>
      <c r="G741" s="21"/>
      <c r="H741" s="21"/>
      <c r="I741" s="21"/>
      <c r="J741" s="21"/>
      <c r="K741" s="21"/>
      <c r="L741" s="21"/>
      <c r="M741" s="21"/>
      <c r="N741" s="21"/>
      <c r="O741" s="21"/>
      <c r="P741" s="21"/>
      <c r="Q741" s="19"/>
      <c r="R741" s="19"/>
      <c r="S741" s="19"/>
      <c r="T741" s="19"/>
      <c r="U741" s="19"/>
      <c r="V741" s="19"/>
      <c r="W741" s="19"/>
      <c r="X741" s="19"/>
      <c r="Y741" s="19"/>
      <c r="Z741" s="19"/>
    </row>
    <row r="742">
      <c r="A742" s="21"/>
      <c r="B742" s="21"/>
      <c r="C742" s="21"/>
      <c r="D742" s="21"/>
      <c r="E742" s="21"/>
      <c r="F742" s="21"/>
      <c r="G742" s="21"/>
      <c r="H742" s="21"/>
      <c r="I742" s="21"/>
      <c r="J742" s="21"/>
      <c r="K742" s="21"/>
      <c r="L742" s="21"/>
      <c r="M742" s="21"/>
      <c r="N742" s="21"/>
      <c r="O742" s="21"/>
      <c r="P742" s="21"/>
      <c r="Q742" s="19"/>
      <c r="R742" s="19"/>
      <c r="S742" s="19"/>
      <c r="T742" s="19"/>
      <c r="U742" s="19"/>
      <c r="V742" s="19"/>
      <c r="W742" s="19"/>
      <c r="X742" s="19"/>
      <c r="Y742" s="19"/>
      <c r="Z742" s="19"/>
    </row>
    <row r="743">
      <c r="A743" s="21"/>
      <c r="B743" s="21"/>
      <c r="C743" s="21"/>
      <c r="D743" s="21"/>
      <c r="E743" s="21"/>
      <c r="F743" s="21"/>
      <c r="G743" s="21"/>
      <c r="H743" s="21"/>
      <c r="I743" s="21"/>
      <c r="J743" s="21"/>
      <c r="K743" s="21"/>
      <c r="L743" s="21"/>
      <c r="M743" s="21"/>
      <c r="N743" s="21"/>
      <c r="O743" s="21"/>
      <c r="P743" s="21"/>
      <c r="Q743" s="19"/>
      <c r="R743" s="19"/>
      <c r="S743" s="19"/>
      <c r="T743" s="19"/>
      <c r="U743" s="19"/>
      <c r="V743" s="19"/>
      <c r="W743" s="19"/>
      <c r="X743" s="19"/>
      <c r="Y743" s="19"/>
      <c r="Z743" s="19"/>
    </row>
    <row r="744">
      <c r="A744" s="21"/>
      <c r="B744" s="21"/>
      <c r="C744" s="21"/>
      <c r="D744" s="21"/>
      <c r="E744" s="21"/>
      <c r="F744" s="21"/>
      <c r="G744" s="21"/>
      <c r="H744" s="21"/>
      <c r="I744" s="21"/>
      <c r="J744" s="21"/>
      <c r="K744" s="21"/>
      <c r="L744" s="21"/>
      <c r="M744" s="21"/>
      <c r="N744" s="21"/>
      <c r="O744" s="21"/>
      <c r="P744" s="21"/>
      <c r="Q744" s="19"/>
      <c r="R744" s="19"/>
      <c r="S744" s="19"/>
      <c r="T744" s="19"/>
      <c r="U744" s="19"/>
      <c r="V744" s="19"/>
      <c r="W744" s="19"/>
      <c r="X744" s="19"/>
      <c r="Y744" s="19"/>
      <c r="Z744" s="19"/>
    </row>
    <row r="745">
      <c r="A745" s="21"/>
      <c r="B745" s="21"/>
      <c r="C745" s="21"/>
      <c r="D745" s="21"/>
      <c r="E745" s="21"/>
      <c r="F745" s="21"/>
      <c r="G745" s="21"/>
      <c r="H745" s="21"/>
      <c r="I745" s="21"/>
      <c r="J745" s="21"/>
      <c r="K745" s="21"/>
      <c r="L745" s="21"/>
      <c r="M745" s="21"/>
      <c r="N745" s="21"/>
      <c r="O745" s="21"/>
      <c r="P745" s="21"/>
      <c r="Q745" s="19"/>
      <c r="R745" s="19"/>
      <c r="S745" s="19"/>
      <c r="T745" s="19"/>
      <c r="U745" s="19"/>
      <c r="V745" s="19"/>
      <c r="W745" s="19"/>
      <c r="X745" s="19"/>
      <c r="Y745" s="19"/>
      <c r="Z745" s="19"/>
    </row>
    <row r="746">
      <c r="A746" s="21"/>
      <c r="B746" s="21"/>
      <c r="C746" s="21"/>
      <c r="D746" s="21"/>
      <c r="E746" s="21"/>
      <c r="F746" s="21"/>
      <c r="G746" s="21"/>
      <c r="H746" s="21"/>
      <c r="I746" s="21"/>
      <c r="J746" s="21"/>
      <c r="K746" s="21"/>
      <c r="L746" s="21"/>
      <c r="M746" s="21"/>
      <c r="N746" s="21"/>
      <c r="O746" s="21"/>
      <c r="P746" s="21"/>
      <c r="Q746" s="19"/>
      <c r="R746" s="19"/>
      <c r="S746" s="19"/>
      <c r="T746" s="19"/>
      <c r="U746" s="19"/>
      <c r="V746" s="19"/>
      <c r="W746" s="19"/>
      <c r="X746" s="19"/>
      <c r="Y746" s="19"/>
      <c r="Z746" s="19"/>
    </row>
    <row r="747">
      <c r="A747" s="21"/>
      <c r="B747" s="21"/>
      <c r="C747" s="21"/>
      <c r="D747" s="21"/>
      <c r="E747" s="21"/>
      <c r="F747" s="21"/>
      <c r="G747" s="21"/>
      <c r="H747" s="21"/>
      <c r="I747" s="21"/>
      <c r="J747" s="21"/>
      <c r="K747" s="21"/>
      <c r="L747" s="21"/>
      <c r="M747" s="21"/>
      <c r="N747" s="21"/>
      <c r="O747" s="21"/>
      <c r="P747" s="21"/>
      <c r="Q747" s="19"/>
      <c r="R747" s="19"/>
      <c r="S747" s="19"/>
      <c r="T747" s="19"/>
      <c r="U747" s="19"/>
      <c r="V747" s="19"/>
      <c r="W747" s="19"/>
      <c r="X747" s="19"/>
      <c r="Y747" s="19"/>
      <c r="Z747" s="19"/>
    </row>
    <row r="748">
      <c r="A748" s="21"/>
      <c r="B748" s="21"/>
      <c r="C748" s="21"/>
      <c r="D748" s="21"/>
      <c r="E748" s="21"/>
      <c r="F748" s="21"/>
      <c r="G748" s="21"/>
      <c r="H748" s="21"/>
      <c r="I748" s="21"/>
      <c r="J748" s="21"/>
      <c r="K748" s="21"/>
      <c r="L748" s="21"/>
      <c r="M748" s="21"/>
      <c r="N748" s="21"/>
      <c r="O748" s="21"/>
      <c r="P748" s="21"/>
      <c r="Q748" s="19"/>
      <c r="R748" s="19"/>
      <c r="S748" s="19"/>
      <c r="T748" s="19"/>
      <c r="U748" s="19"/>
      <c r="V748" s="19"/>
      <c r="W748" s="19"/>
      <c r="X748" s="19"/>
      <c r="Y748" s="19"/>
      <c r="Z748" s="19"/>
    </row>
    <row r="749">
      <c r="A749" s="21"/>
      <c r="B749" s="21"/>
      <c r="C749" s="21"/>
      <c r="D749" s="21"/>
      <c r="E749" s="21"/>
      <c r="F749" s="21"/>
      <c r="G749" s="21"/>
      <c r="H749" s="21"/>
      <c r="I749" s="21"/>
      <c r="J749" s="21"/>
      <c r="K749" s="21"/>
      <c r="L749" s="21"/>
      <c r="M749" s="21"/>
      <c r="N749" s="21"/>
      <c r="O749" s="21"/>
      <c r="P749" s="21"/>
      <c r="Q749" s="19"/>
      <c r="R749" s="19"/>
      <c r="S749" s="19"/>
      <c r="T749" s="19"/>
      <c r="U749" s="19"/>
      <c r="V749" s="19"/>
      <c r="W749" s="19"/>
      <c r="X749" s="19"/>
      <c r="Y749" s="19"/>
      <c r="Z749" s="19"/>
    </row>
    <row r="750">
      <c r="A750" s="21"/>
      <c r="B750" s="21"/>
      <c r="C750" s="21"/>
      <c r="D750" s="21"/>
      <c r="E750" s="21"/>
      <c r="F750" s="21"/>
      <c r="G750" s="21"/>
      <c r="H750" s="21"/>
      <c r="I750" s="21"/>
      <c r="J750" s="21"/>
      <c r="K750" s="21"/>
      <c r="L750" s="21"/>
      <c r="M750" s="21"/>
      <c r="N750" s="21"/>
      <c r="O750" s="21"/>
      <c r="P750" s="21"/>
      <c r="Q750" s="19"/>
      <c r="R750" s="19"/>
      <c r="S750" s="19"/>
      <c r="T750" s="19"/>
      <c r="U750" s="19"/>
      <c r="V750" s="19"/>
      <c r="W750" s="19"/>
      <c r="X750" s="19"/>
      <c r="Y750" s="19"/>
      <c r="Z750" s="19"/>
    </row>
    <row r="751">
      <c r="A751" s="21"/>
      <c r="B751" s="21"/>
      <c r="C751" s="21"/>
      <c r="D751" s="21"/>
      <c r="E751" s="21"/>
      <c r="F751" s="21"/>
      <c r="G751" s="21"/>
      <c r="H751" s="21"/>
      <c r="I751" s="21"/>
      <c r="J751" s="21"/>
      <c r="K751" s="21"/>
      <c r="L751" s="21"/>
      <c r="M751" s="21"/>
      <c r="N751" s="21"/>
      <c r="O751" s="21"/>
      <c r="P751" s="21"/>
      <c r="Q751" s="19"/>
      <c r="R751" s="19"/>
      <c r="S751" s="19"/>
      <c r="T751" s="19"/>
      <c r="U751" s="19"/>
      <c r="V751" s="19"/>
      <c r="W751" s="19"/>
      <c r="X751" s="19"/>
      <c r="Y751" s="19"/>
      <c r="Z751" s="19"/>
    </row>
    <row r="752">
      <c r="A752" s="21"/>
      <c r="B752" s="21"/>
      <c r="C752" s="21"/>
      <c r="D752" s="21"/>
      <c r="E752" s="21"/>
      <c r="F752" s="21"/>
      <c r="G752" s="21"/>
      <c r="H752" s="21"/>
      <c r="I752" s="21"/>
      <c r="J752" s="21"/>
      <c r="K752" s="21"/>
      <c r="L752" s="21"/>
      <c r="M752" s="21"/>
      <c r="N752" s="21"/>
      <c r="O752" s="21"/>
      <c r="P752" s="21"/>
      <c r="Q752" s="19"/>
      <c r="R752" s="19"/>
      <c r="S752" s="19"/>
      <c r="T752" s="19"/>
      <c r="U752" s="19"/>
      <c r="V752" s="19"/>
      <c r="W752" s="19"/>
      <c r="X752" s="19"/>
      <c r="Y752" s="19"/>
      <c r="Z752" s="19"/>
    </row>
    <row r="753">
      <c r="A753" s="21"/>
      <c r="B753" s="21"/>
      <c r="C753" s="21"/>
      <c r="D753" s="21"/>
      <c r="E753" s="21"/>
      <c r="F753" s="21"/>
      <c r="G753" s="21"/>
      <c r="H753" s="21"/>
      <c r="I753" s="21"/>
      <c r="J753" s="21"/>
      <c r="K753" s="21"/>
      <c r="L753" s="21"/>
      <c r="M753" s="21"/>
      <c r="N753" s="21"/>
      <c r="O753" s="21"/>
      <c r="P753" s="21"/>
      <c r="Q753" s="19"/>
      <c r="R753" s="19"/>
      <c r="S753" s="19"/>
      <c r="T753" s="19"/>
      <c r="U753" s="19"/>
      <c r="V753" s="19"/>
      <c r="W753" s="19"/>
      <c r="X753" s="19"/>
      <c r="Y753" s="19"/>
      <c r="Z753" s="19"/>
    </row>
    <row r="754">
      <c r="A754" s="21"/>
      <c r="B754" s="21"/>
      <c r="C754" s="21"/>
      <c r="D754" s="21"/>
      <c r="E754" s="21"/>
      <c r="F754" s="21"/>
      <c r="G754" s="21"/>
      <c r="H754" s="21"/>
      <c r="I754" s="21"/>
      <c r="J754" s="21"/>
      <c r="K754" s="21"/>
      <c r="L754" s="21"/>
      <c r="M754" s="21"/>
      <c r="N754" s="21"/>
      <c r="O754" s="21"/>
      <c r="P754" s="21"/>
      <c r="Q754" s="19"/>
      <c r="R754" s="19"/>
      <c r="S754" s="19"/>
      <c r="T754" s="19"/>
      <c r="U754" s="19"/>
      <c r="V754" s="19"/>
      <c r="W754" s="19"/>
      <c r="X754" s="19"/>
      <c r="Y754" s="19"/>
      <c r="Z754" s="19"/>
    </row>
    <row r="755">
      <c r="A755" s="21"/>
      <c r="B755" s="21"/>
      <c r="C755" s="21"/>
      <c r="D755" s="21"/>
      <c r="E755" s="21"/>
      <c r="F755" s="21"/>
      <c r="G755" s="21"/>
      <c r="H755" s="21"/>
      <c r="I755" s="21"/>
      <c r="J755" s="21"/>
      <c r="K755" s="21"/>
      <c r="L755" s="21"/>
      <c r="M755" s="21"/>
      <c r="N755" s="21"/>
      <c r="O755" s="21"/>
      <c r="P755" s="21"/>
      <c r="Q755" s="19"/>
      <c r="R755" s="19"/>
      <c r="S755" s="19"/>
      <c r="T755" s="19"/>
      <c r="U755" s="19"/>
      <c r="V755" s="19"/>
      <c r="W755" s="19"/>
      <c r="X755" s="19"/>
      <c r="Y755" s="19"/>
      <c r="Z755" s="19"/>
    </row>
    <row r="756">
      <c r="A756" s="21"/>
      <c r="B756" s="21"/>
      <c r="C756" s="21"/>
      <c r="D756" s="21"/>
      <c r="E756" s="21"/>
      <c r="F756" s="21"/>
      <c r="G756" s="21"/>
      <c r="H756" s="21"/>
      <c r="I756" s="21"/>
      <c r="J756" s="21"/>
      <c r="K756" s="21"/>
      <c r="L756" s="21"/>
      <c r="M756" s="21"/>
      <c r="N756" s="21"/>
      <c r="O756" s="21"/>
      <c r="P756" s="21"/>
      <c r="Q756" s="19"/>
      <c r="R756" s="19"/>
      <c r="S756" s="19"/>
      <c r="T756" s="19"/>
      <c r="U756" s="19"/>
      <c r="V756" s="19"/>
      <c r="W756" s="19"/>
      <c r="X756" s="19"/>
      <c r="Y756" s="19"/>
      <c r="Z756" s="19"/>
    </row>
    <row r="757">
      <c r="A757" s="21"/>
      <c r="B757" s="21"/>
      <c r="C757" s="21"/>
      <c r="D757" s="21"/>
      <c r="E757" s="21"/>
      <c r="F757" s="21"/>
      <c r="G757" s="21"/>
      <c r="H757" s="21"/>
      <c r="I757" s="21"/>
      <c r="J757" s="21"/>
      <c r="K757" s="21"/>
      <c r="L757" s="21"/>
      <c r="M757" s="21"/>
      <c r="N757" s="21"/>
      <c r="O757" s="21"/>
      <c r="P757" s="21"/>
      <c r="Q757" s="19"/>
      <c r="R757" s="19"/>
      <c r="S757" s="19"/>
      <c r="T757" s="19"/>
      <c r="U757" s="19"/>
      <c r="V757" s="19"/>
      <c r="W757" s="19"/>
      <c r="X757" s="19"/>
      <c r="Y757" s="19"/>
      <c r="Z757" s="19"/>
    </row>
    <row r="758">
      <c r="A758" s="21"/>
      <c r="B758" s="21"/>
      <c r="C758" s="21"/>
      <c r="D758" s="21"/>
      <c r="E758" s="21"/>
      <c r="F758" s="21"/>
      <c r="G758" s="21"/>
      <c r="H758" s="21"/>
      <c r="I758" s="21"/>
      <c r="J758" s="21"/>
      <c r="K758" s="21"/>
      <c r="L758" s="21"/>
      <c r="M758" s="21"/>
      <c r="N758" s="21"/>
      <c r="O758" s="21"/>
      <c r="P758" s="21"/>
      <c r="Q758" s="19"/>
      <c r="R758" s="19"/>
      <c r="S758" s="19"/>
      <c r="T758" s="19"/>
      <c r="U758" s="19"/>
      <c r="V758" s="19"/>
      <c r="W758" s="19"/>
      <c r="X758" s="19"/>
      <c r="Y758" s="19"/>
      <c r="Z758" s="19"/>
    </row>
    <row r="759">
      <c r="A759" s="21"/>
      <c r="B759" s="21"/>
      <c r="C759" s="21"/>
      <c r="D759" s="21"/>
      <c r="E759" s="21"/>
      <c r="F759" s="21"/>
      <c r="G759" s="21"/>
      <c r="H759" s="21"/>
      <c r="I759" s="21"/>
      <c r="J759" s="21"/>
      <c r="K759" s="21"/>
      <c r="L759" s="21"/>
      <c r="M759" s="21"/>
      <c r="N759" s="21"/>
      <c r="O759" s="21"/>
      <c r="P759" s="21"/>
      <c r="Q759" s="19"/>
      <c r="R759" s="19"/>
      <c r="S759" s="19"/>
      <c r="T759" s="19"/>
      <c r="U759" s="19"/>
      <c r="V759" s="19"/>
      <c r="W759" s="19"/>
      <c r="X759" s="19"/>
      <c r="Y759" s="19"/>
      <c r="Z759" s="19"/>
    </row>
    <row r="760">
      <c r="A760" s="21"/>
      <c r="B760" s="21"/>
      <c r="C760" s="21"/>
      <c r="D760" s="21"/>
      <c r="E760" s="21"/>
      <c r="F760" s="21"/>
      <c r="G760" s="21"/>
      <c r="H760" s="21"/>
      <c r="I760" s="21"/>
      <c r="J760" s="21"/>
      <c r="K760" s="21"/>
      <c r="L760" s="21"/>
      <c r="M760" s="21"/>
      <c r="N760" s="21"/>
      <c r="O760" s="21"/>
      <c r="P760" s="21"/>
      <c r="Q760" s="19"/>
      <c r="R760" s="19"/>
      <c r="S760" s="19"/>
      <c r="T760" s="19"/>
      <c r="U760" s="19"/>
      <c r="V760" s="19"/>
      <c r="W760" s="19"/>
      <c r="X760" s="19"/>
      <c r="Y760" s="19"/>
      <c r="Z760" s="19"/>
    </row>
    <row r="761">
      <c r="A761" s="21"/>
      <c r="B761" s="21"/>
      <c r="C761" s="21"/>
      <c r="D761" s="21"/>
      <c r="E761" s="21"/>
      <c r="F761" s="21"/>
      <c r="G761" s="21"/>
      <c r="H761" s="21"/>
      <c r="I761" s="21"/>
      <c r="J761" s="21"/>
      <c r="K761" s="21"/>
      <c r="L761" s="21"/>
      <c r="M761" s="21"/>
      <c r="N761" s="21"/>
      <c r="O761" s="21"/>
      <c r="P761" s="21"/>
      <c r="Q761" s="19"/>
      <c r="R761" s="19"/>
      <c r="S761" s="19"/>
      <c r="T761" s="19"/>
      <c r="U761" s="19"/>
      <c r="V761" s="19"/>
      <c r="W761" s="19"/>
      <c r="X761" s="19"/>
      <c r="Y761" s="19"/>
      <c r="Z761" s="19"/>
    </row>
    <row r="762">
      <c r="A762" s="21"/>
      <c r="B762" s="21"/>
      <c r="C762" s="21"/>
      <c r="D762" s="21"/>
      <c r="E762" s="21"/>
      <c r="F762" s="21"/>
      <c r="G762" s="21"/>
      <c r="H762" s="21"/>
      <c r="I762" s="21"/>
      <c r="J762" s="21"/>
      <c r="K762" s="21"/>
      <c r="L762" s="21"/>
      <c r="M762" s="21"/>
      <c r="N762" s="21"/>
      <c r="O762" s="21"/>
      <c r="P762" s="21"/>
      <c r="Q762" s="19"/>
      <c r="R762" s="19"/>
      <c r="S762" s="19"/>
      <c r="T762" s="19"/>
      <c r="U762" s="19"/>
      <c r="V762" s="19"/>
      <c r="W762" s="19"/>
      <c r="X762" s="19"/>
      <c r="Y762" s="19"/>
      <c r="Z762" s="19"/>
    </row>
    <row r="763">
      <c r="A763" s="21"/>
      <c r="B763" s="21"/>
      <c r="C763" s="21"/>
      <c r="D763" s="21"/>
      <c r="E763" s="21"/>
      <c r="F763" s="21"/>
      <c r="G763" s="21"/>
      <c r="H763" s="21"/>
      <c r="I763" s="21"/>
      <c r="J763" s="21"/>
      <c r="K763" s="21"/>
      <c r="L763" s="21"/>
      <c r="M763" s="21"/>
      <c r="N763" s="21"/>
      <c r="O763" s="21"/>
      <c r="P763" s="21"/>
      <c r="Q763" s="19"/>
      <c r="R763" s="19"/>
      <c r="S763" s="19"/>
      <c r="T763" s="19"/>
      <c r="U763" s="19"/>
      <c r="V763" s="19"/>
      <c r="W763" s="19"/>
      <c r="X763" s="19"/>
      <c r="Y763" s="19"/>
      <c r="Z763" s="19"/>
    </row>
    <row r="764">
      <c r="A764" s="21"/>
      <c r="B764" s="21"/>
      <c r="C764" s="21"/>
      <c r="D764" s="21"/>
      <c r="E764" s="21"/>
      <c r="F764" s="21"/>
      <c r="G764" s="21"/>
      <c r="H764" s="21"/>
      <c r="I764" s="21"/>
      <c r="J764" s="21"/>
      <c r="K764" s="21"/>
      <c r="L764" s="21"/>
      <c r="M764" s="21"/>
      <c r="N764" s="21"/>
      <c r="O764" s="21"/>
      <c r="P764" s="21"/>
      <c r="Q764" s="19"/>
      <c r="R764" s="19"/>
      <c r="S764" s="19"/>
      <c r="T764" s="19"/>
      <c r="U764" s="19"/>
      <c r="V764" s="19"/>
      <c r="W764" s="19"/>
      <c r="X764" s="19"/>
      <c r="Y764" s="19"/>
      <c r="Z764" s="19"/>
    </row>
    <row r="765">
      <c r="A765" s="21"/>
      <c r="B765" s="21"/>
      <c r="C765" s="21"/>
      <c r="D765" s="21"/>
      <c r="E765" s="21"/>
      <c r="F765" s="21"/>
      <c r="G765" s="21"/>
      <c r="H765" s="21"/>
      <c r="I765" s="21"/>
      <c r="J765" s="21"/>
      <c r="K765" s="21"/>
      <c r="L765" s="21"/>
      <c r="M765" s="21"/>
      <c r="N765" s="21"/>
      <c r="O765" s="21"/>
      <c r="P765" s="21"/>
      <c r="Q765" s="19"/>
      <c r="R765" s="19"/>
      <c r="S765" s="19"/>
      <c r="T765" s="19"/>
      <c r="U765" s="19"/>
      <c r="V765" s="19"/>
      <c r="W765" s="19"/>
      <c r="X765" s="19"/>
      <c r="Y765" s="19"/>
      <c r="Z765" s="19"/>
    </row>
    <row r="766">
      <c r="A766" s="21"/>
      <c r="B766" s="21"/>
      <c r="C766" s="21"/>
      <c r="D766" s="21"/>
      <c r="E766" s="21"/>
      <c r="F766" s="21"/>
      <c r="G766" s="21"/>
      <c r="H766" s="21"/>
      <c r="I766" s="21"/>
      <c r="J766" s="21"/>
      <c r="K766" s="21"/>
      <c r="L766" s="21"/>
      <c r="M766" s="21"/>
      <c r="N766" s="21"/>
      <c r="O766" s="21"/>
      <c r="P766" s="21"/>
      <c r="Q766" s="19"/>
      <c r="R766" s="19"/>
      <c r="S766" s="19"/>
      <c r="T766" s="19"/>
      <c r="U766" s="19"/>
      <c r="V766" s="19"/>
      <c r="W766" s="19"/>
      <c r="X766" s="19"/>
      <c r="Y766" s="19"/>
      <c r="Z766" s="19"/>
    </row>
    <row r="767">
      <c r="A767" s="21"/>
      <c r="B767" s="21"/>
      <c r="C767" s="21"/>
      <c r="D767" s="21"/>
      <c r="E767" s="21"/>
      <c r="F767" s="21"/>
      <c r="G767" s="21"/>
      <c r="H767" s="21"/>
      <c r="I767" s="21"/>
      <c r="J767" s="21"/>
      <c r="K767" s="21"/>
      <c r="L767" s="21"/>
      <c r="M767" s="21"/>
      <c r="N767" s="21"/>
      <c r="O767" s="21"/>
      <c r="P767" s="21"/>
      <c r="Q767" s="19"/>
      <c r="R767" s="19"/>
      <c r="S767" s="19"/>
      <c r="T767" s="19"/>
      <c r="U767" s="19"/>
      <c r="V767" s="19"/>
      <c r="W767" s="19"/>
      <c r="X767" s="19"/>
      <c r="Y767" s="19"/>
      <c r="Z767" s="19"/>
    </row>
    <row r="768">
      <c r="A768" s="21"/>
      <c r="B768" s="21"/>
      <c r="C768" s="21"/>
      <c r="D768" s="21"/>
      <c r="E768" s="21"/>
      <c r="F768" s="21"/>
      <c r="G768" s="21"/>
      <c r="H768" s="21"/>
      <c r="I768" s="21"/>
      <c r="J768" s="21"/>
      <c r="K768" s="21"/>
      <c r="L768" s="21"/>
      <c r="M768" s="21"/>
      <c r="N768" s="21"/>
      <c r="O768" s="21"/>
      <c r="P768" s="21"/>
      <c r="Q768" s="19"/>
      <c r="R768" s="19"/>
      <c r="S768" s="19"/>
      <c r="T768" s="19"/>
      <c r="U768" s="19"/>
      <c r="V768" s="19"/>
      <c r="W768" s="19"/>
      <c r="X768" s="19"/>
      <c r="Y768" s="19"/>
      <c r="Z768" s="19"/>
    </row>
    <row r="769">
      <c r="A769" s="21"/>
      <c r="B769" s="21"/>
      <c r="C769" s="21"/>
      <c r="D769" s="21"/>
      <c r="E769" s="21"/>
      <c r="F769" s="21"/>
      <c r="G769" s="21"/>
      <c r="H769" s="21"/>
      <c r="I769" s="21"/>
      <c r="J769" s="21"/>
      <c r="K769" s="21"/>
      <c r="L769" s="21"/>
      <c r="M769" s="21"/>
      <c r="N769" s="21"/>
      <c r="O769" s="21"/>
      <c r="P769" s="21"/>
      <c r="Q769" s="19"/>
      <c r="R769" s="19"/>
      <c r="S769" s="19"/>
      <c r="T769" s="19"/>
      <c r="U769" s="19"/>
      <c r="V769" s="19"/>
      <c r="W769" s="19"/>
      <c r="X769" s="19"/>
      <c r="Y769" s="19"/>
      <c r="Z769" s="19"/>
    </row>
    <row r="770">
      <c r="A770" s="21"/>
      <c r="B770" s="21"/>
      <c r="C770" s="21"/>
      <c r="D770" s="21"/>
      <c r="E770" s="21"/>
      <c r="F770" s="21"/>
      <c r="G770" s="21"/>
      <c r="H770" s="21"/>
      <c r="I770" s="21"/>
      <c r="J770" s="21"/>
      <c r="K770" s="21"/>
      <c r="L770" s="21"/>
      <c r="M770" s="21"/>
      <c r="N770" s="21"/>
      <c r="O770" s="21"/>
      <c r="P770" s="21"/>
      <c r="Q770" s="19"/>
      <c r="R770" s="19"/>
      <c r="S770" s="19"/>
      <c r="T770" s="19"/>
      <c r="U770" s="19"/>
      <c r="V770" s="19"/>
      <c r="W770" s="19"/>
      <c r="X770" s="19"/>
      <c r="Y770" s="19"/>
      <c r="Z770" s="19"/>
    </row>
    <row r="771">
      <c r="A771" s="21"/>
      <c r="B771" s="21"/>
      <c r="C771" s="21"/>
      <c r="D771" s="21"/>
      <c r="E771" s="21"/>
      <c r="F771" s="21"/>
      <c r="G771" s="21"/>
      <c r="H771" s="21"/>
      <c r="I771" s="21"/>
      <c r="J771" s="21"/>
      <c r="K771" s="21"/>
      <c r="L771" s="21"/>
      <c r="M771" s="21"/>
      <c r="N771" s="21"/>
      <c r="O771" s="21"/>
      <c r="P771" s="21"/>
      <c r="Q771" s="19"/>
      <c r="R771" s="19"/>
      <c r="S771" s="19"/>
      <c r="T771" s="19"/>
      <c r="U771" s="19"/>
      <c r="V771" s="19"/>
      <c r="W771" s="19"/>
      <c r="X771" s="19"/>
      <c r="Y771" s="19"/>
      <c r="Z771" s="19"/>
    </row>
    <row r="772">
      <c r="A772" s="21"/>
      <c r="B772" s="21"/>
      <c r="C772" s="21"/>
      <c r="D772" s="21"/>
      <c r="E772" s="21"/>
      <c r="F772" s="21"/>
      <c r="G772" s="21"/>
      <c r="H772" s="21"/>
      <c r="I772" s="21"/>
      <c r="J772" s="21"/>
      <c r="K772" s="21"/>
      <c r="L772" s="21"/>
      <c r="M772" s="21"/>
      <c r="N772" s="21"/>
      <c r="O772" s="21"/>
      <c r="P772" s="21"/>
      <c r="Q772" s="19"/>
      <c r="R772" s="19"/>
      <c r="S772" s="19"/>
      <c r="T772" s="19"/>
      <c r="U772" s="19"/>
      <c r="V772" s="19"/>
      <c r="W772" s="19"/>
      <c r="X772" s="19"/>
      <c r="Y772" s="19"/>
      <c r="Z772" s="19"/>
    </row>
    <row r="773">
      <c r="A773" s="21"/>
      <c r="B773" s="21"/>
      <c r="C773" s="21"/>
      <c r="D773" s="21"/>
      <c r="E773" s="21"/>
      <c r="F773" s="21"/>
      <c r="G773" s="21"/>
      <c r="H773" s="21"/>
      <c r="I773" s="21"/>
      <c r="J773" s="21"/>
      <c r="K773" s="21"/>
      <c r="L773" s="21"/>
      <c r="M773" s="21"/>
      <c r="N773" s="21"/>
      <c r="O773" s="21"/>
      <c r="P773" s="21"/>
      <c r="Q773" s="19"/>
      <c r="R773" s="19"/>
      <c r="S773" s="19"/>
      <c r="T773" s="19"/>
      <c r="U773" s="19"/>
      <c r="V773" s="19"/>
      <c r="W773" s="19"/>
      <c r="X773" s="19"/>
      <c r="Y773" s="19"/>
      <c r="Z773" s="19"/>
    </row>
    <row r="774">
      <c r="A774" s="21"/>
      <c r="B774" s="21"/>
      <c r="C774" s="21"/>
      <c r="D774" s="21"/>
      <c r="E774" s="21"/>
      <c r="F774" s="21"/>
      <c r="G774" s="21"/>
      <c r="H774" s="21"/>
      <c r="I774" s="21"/>
      <c r="J774" s="21"/>
      <c r="K774" s="21"/>
      <c r="L774" s="21"/>
      <c r="M774" s="21"/>
      <c r="N774" s="21"/>
      <c r="O774" s="21"/>
      <c r="P774" s="21"/>
      <c r="Q774" s="19"/>
      <c r="R774" s="19"/>
      <c r="S774" s="19"/>
      <c r="T774" s="19"/>
      <c r="U774" s="19"/>
      <c r="V774" s="19"/>
      <c r="W774" s="19"/>
      <c r="X774" s="19"/>
      <c r="Y774" s="19"/>
      <c r="Z774" s="19"/>
    </row>
    <row r="775">
      <c r="A775" s="21"/>
      <c r="B775" s="21"/>
      <c r="C775" s="21"/>
      <c r="D775" s="21"/>
      <c r="E775" s="21"/>
      <c r="F775" s="21"/>
      <c r="G775" s="21"/>
      <c r="H775" s="21"/>
      <c r="I775" s="21"/>
      <c r="J775" s="21"/>
      <c r="K775" s="21"/>
      <c r="L775" s="21"/>
      <c r="M775" s="21"/>
      <c r="N775" s="21"/>
      <c r="O775" s="21"/>
      <c r="P775" s="21"/>
      <c r="Q775" s="19"/>
      <c r="R775" s="19"/>
      <c r="S775" s="19"/>
      <c r="T775" s="19"/>
      <c r="U775" s="19"/>
      <c r="V775" s="19"/>
      <c r="W775" s="19"/>
      <c r="X775" s="19"/>
      <c r="Y775" s="19"/>
      <c r="Z775" s="19"/>
    </row>
    <row r="776">
      <c r="A776" s="21"/>
      <c r="B776" s="21"/>
      <c r="C776" s="21"/>
      <c r="D776" s="21"/>
      <c r="E776" s="21"/>
      <c r="F776" s="21"/>
      <c r="G776" s="21"/>
      <c r="H776" s="21"/>
      <c r="I776" s="21"/>
      <c r="J776" s="21"/>
      <c r="K776" s="21"/>
      <c r="L776" s="21"/>
      <c r="M776" s="21"/>
      <c r="N776" s="21"/>
      <c r="O776" s="21"/>
      <c r="P776" s="21"/>
      <c r="Q776" s="19"/>
      <c r="R776" s="19"/>
      <c r="S776" s="19"/>
      <c r="T776" s="19"/>
      <c r="U776" s="19"/>
      <c r="V776" s="19"/>
      <c r="W776" s="19"/>
      <c r="X776" s="19"/>
      <c r="Y776" s="19"/>
      <c r="Z776" s="19"/>
    </row>
    <row r="777">
      <c r="A777" s="21"/>
      <c r="B777" s="21"/>
      <c r="C777" s="21"/>
      <c r="D777" s="21"/>
      <c r="E777" s="21"/>
      <c r="F777" s="21"/>
      <c r="G777" s="21"/>
      <c r="H777" s="21"/>
      <c r="I777" s="21"/>
      <c r="J777" s="21"/>
      <c r="K777" s="21"/>
      <c r="L777" s="21"/>
      <c r="M777" s="21"/>
      <c r="N777" s="21"/>
      <c r="O777" s="21"/>
      <c r="P777" s="21"/>
      <c r="Q777" s="19"/>
      <c r="R777" s="19"/>
      <c r="S777" s="19"/>
      <c r="T777" s="19"/>
      <c r="U777" s="19"/>
      <c r="V777" s="19"/>
      <c r="W777" s="19"/>
      <c r="X777" s="19"/>
      <c r="Y777" s="19"/>
      <c r="Z777" s="19"/>
    </row>
    <row r="778">
      <c r="A778" s="21"/>
      <c r="B778" s="21"/>
      <c r="C778" s="21"/>
      <c r="D778" s="21"/>
      <c r="E778" s="21"/>
      <c r="F778" s="21"/>
      <c r="G778" s="21"/>
      <c r="H778" s="21"/>
      <c r="I778" s="21"/>
      <c r="J778" s="21"/>
      <c r="K778" s="21"/>
      <c r="L778" s="21"/>
      <c r="M778" s="21"/>
      <c r="N778" s="21"/>
      <c r="O778" s="21"/>
      <c r="P778" s="21"/>
      <c r="Q778" s="19"/>
      <c r="R778" s="19"/>
      <c r="S778" s="19"/>
      <c r="T778" s="19"/>
      <c r="U778" s="19"/>
      <c r="V778" s="19"/>
      <c r="W778" s="19"/>
      <c r="X778" s="19"/>
      <c r="Y778" s="19"/>
      <c r="Z778" s="19"/>
    </row>
    <row r="779">
      <c r="A779" s="21"/>
      <c r="B779" s="21"/>
      <c r="C779" s="21"/>
      <c r="D779" s="21"/>
      <c r="E779" s="21"/>
      <c r="F779" s="21"/>
      <c r="G779" s="21"/>
      <c r="H779" s="21"/>
      <c r="I779" s="21"/>
      <c r="J779" s="21"/>
      <c r="K779" s="21"/>
      <c r="L779" s="21"/>
      <c r="M779" s="21"/>
      <c r="N779" s="21"/>
      <c r="O779" s="21"/>
      <c r="P779" s="21"/>
      <c r="Q779" s="19"/>
      <c r="R779" s="19"/>
      <c r="S779" s="19"/>
      <c r="T779" s="19"/>
      <c r="U779" s="19"/>
      <c r="V779" s="19"/>
      <c r="W779" s="19"/>
      <c r="X779" s="19"/>
      <c r="Y779" s="19"/>
      <c r="Z779" s="19"/>
    </row>
    <row r="780">
      <c r="A780" s="21"/>
      <c r="B780" s="21"/>
      <c r="C780" s="21"/>
      <c r="D780" s="21"/>
      <c r="E780" s="21"/>
      <c r="F780" s="21"/>
      <c r="G780" s="21"/>
      <c r="H780" s="21"/>
      <c r="I780" s="21"/>
      <c r="J780" s="21"/>
      <c r="K780" s="21"/>
      <c r="L780" s="21"/>
      <c r="M780" s="21"/>
      <c r="N780" s="21"/>
      <c r="O780" s="21"/>
      <c r="P780" s="21"/>
      <c r="Q780" s="19"/>
      <c r="R780" s="19"/>
      <c r="S780" s="19"/>
      <c r="T780" s="19"/>
      <c r="U780" s="19"/>
      <c r="V780" s="19"/>
      <c r="W780" s="19"/>
      <c r="X780" s="19"/>
      <c r="Y780" s="19"/>
      <c r="Z780" s="19"/>
    </row>
    <row r="781">
      <c r="A781" s="21"/>
      <c r="B781" s="21"/>
      <c r="C781" s="21"/>
      <c r="D781" s="21"/>
      <c r="E781" s="21"/>
      <c r="F781" s="21"/>
      <c r="G781" s="21"/>
      <c r="H781" s="21"/>
      <c r="I781" s="21"/>
      <c r="J781" s="21"/>
      <c r="K781" s="21"/>
      <c r="L781" s="21"/>
      <c r="M781" s="21"/>
      <c r="N781" s="21"/>
      <c r="O781" s="21"/>
      <c r="P781" s="21"/>
      <c r="Q781" s="19"/>
      <c r="R781" s="19"/>
      <c r="S781" s="19"/>
      <c r="T781" s="19"/>
      <c r="U781" s="19"/>
      <c r="V781" s="19"/>
      <c r="W781" s="19"/>
      <c r="X781" s="19"/>
      <c r="Y781" s="19"/>
      <c r="Z781" s="19"/>
    </row>
    <row r="782">
      <c r="A782" s="21"/>
      <c r="B782" s="21"/>
      <c r="C782" s="21"/>
      <c r="D782" s="21"/>
      <c r="E782" s="21"/>
      <c r="F782" s="21"/>
      <c r="G782" s="21"/>
      <c r="H782" s="21"/>
      <c r="I782" s="21"/>
      <c r="J782" s="21"/>
      <c r="K782" s="21"/>
      <c r="L782" s="21"/>
      <c r="M782" s="21"/>
      <c r="N782" s="21"/>
      <c r="O782" s="21"/>
      <c r="P782" s="21"/>
      <c r="Q782" s="19"/>
      <c r="R782" s="19"/>
      <c r="S782" s="19"/>
      <c r="T782" s="19"/>
      <c r="U782" s="19"/>
      <c r="V782" s="19"/>
      <c r="W782" s="19"/>
      <c r="X782" s="19"/>
      <c r="Y782" s="19"/>
      <c r="Z782" s="19"/>
    </row>
    <row r="783">
      <c r="A783" s="21"/>
      <c r="B783" s="21"/>
      <c r="C783" s="21"/>
      <c r="D783" s="21"/>
      <c r="E783" s="21"/>
      <c r="F783" s="21"/>
      <c r="G783" s="21"/>
      <c r="H783" s="21"/>
      <c r="I783" s="21"/>
      <c r="J783" s="21"/>
      <c r="K783" s="21"/>
      <c r="L783" s="21"/>
      <c r="M783" s="21"/>
      <c r="N783" s="21"/>
      <c r="O783" s="21"/>
      <c r="P783" s="21"/>
      <c r="Q783" s="19"/>
      <c r="R783" s="19"/>
      <c r="S783" s="19"/>
      <c r="T783" s="19"/>
      <c r="U783" s="19"/>
      <c r="V783" s="19"/>
      <c r="W783" s="19"/>
      <c r="X783" s="19"/>
      <c r="Y783" s="19"/>
      <c r="Z783" s="19"/>
    </row>
    <row r="784">
      <c r="A784" s="21"/>
      <c r="B784" s="21"/>
      <c r="C784" s="21"/>
      <c r="D784" s="21"/>
      <c r="E784" s="21"/>
      <c r="F784" s="21"/>
      <c r="G784" s="21"/>
      <c r="H784" s="21"/>
      <c r="I784" s="21"/>
      <c r="J784" s="21"/>
      <c r="K784" s="21"/>
      <c r="L784" s="21"/>
      <c r="M784" s="21"/>
      <c r="N784" s="21"/>
      <c r="O784" s="21"/>
      <c r="P784" s="21"/>
      <c r="Q784" s="19"/>
      <c r="R784" s="19"/>
      <c r="S784" s="19"/>
      <c r="T784" s="19"/>
      <c r="U784" s="19"/>
      <c r="V784" s="19"/>
      <c r="W784" s="19"/>
      <c r="X784" s="19"/>
      <c r="Y784" s="19"/>
      <c r="Z784" s="19"/>
    </row>
    <row r="785">
      <c r="A785" s="21"/>
      <c r="B785" s="21"/>
      <c r="C785" s="21"/>
      <c r="D785" s="21"/>
      <c r="E785" s="21"/>
      <c r="F785" s="21"/>
      <c r="G785" s="21"/>
      <c r="H785" s="21"/>
      <c r="I785" s="21"/>
      <c r="J785" s="21"/>
      <c r="K785" s="21"/>
      <c r="L785" s="21"/>
      <c r="M785" s="21"/>
      <c r="N785" s="21"/>
      <c r="O785" s="21"/>
      <c r="P785" s="21"/>
      <c r="Q785" s="19"/>
      <c r="R785" s="19"/>
      <c r="S785" s="19"/>
      <c r="T785" s="19"/>
      <c r="U785" s="19"/>
      <c r="V785" s="19"/>
      <c r="W785" s="19"/>
      <c r="X785" s="19"/>
      <c r="Y785" s="19"/>
      <c r="Z785" s="19"/>
    </row>
    <row r="786">
      <c r="A786" s="21"/>
      <c r="B786" s="21"/>
      <c r="C786" s="21"/>
      <c r="D786" s="21"/>
      <c r="E786" s="21"/>
      <c r="F786" s="21"/>
      <c r="G786" s="21"/>
      <c r="H786" s="21"/>
      <c r="I786" s="21"/>
      <c r="J786" s="21"/>
      <c r="K786" s="21"/>
      <c r="L786" s="21"/>
      <c r="M786" s="21"/>
      <c r="N786" s="21"/>
      <c r="O786" s="21"/>
      <c r="P786" s="21"/>
      <c r="Q786" s="19"/>
      <c r="R786" s="19"/>
      <c r="S786" s="19"/>
      <c r="T786" s="19"/>
      <c r="U786" s="19"/>
      <c r="V786" s="19"/>
      <c r="W786" s="19"/>
      <c r="X786" s="19"/>
      <c r="Y786" s="19"/>
      <c r="Z786" s="19"/>
    </row>
    <row r="787">
      <c r="A787" s="21"/>
      <c r="B787" s="21"/>
      <c r="C787" s="21"/>
      <c r="D787" s="21"/>
      <c r="E787" s="21"/>
      <c r="F787" s="21"/>
      <c r="G787" s="21"/>
      <c r="H787" s="21"/>
      <c r="I787" s="21"/>
      <c r="J787" s="21"/>
      <c r="K787" s="21"/>
      <c r="L787" s="21"/>
      <c r="M787" s="21"/>
      <c r="N787" s="21"/>
      <c r="O787" s="21"/>
      <c r="P787" s="21"/>
      <c r="Q787" s="19"/>
      <c r="R787" s="19"/>
      <c r="S787" s="19"/>
      <c r="T787" s="19"/>
      <c r="U787" s="19"/>
      <c r="V787" s="19"/>
      <c r="W787" s="19"/>
      <c r="X787" s="19"/>
      <c r="Y787" s="19"/>
      <c r="Z787" s="19"/>
    </row>
    <row r="788">
      <c r="A788" s="21"/>
      <c r="B788" s="21"/>
      <c r="C788" s="21"/>
      <c r="D788" s="21"/>
      <c r="E788" s="21"/>
      <c r="F788" s="21"/>
      <c r="G788" s="21"/>
      <c r="H788" s="21"/>
      <c r="I788" s="21"/>
      <c r="J788" s="21"/>
      <c r="K788" s="21"/>
      <c r="L788" s="21"/>
      <c r="M788" s="21"/>
      <c r="N788" s="21"/>
      <c r="O788" s="21"/>
      <c r="P788" s="21"/>
      <c r="Q788" s="19"/>
      <c r="R788" s="19"/>
      <c r="S788" s="19"/>
      <c r="T788" s="19"/>
      <c r="U788" s="19"/>
      <c r="V788" s="19"/>
      <c r="W788" s="19"/>
      <c r="X788" s="19"/>
      <c r="Y788" s="19"/>
      <c r="Z788" s="19"/>
    </row>
    <row r="789">
      <c r="A789" s="21"/>
      <c r="B789" s="21"/>
      <c r="C789" s="21"/>
      <c r="D789" s="21"/>
      <c r="E789" s="21"/>
      <c r="F789" s="21"/>
      <c r="G789" s="21"/>
      <c r="H789" s="21"/>
      <c r="I789" s="21"/>
      <c r="J789" s="21"/>
      <c r="K789" s="21"/>
      <c r="L789" s="21"/>
      <c r="M789" s="21"/>
      <c r="N789" s="21"/>
      <c r="O789" s="21"/>
      <c r="P789" s="21"/>
      <c r="Q789" s="19"/>
      <c r="R789" s="19"/>
      <c r="S789" s="19"/>
      <c r="T789" s="19"/>
      <c r="U789" s="19"/>
      <c r="V789" s="19"/>
      <c r="W789" s="19"/>
      <c r="X789" s="19"/>
      <c r="Y789" s="19"/>
      <c r="Z789" s="19"/>
    </row>
    <row r="790">
      <c r="A790" s="21"/>
      <c r="B790" s="21"/>
      <c r="C790" s="21"/>
      <c r="D790" s="21"/>
      <c r="E790" s="21"/>
      <c r="F790" s="21"/>
      <c r="G790" s="21"/>
      <c r="H790" s="21"/>
      <c r="I790" s="21"/>
      <c r="J790" s="21"/>
      <c r="K790" s="21"/>
      <c r="L790" s="21"/>
      <c r="M790" s="21"/>
      <c r="N790" s="21"/>
      <c r="O790" s="21"/>
      <c r="P790" s="21"/>
      <c r="Q790" s="19"/>
      <c r="R790" s="19"/>
      <c r="S790" s="19"/>
      <c r="T790" s="19"/>
      <c r="U790" s="19"/>
      <c r="V790" s="19"/>
      <c r="W790" s="19"/>
      <c r="X790" s="19"/>
      <c r="Y790" s="19"/>
      <c r="Z790" s="19"/>
    </row>
    <row r="791">
      <c r="A791" s="21"/>
      <c r="B791" s="21"/>
      <c r="C791" s="21"/>
      <c r="D791" s="21"/>
      <c r="E791" s="21"/>
      <c r="F791" s="21"/>
      <c r="G791" s="21"/>
      <c r="H791" s="21"/>
      <c r="I791" s="21"/>
      <c r="J791" s="21"/>
      <c r="K791" s="21"/>
      <c r="L791" s="21"/>
      <c r="M791" s="21"/>
      <c r="N791" s="21"/>
      <c r="O791" s="21"/>
      <c r="P791" s="21"/>
      <c r="Q791" s="19"/>
      <c r="R791" s="19"/>
      <c r="S791" s="19"/>
      <c r="T791" s="19"/>
      <c r="U791" s="19"/>
      <c r="V791" s="19"/>
      <c r="W791" s="19"/>
      <c r="X791" s="19"/>
      <c r="Y791" s="19"/>
      <c r="Z791" s="19"/>
    </row>
    <row r="792">
      <c r="A792" s="21"/>
      <c r="B792" s="21"/>
      <c r="C792" s="21"/>
      <c r="D792" s="21"/>
      <c r="E792" s="21"/>
      <c r="F792" s="21"/>
      <c r="G792" s="21"/>
      <c r="H792" s="21"/>
      <c r="I792" s="21"/>
      <c r="J792" s="21"/>
      <c r="K792" s="21"/>
      <c r="L792" s="21"/>
      <c r="M792" s="21"/>
      <c r="N792" s="21"/>
      <c r="O792" s="21"/>
      <c r="P792" s="21"/>
      <c r="Q792" s="19"/>
      <c r="R792" s="19"/>
      <c r="S792" s="19"/>
      <c r="T792" s="19"/>
      <c r="U792" s="19"/>
      <c r="V792" s="19"/>
      <c r="W792" s="19"/>
      <c r="X792" s="19"/>
      <c r="Y792" s="19"/>
      <c r="Z792" s="19"/>
    </row>
    <row r="793">
      <c r="A793" s="21"/>
      <c r="B793" s="21"/>
      <c r="C793" s="21"/>
      <c r="D793" s="21"/>
      <c r="E793" s="21"/>
      <c r="F793" s="21"/>
      <c r="G793" s="21"/>
      <c r="H793" s="21"/>
      <c r="I793" s="21"/>
      <c r="J793" s="21"/>
      <c r="K793" s="21"/>
      <c r="L793" s="21"/>
      <c r="M793" s="21"/>
      <c r="N793" s="21"/>
      <c r="O793" s="21"/>
      <c r="P793" s="21"/>
      <c r="Q793" s="19"/>
      <c r="R793" s="19"/>
      <c r="S793" s="19"/>
      <c r="T793" s="19"/>
      <c r="U793" s="19"/>
      <c r="V793" s="19"/>
      <c r="W793" s="19"/>
      <c r="X793" s="19"/>
      <c r="Y793" s="19"/>
      <c r="Z793" s="19"/>
    </row>
    <row r="794">
      <c r="A794" s="21"/>
      <c r="B794" s="21"/>
      <c r="C794" s="21"/>
      <c r="D794" s="21"/>
      <c r="E794" s="21"/>
      <c r="F794" s="21"/>
      <c r="G794" s="21"/>
      <c r="H794" s="21"/>
      <c r="I794" s="21"/>
      <c r="J794" s="21"/>
      <c r="K794" s="21"/>
      <c r="L794" s="21"/>
      <c r="M794" s="21"/>
      <c r="N794" s="21"/>
      <c r="O794" s="21"/>
      <c r="P794" s="21"/>
      <c r="Q794" s="19"/>
      <c r="R794" s="19"/>
      <c r="S794" s="19"/>
      <c r="T794" s="19"/>
      <c r="U794" s="19"/>
      <c r="V794" s="19"/>
      <c r="W794" s="19"/>
      <c r="X794" s="19"/>
      <c r="Y794" s="19"/>
      <c r="Z794" s="19"/>
    </row>
    <row r="795">
      <c r="A795" s="21"/>
      <c r="B795" s="21"/>
      <c r="C795" s="21"/>
      <c r="D795" s="21"/>
      <c r="E795" s="21"/>
      <c r="F795" s="21"/>
      <c r="G795" s="21"/>
      <c r="H795" s="21"/>
      <c r="I795" s="21"/>
      <c r="J795" s="21"/>
      <c r="K795" s="21"/>
      <c r="L795" s="21"/>
      <c r="M795" s="21"/>
      <c r="N795" s="21"/>
      <c r="O795" s="21"/>
      <c r="P795" s="21"/>
      <c r="Q795" s="19"/>
      <c r="R795" s="19"/>
      <c r="S795" s="19"/>
      <c r="T795" s="19"/>
      <c r="U795" s="19"/>
      <c r="V795" s="19"/>
      <c r="W795" s="19"/>
      <c r="X795" s="19"/>
      <c r="Y795" s="19"/>
      <c r="Z795" s="19"/>
    </row>
    <row r="796">
      <c r="A796" s="21"/>
      <c r="B796" s="21"/>
      <c r="C796" s="21"/>
      <c r="D796" s="21"/>
      <c r="E796" s="21"/>
      <c r="F796" s="21"/>
      <c r="G796" s="21"/>
      <c r="H796" s="21"/>
      <c r="I796" s="21"/>
      <c r="J796" s="21"/>
      <c r="K796" s="21"/>
      <c r="L796" s="21"/>
      <c r="M796" s="21"/>
      <c r="N796" s="21"/>
      <c r="O796" s="21"/>
      <c r="P796" s="21"/>
      <c r="Q796" s="19"/>
      <c r="R796" s="19"/>
      <c r="S796" s="19"/>
      <c r="T796" s="19"/>
      <c r="U796" s="19"/>
      <c r="V796" s="19"/>
      <c r="W796" s="19"/>
      <c r="X796" s="19"/>
      <c r="Y796" s="19"/>
      <c r="Z796" s="19"/>
    </row>
    <row r="797">
      <c r="A797" s="21"/>
      <c r="B797" s="21"/>
      <c r="C797" s="21"/>
      <c r="D797" s="21"/>
      <c r="E797" s="21"/>
      <c r="F797" s="21"/>
      <c r="G797" s="21"/>
      <c r="H797" s="21"/>
      <c r="I797" s="21"/>
      <c r="J797" s="21"/>
      <c r="K797" s="21"/>
      <c r="L797" s="21"/>
      <c r="M797" s="21"/>
      <c r="N797" s="21"/>
      <c r="O797" s="21"/>
      <c r="P797" s="21"/>
      <c r="Q797" s="19"/>
      <c r="R797" s="19"/>
      <c r="S797" s="19"/>
      <c r="T797" s="19"/>
      <c r="U797" s="19"/>
      <c r="V797" s="19"/>
      <c r="W797" s="19"/>
      <c r="X797" s="19"/>
      <c r="Y797" s="19"/>
      <c r="Z797" s="19"/>
    </row>
    <row r="798">
      <c r="A798" s="21"/>
      <c r="B798" s="21"/>
      <c r="C798" s="21"/>
      <c r="D798" s="21"/>
      <c r="E798" s="21"/>
      <c r="F798" s="21"/>
      <c r="G798" s="21"/>
      <c r="H798" s="21"/>
      <c r="I798" s="21"/>
      <c r="J798" s="21"/>
      <c r="K798" s="21"/>
      <c r="L798" s="21"/>
      <c r="M798" s="21"/>
      <c r="N798" s="21"/>
      <c r="O798" s="21"/>
      <c r="P798" s="21"/>
      <c r="Q798" s="19"/>
      <c r="R798" s="19"/>
      <c r="S798" s="19"/>
      <c r="T798" s="19"/>
      <c r="U798" s="19"/>
      <c r="V798" s="19"/>
      <c r="W798" s="19"/>
      <c r="X798" s="19"/>
      <c r="Y798" s="19"/>
      <c r="Z798" s="19"/>
    </row>
    <row r="799">
      <c r="A799" s="21"/>
      <c r="B799" s="21"/>
      <c r="C799" s="21"/>
      <c r="D799" s="21"/>
      <c r="E799" s="21"/>
      <c r="F799" s="21"/>
      <c r="G799" s="21"/>
      <c r="H799" s="21"/>
      <c r="I799" s="21"/>
      <c r="J799" s="21"/>
      <c r="K799" s="21"/>
      <c r="L799" s="21"/>
      <c r="M799" s="21"/>
      <c r="N799" s="21"/>
      <c r="O799" s="21"/>
      <c r="P799" s="21"/>
      <c r="Q799" s="19"/>
      <c r="R799" s="19"/>
      <c r="S799" s="19"/>
      <c r="T799" s="19"/>
      <c r="U799" s="19"/>
      <c r="V799" s="19"/>
      <c r="W799" s="19"/>
      <c r="X799" s="19"/>
      <c r="Y799" s="19"/>
      <c r="Z799" s="19"/>
    </row>
    <row r="800">
      <c r="A800" s="21"/>
      <c r="B800" s="21"/>
      <c r="C800" s="21"/>
      <c r="D800" s="21"/>
      <c r="E800" s="21"/>
      <c r="F800" s="21"/>
      <c r="G800" s="21"/>
      <c r="H800" s="21"/>
      <c r="I800" s="21"/>
      <c r="J800" s="21"/>
      <c r="K800" s="21"/>
      <c r="L800" s="21"/>
      <c r="M800" s="21"/>
      <c r="N800" s="21"/>
      <c r="O800" s="21"/>
      <c r="P800" s="21"/>
      <c r="Q800" s="19"/>
      <c r="R800" s="19"/>
      <c r="S800" s="19"/>
      <c r="T800" s="19"/>
      <c r="U800" s="19"/>
      <c r="V800" s="19"/>
      <c r="W800" s="19"/>
      <c r="X800" s="19"/>
      <c r="Y800" s="19"/>
      <c r="Z800" s="19"/>
    </row>
    <row r="801">
      <c r="A801" s="21"/>
      <c r="B801" s="21"/>
      <c r="C801" s="21"/>
      <c r="D801" s="21"/>
      <c r="E801" s="21"/>
      <c r="F801" s="21"/>
      <c r="G801" s="21"/>
      <c r="H801" s="21"/>
      <c r="I801" s="21"/>
      <c r="J801" s="21"/>
      <c r="K801" s="21"/>
      <c r="L801" s="21"/>
      <c r="M801" s="21"/>
      <c r="N801" s="21"/>
      <c r="O801" s="21"/>
      <c r="P801" s="21"/>
      <c r="Q801" s="19"/>
      <c r="R801" s="19"/>
      <c r="S801" s="19"/>
      <c r="T801" s="19"/>
      <c r="U801" s="19"/>
      <c r="V801" s="19"/>
      <c r="W801" s="19"/>
      <c r="X801" s="19"/>
      <c r="Y801" s="19"/>
      <c r="Z801" s="19"/>
    </row>
    <row r="802">
      <c r="A802" s="21"/>
      <c r="B802" s="21"/>
      <c r="C802" s="21"/>
      <c r="D802" s="21"/>
      <c r="E802" s="21"/>
      <c r="F802" s="21"/>
      <c r="G802" s="21"/>
      <c r="H802" s="21"/>
      <c r="I802" s="21"/>
      <c r="J802" s="21"/>
      <c r="K802" s="21"/>
      <c r="L802" s="21"/>
      <c r="M802" s="21"/>
      <c r="N802" s="21"/>
      <c r="O802" s="21"/>
      <c r="P802" s="21"/>
      <c r="Q802" s="19"/>
      <c r="R802" s="19"/>
      <c r="S802" s="19"/>
      <c r="T802" s="19"/>
      <c r="U802" s="19"/>
      <c r="V802" s="19"/>
      <c r="W802" s="19"/>
      <c r="X802" s="19"/>
      <c r="Y802" s="19"/>
      <c r="Z802" s="19"/>
    </row>
    <row r="803">
      <c r="A803" s="21"/>
      <c r="B803" s="21"/>
      <c r="C803" s="21"/>
      <c r="D803" s="21"/>
      <c r="E803" s="21"/>
      <c r="F803" s="21"/>
      <c r="G803" s="21"/>
      <c r="H803" s="21"/>
      <c r="I803" s="21"/>
      <c r="J803" s="21"/>
      <c r="K803" s="21"/>
      <c r="L803" s="21"/>
      <c r="M803" s="21"/>
      <c r="N803" s="21"/>
      <c r="O803" s="21"/>
      <c r="P803" s="21"/>
      <c r="Q803" s="19"/>
      <c r="R803" s="19"/>
      <c r="S803" s="19"/>
      <c r="T803" s="19"/>
      <c r="U803" s="19"/>
      <c r="V803" s="19"/>
      <c r="W803" s="19"/>
      <c r="X803" s="19"/>
      <c r="Y803" s="19"/>
      <c r="Z803" s="19"/>
    </row>
    <row r="804">
      <c r="A804" s="21"/>
      <c r="B804" s="21"/>
      <c r="C804" s="21"/>
      <c r="D804" s="21"/>
      <c r="E804" s="21"/>
      <c r="F804" s="21"/>
      <c r="G804" s="21"/>
      <c r="H804" s="21"/>
      <c r="I804" s="21"/>
      <c r="J804" s="21"/>
      <c r="K804" s="21"/>
      <c r="L804" s="21"/>
      <c r="M804" s="21"/>
      <c r="N804" s="21"/>
      <c r="O804" s="21"/>
      <c r="P804" s="21"/>
      <c r="Q804" s="19"/>
      <c r="R804" s="19"/>
      <c r="S804" s="19"/>
      <c r="T804" s="19"/>
      <c r="U804" s="19"/>
      <c r="V804" s="19"/>
      <c r="W804" s="19"/>
      <c r="X804" s="19"/>
      <c r="Y804" s="19"/>
      <c r="Z804" s="19"/>
    </row>
    <row r="805">
      <c r="A805" s="21"/>
      <c r="B805" s="21"/>
      <c r="C805" s="21"/>
      <c r="D805" s="21"/>
      <c r="E805" s="21"/>
      <c r="F805" s="21"/>
      <c r="G805" s="21"/>
      <c r="H805" s="21"/>
      <c r="I805" s="21"/>
      <c r="J805" s="21"/>
      <c r="K805" s="21"/>
      <c r="L805" s="21"/>
      <c r="M805" s="21"/>
      <c r="N805" s="21"/>
      <c r="O805" s="21"/>
      <c r="P805" s="21"/>
      <c r="Q805" s="19"/>
      <c r="R805" s="19"/>
      <c r="S805" s="19"/>
      <c r="T805" s="19"/>
      <c r="U805" s="19"/>
      <c r="V805" s="19"/>
      <c r="W805" s="19"/>
      <c r="X805" s="19"/>
      <c r="Y805" s="19"/>
      <c r="Z805" s="19"/>
    </row>
    <row r="806">
      <c r="A806" s="21"/>
      <c r="B806" s="21"/>
      <c r="C806" s="21"/>
      <c r="D806" s="21"/>
      <c r="E806" s="21"/>
      <c r="F806" s="21"/>
      <c r="G806" s="21"/>
      <c r="H806" s="21"/>
      <c r="I806" s="21"/>
      <c r="J806" s="21"/>
      <c r="K806" s="21"/>
      <c r="L806" s="21"/>
      <c r="M806" s="21"/>
      <c r="N806" s="21"/>
      <c r="O806" s="21"/>
      <c r="P806" s="21"/>
      <c r="Q806" s="19"/>
      <c r="R806" s="19"/>
      <c r="S806" s="19"/>
      <c r="T806" s="19"/>
      <c r="U806" s="19"/>
      <c r="V806" s="19"/>
      <c r="W806" s="19"/>
      <c r="X806" s="19"/>
      <c r="Y806" s="19"/>
      <c r="Z806" s="19"/>
    </row>
    <row r="807">
      <c r="A807" s="21"/>
      <c r="B807" s="21"/>
      <c r="C807" s="21"/>
      <c r="D807" s="21"/>
      <c r="E807" s="21"/>
      <c r="F807" s="21"/>
      <c r="G807" s="21"/>
      <c r="H807" s="21"/>
      <c r="I807" s="21"/>
      <c r="J807" s="21"/>
      <c r="K807" s="21"/>
      <c r="L807" s="21"/>
      <c r="M807" s="21"/>
      <c r="N807" s="21"/>
      <c r="O807" s="21"/>
      <c r="P807" s="21"/>
      <c r="Q807" s="19"/>
      <c r="R807" s="19"/>
      <c r="S807" s="19"/>
      <c r="T807" s="19"/>
      <c r="U807" s="19"/>
      <c r="V807" s="19"/>
      <c r="W807" s="19"/>
      <c r="X807" s="19"/>
      <c r="Y807" s="19"/>
      <c r="Z807" s="19"/>
    </row>
    <row r="808">
      <c r="A808" s="21"/>
      <c r="B808" s="21"/>
      <c r="C808" s="21"/>
      <c r="D808" s="21"/>
      <c r="E808" s="21"/>
      <c r="F808" s="21"/>
      <c r="G808" s="21"/>
      <c r="H808" s="21"/>
      <c r="I808" s="21"/>
      <c r="J808" s="21"/>
      <c r="K808" s="21"/>
      <c r="L808" s="21"/>
      <c r="M808" s="21"/>
      <c r="N808" s="21"/>
      <c r="O808" s="21"/>
      <c r="P808" s="21"/>
      <c r="Q808" s="19"/>
      <c r="R808" s="19"/>
      <c r="S808" s="19"/>
      <c r="T808" s="19"/>
      <c r="U808" s="19"/>
      <c r="V808" s="19"/>
      <c r="W808" s="19"/>
      <c r="X808" s="19"/>
      <c r="Y808" s="19"/>
      <c r="Z808" s="19"/>
    </row>
    <row r="809">
      <c r="A809" s="21"/>
      <c r="B809" s="21"/>
      <c r="C809" s="21"/>
      <c r="D809" s="21"/>
      <c r="E809" s="21"/>
      <c r="F809" s="21"/>
      <c r="G809" s="21"/>
      <c r="H809" s="21"/>
      <c r="I809" s="21"/>
      <c r="J809" s="21"/>
      <c r="K809" s="21"/>
      <c r="L809" s="21"/>
      <c r="M809" s="21"/>
      <c r="N809" s="21"/>
      <c r="O809" s="21"/>
      <c r="P809" s="21"/>
      <c r="Q809" s="19"/>
      <c r="R809" s="19"/>
      <c r="S809" s="19"/>
      <c r="T809" s="19"/>
      <c r="U809" s="19"/>
      <c r="V809" s="19"/>
      <c r="W809" s="19"/>
      <c r="X809" s="19"/>
      <c r="Y809" s="19"/>
      <c r="Z809" s="19"/>
    </row>
    <row r="810">
      <c r="A810" s="21"/>
      <c r="B810" s="21"/>
      <c r="C810" s="21"/>
      <c r="D810" s="21"/>
      <c r="E810" s="21"/>
      <c r="F810" s="21"/>
      <c r="G810" s="21"/>
      <c r="H810" s="21"/>
      <c r="I810" s="21"/>
      <c r="J810" s="21"/>
      <c r="K810" s="21"/>
      <c r="L810" s="21"/>
      <c r="M810" s="21"/>
      <c r="N810" s="21"/>
      <c r="O810" s="21"/>
      <c r="P810" s="21"/>
      <c r="Q810" s="19"/>
      <c r="R810" s="19"/>
      <c r="S810" s="19"/>
      <c r="T810" s="19"/>
      <c r="U810" s="19"/>
      <c r="V810" s="19"/>
      <c r="W810" s="19"/>
      <c r="X810" s="19"/>
      <c r="Y810" s="19"/>
      <c r="Z810" s="19"/>
    </row>
    <row r="811">
      <c r="A811" s="21"/>
      <c r="B811" s="21"/>
      <c r="C811" s="21"/>
      <c r="D811" s="21"/>
      <c r="E811" s="21"/>
      <c r="F811" s="21"/>
      <c r="G811" s="21"/>
      <c r="H811" s="21"/>
      <c r="I811" s="21"/>
      <c r="J811" s="21"/>
      <c r="K811" s="21"/>
      <c r="L811" s="21"/>
      <c r="M811" s="21"/>
      <c r="N811" s="21"/>
      <c r="O811" s="21"/>
      <c r="P811" s="21"/>
      <c r="Q811" s="19"/>
      <c r="R811" s="19"/>
      <c r="S811" s="19"/>
      <c r="T811" s="19"/>
      <c r="U811" s="19"/>
      <c r="V811" s="19"/>
      <c r="W811" s="19"/>
      <c r="X811" s="19"/>
      <c r="Y811" s="19"/>
      <c r="Z811" s="19"/>
    </row>
    <row r="812">
      <c r="A812" s="21"/>
      <c r="B812" s="21"/>
      <c r="C812" s="21"/>
      <c r="D812" s="21"/>
      <c r="E812" s="21"/>
      <c r="F812" s="21"/>
      <c r="G812" s="21"/>
      <c r="H812" s="21"/>
      <c r="I812" s="21"/>
      <c r="J812" s="21"/>
      <c r="K812" s="21"/>
      <c r="L812" s="21"/>
      <c r="M812" s="21"/>
      <c r="N812" s="21"/>
      <c r="O812" s="21"/>
      <c r="P812" s="21"/>
      <c r="Q812" s="19"/>
      <c r="R812" s="19"/>
      <c r="S812" s="19"/>
      <c r="T812" s="19"/>
      <c r="U812" s="19"/>
      <c r="V812" s="19"/>
      <c r="W812" s="19"/>
      <c r="X812" s="19"/>
      <c r="Y812" s="19"/>
      <c r="Z812" s="19"/>
    </row>
    <row r="813">
      <c r="A813" s="21"/>
      <c r="B813" s="21"/>
      <c r="C813" s="21"/>
      <c r="D813" s="21"/>
      <c r="E813" s="21"/>
      <c r="F813" s="21"/>
      <c r="G813" s="21"/>
      <c r="H813" s="21"/>
      <c r="I813" s="21"/>
      <c r="J813" s="21"/>
      <c r="K813" s="21"/>
      <c r="L813" s="21"/>
      <c r="M813" s="21"/>
      <c r="N813" s="21"/>
      <c r="O813" s="21"/>
      <c r="P813" s="21"/>
      <c r="Q813" s="19"/>
      <c r="R813" s="19"/>
      <c r="S813" s="19"/>
      <c r="T813" s="19"/>
      <c r="U813" s="19"/>
      <c r="V813" s="19"/>
      <c r="W813" s="19"/>
      <c r="X813" s="19"/>
      <c r="Y813" s="19"/>
      <c r="Z813" s="19"/>
    </row>
    <row r="814">
      <c r="A814" s="21"/>
      <c r="B814" s="21"/>
      <c r="C814" s="21"/>
      <c r="D814" s="21"/>
      <c r="E814" s="21"/>
      <c r="F814" s="21"/>
      <c r="G814" s="21"/>
      <c r="H814" s="21"/>
      <c r="I814" s="21"/>
      <c r="J814" s="21"/>
      <c r="K814" s="21"/>
      <c r="L814" s="21"/>
      <c r="M814" s="21"/>
      <c r="N814" s="21"/>
      <c r="O814" s="21"/>
      <c r="P814" s="21"/>
      <c r="Q814" s="19"/>
      <c r="R814" s="19"/>
      <c r="S814" s="19"/>
      <c r="T814" s="19"/>
      <c r="U814" s="19"/>
      <c r="V814" s="19"/>
      <c r="W814" s="19"/>
      <c r="X814" s="19"/>
      <c r="Y814" s="19"/>
      <c r="Z814" s="19"/>
    </row>
    <row r="815">
      <c r="A815" s="21"/>
      <c r="B815" s="21"/>
      <c r="C815" s="21"/>
      <c r="D815" s="21"/>
      <c r="E815" s="21"/>
      <c r="F815" s="21"/>
      <c r="G815" s="21"/>
      <c r="H815" s="21"/>
      <c r="I815" s="21"/>
      <c r="J815" s="21"/>
      <c r="K815" s="21"/>
      <c r="L815" s="21"/>
      <c r="M815" s="21"/>
      <c r="N815" s="21"/>
      <c r="O815" s="21"/>
      <c r="P815" s="21"/>
      <c r="Q815" s="19"/>
      <c r="R815" s="19"/>
      <c r="S815" s="19"/>
      <c r="T815" s="19"/>
      <c r="U815" s="19"/>
      <c r="V815" s="19"/>
      <c r="W815" s="19"/>
      <c r="X815" s="19"/>
      <c r="Y815" s="19"/>
      <c r="Z815" s="19"/>
    </row>
    <row r="816">
      <c r="A816" s="21"/>
      <c r="B816" s="21"/>
      <c r="C816" s="21"/>
      <c r="D816" s="21"/>
      <c r="E816" s="21"/>
      <c r="F816" s="21"/>
      <c r="G816" s="21"/>
      <c r="H816" s="21"/>
      <c r="I816" s="21"/>
      <c r="J816" s="21"/>
      <c r="K816" s="21"/>
      <c r="L816" s="21"/>
      <c r="M816" s="21"/>
      <c r="N816" s="21"/>
      <c r="O816" s="21"/>
      <c r="P816" s="21"/>
      <c r="Q816" s="19"/>
      <c r="R816" s="19"/>
      <c r="S816" s="19"/>
      <c r="T816" s="19"/>
      <c r="U816" s="19"/>
      <c r="V816" s="19"/>
      <c r="W816" s="19"/>
      <c r="X816" s="19"/>
      <c r="Y816" s="19"/>
      <c r="Z816" s="19"/>
    </row>
    <row r="817">
      <c r="A817" s="21"/>
      <c r="B817" s="21"/>
      <c r="C817" s="21"/>
      <c r="D817" s="21"/>
      <c r="E817" s="21"/>
      <c r="F817" s="21"/>
      <c r="G817" s="21"/>
      <c r="H817" s="21"/>
      <c r="I817" s="21"/>
      <c r="J817" s="21"/>
      <c r="K817" s="21"/>
      <c r="L817" s="21"/>
      <c r="M817" s="21"/>
      <c r="N817" s="21"/>
      <c r="O817" s="21"/>
      <c r="P817" s="21"/>
      <c r="Q817" s="19"/>
      <c r="R817" s="19"/>
      <c r="S817" s="19"/>
      <c r="T817" s="19"/>
      <c r="U817" s="19"/>
      <c r="V817" s="19"/>
      <c r="W817" s="19"/>
      <c r="X817" s="19"/>
      <c r="Y817" s="19"/>
      <c r="Z817" s="19"/>
    </row>
    <row r="818">
      <c r="A818" s="21"/>
      <c r="B818" s="21"/>
      <c r="C818" s="21"/>
      <c r="D818" s="21"/>
      <c r="E818" s="21"/>
      <c r="F818" s="21"/>
      <c r="G818" s="21"/>
      <c r="H818" s="21"/>
      <c r="I818" s="21"/>
      <c r="J818" s="21"/>
      <c r="K818" s="21"/>
      <c r="L818" s="21"/>
      <c r="M818" s="21"/>
      <c r="N818" s="21"/>
      <c r="O818" s="21"/>
      <c r="P818" s="21"/>
      <c r="Q818" s="19"/>
      <c r="R818" s="19"/>
      <c r="S818" s="19"/>
      <c r="T818" s="19"/>
      <c r="U818" s="19"/>
      <c r="V818" s="19"/>
      <c r="W818" s="19"/>
      <c r="X818" s="19"/>
      <c r="Y818" s="19"/>
      <c r="Z818" s="19"/>
    </row>
    <row r="819">
      <c r="A819" s="21"/>
      <c r="B819" s="21"/>
      <c r="C819" s="21"/>
      <c r="D819" s="21"/>
      <c r="E819" s="21"/>
      <c r="F819" s="21"/>
      <c r="G819" s="21"/>
      <c r="H819" s="21"/>
      <c r="I819" s="21"/>
      <c r="J819" s="21"/>
      <c r="K819" s="21"/>
      <c r="L819" s="21"/>
      <c r="M819" s="21"/>
      <c r="N819" s="21"/>
      <c r="O819" s="21"/>
      <c r="P819" s="21"/>
      <c r="Q819" s="19"/>
      <c r="R819" s="19"/>
      <c r="S819" s="19"/>
      <c r="T819" s="19"/>
      <c r="U819" s="19"/>
      <c r="V819" s="19"/>
      <c r="W819" s="19"/>
      <c r="X819" s="19"/>
      <c r="Y819" s="19"/>
      <c r="Z819" s="19"/>
    </row>
    <row r="820">
      <c r="A820" s="21"/>
      <c r="B820" s="21"/>
      <c r="C820" s="21"/>
      <c r="D820" s="21"/>
      <c r="E820" s="21"/>
      <c r="F820" s="21"/>
      <c r="G820" s="21"/>
      <c r="H820" s="21"/>
      <c r="I820" s="21"/>
      <c r="J820" s="21"/>
      <c r="K820" s="21"/>
      <c r="L820" s="21"/>
      <c r="M820" s="21"/>
      <c r="N820" s="21"/>
      <c r="O820" s="21"/>
      <c r="P820" s="21"/>
      <c r="Q820" s="19"/>
      <c r="R820" s="19"/>
      <c r="S820" s="19"/>
      <c r="T820" s="19"/>
      <c r="U820" s="19"/>
      <c r="V820" s="19"/>
      <c r="W820" s="19"/>
      <c r="X820" s="19"/>
      <c r="Y820" s="19"/>
      <c r="Z820" s="19"/>
    </row>
    <row r="821">
      <c r="A821" s="21"/>
      <c r="B821" s="21"/>
      <c r="C821" s="21"/>
      <c r="D821" s="21"/>
      <c r="E821" s="21"/>
      <c r="F821" s="21"/>
      <c r="G821" s="21"/>
      <c r="H821" s="21"/>
      <c r="I821" s="21"/>
      <c r="J821" s="21"/>
      <c r="K821" s="21"/>
      <c r="L821" s="21"/>
      <c r="M821" s="21"/>
      <c r="N821" s="21"/>
      <c r="O821" s="21"/>
      <c r="P821" s="21"/>
      <c r="Q821" s="19"/>
      <c r="R821" s="19"/>
      <c r="S821" s="19"/>
      <c r="T821" s="19"/>
      <c r="U821" s="19"/>
      <c r="V821" s="19"/>
      <c r="W821" s="19"/>
      <c r="X821" s="19"/>
      <c r="Y821" s="19"/>
      <c r="Z821" s="19"/>
    </row>
    <row r="822">
      <c r="A822" s="21"/>
      <c r="B822" s="21"/>
      <c r="C822" s="21"/>
      <c r="D822" s="21"/>
      <c r="E822" s="21"/>
      <c r="F822" s="21"/>
      <c r="G822" s="21"/>
      <c r="H822" s="21"/>
      <c r="I822" s="21"/>
      <c r="J822" s="21"/>
      <c r="K822" s="21"/>
      <c r="L822" s="21"/>
      <c r="M822" s="21"/>
      <c r="N822" s="21"/>
      <c r="O822" s="21"/>
      <c r="P822" s="21"/>
      <c r="Q822" s="19"/>
      <c r="R822" s="19"/>
      <c r="S822" s="19"/>
      <c r="T822" s="19"/>
      <c r="U822" s="19"/>
      <c r="V822" s="19"/>
      <c r="W822" s="19"/>
      <c r="X822" s="19"/>
      <c r="Y822" s="19"/>
      <c r="Z822" s="19"/>
    </row>
    <row r="823">
      <c r="A823" s="21"/>
      <c r="B823" s="21"/>
      <c r="C823" s="21"/>
      <c r="D823" s="21"/>
      <c r="E823" s="21"/>
      <c r="F823" s="21"/>
      <c r="G823" s="21"/>
      <c r="H823" s="21"/>
      <c r="I823" s="21"/>
      <c r="J823" s="21"/>
      <c r="K823" s="21"/>
      <c r="L823" s="21"/>
      <c r="M823" s="21"/>
      <c r="N823" s="21"/>
      <c r="O823" s="21"/>
      <c r="P823" s="21"/>
      <c r="Q823" s="19"/>
      <c r="R823" s="19"/>
      <c r="S823" s="19"/>
      <c r="T823" s="19"/>
      <c r="U823" s="19"/>
      <c r="V823" s="19"/>
      <c r="W823" s="19"/>
      <c r="X823" s="19"/>
      <c r="Y823" s="19"/>
      <c r="Z823" s="19"/>
    </row>
    <row r="824">
      <c r="A824" s="21"/>
      <c r="B824" s="21"/>
      <c r="C824" s="21"/>
      <c r="D824" s="21"/>
      <c r="E824" s="21"/>
      <c r="F824" s="21"/>
      <c r="G824" s="21"/>
      <c r="H824" s="21"/>
      <c r="I824" s="21"/>
      <c r="J824" s="21"/>
      <c r="K824" s="21"/>
      <c r="L824" s="21"/>
      <c r="M824" s="21"/>
      <c r="N824" s="21"/>
      <c r="O824" s="21"/>
      <c r="P824" s="21"/>
      <c r="Q824" s="19"/>
      <c r="R824" s="19"/>
      <c r="S824" s="19"/>
      <c r="T824" s="19"/>
      <c r="U824" s="19"/>
      <c r="V824" s="19"/>
      <c r="W824" s="19"/>
      <c r="X824" s="19"/>
      <c r="Y824" s="19"/>
      <c r="Z824" s="19"/>
    </row>
    <row r="825">
      <c r="A825" s="21"/>
      <c r="B825" s="21"/>
      <c r="C825" s="21"/>
      <c r="D825" s="21"/>
      <c r="E825" s="21"/>
      <c r="F825" s="21"/>
      <c r="G825" s="21"/>
      <c r="H825" s="21"/>
      <c r="I825" s="21"/>
      <c r="J825" s="21"/>
      <c r="K825" s="21"/>
      <c r="L825" s="21"/>
      <c r="M825" s="21"/>
      <c r="N825" s="21"/>
      <c r="O825" s="21"/>
      <c r="P825" s="21"/>
      <c r="Q825" s="19"/>
      <c r="R825" s="19"/>
      <c r="S825" s="19"/>
      <c r="T825" s="19"/>
      <c r="U825" s="19"/>
      <c r="V825" s="19"/>
      <c r="W825" s="19"/>
      <c r="X825" s="19"/>
      <c r="Y825" s="19"/>
      <c r="Z825" s="19"/>
    </row>
    <row r="826">
      <c r="A826" s="21"/>
      <c r="B826" s="21"/>
      <c r="C826" s="21"/>
      <c r="D826" s="21"/>
      <c r="E826" s="21"/>
      <c r="F826" s="21"/>
      <c r="G826" s="21"/>
      <c r="H826" s="21"/>
      <c r="I826" s="21"/>
      <c r="J826" s="21"/>
      <c r="K826" s="21"/>
      <c r="L826" s="21"/>
      <c r="M826" s="21"/>
      <c r="N826" s="21"/>
      <c r="O826" s="21"/>
      <c r="P826" s="21"/>
      <c r="Q826" s="19"/>
      <c r="R826" s="19"/>
      <c r="S826" s="19"/>
      <c r="T826" s="19"/>
      <c r="U826" s="19"/>
      <c r="V826" s="19"/>
      <c r="W826" s="19"/>
      <c r="X826" s="19"/>
      <c r="Y826" s="19"/>
      <c r="Z826" s="19"/>
    </row>
    <row r="827">
      <c r="A827" s="21"/>
      <c r="B827" s="21"/>
      <c r="C827" s="21"/>
      <c r="D827" s="21"/>
      <c r="E827" s="21"/>
      <c r="F827" s="21"/>
      <c r="G827" s="21"/>
      <c r="H827" s="21"/>
      <c r="I827" s="21"/>
      <c r="J827" s="21"/>
      <c r="K827" s="21"/>
      <c r="L827" s="21"/>
      <c r="M827" s="21"/>
      <c r="N827" s="21"/>
      <c r="O827" s="21"/>
      <c r="P827" s="21"/>
      <c r="Q827" s="19"/>
      <c r="R827" s="19"/>
      <c r="S827" s="19"/>
      <c r="T827" s="19"/>
      <c r="U827" s="19"/>
      <c r="V827" s="19"/>
      <c r="W827" s="19"/>
      <c r="X827" s="19"/>
      <c r="Y827" s="19"/>
      <c r="Z827" s="19"/>
    </row>
    <row r="828">
      <c r="A828" s="21"/>
      <c r="B828" s="21"/>
      <c r="C828" s="21"/>
      <c r="D828" s="21"/>
      <c r="E828" s="21"/>
      <c r="F828" s="21"/>
      <c r="G828" s="21"/>
      <c r="H828" s="21"/>
      <c r="I828" s="21"/>
      <c r="J828" s="21"/>
      <c r="K828" s="21"/>
      <c r="L828" s="21"/>
      <c r="M828" s="21"/>
      <c r="N828" s="21"/>
      <c r="O828" s="21"/>
      <c r="P828" s="21"/>
      <c r="Q828" s="19"/>
      <c r="R828" s="19"/>
      <c r="S828" s="19"/>
      <c r="T828" s="19"/>
      <c r="U828" s="19"/>
      <c r="V828" s="19"/>
      <c r="W828" s="19"/>
      <c r="X828" s="19"/>
      <c r="Y828" s="19"/>
      <c r="Z828" s="19"/>
    </row>
    <row r="829">
      <c r="A829" s="21"/>
      <c r="B829" s="21"/>
      <c r="C829" s="21"/>
      <c r="D829" s="21"/>
      <c r="E829" s="21"/>
      <c r="F829" s="21"/>
      <c r="G829" s="21"/>
      <c r="H829" s="21"/>
      <c r="I829" s="21"/>
      <c r="J829" s="21"/>
      <c r="K829" s="21"/>
      <c r="L829" s="21"/>
      <c r="M829" s="21"/>
      <c r="N829" s="21"/>
      <c r="O829" s="21"/>
      <c r="P829" s="21"/>
      <c r="Q829" s="19"/>
      <c r="R829" s="19"/>
      <c r="S829" s="19"/>
      <c r="T829" s="19"/>
      <c r="U829" s="19"/>
      <c r="V829" s="19"/>
      <c r="W829" s="19"/>
      <c r="X829" s="19"/>
      <c r="Y829" s="19"/>
      <c r="Z829" s="19"/>
    </row>
    <row r="830">
      <c r="A830" s="21"/>
      <c r="B830" s="21"/>
      <c r="C830" s="21"/>
      <c r="D830" s="21"/>
      <c r="E830" s="21"/>
      <c r="F830" s="21"/>
      <c r="G830" s="21"/>
      <c r="H830" s="21"/>
      <c r="I830" s="21"/>
      <c r="J830" s="21"/>
      <c r="K830" s="21"/>
      <c r="L830" s="21"/>
      <c r="M830" s="21"/>
      <c r="N830" s="21"/>
      <c r="O830" s="21"/>
      <c r="P830" s="21"/>
      <c r="Q830" s="19"/>
      <c r="R830" s="19"/>
      <c r="S830" s="19"/>
      <c r="T830" s="19"/>
      <c r="U830" s="19"/>
      <c r="V830" s="19"/>
      <c r="W830" s="19"/>
      <c r="X830" s="19"/>
      <c r="Y830" s="19"/>
      <c r="Z830" s="19"/>
    </row>
    <row r="831">
      <c r="A831" s="21"/>
      <c r="B831" s="21"/>
      <c r="C831" s="21"/>
      <c r="D831" s="21"/>
      <c r="E831" s="21"/>
      <c r="F831" s="21"/>
      <c r="G831" s="21"/>
      <c r="H831" s="21"/>
      <c r="I831" s="21"/>
      <c r="J831" s="21"/>
      <c r="K831" s="21"/>
      <c r="L831" s="21"/>
      <c r="M831" s="21"/>
      <c r="N831" s="21"/>
      <c r="O831" s="21"/>
      <c r="P831" s="21"/>
      <c r="Q831" s="19"/>
      <c r="R831" s="19"/>
      <c r="S831" s="19"/>
      <c r="T831" s="19"/>
      <c r="U831" s="19"/>
      <c r="V831" s="19"/>
      <c r="W831" s="19"/>
      <c r="X831" s="19"/>
      <c r="Y831" s="19"/>
      <c r="Z831" s="19"/>
    </row>
    <row r="832">
      <c r="A832" s="21"/>
      <c r="B832" s="21"/>
      <c r="C832" s="21"/>
      <c r="D832" s="21"/>
      <c r="E832" s="21"/>
      <c r="F832" s="21"/>
      <c r="G832" s="21"/>
      <c r="H832" s="21"/>
      <c r="I832" s="21"/>
      <c r="J832" s="21"/>
      <c r="K832" s="21"/>
      <c r="L832" s="21"/>
      <c r="M832" s="21"/>
      <c r="N832" s="21"/>
      <c r="O832" s="21"/>
      <c r="P832" s="21"/>
      <c r="Q832" s="19"/>
      <c r="R832" s="19"/>
      <c r="S832" s="19"/>
      <c r="T832" s="19"/>
      <c r="U832" s="19"/>
      <c r="V832" s="19"/>
      <c r="W832" s="19"/>
      <c r="X832" s="19"/>
      <c r="Y832" s="19"/>
      <c r="Z832" s="19"/>
    </row>
    <row r="833">
      <c r="A833" s="21"/>
      <c r="B833" s="21"/>
      <c r="C833" s="21"/>
      <c r="D833" s="21"/>
      <c r="E833" s="21"/>
      <c r="F833" s="21"/>
      <c r="G833" s="21"/>
      <c r="H833" s="21"/>
      <c r="I833" s="21"/>
      <c r="J833" s="21"/>
      <c r="K833" s="21"/>
      <c r="L833" s="21"/>
      <c r="M833" s="21"/>
      <c r="N833" s="21"/>
      <c r="O833" s="21"/>
      <c r="P833" s="21"/>
      <c r="Q833" s="19"/>
      <c r="R833" s="19"/>
      <c r="S833" s="19"/>
      <c r="T833" s="19"/>
      <c r="U833" s="19"/>
      <c r="V833" s="19"/>
      <c r="W833" s="19"/>
      <c r="X833" s="19"/>
      <c r="Y833" s="19"/>
      <c r="Z833" s="19"/>
    </row>
    <row r="834">
      <c r="A834" s="21"/>
      <c r="B834" s="21"/>
      <c r="C834" s="21"/>
      <c r="D834" s="21"/>
      <c r="E834" s="21"/>
      <c r="F834" s="21"/>
      <c r="G834" s="21"/>
      <c r="H834" s="21"/>
      <c r="I834" s="21"/>
      <c r="J834" s="21"/>
      <c r="K834" s="21"/>
      <c r="L834" s="21"/>
      <c r="M834" s="21"/>
      <c r="N834" s="21"/>
      <c r="O834" s="21"/>
      <c r="P834" s="21"/>
      <c r="Q834" s="19"/>
      <c r="R834" s="19"/>
      <c r="S834" s="19"/>
      <c r="T834" s="19"/>
      <c r="U834" s="19"/>
      <c r="V834" s="19"/>
      <c r="W834" s="19"/>
      <c r="X834" s="19"/>
      <c r="Y834" s="19"/>
      <c r="Z834" s="19"/>
    </row>
    <row r="835">
      <c r="A835" s="21"/>
      <c r="B835" s="21"/>
      <c r="C835" s="21"/>
      <c r="D835" s="21"/>
      <c r="E835" s="21"/>
      <c r="F835" s="21"/>
      <c r="G835" s="21"/>
      <c r="H835" s="21"/>
      <c r="I835" s="21"/>
      <c r="J835" s="21"/>
      <c r="K835" s="21"/>
      <c r="L835" s="21"/>
      <c r="M835" s="21"/>
      <c r="N835" s="21"/>
      <c r="O835" s="21"/>
      <c r="P835" s="21"/>
      <c r="Q835" s="19"/>
      <c r="R835" s="19"/>
      <c r="S835" s="19"/>
      <c r="T835" s="19"/>
      <c r="U835" s="19"/>
      <c r="V835" s="19"/>
      <c r="W835" s="19"/>
      <c r="X835" s="19"/>
      <c r="Y835" s="19"/>
      <c r="Z835" s="19"/>
    </row>
    <row r="836">
      <c r="A836" s="21"/>
      <c r="B836" s="21"/>
      <c r="C836" s="21"/>
      <c r="D836" s="21"/>
      <c r="E836" s="21"/>
      <c r="F836" s="21"/>
      <c r="G836" s="21"/>
      <c r="H836" s="21"/>
      <c r="I836" s="21"/>
      <c r="J836" s="21"/>
      <c r="K836" s="21"/>
      <c r="L836" s="21"/>
      <c r="M836" s="21"/>
      <c r="N836" s="21"/>
      <c r="O836" s="21"/>
      <c r="P836" s="21"/>
      <c r="Q836" s="19"/>
      <c r="R836" s="19"/>
      <c r="S836" s="19"/>
      <c r="T836" s="19"/>
      <c r="U836" s="19"/>
      <c r="V836" s="19"/>
      <c r="W836" s="19"/>
      <c r="X836" s="19"/>
      <c r="Y836" s="19"/>
      <c r="Z836" s="19"/>
    </row>
    <row r="837">
      <c r="A837" s="21"/>
      <c r="B837" s="21"/>
      <c r="C837" s="21"/>
      <c r="D837" s="21"/>
      <c r="E837" s="21"/>
      <c r="F837" s="21"/>
      <c r="G837" s="21"/>
      <c r="H837" s="21"/>
      <c r="I837" s="21"/>
      <c r="J837" s="21"/>
      <c r="K837" s="21"/>
      <c r="L837" s="21"/>
      <c r="M837" s="21"/>
      <c r="N837" s="21"/>
      <c r="O837" s="21"/>
      <c r="P837" s="21"/>
      <c r="Q837" s="19"/>
      <c r="R837" s="19"/>
      <c r="S837" s="19"/>
      <c r="T837" s="19"/>
      <c r="U837" s="19"/>
      <c r="V837" s="19"/>
      <c r="W837" s="19"/>
      <c r="X837" s="19"/>
      <c r="Y837" s="19"/>
      <c r="Z837" s="19"/>
    </row>
    <row r="838">
      <c r="A838" s="21"/>
      <c r="B838" s="21"/>
      <c r="C838" s="21"/>
      <c r="D838" s="21"/>
      <c r="E838" s="21"/>
      <c r="F838" s="21"/>
      <c r="G838" s="21"/>
      <c r="H838" s="21"/>
      <c r="I838" s="21"/>
      <c r="J838" s="21"/>
      <c r="K838" s="21"/>
      <c r="L838" s="21"/>
      <c r="M838" s="21"/>
      <c r="N838" s="21"/>
      <c r="O838" s="21"/>
      <c r="P838" s="21"/>
      <c r="Q838" s="19"/>
      <c r="R838" s="19"/>
      <c r="S838" s="19"/>
      <c r="T838" s="19"/>
      <c r="U838" s="19"/>
      <c r="V838" s="19"/>
      <c r="W838" s="19"/>
      <c r="X838" s="19"/>
      <c r="Y838" s="19"/>
      <c r="Z838" s="19"/>
    </row>
    <row r="839">
      <c r="A839" s="21"/>
      <c r="B839" s="21"/>
      <c r="C839" s="21"/>
      <c r="D839" s="21"/>
      <c r="E839" s="21"/>
      <c r="F839" s="21"/>
      <c r="G839" s="21"/>
      <c r="H839" s="21"/>
      <c r="I839" s="21"/>
      <c r="J839" s="21"/>
      <c r="K839" s="21"/>
      <c r="L839" s="21"/>
      <c r="M839" s="21"/>
      <c r="N839" s="21"/>
      <c r="O839" s="21"/>
      <c r="P839" s="21"/>
      <c r="Q839" s="19"/>
      <c r="R839" s="19"/>
      <c r="S839" s="19"/>
      <c r="T839" s="19"/>
      <c r="U839" s="19"/>
      <c r="V839" s="19"/>
      <c r="W839" s="19"/>
      <c r="X839" s="19"/>
      <c r="Y839" s="19"/>
      <c r="Z839" s="19"/>
    </row>
    <row r="840">
      <c r="A840" s="21"/>
      <c r="B840" s="21"/>
      <c r="C840" s="21"/>
      <c r="D840" s="21"/>
      <c r="E840" s="21"/>
      <c r="F840" s="21"/>
      <c r="G840" s="21"/>
      <c r="H840" s="21"/>
      <c r="I840" s="21"/>
      <c r="J840" s="21"/>
      <c r="K840" s="21"/>
      <c r="L840" s="21"/>
      <c r="M840" s="21"/>
      <c r="N840" s="21"/>
      <c r="O840" s="21"/>
      <c r="P840" s="21"/>
      <c r="Q840" s="19"/>
      <c r="R840" s="19"/>
      <c r="S840" s="19"/>
      <c r="T840" s="19"/>
      <c r="U840" s="19"/>
      <c r="V840" s="19"/>
      <c r="W840" s="19"/>
      <c r="X840" s="19"/>
      <c r="Y840" s="19"/>
      <c r="Z840" s="19"/>
    </row>
    <row r="841">
      <c r="A841" s="21"/>
      <c r="B841" s="21"/>
      <c r="C841" s="21"/>
      <c r="D841" s="21"/>
      <c r="E841" s="21"/>
      <c r="F841" s="21"/>
      <c r="G841" s="21"/>
      <c r="H841" s="21"/>
      <c r="I841" s="21"/>
      <c r="J841" s="21"/>
      <c r="K841" s="21"/>
      <c r="L841" s="21"/>
      <c r="M841" s="21"/>
      <c r="N841" s="21"/>
      <c r="O841" s="21"/>
      <c r="P841" s="21"/>
      <c r="Q841" s="19"/>
      <c r="R841" s="19"/>
      <c r="S841" s="19"/>
      <c r="T841" s="19"/>
      <c r="U841" s="19"/>
      <c r="V841" s="19"/>
      <c r="W841" s="19"/>
      <c r="X841" s="19"/>
      <c r="Y841" s="19"/>
      <c r="Z841" s="19"/>
    </row>
    <row r="842">
      <c r="A842" s="21"/>
      <c r="B842" s="21"/>
      <c r="C842" s="21"/>
      <c r="D842" s="21"/>
      <c r="E842" s="21"/>
      <c r="F842" s="21"/>
      <c r="G842" s="21"/>
      <c r="H842" s="21"/>
      <c r="I842" s="21"/>
      <c r="J842" s="21"/>
      <c r="K842" s="21"/>
      <c r="L842" s="21"/>
      <c r="M842" s="21"/>
      <c r="N842" s="21"/>
      <c r="O842" s="21"/>
      <c r="P842" s="21"/>
      <c r="Q842" s="19"/>
      <c r="R842" s="19"/>
      <c r="S842" s="19"/>
      <c r="T842" s="19"/>
      <c r="U842" s="19"/>
      <c r="V842" s="19"/>
      <c r="W842" s="19"/>
      <c r="X842" s="19"/>
      <c r="Y842" s="19"/>
      <c r="Z842" s="19"/>
    </row>
    <row r="843">
      <c r="A843" s="21"/>
      <c r="B843" s="21"/>
      <c r="C843" s="21"/>
      <c r="D843" s="21"/>
      <c r="E843" s="21"/>
      <c r="F843" s="21"/>
      <c r="G843" s="21"/>
      <c r="H843" s="21"/>
      <c r="I843" s="21"/>
      <c r="J843" s="21"/>
      <c r="K843" s="21"/>
      <c r="L843" s="21"/>
      <c r="M843" s="21"/>
      <c r="N843" s="21"/>
      <c r="O843" s="21"/>
      <c r="P843" s="21"/>
      <c r="Q843" s="19"/>
      <c r="R843" s="19"/>
      <c r="S843" s="19"/>
      <c r="T843" s="19"/>
      <c r="U843" s="19"/>
      <c r="V843" s="19"/>
      <c r="W843" s="19"/>
      <c r="X843" s="19"/>
      <c r="Y843" s="19"/>
      <c r="Z843" s="19"/>
    </row>
    <row r="844">
      <c r="A844" s="21"/>
      <c r="B844" s="21"/>
      <c r="C844" s="21"/>
      <c r="D844" s="21"/>
      <c r="E844" s="21"/>
      <c r="F844" s="21"/>
      <c r="G844" s="21"/>
      <c r="H844" s="21"/>
      <c r="I844" s="21"/>
      <c r="J844" s="21"/>
      <c r="K844" s="21"/>
      <c r="L844" s="21"/>
      <c r="M844" s="21"/>
      <c r="N844" s="21"/>
      <c r="O844" s="21"/>
      <c r="P844" s="21"/>
      <c r="Q844" s="19"/>
      <c r="R844" s="19"/>
      <c r="S844" s="19"/>
      <c r="T844" s="19"/>
      <c r="U844" s="19"/>
      <c r="V844" s="19"/>
      <c r="W844" s="19"/>
      <c r="X844" s="19"/>
      <c r="Y844" s="19"/>
      <c r="Z844" s="19"/>
    </row>
    <row r="845">
      <c r="A845" s="21"/>
      <c r="B845" s="21"/>
      <c r="C845" s="21"/>
      <c r="D845" s="21"/>
      <c r="E845" s="21"/>
      <c r="F845" s="21"/>
      <c r="G845" s="21"/>
      <c r="H845" s="21"/>
      <c r="I845" s="21"/>
      <c r="J845" s="21"/>
      <c r="K845" s="21"/>
      <c r="L845" s="21"/>
      <c r="M845" s="21"/>
      <c r="N845" s="21"/>
      <c r="O845" s="21"/>
      <c r="P845" s="21"/>
      <c r="Q845" s="19"/>
      <c r="R845" s="19"/>
      <c r="S845" s="19"/>
      <c r="T845" s="19"/>
      <c r="U845" s="19"/>
      <c r="V845" s="19"/>
      <c r="W845" s="19"/>
      <c r="X845" s="19"/>
      <c r="Y845" s="19"/>
      <c r="Z845" s="19"/>
    </row>
    <row r="846">
      <c r="A846" s="21"/>
      <c r="B846" s="21"/>
      <c r="C846" s="21"/>
      <c r="D846" s="21"/>
      <c r="E846" s="21"/>
      <c r="F846" s="21"/>
      <c r="G846" s="21"/>
      <c r="H846" s="21"/>
      <c r="I846" s="21"/>
      <c r="J846" s="21"/>
      <c r="K846" s="21"/>
      <c r="L846" s="21"/>
      <c r="M846" s="21"/>
      <c r="N846" s="21"/>
      <c r="O846" s="21"/>
      <c r="P846" s="21"/>
      <c r="Q846" s="19"/>
      <c r="R846" s="19"/>
      <c r="S846" s="19"/>
      <c r="T846" s="19"/>
      <c r="U846" s="19"/>
      <c r="V846" s="19"/>
      <c r="W846" s="19"/>
      <c r="X846" s="19"/>
      <c r="Y846" s="19"/>
      <c r="Z846" s="19"/>
    </row>
    <row r="847">
      <c r="A847" s="21"/>
      <c r="B847" s="21"/>
      <c r="C847" s="21"/>
      <c r="D847" s="21"/>
      <c r="E847" s="21"/>
      <c r="F847" s="21"/>
      <c r="G847" s="21"/>
      <c r="H847" s="21"/>
      <c r="I847" s="21"/>
      <c r="J847" s="21"/>
      <c r="K847" s="21"/>
      <c r="L847" s="21"/>
      <c r="M847" s="21"/>
      <c r="N847" s="21"/>
      <c r="O847" s="21"/>
      <c r="P847" s="21"/>
      <c r="Q847" s="19"/>
      <c r="R847" s="19"/>
      <c r="S847" s="19"/>
      <c r="T847" s="19"/>
      <c r="U847" s="19"/>
      <c r="V847" s="19"/>
      <c r="W847" s="19"/>
      <c r="X847" s="19"/>
      <c r="Y847" s="19"/>
      <c r="Z847" s="19"/>
    </row>
    <row r="848">
      <c r="A848" s="21"/>
      <c r="B848" s="21"/>
      <c r="C848" s="21"/>
      <c r="D848" s="21"/>
      <c r="E848" s="21"/>
      <c r="F848" s="21"/>
      <c r="G848" s="21"/>
      <c r="H848" s="21"/>
      <c r="I848" s="21"/>
      <c r="J848" s="21"/>
      <c r="K848" s="21"/>
      <c r="L848" s="21"/>
      <c r="M848" s="21"/>
      <c r="N848" s="21"/>
      <c r="O848" s="21"/>
      <c r="P848" s="21"/>
      <c r="Q848" s="19"/>
      <c r="R848" s="19"/>
      <c r="S848" s="19"/>
      <c r="T848" s="19"/>
      <c r="U848" s="19"/>
      <c r="V848" s="19"/>
      <c r="W848" s="19"/>
      <c r="X848" s="19"/>
      <c r="Y848" s="19"/>
      <c r="Z848" s="19"/>
    </row>
    <row r="849">
      <c r="A849" s="21"/>
      <c r="B849" s="21"/>
      <c r="C849" s="21"/>
      <c r="D849" s="21"/>
      <c r="E849" s="21"/>
      <c r="F849" s="21"/>
      <c r="G849" s="21"/>
      <c r="H849" s="21"/>
      <c r="I849" s="21"/>
      <c r="J849" s="21"/>
      <c r="K849" s="21"/>
      <c r="L849" s="21"/>
      <c r="M849" s="21"/>
      <c r="N849" s="21"/>
      <c r="O849" s="21"/>
      <c r="P849" s="21"/>
      <c r="Q849" s="19"/>
      <c r="R849" s="19"/>
      <c r="S849" s="19"/>
      <c r="T849" s="19"/>
      <c r="U849" s="19"/>
      <c r="V849" s="19"/>
      <c r="W849" s="19"/>
      <c r="X849" s="19"/>
      <c r="Y849" s="19"/>
      <c r="Z849" s="19"/>
    </row>
    <row r="850">
      <c r="A850" s="21"/>
      <c r="B850" s="21"/>
      <c r="C850" s="21"/>
      <c r="D850" s="21"/>
      <c r="E850" s="21"/>
      <c r="F850" s="21"/>
      <c r="G850" s="21"/>
      <c r="H850" s="21"/>
      <c r="I850" s="21"/>
      <c r="J850" s="21"/>
      <c r="K850" s="21"/>
      <c r="L850" s="21"/>
      <c r="M850" s="21"/>
      <c r="N850" s="21"/>
      <c r="O850" s="21"/>
      <c r="P850" s="21"/>
      <c r="Q850" s="19"/>
      <c r="R850" s="19"/>
      <c r="S850" s="19"/>
      <c r="T850" s="19"/>
      <c r="U850" s="19"/>
      <c r="V850" s="19"/>
      <c r="W850" s="19"/>
      <c r="X850" s="19"/>
      <c r="Y850" s="19"/>
      <c r="Z850" s="19"/>
    </row>
    <row r="851">
      <c r="A851" s="21"/>
      <c r="B851" s="21"/>
      <c r="C851" s="21"/>
      <c r="D851" s="21"/>
      <c r="E851" s="21"/>
      <c r="F851" s="21"/>
      <c r="G851" s="21"/>
      <c r="H851" s="21"/>
      <c r="I851" s="21"/>
      <c r="J851" s="21"/>
      <c r="K851" s="21"/>
      <c r="L851" s="21"/>
      <c r="M851" s="21"/>
      <c r="N851" s="21"/>
      <c r="O851" s="21"/>
      <c r="P851" s="21"/>
      <c r="Q851" s="19"/>
      <c r="R851" s="19"/>
      <c r="S851" s="19"/>
      <c r="T851" s="19"/>
      <c r="U851" s="19"/>
      <c r="V851" s="19"/>
      <c r="W851" s="19"/>
      <c r="X851" s="19"/>
      <c r="Y851" s="19"/>
      <c r="Z851" s="19"/>
    </row>
    <row r="852">
      <c r="A852" s="21"/>
      <c r="B852" s="21"/>
      <c r="C852" s="21"/>
      <c r="D852" s="21"/>
      <c r="E852" s="21"/>
      <c r="F852" s="21"/>
      <c r="G852" s="21"/>
      <c r="H852" s="21"/>
      <c r="I852" s="21"/>
      <c r="J852" s="21"/>
      <c r="K852" s="21"/>
      <c r="L852" s="21"/>
      <c r="M852" s="21"/>
      <c r="N852" s="21"/>
      <c r="O852" s="21"/>
      <c r="P852" s="21"/>
      <c r="Q852" s="19"/>
      <c r="R852" s="19"/>
      <c r="S852" s="19"/>
      <c r="T852" s="19"/>
      <c r="U852" s="19"/>
      <c r="V852" s="19"/>
      <c r="W852" s="19"/>
      <c r="X852" s="19"/>
      <c r="Y852" s="19"/>
      <c r="Z852" s="19"/>
    </row>
    <row r="853">
      <c r="A853" s="21"/>
      <c r="B853" s="21"/>
      <c r="C853" s="21"/>
      <c r="D853" s="21"/>
      <c r="E853" s="21"/>
      <c r="F853" s="21"/>
      <c r="G853" s="21"/>
      <c r="H853" s="21"/>
      <c r="I853" s="21"/>
      <c r="J853" s="21"/>
      <c r="K853" s="21"/>
      <c r="L853" s="21"/>
      <c r="M853" s="21"/>
      <c r="N853" s="21"/>
      <c r="O853" s="21"/>
      <c r="P853" s="21"/>
      <c r="Q853" s="19"/>
      <c r="R853" s="19"/>
      <c r="S853" s="19"/>
      <c r="T853" s="19"/>
      <c r="U853" s="19"/>
      <c r="V853" s="19"/>
      <c r="W853" s="19"/>
      <c r="X853" s="19"/>
      <c r="Y853" s="19"/>
      <c r="Z853" s="19"/>
    </row>
    <row r="854">
      <c r="A854" s="21"/>
      <c r="B854" s="21"/>
      <c r="C854" s="21"/>
      <c r="D854" s="21"/>
      <c r="E854" s="21"/>
      <c r="F854" s="21"/>
      <c r="G854" s="21"/>
      <c r="H854" s="21"/>
      <c r="I854" s="21"/>
      <c r="J854" s="21"/>
      <c r="K854" s="21"/>
      <c r="L854" s="21"/>
      <c r="M854" s="21"/>
      <c r="N854" s="21"/>
      <c r="O854" s="21"/>
      <c r="P854" s="21"/>
      <c r="Q854" s="19"/>
      <c r="R854" s="19"/>
      <c r="S854" s="19"/>
      <c r="T854" s="19"/>
      <c r="U854" s="19"/>
      <c r="V854" s="19"/>
      <c r="W854" s="19"/>
      <c r="X854" s="19"/>
      <c r="Y854" s="19"/>
      <c r="Z854" s="19"/>
    </row>
    <row r="855">
      <c r="A855" s="21"/>
      <c r="B855" s="21"/>
      <c r="C855" s="21"/>
      <c r="D855" s="21"/>
      <c r="E855" s="21"/>
      <c r="F855" s="21"/>
      <c r="G855" s="21"/>
      <c r="H855" s="21"/>
      <c r="I855" s="21"/>
      <c r="J855" s="21"/>
      <c r="K855" s="21"/>
      <c r="L855" s="21"/>
      <c r="M855" s="21"/>
      <c r="N855" s="21"/>
      <c r="O855" s="21"/>
      <c r="P855" s="21"/>
      <c r="Q855" s="19"/>
      <c r="R855" s="19"/>
      <c r="S855" s="19"/>
      <c r="T855" s="19"/>
      <c r="U855" s="19"/>
      <c r="V855" s="19"/>
      <c r="W855" s="19"/>
      <c r="X855" s="19"/>
      <c r="Y855" s="19"/>
      <c r="Z855" s="19"/>
    </row>
    <row r="856">
      <c r="A856" s="21"/>
      <c r="B856" s="21"/>
      <c r="C856" s="21"/>
      <c r="D856" s="21"/>
      <c r="E856" s="21"/>
      <c r="F856" s="21"/>
      <c r="G856" s="21"/>
      <c r="H856" s="21"/>
      <c r="I856" s="21"/>
      <c r="J856" s="21"/>
      <c r="K856" s="21"/>
      <c r="L856" s="21"/>
      <c r="M856" s="21"/>
      <c r="N856" s="21"/>
      <c r="O856" s="21"/>
      <c r="P856" s="21"/>
      <c r="Q856" s="19"/>
      <c r="R856" s="19"/>
      <c r="S856" s="19"/>
      <c r="T856" s="19"/>
      <c r="U856" s="19"/>
      <c r="V856" s="19"/>
      <c r="W856" s="19"/>
      <c r="X856" s="19"/>
      <c r="Y856" s="19"/>
      <c r="Z856" s="19"/>
    </row>
    <row r="857">
      <c r="A857" s="21"/>
      <c r="B857" s="21"/>
      <c r="C857" s="21"/>
      <c r="D857" s="21"/>
      <c r="E857" s="21"/>
      <c r="F857" s="21"/>
      <c r="G857" s="21"/>
      <c r="H857" s="21"/>
      <c r="I857" s="21"/>
      <c r="J857" s="21"/>
      <c r="K857" s="21"/>
      <c r="L857" s="21"/>
      <c r="M857" s="21"/>
      <c r="N857" s="21"/>
      <c r="O857" s="21"/>
      <c r="P857" s="21"/>
      <c r="Q857" s="19"/>
      <c r="R857" s="19"/>
      <c r="S857" s="19"/>
      <c r="T857" s="19"/>
      <c r="U857" s="19"/>
      <c r="V857" s="19"/>
      <c r="W857" s="19"/>
      <c r="X857" s="19"/>
      <c r="Y857" s="19"/>
      <c r="Z857" s="19"/>
    </row>
    <row r="858">
      <c r="A858" s="21"/>
      <c r="B858" s="21"/>
      <c r="C858" s="21"/>
      <c r="D858" s="21"/>
      <c r="E858" s="21"/>
      <c r="F858" s="21"/>
      <c r="G858" s="21"/>
      <c r="H858" s="21"/>
      <c r="I858" s="21"/>
      <c r="J858" s="21"/>
      <c r="K858" s="21"/>
      <c r="L858" s="21"/>
      <c r="M858" s="21"/>
      <c r="N858" s="21"/>
      <c r="O858" s="21"/>
      <c r="P858" s="21"/>
      <c r="Q858" s="19"/>
      <c r="R858" s="19"/>
      <c r="S858" s="19"/>
      <c r="T858" s="19"/>
      <c r="U858" s="19"/>
      <c r="V858" s="19"/>
      <c r="W858" s="19"/>
      <c r="X858" s="19"/>
      <c r="Y858" s="19"/>
      <c r="Z858" s="19"/>
    </row>
    <row r="859">
      <c r="A859" s="21"/>
      <c r="B859" s="21"/>
      <c r="C859" s="21"/>
      <c r="D859" s="21"/>
      <c r="E859" s="21"/>
      <c r="F859" s="21"/>
      <c r="G859" s="21"/>
      <c r="H859" s="21"/>
      <c r="I859" s="21"/>
      <c r="J859" s="21"/>
      <c r="K859" s="21"/>
      <c r="L859" s="21"/>
      <c r="M859" s="21"/>
      <c r="N859" s="21"/>
      <c r="O859" s="21"/>
      <c r="P859" s="21"/>
      <c r="Q859" s="19"/>
      <c r="R859" s="19"/>
      <c r="S859" s="19"/>
      <c r="T859" s="19"/>
      <c r="U859" s="19"/>
      <c r="V859" s="19"/>
      <c r="W859" s="19"/>
      <c r="X859" s="19"/>
      <c r="Y859" s="19"/>
      <c r="Z859" s="19"/>
    </row>
    <row r="860">
      <c r="A860" s="21"/>
      <c r="B860" s="21"/>
      <c r="C860" s="21"/>
      <c r="D860" s="21"/>
      <c r="E860" s="21"/>
      <c r="F860" s="21"/>
      <c r="G860" s="21"/>
      <c r="H860" s="21"/>
      <c r="I860" s="21"/>
      <c r="J860" s="21"/>
      <c r="K860" s="21"/>
      <c r="L860" s="21"/>
      <c r="M860" s="21"/>
      <c r="N860" s="21"/>
      <c r="O860" s="21"/>
      <c r="P860" s="21"/>
      <c r="Q860" s="19"/>
      <c r="R860" s="19"/>
      <c r="S860" s="19"/>
      <c r="T860" s="19"/>
      <c r="U860" s="19"/>
      <c r="V860" s="19"/>
      <c r="W860" s="19"/>
      <c r="X860" s="19"/>
      <c r="Y860" s="19"/>
      <c r="Z860" s="19"/>
    </row>
    <row r="861">
      <c r="A861" s="21"/>
      <c r="B861" s="21"/>
      <c r="C861" s="21"/>
      <c r="D861" s="21"/>
      <c r="E861" s="21"/>
      <c r="F861" s="21"/>
      <c r="G861" s="21"/>
      <c r="H861" s="21"/>
      <c r="I861" s="21"/>
      <c r="J861" s="21"/>
      <c r="K861" s="21"/>
      <c r="L861" s="21"/>
      <c r="M861" s="21"/>
      <c r="N861" s="21"/>
      <c r="O861" s="21"/>
      <c r="P861" s="21"/>
      <c r="Q861" s="19"/>
      <c r="R861" s="19"/>
      <c r="S861" s="19"/>
      <c r="T861" s="19"/>
      <c r="U861" s="19"/>
      <c r="V861" s="19"/>
      <c r="W861" s="19"/>
      <c r="X861" s="19"/>
      <c r="Y861" s="19"/>
      <c r="Z861" s="19"/>
    </row>
    <row r="862">
      <c r="A862" s="21"/>
      <c r="B862" s="21"/>
      <c r="C862" s="21"/>
      <c r="D862" s="21"/>
      <c r="E862" s="21"/>
      <c r="F862" s="21"/>
      <c r="G862" s="21"/>
      <c r="H862" s="21"/>
      <c r="I862" s="21"/>
      <c r="J862" s="21"/>
      <c r="K862" s="21"/>
      <c r="L862" s="21"/>
      <c r="M862" s="21"/>
      <c r="N862" s="21"/>
      <c r="O862" s="21"/>
      <c r="P862" s="21"/>
      <c r="Q862" s="19"/>
      <c r="R862" s="19"/>
      <c r="S862" s="19"/>
      <c r="T862" s="19"/>
      <c r="U862" s="19"/>
      <c r="V862" s="19"/>
      <c r="W862" s="19"/>
      <c r="X862" s="19"/>
      <c r="Y862" s="19"/>
      <c r="Z862" s="19"/>
    </row>
    <row r="863">
      <c r="A863" s="21"/>
      <c r="B863" s="21"/>
      <c r="C863" s="21"/>
      <c r="D863" s="21"/>
      <c r="E863" s="21"/>
      <c r="F863" s="21"/>
      <c r="G863" s="21"/>
      <c r="H863" s="21"/>
      <c r="I863" s="21"/>
      <c r="J863" s="21"/>
      <c r="K863" s="21"/>
      <c r="L863" s="21"/>
      <c r="M863" s="21"/>
      <c r="N863" s="21"/>
      <c r="O863" s="21"/>
      <c r="P863" s="21"/>
      <c r="Q863" s="19"/>
      <c r="R863" s="19"/>
      <c r="S863" s="19"/>
      <c r="T863" s="19"/>
      <c r="U863" s="19"/>
      <c r="V863" s="19"/>
      <c r="W863" s="19"/>
      <c r="X863" s="19"/>
      <c r="Y863" s="19"/>
      <c r="Z863" s="19"/>
    </row>
    <row r="864">
      <c r="A864" s="21"/>
      <c r="B864" s="21"/>
      <c r="C864" s="21"/>
      <c r="D864" s="21"/>
      <c r="E864" s="21"/>
      <c r="F864" s="21"/>
      <c r="G864" s="21"/>
      <c r="H864" s="21"/>
      <c r="I864" s="21"/>
      <c r="J864" s="21"/>
      <c r="K864" s="21"/>
      <c r="L864" s="21"/>
      <c r="M864" s="21"/>
      <c r="N864" s="21"/>
      <c r="O864" s="21"/>
      <c r="P864" s="21"/>
      <c r="Q864" s="19"/>
      <c r="R864" s="19"/>
      <c r="S864" s="19"/>
      <c r="T864" s="19"/>
      <c r="U864" s="19"/>
      <c r="V864" s="19"/>
      <c r="W864" s="19"/>
      <c r="X864" s="19"/>
      <c r="Y864" s="19"/>
      <c r="Z864" s="19"/>
    </row>
    <row r="865">
      <c r="A865" s="21"/>
      <c r="B865" s="21"/>
      <c r="C865" s="21"/>
      <c r="D865" s="21"/>
      <c r="E865" s="21"/>
      <c r="F865" s="21"/>
      <c r="G865" s="21"/>
      <c r="H865" s="21"/>
      <c r="I865" s="21"/>
      <c r="J865" s="21"/>
      <c r="K865" s="21"/>
      <c r="L865" s="21"/>
      <c r="M865" s="21"/>
      <c r="N865" s="21"/>
      <c r="O865" s="21"/>
      <c r="P865" s="21"/>
      <c r="Q865" s="19"/>
      <c r="R865" s="19"/>
      <c r="S865" s="19"/>
      <c r="T865" s="19"/>
      <c r="U865" s="19"/>
      <c r="V865" s="19"/>
      <c r="W865" s="19"/>
      <c r="X865" s="19"/>
      <c r="Y865" s="19"/>
      <c r="Z865" s="19"/>
    </row>
    <row r="866">
      <c r="A866" s="21"/>
      <c r="B866" s="21"/>
      <c r="C866" s="21"/>
      <c r="D866" s="21"/>
      <c r="E866" s="21"/>
      <c r="F866" s="21"/>
      <c r="G866" s="21"/>
      <c r="H866" s="21"/>
      <c r="I866" s="21"/>
      <c r="J866" s="21"/>
      <c r="K866" s="21"/>
      <c r="L866" s="21"/>
      <c r="M866" s="21"/>
      <c r="N866" s="21"/>
      <c r="O866" s="21"/>
      <c r="P866" s="21"/>
      <c r="Q866" s="19"/>
      <c r="R866" s="19"/>
      <c r="S866" s="19"/>
      <c r="T866" s="19"/>
      <c r="U866" s="19"/>
      <c r="V866" s="19"/>
      <c r="W866" s="19"/>
      <c r="X866" s="19"/>
      <c r="Y866" s="19"/>
      <c r="Z866" s="19"/>
    </row>
    <row r="867">
      <c r="A867" s="21"/>
      <c r="B867" s="21"/>
      <c r="C867" s="21"/>
      <c r="D867" s="21"/>
      <c r="E867" s="21"/>
      <c r="F867" s="21"/>
      <c r="G867" s="21"/>
      <c r="H867" s="21"/>
      <c r="I867" s="21"/>
      <c r="J867" s="21"/>
      <c r="K867" s="21"/>
      <c r="L867" s="21"/>
      <c r="M867" s="21"/>
      <c r="N867" s="21"/>
      <c r="O867" s="21"/>
      <c r="P867" s="21"/>
      <c r="Q867" s="19"/>
      <c r="R867" s="19"/>
      <c r="S867" s="19"/>
      <c r="T867" s="19"/>
      <c r="U867" s="19"/>
      <c r="V867" s="19"/>
      <c r="W867" s="19"/>
      <c r="X867" s="19"/>
      <c r="Y867" s="19"/>
      <c r="Z867" s="19"/>
    </row>
    <row r="868">
      <c r="A868" s="21"/>
      <c r="B868" s="21"/>
      <c r="C868" s="21"/>
      <c r="D868" s="21"/>
      <c r="E868" s="21"/>
      <c r="F868" s="21"/>
      <c r="G868" s="21"/>
      <c r="H868" s="21"/>
      <c r="I868" s="21"/>
      <c r="J868" s="21"/>
      <c r="K868" s="21"/>
      <c r="L868" s="21"/>
      <c r="M868" s="21"/>
      <c r="N868" s="21"/>
      <c r="O868" s="21"/>
      <c r="P868" s="21"/>
      <c r="Q868" s="19"/>
      <c r="R868" s="19"/>
      <c r="S868" s="19"/>
      <c r="T868" s="19"/>
      <c r="U868" s="19"/>
      <c r="V868" s="19"/>
      <c r="W868" s="19"/>
      <c r="X868" s="19"/>
      <c r="Y868" s="19"/>
      <c r="Z868" s="19"/>
    </row>
    <row r="869">
      <c r="A869" s="21"/>
      <c r="B869" s="21"/>
      <c r="C869" s="21"/>
      <c r="D869" s="21"/>
      <c r="E869" s="21"/>
      <c r="F869" s="21"/>
      <c r="G869" s="21"/>
      <c r="H869" s="21"/>
      <c r="I869" s="21"/>
      <c r="J869" s="21"/>
      <c r="K869" s="21"/>
      <c r="L869" s="21"/>
      <c r="M869" s="21"/>
      <c r="N869" s="21"/>
      <c r="O869" s="21"/>
      <c r="P869" s="21"/>
      <c r="Q869" s="19"/>
      <c r="R869" s="19"/>
      <c r="S869" s="19"/>
      <c r="T869" s="19"/>
      <c r="U869" s="19"/>
      <c r="V869" s="19"/>
      <c r="W869" s="19"/>
      <c r="X869" s="19"/>
      <c r="Y869" s="19"/>
      <c r="Z869" s="19"/>
    </row>
    <row r="870">
      <c r="A870" s="21"/>
      <c r="B870" s="21"/>
      <c r="C870" s="21"/>
      <c r="D870" s="21"/>
      <c r="E870" s="21"/>
      <c r="F870" s="21"/>
      <c r="G870" s="21"/>
      <c r="H870" s="21"/>
      <c r="I870" s="21"/>
      <c r="J870" s="21"/>
      <c r="K870" s="21"/>
      <c r="L870" s="21"/>
      <c r="M870" s="21"/>
      <c r="N870" s="21"/>
      <c r="O870" s="21"/>
      <c r="P870" s="21"/>
      <c r="Q870" s="19"/>
      <c r="R870" s="19"/>
      <c r="S870" s="19"/>
      <c r="T870" s="19"/>
      <c r="U870" s="19"/>
      <c r="V870" s="19"/>
      <c r="W870" s="19"/>
      <c r="X870" s="19"/>
      <c r="Y870" s="19"/>
      <c r="Z870" s="19"/>
    </row>
    <row r="871">
      <c r="A871" s="21"/>
      <c r="B871" s="21"/>
      <c r="C871" s="21"/>
      <c r="D871" s="21"/>
      <c r="E871" s="21"/>
      <c r="F871" s="21"/>
      <c r="G871" s="21"/>
      <c r="H871" s="21"/>
      <c r="I871" s="21"/>
      <c r="J871" s="21"/>
      <c r="K871" s="21"/>
      <c r="L871" s="21"/>
      <c r="M871" s="21"/>
      <c r="N871" s="21"/>
      <c r="O871" s="21"/>
      <c r="P871" s="21"/>
      <c r="Q871" s="19"/>
      <c r="R871" s="19"/>
      <c r="S871" s="19"/>
      <c r="T871" s="19"/>
      <c r="U871" s="19"/>
      <c r="V871" s="19"/>
      <c r="W871" s="19"/>
      <c r="X871" s="19"/>
      <c r="Y871" s="19"/>
      <c r="Z871" s="19"/>
    </row>
    <row r="872">
      <c r="A872" s="21"/>
      <c r="B872" s="21"/>
      <c r="C872" s="21"/>
      <c r="D872" s="21"/>
      <c r="E872" s="21"/>
      <c r="F872" s="21"/>
      <c r="G872" s="21"/>
      <c r="H872" s="21"/>
      <c r="I872" s="21"/>
      <c r="J872" s="21"/>
      <c r="K872" s="21"/>
      <c r="L872" s="21"/>
      <c r="M872" s="21"/>
      <c r="N872" s="21"/>
      <c r="O872" s="21"/>
      <c r="P872" s="21"/>
      <c r="Q872" s="19"/>
      <c r="R872" s="19"/>
      <c r="S872" s="19"/>
      <c r="T872" s="19"/>
      <c r="U872" s="19"/>
      <c r="V872" s="19"/>
      <c r="W872" s="19"/>
      <c r="X872" s="19"/>
      <c r="Y872" s="19"/>
      <c r="Z872" s="19"/>
    </row>
    <row r="873">
      <c r="A873" s="21"/>
      <c r="B873" s="21"/>
      <c r="C873" s="21"/>
      <c r="D873" s="21"/>
      <c r="E873" s="21"/>
      <c r="F873" s="21"/>
      <c r="G873" s="21"/>
      <c r="H873" s="21"/>
      <c r="I873" s="21"/>
      <c r="J873" s="21"/>
      <c r="K873" s="21"/>
      <c r="L873" s="21"/>
      <c r="M873" s="21"/>
      <c r="N873" s="21"/>
      <c r="O873" s="21"/>
      <c r="P873" s="21"/>
      <c r="Q873" s="19"/>
      <c r="R873" s="19"/>
      <c r="S873" s="19"/>
      <c r="T873" s="19"/>
      <c r="U873" s="19"/>
      <c r="V873" s="19"/>
      <c r="W873" s="19"/>
      <c r="X873" s="19"/>
      <c r="Y873" s="19"/>
      <c r="Z873" s="19"/>
    </row>
    <row r="874">
      <c r="A874" s="21"/>
      <c r="B874" s="21"/>
      <c r="C874" s="21"/>
      <c r="D874" s="21"/>
      <c r="E874" s="21"/>
      <c r="F874" s="21"/>
      <c r="G874" s="21"/>
      <c r="H874" s="21"/>
      <c r="I874" s="21"/>
      <c r="J874" s="21"/>
      <c r="K874" s="21"/>
      <c r="L874" s="21"/>
      <c r="M874" s="21"/>
      <c r="N874" s="21"/>
      <c r="O874" s="21"/>
      <c r="P874" s="21"/>
      <c r="Q874" s="19"/>
      <c r="R874" s="19"/>
      <c r="S874" s="19"/>
      <c r="T874" s="19"/>
      <c r="U874" s="19"/>
      <c r="V874" s="19"/>
      <c r="W874" s="19"/>
      <c r="X874" s="19"/>
      <c r="Y874" s="19"/>
      <c r="Z874" s="19"/>
    </row>
    <row r="875">
      <c r="A875" s="21"/>
      <c r="B875" s="21"/>
      <c r="C875" s="21"/>
      <c r="D875" s="21"/>
      <c r="E875" s="21"/>
      <c r="F875" s="21"/>
      <c r="G875" s="21"/>
      <c r="H875" s="21"/>
      <c r="I875" s="21"/>
      <c r="J875" s="21"/>
      <c r="K875" s="21"/>
      <c r="L875" s="21"/>
      <c r="M875" s="21"/>
      <c r="N875" s="21"/>
      <c r="O875" s="21"/>
      <c r="P875" s="21"/>
      <c r="Q875" s="19"/>
      <c r="R875" s="19"/>
      <c r="S875" s="19"/>
      <c r="T875" s="19"/>
      <c r="U875" s="19"/>
      <c r="V875" s="19"/>
      <c r="W875" s="19"/>
      <c r="X875" s="19"/>
      <c r="Y875" s="19"/>
      <c r="Z875" s="19"/>
    </row>
    <row r="876">
      <c r="A876" s="21"/>
      <c r="B876" s="21"/>
      <c r="C876" s="21"/>
      <c r="D876" s="21"/>
      <c r="E876" s="21"/>
      <c r="F876" s="21"/>
      <c r="G876" s="21"/>
      <c r="H876" s="21"/>
      <c r="I876" s="21"/>
      <c r="J876" s="21"/>
      <c r="K876" s="21"/>
      <c r="L876" s="21"/>
      <c r="M876" s="21"/>
      <c r="N876" s="21"/>
      <c r="O876" s="21"/>
      <c r="P876" s="21"/>
      <c r="Q876" s="19"/>
      <c r="R876" s="19"/>
      <c r="S876" s="19"/>
      <c r="T876" s="19"/>
      <c r="U876" s="19"/>
      <c r="V876" s="19"/>
      <c r="W876" s="19"/>
      <c r="X876" s="19"/>
      <c r="Y876" s="19"/>
      <c r="Z876" s="19"/>
    </row>
    <row r="877">
      <c r="A877" s="21"/>
      <c r="B877" s="21"/>
      <c r="C877" s="21"/>
      <c r="D877" s="21"/>
      <c r="E877" s="21"/>
      <c r="F877" s="21"/>
      <c r="G877" s="21"/>
      <c r="H877" s="21"/>
      <c r="I877" s="21"/>
      <c r="J877" s="21"/>
      <c r="K877" s="21"/>
      <c r="L877" s="21"/>
      <c r="M877" s="21"/>
      <c r="N877" s="21"/>
      <c r="O877" s="21"/>
      <c r="P877" s="21"/>
      <c r="Q877" s="19"/>
      <c r="R877" s="19"/>
      <c r="S877" s="19"/>
      <c r="T877" s="19"/>
      <c r="U877" s="19"/>
      <c r="V877" s="19"/>
      <c r="W877" s="19"/>
      <c r="X877" s="19"/>
      <c r="Y877" s="19"/>
      <c r="Z877" s="19"/>
    </row>
    <row r="878">
      <c r="A878" s="21"/>
      <c r="B878" s="21"/>
      <c r="C878" s="21"/>
      <c r="D878" s="21"/>
      <c r="E878" s="21"/>
      <c r="F878" s="21"/>
      <c r="G878" s="21"/>
      <c r="H878" s="21"/>
      <c r="I878" s="21"/>
      <c r="J878" s="21"/>
      <c r="K878" s="21"/>
      <c r="L878" s="21"/>
      <c r="M878" s="21"/>
      <c r="N878" s="21"/>
      <c r="O878" s="21"/>
      <c r="P878" s="21"/>
      <c r="Q878" s="19"/>
      <c r="R878" s="19"/>
      <c r="S878" s="19"/>
      <c r="T878" s="19"/>
      <c r="U878" s="19"/>
      <c r="V878" s="19"/>
      <c r="W878" s="19"/>
      <c r="X878" s="19"/>
      <c r="Y878" s="19"/>
      <c r="Z878" s="19"/>
    </row>
    <row r="879">
      <c r="A879" s="21"/>
      <c r="B879" s="21"/>
      <c r="C879" s="21"/>
      <c r="D879" s="21"/>
      <c r="E879" s="21"/>
      <c r="F879" s="21"/>
      <c r="G879" s="21"/>
      <c r="H879" s="21"/>
      <c r="I879" s="21"/>
      <c r="J879" s="21"/>
      <c r="K879" s="21"/>
      <c r="L879" s="21"/>
      <c r="M879" s="21"/>
      <c r="N879" s="21"/>
      <c r="O879" s="21"/>
      <c r="P879" s="21"/>
      <c r="Q879" s="19"/>
      <c r="R879" s="19"/>
      <c r="S879" s="19"/>
      <c r="T879" s="19"/>
      <c r="U879" s="19"/>
      <c r="V879" s="19"/>
      <c r="W879" s="19"/>
      <c r="X879" s="19"/>
      <c r="Y879" s="19"/>
      <c r="Z879" s="19"/>
    </row>
    <row r="880">
      <c r="A880" s="21"/>
      <c r="B880" s="21"/>
      <c r="C880" s="21"/>
      <c r="D880" s="21"/>
      <c r="E880" s="21"/>
      <c r="F880" s="21"/>
      <c r="G880" s="21"/>
      <c r="H880" s="21"/>
      <c r="I880" s="21"/>
      <c r="J880" s="21"/>
      <c r="K880" s="21"/>
      <c r="L880" s="21"/>
      <c r="M880" s="21"/>
      <c r="N880" s="21"/>
      <c r="O880" s="21"/>
      <c r="P880" s="21"/>
      <c r="Q880" s="19"/>
      <c r="R880" s="19"/>
      <c r="S880" s="19"/>
      <c r="T880" s="19"/>
      <c r="U880" s="19"/>
      <c r="V880" s="19"/>
      <c r="W880" s="19"/>
      <c r="X880" s="19"/>
      <c r="Y880" s="19"/>
      <c r="Z880" s="19"/>
    </row>
    <row r="881">
      <c r="A881" s="21"/>
      <c r="B881" s="21"/>
      <c r="C881" s="21"/>
      <c r="D881" s="21"/>
      <c r="E881" s="21"/>
      <c r="F881" s="21"/>
      <c r="G881" s="21"/>
      <c r="H881" s="21"/>
      <c r="I881" s="21"/>
      <c r="J881" s="21"/>
      <c r="K881" s="21"/>
      <c r="L881" s="21"/>
      <c r="M881" s="21"/>
      <c r="N881" s="21"/>
      <c r="O881" s="21"/>
      <c r="P881" s="21"/>
      <c r="Q881" s="19"/>
      <c r="R881" s="19"/>
      <c r="S881" s="19"/>
      <c r="T881" s="19"/>
      <c r="U881" s="19"/>
      <c r="V881" s="19"/>
      <c r="W881" s="19"/>
      <c r="X881" s="19"/>
      <c r="Y881" s="19"/>
      <c r="Z881" s="19"/>
    </row>
    <row r="882">
      <c r="A882" s="21"/>
      <c r="B882" s="21"/>
      <c r="C882" s="21"/>
      <c r="D882" s="21"/>
      <c r="E882" s="21"/>
      <c r="F882" s="21"/>
      <c r="G882" s="21"/>
      <c r="H882" s="21"/>
      <c r="I882" s="21"/>
      <c r="J882" s="21"/>
      <c r="K882" s="21"/>
      <c r="L882" s="21"/>
      <c r="M882" s="21"/>
      <c r="N882" s="21"/>
      <c r="O882" s="21"/>
      <c r="P882" s="21"/>
      <c r="Q882" s="19"/>
      <c r="R882" s="19"/>
      <c r="S882" s="19"/>
      <c r="T882" s="19"/>
      <c r="U882" s="19"/>
      <c r="V882" s="19"/>
      <c r="W882" s="19"/>
      <c r="X882" s="19"/>
      <c r="Y882" s="19"/>
      <c r="Z882" s="19"/>
    </row>
    <row r="883">
      <c r="A883" s="21"/>
      <c r="B883" s="21"/>
      <c r="C883" s="21"/>
      <c r="D883" s="21"/>
      <c r="E883" s="21"/>
      <c r="F883" s="21"/>
      <c r="G883" s="21"/>
      <c r="H883" s="21"/>
      <c r="I883" s="21"/>
      <c r="J883" s="21"/>
      <c r="K883" s="21"/>
      <c r="L883" s="21"/>
      <c r="M883" s="21"/>
      <c r="N883" s="21"/>
      <c r="O883" s="21"/>
      <c r="P883" s="21"/>
      <c r="Q883" s="19"/>
      <c r="R883" s="19"/>
      <c r="S883" s="19"/>
      <c r="T883" s="19"/>
      <c r="U883" s="19"/>
      <c r="V883" s="19"/>
      <c r="W883" s="19"/>
      <c r="X883" s="19"/>
      <c r="Y883" s="19"/>
      <c r="Z883" s="19"/>
    </row>
    <row r="884">
      <c r="A884" s="21"/>
      <c r="B884" s="21"/>
      <c r="C884" s="21"/>
      <c r="D884" s="21"/>
      <c r="E884" s="21"/>
      <c r="F884" s="21"/>
      <c r="G884" s="21"/>
      <c r="H884" s="21"/>
      <c r="I884" s="21"/>
      <c r="J884" s="21"/>
      <c r="K884" s="21"/>
      <c r="L884" s="21"/>
      <c r="M884" s="21"/>
      <c r="N884" s="21"/>
      <c r="O884" s="21"/>
      <c r="P884" s="21"/>
      <c r="Q884" s="19"/>
      <c r="R884" s="19"/>
      <c r="S884" s="19"/>
      <c r="T884" s="19"/>
      <c r="U884" s="19"/>
      <c r="V884" s="19"/>
      <c r="W884" s="19"/>
      <c r="X884" s="19"/>
      <c r="Y884" s="19"/>
      <c r="Z884" s="19"/>
    </row>
    <row r="885">
      <c r="A885" s="21"/>
      <c r="B885" s="21"/>
      <c r="C885" s="21"/>
      <c r="D885" s="21"/>
      <c r="E885" s="21"/>
      <c r="F885" s="21"/>
      <c r="G885" s="21"/>
      <c r="H885" s="21"/>
      <c r="I885" s="21"/>
      <c r="J885" s="21"/>
      <c r="K885" s="21"/>
      <c r="L885" s="21"/>
      <c r="M885" s="21"/>
      <c r="N885" s="21"/>
      <c r="O885" s="21"/>
      <c r="P885" s="21"/>
      <c r="Q885" s="19"/>
      <c r="R885" s="19"/>
      <c r="S885" s="19"/>
      <c r="T885" s="19"/>
      <c r="U885" s="19"/>
      <c r="V885" s="19"/>
      <c r="W885" s="19"/>
      <c r="X885" s="19"/>
      <c r="Y885" s="19"/>
      <c r="Z885" s="19"/>
    </row>
    <row r="886">
      <c r="A886" s="21"/>
      <c r="B886" s="21"/>
      <c r="C886" s="21"/>
      <c r="D886" s="21"/>
      <c r="E886" s="21"/>
      <c r="F886" s="21"/>
      <c r="G886" s="21"/>
      <c r="H886" s="21"/>
      <c r="I886" s="21"/>
      <c r="J886" s="21"/>
      <c r="K886" s="21"/>
      <c r="L886" s="21"/>
      <c r="M886" s="21"/>
      <c r="N886" s="21"/>
      <c r="O886" s="21"/>
      <c r="P886" s="21"/>
      <c r="Q886" s="19"/>
      <c r="R886" s="19"/>
      <c r="S886" s="19"/>
      <c r="T886" s="19"/>
      <c r="U886" s="19"/>
      <c r="V886" s="19"/>
      <c r="W886" s="19"/>
      <c r="X886" s="19"/>
      <c r="Y886" s="19"/>
      <c r="Z886" s="19"/>
    </row>
    <row r="887">
      <c r="A887" s="21"/>
      <c r="B887" s="21"/>
      <c r="C887" s="21"/>
      <c r="D887" s="21"/>
      <c r="E887" s="21"/>
      <c r="F887" s="21"/>
      <c r="G887" s="21"/>
      <c r="H887" s="21"/>
      <c r="I887" s="21"/>
      <c r="J887" s="21"/>
      <c r="K887" s="21"/>
      <c r="L887" s="21"/>
      <c r="M887" s="21"/>
      <c r="N887" s="21"/>
      <c r="O887" s="21"/>
      <c r="P887" s="21"/>
      <c r="Q887" s="19"/>
      <c r="R887" s="19"/>
      <c r="S887" s="19"/>
      <c r="T887" s="19"/>
      <c r="U887" s="19"/>
      <c r="V887" s="19"/>
      <c r="W887" s="19"/>
      <c r="X887" s="19"/>
      <c r="Y887" s="19"/>
      <c r="Z887" s="19"/>
    </row>
    <row r="888">
      <c r="A888" s="21"/>
      <c r="B888" s="21"/>
      <c r="C888" s="21"/>
      <c r="D888" s="21"/>
      <c r="E888" s="21"/>
      <c r="F888" s="21"/>
      <c r="G888" s="21"/>
      <c r="H888" s="21"/>
      <c r="I888" s="21"/>
      <c r="J888" s="21"/>
      <c r="K888" s="21"/>
      <c r="L888" s="21"/>
      <c r="M888" s="21"/>
      <c r="N888" s="21"/>
      <c r="O888" s="21"/>
      <c r="P888" s="21"/>
      <c r="Q888" s="19"/>
      <c r="R888" s="19"/>
      <c r="S888" s="19"/>
      <c r="T888" s="19"/>
      <c r="U888" s="19"/>
      <c r="V888" s="19"/>
      <c r="W888" s="19"/>
      <c r="X888" s="19"/>
      <c r="Y888" s="19"/>
      <c r="Z888" s="19"/>
    </row>
    <row r="889">
      <c r="A889" s="21"/>
      <c r="B889" s="21"/>
      <c r="C889" s="21"/>
      <c r="D889" s="21"/>
      <c r="E889" s="21"/>
      <c r="F889" s="21"/>
      <c r="G889" s="21"/>
      <c r="H889" s="21"/>
      <c r="I889" s="21"/>
      <c r="J889" s="21"/>
      <c r="K889" s="21"/>
      <c r="L889" s="21"/>
      <c r="M889" s="21"/>
      <c r="N889" s="21"/>
      <c r="O889" s="21"/>
      <c r="P889" s="21"/>
      <c r="Q889" s="19"/>
      <c r="R889" s="19"/>
      <c r="S889" s="19"/>
      <c r="T889" s="19"/>
      <c r="U889" s="19"/>
      <c r="V889" s="19"/>
      <c r="W889" s="19"/>
      <c r="X889" s="19"/>
      <c r="Y889" s="19"/>
      <c r="Z889" s="19"/>
    </row>
    <row r="890">
      <c r="A890" s="21"/>
      <c r="B890" s="21"/>
      <c r="C890" s="21"/>
      <c r="D890" s="21"/>
      <c r="E890" s="21"/>
      <c r="F890" s="21"/>
      <c r="G890" s="21"/>
      <c r="H890" s="21"/>
      <c r="I890" s="21"/>
      <c r="J890" s="21"/>
      <c r="K890" s="21"/>
      <c r="L890" s="21"/>
      <c r="M890" s="21"/>
      <c r="N890" s="21"/>
      <c r="O890" s="21"/>
      <c r="P890" s="21"/>
      <c r="Q890" s="19"/>
      <c r="R890" s="19"/>
      <c r="S890" s="19"/>
      <c r="T890" s="19"/>
      <c r="U890" s="19"/>
      <c r="V890" s="19"/>
      <c r="W890" s="19"/>
      <c r="X890" s="19"/>
      <c r="Y890" s="19"/>
      <c r="Z890" s="19"/>
    </row>
    <row r="891">
      <c r="A891" s="21"/>
      <c r="B891" s="21"/>
      <c r="C891" s="21"/>
      <c r="D891" s="21"/>
      <c r="E891" s="21"/>
      <c r="F891" s="21"/>
      <c r="G891" s="21"/>
      <c r="H891" s="21"/>
      <c r="I891" s="21"/>
      <c r="J891" s="21"/>
      <c r="K891" s="21"/>
      <c r="L891" s="21"/>
      <c r="M891" s="21"/>
      <c r="N891" s="21"/>
      <c r="O891" s="21"/>
      <c r="P891" s="21"/>
      <c r="Q891" s="19"/>
      <c r="R891" s="19"/>
      <c r="S891" s="19"/>
      <c r="T891" s="19"/>
      <c r="U891" s="19"/>
      <c r="V891" s="19"/>
      <c r="W891" s="19"/>
      <c r="X891" s="19"/>
      <c r="Y891" s="19"/>
      <c r="Z891" s="19"/>
    </row>
    <row r="892">
      <c r="A892" s="21"/>
      <c r="B892" s="21"/>
      <c r="C892" s="21"/>
      <c r="D892" s="21"/>
      <c r="E892" s="21"/>
      <c r="F892" s="21"/>
      <c r="G892" s="21"/>
      <c r="H892" s="21"/>
      <c r="I892" s="21"/>
      <c r="J892" s="21"/>
      <c r="K892" s="21"/>
      <c r="L892" s="21"/>
      <c r="M892" s="21"/>
      <c r="N892" s="21"/>
      <c r="O892" s="21"/>
      <c r="P892" s="21"/>
      <c r="Q892" s="19"/>
      <c r="R892" s="19"/>
      <c r="S892" s="19"/>
      <c r="T892" s="19"/>
      <c r="U892" s="19"/>
      <c r="V892" s="19"/>
      <c r="W892" s="19"/>
      <c r="X892" s="19"/>
      <c r="Y892" s="19"/>
      <c r="Z892" s="19"/>
    </row>
    <row r="893">
      <c r="A893" s="21"/>
      <c r="B893" s="21"/>
      <c r="C893" s="21"/>
      <c r="D893" s="21"/>
      <c r="E893" s="21"/>
      <c r="F893" s="21"/>
      <c r="G893" s="21"/>
      <c r="H893" s="21"/>
      <c r="I893" s="21"/>
      <c r="J893" s="21"/>
      <c r="K893" s="21"/>
      <c r="L893" s="21"/>
      <c r="M893" s="21"/>
      <c r="N893" s="21"/>
      <c r="O893" s="21"/>
      <c r="P893" s="21"/>
      <c r="Q893" s="19"/>
      <c r="R893" s="19"/>
      <c r="S893" s="19"/>
      <c r="T893" s="19"/>
      <c r="U893" s="19"/>
      <c r="V893" s="19"/>
      <c r="W893" s="19"/>
      <c r="X893" s="19"/>
      <c r="Y893" s="19"/>
      <c r="Z893" s="19"/>
    </row>
    <row r="894">
      <c r="A894" s="21"/>
      <c r="B894" s="21"/>
      <c r="C894" s="21"/>
      <c r="D894" s="21"/>
      <c r="E894" s="21"/>
      <c r="F894" s="21"/>
      <c r="G894" s="21"/>
      <c r="H894" s="21"/>
      <c r="I894" s="21"/>
      <c r="J894" s="21"/>
      <c r="K894" s="21"/>
      <c r="L894" s="21"/>
      <c r="M894" s="21"/>
      <c r="N894" s="21"/>
      <c r="O894" s="21"/>
      <c r="P894" s="21"/>
      <c r="Q894" s="19"/>
      <c r="R894" s="19"/>
      <c r="S894" s="19"/>
      <c r="T894" s="19"/>
      <c r="U894" s="19"/>
      <c r="V894" s="19"/>
      <c r="W894" s="19"/>
      <c r="X894" s="19"/>
      <c r="Y894" s="19"/>
      <c r="Z894" s="19"/>
    </row>
    <row r="895">
      <c r="A895" s="21"/>
      <c r="B895" s="21"/>
      <c r="C895" s="21"/>
      <c r="D895" s="21"/>
      <c r="E895" s="21"/>
      <c r="F895" s="21"/>
      <c r="G895" s="21"/>
      <c r="H895" s="21"/>
      <c r="I895" s="21"/>
      <c r="J895" s="21"/>
      <c r="K895" s="21"/>
      <c r="L895" s="21"/>
      <c r="M895" s="21"/>
      <c r="N895" s="21"/>
      <c r="O895" s="21"/>
      <c r="P895" s="21"/>
      <c r="Q895" s="19"/>
      <c r="R895" s="19"/>
      <c r="S895" s="19"/>
      <c r="T895" s="19"/>
      <c r="U895" s="19"/>
      <c r="V895" s="19"/>
      <c r="W895" s="19"/>
      <c r="X895" s="19"/>
      <c r="Y895" s="19"/>
      <c r="Z895" s="19"/>
    </row>
    <row r="896">
      <c r="A896" s="21"/>
      <c r="B896" s="21"/>
      <c r="C896" s="21"/>
      <c r="D896" s="21"/>
      <c r="E896" s="21"/>
      <c r="F896" s="21"/>
      <c r="G896" s="21"/>
      <c r="H896" s="21"/>
      <c r="I896" s="21"/>
      <c r="J896" s="21"/>
      <c r="K896" s="21"/>
      <c r="L896" s="21"/>
      <c r="M896" s="21"/>
      <c r="N896" s="21"/>
      <c r="O896" s="21"/>
      <c r="P896" s="21"/>
      <c r="Q896" s="19"/>
      <c r="R896" s="19"/>
      <c r="S896" s="19"/>
      <c r="T896" s="19"/>
      <c r="U896" s="19"/>
      <c r="V896" s="19"/>
      <c r="W896" s="19"/>
      <c r="X896" s="19"/>
      <c r="Y896" s="19"/>
      <c r="Z896" s="19"/>
    </row>
    <row r="897">
      <c r="A897" s="21"/>
      <c r="B897" s="21"/>
      <c r="C897" s="21"/>
      <c r="D897" s="21"/>
      <c r="E897" s="21"/>
      <c r="F897" s="21"/>
      <c r="G897" s="21"/>
      <c r="H897" s="21"/>
      <c r="I897" s="21"/>
      <c r="J897" s="21"/>
      <c r="K897" s="21"/>
      <c r="L897" s="21"/>
      <c r="M897" s="21"/>
      <c r="N897" s="21"/>
      <c r="O897" s="21"/>
      <c r="P897" s="21"/>
      <c r="Q897" s="19"/>
      <c r="R897" s="19"/>
      <c r="S897" s="19"/>
      <c r="T897" s="19"/>
      <c r="U897" s="19"/>
      <c r="V897" s="19"/>
      <c r="W897" s="19"/>
      <c r="X897" s="19"/>
      <c r="Y897" s="19"/>
      <c r="Z897" s="19"/>
    </row>
    <row r="898">
      <c r="A898" s="21"/>
      <c r="B898" s="21"/>
      <c r="C898" s="21"/>
      <c r="D898" s="21"/>
      <c r="E898" s="21"/>
      <c r="F898" s="21"/>
      <c r="G898" s="21"/>
      <c r="H898" s="21"/>
      <c r="I898" s="21"/>
      <c r="J898" s="21"/>
      <c r="K898" s="21"/>
      <c r="L898" s="21"/>
      <c r="M898" s="21"/>
      <c r="N898" s="21"/>
      <c r="O898" s="21"/>
      <c r="P898" s="21"/>
      <c r="Q898" s="19"/>
      <c r="R898" s="19"/>
      <c r="S898" s="19"/>
      <c r="T898" s="19"/>
      <c r="U898" s="19"/>
      <c r="V898" s="19"/>
      <c r="W898" s="19"/>
      <c r="X898" s="19"/>
      <c r="Y898" s="19"/>
      <c r="Z898" s="19"/>
    </row>
    <row r="899">
      <c r="A899" s="21"/>
      <c r="B899" s="21"/>
      <c r="C899" s="21"/>
      <c r="D899" s="21"/>
      <c r="E899" s="21"/>
      <c r="F899" s="21"/>
      <c r="G899" s="21"/>
      <c r="H899" s="21"/>
      <c r="I899" s="21"/>
      <c r="J899" s="21"/>
      <c r="K899" s="21"/>
      <c r="L899" s="21"/>
      <c r="M899" s="21"/>
      <c r="N899" s="21"/>
      <c r="O899" s="21"/>
      <c r="P899" s="21"/>
      <c r="Q899" s="19"/>
      <c r="R899" s="19"/>
      <c r="S899" s="19"/>
      <c r="T899" s="19"/>
      <c r="U899" s="19"/>
      <c r="V899" s="19"/>
      <c r="W899" s="19"/>
      <c r="X899" s="19"/>
      <c r="Y899" s="19"/>
      <c r="Z899" s="19"/>
    </row>
    <row r="900">
      <c r="A900" s="21"/>
      <c r="B900" s="21"/>
      <c r="C900" s="21"/>
      <c r="D900" s="21"/>
      <c r="E900" s="21"/>
      <c r="F900" s="21"/>
      <c r="G900" s="21"/>
      <c r="H900" s="21"/>
      <c r="I900" s="21"/>
      <c r="J900" s="21"/>
      <c r="K900" s="21"/>
      <c r="L900" s="21"/>
      <c r="M900" s="21"/>
      <c r="N900" s="21"/>
      <c r="O900" s="21"/>
      <c r="P900" s="21"/>
      <c r="Q900" s="19"/>
      <c r="R900" s="19"/>
      <c r="S900" s="19"/>
      <c r="T900" s="19"/>
      <c r="U900" s="19"/>
      <c r="V900" s="19"/>
      <c r="W900" s="19"/>
      <c r="X900" s="19"/>
      <c r="Y900" s="19"/>
      <c r="Z900" s="19"/>
    </row>
    <row r="901">
      <c r="A901" s="21"/>
      <c r="B901" s="21"/>
      <c r="C901" s="21"/>
      <c r="D901" s="21"/>
      <c r="E901" s="21"/>
      <c r="F901" s="21"/>
      <c r="G901" s="21"/>
      <c r="H901" s="21"/>
      <c r="I901" s="21"/>
      <c r="J901" s="21"/>
      <c r="K901" s="21"/>
      <c r="L901" s="21"/>
      <c r="M901" s="21"/>
      <c r="N901" s="21"/>
      <c r="O901" s="21"/>
      <c r="P901" s="21"/>
      <c r="Q901" s="19"/>
      <c r="R901" s="19"/>
      <c r="S901" s="19"/>
      <c r="T901" s="19"/>
      <c r="U901" s="19"/>
      <c r="V901" s="19"/>
      <c r="W901" s="19"/>
      <c r="X901" s="19"/>
      <c r="Y901" s="19"/>
      <c r="Z901" s="19"/>
    </row>
    <row r="902">
      <c r="A902" s="21"/>
      <c r="B902" s="21"/>
      <c r="C902" s="21"/>
      <c r="D902" s="21"/>
      <c r="E902" s="21"/>
      <c r="F902" s="21"/>
      <c r="G902" s="21"/>
      <c r="H902" s="21"/>
      <c r="I902" s="21"/>
      <c r="J902" s="21"/>
      <c r="K902" s="21"/>
      <c r="L902" s="21"/>
      <c r="M902" s="21"/>
      <c r="N902" s="21"/>
      <c r="O902" s="21"/>
      <c r="P902" s="21"/>
      <c r="Q902" s="19"/>
      <c r="R902" s="19"/>
      <c r="S902" s="19"/>
      <c r="T902" s="19"/>
      <c r="U902" s="19"/>
      <c r="V902" s="19"/>
      <c r="W902" s="19"/>
      <c r="X902" s="19"/>
      <c r="Y902" s="19"/>
      <c r="Z902" s="19"/>
    </row>
    <row r="903">
      <c r="A903" s="21"/>
      <c r="B903" s="21"/>
      <c r="C903" s="21"/>
      <c r="D903" s="21"/>
      <c r="E903" s="21"/>
      <c r="F903" s="21"/>
      <c r="G903" s="21"/>
      <c r="H903" s="21"/>
      <c r="I903" s="21"/>
      <c r="J903" s="21"/>
      <c r="K903" s="21"/>
      <c r="L903" s="21"/>
      <c r="M903" s="21"/>
      <c r="N903" s="21"/>
      <c r="O903" s="21"/>
      <c r="P903" s="21"/>
      <c r="Q903" s="19"/>
      <c r="R903" s="19"/>
      <c r="S903" s="19"/>
      <c r="T903" s="19"/>
      <c r="U903" s="19"/>
      <c r="V903" s="19"/>
      <c r="W903" s="19"/>
      <c r="X903" s="19"/>
      <c r="Y903" s="19"/>
      <c r="Z903" s="19"/>
    </row>
    <row r="904">
      <c r="A904" s="21"/>
      <c r="B904" s="21"/>
      <c r="C904" s="21"/>
      <c r="D904" s="21"/>
      <c r="E904" s="21"/>
      <c r="F904" s="21"/>
      <c r="G904" s="21"/>
      <c r="H904" s="21"/>
      <c r="I904" s="21"/>
      <c r="J904" s="21"/>
      <c r="K904" s="21"/>
      <c r="L904" s="21"/>
      <c r="M904" s="21"/>
      <c r="N904" s="21"/>
      <c r="O904" s="21"/>
      <c r="P904" s="21"/>
      <c r="Q904" s="19"/>
      <c r="R904" s="19"/>
      <c r="S904" s="19"/>
      <c r="T904" s="19"/>
      <c r="U904" s="19"/>
      <c r="V904" s="19"/>
      <c r="W904" s="19"/>
      <c r="X904" s="19"/>
      <c r="Y904" s="19"/>
      <c r="Z904" s="19"/>
    </row>
    <row r="905">
      <c r="A905" s="21"/>
      <c r="B905" s="21"/>
      <c r="C905" s="21"/>
      <c r="D905" s="21"/>
      <c r="E905" s="21"/>
      <c r="F905" s="21"/>
      <c r="G905" s="21"/>
      <c r="H905" s="21"/>
      <c r="I905" s="21"/>
      <c r="J905" s="21"/>
      <c r="K905" s="21"/>
      <c r="L905" s="21"/>
      <c r="M905" s="21"/>
      <c r="N905" s="21"/>
      <c r="O905" s="21"/>
      <c r="P905" s="21"/>
      <c r="Q905" s="19"/>
      <c r="R905" s="19"/>
      <c r="S905" s="19"/>
      <c r="T905" s="19"/>
      <c r="U905" s="19"/>
      <c r="V905" s="19"/>
      <c r="W905" s="19"/>
      <c r="X905" s="19"/>
      <c r="Y905" s="19"/>
      <c r="Z905" s="19"/>
    </row>
    <row r="906">
      <c r="A906" s="21"/>
      <c r="B906" s="21"/>
      <c r="C906" s="21"/>
      <c r="D906" s="21"/>
      <c r="E906" s="21"/>
      <c r="F906" s="21"/>
      <c r="G906" s="21"/>
      <c r="H906" s="21"/>
      <c r="I906" s="21"/>
      <c r="J906" s="21"/>
      <c r="K906" s="21"/>
      <c r="L906" s="21"/>
      <c r="M906" s="21"/>
      <c r="N906" s="21"/>
      <c r="O906" s="21"/>
      <c r="P906" s="21"/>
      <c r="Q906" s="19"/>
      <c r="R906" s="19"/>
      <c r="S906" s="19"/>
      <c r="T906" s="19"/>
      <c r="U906" s="19"/>
      <c r="V906" s="19"/>
      <c r="W906" s="19"/>
      <c r="X906" s="19"/>
      <c r="Y906" s="19"/>
      <c r="Z906" s="19"/>
    </row>
    <row r="907">
      <c r="A907" s="21"/>
      <c r="B907" s="21"/>
      <c r="C907" s="21"/>
      <c r="D907" s="21"/>
      <c r="E907" s="21"/>
      <c r="F907" s="21"/>
      <c r="G907" s="21"/>
      <c r="H907" s="21"/>
      <c r="I907" s="21"/>
      <c r="J907" s="21"/>
      <c r="K907" s="21"/>
      <c r="L907" s="21"/>
      <c r="M907" s="21"/>
      <c r="N907" s="21"/>
      <c r="O907" s="21"/>
      <c r="P907" s="21"/>
      <c r="Q907" s="19"/>
      <c r="R907" s="19"/>
      <c r="S907" s="19"/>
      <c r="T907" s="19"/>
      <c r="U907" s="19"/>
      <c r="V907" s="19"/>
      <c r="W907" s="19"/>
      <c r="X907" s="19"/>
      <c r="Y907" s="19"/>
      <c r="Z907" s="19"/>
    </row>
    <row r="908">
      <c r="A908" s="21"/>
      <c r="B908" s="21"/>
      <c r="C908" s="21"/>
      <c r="D908" s="21"/>
      <c r="E908" s="21"/>
      <c r="F908" s="21"/>
      <c r="G908" s="21"/>
      <c r="H908" s="21"/>
      <c r="I908" s="21"/>
      <c r="J908" s="21"/>
      <c r="K908" s="21"/>
      <c r="L908" s="21"/>
      <c r="M908" s="21"/>
      <c r="N908" s="21"/>
      <c r="O908" s="21"/>
      <c r="P908" s="21"/>
      <c r="Q908" s="19"/>
      <c r="R908" s="19"/>
      <c r="S908" s="19"/>
      <c r="T908" s="19"/>
      <c r="U908" s="19"/>
      <c r="V908" s="19"/>
      <c r="W908" s="19"/>
      <c r="X908" s="19"/>
      <c r="Y908" s="19"/>
      <c r="Z908" s="19"/>
    </row>
    <row r="909">
      <c r="A909" s="21"/>
      <c r="B909" s="21"/>
      <c r="C909" s="21"/>
      <c r="D909" s="21"/>
      <c r="E909" s="21"/>
      <c r="F909" s="21"/>
      <c r="G909" s="21"/>
      <c r="H909" s="21"/>
      <c r="I909" s="21"/>
      <c r="J909" s="21"/>
      <c r="K909" s="21"/>
      <c r="L909" s="21"/>
      <c r="M909" s="21"/>
      <c r="N909" s="21"/>
      <c r="O909" s="21"/>
      <c r="P909" s="21"/>
      <c r="Q909" s="19"/>
      <c r="R909" s="19"/>
      <c r="S909" s="19"/>
      <c r="T909" s="19"/>
      <c r="U909" s="19"/>
      <c r="V909" s="19"/>
      <c r="W909" s="19"/>
      <c r="X909" s="19"/>
      <c r="Y909" s="19"/>
      <c r="Z909" s="19"/>
    </row>
    <row r="910">
      <c r="A910" s="21"/>
      <c r="B910" s="21"/>
      <c r="C910" s="21"/>
      <c r="D910" s="21"/>
      <c r="E910" s="21"/>
      <c r="F910" s="21"/>
      <c r="G910" s="21"/>
      <c r="H910" s="21"/>
      <c r="I910" s="21"/>
      <c r="J910" s="21"/>
      <c r="K910" s="21"/>
      <c r="L910" s="21"/>
      <c r="M910" s="21"/>
      <c r="N910" s="21"/>
      <c r="O910" s="21"/>
      <c r="P910" s="21"/>
      <c r="Q910" s="19"/>
      <c r="R910" s="19"/>
      <c r="S910" s="19"/>
      <c r="T910" s="19"/>
      <c r="U910" s="19"/>
      <c r="V910" s="19"/>
      <c r="W910" s="19"/>
      <c r="X910" s="19"/>
      <c r="Y910" s="19"/>
      <c r="Z910" s="19"/>
    </row>
    <row r="911">
      <c r="A911" s="21"/>
      <c r="B911" s="21"/>
      <c r="C911" s="21"/>
      <c r="D911" s="21"/>
      <c r="E911" s="21"/>
      <c r="F911" s="21"/>
      <c r="G911" s="21"/>
      <c r="H911" s="21"/>
      <c r="I911" s="21"/>
      <c r="J911" s="21"/>
      <c r="K911" s="21"/>
      <c r="L911" s="21"/>
      <c r="M911" s="21"/>
      <c r="N911" s="21"/>
      <c r="O911" s="21"/>
      <c r="P911" s="21"/>
      <c r="Q911" s="19"/>
      <c r="R911" s="19"/>
      <c r="S911" s="19"/>
      <c r="T911" s="19"/>
      <c r="U911" s="19"/>
      <c r="V911" s="19"/>
      <c r="W911" s="19"/>
      <c r="X911" s="19"/>
      <c r="Y911" s="19"/>
      <c r="Z911" s="19"/>
    </row>
    <row r="912">
      <c r="A912" s="21"/>
      <c r="B912" s="21"/>
      <c r="C912" s="21"/>
      <c r="D912" s="21"/>
      <c r="E912" s="21"/>
      <c r="F912" s="21"/>
      <c r="G912" s="21"/>
      <c r="H912" s="21"/>
      <c r="I912" s="21"/>
      <c r="J912" s="21"/>
      <c r="K912" s="21"/>
      <c r="L912" s="21"/>
      <c r="M912" s="21"/>
      <c r="N912" s="21"/>
      <c r="O912" s="21"/>
      <c r="P912" s="21"/>
      <c r="Q912" s="19"/>
      <c r="R912" s="19"/>
      <c r="S912" s="19"/>
      <c r="T912" s="19"/>
      <c r="U912" s="19"/>
      <c r="V912" s="19"/>
      <c r="W912" s="19"/>
      <c r="X912" s="19"/>
      <c r="Y912" s="19"/>
      <c r="Z912" s="19"/>
    </row>
    <row r="913">
      <c r="A913" s="21"/>
      <c r="B913" s="21"/>
      <c r="C913" s="21"/>
      <c r="D913" s="21"/>
      <c r="E913" s="21"/>
      <c r="F913" s="21"/>
      <c r="G913" s="21"/>
      <c r="H913" s="21"/>
      <c r="I913" s="21"/>
      <c r="J913" s="21"/>
      <c r="K913" s="21"/>
      <c r="L913" s="21"/>
      <c r="M913" s="21"/>
      <c r="N913" s="21"/>
      <c r="O913" s="21"/>
      <c r="P913" s="21"/>
      <c r="Q913" s="19"/>
      <c r="R913" s="19"/>
      <c r="S913" s="19"/>
      <c r="T913" s="19"/>
      <c r="U913" s="19"/>
      <c r="V913" s="19"/>
      <c r="W913" s="19"/>
      <c r="X913" s="19"/>
      <c r="Y913" s="19"/>
      <c r="Z913" s="19"/>
    </row>
    <row r="914">
      <c r="A914" s="21"/>
      <c r="B914" s="21"/>
      <c r="C914" s="21"/>
      <c r="D914" s="21"/>
      <c r="E914" s="21"/>
      <c r="F914" s="21"/>
      <c r="G914" s="21"/>
      <c r="H914" s="21"/>
      <c r="I914" s="21"/>
      <c r="J914" s="21"/>
      <c r="K914" s="21"/>
      <c r="L914" s="21"/>
      <c r="M914" s="21"/>
      <c r="N914" s="21"/>
      <c r="O914" s="21"/>
      <c r="P914" s="21"/>
      <c r="Q914" s="19"/>
      <c r="R914" s="19"/>
      <c r="S914" s="19"/>
      <c r="T914" s="19"/>
      <c r="U914" s="19"/>
      <c r="V914" s="19"/>
      <c r="W914" s="19"/>
      <c r="X914" s="19"/>
      <c r="Y914" s="19"/>
      <c r="Z914" s="19"/>
    </row>
    <row r="915">
      <c r="A915" s="21"/>
      <c r="B915" s="21"/>
      <c r="C915" s="21"/>
      <c r="D915" s="21"/>
      <c r="E915" s="21"/>
      <c r="F915" s="21"/>
      <c r="G915" s="21"/>
      <c r="H915" s="21"/>
      <c r="I915" s="21"/>
      <c r="J915" s="21"/>
      <c r="K915" s="21"/>
      <c r="L915" s="21"/>
      <c r="M915" s="21"/>
      <c r="N915" s="21"/>
      <c r="O915" s="21"/>
      <c r="P915" s="21"/>
      <c r="Q915" s="19"/>
      <c r="R915" s="19"/>
      <c r="S915" s="19"/>
      <c r="T915" s="19"/>
      <c r="U915" s="19"/>
      <c r="V915" s="19"/>
      <c r="W915" s="19"/>
      <c r="X915" s="19"/>
      <c r="Y915" s="19"/>
      <c r="Z915" s="19"/>
    </row>
    <row r="916">
      <c r="A916" s="21"/>
      <c r="B916" s="21"/>
      <c r="C916" s="21"/>
      <c r="D916" s="21"/>
      <c r="E916" s="21"/>
      <c r="F916" s="21"/>
      <c r="G916" s="21"/>
      <c r="H916" s="21"/>
      <c r="I916" s="21"/>
      <c r="J916" s="21"/>
      <c r="K916" s="21"/>
      <c r="L916" s="21"/>
      <c r="M916" s="21"/>
      <c r="N916" s="21"/>
      <c r="O916" s="21"/>
      <c r="P916" s="21"/>
      <c r="Q916" s="19"/>
      <c r="R916" s="19"/>
      <c r="S916" s="19"/>
      <c r="T916" s="19"/>
      <c r="U916" s="19"/>
      <c r="V916" s="19"/>
      <c r="W916" s="19"/>
      <c r="X916" s="19"/>
      <c r="Y916" s="19"/>
      <c r="Z916" s="19"/>
    </row>
    <row r="917">
      <c r="A917" s="21"/>
      <c r="B917" s="21"/>
      <c r="C917" s="21"/>
      <c r="D917" s="21"/>
      <c r="E917" s="21"/>
      <c r="F917" s="21"/>
      <c r="G917" s="21"/>
      <c r="H917" s="21"/>
      <c r="I917" s="21"/>
      <c r="J917" s="21"/>
      <c r="K917" s="21"/>
      <c r="L917" s="21"/>
      <c r="M917" s="21"/>
      <c r="N917" s="21"/>
      <c r="O917" s="21"/>
      <c r="P917" s="21"/>
      <c r="Q917" s="19"/>
      <c r="R917" s="19"/>
      <c r="S917" s="19"/>
      <c r="T917" s="19"/>
      <c r="U917" s="19"/>
      <c r="V917" s="19"/>
      <c r="W917" s="19"/>
      <c r="X917" s="19"/>
      <c r="Y917" s="19"/>
      <c r="Z917" s="19"/>
    </row>
    <row r="918">
      <c r="A918" s="21"/>
      <c r="B918" s="21"/>
      <c r="C918" s="21"/>
      <c r="D918" s="21"/>
      <c r="E918" s="21"/>
      <c r="F918" s="21"/>
      <c r="G918" s="21"/>
      <c r="H918" s="21"/>
      <c r="I918" s="21"/>
      <c r="J918" s="21"/>
      <c r="K918" s="21"/>
      <c r="L918" s="21"/>
      <c r="M918" s="21"/>
      <c r="N918" s="21"/>
      <c r="O918" s="21"/>
      <c r="P918" s="21"/>
      <c r="Q918" s="19"/>
      <c r="R918" s="19"/>
      <c r="S918" s="19"/>
      <c r="T918" s="19"/>
      <c r="U918" s="19"/>
      <c r="V918" s="19"/>
      <c r="W918" s="19"/>
      <c r="X918" s="19"/>
      <c r="Y918" s="19"/>
      <c r="Z918" s="19"/>
    </row>
    <row r="919">
      <c r="A919" s="21"/>
      <c r="B919" s="21"/>
      <c r="C919" s="21"/>
      <c r="D919" s="21"/>
      <c r="E919" s="21"/>
      <c r="F919" s="21"/>
      <c r="G919" s="21"/>
      <c r="H919" s="21"/>
      <c r="I919" s="21"/>
      <c r="J919" s="21"/>
      <c r="K919" s="21"/>
      <c r="L919" s="21"/>
      <c r="M919" s="21"/>
      <c r="N919" s="21"/>
      <c r="O919" s="21"/>
      <c r="P919" s="21"/>
      <c r="Q919" s="19"/>
      <c r="R919" s="19"/>
      <c r="S919" s="19"/>
      <c r="T919" s="19"/>
      <c r="U919" s="19"/>
      <c r="V919" s="19"/>
      <c r="W919" s="19"/>
      <c r="X919" s="19"/>
      <c r="Y919" s="19"/>
      <c r="Z919" s="19"/>
    </row>
    <row r="920">
      <c r="A920" s="21"/>
      <c r="B920" s="21"/>
      <c r="C920" s="21"/>
      <c r="D920" s="21"/>
      <c r="E920" s="21"/>
      <c r="F920" s="21"/>
      <c r="G920" s="21"/>
      <c r="H920" s="21"/>
      <c r="I920" s="21"/>
      <c r="J920" s="21"/>
      <c r="K920" s="21"/>
      <c r="L920" s="21"/>
      <c r="M920" s="21"/>
      <c r="N920" s="21"/>
      <c r="O920" s="21"/>
      <c r="P920" s="21"/>
      <c r="Q920" s="19"/>
      <c r="R920" s="19"/>
      <c r="S920" s="19"/>
      <c r="T920" s="19"/>
      <c r="U920" s="19"/>
      <c r="V920" s="19"/>
      <c r="W920" s="19"/>
      <c r="X920" s="19"/>
      <c r="Y920" s="19"/>
      <c r="Z920" s="19"/>
    </row>
    <row r="921">
      <c r="A921" s="21"/>
      <c r="B921" s="21"/>
      <c r="C921" s="21"/>
      <c r="D921" s="21"/>
      <c r="E921" s="21"/>
      <c r="F921" s="21"/>
      <c r="G921" s="21"/>
      <c r="H921" s="21"/>
      <c r="I921" s="21"/>
      <c r="J921" s="21"/>
      <c r="K921" s="21"/>
      <c r="L921" s="21"/>
      <c r="M921" s="21"/>
      <c r="N921" s="21"/>
      <c r="O921" s="21"/>
      <c r="P921" s="21"/>
      <c r="Q921" s="19"/>
      <c r="R921" s="19"/>
      <c r="S921" s="19"/>
      <c r="T921" s="19"/>
      <c r="U921" s="19"/>
      <c r="V921" s="19"/>
      <c r="W921" s="19"/>
      <c r="X921" s="19"/>
      <c r="Y921" s="19"/>
      <c r="Z921" s="19"/>
    </row>
    <row r="922">
      <c r="A922" s="21"/>
      <c r="B922" s="21"/>
      <c r="C922" s="21"/>
      <c r="D922" s="21"/>
      <c r="E922" s="21"/>
      <c r="F922" s="21"/>
      <c r="G922" s="21"/>
      <c r="H922" s="21"/>
      <c r="I922" s="21"/>
      <c r="J922" s="21"/>
      <c r="K922" s="21"/>
      <c r="L922" s="21"/>
      <c r="M922" s="21"/>
      <c r="N922" s="21"/>
      <c r="O922" s="21"/>
      <c r="P922" s="21"/>
      <c r="Q922" s="19"/>
      <c r="R922" s="19"/>
      <c r="S922" s="19"/>
      <c r="T922" s="19"/>
      <c r="U922" s="19"/>
      <c r="V922" s="19"/>
      <c r="W922" s="19"/>
      <c r="X922" s="19"/>
      <c r="Y922" s="19"/>
      <c r="Z922" s="19"/>
    </row>
    <row r="923">
      <c r="A923" s="21"/>
      <c r="B923" s="21"/>
      <c r="C923" s="21"/>
      <c r="D923" s="21"/>
      <c r="E923" s="21"/>
      <c r="F923" s="21"/>
      <c r="G923" s="21"/>
      <c r="H923" s="21"/>
      <c r="I923" s="21"/>
      <c r="J923" s="21"/>
      <c r="K923" s="21"/>
      <c r="L923" s="21"/>
      <c r="M923" s="21"/>
      <c r="N923" s="21"/>
      <c r="O923" s="21"/>
      <c r="P923" s="21"/>
      <c r="Q923" s="19"/>
      <c r="R923" s="19"/>
      <c r="S923" s="19"/>
      <c r="T923" s="19"/>
      <c r="U923" s="19"/>
      <c r="V923" s="19"/>
      <c r="W923" s="19"/>
      <c r="X923" s="19"/>
      <c r="Y923" s="19"/>
      <c r="Z923" s="19"/>
    </row>
    <row r="924">
      <c r="A924" s="21"/>
      <c r="B924" s="21"/>
      <c r="C924" s="21"/>
      <c r="D924" s="21"/>
      <c r="E924" s="21"/>
      <c r="F924" s="21"/>
      <c r="G924" s="21"/>
      <c r="H924" s="21"/>
      <c r="I924" s="21"/>
      <c r="J924" s="21"/>
      <c r="K924" s="21"/>
      <c r="L924" s="21"/>
      <c r="M924" s="21"/>
      <c r="N924" s="21"/>
      <c r="O924" s="21"/>
      <c r="P924" s="21"/>
      <c r="Q924" s="19"/>
      <c r="R924" s="19"/>
      <c r="S924" s="19"/>
      <c r="T924" s="19"/>
      <c r="U924" s="19"/>
      <c r="V924" s="19"/>
      <c r="W924" s="19"/>
      <c r="X924" s="19"/>
      <c r="Y924" s="19"/>
      <c r="Z924" s="19"/>
    </row>
    <row r="925">
      <c r="A925" s="21"/>
      <c r="B925" s="21"/>
      <c r="C925" s="21"/>
      <c r="D925" s="21"/>
      <c r="E925" s="21"/>
      <c r="F925" s="21"/>
      <c r="G925" s="21"/>
      <c r="H925" s="21"/>
      <c r="I925" s="21"/>
      <c r="J925" s="21"/>
      <c r="K925" s="21"/>
      <c r="L925" s="21"/>
      <c r="M925" s="21"/>
      <c r="N925" s="21"/>
      <c r="O925" s="21"/>
      <c r="P925" s="21"/>
      <c r="Q925" s="19"/>
      <c r="R925" s="19"/>
      <c r="S925" s="19"/>
      <c r="T925" s="19"/>
      <c r="U925" s="19"/>
      <c r="V925" s="19"/>
      <c r="W925" s="19"/>
      <c r="X925" s="19"/>
      <c r="Y925" s="19"/>
      <c r="Z925" s="19"/>
    </row>
    <row r="926">
      <c r="A926" s="21"/>
      <c r="B926" s="21"/>
      <c r="C926" s="21"/>
      <c r="D926" s="21"/>
      <c r="E926" s="21"/>
      <c r="F926" s="21"/>
      <c r="G926" s="21"/>
      <c r="H926" s="21"/>
      <c r="I926" s="21"/>
      <c r="J926" s="21"/>
      <c r="K926" s="21"/>
      <c r="L926" s="21"/>
      <c r="M926" s="21"/>
      <c r="N926" s="21"/>
      <c r="O926" s="21"/>
      <c r="P926" s="21"/>
      <c r="Q926" s="19"/>
      <c r="R926" s="19"/>
      <c r="S926" s="19"/>
      <c r="T926" s="19"/>
      <c r="U926" s="19"/>
      <c r="V926" s="19"/>
      <c r="W926" s="19"/>
      <c r="X926" s="19"/>
      <c r="Y926" s="19"/>
      <c r="Z926" s="19"/>
    </row>
    <row r="927">
      <c r="A927" s="21"/>
      <c r="B927" s="21"/>
      <c r="C927" s="21"/>
      <c r="D927" s="21"/>
      <c r="E927" s="21"/>
      <c r="F927" s="21"/>
      <c r="G927" s="21"/>
      <c r="H927" s="21"/>
      <c r="I927" s="21"/>
      <c r="J927" s="21"/>
      <c r="K927" s="21"/>
      <c r="L927" s="21"/>
      <c r="M927" s="21"/>
      <c r="N927" s="21"/>
      <c r="O927" s="21"/>
      <c r="P927" s="21"/>
      <c r="Q927" s="19"/>
      <c r="R927" s="19"/>
      <c r="S927" s="19"/>
      <c r="T927" s="19"/>
      <c r="U927" s="19"/>
      <c r="V927" s="19"/>
      <c r="W927" s="19"/>
      <c r="X927" s="19"/>
      <c r="Y927" s="19"/>
      <c r="Z927" s="19"/>
    </row>
    <row r="928">
      <c r="A928" s="21"/>
      <c r="B928" s="21"/>
      <c r="C928" s="21"/>
      <c r="D928" s="21"/>
      <c r="E928" s="21"/>
      <c r="F928" s="21"/>
      <c r="G928" s="21"/>
      <c r="H928" s="21"/>
      <c r="I928" s="21"/>
      <c r="J928" s="21"/>
      <c r="K928" s="21"/>
      <c r="L928" s="21"/>
      <c r="M928" s="21"/>
      <c r="N928" s="21"/>
      <c r="O928" s="21"/>
      <c r="P928" s="21"/>
      <c r="Q928" s="19"/>
      <c r="R928" s="19"/>
      <c r="S928" s="19"/>
      <c r="T928" s="19"/>
      <c r="U928" s="19"/>
      <c r="V928" s="19"/>
      <c r="W928" s="19"/>
      <c r="X928" s="19"/>
      <c r="Y928" s="19"/>
      <c r="Z928" s="19"/>
    </row>
    <row r="929">
      <c r="A929" s="21"/>
      <c r="B929" s="21"/>
      <c r="C929" s="21"/>
      <c r="D929" s="21"/>
      <c r="E929" s="21"/>
      <c r="F929" s="21"/>
      <c r="G929" s="21"/>
      <c r="H929" s="21"/>
      <c r="I929" s="21"/>
      <c r="J929" s="21"/>
      <c r="K929" s="21"/>
      <c r="L929" s="21"/>
      <c r="M929" s="21"/>
      <c r="N929" s="21"/>
      <c r="O929" s="21"/>
      <c r="P929" s="21"/>
      <c r="Q929" s="19"/>
      <c r="R929" s="19"/>
      <c r="S929" s="19"/>
      <c r="T929" s="19"/>
      <c r="U929" s="19"/>
      <c r="V929" s="19"/>
      <c r="W929" s="19"/>
      <c r="X929" s="19"/>
      <c r="Y929" s="19"/>
      <c r="Z929" s="19"/>
    </row>
    <row r="930">
      <c r="A930" s="21"/>
      <c r="B930" s="21"/>
      <c r="C930" s="21"/>
      <c r="D930" s="21"/>
      <c r="E930" s="21"/>
      <c r="F930" s="21"/>
      <c r="G930" s="21"/>
      <c r="H930" s="21"/>
      <c r="I930" s="21"/>
      <c r="J930" s="21"/>
      <c r="K930" s="21"/>
      <c r="L930" s="21"/>
      <c r="M930" s="21"/>
      <c r="N930" s="21"/>
      <c r="O930" s="21"/>
      <c r="P930" s="21"/>
      <c r="Q930" s="19"/>
      <c r="R930" s="19"/>
      <c r="S930" s="19"/>
      <c r="T930" s="19"/>
      <c r="U930" s="19"/>
      <c r="V930" s="19"/>
      <c r="W930" s="19"/>
      <c r="X930" s="19"/>
      <c r="Y930" s="19"/>
      <c r="Z930" s="19"/>
    </row>
    <row r="931">
      <c r="A931" s="21"/>
      <c r="B931" s="21"/>
      <c r="C931" s="21"/>
      <c r="D931" s="21"/>
      <c r="E931" s="21"/>
      <c r="F931" s="21"/>
      <c r="G931" s="21"/>
      <c r="H931" s="21"/>
      <c r="I931" s="21"/>
      <c r="J931" s="21"/>
      <c r="K931" s="21"/>
      <c r="L931" s="21"/>
      <c r="M931" s="21"/>
      <c r="N931" s="21"/>
      <c r="O931" s="21"/>
      <c r="P931" s="21"/>
      <c r="Q931" s="19"/>
      <c r="R931" s="19"/>
      <c r="S931" s="19"/>
      <c r="T931" s="19"/>
      <c r="U931" s="19"/>
      <c r="V931" s="19"/>
      <c r="W931" s="19"/>
      <c r="X931" s="19"/>
      <c r="Y931" s="19"/>
      <c r="Z931" s="19"/>
    </row>
    <row r="932">
      <c r="A932" s="21"/>
      <c r="B932" s="21"/>
      <c r="C932" s="21"/>
      <c r="D932" s="21"/>
      <c r="E932" s="21"/>
      <c r="F932" s="21"/>
      <c r="G932" s="21"/>
      <c r="H932" s="21"/>
      <c r="I932" s="21"/>
      <c r="J932" s="21"/>
      <c r="K932" s="21"/>
      <c r="L932" s="21"/>
      <c r="M932" s="21"/>
      <c r="N932" s="21"/>
      <c r="O932" s="21"/>
      <c r="P932" s="21"/>
      <c r="Q932" s="19"/>
      <c r="R932" s="19"/>
      <c r="S932" s="19"/>
      <c r="T932" s="19"/>
      <c r="U932" s="19"/>
      <c r="V932" s="19"/>
      <c r="W932" s="19"/>
      <c r="X932" s="19"/>
      <c r="Y932" s="19"/>
      <c r="Z932" s="19"/>
    </row>
    <row r="933">
      <c r="A933" s="21"/>
      <c r="B933" s="21"/>
      <c r="C933" s="21"/>
      <c r="D933" s="21"/>
      <c r="E933" s="21"/>
      <c r="F933" s="21"/>
      <c r="G933" s="21"/>
      <c r="H933" s="21"/>
      <c r="I933" s="21"/>
      <c r="J933" s="21"/>
      <c r="K933" s="21"/>
      <c r="L933" s="21"/>
      <c r="M933" s="21"/>
      <c r="N933" s="21"/>
      <c r="O933" s="21"/>
      <c r="P933" s="21"/>
      <c r="Q933" s="19"/>
      <c r="R933" s="19"/>
      <c r="S933" s="19"/>
      <c r="T933" s="19"/>
      <c r="U933" s="19"/>
      <c r="V933" s="19"/>
      <c r="W933" s="19"/>
      <c r="X933" s="19"/>
      <c r="Y933" s="19"/>
      <c r="Z933" s="19"/>
    </row>
    <row r="934">
      <c r="A934" s="21"/>
      <c r="B934" s="21"/>
      <c r="C934" s="21"/>
      <c r="D934" s="21"/>
      <c r="E934" s="21"/>
      <c r="F934" s="21"/>
      <c r="G934" s="21"/>
      <c r="H934" s="21"/>
      <c r="I934" s="21"/>
      <c r="J934" s="21"/>
      <c r="K934" s="21"/>
      <c r="L934" s="21"/>
      <c r="M934" s="21"/>
      <c r="N934" s="21"/>
      <c r="O934" s="21"/>
      <c r="P934" s="21"/>
      <c r="Q934" s="19"/>
      <c r="R934" s="19"/>
      <c r="S934" s="19"/>
      <c r="T934" s="19"/>
      <c r="U934" s="19"/>
      <c r="V934" s="19"/>
      <c r="W934" s="19"/>
      <c r="X934" s="19"/>
      <c r="Y934" s="19"/>
      <c r="Z934" s="19"/>
    </row>
    <row r="935">
      <c r="A935" s="21"/>
      <c r="B935" s="21"/>
      <c r="C935" s="21"/>
      <c r="D935" s="21"/>
      <c r="E935" s="21"/>
      <c r="F935" s="21"/>
      <c r="G935" s="21"/>
      <c r="H935" s="21"/>
      <c r="I935" s="21"/>
      <c r="J935" s="21"/>
      <c r="K935" s="21"/>
      <c r="L935" s="21"/>
      <c r="M935" s="21"/>
      <c r="N935" s="21"/>
      <c r="O935" s="21"/>
      <c r="P935" s="21"/>
      <c r="Q935" s="19"/>
      <c r="R935" s="19"/>
      <c r="S935" s="19"/>
      <c r="T935" s="19"/>
      <c r="U935" s="19"/>
      <c r="V935" s="19"/>
      <c r="W935" s="19"/>
      <c r="X935" s="19"/>
      <c r="Y935" s="19"/>
      <c r="Z935" s="19"/>
    </row>
    <row r="936">
      <c r="A936" s="21"/>
      <c r="B936" s="21"/>
      <c r="C936" s="21"/>
      <c r="D936" s="21"/>
      <c r="E936" s="21"/>
      <c r="F936" s="21"/>
      <c r="G936" s="21"/>
      <c r="H936" s="21"/>
      <c r="I936" s="21"/>
      <c r="J936" s="21"/>
      <c r="K936" s="21"/>
      <c r="L936" s="21"/>
      <c r="M936" s="21"/>
      <c r="N936" s="21"/>
      <c r="O936" s="21"/>
      <c r="P936" s="21"/>
      <c r="Q936" s="19"/>
      <c r="R936" s="19"/>
      <c r="S936" s="19"/>
      <c r="T936" s="19"/>
      <c r="U936" s="19"/>
      <c r="V936" s="19"/>
      <c r="W936" s="19"/>
      <c r="X936" s="19"/>
      <c r="Y936" s="19"/>
      <c r="Z936" s="19"/>
    </row>
    <row r="937">
      <c r="A937" s="21"/>
      <c r="B937" s="21"/>
      <c r="C937" s="21"/>
      <c r="D937" s="21"/>
      <c r="E937" s="21"/>
      <c r="F937" s="21"/>
      <c r="G937" s="21"/>
      <c r="H937" s="21"/>
      <c r="I937" s="21"/>
      <c r="J937" s="21"/>
      <c r="K937" s="21"/>
      <c r="L937" s="21"/>
      <c r="M937" s="21"/>
      <c r="N937" s="21"/>
      <c r="O937" s="21"/>
      <c r="P937" s="21"/>
      <c r="Q937" s="19"/>
      <c r="R937" s="19"/>
      <c r="S937" s="19"/>
      <c r="T937" s="19"/>
      <c r="U937" s="19"/>
      <c r="V937" s="19"/>
      <c r="W937" s="19"/>
      <c r="X937" s="19"/>
      <c r="Y937" s="19"/>
      <c r="Z937" s="19"/>
    </row>
    <row r="938">
      <c r="A938" s="21"/>
      <c r="B938" s="21"/>
      <c r="C938" s="21"/>
      <c r="D938" s="21"/>
      <c r="E938" s="21"/>
      <c r="F938" s="21"/>
      <c r="G938" s="21"/>
      <c r="H938" s="21"/>
      <c r="I938" s="21"/>
      <c r="J938" s="21"/>
      <c r="K938" s="21"/>
      <c r="L938" s="21"/>
      <c r="M938" s="21"/>
      <c r="N938" s="21"/>
      <c r="O938" s="21"/>
      <c r="P938" s="21"/>
      <c r="Q938" s="19"/>
      <c r="R938" s="19"/>
      <c r="S938" s="19"/>
      <c r="T938" s="19"/>
      <c r="U938" s="19"/>
      <c r="V938" s="19"/>
      <c r="W938" s="19"/>
      <c r="X938" s="19"/>
      <c r="Y938" s="19"/>
      <c r="Z938" s="19"/>
    </row>
    <row r="939">
      <c r="A939" s="21"/>
      <c r="B939" s="21"/>
      <c r="C939" s="21"/>
      <c r="D939" s="21"/>
      <c r="E939" s="21"/>
      <c r="F939" s="21"/>
      <c r="G939" s="21"/>
      <c r="H939" s="21"/>
      <c r="I939" s="21"/>
      <c r="J939" s="21"/>
      <c r="K939" s="21"/>
      <c r="L939" s="21"/>
      <c r="M939" s="21"/>
      <c r="N939" s="21"/>
      <c r="O939" s="21"/>
      <c r="P939" s="21"/>
      <c r="Q939" s="19"/>
      <c r="R939" s="19"/>
      <c r="S939" s="19"/>
      <c r="T939" s="19"/>
      <c r="U939" s="19"/>
      <c r="V939" s="19"/>
      <c r="W939" s="19"/>
      <c r="X939" s="19"/>
      <c r="Y939" s="19"/>
      <c r="Z939" s="19"/>
    </row>
    <row r="940">
      <c r="A940" s="21"/>
      <c r="B940" s="21"/>
      <c r="C940" s="21"/>
      <c r="D940" s="21"/>
      <c r="E940" s="21"/>
      <c r="F940" s="21"/>
      <c r="G940" s="21"/>
      <c r="H940" s="21"/>
      <c r="I940" s="21"/>
      <c r="J940" s="21"/>
      <c r="K940" s="21"/>
      <c r="L940" s="21"/>
      <c r="M940" s="21"/>
      <c r="N940" s="21"/>
      <c r="O940" s="21"/>
      <c r="P940" s="21"/>
      <c r="Q940" s="19"/>
      <c r="R940" s="19"/>
      <c r="S940" s="19"/>
      <c r="T940" s="19"/>
      <c r="U940" s="19"/>
      <c r="V940" s="19"/>
      <c r="W940" s="19"/>
      <c r="X940" s="19"/>
      <c r="Y940" s="19"/>
      <c r="Z940" s="19"/>
    </row>
    <row r="941">
      <c r="A941" s="21"/>
      <c r="B941" s="21"/>
      <c r="C941" s="21"/>
      <c r="D941" s="21"/>
      <c r="E941" s="21"/>
      <c r="F941" s="21"/>
      <c r="G941" s="21"/>
      <c r="H941" s="21"/>
      <c r="I941" s="21"/>
      <c r="J941" s="21"/>
      <c r="K941" s="21"/>
      <c r="L941" s="21"/>
      <c r="M941" s="21"/>
      <c r="N941" s="21"/>
      <c r="O941" s="21"/>
      <c r="P941" s="21"/>
      <c r="Q941" s="19"/>
      <c r="R941" s="19"/>
      <c r="S941" s="19"/>
      <c r="T941" s="19"/>
      <c r="U941" s="19"/>
      <c r="V941" s="19"/>
      <c r="W941" s="19"/>
      <c r="X941" s="19"/>
      <c r="Y941" s="19"/>
      <c r="Z941" s="19"/>
    </row>
    <row r="942">
      <c r="A942" s="21"/>
      <c r="B942" s="21"/>
      <c r="C942" s="21"/>
      <c r="D942" s="21"/>
      <c r="E942" s="21"/>
      <c r="F942" s="21"/>
      <c r="G942" s="21"/>
      <c r="H942" s="21"/>
      <c r="I942" s="21"/>
      <c r="J942" s="21"/>
      <c r="K942" s="21"/>
      <c r="L942" s="21"/>
      <c r="M942" s="21"/>
      <c r="N942" s="21"/>
      <c r="O942" s="21"/>
      <c r="P942" s="21"/>
      <c r="Q942" s="19"/>
      <c r="R942" s="19"/>
      <c r="S942" s="19"/>
      <c r="T942" s="19"/>
      <c r="U942" s="19"/>
      <c r="V942" s="19"/>
      <c r="W942" s="19"/>
      <c r="X942" s="19"/>
      <c r="Y942" s="19"/>
      <c r="Z942" s="19"/>
    </row>
    <row r="943">
      <c r="A943" s="21"/>
      <c r="B943" s="21"/>
      <c r="C943" s="21"/>
      <c r="D943" s="21"/>
      <c r="E943" s="21"/>
      <c r="F943" s="21"/>
      <c r="G943" s="21"/>
      <c r="H943" s="21"/>
      <c r="I943" s="21"/>
      <c r="J943" s="21"/>
      <c r="K943" s="21"/>
      <c r="L943" s="21"/>
      <c r="M943" s="21"/>
      <c r="N943" s="21"/>
      <c r="O943" s="21"/>
      <c r="P943" s="21"/>
      <c r="Q943" s="19"/>
      <c r="R943" s="19"/>
      <c r="S943" s="19"/>
      <c r="T943" s="19"/>
      <c r="U943" s="19"/>
      <c r="V943" s="19"/>
      <c r="W943" s="19"/>
      <c r="X943" s="19"/>
      <c r="Y943" s="19"/>
      <c r="Z943" s="19"/>
    </row>
    <row r="944">
      <c r="A944" s="21"/>
      <c r="B944" s="21"/>
      <c r="C944" s="21"/>
      <c r="D944" s="21"/>
      <c r="E944" s="21"/>
      <c r="F944" s="21"/>
      <c r="G944" s="21"/>
      <c r="H944" s="21"/>
      <c r="I944" s="21"/>
      <c r="J944" s="21"/>
      <c r="K944" s="21"/>
      <c r="L944" s="21"/>
      <c r="M944" s="21"/>
      <c r="N944" s="21"/>
      <c r="O944" s="21"/>
      <c r="P944" s="21"/>
      <c r="Q944" s="19"/>
      <c r="R944" s="19"/>
      <c r="S944" s="19"/>
      <c r="T944" s="19"/>
      <c r="U944" s="19"/>
      <c r="V944" s="19"/>
      <c r="W944" s="19"/>
      <c r="X944" s="19"/>
      <c r="Y944" s="19"/>
      <c r="Z944" s="19"/>
    </row>
    <row r="945">
      <c r="A945" s="21"/>
      <c r="B945" s="21"/>
      <c r="C945" s="21"/>
      <c r="D945" s="21"/>
      <c r="E945" s="21"/>
      <c r="F945" s="21"/>
      <c r="G945" s="21"/>
      <c r="H945" s="21"/>
      <c r="I945" s="21"/>
      <c r="J945" s="21"/>
      <c r="K945" s="21"/>
      <c r="L945" s="21"/>
      <c r="M945" s="21"/>
      <c r="N945" s="21"/>
      <c r="O945" s="21"/>
      <c r="P945" s="21"/>
      <c r="Q945" s="19"/>
      <c r="R945" s="19"/>
      <c r="S945" s="19"/>
      <c r="T945" s="19"/>
      <c r="U945" s="19"/>
      <c r="V945" s="19"/>
      <c r="W945" s="19"/>
      <c r="X945" s="19"/>
      <c r="Y945" s="19"/>
      <c r="Z945" s="19"/>
    </row>
    <row r="946">
      <c r="A946" s="21"/>
      <c r="B946" s="21"/>
      <c r="C946" s="21"/>
      <c r="D946" s="21"/>
      <c r="E946" s="21"/>
      <c r="F946" s="21"/>
      <c r="G946" s="21"/>
      <c r="H946" s="21"/>
      <c r="I946" s="21"/>
      <c r="J946" s="21"/>
      <c r="K946" s="21"/>
      <c r="L946" s="21"/>
      <c r="M946" s="21"/>
      <c r="N946" s="21"/>
      <c r="O946" s="21"/>
      <c r="P946" s="21"/>
      <c r="Q946" s="19"/>
      <c r="R946" s="19"/>
      <c r="S946" s="19"/>
      <c r="T946" s="19"/>
      <c r="U946" s="19"/>
      <c r="V946" s="19"/>
      <c r="W946" s="19"/>
      <c r="X946" s="19"/>
      <c r="Y946" s="19"/>
      <c r="Z946" s="19"/>
    </row>
    <row r="947">
      <c r="A947" s="21"/>
      <c r="B947" s="21"/>
      <c r="C947" s="21"/>
      <c r="D947" s="21"/>
      <c r="E947" s="21"/>
      <c r="F947" s="21"/>
      <c r="G947" s="21"/>
      <c r="H947" s="21"/>
      <c r="I947" s="21"/>
      <c r="J947" s="21"/>
      <c r="K947" s="21"/>
      <c r="L947" s="21"/>
      <c r="M947" s="21"/>
      <c r="N947" s="21"/>
      <c r="O947" s="21"/>
      <c r="P947" s="21"/>
      <c r="Q947" s="19"/>
      <c r="R947" s="19"/>
      <c r="S947" s="19"/>
      <c r="T947" s="19"/>
      <c r="U947" s="19"/>
      <c r="V947" s="19"/>
      <c r="W947" s="19"/>
      <c r="X947" s="19"/>
      <c r="Y947" s="19"/>
      <c r="Z947" s="19"/>
    </row>
    <row r="948">
      <c r="A948" s="21"/>
      <c r="B948" s="21"/>
      <c r="C948" s="21"/>
      <c r="D948" s="21"/>
      <c r="E948" s="21"/>
      <c r="F948" s="21"/>
      <c r="G948" s="21"/>
      <c r="H948" s="21"/>
      <c r="I948" s="21"/>
      <c r="J948" s="21"/>
      <c r="K948" s="21"/>
      <c r="L948" s="21"/>
      <c r="M948" s="21"/>
      <c r="N948" s="21"/>
      <c r="O948" s="21"/>
      <c r="P948" s="21"/>
      <c r="Q948" s="19"/>
      <c r="R948" s="19"/>
      <c r="S948" s="19"/>
      <c r="T948" s="19"/>
      <c r="U948" s="19"/>
      <c r="V948" s="19"/>
      <c r="W948" s="19"/>
      <c r="X948" s="19"/>
      <c r="Y948" s="19"/>
      <c r="Z948" s="19"/>
    </row>
    <row r="949">
      <c r="A949" s="21"/>
      <c r="B949" s="21"/>
      <c r="C949" s="21"/>
      <c r="D949" s="21"/>
      <c r="E949" s="21"/>
      <c r="F949" s="21"/>
      <c r="G949" s="21"/>
      <c r="H949" s="21"/>
      <c r="I949" s="21"/>
      <c r="J949" s="21"/>
      <c r="K949" s="21"/>
      <c r="L949" s="21"/>
      <c r="M949" s="21"/>
      <c r="N949" s="21"/>
      <c r="O949" s="21"/>
      <c r="P949" s="21"/>
      <c r="Q949" s="19"/>
      <c r="R949" s="19"/>
      <c r="S949" s="19"/>
      <c r="T949" s="19"/>
      <c r="U949" s="19"/>
      <c r="V949" s="19"/>
      <c r="W949" s="19"/>
      <c r="X949" s="19"/>
      <c r="Y949" s="19"/>
      <c r="Z949" s="19"/>
    </row>
    <row r="950">
      <c r="A950" s="21"/>
      <c r="B950" s="21"/>
      <c r="C950" s="21"/>
      <c r="D950" s="21"/>
      <c r="E950" s="21"/>
      <c r="F950" s="21"/>
      <c r="G950" s="21"/>
      <c r="H950" s="21"/>
      <c r="I950" s="21"/>
      <c r="J950" s="21"/>
      <c r="K950" s="21"/>
      <c r="L950" s="21"/>
      <c r="M950" s="21"/>
      <c r="N950" s="21"/>
      <c r="O950" s="21"/>
      <c r="P950" s="21"/>
      <c r="Q950" s="19"/>
      <c r="R950" s="19"/>
      <c r="S950" s="19"/>
      <c r="T950" s="19"/>
      <c r="U950" s="19"/>
      <c r="V950" s="19"/>
      <c r="W950" s="19"/>
      <c r="X950" s="19"/>
      <c r="Y950" s="19"/>
      <c r="Z950" s="19"/>
    </row>
    <row r="951">
      <c r="A951" s="21"/>
      <c r="B951" s="21"/>
      <c r="C951" s="21"/>
      <c r="D951" s="21"/>
      <c r="E951" s="21"/>
      <c r="F951" s="21"/>
      <c r="G951" s="21"/>
      <c r="H951" s="21"/>
      <c r="I951" s="21"/>
      <c r="J951" s="21"/>
      <c r="K951" s="21"/>
      <c r="L951" s="21"/>
      <c r="M951" s="21"/>
      <c r="N951" s="21"/>
      <c r="O951" s="21"/>
      <c r="P951" s="21"/>
      <c r="Q951" s="19"/>
      <c r="R951" s="19"/>
      <c r="S951" s="19"/>
      <c r="T951" s="19"/>
      <c r="U951" s="19"/>
      <c r="V951" s="19"/>
      <c r="W951" s="19"/>
      <c r="X951" s="19"/>
      <c r="Y951" s="19"/>
      <c r="Z951" s="19"/>
    </row>
    <row r="952">
      <c r="A952" s="21"/>
      <c r="B952" s="21"/>
      <c r="C952" s="21"/>
      <c r="D952" s="21"/>
      <c r="E952" s="21"/>
      <c r="F952" s="21"/>
      <c r="G952" s="21"/>
      <c r="H952" s="21"/>
      <c r="I952" s="21"/>
      <c r="J952" s="21"/>
      <c r="K952" s="21"/>
      <c r="L952" s="21"/>
      <c r="M952" s="21"/>
      <c r="N952" s="21"/>
      <c r="O952" s="21"/>
      <c r="P952" s="21"/>
      <c r="Q952" s="19"/>
      <c r="R952" s="19"/>
      <c r="S952" s="19"/>
      <c r="T952" s="19"/>
      <c r="U952" s="19"/>
      <c r="V952" s="19"/>
      <c r="W952" s="19"/>
      <c r="X952" s="19"/>
      <c r="Y952" s="19"/>
      <c r="Z952" s="19"/>
    </row>
    <row r="953">
      <c r="A953" s="21"/>
      <c r="B953" s="21"/>
      <c r="C953" s="21"/>
      <c r="D953" s="21"/>
      <c r="E953" s="21"/>
      <c r="F953" s="21"/>
      <c r="G953" s="21"/>
      <c r="H953" s="21"/>
      <c r="I953" s="21"/>
      <c r="J953" s="21"/>
      <c r="K953" s="21"/>
      <c r="L953" s="21"/>
      <c r="M953" s="21"/>
      <c r="N953" s="21"/>
      <c r="O953" s="21"/>
      <c r="P953" s="21"/>
      <c r="Q953" s="19"/>
      <c r="R953" s="19"/>
      <c r="S953" s="19"/>
      <c r="T953" s="19"/>
      <c r="U953" s="19"/>
      <c r="V953" s="19"/>
      <c r="W953" s="19"/>
      <c r="X953" s="19"/>
      <c r="Y953" s="19"/>
      <c r="Z953" s="19"/>
    </row>
    <row r="954">
      <c r="A954" s="21"/>
      <c r="B954" s="21"/>
      <c r="C954" s="21"/>
      <c r="D954" s="21"/>
      <c r="E954" s="21"/>
      <c r="F954" s="21"/>
      <c r="G954" s="21"/>
      <c r="H954" s="21"/>
      <c r="I954" s="21"/>
      <c r="J954" s="21"/>
      <c r="K954" s="21"/>
      <c r="L954" s="21"/>
      <c r="M954" s="21"/>
      <c r="N954" s="21"/>
      <c r="O954" s="21"/>
      <c r="P954" s="21"/>
      <c r="Q954" s="19"/>
      <c r="R954" s="19"/>
      <c r="S954" s="19"/>
      <c r="T954" s="19"/>
      <c r="U954" s="19"/>
      <c r="V954" s="19"/>
      <c r="W954" s="19"/>
      <c r="X954" s="19"/>
      <c r="Y954" s="19"/>
      <c r="Z954" s="19"/>
    </row>
    <row r="955">
      <c r="A955" s="21"/>
      <c r="B955" s="21"/>
      <c r="C955" s="21"/>
      <c r="D955" s="21"/>
      <c r="E955" s="21"/>
      <c r="F955" s="21"/>
      <c r="G955" s="21"/>
      <c r="H955" s="21"/>
      <c r="I955" s="21"/>
      <c r="J955" s="21"/>
      <c r="K955" s="21"/>
      <c r="L955" s="21"/>
      <c r="M955" s="21"/>
      <c r="N955" s="21"/>
      <c r="O955" s="21"/>
      <c r="P955" s="21"/>
      <c r="Q955" s="19"/>
      <c r="R955" s="19"/>
      <c r="S955" s="19"/>
      <c r="T955" s="19"/>
      <c r="U955" s="19"/>
      <c r="V955" s="19"/>
      <c r="W955" s="19"/>
      <c r="X955" s="19"/>
      <c r="Y955" s="19"/>
      <c r="Z955" s="19"/>
    </row>
    <row r="956">
      <c r="A956" s="21"/>
      <c r="B956" s="21"/>
      <c r="C956" s="21"/>
      <c r="D956" s="21"/>
      <c r="E956" s="21"/>
      <c r="F956" s="21"/>
      <c r="G956" s="21"/>
      <c r="H956" s="21"/>
      <c r="I956" s="21"/>
      <c r="J956" s="21"/>
      <c r="K956" s="21"/>
      <c r="L956" s="21"/>
      <c r="M956" s="21"/>
      <c r="N956" s="21"/>
      <c r="O956" s="21"/>
      <c r="P956" s="21"/>
      <c r="Q956" s="19"/>
      <c r="R956" s="19"/>
      <c r="S956" s="19"/>
      <c r="T956" s="19"/>
      <c r="U956" s="19"/>
      <c r="V956" s="19"/>
      <c r="W956" s="19"/>
      <c r="X956" s="19"/>
      <c r="Y956" s="19"/>
      <c r="Z956" s="19"/>
    </row>
    <row r="957">
      <c r="A957" s="21"/>
      <c r="B957" s="21"/>
      <c r="C957" s="21"/>
      <c r="D957" s="21"/>
      <c r="E957" s="21"/>
      <c r="F957" s="21"/>
      <c r="G957" s="21"/>
      <c r="H957" s="21"/>
      <c r="I957" s="21"/>
      <c r="J957" s="21"/>
      <c r="K957" s="21"/>
      <c r="L957" s="21"/>
      <c r="M957" s="21"/>
      <c r="N957" s="21"/>
      <c r="O957" s="21"/>
      <c r="P957" s="21"/>
      <c r="Q957" s="19"/>
      <c r="R957" s="19"/>
      <c r="S957" s="19"/>
      <c r="T957" s="19"/>
      <c r="U957" s="19"/>
      <c r="V957" s="19"/>
      <c r="W957" s="19"/>
      <c r="X957" s="19"/>
      <c r="Y957" s="19"/>
      <c r="Z957" s="19"/>
    </row>
    <row r="958">
      <c r="A958" s="21"/>
      <c r="B958" s="21"/>
      <c r="C958" s="21"/>
      <c r="D958" s="21"/>
      <c r="E958" s="21"/>
      <c r="F958" s="21"/>
      <c r="G958" s="21"/>
      <c r="H958" s="21"/>
      <c r="I958" s="21"/>
      <c r="J958" s="21"/>
      <c r="K958" s="21"/>
      <c r="L958" s="21"/>
      <c r="M958" s="21"/>
      <c r="N958" s="21"/>
      <c r="O958" s="21"/>
      <c r="P958" s="21"/>
      <c r="Q958" s="19"/>
      <c r="R958" s="19"/>
      <c r="S958" s="19"/>
      <c r="T958" s="19"/>
      <c r="U958" s="19"/>
      <c r="V958" s="19"/>
      <c r="W958" s="19"/>
      <c r="X958" s="19"/>
      <c r="Y958" s="19"/>
      <c r="Z958" s="19"/>
    </row>
    <row r="959">
      <c r="A959" s="21"/>
      <c r="B959" s="21"/>
      <c r="C959" s="21"/>
      <c r="D959" s="21"/>
      <c r="E959" s="21"/>
      <c r="F959" s="21"/>
      <c r="G959" s="21"/>
      <c r="H959" s="21"/>
      <c r="I959" s="21"/>
      <c r="J959" s="21"/>
      <c r="K959" s="21"/>
      <c r="L959" s="21"/>
      <c r="M959" s="21"/>
      <c r="N959" s="21"/>
      <c r="O959" s="21"/>
      <c r="P959" s="21"/>
      <c r="Q959" s="19"/>
      <c r="R959" s="19"/>
      <c r="S959" s="19"/>
      <c r="T959" s="19"/>
      <c r="U959" s="19"/>
      <c r="V959" s="19"/>
      <c r="W959" s="19"/>
      <c r="X959" s="19"/>
      <c r="Y959" s="19"/>
      <c r="Z959" s="19"/>
    </row>
    <row r="960">
      <c r="A960" s="21"/>
      <c r="B960" s="21"/>
      <c r="C960" s="21"/>
      <c r="D960" s="21"/>
      <c r="E960" s="21"/>
      <c r="F960" s="21"/>
      <c r="G960" s="21"/>
      <c r="H960" s="21"/>
      <c r="I960" s="21"/>
      <c r="J960" s="21"/>
      <c r="K960" s="21"/>
      <c r="L960" s="21"/>
      <c r="M960" s="21"/>
      <c r="N960" s="21"/>
      <c r="O960" s="21"/>
      <c r="P960" s="21"/>
      <c r="Q960" s="19"/>
      <c r="R960" s="19"/>
      <c r="S960" s="19"/>
      <c r="T960" s="19"/>
      <c r="U960" s="19"/>
      <c r="V960" s="19"/>
      <c r="W960" s="19"/>
      <c r="X960" s="19"/>
      <c r="Y960" s="19"/>
      <c r="Z960" s="19"/>
    </row>
    <row r="961">
      <c r="A961" s="21"/>
      <c r="B961" s="21"/>
      <c r="C961" s="21"/>
      <c r="D961" s="21"/>
      <c r="E961" s="21"/>
      <c r="F961" s="21"/>
      <c r="G961" s="21"/>
      <c r="H961" s="21"/>
      <c r="I961" s="21"/>
      <c r="J961" s="21"/>
      <c r="K961" s="21"/>
      <c r="L961" s="21"/>
      <c r="M961" s="21"/>
      <c r="N961" s="21"/>
      <c r="O961" s="21"/>
      <c r="P961" s="21"/>
      <c r="Q961" s="19"/>
      <c r="R961" s="19"/>
      <c r="S961" s="19"/>
      <c r="T961" s="19"/>
      <c r="U961" s="19"/>
      <c r="V961" s="19"/>
      <c r="W961" s="19"/>
      <c r="X961" s="19"/>
      <c r="Y961" s="19"/>
      <c r="Z961" s="19"/>
    </row>
    <row r="962">
      <c r="A962" s="21"/>
      <c r="B962" s="21"/>
      <c r="C962" s="21"/>
      <c r="D962" s="21"/>
      <c r="E962" s="21"/>
      <c r="F962" s="21"/>
      <c r="G962" s="21"/>
      <c r="H962" s="21"/>
      <c r="I962" s="21"/>
      <c r="J962" s="21"/>
      <c r="K962" s="21"/>
      <c r="L962" s="21"/>
      <c r="M962" s="21"/>
      <c r="N962" s="21"/>
      <c r="O962" s="21"/>
      <c r="P962" s="21"/>
      <c r="Q962" s="19"/>
      <c r="R962" s="19"/>
      <c r="S962" s="19"/>
      <c r="T962" s="19"/>
      <c r="U962" s="19"/>
      <c r="V962" s="19"/>
      <c r="W962" s="19"/>
      <c r="X962" s="19"/>
      <c r="Y962" s="19"/>
      <c r="Z962" s="19"/>
    </row>
    <row r="963">
      <c r="A963" s="21"/>
      <c r="B963" s="21"/>
      <c r="C963" s="21"/>
      <c r="D963" s="21"/>
      <c r="E963" s="21"/>
      <c r="F963" s="21"/>
      <c r="G963" s="21"/>
      <c r="H963" s="21"/>
      <c r="I963" s="21"/>
      <c r="J963" s="21"/>
      <c r="K963" s="21"/>
      <c r="L963" s="21"/>
      <c r="M963" s="21"/>
      <c r="N963" s="21"/>
      <c r="O963" s="21"/>
      <c r="P963" s="21"/>
      <c r="Q963" s="19"/>
      <c r="R963" s="19"/>
      <c r="S963" s="19"/>
      <c r="T963" s="19"/>
      <c r="U963" s="19"/>
      <c r="V963" s="19"/>
      <c r="W963" s="19"/>
      <c r="X963" s="19"/>
      <c r="Y963" s="19"/>
      <c r="Z963" s="19"/>
    </row>
    <row r="964">
      <c r="A964" s="21"/>
      <c r="B964" s="21"/>
      <c r="C964" s="21"/>
      <c r="D964" s="21"/>
      <c r="E964" s="21"/>
      <c r="F964" s="21"/>
      <c r="G964" s="21"/>
      <c r="H964" s="21"/>
      <c r="I964" s="21"/>
      <c r="J964" s="21"/>
      <c r="K964" s="21"/>
      <c r="L964" s="21"/>
      <c r="M964" s="21"/>
      <c r="N964" s="21"/>
      <c r="O964" s="21"/>
      <c r="P964" s="21"/>
      <c r="Q964" s="19"/>
      <c r="R964" s="19"/>
      <c r="S964" s="19"/>
      <c r="T964" s="19"/>
      <c r="U964" s="19"/>
      <c r="V964" s="19"/>
      <c r="W964" s="19"/>
      <c r="X964" s="19"/>
      <c r="Y964" s="19"/>
      <c r="Z964" s="19"/>
    </row>
    <row r="965">
      <c r="A965" s="21"/>
      <c r="B965" s="21"/>
      <c r="C965" s="21"/>
      <c r="D965" s="21"/>
      <c r="E965" s="21"/>
      <c r="F965" s="21"/>
      <c r="G965" s="21"/>
      <c r="H965" s="21"/>
      <c r="I965" s="21"/>
      <c r="J965" s="21"/>
      <c r="K965" s="21"/>
      <c r="L965" s="21"/>
      <c r="M965" s="21"/>
      <c r="N965" s="21"/>
      <c r="O965" s="21"/>
      <c r="P965" s="21"/>
      <c r="Q965" s="19"/>
      <c r="R965" s="19"/>
      <c r="S965" s="19"/>
      <c r="T965" s="19"/>
      <c r="U965" s="19"/>
      <c r="V965" s="19"/>
      <c r="W965" s="19"/>
      <c r="X965" s="19"/>
      <c r="Y965" s="19"/>
      <c r="Z965" s="19"/>
    </row>
    <row r="966">
      <c r="A966" s="21"/>
      <c r="B966" s="21"/>
      <c r="C966" s="21"/>
      <c r="D966" s="21"/>
      <c r="E966" s="21"/>
      <c r="F966" s="21"/>
      <c r="G966" s="21"/>
      <c r="H966" s="21"/>
      <c r="I966" s="21"/>
      <c r="J966" s="21"/>
      <c r="K966" s="21"/>
      <c r="L966" s="21"/>
      <c r="M966" s="21"/>
      <c r="N966" s="21"/>
      <c r="O966" s="21"/>
      <c r="P966" s="21"/>
      <c r="Q966" s="19"/>
      <c r="R966" s="19"/>
      <c r="S966" s="19"/>
      <c r="T966" s="19"/>
      <c r="U966" s="19"/>
      <c r="V966" s="19"/>
      <c r="W966" s="19"/>
      <c r="X966" s="19"/>
      <c r="Y966" s="19"/>
      <c r="Z966" s="19"/>
    </row>
    <row r="967">
      <c r="A967" s="21"/>
      <c r="B967" s="21"/>
      <c r="C967" s="21"/>
      <c r="D967" s="21"/>
      <c r="E967" s="21"/>
      <c r="F967" s="21"/>
      <c r="G967" s="21"/>
      <c r="H967" s="21"/>
      <c r="I967" s="21"/>
      <c r="J967" s="21"/>
      <c r="K967" s="21"/>
      <c r="L967" s="21"/>
      <c r="M967" s="21"/>
      <c r="N967" s="21"/>
      <c r="O967" s="21"/>
      <c r="P967" s="21"/>
      <c r="Q967" s="19"/>
      <c r="R967" s="19"/>
      <c r="S967" s="19"/>
      <c r="T967" s="19"/>
      <c r="U967" s="19"/>
      <c r="V967" s="19"/>
      <c r="W967" s="19"/>
      <c r="X967" s="19"/>
      <c r="Y967" s="19"/>
      <c r="Z967" s="19"/>
    </row>
    <row r="968">
      <c r="A968" s="21"/>
      <c r="B968" s="21"/>
      <c r="C968" s="21"/>
      <c r="D968" s="21"/>
      <c r="E968" s="21"/>
      <c r="F968" s="21"/>
      <c r="G968" s="21"/>
      <c r="H968" s="21"/>
      <c r="I968" s="21"/>
      <c r="J968" s="21"/>
      <c r="K968" s="21"/>
      <c r="L968" s="21"/>
      <c r="M968" s="21"/>
      <c r="N968" s="21"/>
      <c r="O968" s="21"/>
      <c r="P968" s="21"/>
      <c r="Q968" s="19"/>
      <c r="R968" s="19"/>
      <c r="S968" s="19"/>
      <c r="T968" s="19"/>
      <c r="U968" s="19"/>
      <c r="V968" s="19"/>
      <c r="W968" s="19"/>
      <c r="X968" s="19"/>
      <c r="Y968" s="19"/>
      <c r="Z968" s="19"/>
    </row>
    <row r="969">
      <c r="A969" s="21"/>
      <c r="B969" s="21"/>
      <c r="C969" s="21"/>
      <c r="D969" s="21"/>
      <c r="E969" s="21"/>
      <c r="F969" s="21"/>
      <c r="G969" s="21"/>
      <c r="H969" s="21"/>
      <c r="I969" s="21"/>
      <c r="J969" s="21"/>
      <c r="K969" s="21"/>
      <c r="L969" s="21"/>
      <c r="M969" s="21"/>
      <c r="N969" s="21"/>
      <c r="O969" s="21"/>
      <c r="P969" s="21"/>
      <c r="Q969" s="19"/>
      <c r="R969" s="19"/>
      <c r="S969" s="19"/>
      <c r="T969" s="19"/>
      <c r="U969" s="19"/>
      <c r="V969" s="19"/>
      <c r="W969" s="19"/>
      <c r="X969" s="19"/>
      <c r="Y969" s="19"/>
      <c r="Z969" s="19"/>
    </row>
    <row r="970">
      <c r="A970" s="21"/>
      <c r="B970" s="21"/>
      <c r="C970" s="21"/>
      <c r="D970" s="21"/>
      <c r="E970" s="21"/>
      <c r="F970" s="21"/>
      <c r="G970" s="21"/>
      <c r="H970" s="21"/>
      <c r="I970" s="21"/>
      <c r="J970" s="21"/>
      <c r="K970" s="21"/>
      <c r="L970" s="21"/>
      <c r="M970" s="21"/>
      <c r="N970" s="21"/>
      <c r="O970" s="21"/>
      <c r="P970" s="21"/>
      <c r="Q970" s="19"/>
      <c r="R970" s="19"/>
      <c r="S970" s="19"/>
      <c r="T970" s="19"/>
      <c r="U970" s="19"/>
      <c r="V970" s="19"/>
      <c r="W970" s="19"/>
      <c r="X970" s="19"/>
      <c r="Y970" s="19"/>
      <c r="Z970" s="19"/>
    </row>
    <row r="971">
      <c r="A971" s="21"/>
      <c r="B971" s="21"/>
      <c r="C971" s="21"/>
      <c r="D971" s="21"/>
      <c r="E971" s="21"/>
      <c r="F971" s="21"/>
      <c r="G971" s="21"/>
      <c r="H971" s="21"/>
      <c r="I971" s="21"/>
      <c r="J971" s="21"/>
      <c r="K971" s="21"/>
      <c r="L971" s="21"/>
      <c r="M971" s="21"/>
      <c r="N971" s="21"/>
      <c r="O971" s="21"/>
      <c r="P971" s="21"/>
      <c r="Q971" s="19"/>
      <c r="R971" s="19"/>
      <c r="S971" s="19"/>
      <c r="T971" s="19"/>
      <c r="U971" s="19"/>
      <c r="V971" s="19"/>
      <c r="W971" s="19"/>
      <c r="X971" s="19"/>
      <c r="Y971" s="19"/>
      <c r="Z971" s="19"/>
    </row>
    <row r="972">
      <c r="A972" s="21"/>
      <c r="B972" s="21"/>
      <c r="C972" s="21"/>
      <c r="D972" s="21"/>
      <c r="E972" s="21"/>
      <c r="F972" s="21"/>
      <c r="G972" s="21"/>
      <c r="H972" s="21"/>
      <c r="I972" s="21"/>
      <c r="J972" s="21"/>
      <c r="K972" s="21"/>
      <c r="L972" s="21"/>
      <c r="M972" s="21"/>
      <c r="N972" s="21"/>
      <c r="O972" s="21"/>
      <c r="P972" s="21"/>
      <c r="Q972" s="19"/>
      <c r="R972" s="19"/>
      <c r="S972" s="19"/>
      <c r="T972" s="19"/>
      <c r="U972" s="19"/>
      <c r="V972" s="19"/>
      <c r="W972" s="19"/>
      <c r="X972" s="19"/>
      <c r="Y972" s="19"/>
      <c r="Z972" s="19"/>
    </row>
    <row r="973">
      <c r="A973" s="21"/>
      <c r="B973" s="21"/>
      <c r="C973" s="21"/>
      <c r="D973" s="21"/>
      <c r="E973" s="21"/>
      <c r="F973" s="21"/>
      <c r="G973" s="21"/>
      <c r="H973" s="21"/>
      <c r="I973" s="21"/>
      <c r="J973" s="21"/>
      <c r="K973" s="21"/>
      <c r="L973" s="21"/>
      <c r="M973" s="21"/>
      <c r="N973" s="21"/>
      <c r="O973" s="21"/>
      <c r="P973" s="21"/>
      <c r="Q973" s="19"/>
      <c r="R973" s="19"/>
      <c r="S973" s="19"/>
      <c r="T973" s="19"/>
      <c r="U973" s="19"/>
      <c r="V973" s="19"/>
      <c r="W973" s="19"/>
      <c r="X973" s="19"/>
      <c r="Y973" s="19"/>
      <c r="Z973" s="19"/>
    </row>
    <row r="974">
      <c r="A974" s="21"/>
      <c r="B974" s="21"/>
      <c r="C974" s="21"/>
      <c r="D974" s="21"/>
      <c r="E974" s="21"/>
      <c r="F974" s="21"/>
      <c r="G974" s="21"/>
      <c r="H974" s="21"/>
      <c r="I974" s="21"/>
      <c r="J974" s="21"/>
      <c r="K974" s="21"/>
      <c r="L974" s="21"/>
      <c r="M974" s="21"/>
      <c r="N974" s="21"/>
      <c r="O974" s="21"/>
      <c r="P974" s="21"/>
      <c r="Q974" s="19"/>
      <c r="R974" s="19"/>
      <c r="S974" s="19"/>
      <c r="T974" s="19"/>
      <c r="U974" s="19"/>
      <c r="V974" s="19"/>
      <c r="W974" s="19"/>
      <c r="X974" s="19"/>
      <c r="Y974" s="19"/>
      <c r="Z974" s="19"/>
    </row>
    <row r="975">
      <c r="A975" s="21"/>
      <c r="B975" s="21"/>
      <c r="C975" s="21"/>
      <c r="D975" s="21"/>
      <c r="E975" s="21"/>
      <c r="F975" s="21"/>
      <c r="G975" s="21"/>
      <c r="H975" s="21"/>
      <c r="I975" s="21"/>
      <c r="J975" s="21"/>
      <c r="K975" s="21"/>
      <c r="L975" s="21"/>
      <c r="M975" s="21"/>
      <c r="N975" s="21"/>
      <c r="O975" s="21"/>
      <c r="P975" s="21"/>
      <c r="Q975" s="19"/>
      <c r="R975" s="19"/>
      <c r="S975" s="19"/>
      <c r="T975" s="19"/>
      <c r="U975" s="19"/>
      <c r="V975" s="19"/>
      <c r="W975" s="19"/>
      <c r="X975" s="19"/>
      <c r="Y975" s="19"/>
      <c r="Z975" s="19"/>
    </row>
    <row r="976">
      <c r="A976" s="21"/>
      <c r="B976" s="21"/>
      <c r="C976" s="21"/>
      <c r="D976" s="21"/>
      <c r="E976" s="21"/>
      <c r="F976" s="21"/>
      <c r="G976" s="21"/>
      <c r="H976" s="21"/>
      <c r="I976" s="21"/>
      <c r="J976" s="21"/>
      <c r="K976" s="21"/>
      <c r="L976" s="21"/>
      <c r="M976" s="21"/>
      <c r="N976" s="21"/>
      <c r="O976" s="21"/>
      <c r="P976" s="21"/>
      <c r="Q976" s="19"/>
      <c r="R976" s="19"/>
      <c r="S976" s="19"/>
      <c r="T976" s="19"/>
      <c r="U976" s="19"/>
      <c r="V976" s="19"/>
      <c r="W976" s="19"/>
      <c r="X976" s="19"/>
      <c r="Y976" s="19"/>
      <c r="Z976" s="19"/>
    </row>
    <row r="977">
      <c r="A977" s="21"/>
      <c r="B977" s="21"/>
      <c r="C977" s="21"/>
      <c r="D977" s="21"/>
      <c r="E977" s="21"/>
      <c r="F977" s="21"/>
      <c r="G977" s="21"/>
      <c r="H977" s="21"/>
      <c r="I977" s="21"/>
      <c r="J977" s="21"/>
      <c r="K977" s="21"/>
      <c r="L977" s="21"/>
      <c r="M977" s="21"/>
      <c r="N977" s="21"/>
      <c r="O977" s="21"/>
      <c r="P977" s="21"/>
      <c r="Q977" s="19"/>
      <c r="R977" s="19"/>
      <c r="S977" s="19"/>
      <c r="T977" s="19"/>
      <c r="U977" s="19"/>
      <c r="V977" s="19"/>
      <c r="W977" s="19"/>
      <c r="X977" s="19"/>
      <c r="Y977" s="19"/>
      <c r="Z977" s="19"/>
    </row>
    <row r="978">
      <c r="A978" s="21"/>
      <c r="B978" s="21"/>
      <c r="C978" s="21"/>
      <c r="D978" s="21"/>
      <c r="E978" s="21"/>
      <c r="F978" s="21"/>
      <c r="G978" s="21"/>
      <c r="H978" s="21"/>
      <c r="I978" s="21"/>
      <c r="J978" s="21"/>
      <c r="K978" s="21"/>
      <c r="L978" s="21"/>
      <c r="M978" s="21"/>
      <c r="N978" s="21"/>
      <c r="O978" s="21"/>
      <c r="P978" s="21"/>
      <c r="Q978" s="19"/>
      <c r="R978" s="19"/>
      <c r="S978" s="19"/>
      <c r="T978" s="19"/>
      <c r="U978" s="19"/>
      <c r="V978" s="19"/>
      <c r="W978" s="19"/>
      <c r="X978" s="19"/>
      <c r="Y978" s="19"/>
      <c r="Z978" s="19"/>
    </row>
    <row r="979">
      <c r="A979" s="21"/>
      <c r="B979" s="21"/>
      <c r="C979" s="21"/>
      <c r="D979" s="21"/>
      <c r="E979" s="21"/>
      <c r="F979" s="21"/>
      <c r="G979" s="21"/>
      <c r="H979" s="21"/>
      <c r="I979" s="21"/>
      <c r="J979" s="21"/>
      <c r="K979" s="21"/>
      <c r="L979" s="21"/>
      <c r="M979" s="21"/>
      <c r="N979" s="21"/>
      <c r="O979" s="21"/>
      <c r="P979" s="21"/>
      <c r="Q979" s="19"/>
      <c r="R979" s="19"/>
      <c r="S979" s="19"/>
      <c r="T979" s="19"/>
      <c r="U979" s="19"/>
      <c r="V979" s="19"/>
      <c r="W979" s="19"/>
      <c r="X979" s="19"/>
      <c r="Y979" s="19"/>
      <c r="Z979" s="19"/>
    </row>
    <row r="980">
      <c r="A980" s="21"/>
      <c r="B980" s="21"/>
      <c r="C980" s="21"/>
      <c r="D980" s="21"/>
      <c r="E980" s="21"/>
      <c r="F980" s="21"/>
      <c r="G980" s="21"/>
      <c r="H980" s="21"/>
      <c r="I980" s="21"/>
      <c r="J980" s="21"/>
      <c r="K980" s="21"/>
      <c r="L980" s="21"/>
      <c r="M980" s="21"/>
      <c r="N980" s="21"/>
      <c r="O980" s="21"/>
      <c r="P980" s="21"/>
      <c r="Q980" s="19"/>
      <c r="R980" s="19"/>
      <c r="S980" s="19"/>
      <c r="T980" s="19"/>
      <c r="U980" s="19"/>
      <c r="V980" s="19"/>
      <c r="W980" s="19"/>
      <c r="X980" s="19"/>
      <c r="Y980" s="19"/>
      <c r="Z980" s="19"/>
    </row>
    <row r="981">
      <c r="A981" s="21"/>
      <c r="B981" s="21"/>
      <c r="C981" s="21"/>
      <c r="D981" s="21"/>
      <c r="E981" s="21"/>
      <c r="F981" s="21"/>
      <c r="G981" s="21"/>
      <c r="H981" s="21"/>
      <c r="I981" s="21"/>
      <c r="J981" s="21"/>
      <c r="K981" s="21"/>
      <c r="L981" s="21"/>
      <c r="M981" s="21"/>
      <c r="N981" s="21"/>
      <c r="O981" s="21"/>
      <c r="P981" s="21"/>
      <c r="Q981" s="19"/>
      <c r="R981" s="19"/>
      <c r="S981" s="19"/>
      <c r="T981" s="19"/>
      <c r="U981" s="19"/>
      <c r="V981" s="19"/>
      <c r="W981" s="19"/>
      <c r="X981" s="19"/>
      <c r="Y981" s="19"/>
      <c r="Z981" s="19"/>
    </row>
    <row r="982">
      <c r="A982" s="21"/>
      <c r="B982" s="21"/>
      <c r="C982" s="21"/>
      <c r="D982" s="21"/>
      <c r="E982" s="21"/>
      <c r="F982" s="21"/>
      <c r="G982" s="21"/>
      <c r="H982" s="21"/>
      <c r="I982" s="21"/>
      <c r="J982" s="21"/>
      <c r="K982" s="21"/>
      <c r="L982" s="21"/>
      <c r="M982" s="21"/>
      <c r="N982" s="21"/>
      <c r="O982" s="21"/>
      <c r="P982" s="21"/>
      <c r="Q982" s="19"/>
      <c r="R982" s="19"/>
      <c r="S982" s="19"/>
      <c r="T982" s="19"/>
      <c r="U982" s="19"/>
      <c r="V982" s="19"/>
      <c r="W982" s="19"/>
      <c r="X982" s="19"/>
      <c r="Y982" s="19"/>
      <c r="Z982" s="19"/>
    </row>
    <row r="983">
      <c r="A983" s="21"/>
      <c r="B983" s="21"/>
      <c r="C983" s="21"/>
      <c r="D983" s="21"/>
      <c r="E983" s="21"/>
      <c r="F983" s="21"/>
      <c r="G983" s="21"/>
      <c r="H983" s="21"/>
      <c r="I983" s="21"/>
      <c r="J983" s="21"/>
      <c r="K983" s="21"/>
      <c r="L983" s="21"/>
      <c r="M983" s="21"/>
      <c r="N983" s="21"/>
      <c r="O983" s="21"/>
      <c r="P983" s="21"/>
      <c r="Q983" s="19"/>
      <c r="R983" s="19"/>
      <c r="S983" s="19"/>
      <c r="T983" s="19"/>
      <c r="U983" s="19"/>
      <c r="V983" s="19"/>
      <c r="W983" s="19"/>
      <c r="X983" s="19"/>
      <c r="Y983" s="19"/>
      <c r="Z983" s="19"/>
    </row>
    <row r="984">
      <c r="A984" s="21"/>
      <c r="B984" s="21"/>
      <c r="C984" s="21"/>
      <c r="D984" s="21"/>
      <c r="E984" s="21"/>
      <c r="F984" s="21"/>
      <c r="G984" s="21"/>
      <c r="H984" s="21"/>
      <c r="I984" s="21"/>
      <c r="J984" s="21"/>
      <c r="K984" s="21"/>
      <c r="L984" s="21"/>
      <c r="M984" s="21"/>
      <c r="N984" s="21"/>
      <c r="O984" s="21"/>
      <c r="P984" s="21"/>
      <c r="Q984" s="19"/>
      <c r="R984" s="19"/>
      <c r="S984" s="19"/>
      <c r="T984" s="19"/>
      <c r="U984" s="19"/>
      <c r="V984" s="19"/>
      <c r="W984" s="19"/>
      <c r="X984" s="19"/>
      <c r="Y984" s="19"/>
      <c r="Z984" s="19"/>
    </row>
    <row r="985">
      <c r="A985" s="21"/>
      <c r="B985" s="21"/>
      <c r="C985" s="21"/>
      <c r="D985" s="21"/>
      <c r="E985" s="21"/>
      <c r="F985" s="21"/>
      <c r="G985" s="21"/>
      <c r="H985" s="21"/>
      <c r="I985" s="21"/>
      <c r="J985" s="21"/>
      <c r="K985" s="21"/>
      <c r="L985" s="21"/>
      <c r="M985" s="21"/>
      <c r="N985" s="21"/>
      <c r="O985" s="21"/>
      <c r="P985" s="21"/>
      <c r="Q985" s="19"/>
      <c r="R985" s="19"/>
      <c r="S985" s="19"/>
      <c r="T985" s="19"/>
      <c r="U985" s="19"/>
      <c r="V985" s="19"/>
      <c r="W985" s="19"/>
      <c r="X985" s="19"/>
      <c r="Y985" s="19"/>
      <c r="Z985" s="19"/>
    </row>
    <row r="986">
      <c r="A986" s="21"/>
      <c r="B986" s="21"/>
      <c r="C986" s="21"/>
      <c r="D986" s="21"/>
      <c r="E986" s="21"/>
      <c r="F986" s="21"/>
      <c r="G986" s="21"/>
      <c r="H986" s="21"/>
      <c r="I986" s="21"/>
      <c r="J986" s="21"/>
      <c r="K986" s="21"/>
      <c r="L986" s="21"/>
      <c r="M986" s="21"/>
      <c r="N986" s="21"/>
      <c r="O986" s="21"/>
      <c r="P986" s="21"/>
      <c r="Q986" s="19"/>
      <c r="R986" s="19"/>
      <c r="S986" s="19"/>
      <c r="T986" s="19"/>
      <c r="U986" s="19"/>
      <c r="V986" s="19"/>
      <c r="W986" s="19"/>
      <c r="X986" s="19"/>
      <c r="Y986" s="19"/>
      <c r="Z986" s="19"/>
    </row>
    <row r="987">
      <c r="A987" s="21"/>
      <c r="B987" s="21"/>
      <c r="C987" s="21"/>
      <c r="D987" s="21"/>
      <c r="E987" s="21"/>
      <c r="F987" s="21"/>
      <c r="G987" s="21"/>
      <c r="H987" s="21"/>
      <c r="I987" s="21"/>
      <c r="J987" s="21"/>
      <c r="K987" s="21"/>
      <c r="L987" s="21"/>
      <c r="M987" s="21"/>
      <c r="N987" s="21"/>
      <c r="O987" s="21"/>
      <c r="P987" s="21"/>
      <c r="Q987" s="19"/>
      <c r="R987" s="19"/>
      <c r="S987" s="19"/>
      <c r="T987" s="19"/>
      <c r="U987" s="19"/>
      <c r="V987" s="19"/>
      <c r="W987" s="19"/>
      <c r="X987" s="19"/>
      <c r="Y987" s="19"/>
      <c r="Z987" s="19"/>
    </row>
    <row r="988">
      <c r="A988" s="21"/>
      <c r="B988" s="21"/>
      <c r="C988" s="21"/>
      <c r="D988" s="21"/>
      <c r="E988" s="21"/>
      <c r="F988" s="21"/>
      <c r="G988" s="21"/>
      <c r="H988" s="21"/>
      <c r="I988" s="21"/>
      <c r="J988" s="21"/>
      <c r="K988" s="21"/>
      <c r="L988" s="21"/>
      <c r="M988" s="21"/>
      <c r="N988" s="21"/>
      <c r="O988" s="21"/>
      <c r="P988" s="21"/>
      <c r="Q988" s="19"/>
      <c r="R988" s="19"/>
      <c r="S988" s="19"/>
      <c r="T988" s="19"/>
      <c r="U988" s="19"/>
      <c r="V988" s="19"/>
      <c r="W988" s="19"/>
      <c r="X988" s="19"/>
      <c r="Y988" s="19"/>
      <c r="Z988" s="19"/>
    </row>
    <row r="989">
      <c r="A989" s="21"/>
      <c r="B989" s="21"/>
      <c r="C989" s="21"/>
      <c r="D989" s="21"/>
      <c r="E989" s="21"/>
      <c r="F989" s="21"/>
      <c r="G989" s="21"/>
      <c r="H989" s="21"/>
      <c r="I989" s="21"/>
      <c r="J989" s="21"/>
      <c r="K989" s="21"/>
      <c r="L989" s="21"/>
      <c r="M989" s="21"/>
      <c r="N989" s="21"/>
      <c r="O989" s="21"/>
      <c r="P989" s="21"/>
      <c r="Q989" s="19"/>
      <c r="R989" s="19"/>
      <c r="S989" s="19"/>
      <c r="T989" s="19"/>
      <c r="U989" s="19"/>
      <c r="V989" s="19"/>
      <c r="W989" s="19"/>
      <c r="X989" s="19"/>
      <c r="Y989" s="19"/>
      <c r="Z989" s="19"/>
    </row>
    <row r="990">
      <c r="A990" s="21"/>
      <c r="B990" s="21"/>
      <c r="C990" s="21"/>
      <c r="D990" s="21"/>
      <c r="E990" s="21"/>
      <c r="F990" s="21"/>
      <c r="G990" s="21"/>
      <c r="H990" s="21"/>
      <c r="I990" s="21"/>
      <c r="J990" s="21"/>
      <c r="K990" s="21"/>
      <c r="L990" s="21"/>
      <c r="M990" s="21"/>
      <c r="N990" s="21"/>
      <c r="O990" s="21"/>
      <c r="P990" s="21"/>
      <c r="Q990" s="19"/>
      <c r="R990" s="19"/>
      <c r="S990" s="19"/>
      <c r="T990" s="19"/>
      <c r="U990" s="19"/>
      <c r="V990" s="19"/>
      <c r="W990" s="19"/>
      <c r="X990" s="19"/>
      <c r="Y990" s="19"/>
      <c r="Z990" s="19"/>
    </row>
    <row r="991">
      <c r="A991" s="21"/>
      <c r="B991" s="21"/>
      <c r="C991" s="21"/>
      <c r="D991" s="21"/>
      <c r="E991" s="21"/>
      <c r="F991" s="21"/>
      <c r="G991" s="21"/>
      <c r="H991" s="21"/>
      <c r="I991" s="21"/>
      <c r="J991" s="21"/>
      <c r="K991" s="21"/>
      <c r="L991" s="21"/>
      <c r="M991" s="21"/>
      <c r="N991" s="21"/>
      <c r="O991" s="21"/>
      <c r="P991" s="21"/>
      <c r="Q991" s="19"/>
      <c r="R991" s="19"/>
      <c r="S991" s="19"/>
      <c r="T991" s="19"/>
      <c r="U991" s="19"/>
      <c r="V991" s="19"/>
      <c r="W991" s="19"/>
      <c r="X991" s="19"/>
      <c r="Y991" s="19"/>
      <c r="Z991" s="19"/>
    </row>
    <row r="992">
      <c r="A992" s="21"/>
      <c r="B992" s="21"/>
      <c r="C992" s="21"/>
      <c r="D992" s="21"/>
      <c r="E992" s="21"/>
      <c r="F992" s="21"/>
      <c r="G992" s="21"/>
      <c r="H992" s="21"/>
      <c r="I992" s="21"/>
      <c r="J992" s="21"/>
      <c r="K992" s="21"/>
      <c r="L992" s="21"/>
      <c r="M992" s="21"/>
      <c r="N992" s="21"/>
      <c r="O992" s="21"/>
      <c r="P992" s="21"/>
      <c r="Q992" s="19"/>
      <c r="R992" s="19"/>
      <c r="S992" s="19"/>
      <c r="T992" s="19"/>
      <c r="U992" s="19"/>
      <c r="V992" s="19"/>
      <c r="W992" s="19"/>
      <c r="X992" s="19"/>
      <c r="Y992" s="19"/>
      <c r="Z992" s="19"/>
    </row>
    <row r="993">
      <c r="A993" s="21"/>
      <c r="B993" s="21"/>
      <c r="C993" s="21"/>
      <c r="D993" s="21"/>
      <c r="E993" s="21"/>
      <c r="F993" s="21"/>
      <c r="G993" s="21"/>
      <c r="H993" s="21"/>
      <c r="I993" s="21"/>
      <c r="J993" s="21"/>
      <c r="K993" s="21"/>
      <c r="L993" s="21"/>
      <c r="M993" s="21"/>
      <c r="N993" s="21"/>
      <c r="O993" s="21"/>
      <c r="P993" s="21"/>
      <c r="Q993" s="19"/>
      <c r="R993" s="19"/>
      <c r="S993" s="19"/>
      <c r="T993" s="19"/>
      <c r="U993" s="19"/>
      <c r="V993" s="19"/>
      <c r="W993" s="19"/>
      <c r="X993" s="19"/>
      <c r="Y993" s="19"/>
      <c r="Z993" s="19"/>
    </row>
    <row r="994">
      <c r="A994" s="21"/>
      <c r="B994" s="21"/>
      <c r="C994" s="21"/>
      <c r="D994" s="21"/>
      <c r="E994" s="21"/>
      <c r="F994" s="21"/>
      <c r="G994" s="21"/>
      <c r="H994" s="21"/>
      <c r="I994" s="21"/>
      <c r="J994" s="21"/>
      <c r="K994" s="21"/>
      <c r="L994" s="21"/>
      <c r="M994" s="21"/>
      <c r="N994" s="21"/>
      <c r="O994" s="21"/>
      <c r="P994" s="21"/>
      <c r="Q994" s="19"/>
      <c r="R994" s="19"/>
      <c r="S994" s="19"/>
      <c r="T994" s="19"/>
      <c r="U994" s="19"/>
      <c r="V994" s="19"/>
      <c r="W994" s="19"/>
      <c r="X994" s="19"/>
      <c r="Y994" s="19"/>
      <c r="Z994" s="19"/>
    </row>
    <row r="995">
      <c r="A995" s="21"/>
      <c r="B995" s="21"/>
      <c r="C995" s="21"/>
      <c r="D995" s="21"/>
      <c r="E995" s="21"/>
      <c r="F995" s="21"/>
      <c r="G995" s="21"/>
      <c r="H995" s="21"/>
      <c r="I995" s="21"/>
      <c r="J995" s="21"/>
      <c r="K995" s="21"/>
      <c r="L995" s="21"/>
      <c r="M995" s="21"/>
      <c r="N995" s="21"/>
      <c r="O995" s="21"/>
      <c r="P995" s="21"/>
      <c r="Q995" s="19"/>
      <c r="R995" s="19"/>
      <c r="S995" s="19"/>
      <c r="T995" s="19"/>
      <c r="U995" s="19"/>
      <c r="V995" s="19"/>
      <c r="W995" s="19"/>
      <c r="X995" s="19"/>
      <c r="Y995" s="19"/>
      <c r="Z995" s="19"/>
    </row>
    <row r="996">
      <c r="A996" s="21"/>
      <c r="B996" s="21"/>
      <c r="C996" s="21"/>
      <c r="D996" s="21"/>
      <c r="E996" s="21"/>
      <c r="F996" s="21"/>
      <c r="G996" s="21"/>
      <c r="H996" s="21"/>
      <c r="I996" s="21"/>
      <c r="J996" s="21"/>
      <c r="K996" s="21"/>
      <c r="L996" s="21"/>
      <c r="M996" s="21"/>
      <c r="N996" s="21"/>
      <c r="O996" s="21"/>
      <c r="P996" s="21"/>
      <c r="Q996" s="19"/>
      <c r="R996" s="19"/>
      <c r="S996" s="19"/>
      <c r="T996" s="19"/>
      <c r="U996" s="19"/>
      <c r="V996" s="19"/>
      <c r="W996" s="19"/>
      <c r="X996" s="19"/>
      <c r="Y996" s="19"/>
      <c r="Z996" s="19"/>
    </row>
    <row r="997">
      <c r="A997" s="21"/>
      <c r="B997" s="21"/>
      <c r="C997" s="21"/>
      <c r="D997" s="21"/>
      <c r="E997" s="21"/>
      <c r="F997" s="21"/>
      <c r="G997" s="21"/>
      <c r="H997" s="21"/>
      <c r="I997" s="21"/>
      <c r="J997" s="21"/>
      <c r="K997" s="21"/>
      <c r="L997" s="21"/>
      <c r="M997" s="21"/>
      <c r="N997" s="21"/>
      <c r="O997" s="21"/>
      <c r="P997" s="21"/>
      <c r="Q997" s="19"/>
      <c r="R997" s="19"/>
      <c r="S997" s="19"/>
      <c r="T997" s="19"/>
      <c r="U997" s="19"/>
      <c r="V997" s="19"/>
      <c r="W997" s="19"/>
      <c r="X997" s="19"/>
      <c r="Y997" s="19"/>
      <c r="Z997" s="19"/>
    </row>
    <row r="998">
      <c r="A998" s="21"/>
      <c r="B998" s="21"/>
      <c r="C998" s="21"/>
      <c r="D998" s="21"/>
      <c r="E998" s="21"/>
      <c r="F998" s="21"/>
      <c r="G998" s="21"/>
      <c r="H998" s="21"/>
      <c r="I998" s="21"/>
      <c r="J998" s="21"/>
      <c r="K998" s="21"/>
      <c r="L998" s="21"/>
      <c r="M998" s="21"/>
      <c r="N998" s="21"/>
      <c r="O998" s="21"/>
      <c r="P998" s="21"/>
      <c r="Q998" s="19"/>
      <c r="R998" s="19"/>
      <c r="S998" s="19"/>
      <c r="T998" s="19"/>
      <c r="U998" s="19"/>
      <c r="V998" s="19"/>
      <c r="W998" s="19"/>
      <c r="X998" s="19"/>
      <c r="Y998" s="19"/>
      <c r="Z998" s="19"/>
    </row>
    <row r="999">
      <c r="A999" s="21"/>
      <c r="B999" s="21"/>
      <c r="C999" s="21"/>
      <c r="D999" s="21"/>
      <c r="E999" s="21"/>
      <c r="F999" s="21"/>
      <c r="G999" s="21"/>
      <c r="H999" s="21"/>
      <c r="I999" s="21"/>
      <c r="J999" s="21"/>
      <c r="K999" s="21"/>
      <c r="L999" s="21"/>
      <c r="M999" s="21"/>
      <c r="N999" s="21"/>
      <c r="O999" s="21"/>
      <c r="P999" s="21"/>
      <c r="Q999" s="19"/>
      <c r="R999" s="19"/>
      <c r="S999" s="19"/>
      <c r="T999" s="19"/>
      <c r="U999" s="19"/>
      <c r="V999" s="19"/>
      <c r="W999" s="19"/>
      <c r="X999" s="19"/>
      <c r="Y999" s="19"/>
      <c r="Z999" s="19"/>
    </row>
  </sheetData>
  <dataValidations>
    <dataValidation type="custom" allowBlank="1" showDropDown="1" sqref="A2:A148">
      <formula1>AND(ISNUMBER(A2),(NOT(OR(NOT(ISERROR(DATEVALUE(A2))), AND(ISNUMBER(A2), LEFT(CELL("format", A2))="D")))))</formula1>
    </dataValidation>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3" width="12.75"/>
    <col customWidth="1" min="5" max="5" width="12.75"/>
    <col customWidth="1" min="8" max="10" width="12.75"/>
  </cols>
  <sheetData>
    <row r="1">
      <c r="A1" s="20" t="s">
        <v>0</v>
      </c>
      <c r="B1" s="20" t="s">
        <v>1</v>
      </c>
      <c r="C1" s="20" t="s">
        <v>2</v>
      </c>
      <c r="D1" s="20" t="s">
        <v>3</v>
      </c>
      <c r="E1" s="20" t="s">
        <v>4</v>
      </c>
      <c r="F1" s="21"/>
      <c r="G1" s="21"/>
      <c r="H1" s="1" t="s">
        <v>5</v>
      </c>
      <c r="I1" s="1" t="s">
        <v>6</v>
      </c>
      <c r="J1" s="1" t="s">
        <v>7</v>
      </c>
      <c r="K1" s="1" t="s">
        <v>4</v>
      </c>
      <c r="L1" s="3"/>
      <c r="M1" s="3"/>
      <c r="N1" s="3"/>
      <c r="O1" s="3"/>
      <c r="P1" s="3"/>
      <c r="Q1" s="19"/>
      <c r="R1" s="19"/>
      <c r="S1" s="19"/>
      <c r="T1" s="19"/>
      <c r="U1" s="19"/>
      <c r="V1" s="19"/>
      <c r="W1" s="19"/>
      <c r="X1" s="19"/>
      <c r="Y1" s="19"/>
      <c r="Z1" s="19"/>
    </row>
    <row r="2">
      <c r="A2" s="44">
        <v>1.0</v>
      </c>
      <c r="B2" s="24" t="s">
        <v>2202</v>
      </c>
      <c r="C2" s="24" t="s">
        <v>2203</v>
      </c>
      <c r="D2" s="24" t="s">
        <v>2204</v>
      </c>
      <c r="E2" s="24" t="s">
        <v>2205</v>
      </c>
      <c r="F2" s="21"/>
      <c r="G2" s="21"/>
      <c r="H2" s="4" t="str">
        <f>IFERROR(__xludf.DUMMYFUNCTION("GOOGLETRANSLATE(B2, ""en"", ""zh"")"),"在太极拳中，下列哪项原则指的是缓慢、有意识的动作，这些动作有助于提高平衡性和灵活性？")</f>
        <v>在太极拳中，下列哪项原则指的是缓慢、有意识的动作，这些动作有助于提高平衡性和灵活性？</v>
      </c>
      <c r="I2" s="4" t="str">
        <f>IFERROR(__xludf.DUMMYFUNCTION("GOOGLETRANSLATE(C2, ""en"", ""zh"")"),"A）阴阳，B）气功，C）武威，D）太极拳")</f>
        <v>A）阴阳，B）气功，C）武威，D）太极拳</v>
      </c>
      <c r="J2" s="4" t="str">
        <f>IFERROR(__xludf.DUMMYFUNCTION("GOOGLETRANSLATE(D2, ""en"", ""zh"")"),"二）气功")</f>
        <v>二）气功</v>
      </c>
      <c r="K2" s="4" t="str">
        <f>IFERROR(__xludf.DUMMYFUNCTION("GOOGLETRANSLATE(E2, ""en"", ""zh"")"),"气功是一种将呼吸、动作和意识结合起来进行锻炼、疗愈和冥想的练习，这与太极拳缓慢的动作相一致，都能改善平衡和柔韧性。")</f>
        <v>气功是一种将呼吸、动作和意识结合起来进行锻炼、疗愈和冥想的练习，这与太极拳缓慢的动作相一致，都能改善平衡和柔韧性。</v>
      </c>
      <c r="L2" s="22"/>
      <c r="M2" s="22"/>
      <c r="N2" s="22"/>
      <c r="O2" s="22"/>
      <c r="P2" s="21"/>
      <c r="Q2" s="19"/>
      <c r="R2" s="19"/>
      <c r="S2" s="19"/>
      <c r="T2" s="19"/>
      <c r="U2" s="19"/>
      <c r="V2" s="19"/>
      <c r="W2" s="19"/>
      <c r="X2" s="19"/>
      <c r="Y2" s="19"/>
      <c r="Z2" s="19"/>
    </row>
    <row r="3">
      <c r="A3" s="44">
        <v>2.0</v>
      </c>
      <c r="B3" s="24" t="s">
        <v>2206</v>
      </c>
      <c r="C3" s="24" t="s">
        <v>2207</v>
      </c>
      <c r="D3" s="24" t="s">
        <v>2208</v>
      </c>
      <c r="E3" s="24" t="s">
        <v>2209</v>
      </c>
      <c r="F3" s="21"/>
      <c r="G3" s="21"/>
      <c r="H3" s="4" t="str">
        <f>IFERROR(__xludf.DUMMYFUNCTION("GOOGLETRANSLATE(B3, ""en"", ""zh"")"),"在太极拳练习中，练习者缓慢而有意识地移动以保持平衡。这种练习最符合以下哪个原则？")</f>
        <v>在太极拳练习中，练习者缓慢而有意识地移动以保持平衡。这种练习最符合以下哪个原则？</v>
      </c>
      <c r="I3" s="4" t="str">
        <f>IFERROR(__xludf.DUMMYFUNCTION("GOOGLETRANSLATE(C3, ""en"", ""zh"")"),"A) 流动，B) 静止，C) 扩张，D) 中心化")</f>
        <v>A) 流动，B) 静止，C) 扩张，D) 中心化</v>
      </c>
      <c r="J3" s="4" t="str">
        <f>IFERROR(__xludf.DUMMYFUNCTION("GOOGLETRANSLATE(D3, ""en"", ""zh"")"),"D) 居中")</f>
        <v>D) 居中</v>
      </c>
      <c r="K3" s="4" t="str">
        <f>IFERROR(__xludf.DUMMYFUNCTION("GOOGLETRANSLATE(E3, ""en"", ""zh"")"),"专注是指通过控制、有意识的动作来稳定自身并找到平衡，这是太极拳练习的核心方面。")</f>
        <v>专注是指通过控制、有意识的动作来稳定自身并找到平衡，这是太极拳练习的核心方面。</v>
      </c>
      <c r="L3" s="22"/>
      <c r="M3" s="22"/>
      <c r="N3" s="22"/>
      <c r="O3" s="22"/>
      <c r="P3" s="39"/>
      <c r="Q3" s="19"/>
      <c r="R3" s="19"/>
      <c r="S3" s="19"/>
      <c r="T3" s="19"/>
      <c r="U3" s="19"/>
      <c r="V3" s="19"/>
      <c r="W3" s="19"/>
      <c r="X3" s="19"/>
      <c r="Y3" s="19"/>
      <c r="Z3" s="19"/>
    </row>
    <row r="4">
      <c r="A4" s="44">
        <v>3.0</v>
      </c>
      <c r="B4" s="24" t="s">
        <v>2210</v>
      </c>
      <c r="C4" s="24" t="s">
        <v>2211</v>
      </c>
      <c r="D4" s="24" t="s">
        <v>2212</v>
      </c>
      <c r="E4" s="24" t="s">
        <v>2213</v>
      </c>
      <c r="F4" s="21"/>
      <c r="G4" s="21"/>
      <c r="H4" s="4" t="str">
        <f>IFERROR(__xludf.DUMMYFUNCTION("GOOGLETRANSLATE(B4, ""en"", ""zh"")"),"在太极拳中，下列哪一项最能解释“掤”的概念，练习者在动作中力求体现这一概念？")</f>
        <v>在太极拳中，下列哪一项最能解释“掤”的概念，练习者在动作中力求体现这一概念？</v>
      </c>
      <c r="I4" s="4" t="str">
        <f>IFERROR(__xludf.DUMMYFUNCTION("GOOGLETRANSLATE(C4, ""en"", ""zh"")"),"A) 柔软度，B) 硬度，C) 扩张性，D) 向前运动")</f>
        <v>A) 柔软度，B) 硬度，C) 扩张性，D) 向前运动</v>
      </c>
      <c r="J4" s="4" t="str">
        <f>IFERROR(__xludf.DUMMYFUNCTION("GOOGLETRANSLATE(D4, ""en"", ""zh"")"),"C）扩张")</f>
        <v>C）扩张</v>
      </c>
      <c r="K4" s="4" t="str">
        <f>IFERROR(__xludf.DUMMYFUNCTION("GOOGLETRANSLATE(E4, ""en"", ""zh"")"),"“橹”是太极拳的一个概念，能量向外扩展，代表着运动中的轻盈感和力量感。")</f>
        <v>“橹”是太极拳的一个概念，能量向外扩展，代表着运动中的轻盈感和力量感。</v>
      </c>
      <c r="L4" s="22"/>
      <c r="M4" s="22"/>
      <c r="N4" s="22"/>
      <c r="O4" s="22"/>
      <c r="P4" s="22"/>
      <c r="Q4" s="19"/>
      <c r="R4" s="19"/>
      <c r="S4" s="19"/>
      <c r="T4" s="19"/>
      <c r="U4" s="19"/>
      <c r="V4" s="19"/>
      <c r="W4" s="19"/>
      <c r="X4" s="19"/>
      <c r="Y4" s="19"/>
      <c r="Z4" s="19"/>
    </row>
    <row r="5">
      <c r="A5" s="44">
        <v>4.0</v>
      </c>
      <c r="B5" s="24" t="s">
        <v>2214</v>
      </c>
      <c r="C5" s="24" t="s">
        <v>2215</v>
      </c>
      <c r="D5" s="24" t="s">
        <v>2216</v>
      </c>
      <c r="E5" s="24" t="s">
        <v>2217</v>
      </c>
      <c r="F5" s="21"/>
      <c r="G5" s="21"/>
      <c r="H5" s="4" t="str">
        <f>IFERROR(__xludf.DUMMYFUNCTION("GOOGLETRANSLATE(B5, ""en"", ""zh"")"),"哪种太极拳形式以改善关节活动度和肌肉力量而闻名？")</f>
        <v>哪种太极拳形式以改善关节活动度和肌肉力量而闻名？</v>
      </c>
      <c r="I5" s="4" t="str">
        <f>IFERROR(__xludf.DUMMYFUNCTION("GOOGLETRANSLATE(C5, ""en"", ""zh"")"),"A) 杨式，B) 陈式，C) 吴式，D) 孙式")</f>
        <v>A) 杨式，B) 陈式，C) 吴式，D) 孙式</v>
      </c>
      <c r="J5" s="4" t="str">
        <f>IFERROR(__xludf.DUMMYFUNCTION("GOOGLETRANSLATE(D5, ""en"", ""zh"")"),"A) 杨氏风格")</f>
        <v>A) 杨氏风格</v>
      </c>
      <c r="K5" s="4" t="str">
        <f>IFERROR(__xludf.DUMMYFUNCTION("GOOGLETRANSLATE(E5, ""en"", ""zh"")"),"杨氏太极拳以其流畅优美的动作而闻名，有助于增强关节活动度、肌肉力量和整体柔韧性。")</f>
        <v>杨氏太极拳以其流畅优美的动作而闻名，有助于增强关节活动度、肌肉力量和整体柔韧性。</v>
      </c>
      <c r="L5" s="21"/>
      <c r="M5" s="22"/>
      <c r="N5" s="21"/>
      <c r="O5" s="22"/>
      <c r="P5" s="21"/>
      <c r="Q5" s="19"/>
      <c r="R5" s="19"/>
      <c r="S5" s="19"/>
      <c r="T5" s="19"/>
      <c r="U5" s="19"/>
      <c r="V5" s="19"/>
      <c r="W5" s="19"/>
      <c r="X5" s="19"/>
      <c r="Y5" s="19"/>
      <c r="Z5" s="19"/>
    </row>
    <row r="6">
      <c r="A6" s="44">
        <v>5.0</v>
      </c>
      <c r="B6" s="24" t="s">
        <v>2218</v>
      </c>
      <c r="C6" s="24" t="s">
        <v>2219</v>
      </c>
      <c r="D6" s="24" t="s">
        <v>2220</v>
      </c>
      <c r="E6" s="24" t="s">
        <v>2221</v>
      </c>
      <c r="F6" s="21"/>
      <c r="G6" s="21"/>
      <c r="H6" s="4" t="str">
        <f>IFERROR(__xludf.DUMMYFUNCTION("GOOGLETRANSLATE(B6, ""en"", ""zh"")"),"太极拳作为一种健身手段，而非武术，其主要关注点是什么？")</f>
        <v>太极拳作为一种健身手段，而非武术，其主要关注点是什么？</v>
      </c>
      <c r="I6" s="4" t="str">
        <f>IFERROR(__xludf.DUMMYFUNCTION("GOOGLETRANSLATE(C6, ""en"", ""zh"")"),"A) 提升速度，B) 增强柔韧性和力量，C) 增强攻击性，D) 提高速度和爆发力")</f>
        <v>A) 提升速度，B) 增强柔韧性和力量，C) 增强攻击性，D) 提高速度和爆发力</v>
      </c>
      <c r="J6" s="4" t="str">
        <f>IFERROR(__xludf.DUMMYFUNCTION("GOOGLETRANSLATE(D6, ""en"", ""zh"")"),"B) 增强柔韧性和力量")</f>
        <v>B) 增强柔韧性和力量</v>
      </c>
      <c r="K6" s="4" t="str">
        <f>IFERROR(__xludf.DUMMYFUNCTION("GOOGLETRANSLATE(E6, ""en"", ""zh"")"),"太极拳注重缓慢、可控的动作，以提高柔韧性、力量和整体健康水平，而不是专注于战斗技巧。")</f>
        <v>太极拳注重缓慢、可控的动作，以提高柔韧性、力量和整体健康水平，而不是专注于战斗技巧。</v>
      </c>
      <c r="L6" s="21"/>
      <c r="M6" s="22"/>
      <c r="N6" s="21"/>
      <c r="O6" s="22"/>
      <c r="P6" s="21"/>
      <c r="Q6" s="19"/>
      <c r="R6" s="19"/>
      <c r="S6" s="19"/>
      <c r="T6" s="19"/>
      <c r="U6" s="19"/>
      <c r="V6" s="19"/>
      <c r="W6" s="19"/>
      <c r="X6" s="19"/>
      <c r="Y6" s="19"/>
      <c r="Z6" s="19"/>
    </row>
    <row r="7">
      <c r="A7" s="44">
        <v>6.0</v>
      </c>
      <c r="B7" s="24" t="s">
        <v>2222</v>
      </c>
      <c r="C7" s="24" t="s">
        <v>2223</v>
      </c>
      <c r="D7" s="24" t="s">
        <v>2224</v>
      </c>
      <c r="E7" s="24" t="s">
        <v>2225</v>
      </c>
      <c r="F7" s="21"/>
      <c r="G7" s="21"/>
      <c r="H7" s="4" t="str">
        <f>IFERROR(__xludf.DUMMYFUNCTION("GOOGLETRANSLATE(B7, ""en"", ""zh"")"),"太极拳的哪个要素强调放松和释放身体的紧张感？")</f>
        <v>太极拳的哪个要素强调放松和释放身体的紧张感？</v>
      </c>
      <c r="I7" s="4" t="str">
        <f>IFERROR(__xludf.DUMMYFUNCTION("GOOGLETRANSLATE(C7, ""en"", ""zh"")"),"A) 内力，B) 呼吸控制，C) 柔和度，D) 平衡")</f>
        <v>A) 内力，B) 呼吸控制，C) 柔和度，D) 平衡</v>
      </c>
      <c r="J7" s="4" t="str">
        <f>IFERROR(__xludf.DUMMYFUNCTION("GOOGLETRANSLATE(D7, ""en"", ""zh"")"),"C) 柔软度")</f>
        <v>C) 柔软度</v>
      </c>
      <c r="K7" s="4" t="str">
        <f>IFERROR(__xludf.DUMMYFUNCTION("GOOGLETRANSLATE(E7, ""en"", ""zh"")"),"柔和是太极拳的核心原则，强调放松和释放不必要的紧张感，以增强动作的流畅性和效率。")</f>
        <v>柔和是太极拳的核心原则，强调放松和释放不必要的紧张感，以增强动作的流畅性和效率。</v>
      </c>
      <c r="L7" s="22"/>
      <c r="M7" s="22"/>
      <c r="N7" s="22"/>
      <c r="O7" s="22"/>
      <c r="P7" s="21"/>
      <c r="Q7" s="19"/>
      <c r="R7" s="19"/>
      <c r="S7" s="19"/>
      <c r="T7" s="19"/>
      <c r="U7" s="19"/>
      <c r="V7" s="19"/>
      <c r="W7" s="19"/>
      <c r="X7" s="19"/>
      <c r="Y7" s="19"/>
      <c r="Z7" s="19"/>
    </row>
    <row r="8">
      <c r="A8" s="44">
        <v>7.0</v>
      </c>
      <c r="B8" s="24" t="s">
        <v>2226</v>
      </c>
      <c r="C8" s="24" t="s">
        <v>2227</v>
      </c>
      <c r="D8" s="24" t="s">
        <v>2228</v>
      </c>
      <c r="E8" s="24" t="s">
        <v>2229</v>
      </c>
      <c r="F8" s="21"/>
      <c r="G8" s="21"/>
      <c r="H8" s="4" t="str">
        <f>IFERROR(__xludf.DUMMYFUNCTION("GOOGLETRANSLATE(B8, ""en"", ""zh"")"),"在太极拳套路中，哪个动作通常与“转腰”的概念联系在一起？")</f>
        <v>在太极拳套路中，哪个动作通常与“转腰”的概念联系在一起？</v>
      </c>
      <c r="I8" s="4" t="str">
        <f>IFERROR(__xludf.DUMMYFUNCTION("GOOGLETRANSLATE(C8, ""en"", ""zh"")"),"A）推手，B）抓住鸟尾，C）单鞭，D）擦膝")</f>
        <v>A）推手，B）抓住鸟尾，C）单鞭，D）擦膝</v>
      </c>
      <c r="J8" s="4" t="str">
        <f>IFERROR(__xludf.DUMMYFUNCTION("GOOGLETRANSLATE(D8, ""en"", ""zh"")"),"B）抓住鸟的尾巴")</f>
        <v>B）抓住鸟的尾巴</v>
      </c>
      <c r="K8" s="4" t="str">
        <f>IFERROR(__xludf.DUMMYFUNCTION("GOOGLETRANSLATE(E8, ""en"", ""zh"")"),"抓住鸟尾是太极拳的基本动作，其中包含了扭腰的动作，有助于产生力量和保持平衡。")</f>
        <v>抓住鸟尾是太极拳的基本动作，其中包含了扭腰的动作，有助于产生力量和保持平衡。</v>
      </c>
      <c r="L8" s="22"/>
      <c r="M8" s="22"/>
      <c r="N8" s="22"/>
      <c r="O8" s="22"/>
      <c r="P8" s="22"/>
      <c r="Q8" s="19"/>
      <c r="R8" s="19"/>
      <c r="S8" s="19"/>
      <c r="T8" s="19"/>
      <c r="U8" s="19"/>
      <c r="V8" s="19"/>
      <c r="W8" s="19"/>
      <c r="X8" s="19"/>
      <c r="Y8" s="19"/>
      <c r="Z8" s="19"/>
    </row>
    <row r="9">
      <c r="A9" s="44">
        <v>8.0</v>
      </c>
      <c r="B9" s="24" t="s">
        <v>2230</v>
      </c>
      <c r="C9" s="24" t="s">
        <v>2231</v>
      </c>
      <c r="D9" s="24" t="s">
        <v>2232</v>
      </c>
      <c r="E9" s="24" t="s">
        <v>2233</v>
      </c>
      <c r="F9" s="21"/>
      <c r="G9" s="21"/>
      <c r="H9" s="4" t="str">
        <f>IFERROR(__xludf.DUMMYFUNCTION("GOOGLETRANSLATE(B9, ""en"", ""zh"")"),"在太极拳的练习中，下列哪一项在动作进行时最为重要？")</f>
        <v>在太极拳的练习中，下列哪一项在动作进行时最为重要？</v>
      </c>
      <c r="I9" s="4" t="str">
        <f>IFERROR(__xludf.DUMMYFUNCTION("GOOGLETRANSLATE(C9, ""en"", ""zh"")"),"A) 速度，B) 呼吸，C) 力量，D) 攻击性")</f>
        <v>A) 速度，B) 呼吸，C) 力量，D) 攻击性</v>
      </c>
      <c r="J9" s="4" t="str">
        <f>IFERROR(__xludf.DUMMYFUNCTION("GOOGLETRANSLATE(D9, ""en"", ""zh"")"),"B) 呼吸")</f>
        <v>B) 呼吸</v>
      </c>
      <c r="K9" s="4" t="str">
        <f>IFERROR(__xludf.DUMMYFUNCTION("GOOGLETRANSLATE(E9, ""en"", ""zh"")"),"呼吸控制是太极拳练习的核心要素。它有助于协调动作与体内能量流动，并促进放松。")</f>
        <v>呼吸控制是太极拳练习的核心要素。它有助于协调动作与体内能量流动，并促进放松。</v>
      </c>
      <c r="L9" s="21"/>
      <c r="M9" s="22"/>
      <c r="N9" s="21"/>
      <c r="O9" s="22"/>
      <c r="P9" s="22"/>
      <c r="Q9" s="19"/>
      <c r="R9" s="19"/>
      <c r="S9" s="19"/>
      <c r="T9" s="19"/>
      <c r="U9" s="19"/>
      <c r="V9" s="19"/>
      <c r="W9" s="19"/>
      <c r="X9" s="19"/>
      <c r="Y9" s="19"/>
      <c r="Z9" s="19"/>
    </row>
    <row r="10">
      <c r="A10" s="44">
        <v>9.0</v>
      </c>
      <c r="B10" s="24" t="s">
        <v>2234</v>
      </c>
      <c r="C10" s="24" t="s">
        <v>2235</v>
      </c>
      <c r="D10" s="24" t="s">
        <v>2236</v>
      </c>
      <c r="E10" s="24" t="s">
        <v>2237</v>
      </c>
      <c r="F10" s="21"/>
      <c r="G10" s="21"/>
      <c r="H10" s="4" t="str">
        <f>IFERROR(__xludf.DUMMYFUNCTION("GOOGLETRANSLATE(B10, ""en"", ""zh"")"),"哪种太极拳流派以其爆发性的动作和高强度的技巧而闻名？")</f>
        <v>哪种太极拳流派以其爆发性的动作和高强度的技巧而闻名？</v>
      </c>
      <c r="I10" s="4" t="str">
        <f>IFERROR(__xludf.DUMMYFUNCTION("GOOGLETRANSLATE(C10, ""en"", ""zh"")"),"A）陈式，B）吴式，C）杨式，D）孙式")</f>
        <v>A）陈式，B）吴式，C）杨式，D）孙式</v>
      </c>
      <c r="J10" s="4" t="str">
        <f>IFERROR(__xludf.DUMMYFUNCTION("GOOGLETRANSLATE(D10, ""en"", ""zh"")"),"A) 陈氏风格")</f>
        <v>A) 陈氏风格</v>
      </c>
      <c r="K10" s="4" t="str">
        <f>IFERROR(__xludf.DUMMYFUNCTION("GOOGLETRANSLATE(E10, ""en"", ""zh"")"),"陈式太极拳以其动态的动作而闻名，动作既有慢速也有快速，并融合了更具爆发力和强度的技巧。")</f>
        <v>陈式太极拳以其动态的动作而闻名，动作既有慢速也有快速，并融合了更具爆发力和强度的技巧。</v>
      </c>
      <c r="L10" s="21"/>
      <c r="M10" s="22"/>
      <c r="N10" s="21"/>
      <c r="O10" s="22"/>
      <c r="P10" s="22"/>
      <c r="Q10" s="19"/>
      <c r="R10" s="19"/>
      <c r="S10" s="19"/>
      <c r="T10" s="19"/>
      <c r="U10" s="19"/>
      <c r="V10" s="19"/>
      <c r="W10" s="19"/>
      <c r="X10" s="19"/>
      <c r="Y10" s="19"/>
      <c r="Z10" s="19"/>
    </row>
    <row r="11">
      <c r="A11" s="44">
        <v>10.0</v>
      </c>
      <c r="B11" s="24" t="s">
        <v>2238</v>
      </c>
      <c r="C11" s="24" t="s">
        <v>2239</v>
      </c>
      <c r="D11" s="24" t="s">
        <v>2240</v>
      </c>
      <c r="E11" s="24" t="s">
        <v>2241</v>
      </c>
      <c r="F11" s="21"/>
      <c r="G11" s="21"/>
      <c r="H11" s="4" t="str">
        <f>IFERROR(__xludf.DUMMYFUNCTION("GOOGLETRANSLATE(B11, ""en"", ""zh"")"),"太极拳练习者通过定期练习旨在达到什么目标？")</f>
        <v>太极拳练习者通过定期练习旨在达到什么目标？</v>
      </c>
      <c r="I11" s="4" t="str">
        <f>IFERROR(__xludf.DUMMYFUNCTION("GOOGLETRANSLATE(C11, ""en"", ""zh"")"),"A) 思维清晰度，B) 攻击力，C) 身体耐力，D) 认知功能提升")</f>
        <v>A) 思维清晰度，B) 攻击力，C) 身体耐力，D) 认知功能提升</v>
      </c>
      <c r="J11" s="4" t="str">
        <f>IFERROR(__xludf.DUMMYFUNCTION("GOOGLETRANSLATE(D11, ""en"", ""zh"")"),"A) 思维清晰度")</f>
        <v>A) 思维清晰度</v>
      </c>
      <c r="K11" s="4" t="str">
        <f>IFERROR(__xludf.DUMMYFUNCTION("GOOGLETRANSLATE(E11, ""en"", ""zh"")"),"太极拳通过动态冥想，将身心合一，帮助练习者获得精神清晰与平静。")</f>
        <v>太极拳通过动态冥想，将身心合一，帮助练习者获得精神清晰与平静。</v>
      </c>
      <c r="L11" s="22"/>
      <c r="M11" s="22"/>
      <c r="N11" s="22"/>
      <c r="O11" s="22"/>
      <c r="P11" s="22"/>
      <c r="Q11" s="19"/>
      <c r="R11" s="19"/>
      <c r="S11" s="19"/>
      <c r="T11" s="19"/>
      <c r="U11" s="19"/>
      <c r="V11" s="19"/>
      <c r="W11" s="19"/>
      <c r="X11" s="19"/>
      <c r="Y11" s="19"/>
      <c r="Z11" s="19"/>
    </row>
    <row r="12">
      <c r="A12" s="44">
        <v>11.0</v>
      </c>
      <c r="B12" s="40" t="s">
        <v>2242</v>
      </c>
      <c r="C12" s="40" t="s">
        <v>2243</v>
      </c>
      <c r="D12" s="40" t="s">
        <v>2244</v>
      </c>
      <c r="E12" s="40" t="s">
        <v>2245</v>
      </c>
      <c r="F12" s="41"/>
      <c r="G12" s="41"/>
      <c r="H12" s="4" t="str">
        <f>IFERROR(__xludf.DUMMYFUNCTION("GOOGLETRANSLATE(B12, ""en"", ""zh"")"),"在太极拳练习中，练习者旨在协调体内的能量流动。下列哪个术语最能恰当地描述这一概念？")</f>
        <v>在太极拳练习中，练习者旨在协调体内的能量流动。下列哪个术语最能恰当地描述这一概念？</v>
      </c>
      <c r="I12" s="4" t="str">
        <f>IFERROR(__xludf.DUMMYFUNCTION("GOOGLETRANSLATE(C12, ""en"", ""zh"")"),"A) 气血运行，B) 阳气，C) 阴阳平衡，D) 能量循环")</f>
        <v>A) 气血运行，B) 阳气，C) 阴阳平衡，D) 能量循环</v>
      </c>
      <c r="J12" s="4" t="str">
        <f>IFERROR(__xludf.DUMMYFUNCTION("GOOGLETRANSLATE(D12, ""en"", ""zh"")"),"A) 气流")</f>
        <v>A) 气流</v>
      </c>
      <c r="K12" s="4" t="str">
        <f>IFERROR(__xludf.DUMMYFUNCTION("GOOGLETRANSLATE(E12, ""en"", ""zh"")"),"气血运行是指体内能量的自然流动，太极拳练习者通过动作来调和这种流动。")</f>
        <v>气血运行是指体内能量的自然流动，太极拳练习者通过动作来调和这种流动。</v>
      </c>
      <c r="L12" s="39"/>
      <c r="M12" s="39"/>
      <c r="N12" s="41"/>
      <c r="O12" s="39"/>
      <c r="P12" s="41"/>
      <c r="Q12" s="19"/>
      <c r="R12" s="19"/>
      <c r="S12" s="19"/>
      <c r="T12" s="19"/>
      <c r="U12" s="19"/>
      <c r="V12" s="19"/>
      <c r="W12" s="19"/>
      <c r="X12" s="19"/>
      <c r="Y12" s="19"/>
      <c r="Z12" s="19"/>
    </row>
    <row r="13">
      <c r="A13" s="44">
        <v>12.0</v>
      </c>
      <c r="B13" s="24" t="s">
        <v>2246</v>
      </c>
      <c r="C13" s="24" t="s">
        <v>2247</v>
      </c>
      <c r="D13" s="24" t="s">
        <v>2248</v>
      </c>
      <c r="E13" s="24" t="s">
        <v>2249</v>
      </c>
      <c r="F13" s="21"/>
      <c r="G13" s="21"/>
      <c r="H13" s="4" t="str">
        <f>IFERROR(__xludf.DUMMYFUNCTION("GOOGLETRANSLATE(B13, ""en"", ""zh"")"),"太极拳中，哪种姿势需要在双腿之间转移重心的同时，手臂做圆周运动？")</f>
        <v>太极拳中，哪种姿势需要在双腿之间转移重心的同时，手臂做圆周运动？</v>
      </c>
      <c r="I13" s="4" t="str">
        <f>IFERROR(__xludf.DUMMYFUNCTION("GOOGLETRANSLATE(C13, ""en"", ""zh"")"),"A）拨开野马鬃毛，B）驱猴，C）白鹤展翅，D）挥手如云")</f>
        <v>A）拨开野马鬃毛，B）驱猴，C）白鹤展翅，D）挥手如云</v>
      </c>
      <c r="J13" s="4" t="str">
        <f>IFERROR(__xludf.DUMMYFUNCTION("GOOGLETRANSLATE(D13, ""en"", ""zh"")"),"D) 像云朵一样挥动双手")</f>
        <v>D) 像云朵一样挥动双手</v>
      </c>
      <c r="K13" s="4" t="str">
        <f>IFERROR(__xludf.DUMMYFUNCTION("GOOGLETRANSLATE(E13, ""en"", ""zh"")"),"“云手”是太极拳的一个动作，练习者手臂做圆周运动，同时将重心从一条腿转移到另一条腿。")</f>
        <v>“云手”是太极拳的一个动作，练习者手臂做圆周运动，同时将重心从一条腿转移到另一条腿。</v>
      </c>
      <c r="L13" s="22"/>
      <c r="M13" s="22"/>
      <c r="N13" s="22"/>
      <c r="O13" s="22"/>
      <c r="P13" s="22"/>
      <c r="Q13" s="19"/>
      <c r="R13" s="19"/>
      <c r="S13" s="19"/>
      <c r="T13" s="19"/>
      <c r="U13" s="19"/>
      <c r="V13" s="19"/>
      <c r="W13" s="19"/>
      <c r="X13" s="19"/>
      <c r="Y13" s="19"/>
      <c r="Z13" s="19"/>
    </row>
    <row r="14">
      <c r="A14" s="44">
        <v>13.0</v>
      </c>
      <c r="B14" s="24" t="s">
        <v>2250</v>
      </c>
      <c r="C14" s="24" t="s">
        <v>2251</v>
      </c>
      <c r="D14" s="24" t="s">
        <v>2252</v>
      </c>
      <c r="E14" s="24" t="s">
        <v>2253</v>
      </c>
      <c r="F14" s="21"/>
      <c r="G14" s="21"/>
      <c r="H14" s="4" t="str">
        <f>IFERROR(__xludf.DUMMYFUNCTION("GOOGLETRANSLATE(B14, ""en"", ""zh"")"),"在太极拳练习中，身体的哪个部位被认为是能量中心，并在保持平衡和力量方面起着至关重要的作用？")</f>
        <v>在太极拳练习中，身体的哪个部位被认为是能量中心，并在保持平衡和力量方面起着至关重要的作用？</v>
      </c>
      <c r="I14" s="4" t="str">
        <f>IFERROR(__xludf.DUMMYFUNCTION("GOOGLETRANSLATE(C14, ""en"", ""zh"")"),"A) 头，B) 手，C) 脚，D) 丹田")</f>
        <v>A) 头，B) 手，C) 脚，D) 丹田</v>
      </c>
      <c r="J14" s="4" t="str">
        <f>IFERROR(__xludf.DUMMYFUNCTION("GOOGLETRANSLATE(D14, ""en"", ""zh"")"),"D) 丹田")</f>
        <v>D) 丹田</v>
      </c>
      <c r="K14" s="4" t="str">
        <f>IFERROR(__xludf.DUMMYFUNCTION("GOOGLETRANSLATE(E14, ""en"", ""zh"")"),"丹田位于肚脐下方，被认为是太极拳的能量中心，练习者通过专注于丹田来保持平衡和控制。")</f>
        <v>丹田位于肚脐下方，被认为是太极拳的能量中心，练习者通过专注于丹田来保持平衡和控制。</v>
      </c>
      <c r="L14" s="21"/>
      <c r="M14" s="22"/>
      <c r="N14" s="21"/>
      <c r="O14" s="22"/>
      <c r="P14" s="22"/>
      <c r="Q14" s="19"/>
      <c r="R14" s="19"/>
      <c r="S14" s="19"/>
      <c r="T14" s="19"/>
      <c r="U14" s="19"/>
      <c r="V14" s="19"/>
      <c r="W14" s="19"/>
      <c r="X14" s="19"/>
      <c r="Y14" s="19"/>
      <c r="Z14" s="19"/>
    </row>
    <row r="15">
      <c r="A15" s="44">
        <v>14.0</v>
      </c>
      <c r="B15" s="24" t="s">
        <v>2254</v>
      </c>
      <c r="C15" s="24" t="s">
        <v>2255</v>
      </c>
      <c r="D15" s="24" t="s">
        <v>2256</v>
      </c>
      <c r="E15" s="24" t="s">
        <v>2257</v>
      </c>
      <c r="F15" s="21"/>
      <c r="G15" s="21"/>
      <c r="H15" s="4" t="str">
        <f>IFERROR(__xludf.DUMMYFUNCTION("GOOGLETRANSLATE(B15, ""en"", ""zh"")"),"在太极拳的姿势中，如果练习者的重心主要在前腿上，而后腿保持轻盈，那么他所采取的是哪种姿势？")</f>
        <v>在太极拳的姿势中，如果练习者的重心主要在前腿上，而后腿保持轻盈，那么他所采取的是哪种姿势？</v>
      </c>
      <c r="I15" s="4" t="str">
        <f>IFERROR(__xludf.DUMMYFUNCTION("GOOGLETRANSLATE(C15, ""en"", ""zh"")"),"A）空弓步，B）弓步，C）反弓步，D）马步")</f>
        <v>A）空弓步，B）弓步，C）反弓步，D）马步</v>
      </c>
      <c r="J15" s="4" t="str">
        <f>IFERROR(__xludf.DUMMYFUNCTION("GOOGLETRANSLATE(D15, ""en"", ""zh"")"),"B）弓步姿势")</f>
        <v>B）弓步姿势</v>
      </c>
      <c r="K15" s="4" t="str">
        <f>IFERROR(__xludf.DUMMYFUNCTION("GOOGLETRANSLATE(E15, ""en"", ""zh"")"),"弓步站姿是将重心放在前腿上，同时保持后腿轻盈，从而形成稳定平衡的姿势。")</f>
        <v>弓步站姿是将重心放在前腿上，同时保持后腿轻盈，从而形成稳定平衡的姿势。</v>
      </c>
      <c r="L15" s="22"/>
      <c r="M15" s="22"/>
      <c r="N15" s="22"/>
      <c r="O15" s="22"/>
      <c r="P15" s="22"/>
      <c r="Q15" s="19"/>
      <c r="R15" s="19"/>
      <c r="S15" s="19"/>
      <c r="T15" s="19"/>
      <c r="U15" s="19"/>
      <c r="V15" s="19"/>
      <c r="W15" s="19"/>
      <c r="X15" s="19"/>
      <c r="Y15" s="19"/>
      <c r="Z15" s="19"/>
    </row>
    <row r="16">
      <c r="A16" s="44">
        <v>15.0</v>
      </c>
      <c r="B16" s="24" t="s">
        <v>2258</v>
      </c>
      <c r="C16" s="24" t="s">
        <v>2259</v>
      </c>
      <c r="D16" s="24" t="s">
        <v>2260</v>
      </c>
      <c r="E16" s="24" t="s">
        <v>2261</v>
      </c>
      <c r="F16" s="21"/>
      <c r="G16" s="21"/>
      <c r="H16" s="4" t="str">
        <f>IFERROR(__xludf.DUMMYFUNCTION("GOOGLETRANSLATE(B16, ""en"", ""zh"")"),"太极拳的哪种姿势要求练习者将重心转移到一条腿上，同时抬起另一条腿向前伸直？")</f>
        <v>太极拳的哪种姿势要求练习者将重心转移到一条腿上，同时抬起另一条腿向前伸直？</v>
      </c>
      <c r="I16" s="4" t="str">
        <f>IFERROR(__xludf.DUMMYFUNCTION("GOOGLETRANSLATE(C16, ""en"", ""zh"")"),"A）抓住鸟尾，B）击退猴子，C）后退并击退猴子，D）单鞭")</f>
        <v>A）抓住鸟尾，B）击退猴子，C）后退并击退猴子，D）单鞭</v>
      </c>
      <c r="J16" s="4" t="str">
        <f>IFERROR(__xludf.DUMMYFUNCTION("GOOGLETRANSLATE(D16, ""en"", ""zh"")"),"C）后退并赶走猴子")</f>
        <v>C）后退并赶走猴子</v>
      </c>
      <c r="K16" s="4" t="str">
        <f>IFERROR(__xludf.DUMMYFUNCTION("GOOGLETRANSLATE(E16, ""en"", ""zh"")"),"这种姿势需要将重心转移到一条腿上，同时另一条腿向后迈一步并向前伸展，从而帮助保持平衡和控制。")</f>
        <v>这种姿势需要将重心转移到一条腿上，同时另一条腿向后迈一步并向前伸展，从而帮助保持平衡和控制。</v>
      </c>
      <c r="L16" s="22"/>
      <c r="M16" s="22"/>
      <c r="N16" s="22"/>
      <c r="O16" s="22"/>
      <c r="P16" s="21"/>
      <c r="Q16" s="19"/>
      <c r="R16" s="19"/>
      <c r="S16" s="19"/>
      <c r="T16" s="19"/>
      <c r="U16" s="19"/>
      <c r="V16" s="19"/>
      <c r="W16" s="19"/>
      <c r="X16" s="19"/>
      <c r="Y16" s="19"/>
      <c r="Z16" s="19"/>
    </row>
    <row r="17">
      <c r="A17" s="44">
        <v>16.0</v>
      </c>
      <c r="B17" s="24" t="s">
        <v>2262</v>
      </c>
      <c r="C17" s="24" t="s">
        <v>2263</v>
      </c>
      <c r="D17" s="24" t="s">
        <v>2264</v>
      </c>
      <c r="E17" s="24" t="s">
        <v>2265</v>
      </c>
      <c r="F17" s="21"/>
      <c r="G17" s="21"/>
      <c r="H17" s="4" t="str">
        <f>IFERROR(__xludf.DUMMYFUNCTION("GOOGLETRANSLATE(B17, ""en"", ""zh"")"),"在太极拳中，“柔”的概念在应对下列哪种情况时最为重要？")</f>
        <v>在太极拳中，“柔”的概念在应对下列哪种情况时最为重要？</v>
      </c>
      <c r="I17" s="4" t="str">
        <f>IFERROR(__xludf.DUMMYFUNCTION("GOOGLETRANSLATE(C17, ""en"", ""zh"")"),"A) 速度，B) 外力，C) 内能，D) 敏捷性")</f>
        <v>A) 速度，B) 外力，C) 内能，D) 敏捷性</v>
      </c>
      <c r="J17" s="4" t="str">
        <f>IFERROR(__xludf.DUMMYFUNCTION("GOOGLETRANSLATE(D17, ""en"", ""zh"")"),"B) 外力")</f>
        <v>B) 外力</v>
      </c>
      <c r="K17" s="4" t="str">
        <f>IFERROR(__xludf.DUMMYFUNCTION("GOOGLETRANSLATE(E17, ""en"", ""zh"")"),"太极拳中的“柔”指的是顺应和适应外力，而不是与之对抗。它使练习者能够引导或化解对手的力量。")</f>
        <v>太极拳中的“柔”指的是顺应和适应外力，而不是与之对抗。它使练习者能够引导或化解对手的力量。</v>
      </c>
      <c r="L17" s="22"/>
      <c r="M17" s="22"/>
      <c r="N17" s="21"/>
      <c r="O17" s="22"/>
      <c r="P17" s="22"/>
      <c r="Q17" s="19"/>
      <c r="R17" s="19"/>
      <c r="S17" s="19"/>
      <c r="T17" s="19"/>
      <c r="U17" s="19"/>
      <c r="V17" s="19"/>
      <c r="W17" s="19"/>
      <c r="X17" s="19"/>
      <c r="Y17" s="19"/>
      <c r="Z17" s="19"/>
    </row>
    <row r="18">
      <c r="A18" s="44">
        <v>17.0</v>
      </c>
      <c r="B18" s="24" t="s">
        <v>2266</v>
      </c>
      <c r="C18" s="24" t="s">
        <v>2267</v>
      </c>
      <c r="D18" s="24" t="s">
        <v>2268</v>
      </c>
      <c r="E18" s="24" t="s">
        <v>2269</v>
      </c>
      <c r="F18" s="21"/>
      <c r="G18" s="21"/>
      <c r="H18" s="4" t="str">
        <f>IFERROR(__xludf.DUMMYFUNCTION("GOOGLETRANSLATE(B18, ""en"", ""zh"")"),"太极拳中“动中静”的原则表明，练习者应该：")</f>
        <v>太极拳中“动中静”的原则表明，练习者应该：</v>
      </c>
      <c r="I18" s="4" t="str">
        <f>IFERROR(__xludf.DUMMYFUNCTION("GOOGLETRANSLATE(C18, ""en"", ""zh"")"),"A) 进行快速动作，B) 在练习过程中保持完全静止，C) 通过平静的意识控制和集中动作，D) 只专注于外部技巧")</f>
        <v>A) 进行快速动作，B) 在练习过程中保持完全静止，C) 通过平静的意识控制和集中动作，D) 只专注于外部技巧</v>
      </c>
      <c r="J18" s="4" t="str">
        <f>IFERROR(__xludf.DUMMYFUNCTION("GOOGLETRANSLATE(D18, ""en"", ""zh"")"),"C) 通过平静的意识来控制和集中他们的动作")</f>
        <v>C) 通过平静的意识来控制和集中他们的动作</v>
      </c>
      <c r="K18" s="4" t="str">
        <f>IFERROR(__xludf.DUMMYFUNCTION("GOOGLETRANSLATE(E18, ""en"", ""zh"")"),"动中静指的是即使在运动过程中也能保持平静和专注的感觉，从而更有效地引导能量。")</f>
        <v>动中静指的是即使在运动过程中也能保持平静和专注的感觉，从而更有效地引导能量。</v>
      </c>
      <c r="L18" s="21"/>
      <c r="M18" s="22"/>
      <c r="N18" s="21"/>
      <c r="O18" s="22"/>
      <c r="P18" s="22"/>
      <c r="Q18" s="19"/>
      <c r="R18" s="19"/>
      <c r="S18" s="19"/>
      <c r="T18" s="19"/>
      <c r="U18" s="19"/>
      <c r="V18" s="19"/>
      <c r="W18" s="19"/>
      <c r="X18" s="19"/>
      <c r="Y18" s="19"/>
      <c r="Z18" s="19"/>
    </row>
    <row r="19">
      <c r="A19" s="44">
        <v>18.0</v>
      </c>
      <c r="B19" s="24" t="s">
        <v>2270</v>
      </c>
      <c r="C19" s="24" t="s">
        <v>2271</v>
      </c>
      <c r="D19" s="24" t="s">
        <v>2272</v>
      </c>
      <c r="E19" s="24" t="s">
        <v>2273</v>
      </c>
      <c r="F19" s="21"/>
      <c r="G19" s="21"/>
      <c r="H19" s="4" t="str">
        <f>IFERROR(__xludf.DUMMYFUNCTION("GOOGLETRANSLATE(B19, ""en"", ""zh"")"),"太极拳的哪个动作主要侧重于提高手脚的协调性？")</f>
        <v>太极拳的哪个动作主要侧重于提高手脚的协调性？</v>
      </c>
      <c r="I19" s="4" t="str">
        <f>IFERROR(__xludf.DUMMYFUNCTION("GOOGLETRANSLATE(C19, ""en"", ""zh"")"),"A）拨开野马鬃毛，B）刷膝扭步，C）白鹤展翅，D）抓住鸟尾")</f>
        <v>A）拨开野马鬃毛，B）刷膝扭步，C）白鹤展翅，D）抓住鸟尾</v>
      </c>
      <c r="J19" s="4" t="str">
        <f>IFERROR(__xludf.DUMMYFUNCTION("GOOGLETRANSLATE(D19, ""en"", ""zh"")"),"B) 擦膝扭转步")</f>
        <v>B) 擦膝扭转步</v>
      </c>
      <c r="K19" s="4" t="str">
        <f>IFERROR(__xludf.DUMMYFUNCTION("GOOGLETRANSLATE(E19, ""en"", ""zh"")"),"这种动作强调手脚协调，动作流畅自然，同时转移重心并保持平衡。")</f>
        <v>这种动作强调手脚协调，动作流畅自然，同时转移重心并保持平衡。</v>
      </c>
      <c r="L19" s="22"/>
      <c r="M19" s="22"/>
      <c r="N19" s="22"/>
      <c r="O19" s="22"/>
      <c r="P19" s="22"/>
      <c r="Q19" s="19"/>
      <c r="R19" s="19"/>
      <c r="S19" s="19"/>
      <c r="T19" s="19"/>
      <c r="U19" s="19"/>
      <c r="V19" s="19"/>
      <c r="W19" s="19"/>
      <c r="X19" s="19"/>
      <c r="Y19" s="19"/>
      <c r="Z19" s="19"/>
    </row>
    <row r="20">
      <c r="A20" s="44">
        <v>19.0</v>
      </c>
      <c r="B20" s="24" t="s">
        <v>2274</v>
      </c>
      <c r="C20" s="24" t="s">
        <v>2275</v>
      </c>
      <c r="D20" s="24" t="s">
        <v>2276</v>
      </c>
      <c r="E20" s="24" t="s">
        <v>2277</v>
      </c>
      <c r="F20" s="21"/>
      <c r="G20" s="21"/>
      <c r="H20" s="4" t="str">
        <f>IFERROR(__xludf.DUMMYFUNCTION("GOOGLETRANSLATE(B20, ""en"", ""zh"")"),"缓慢而有意识地练习太极拳的主要好处是什么？")</f>
        <v>缓慢而有意识地练习太极拳的主要好处是什么？</v>
      </c>
      <c r="I20" s="4" t="str">
        <f>IFERROR(__xludf.DUMMYFUNCTION("GOOGLETRANSLATE(C20, ""en"", ""zh"")"),"A) 增强心肺功能，B) 提高精神专注力和注意力，C) 促进肌肉生长，D) 进行高强度运动")</f>
        <v>A) 增强心肺功能，B) 提高精神专注力和注意力，C) 促进肌肉生长，D) 进行高强度运动</v>
      </c>
      <c r="J20" s="4" t="str">
        <f>IFERROR(__xludf.DUMMYFUNCTION("GOOGLETRANSLATE(D20, ""en"", ""zh"")"),"B) 提高精神专注力和集中力")</f>
        <v>B) 提高精神专注力和集中力</v>
      </c>
      <c r="K20" s="4" t="str">
        <f>IFERROR(__xludf.DUMMYFUNCTION("GOOGLETRANSLATE(E20, ""en"", ""zh"")"),"缓慢地练习太极拳有助于练习者更好地集中注意力，提高专注力、正念以及身心联系。")</f>
        <v>缓慢地练习太极拳有助于练习者更好地集中注意力，提高专注力、正念以及身心联系。</v>
      </c>
      <c r="L20" s="21"/>
      <c r="M20" s="22"/>
      <c r="N20" s="21"/>
      <c r="O20" s="22"/>
      <c r="P20" s="21"/>
      <c r="Q20" s="19"/>
      <c r="R20" s="19"/>
      <c r="S20" s="19"/>
      <c r="T20" s="19"/>
      <c r="U20" s="19"/>
      <c r="V20" s="19"/>
      <c r="W20" s="19"/>
      <c r="X20" s="19"/>
      <c r="Y20" s="19"/>
      <c r="Z20" s="19"/>
    </row>
    <row r="21">
      <c r="A21" s="44">
        <v>20.0</v>
      </c>
      <c r="B21" s="24" t="s">
        <v>2278</v>
      </c>
      <c r="C21" s="24" t="s">
        <v>2279</v>
      </c>
      <c r="D21" s="24" t="s">
        <v>2280</v>
      </c>
      <c r="E21" s="24" t="s">
        <v>2281</v>
      </c>
      <c r="F21" s="21"/>
      <c r="G21" s="21"/>
      <c r="H21" s="4" t="str">
        <f>IFERROR(__xludf.DUMMYFUNCTION("GOOGLETRANSLATE(B21, ""en"", ""zh"")"),"太极拳在武术技巧中强调“柔”而不是“刚”，其目的是什么？")</f>
        <v>太极拳在武术技巧中强调“柔”而不是“刚”，其目的是什么？</v>
      </c>
      <c r="I21" s="4" t="str">
        <f>IFERROR(__xludf.DUMMYFUNCTION("GOOGLETRANSLATE(C21, ""en"", ""zh"")"),"A) 提高速度，B) 增强承受和转移力量的能力，C) 发动更具攻击性的攻击，D) 迷惑对手")</f>
        <v>A) 提高速度，B) 增强承受和转移力量的能力，C) 发动更具攻击性的攻击，D) 迷惑对手</v>
      </c>
      <c r="J21" s="4" t="str">
        <f>IFERROR(__xludf.DUMMYFUNCTION("GOOGLETRANSLATE(D21, ""en"", ""zh"")"),"B) 增强屈服和重新定向力的能力")</f>
        <v>B) 增强屈服和重新定向力的能力</v>
      </c>
      <c r="K21" s="4" t="str">
        <f>IFERROR(__xludf.DUMMYFUNCTION("GOOGLETRANSLATE(E21, ""en"", ""zh"")"),"太极拳的柔和特性使练习者能够引导和化解对方的力量，利用对手的能量而不是用蛮力与之对抗。")</f>
        <v>太极拳的柔和特性使练习者能够引导和化解对方的力量，利用对手的能量而不是用蛮力与之对抗。</v>
      </c>
      <c r="L21" s="22"/>
      <c r="M21" s="22"/>
      <c r="N21" s="21"/>
      <c r="O21" s="22"/>
      <c r="P21" s="21"/>
      <c r="Q21" s="19"/>
      <c r="R21" s="19"/>
      <c r="S21" s="19"/>
      <c r="T21" s="19"/>
      <c r="U21" s="19"/>
      <c r="V21" s="19"/>
      <c r="W21" s="19"/>
      <c r="X21" s="19"/>
      <c r="Y21" s="19"/>
      <c r="Z21" s="19"/>
    </row>
    <row r="22">
      <c r="A22" s="44">
        <v>21.0</v>
      </c>
      <c r="B22" s="24" t="s">
        <v>2282</v>
      </c>
      <c r="C22" s="24" t="s">
        <v>2283</v>
      </c>
      <c r="D22" s="24" t="s">
        <v>2284</v>
      </c>
      <c r="E22" s="24" t="s">
        <v>2285</v>
      </c>
      <c r="F22" s="21"/>
      <c r="G22" s="21"/>
      <c r="H22" s="4" t="str">
        <f>IFERROR(__xludf.DUMMYFUNCTION("GOOGLETRANSLATE(B22, ""en"", ""zh"")"),"在太极拳中，下列哪个动作对增强腿部力量和提高平衡能力特别有益？")</f>
        <v>在太极拳中，下列哪个动作对增强腿部力量和提高平衡能力特别有益？</v>
      </c>
      <c r="I22" s="4" t="str">
        <f>IFERROR(__xludf.DUMMYFUNCTION("GOOGLETRANSLATE(C22, ""en"", ""zh"")"),"A）白鹤展翅，B）金鸡单腿站立，C）击退猴子，D）抓住鸟尾")</f>
        <v>A）白鹤展翅，B）金鸡单腿站立，C）击退猴子，D）抓住鸟尾</v>
      </c>
      <c r="J22" s="4" t="str">
        <f>IFERROR(__xludf.DUMMYFUNCTION("GOOGLETRANSLATE(D22, ""en"", ""zh"")"),"B) 金鸡单腿站立")</f>
        <v>B) 金鸡单腿站立</v>
      </c>
      <c r="K22" s="4" t="str">
        <f>IFERROR(__xludf.DUMMYFUNCTION("GOOGLETRANSLATE(E22, ""en"", ""zh"")"),"这种姿势需要单腿站立，有助于增强腿部力量，提高平衡能力和注意力。")</f>
        <v>这种姿势需要单腿站立，有助于增强腿部力量，提高平衡能力和注意力。</v>
      </c>
      <c r="L22" s="22"/>
      <c r="M22" s="22"/>
      <c r="N22" s="22"/>
      <c r="O22" s="22"/>
      <c r="P22" s="21"/>
      <c r="Q22" s="19"/>
      <c r="R22" s="19"/>
      <c r="S22" s="19"/>
      <c r="T22" s="19"/>
      <c r="U22" s="19"/>
      <c r="V22" s="19"/>
      <c r="W22" s="19"/>
      <c r="X22" s="19"/>
      <c r="Y22" s="19"/>
      <c r="Z22" s="19"/>
    </row>
    <row r="23">
      <c r="A23" s="44">
        <v>22.0</v>
      </c>
      <c r="B23" s="24" t="s">
        <v>2286</v>
      </c>
      <c r="C23" s="24" t="s">
        <v>2287</v>
      </c>
      <c r="D23" s="24" t="s">
        <v>2288</v>
      </c>
      <c r="E23" s="24" t="s">
        <v>2289</v>
      </c>
      <c r="F23" s="21"/>
      <c r="G23" s="21"/>
      <c r="H23" s="4" t="str">
        <f>IFERROR(__xludf.DUMMYFUNCTION("GOOGLETRANSLATE(B23, ""en"", ""zh"")"),"太极拳中，哪种站姿最能描述为双腿弯曲，双脚与肩同宽，形成稳定的支撑？")</f>
        <v>太极拳中，哪种站姿最能描述为双腿弯曲，双脚与肩同宽，形成稳定的支撑？</v>
      </c>
      <c r="I23" s="4" t="str">
        <f>IFERROR(__xludf.DUMMYFUNCTION("GOOGLETRANSLATE(C23, ""en"", ""zh"")"),"A）马步，B）弓步，C）空步，D）平行步")</f>
        <v>A）马步，B）弓步，C）空步，D）平行步</v>
      </c>
      <c r="J23" s="4" t="str">
        <f>IFERROR(__xludf.DUMMYFUNCTION("GOOGLETRANSLATE(D23, ""en"", ""zh"")"),"A) 马步")</f>
        <v>A) 马步</v>
      </c>
      <c r="K23" s="4" t="str">
        <f>IFERROR(__xludf.DUMMYFUNCTION("GOOGLETRANSLATE(E23, ""en"", ""zh"")"),"马步是太极拳的基础姿势，能够提供稳定性和力量，常用于增强腿部力量和耐力。")</f>
        <v>马步是太极拳的基础姿势，能够提供稳定性和力量，常用于增强腿部力量和耐力。</v>
      </c>
      <c r="L23" s="22"/>
      <c r="M23" s="22"/>
      <c r="N23" s="22"/>
      <c r="O23" s="22"/>
      <c r="P23" s="21"/>
      <c r="Q23" s="19"/>
      <c r="R23" s="19"/>
      <c r="S23" s="19"/>
      <c r="T23" s="19"/>
      <c r="U23" s="19"/>
      <c r="V23" s="19"/>
      <c r="W23" s="19"/>
      <c r="X23" s="19"/>
      <c r="Y23" s="19"/>
      <c r="Z23" s="19"/>
    </row>
    <row r="24">
      <c r="A24" s="44">
        <v>23.0</v>
      </c>
      <c r="B24" s="24" t="s">
        <v>2290</v>
      </c>
      <c r="C24" s="24" t="s">
        <v>2291</v>
      </c>
      <c r="D24" s="24" t="s">
        <v>2292</v>
      </c>
      <c r="E24" s="24" t="s">
        <v>2293</v>
      </c>
      <c r="F24" s="21"/>
      <c r="G24" s="21"/>
      <c r="H24" s="4" t="str">
        <f>IFERROR(__xludf.DUMMYFUNCTION("GOOGLETRANSLATE(B24, ""en"", ""zh"")"),"在太极拳课上，教练鼓励学员将“气”沉入脚底。这句话指的是什么？")</f>
        <v>在太极拳课上，教练鼓励学员将“气”沉入脚底。这句话指的是什么？</v>
      </c>
      <c r="I24" s="4" t="str">
        <f>IFERROR(__xludf.DUMMYFUNCTION("GOOGLETRANSLATE(C24, ""en"", ""zh"")"),"A）放松双腿，B）专注于呼吸，C）通过双脚扎根大地，D）从腿部发力")</f>
        <v>A）放松双腿，B）专注于呼吸，C）通过双脚扎根大地，D）从腿部发力</v>
      </c>
      <c r="J24" s="4" t="str">
        <f>IFERROR(__xludf.DUMMYFUNCTION("GOOGLETRANSLATE(D24, ""en"", ""zh"")"),"C）通过双脚扎根")</f>
        <v>C）通过双脚扎根</v>
      </c>
      <c r="K24" s="4" t="str">
        <f>IFERROR(__xludf.DUMMYFUNCTION("GOOGLETRANSLATE(E24, ""en"", ""zh"")"),"将气沉入脚底意味着与大地连接，帮助在运动中保持平衡和稳定。")</f>
        <v>将气沉入脚底意味着与大地连接，帮助在运动中保持平衡和稳定。</v>
      </c>
      <c r="L24" s="22"/>
      <c r="M24" s="22"/>
      <c r="N24" s="22"/>
      <c r="O24" s="22"/>
      <c r="P24" s="21"/>
      <c r="Q24" s="19"/>
      <c r="R24" s="19"/>
      <c r="S24" s="19"/>
      <c r="T24" s="19"/>
      <c r="U24" s="19"/>
      <c r="V24" s="19"/>
      <c r="W24" s="19"/>
      <c r="X24" s="19"/>
      <c r="Y24" s="19"/>
      <c r="Z24" s="19"/>
    </row>
    <row r="25">
      <c r="A25" s="44">
        <v>24.0</v>
      </c>
      <c r="B25" s="40" t="s">
        <v>2294</v>
      </c>
      <c r="C25" s="40" t="s">
        <v>2295</v>
      </c>
      <c r="D25" s="40" t="s">
        <v>2296</v>
      </c>
      <c r="E25" s="40" t="s">
        <v>2297</v>
      </c>
      <c r="F25" s="41"/>
      <c r="G25" s="41"/>
      <c r="H25" s="4" t="str">
        <f>IFERROR(__xludf.DUMMYFUNCTION("GOOGLETRANSLATE(B25, ""en"", ""zh"")"),"在太极拳姿势转换过程中，练习者的主要关注点是什么？")</f>
        <v>在太极拳姿势转换过程中，练习者的主要关注点是什么？</v>
      </c>
      <c r="I25" s="4" t="str">
        <f>IFERROR(__xludf.DUMMYFUNCTION("GOOGLETRANSLATE(C25, ""en"", ""zh"")"),"A) 运动速度，B) 流畅性和协调性，C) 最大程度地发挥力量，D) 增强肌肉力量")</f>
        <v>A) 运动速度，B) 流畅性和协调性，C) 最大程度地发挥力量，D) 增强肌肉力量</v>
      </c>
      <c r="J25" s="4" t="str">
        <f>IFERROR(__xludf.DUMMYFUNCTION("GOOGLETRANSLATE(D25, ""en"", ""zh"")"),"B) 平滑度和流畅性")</f>
        <v>B) 平滑度和流畅性</v>
      </c>
      <c r="K25" s="4" t="str">
        <f>IFERROR(__xludf.DUMMYFUNCTION("GOOGLETRANSLATE(E25, ""en"", ""zh"")"),"太极拳的姿势转换应该流畅自然，保持能量流动和动作的连贯性。")</f>
        <v>太极拳的姿势转换应该流畅自然，保持能量流动和动作的连贯性。</v>
      </c>
      <c r="L25" s="39"/>
      <c r="M25" s="39"/>
      <c r="N25" s="39"/>
      <c r="O25" s="39"/>
      <c r="P25" s="41"/>
      <c r="Q25" s="19"/>
      <c r="R25" s="19"/>
      <c r="S25" s="19"/>
      <c r="T25" s="19"/>
      <c r="U25" s="19"/>
      <c r="V25" s="19"/>
      <c r="W25" s="19"/>
      <c r="X25" s="19"/>
      <c r="Y25" s="19"/>
      <c r="Z25" s="19"/>
    </row>
    <row r="26">
      <c r="A26" s="44">
        <v>25.0</v>
      </c>
      <c r="B26" s="24" t="s">
        <v>2298</v>
      </c>
      <c r="C26" s="24" t="s">
        <v>2299</v>
      </c>
      <c r="D26" s="24" t="s">
        <v>2300</v>
      </c>
      <c r="E26" s="24" t="s">
        <v>2301</v>
      </c>
      <c r="F26" s="21"/>
      <c r="G26" s="21"/>
      <c r="H26" s="4" t="str">
        <f>IFERROR(__xludf.DUMMYFUNCTION("GOOGLETRANSLATE(B26, ""en"", ""zh"")"),"在太极拳中，下列哪个动作有助于发展“恣”，即手臂的扩张能量？")</f>
        <v>在太极拳中，下列哪个动作有助于发展“恣”，即手臂的扩张能量？</v>
      </c>
      <c r="I26" s="4" t="str">
        <f>IFERROR(__xludf.DUMMYFUNCTION("GOOGLETRANSLATE(C26, ""en"", ""zh"")"),"A）抓住鸟尾，B）白鹤展翅，C）挥手如云，D）单鞭")</f>
        <v>A）抓住鸟尾，B）白鹤展翅，C）挥手如云，D）单鞭</v>
      </c>
      <c r="J26" s="4" t="str">
        <f>IFERROR(__xludf.DUMMYFUNCTION("GOOGLETRANSLATE(D26, ""en"", ""zh"")"),"D) 单鞭")</f>
        <v>D) 单鞭</v>
      </c>
      <c r="K26" s="4" t="str">
        <f>IFERROR(__xludf.DUMMYFUNCTION("GOOGLETRANSLATE(E26, ""en"", ""zh"")"),"单鞭动作利用手臂的扩张能量来产生强劲、可控的动作，从而帮助发展“掤”的本领。")</f>
        <v>单鞭动作利用手臂的扩张能量来产生强劲、可控的动作，从而帮助发展“掤”的本领。</v>
      </c>
      <c r="L26" s="22"/>
      <c r="M26" s="22"/>
      <c r="N26" s="21"/>
      <c r="O26" s="22"/>
      <c r="P26" s="22"/>
      <c r="Q26" s="19"/>
      <c r="R26" s="19"/>
      <c r="S26" s="19"/>
      <c r="T26" s="19"/>
      <c r="U26" s="19"/>
      <c r="V26" s="19"/>
      <c r="W26" s="19"/>
      <c r="X26" s="19"/>
      <c r="Y26" s="19"/>
      <c r="Z26" s="19"/>
    </row>
    <row r="27">
      <c r="A27" s="44">
        <v>26.0</v>
      </c>
      <c r="B27" s="24" t="s">
        <v>2302</v>
      </c>
      <c r="C27" s="24" t="s">
        <v>2303</v>
      </c>
      <c r="D27" s="24" t="s">
        <v>2304</v>
      </c>
      <c r="E27" s="24" t="s">
        <v>2305</v>
      </c>
      <c r="F27" s="21"/>
      <c r="G27" s="21"/>
      <c r="H27" s="4" t="str">
        <f>IFERROR(__xludf.DUMMYFUNCTION("GOOGLETRANSLATE(B27, ""en"", ""zh"")"),"在太极拳中，哪个概念指的是扩张力和收缩力之间的平衡？")</f>
        <v>在太极拳中，哪个概念指的是扩张力和收缩力之间的平衡？</v>
      </c>
      <c r="I27" s="4" t="str">
        <f>IFERROR(__xludf.DUMMYFUNCTION("GOOGLETRANSLATE(C27, ""en"", ""zh"")"),"A) 阴阳，B) 气血运行，C) 无为，D) 粘连与附着")</f>
        <v>A) 阴阳，B) 气血运行，C) 无为，D) 粘连与附着</v>
      </c>
      <c r="J27" s="4" t="str">
        <f>IFERROR(__xludf.DUMMYFUNCTION("GOOGLETRANSLATE(D27, ""en"", ""zh"")"),"A) 阴阳")</f>
        <v>A) 阴阳</v>
      </c>
      <c r="K27" s="4" t="str">
        <f>IFERROR(__xludf.DUMMYFUNCTION("GOOGLETRANSLATE(E27, ""en"", ""zh"")"),"阴阳代表着扩张和收缩的平衡力量，这是太极拳哲学和运动的核心。")</f>
        <v>阴阳代表着扩张和收缩的平衡力量，这是太极拳哲学和运动的核心。</v>
      </c>
      <c r="L27" s="22"/>
      <c r="M27" s="22"/>
      <c r="N27" s="21"/>
      <c r="O27" s="22"/>
      <c r="P27" s="22"/>
      <c r="Q27" s="19"/>
      <c r="R27" s="19"/>
      <c r="S27" s="19"/>
      <c r="T27" s="19"/>
      <c r="U27" s="19"/>
      <c r="V27" s="19"/>
      <c r="W27" s="19"/>
      <c r="X27" s="19"/>
      <c r="Y27" s="19"/>
      <c r="Z27" s="19"/>
    </row>
    <row r="28">
      <c r="A28" s="44">
        <v>27.0</v>
      </c>
      <c r="B28" s="24" t="s">
        <v>2306</v>
      </c>
      <c r="C28" s="24" t="s">
        <v>2307</v>
      </c>
      <c r="D28" s="24" t="s">
        <v>2308</v>
      </c>
      <c r="E28" s="24" t="s">
        <v>2309</v>
      </c>
      <c r="F28" s="21"/>
      <c r="G28" s="21"/>
      <c r="H28" s="4" t="str">
        <f>IFERROR(__xludf.DUMMYFUNCTION("GOOGLETRANSLATE(B28, ""en"", ""zh"")"),"在太极拳练习中，练习者以缓慢而沉稳的动作从一个姿势过渡到另一个姿势。以这种方式练习太极拳的主要益处是什么？")</f>
        <v>在太极拳练习中，练习者以缓慢而沉稳的动作从一个姿势过渡到另一个姿势。以这种方式练习太极拳的主要益处是什么？</v>
      </c>
      <c r="I28" s="4" t="str">
        <f>IFERROR(__xludf.DUMMYFUNCTION("GOOGLETRANSLATE(C28, ""en"", ""zh"")"),"A) 增加柔韧性 B) 增加肌肉量 C) 增强平衡性和专注力 D) 提高心率")</f>
        <v>A) 增加柔韧性 B) 增加肌肉量 C) 增强平衡性和专注力 D) 提高心率</v>
      </c>
      <c r="J28" s="4" t="str">
        <f>IFERROR(__xludf.DUMMYFUNCTION("GOOGLETRANSLATE(D28, ""en"", ""zh"")"),"C) 增强平衡感和专注力")</f>
        <v>C) 增强平衡感和专注力</v>
      </c>
      <c r="K28" s="4" t="str">
        <f>IFERROR(__xludf.DUMMYFUNCTION("GOOGLETRANSLATE(E28, ""en"", ""zh"")"),"太极拳缓慢而有节奏的动作可以增强练习者的平衡感、专注力和思维清晰度，同时也能促进身体的稳定性。")</f>
        <v>太极拳缓慢而有节奏的动作可以增强练习者的平衡感、专注力和思维清晰度，同时也能促进身体的稳定性。</v>
      </c>
      <c r="L28" s="21"/>
      <c r="M28" s="22"/>
      <c r="N28" s="22"/>
      <c r="O28" s="22"/>
      <c r="P28" s="21"/>
      <c r="Q28" s="19"/>
      <c r="R28" s="19"/>
      <c r="S28" s="19"/>
      <c r="T28" s="19"/>
      <c r="U28" s="19"/>
      <c r="V28" s="19"/>
      <c r="W28" s="19"/>
      <c r="X28" s="19"/>
      <c r="Y28" s="19"/>
      <c r="Z28" s="19"/>
    </row>
    <row r="29">
      <c r="A29" s="44">
        <v>28.0</v>
      </c>
      <c r="B29" s="24" t="s">
        <v>2310</v>
      </c>
      <c r="C29" s="24" t="s">
        <v>2311</v>
      </c>
      <c r="D29" s="24" t="s">
        <v>2312</v>
      </c>
      <c r="E29" s="24" t="s">
        <v>2313</v>
      </c>
      <c r="F29" s="21"/>
      <c r="G29" s="21"/>
      <c r="H29" s="4" t="str">
        <f>IFERROR(__xludf.DUMMYFUNCTION("GOOGLETRANSLATE(B29, ""en"", ""zh"")"),"一位太极拳练习者在练习中专注于“松”的概念。“松”主要指的是什么？")</f>
        <v>一位太极拳练习者在练习中专注于“松”的概念。“松”主要指的是什么？</v>
      </c>
      <c r="I29" s="4" t="str">
        <f>IFERROR(__xludf.DUMMYFUNCTION("GOOGLETRANSLATE(C29, ""en"", ""zh"")"),"A) 放松身体 B) 肌肉收缩 C) 腿部力量训练 D) 快速爆发性运动")</f>
        <v>A) 放松身体 B) 肌肉收缩 C) 腿部力量训练 D) 快速爆发性运动</v>
      </c>
      <c r="J29" s="4" t="str">
        <f>IFERROR(__xludf.DUMMYFUNCTION("GOOGLETRANSLATE(D29, ""en"", ""zh"")"),"A) 身体放松")</f>
        <v>A) 身体放松</v>
      </c>
      <c r="K29" s="4" t="str">
        <f>IFERROR(__xludf.DUMMYFUNCTION("GOOGLETRANSLATE(E29, ""en"", ""zh"")"),"“舒”指的是在保持强健灵活的姿势的同时放松身心，这是太极拳的一个重要原则。")</f>
        <v>“舒”指的是在保持强健灵活的姿势的同时放松身心，这是太极拳的一个重要原则。</v>
      </c>
      <c r="L29" s="21"/>
      <c r="M29" s="22"/>
      <c r="N29" s="21"/>
      <c r="O29" s="22"/>
      <c r="P29" s="21"/>
      <c r="Q29" s="19"/>
      <c r="R29" s="19"/>
      <c r="S29" s="19"/>
      <c r="T29" s="19"/>
      <c r="U29" s="19"/>
      <c r="V29" s="19"/>
      <c r="W29" s="19"/>
      <c r="X29" s="19"/>
      <c r="Y29" s="19"/>
      <c r="Z29" s="19"/>
    </row>
    <row r="30">
      <c r="A30" s="44">
        <v>29.0</v>
      </c>
      <c r="B30" s="24" t="s">
        <v>2314</v>
      </c>
      <c r="C30" s="24" t="s">
        <v>2315</v>
      </c>
      <c r="D30" s="24" t="s">
        <v>2316</v>
      </c>
      <c r="E30" s="24" t="s">
        <v>2317</v>
      </c>
      <c r="F30" s="21"/>
      <c r="G30" s="21"/>
      <c r="H30" s="4" t="str">
        <f>IFERROR(__xludf.DUMMYFUNCTION("GOOGLETRANSLATE(B30, ""en"", ""zh"")"),"在太极拳课上，教练强调在运动过程中保持身心放松的重要性。这主要是为什么呢？")</f>
        <v>在太极拳课上，教练强调在运动过程中保持身心放松的重要性。这主要是为什么呢？</v>
      </c>
      <c r="I30" s="4" t="str">
        <f>IFERROR(__xludf.DUMMYFUNCTION("GOOGLETRANSLATE(C30, ""en"", ""zh"")"),"A) 增强反应速度 B) 产生内在能量 C) 培养精神自律性 D) 使身体产生紧张感")</f>
        <v>A) 增强反应速度 B) 产生内在能量 C) 培养精神自律性 D) 使身体产生紧张感</v>
      </c>
      <c r="J30" s="4" t="str">
        <f>IFERROR(__xludf.DUMMYFUNCTION("GOOGLETRANSLATE(D30, ""en"", ""zh"")"),"B) 产生内能")</f>
        <v>B) 产生内能</v>
      </c>
      <c r="K30" s="4" t="str">
        <f>IFERROR(__xludf.DUMMYFUNCTION("GOOGLETRANSLATE(E30, ""en"", ""zh"")"),"放松的身心能够促进体内能量（气）的流动，这对于有效练习太极拳至关重要。")</f>
        <v>放松的身心能够促进体内能量（气）的流动，这对于有效练习太极拳至关重要。</v>
      </c>
      <c r="L30" s="22"/>
      <c r="M30" s="22"/>
      <c r="N30" s="22"/>
      <c r="O30" s="22"/>
      <c r="P30" s="21"/>
      <c r="Q30" s="19"/>
      <c r="R30" s="19"/>
      <c r="S30" s="19"/>
      <c r="T30" s="19"/>
      <c r="U30" s="19"/>
      <c r="V30" s="19"/>
      <c r="W30" s="19"/>
      <c r="X30" s="19"/>
      <c r="Y30" s="19"/>
      <c r="Z30" s="19"/>
    </row>
    <row r="31">
      <c r="A31" s="44">
        <v>30.0</v>
      </c>
      <c r="B31" s="24" t="s">
        <v>2318</v>
      </c>
      <c r="C31" s="24" t="s">
        <v>2319</v>
      </c>
      <c r="D31" s="24" t="s">
        <v>2288</v>
      </c>
      <c r="E31" s="24" t="s">
        <v>2320</v>
      </c>
      <c r="F31" s="21"/>
      <c r="G31" s="21"/>
      <c r="H31" s="4" t="str">
        <f>IFERROR(__xludf.DUMMYFUNCTION("GOOGLETRANSLATE(B31, ""en"", ""zh"")"),"在太极拳中，下列哪种姿势需要双膝弯曲、身体贴近地面，并保持宽阔的站姿？")</f>
        <v>在太极拳中，下列哪种姿势需要双膝弯曲、身体贴近地面，并保持宽阔的站姿？</v>
      </c>
      <c r="I31" s="4" t="str">
        <f>IFERROR(__xludf.DUMMYFUNCTION("GOOGLETRANSLATE(C31, ""en"", ""zh"")"),"A) 马步 B) 弓步 C) 空步 D) 高步")</f>
        <v>A) 马步 B) 弓步 C) 空步 D) 高步</v>
      </c>
      <c r="J31" s="4" t="str">
        <f>IFERROR(__xludf.DUMMYFUNCTION("GOOGLETRANSLATE(D31, ""en"", ""zh"")"),"A) 马步")</f>
        <v>A) 马步</v>
      </c>
      <c r="K31" s="4" t="str">
        <f>IFERROR(__xludf.DUMMYFUNCTION("GOOGLETRANSLATE(E31, ""en"", ""zh"")"),"马步是一种深而宽的站姿，可以增强腿部力量和稳定性。")</f>
        <v>马步是一种深而宽的站姿，可以增强腿部力量和稳定性。</v>
      </c>
      <c r="L31" s="22"/>
      <c r="M31" s="22"/>
      <c r="N31" s="22"/>
      <c r="O31" s="22"/>
      <c r="P31" s="21"/>
      <c r="Q31" s="19"/>
      <c r="R31" s="19"/>
      <c r="S31" s="19"/>
      <c r="T31" s="19"/>
      <c r="U31" s="19"/>
      <c r="V31" s="19"/>
      <c r="W31" s="19"/>
      <c r="X31" s="19"/>
      <c r="Y31" s="19"/>
      <c r="Z31" s="19"/>
    </row>
    <row r="32">
      <c r="A32" s="44">
        <v>31.0</v>
      </c>
      <c r="B32" s="24" t="s">
        <v>2321</v>
      </c>
      <c r="C32" s="24" t="s">
        <v>2322</v>
      </c>
      <c r="D32" s="24" t="s">
        <v>2323</v>
      </c>
      <c r="E32" s="24" t="s">
        <v>2324</v>
      </c>
      <c r="F32" s="21"/>
      <c r="G32" s="21"/>
      <c r="H32" s="4" t="str">
        <f>IFERROR(__xludf.DUMMYFUNCTION("GOOGLETRANSLATE(B32, ""en"", ""zh"")"),"在太极拳练习中，练习者会从一个姿势流畅地过渡到另一个姿势。这强调的是什么？")</f>
        <v>在太极拳练习中，练习者会从一个姿势流畅地过渡到另一个姿势。这强调的是什么？</v>
      </c>
      <c r="I32" s="4" t="str">
        <f>IFERROR(__xludf.DUMMYFUNCTION("GOOGLETRANSLATE(C32, ""en"", ""zh"")"),"A) 速度 B) 流畅性和连贯性 C) 敏捷性 D) 强力运动")</f>
        <v>A) 速度 B) 流畅性和连贯性 C) 敏捷性 D) 强力运动</v>
      </c>
      <c r="J32" s="4" t="str">
        <f>IFERROR(__xludf.DUMMYFUNCTION("GOOGLETRANSLATE(D32, ""en"", ""zh"")"),"B) 流动性和连续性")</f>
        <v>B) 流动性和连续性</v>
      </c>
      <c r="K32" s="4" t="str">
        <f>IFERROR(__xludf.DUMMYFUNCTION("GOOGLETRANSLATE(E32, ""en"", ""zh"")"),"姿势之间的流畅过渡强调动作的流畅性，有助于在整个练习过程中保持能量的持续流动。")</f>
        <v>姿势之间的流畅过渡强调动作的流畅性，有助于在整个练习过程中保持能量的持续流动。</v>
      </c>
      <c r="L32" s="21"/>
      <c r="M32" s="22"/>
      <c r="N32" s="21"/>
      <c r="O32" s="22"/>
      <c r="P32" s="22"/>
      <c r="Q32" s="19"/>
      <c r="R32" s="19"/>
      <c r="S32" s="19"/>
      <c r="T32" s="19"/>
      <c r="U32" s="19"/>
      <c r="V32" s="19"/>
      <c r="W32" s="19"/>
      <c r="X32" s="19"/>
      <c r="Y32" s="19"/>
      <c r="Z32" s="19"/>
    </row>
    <row r="33">
      <c r="A33" s="44">
        <v>32.0</v>
      </c>
      <c r="B33" s="24" t="s">
        <v>2325</v>
      </c>
      <c r="C33" s="24" t="s">
        <v>2326</v>
      </c>
      <c r="D33" s="24" t="s">
        <v>2327</v>
      </c>
      <c r="E33" s="24" t="s">
        <v>2328</v>
      </c>
      <c r="F33" s="21"/>
      <c r="G33" s="21"/>
      <c r="H33" s="4" t="str">
        <f>IFERROR(__xludf.DUMMYFUNCTION("GOOGLETRANSLATE(B33, ""en"", ""zh"")"),"太极拳练习者运用“阴阳”的概念来平衡动作。这个概念教导我们什么？")</f>
        <v>太极拳练习者运用“阴阳”的概念来平衡动作。这个概念教导我们什么？</v>
      </c>
      <c r="I33" s="4" t="str">
        <f>IFERROR(__xludf.DUMMYFUNCTION("GOOGLETRANSLATE(C33, ""en"", ""zh"")"),"A) 只用蛮力 B) 平衡软硬元素 C) 只专注于呼吸控制 D) 不假思索地行动")</f>
        <v>A) 只用蛮力 B) 平衡软硬元素 C) 只专注于呼吸控制 D) 不假思索地行动</v>
      </c>
      <c r="J33" s="4" t="str">
        <f>IFERROR(__xludf.DUMMYFUNCTION("GOOGLETRANSLATE(D33, ""en"", ""zh"")"),"B) 平衡软硬元素")</f>
        <v>B) 平衡软硬元素</v>
      </c>
      <c r="K33" s="4" t="str">
        <f>IFERROR(__xludf.DUMMYFUNCTION("GOOGLETRANSLATE(E33, ""en"", ""zh"")"),"阴阳的概念教导人们通过在运动和能量中融合柔和（阴）和刚硬（阳）的元素来达到平衡，从而创造和谐。")</f>
        <v>阴阳的概念教导人们通过在运动和能量中融合柔和（阴）和刚硬（阳）的元素来达到平衡，从而创造和谐。</v>
      </c>
      <c r="L33" s="22"/>
      <c r="M33" s="22"/>
      <c r="N33" s="22"/>
      <c r="O33" s="22"/>
      <c r="P33" s="21"/>
      <c r="Q33" s="19"/>
      <c r="R33" s="19"/>
      <c r="S33" s="19"/>
      <c r="T33" s="19"/>
      <c r="U33" s="19"/>
      <c r="V33" s="19"/>
      <c r="W33" s="19"/>
      <c r="X33" s="19"/>
      <c r="Y33" s="19"/>
      <c r="Z33" s="19"/>
    </row>
    <row r="34">
      <c r="A34" s="44">
        <v>33.0</v>
      </c>
      <c r="B34" s="24" t="s">
        <v>2329</v>
      </c>
      <c r="C34" s="24" t="s">
        <v>2330</v>
      </c>
      <c r="D34" s="24" t="s">
        <v>2331</v>
      </c>
      <c r="E34" s="24" t="s">
        <v>2332</v>
      </c>
      <c r="F34" s="21"/>
      <c r="G34" s="21"/>
      <c r="H34" s="4" t="str">
        <f>IFERROR(__xludf.DUMMYFUNCTION("GOOGLETRANSLATE(B34, ""en"", ""zh"")"),"太极拳注重缓慢、可控的动作，其主要益处是什么？")</f>
        <v>太极拳注重缓慢、可控的动作，其主要益处是什么？</v>
      </c>
      <c r="I34" s="4" t="str">
        <f>IFERROR(__xludf.DUMMYFUNCTION("GOOGLETRANSLATE(C34, ""en"", ""zh"")"),"A) 增强心肺耐力 B) 发展爆发力 C) 培养专注力和放松技巧 D) 快速增加肌肉量")</f>
        <v>A) 增强心肺耐力 B) 发展爆发力 C) 培养专注力和放松技巧 D) 快速增加肌肉量</v>
      </c>
      <c r="J34" s="4" t="str">
        <f>IFERROR(__xludf.DUMMYFUNCTION("GOOGLETRANSLATE(D34, ""en"", ""zh"")"),"C) 培养正念和放松")</f>
        <v>C) 培养正念和放松</v>
      </c>
      <c r="K34" s="4" t="str">
        <f>IFERROR(__xludf.DUMMYFUNCTION("GOOGLETRANSLATE(E34, ""en"", ""zh"")"),"太极拳缓慢、可控的动作有助于放松身心，帮助练习者连接身心。")</f>
        <v>太极拳缓慢、可控的动作有助于放松身心，帮助练习者连接身心。</v>
      </c>
      <c r="L34" s="22"/>
      <c r="M34" s="22"/>
      <c r="N34" s="22"/>
      <c r="O34" s="22"/>
      <c r="P34" s="21"/>
      <c r="Q34" s="19"/>
      <c r="R34" s="19"/>
      <c r="S34" s="19"/>
      <c r="T34" s="19"/>
      <c r="U34" s="19"/>
      <c r="V34" s="19"/>
      <c r="W34" s="19"/>
      <c r="X34" s="19"/>
      <c r="Y34" s="19"/>
      <c r="Z34" s="19"/>
    </row>
    <row r="35">
      <c r="A35" s="44">
        <v>34.0</v>
      </c>
      <c r="B35" s="24" t="s">
        <v>2333</v>
      </c>
      <c r="C35" s="24" t="s">
        <v>2334</v>
      </c>
      <c r="D35" s="24" t="s">
        <v>2335</v>
      </c>
      <c r="E35" s="24" t="s">
        <v>2336</v>
      </c>
      <c r="F35" s="21"/>
      <c r="G35" s="21"/>
      <c r="H35" s="4" t="str">
        <f>IFERROR(__xludf.DUMMYFUNCTION("GOOGLETRANSLATE(B35, ""en"", ""zh"")"),"在太极拳课上，一位练习者正在练习名为“抓鸟尾”的动作。这个动作的主要目的是什么？")</f>
        <v>在太极拳课上，一位练习者正在练习名为“抓鸟尾”的动作。这个动作的主要目的是什么？</v>
      </c>
      <c r="I35" s="4" t="str">
        <f>IFERROR(__xludf.DUMMYFUNCTION("GOOGLETRANSLATE(C35, ""en"", ""zh"")"),"A) 增强手臂力量 B) 增强脊柱柔韧性 C) 融合多种太极拳原理 D) 进行武术打击")</f>
        <v>A) 增强手臂力量 B) 增强脊柱柔韧性 C) 融合多种太极拳原理 D) 进行武术打击</v>
      </c>
      <c r="J35" s="4" t="str">
        <f>IFERROR(__xludf.DUMMYFUNCTION("GOOGLETRANSLATE(D35, ""en"", ""zh"")"),"C) 整合各种太极拳原则")</f>
        <v>C) 整合各种太极拳原则</v>
      </c>
      <c r="K35" s="4" t="str">
        <f>IFERROR(__xludf.DUMMYFUNCTION("GOOGLETRANSLATE(E35, ""en"", ""zh"")"),"“抓鸟尾”融合了扎根、平衡和圆周运动等原则，是太极拳的基础动作。")</f>
        <v>“抓鸟尾”融合了扎根、平衡和圆周运动等原则，是太极拳的基础动作。</v>
      </c>
      <c r="L35" s="22"/>
      <c r="M35" s="22"/>
      <c r="N35" s="22"/>
      <c r="O35" s="22"/>
      <c r="P35" s="22"/>
      <c r="Q35" s="19"/>
      <c r="R35" s="19"/>
      <c r="S35" s="19"/>
      <c r="T35" s="19"/>
      <c r="U35" s="19"/>
      <c r="V35" s="19"/>
      <c r="W35" s="19"/>
      <c r="X35" s="19"/>
      <c r="Y35" s="19"/>
      <c r="Z35" s="19"/>
    </row>
    <row r="36">
      <c r="A36" s="44">
        <v>35.0</v>
      </c>
      <c r="B36" s="24" t="s">
        <v>2337</v>
      </c>
      <c r="C36" s="24" t="s">
        <v>2338</v>
      </c>
      <c r="D36" s="24" t="s">
        <v>2339</v>
      </c>
      <c r="E36" s="24" t="s">
        <v>2340</v>
      </c>
      <c r="F36" s="21"/>
      <c r="G36" s="21"/>
      <c r="H36" s="4" t="str">
        <f>IFERROR(__xludf.DUMMYFUNCTION("GOOGLETRANSLATE(B36, ""en"", ""zh"")"),"太极拳练习者在练习过程中专注于保持呼吸的稳定和控制。这样做的主要原因是什么？")</f>
        <v>太极拳练习者在练习过程中专注于保持呼吸的稳定和控制。这样做的主要原因是什么？</v>
      </c>
      <c r="I36" s="4" t="str">
        <f>IFERROR(__xludf.DUMMYFUNCTION("GOOGLETRANSLATE(C36, ""en"", ""zh"")"),"A) 增强力量 B) 提高专注力和放松度 C) 进行有氧运动 D) 增加肌肉张力")</f>
        <v>A) 增强力量 B) 提高专注力和放松度 C) 进行有氧运动 D) 增加肌肉张力</v>
      </c>
      <c r="J36" s="4" t="str">
        <f>IFERROR(__xludf.DUMMYFUNCTION("GOOGLETRANSLATE(D36, ""en"", ""zh"")"),"B) 增强专注力和放松")</f>
        <v>B) 增强专注力和放松</v>
      </c>
      <c r="K36" s="4" t="str">
        <f>IFERROR(__xludf.DUMMYFUNCTION("GOOGLETRANSLATE(E36, ""en"", ""zh"")"),"太极拳中的控制呼吸有助于保持冷静，增强专注力，并促进能量在体内流动。")</f>
        <v>太极拳中的控制呼吸有助于保持冷静，增强专注力，并促进能量在体内流动。</v>
      </c>
      <c r="L36" s="21"/>
      <c r="M36" s="22"/>
      <c r="N36" s="21"/>
      <c r="O36" s="22"/>
      <c r="P36" s="22"/>
      <c r="Q36" s="19"/>
      <c r="R36" s="19"/>
      <c r="S36" s="19"/>
      <c r="T36" s="19"/>
      <c r="U36" s="19"/>
      <c r="V36" s="19"/>
      <c r="W36" s="19"/>
      <c r="X36" s="19"/>
      <c r="Y36" s="19"/>
      <c r="Z36" s="19"/>
    </row>
    <row r="37">
      <c r="A37" s="44">
        <v>36.0</v>
      </c>
      <c r="B37" s="24" t="s">
        <v>2341</v>
      </c>
      <c r="C37" s="24" t="s">
        <v>2342</v>
      </c>
      <c r="D37" s="24" t="s">
        <v>2343</v>
      </c>
      <c r="E37" s="24" t="s">
        <v>2344</v>
      </c>
      <c r="F37" s="21"/>
      <c r="G37" s="21"/>
      <c r="H37" s="4" t="str">
        <f>IFERROR(__xludf.DUMMYFUNCTION("GOOGLETRANSLATE(B37, ""en"", ""zh"")"),"太极拳练习中，练习者必须意识到自己“扎根”于大地。这个概念指的是什么？")</f>
        <v>太极拳练习中，练习者必须意识到自己“扎根”于大地。这个概念指的是什么？</v>
      </c>
      <c r="I37" s="4" t="str">
        <f>IFERROR(__xludf.DUMMYFUNCTION("GOOGLETRANSLATE(C37, ""en"", ""zh"")"),"A) 通过扎根地面保持平衡 B) 加快运动速度 C) 专注于上半身 D) 收紧腿部肌肉")</f>
        <v>A) 通过扎根地面保持平衡 B) 加快运动速度 C) 专注于上半身 D) 收紧腿部肌肉</v>
      </c>
      <c r="J37" s="4" t="str">
        <f>IFERROR(__xludf.DUMMYFUNCTION("GOOGLETRANSLATE(D37, ""en"", ""zh"")"),"A) 通过扎根大地来保持平衡")</f>
        <v>A) 通过扎根大地来保持平衡</v>
      </c>
      <c r="K37" s="4" t="str">
        <f>IFERROR(__xludf.DUMMYFUNCTION("GOOGLETRANSLATE(E37, ""en"", ""zh"")"),"“根”指的是保持稳定、踏实的姿势，这种姿势可以支撑平衡，并在运动中提供力量。")</f>
        <v>“根”指的是保持稳定、踏实的姿势，这种姿势可以支撑平衡，并在运动中提供力量。</v>
      </c>
      <c r="L37" s="21"/>
      <c r="M37" s="22"/>
      <c r="N37" s="22"/>
      <c r="O37" s="22"/>
      <c r="P37" s="21"/>
      <c r="Q37" s="19"/>
      <c r="R37" s="19"/>
      <c r="S37" s="19"/>
      <c r="T37" s="19"/>
      <c r="U37" s="19"/>
      <c r="V37" s="19"/>
      <c r="W37" s="19"/>
      <c r="X37" s="19"/>
      <c r="Y37" s="19"/>
      <c r="Z37" s="19"/>
    </row>
    <row r="38">
      <c r="A38" s="44">
        <v>37.0</v>
      </c>
      <c r="B38" s="24" t="s">
        <v>2345</v>
      </c>
      <c r="C38" s="24" t="s">
        <v>2346</v>
      </c>
      <c r="D38" s="24" t="s">
        <v>2347</v>
      </c>
      <c r="E38" s="24" t="s">
        <v>2348</v>
      </c>
      <c r="F38" s="21"/>
      <c r="G38" s="21"/>
      <c r="H38" s="4" t="str">
        <f>IFERROR(__xludf.DUMMYFUNCTION("GOOGLETRANSLATE(B38, ""en"", ""zh"")"),"在太极拳中，练习者在变换拳法时，会专注于用手臂画圈。这种画圈动作的主要益处是什么？")</f>
        <v>在太极拳中，练习者在变换拳法时，会专注于用手臂画圈。这种画圈动作的主要益处是什么？</v>
      </c>
      <c r="I38" s="4" t="str">
        <f>IFERROR(__xludf.DUMMYFUNCTION("GOOGLETRANSLATE(C38, ""en"", ""zh"")"),"A) 增强爆发力 B) 促进流畅、持续的能量流动 C) 增加肌肉张力 D) 进行攻击")</f>
        <v>A) 增强爆发力 B) 促进流畅、持续的能量流动 C) 增加肌肉张力 D) 进行攻击</v>
      </c>
      <c r="J38" s="4" t="str">
        <f>IFERROR(__xludf.DUMMYFUNCTION("GOOGLETRANSLATE(D38, ""en"", ""zh"")"),"B) 促进平稳、持续的能量流动")</f>
        <v>B) 促进平稳、持续的能量流动</v>
      </c>
      <c r="K38" s="4" t="str">
        <f>IFERROR(__xludf.DUMMYFUNCTION("GOOGLETRANSLATE(E38, ""en"", ""zh"")"),"太极拳中的圆形动作有助于能量（气）的持续流动，从而增强练习的整体和谐与平衡。")</f>
        <v>太极拳中的圆形动作有助于能量（气）的持续流动，从而增强练习的整体和谐与平衡。</v>
      </c>
      <c r="L38" s="22"/>
      <c r="M38" s="22"/>
      <c r="N38" s="22"/>
      <c r="O38" s="22"/>
      <c r="P38" s="21"/>
      <c r="Q38" s="19"/>
      <c r="R38" s="19"/>
      <c r="S38" s="19"/>
      <c r="T38" s="19"/>
      <c r="U38" s="19"/>
      <c r="V38" s="19"/>
      <c r="W38" s="19"/>
      <c r="X38" s="19"/>
      <c r="Y38" s="19"/>
      <c r="Z38" s="19"/>
    </row>
    <row r="39">
      <c r="A39" s="44">
        <v>38.0</v>
      </c>
      <c r="B39" s="24" t="s">
        <v>2349</v>
      </c>
      <c r="C39" s="24" t="s">
        <v>2350</v>
      </c>
      <c r="D39" s="24" t="s">
        <v>2351</v>
      </c>
      <c r="E39" s="24" t="s">
        <v>2352</v>
      </c>
      <c r="F39" s="21"/>
      <c r="G39" s="21"/>
      <c r="H39" s="4" t="str">
        <f>IFERROR(__xludf.DUMMYFUNCTION("GOOGLETRANSLATE(B39, ""en"", ""zh"")"),"一位太极拳练习者正在练习“金鸡单腿站立”的姿势。这个动作的主要重点是什么？")</f>
        <v>一位太极拳练习者正在练习“金鸡单腿站立”的姿势。这个动作的主要重点是什么？</v>
      </c>
      <c r="I39" s="4" t="str">
        <f>IFERROR(__xludf.DUMMYFUNCTION("GOOGLETRANSLATE(C39, ""en"", ""zh"")"),"A) 增强腿部力量和平衡能力 B) 提高运动速度 C) 练习武术技巧 D) 增强手臂柔韧性")</f>
        <v>A) 增强腿部力量和平衡能力 B) 提高运动速度 C) 练习武术技巧 D) 增强手臂柔韧性</v>
      </c>
      <c r="J39" s="4" t="str">
        <f>IFERROR(__xludf.DUMMYFUNCTION("GOOGLETRANSLATE(D39, ""en"", ""zh"")"),"A) 增强腿部力量和平衡能力")</f>
        <v>A) 增强腿部力量和平衡能力</v>
      </c>
      <c r="K39" s="4" t="str">
        <f>IFERROR(__xludf.DUMMYFUNCTION("GOOGLETRANSLATE(E39, ""en"", ""zh"")"),"“金鸡单腿站立”姿势是一种平衡动作，可以增强腿部力量，提高注意力和稳定性。")</f>
        <v>“金鸡单腿站立”姿势是一种平衡动作，可以增强腿部力量，提高注意力和稳定性。</v>
      </c>
      <c r="L39" s="21"/>
      <c r="M39" s="22"/>
      <c r="N39" s="22"/>
      <c r="O39" s="22"/>
      <c r="P39" s="22"/>
      <c r="Q39" s="19"/>
      <c r="R39" s="19"/>
      <c r="S39" s="19"/>
      <c r="T39" s="19"/>
      <c r="U39" s="19"/>
      <c r="V39" s="19"/>
      <c r="W39" s="19"/>
      <c r="X39" s="19"/>
      <c r="Y39" s="19"/>
      <c r="Z39" s="19"/>
    </row>
    <row r="40">
      <c r="A40" s="44">
        <v>39.0</v>
      </c>
      <c r="B40" s="24" t="s">
        <v>2353</v>
      </c>
      <c r="C40" s="24" t="s">
        <v>2354</v>
      </c>
      <c r="D40" s="24" t="s">
        <v>2355</v>
      </c>
      <c r="E40" s="24" t="s">
        <v>2356</v>
      </c>
      <c r="F40" s="21"/>
      <c r="G40" s="21"/>
      <c r="H40" s="4" t="str">
        <f>IFERROR(__xludf.DUMMYFUNCTION("GOOGLETRANSLATE(B40, ""en"", ""zh"")"),"太极拳练习者每次练习前都会先进行深而放松的呼吸，然后进入流畅的姿势。这种热身的目的是什么？")</f>
        <v>太极拳练习者每次练习前都会先进行深而放松的呼吸，然后进入流畅的姿势。这种热身的目的是什么？</v>
      </c>
      <c r="I40" s="4" t="str">
        <f>IFERROR(__xludf.DUMMYFUNCTION("GOOGLETRANSLATE(C40, ""en"", ""zh"")"),"A) 增强心肺耐力 B) 使身心做好流畅运动的准备 C) 进行高强度运动 D) 增强肌肉力量")</f>
        <v>A) 增强心肺耐力 B) 使身心做好流畅运动的准备 C) 进行高强度运动 D) 增强肌肉力量</v>
      </c>
      <c r="J40" s="4" t="str">
        <f>IFERROR(__xludf.DUMMYFUNCTION("GOOGLETRANSLATE(D40, ""en"", ""zh"")"),"B) 使身体和精神为流畅的动作做好准备")</f>
        <v>B) 使身体和精神为流畅的动作做好准备</v>
      </c>
      <c r="K40" s="4" t="str">
        <f>IFERROR(__xludf.DUMMYFUNCTION("GOOGLETRANSLATE(E40, ""en"", ""zh"")"),"热身阶段使身体为太极拳缓慢、可控的动作做好准备，同时平静心绪，集中注意力。")</f>
        <v>热身阶段使身体为太极拳缓慢、可控的动作做好准备，同时平静心绪，集中注意力。</v>
      </c>
      <c r="L40" s="21"/>
      <c r="M40" s="22"/>
      <c r="N40" s="22"/>
      <c r="O40" s="22"/>
      <c r="P40" s="21"/>
      <c r="Q40" s="19"/>
      <c r="R40" s="19"/>
      <c r="S40" s="19"/>
      <c r="T40" s="19"/>
      <c r="U40" s="19"/>
      <c r="V40" s="19"/>
      <c r="W40" s="19"/>
      <c r="X40" s="19"/>
      <c r="Y40" s="19"/>
      <c r="Z40" s="19"/>
    </row>
    <row r="41">
      <c r="A41" s="44">
        <v>40.0</v>
      </c>
      <c r="B41" s="24" t="s">
        <v>2357</v>
      </c>
      <c r="C41" s="24" t="s">
        <v>2358</v>
      </c>
      <c r="D41" s="24" t="s">
        <v>2359</v>
      </c>
      <c r="E41" s="24" t="s">
        <v>2360</v>
      </c>
      <c r="F41" s="21"/>
      <c r="G41" s="21"/>
      <c r="H41" s="4" t="str">
        <f>IFERROR(__xludf.DUMMYFUNCTION("GOOGLETRANSLATE(B41, ""en"", ""zh"")"),"以下哪种太极拳姿势最常用于进行强力打击或防御动作？")</f>
        <v>以下哪种太极拳姿势最常用于进行强力打击或防御动作？</v>
      </c>
      <c r="I41" s="4" t="str">
        <f>IFERROR(__xludf.DUMMYFUNCTION("GOOGLETRANSLATE(C41, ""en"", ""zh"")"),"A) 弓步 B) 空步 C) 马步 D) 交叉步")</f>
        <v>A) 弓步 B) 空步 C) 马步 D) 交叉步</v>
      </c>
      <c r="J41" s="4" t="str">
        <f>IFERROR(__xludf.DUMMYFUNCTION("GOOGLETRANSLATE(D41, ""en"", ""zh"")"),"A) 弓步姿势")</f>
        <v>A) 弓步姿势</v>
      </c>
      <c r="K41" s="4" t="str">
        <f>IFERROR(__xludf.DUMMYFUNCTION("GOOGLETRANSLATE(E41, ""en"", ""zh"")"),"弓步因其稳固的姿势，常用于太极拳中施展强力的打击和防御技巧。")</f>
        <v>弓步因其稳固的姿势，常用于太极拳中施展强力的打击和防御技巧。</v>
      </c>
      <c r="L41" s="22"/>
      <c r="M41" s="22"/>
      <c r="N41" s="22"/>
      <c r="O41" s="22"/>
      <c r="P41" s="21"/>
      <c r="Q41" s="19"/>
      <c r="R41" s="19"/>
      <c r="S41" s="19"/>
      <c r="T41" s="19"/>
      <c r="U41" s="19"/>
      <c r="V41" s="19"/>
      <c r="W41" s="19"/>
      <c r="X41" s="19"/>
      <c r="Y41" s="19"/>
      <c r="Z41" s="19"/>
    </row>
    <row r="42">
      <c r="A42" s="44">
        <v>41.0</v>
      </c>
      <c r="B42" s="24" t="s">
        <v>2361</v>
      </c>
      <c r="C42" s="24" t="s">
        <v>2362</v>
      </c>
      <c r="D42" s="24" t="s">
        <v>2363</v>
      </c>
      <c r="E42" s="24" t="s">
        <v>2364</v>
      </c>
      <c r="F42" s="21"/>
      <c r="G42" s="21"/>
      <c r="H42" s="4" t="str">
        <f>IFERROR(__xludf.DUMMYFUNCTION("GOOGLETRANSLATE(B42, ""en"", ""zh"")"),"练习太极拳时，为什么保持放松自然的姿势很重要？")</f>
        <v>练习太极拳时，为什么保持放松自然的姿势很重要？</v>
      </c>
      <c r="I42" s="4" t="str">
        <f>IFERROR(__xludf.DUMMYFUNCTION("GOOGLETRANSLATE(C42, ""en"", ""zh"")"),"A) 提高速度和攻击性 B) 避免肌肉拉伤并保持平衡 C) 专注于外部技巧 D) 产生高强度运动")</f>
        <v>A) 提高速度和攻击性 B) 避免肌肉拉伤并保持平衡 C) 专注于外部技巧 D) 产生高强度运动</v>
      </c>
      <c r="J42" s="4" t="str">
        <f>IFERROR(__xludf.DUMMYFUNCTION("GOOGLETRANSLATE(D42, ""en"", ""zh"")"),"B) 为避免肌肉拉伤并保持平衡")</f>
        <v>B) 为避免肌肉拉伤并保持平衡</v>
      </c>
      <c r="K42" s="4" t="str">
        <f>IFERROR(__xludf.DUMMYFUNCTION("GOOGLETRANSLATE(E42, ""en"", ""zh"")"),"保持放松的姿势有助于保持正确的体态，减少肌肉紧张，改善平衡，从而使太极拳更加有效。")</f>
        <v>保持放松的姿势有助于保持正确的体态，减少肌肉紧张，改善平衡，从而使太极拳更加有效。</v>
      </c>
      <c r="L42" s="21"/>
      <c r="M42" s="22"/>
      <c r="N42" s="21"/>
      <c r="O42" s="22"/>
      <c r="P42" s="22"/>
      <c r="Q42" s="19"/>
      <c r="R42" s="19"/>
      <c r="S42" s="19"/>
      <c r="T42" s="19"/>
      <c r="U42" s="19"/>
      <c r="V42" s="19"/>
      <c r="W42" s="19"/>
      <c r="X42" s="19"/>
      <c r="Y42" s="19"/>
      <c r="Z42" s="19"/>
    </row>
    <row r="43">
      <c r="A43" s="44">
        <v>42.0</v>
      </c>
      <c r="B43" s="49" t="s">
        <v>2365</v>
      </c>
      <c r="C43" s="49" t="s">
        <v>2366</v>
      </c>
      <c r="D43" s="49" t="s">
        <v>2367</v>
      </c>
      <c r="E43" s="49" t="s">
        <v>2368</v>
      </c>
      <c r="F43" s="50"/>
      <c r="G43" s="50"/>
      <c r="H43" s="4" t="str">
        <f>IFERROR(__xludf.DUMMYFUNCTION("GOOGLETRANSLATE(B43, ""en"", ""zh"")"),"在太极拳中，做“拨开野马鬃毛”动作时，主要关注点是什么？")</f>
        <v>在太极拳中，做“拨开野马鬃毛”动作时，主要关注点是什么？</v>
      </c>
      <c r="I43" s="4" t="str">
        <f>IFERROR(__xludf.DUMMYFUNCTION("GOOGLETRANSLATE(C43, ""en"", ""zh"")"),"A) 增强手臂力量 B) 协调呼吸与身体 C) 产生爆发力 D) 提高腿部柔韧性")</f>
        <v>A) 增强手臂力量 B) 协调呼吸与身体 C) 产生爆发力 D) 提高腿部柔韧性</v>
      </c>
      <c r="J43" s="4" t="str">
        <f>IFERROR(__xludf.DUMMYFUNCTION("GOOGLETRANSLATE(D43, ""en"", ""zh"")"),"B）协调呼吸和身体")</f>
        <v>B）协调呼吸和身体</v>
      </c>
      <c r="K43" s="4" t="str">
        <f>IFERROR(__xludf.DUMMYFUNCTION("GOOGLETRANSLATE(E43, ""en"", ""zh"")"),"“拨开野马鬃毛”是一个流畅的动作，强调呼吸与身体的协调，以创造和谐。")</f>
        <v>“拨开野马鬃毛”是一个流畅的动作，强调呼吸与身体的协调，以创造和谐。</v>
      </c>
      <c r="L43" s="51"/>
      <c r="M43" s="51"/>
      <c r="N43" s="50"/>
      <c r="O43" s="51"/>
      <c r="P43" s="51"/>
      <c r="Q43" s="52"/>
      <c r="R43" s="52"/>
      <c r="S43" s="52"/>
      <c r="T43" s="52"/>
      <c r="U43" s="52"/>
      <c r="V43" s="52"/>
      <c r="W43" s="52"/>
      <c r="X43" s="52"/>
      <c r="Y43" s="52"/>
      <c r="Z43" s="52"/>
    </row>
    <row r="44">
      <c r="A44" s="30">
        <v>43.0</v>
      </c>
      <c r="B44" s="12" t="s">
        <v>2369</v>
      </c>
      <c r="C44" s="12" t="s">
        <v>2370</v>
      </c>
      <c r="D44" s="12" t="s">
        <v>2371</v>
      </c>
      <c r="E44" s="43"/>
      <c r="F44" s="21"/>
      <c r="G44" s="21"/>
      <c r="H44" s="4" t="str">
        <f>IFERROR(__xludf.DUMMYFUNCTION("GOOGLETRANSLATE(B44, ""en"", ""zh"")"),"练习过程中，在进行缓慢动作时，你的平衡感开始动摇。你会怎么做？")</f>
        <v>练习过程中，在进行缓慢动作时，你的平衡感开始动摇。你会怎么做？</v>
      </c>
      <c r="I44" s="4" t="str">
        <f>IFERROR(__xludf.DUMMYFUNCTION("GOOGLETRANSLATE(C44, ""en"", ""zh"")"),"A) 调整姿势和注意力 B) 忽略 C) 后退 D) 暂停")</f>
        <v>A) 调整姿势和注意力 B) 忽略 C) 后退 D) 暂停</v>
      </c>
      <c r="J44" s="4" t="str">
        <f>IFERROR(__xludf.DUMMYFUNCTION("GOOGLETRANSLATE(D44, ""en"", ""zh"")"),"A) 调整姿势和注意力")</f>
        <v>A) 调整姿势和注意力</v>
      </c>
      <c r="K44" s="4" t="str">
        <f>IFERROR(__xludf.DUMMYFUNCTION("GOOGLETRANSLATE(E44, ""en"", ""zh"")"),"#VALUE!")</f>
        <v>#VALUE!</v>
      </c>
      <c r="L44" s="21"/>
      <c r="M44" s="21"/>
      <c r="N44" s="21"/>
      <c r="O44" s="21"/>
      <c r="P44" s="21"/>
      <c r="Q44" s="19"/>
      <c r="R44" s="19"/>
      <c r="S44" s="19"/>
      <c r="T44" s="19"/>
      <c r="U44" s="19"/>
      <c r="V44" s="19"/>
      <c r="W44" s="19"/>
      <c r="X44" s="19"/>
      <c r="Y44" s="19"/>
      <c r="Z44" s="19"/>
    </row>
    <row r="45">
      <c r="A45" s="30">
        <v>44.0</v>
      </c>
      <c r="B45" s="12" t="s">
        <v>2372</v>
      </c>
      <c r="C45" s="12" t="s">
        <v>2373</v>
      </c>
      <c r="D45" s="12" t="s">
        <v>2374</v>
      </c>
      <c r="E45" s="43"/>
      <c r="F45" s="21"/>
      <c r="G45" s="21"/>
      <c r="H45" s="4" t="str">
        <f>IFERROR(__xludf.DUMMYFUNCTION("GOOGLETRANSLATE(B45, ""en"", ""zh"")"),"在双人练习中，你发现同伴动作过快。你应该如何应对？")</f>
        <v>在双人练习中，你发现同伴动作过快。你应该如何应对？</v>
      </c>
      <c r="I45" s="4" t="str">
        <f>IFERROR(__xludf.DUMMYFUNCTION("GOOGLETRANSLATE(C45, ""en"", ""zh"")"),"A) 保持节奏并保持姿势 B) 忽略 C) 停止 D) 向前推进")</f>
        <v>A) 保持节奏并保持姿势 B) 忽略 C) 停止 D) 向前推进</v>
      </c>
      <c r="J45" s="4" t="str">
        <f>IFERROR(__xludf.DUMMYFUNCTION("GOOGLETRANSLATE(D45, ""en"", ""zh"")"),"A）保持比赛节奏和状态")</f>
        <v>A）保持比赛节奏和状态</v>
      </c>
      <c r="K45" s="4" t="str">
        <f>IFERROR(__xludf.DUMMYFUNCTION("GOOGLETRANSLATE(E45, ""en"", ""zh"")"),"#VALUE!")</f>
        <v>#VALUE!</v>
      </c>
      <c r="L45" s="21"/>
      <c r="M45" s="21"/>
      <c r="N45" s="21"/>
      <c r="O45" s="21"/>
      <c r="P45" s="21"/>
      <c r="Q45" s="19"/>
      <c r="R45" s="19"/>
      <c r="S45" s="19"/>
      <c r="T45" s="19"/>
      <c r="U45" s="19"/>
      <c r="V45" s="19"/>
      <c r="W45" s="19"/>
      <c r="X45" s="19"/>
      <c r="Y45" s="19"/>
      <c r="Z45" s="19"/>
    </row>
    <row r="46">
      <c r="A46" s="30">
        <v>45.0</v>
      </c>
      <c r="B46" s="12" t="s">
        <v>2375</v>
      </c>
      <c r="C46" s="12" t="s">
        <v>2376</v>
      </c>
      <c r="D46" s="12" t="s">
        <v>2377</v>
      </c>
      <c r="E46" s="43"/>
      <c r="F46" s="21"/>
      <c r="G46" s="21"/>
      <c r="H46" s="4" t="str">
        <f>IFERROR(__xludf.DUMMYFUNCTION("GOOGLETRANSLATE(B46, ""en"", ""zh"")"),"在推手练习中，你的搭档突然施力。你会如何回应？")</f>
        <v>在推手练习中，你的搭档突然施力。你会如何回应？</v>
      </c>
      <c r="I46" s="4" t="str">
        <f>IFERROR(__xludf.DUMMYFUNCTION("GOOGLETRANSLATE(C46, ""en"", ""zh"")"),"A) 让步并改变方向 B) 无视 C) 向前迈步 D) 积极抵抗")</f>
        <v>A) 让步并改变方向 B) 无视 C) 向前迈步 D) 积极抵抗</v>
      </c>
      <c r="J46" s="4" t="str">
        <f>IFERROR(__xludf.DUMMYFUNCTION("GOOGLETRANSLATE(D46, ""en"", ""zh"")"),"A) 让路并重新定向")</f>
        <v>A) 让路并重新定向</v>
      </c>
      <c r="K46" s="4" t="str">
        <f>IFERROR(__xludf.DUMMYFUNCTION("GOOGLETRANSLATE(E46, ""en"", ""zh"")"),"#VALUE!")</f>
        <v>#VALUE!</v>
      </c>
      <c r="L46" s="21"/>
      <c r="M46" s="21"/>
      <c r="N46" s="21"/>
      <c r="O46" s="21"/>
      <c r="P46" s="21"/>
      <c r="Q46" s="19"/>
      <c r="R46" s="19"/>
      <c r="S46" s="19"/>
      <c r="T46" s="19"/>
      <c r="U46" s="19"/>
      <c r="V46" s="19"/>
      <c r="W46" s="19"/>
      <c r="X46" s="19"/>
      <c r="Y46" s="19"/>
      <c r="Z46" s="19"/>
    </row>
    <row r="47">
      <c r="A47" s="30">
        <v>46.0</v>
      </c>
      <c r="B47" s="12" t="s">
        <v>2378</v>
      </c>
      <c r="C47" s="12" t="s">
        <v>2379</v>
      </c>
      <c r="D47" s="12" t="s">
        <v>2380</v>
      </c>
      <c r="E47" s="43"/>
      <c r="F47" s="21"/>
      <c r="G47" s="21"/>
      <c r="H47" s="4" t="str">
        <f>IFERROR(__xludf.DUMMYFUNCTION("GOOGLETRANSLATE(B47, ""en"", ""zh"")"),"在日常锻炼过程中，你感到肩膀紧张。该如何缓解？")</f>
        <v>在日常锻炼过程中，你感到肩膀紧张。该如何缓解？</v>
      </c>
      <c r="I47" s="4" t="str">
        <f>IFERROR(__xludf.DUMMYFUNCTION("GOOGLETRANSLATE(C47, ""en"", ""zh"")"),"A) 放松肌肉并继续 B) 忽略 C) 停止 D) 用力推")</f>
        <v>A) 放松肌肉并继续 B) 忽略 C) 停止 D) 用力推</v>
      </c>
      <c r="J47" s="4" t="str">
        <f>IFERROR(__xludf.DUMMYFUNCTION("GOOGLETRANSLATE(D47, ""en"", ""zh"")"),"A) 放松肌肉并继续")</f>
        <v>A) 放松肌肉并继续</v>
      </c>
      <c r="K47" s="4" t="str">
        <f>IFERROR(__xludf.DUMMYFUNCTION("GOOGLETRANSLATE(E47, ""en"", ""zh"")"),"#VALUE!")</f>
        <v>#VALUE!</v>
      </c>
      <c r="L47" s="21"/>
      <c r="M47" s="21"/>
      <c r="N47" s="21"/>
      <c r="O47" s="21"/>
      <c r="P47" s="21"/>
      <c r="Q47" s="19"/>
      <c r="R47" s="19"/>
      <c r="S47" s="19"/>
      <c r="T47" s="19"/>
      <c r="U47" s="19"/>
      <c r="V47" s="19"/>
      <c r="W47" s="19"/>
      <c r="X47" s="19"/>
      <c r="Y47" s="19"/>
      <c r="Z47" s="19"/>
    </row>
    <row r="48">
      <c r="A48" s="30">
        <v>47.0</v>
      </c>
      <c r="B48" s="12" t="s">
        <v>2381</v>
      </c>
      <c r="C48" s="12" t="s">
        <v>2382</v>
      </c>
      <c r="D48" s="12" t="s">
        <v>2383</v>
      </c>
      <c r="E48" s="43"/>
      <c r="F48" s="21"/>
      <c r="G48" s="21"/>
      <c r="H48" s="4" t="str">
        <f>IFERROR(__xludf.DUMMYFUNCTION("GOOGLETRANSLATE(B48, ""en"", ""zh"")"),"伴侣突然改变姿势，你该如何应对？")</f>
        <v>伴侣突然改变姿势，你该如何应对？</v>
      </c>
      <c r="I48" s="4" t="str">
        <f>IFERROR(__xludf.DUMMYFUNCTION("GOOGLETRANSLATE(C48, ""en"", ""zh"")"),"A) 调整重心 B) 忽略 C) 后退 D) 跳跃")</f>
        <v>A) 调整重心 B) 忽略 C) 后退 D) 跳跃</v>
      </c>
      <c r="J48" s="4" t="str">
        <f>IFERROR(__xludf.DUMMYFUNCTION("GOOGLETRANSLATE(D48, ""en"", ""zh"")"),"A) 调整重心和重心")</f>
        <v>A) 调整重心和重心</v>
      </c>
      <c r="K48" s="4" t="str">
        <f>IFERROR(__xludf.DUMMYFUNCTION("GOOGLETRANSLATE(E48, ""en"", ""zh"")"),"#VALUE!")</f>
        <v>#VALUE!</v>
      </c>
      <c r="L48" s="21"/>
      <c r="M48" s="21"/>
      <c r="N48" s="21"/>
      <c r="O48" s="21"/>
      <c r="P48" s="21"/>
      <c r="Q48" s="19"/>
      <c r="R48" s="19"/>
      <c r="S48" s="19"/>
      <c r="T48" s="19"/>
      <c r="U48" s="19"/>
      <c r="V48" s="19"/>
      <c r="W48" s="19"/>
      <c r="X48" s="19"/>
      <c r="Y48" s="19"/>
      <c r="Z48" s="19"/>
    </row>
    <row r="49">
      <c r="A49" s="30">
        <v>48.0</v>
      </c>
      <c r="B49" s="12" t="s">
        <v>2384</v>
      </c>
      <c r="C49" s="12" t="s">
        <v>2385</v>
      </c>
      <c r="D49" s="12" t="s">
        <v>2386</v>
      </c>
      <c r="E49" s="43"/>
      <c r="F49" s="21"/>
      <c r="G49" s="21"/>
      <c r="H49" s="4" t="str">
        <f>IFERROR(__xludf.DUMMYFUNCTION("GOOGLETRANSLATE(B49, ""en"", ""zh"")"),"练习过程中，节奏突然中断。如何才能重新找回流畅感？")</f>
        <v>练习过程中，节奏突然中断。如何才能重新找回流畅感？</v>
      </c>
      <c r="I49" s="4" t="str">
        <f>IFERROR(__xludf.DUMMYFUNCTION("GOOGLETRANSLATE(C49, ""en"", ""zh"")"),"A) 专注于呼吸并数动作 B) 忽略 C) 停止 D) 快速移动")</f>
        <v>A) 专注于呼吸并数动作 B) 忽略 C) 停止 D) 快速移动</v>
      </c>
      <c r="J49" s="4" t="str">
        <f>IFERROR(__xludf.DUMMYFUNCTION("GOOGLETRANSLATE(D49, ""en"", ""zh"")"),"A) 专注于呼吸并数动作次数")</f>
        <v>A) 专注于呼吸并数动作次数</v>
      </c>
      <c r="K49" s="4" t="str">
        <f>IFERROR(__xludf.DUMMYFUNCTION("GOOGLETRANSLATE(E49, ""en"", ""zh"")"),"#VALUE!")</f>
        <v>#VALUE!</v>
      </c>
      <c r="L49" s="21"/>
      <c r="M49" s="21"/>
      <c r="N49" s="21"/>
      <c r="O49" s="21"/>
      <c r="P49" s="21"/>
      <c r="Q49" s="19"/>
      <c r="R49" s="19"/>
      <c r="S49" s="19"/>
      <c r="T49" s="19"/>
      <c r="U49" s="19"/>
      <c r="V49" s="19"/>
      <c r="W49" s="19"/>
      <c r="X49" s="19"/>
      <c r="Y49" s="19"/>
      <c r="Z49" s="19"/>
    </row>
    <row r="50">
      <c r="A50" s="30">
        <v>49.0</v>
      </c>
      <c r="B50" s="12" t="s">
        <v>2387</v>
      </c>
      <c r="C50" s="12" t="s">
        <v>2388</v>
      </c>
      <c r="D50" s="12" t="s">
        <v>2389</v>
      </c>
      <c r="E50" s="43"/>
      <c r="F50" s="21"/>
      <c r="G50" s="21"/>
      <c r="H50" s="4" t="str">
        <f>IFERROR(__xludf.DUMMYFUNCTION("GOOGLETRANSLATE(B50, ""en"", ""zh"")"),"搭档用推手动作对你的手臂施加压力。你会如何应对？")</f>
        <v>搭档用推手动作对你的手臂施加压力。你会如何应对？</v>
      </c>
      <c r="I50" s="4" t="str">
        <f>IFERROR(__xludf.DUMMYFUNCTION("GOOGLETRANSLATE(C50, ""en"", ""zh"")"),"A) 转移能量 B) 忽略 C) 前进 D) 抵抗")</f>
        <v>A) 转移能量 B) 忽略 C) 前进 D) 抵抗</v>
      </c>
      <c r="J50" s="4" t="str">
        <f>IFERROR(__xludf.DUMMYFUNCTION("GOOGLETRANSLATE(D50, ""en"", ""zh"")"),"A) 重新定向能量")</f>
        <v>A) 重新定向能量</v>
      </c>
      <c r="K50" s="4" t="str">
        <f>IFERROR(__xludf.DUMMYFUNCTION("GOOGLETRANSLATE(E50, ""en"", ""zh"")"),"#VALUE!")</f>
        <v>#VALUE!</v>
      </c>
      <c r="L50" s="21"/>
      <c r="M50" s="21"/>
      <c r="N50" s="21"/>
      <c r="O50" s="21"/>
      <c r="P50" s="21"/>
      <c r="Q50" s="19"/>
      <c r="R50" s="19"/>
      <c r="S50" s="19"/>
      <c r="T50" s="19"/>
      <c r="U50" s="19"/>
      <c r="V50" s="19"/>
      <c r="W50" s="19"/>
      <c r="X50" s="19"/>
      <c r="Y50" s="19"/>
      <c r="Z50" s="19"/>
    </row>
    <row r="51">
      <c r="A51" s="30">
        <v>50.0</v>
      </c>
      <c r="B51" s="12" t="s">
        <v>2390</v>
      </c>
      <c r="C51" s="12" t="s">
        <v>2391</v>
      </c>
      <c r="D51" s="12" t="s">
        <v>2392</v>
      </c>
      <c r="E51" s="43"/>
      <c r="F51" s="21"/>
      <c r="G51" s="21"/>
      <c r="H51" s="4" t="str">
        <f>IFERROR(__xludf.DUMMYFUNCTION("GOOGLETRANSLATE(B51, ""en"", ""zh"")"),"太极剑练习中，你的剑法轨迹偏离了。你打算怎么做？")</f>
        <v>太极剑练习中，你的剑法轨迹偏离了。你打算怎么做？</v>
      </c>
      <c r="I51" s="4" t="str">
        <f>IFERROR(__xludf.DUMMYFUNCTION("GOOGLETRANSLATE(C51, ""en"", ""zh"")"),"A) 调整角度并继续 B) 忽略 C) 后退 D) 暂停")</f>
        <v>A) 调整角度并继续 B) 忽略 C) 后退 D) 暂停</v>
      </c>
      <c r="J51" s="4" t="str">
        <f>IFERROR(__xludf.DUMMYFUNCTION("GOOGLETRANSLATE(D51, ""en"", ""zh"")"),"A) 调整角度并继续")</f>
        <v>A) 调整角度并继续</v>
      </c>
      <c r="K51" s="4" t="str">
        <f>IFERROR(__xludf.DUMMYFUNCTION("GOOGLETRANSLATE(E51, ""en"", ""zh"")"),"#VALUE!")</f>
        <v>#VALUE!</v>
      </c>
      <c r="L51" s="21"/>
      <c r="M51" s="21"/>
      <c r="N51" s="21"/>
      <c r="O51" s="21"/>
      <c r="P51" s="21"/>
      <c r="Q51" s="19"/>
      <c r="R51" s="19"/>
      <c r="S51" s="19"/>
      <c r="T51" s="19"/>
      <c r="U51" s="19"/>
      <c r="V51" s="19"/>
      <c r="W51" s="19"/>
      <c r="X51" s="19"/>
      <c r="Y51" s="19"/>
      <c r="Z51" s="19"/>
    </row>
    <row r="52">
      <c r="A52" s="30">
        <v>51.0</v>
      </c>
      <c r="B52" s="12" t="s">
        <v>2393</v>
      </c>
      <c r="C52" s="12" t="s">
        <v>2394</v>
      </c>
      <c r="D52" s="12" t="s">
        <v>2395</v>
      </c>
      <c r="E52" s="43"/>
      <c r="F52" s="21"/>
      <c r="G52" s="21"/>
      <c r="H52" s="4" t="str">
        <f>IFERROR(__xludf.DUMMYFUNCTION("GOOGLETRANSLATE(B52, ""en"", ""zh"")"),"在实战练习中，你的搭档做出假动作。你会如何应对？")</f>
        <v>在实战练习中，你的搭档做出假动作。你会如何应对？</v>
      </c>
      <c r="I52" s="4" t="str">
        <f>IFERROR(__xludf.DUMMYFUNCTION("GOOGLETRANSLATE(C52, ""en"", ""zh"")"),"A) 保持放松并有所准备 B) 无视 C) 向前迈步 D) 随机攻击")</f>
        <v>A) 保持放松并有所准备 B) 无视 C) 向前迈步 D) 随机攻击</v>
      </c>
      <c r="J52" s="4" t="str">
        <f>IFERROR(__xludf.DUMMYFUNCTION("GOOGLETRANSLATE(D52, ""en"", ""zh"")"),"A) 保持放松并期待")</f>
        <v>A) 保持放松并期待</v>
      </c>
      <c r="K52" s="4" t="str">
        <f>IFERROR(__xludf.DUMMYFUNCTION("GOOGLETRANSLATE(E52, ""en"", ""zh"")"),"#VALUE!")</f>
        <v>#VALUE!</v>
      </c>
      <c r="L52" s="21"/>
      <c r="M52" s="21"/>
      <c r="N52" s="21"/>
      <c r="O52" s="21"/>
      <c r="P52" s="21"/>
      <c r="Q52" s="19"/>
      <c r="R52" s="19"/>
      <c r="S52" s="19"/>
      <c r="T52" s="19"/>
      <c r="U52" s="19"/>
      <c r="V52" s="19"/>
      <c r="W52" s="19"/>
      <c r="X52" s="19"/>
      <c r="Y52" s="19"/>
      <c r="Z52" s="19"/>
    </row>
    <row r="53">
      <c r="A53" s="30">
        <v>52.0</v>
      </c>
      <c r="B53" s="12" t="s">
        <v>2396</v>
      </c>
      <c r="C53" s="12" t="s">
        <v>2397</v>
      </c>
      <c r="D53" s="12" t="s">
        <v>2398</v>
      </c>
      <c r="E53" s="43"/>
      <c r="F53" s="21"/>
      <c r="G53" s="21"/>
      <c r="H53" s="4" t="str">
        <f>IFERROR(__xludf.DUMMYFUNCTION("GOOGLETRANSLATE(B53, ""en"", ""zh"")"),"练习过程中，你的站姿不稳定。最佳解决方法是什么？")</f>
        <v>练习过程中，你的站姿不稳定。最佳解决方法是什么？</v>
      </c>
      <c r="I53" s="4" t="str">
        <f>IFERROR(__xludf.DUMMYFUNCTION("GOOGLETRANSLATE(C53, ""en"", ""zh"")"),"A) 重置脚步和重心 B) 忽略 C) 后退 D) 暂停")</f>
        <v>A) 重置脚步和重心 B) 忽略 C) 后退 D) 暂停</v>
      </c>
      <c r="J53" s="4" t="str">
        <f>IFERROR(__xludf.DUMMYFUNCTION("GOOGLETRANSLATE(D53, ""en"", ""zh"")"),"A) 重置脚和中心")</f>
        <v>A) 重置脚和中心</v>
      </c>
      <c r="K53" s="4" t="str">
        <f>IFERROR(__xludf.DUMMYFUNCTION("GOOGLETRANSLATE(E53, ""en"", ""zh"")"),"#VALUE!")</f>
        <v>#VALUE!</v>
      </c>
      <c r="L53" s="21"/>
      <c r="M53" s="21"/>
      <c r="N53" s="21"/>
      <c r="O53" s="21"/>
      <c r="P53" s="21"/>
      <c r="Q53" s="19"/>
      <c r="R53" s="19"/>
      <c r="S53" s="19"/>
      <c r="T53" s="19"/>
      <c r="U53" s="19"/>
      <c r="V53" s="19"/>
      <c r="W53" s="19"/>
      <c r="X53" s="19"/>
      <c r="Y53" s="19"/>
      <c r="Z53" s="19"/>
    </row>
    <row r="54">
      <c r="A54" s="30">
        <v>53.0</v>
      </c>
      <c r="B54" s="12" t="s">
        <v>2399</v>
      </c>
      <c r="C54" s="12" t="s">
        <v>2400</v>
      </c>
      <c r="D54" s="12" t="s">
        <v>2401</v>
      </c>
      <c r="E54" s="43"/>
      <c r="F54" s="21"/>
      <c r="G54" s="21"/>
      <c r="H54" s="4" t="str">
        <f>IFERROR(__xludf.DUMMYFUNCTION("GOOGLETRANSLATE(B54, ""en"", ""zh"")"),"你的搭档用推手施加圆周力。你如何应对？")</f>
        <v>你的搭档用推手施加圆周力。你如何应对？</v>
      </c>
      <c r="I54" s="4" t="str">
        <f>IFERROR(__xludf.DUMMYFUNCTION("GOOGLETRANSLATE(C54, ""en"", ""zh"")"),"A) 沿圆圈引导 B) 忽略 C) 向前走 D) 直接抵抗")</f>
        <v>A) 沿圆圈引导 B) 忽略 C) 向前走 D) 直接抵抗</v>
      </c>
      <c r="J54" s="4" t="str">
        <f>IFERROR(__xludf.DUMMYFUNCTION("GOOGLETRANSLATE(D54, ""en"", ""zh"")"),"A) 沿圆周重新定向")</f>
        <v>A) 沿圆周重新定向</v>
      </c>
      <c r="K54" s="4" t="str">
        <f>IFERROR(__xludf.DUMMYFUNCTION("GOOGLETRANSLATE(E54, ""en"", ""zh"")"),"#VALUE!")</f>
        <v>#VALUE!</v>
      </c>
      <c r="L54" s="21"/>
      <c r="M54" s="21"/>
      <c r="N54" s="21"/>
      <c r="O54" s="21"/>
      <c r="P54" s="21"/>
      <c r="Q54" s="19"/>
      <c r="R54" s="19"/>
      <c r="S54" s="19"/>
      <c r="T54" s="19"/>
      <c r="U54" s="19"/>
      <c r="V54" s="19"/>
      <c r="W54" s="19"/>
      <c r="X54" s="19"/>
      <c r="Y54" s="19"/>
      <c r="Z54" s="19"/>
    </row>
    <row r="55">
      <c r="A55" s="30">
        <v>54.0</v>
      </c>
      <c r="B55" s="12" t="s">
        <v>2402</v>
      </c>
      <c r="C55" s="12" t="s">
        <v>2403</v>
      </c>
      <c r="D55" s="12" t="s">
        <v>2404</v>
      </c>
      <c r="E55" s="43"/>
      <c r="F55" s="21"/>
      <c r="G55" s="21"/>
      <c r="H55" s="4" t="str">
        <f>IFERROR(__xludf.DUMMYFUNCTION("GOOGLETRANSLATE(B55, ""en"", ""zh"")"),"在动作进行到一半时，转身时感觉失去平衡。应该如何调整？")</f>
        <v>在动作进行到一半时，转身时感觉失去平衡。应该如何调整？</v>
      </c>
      <c r="I55" s="4" t="str">
        <f>IFERROR(__xludf.DUMMYFUNCTION("GOOGLETRANSLATE(C55, ""en"", ""zh"")"),"A) 降低重心 B) 忽略 C) 向前迈一步 D) 停止")</f>
        <v>A) 降低重心 B) 忽略 C) 向前迈一步 D) 停止</v>
      </c>
      <c r="J55" s="4" t="str">
        <f>IFERROR(__xludf.DUMMYFUNCTION("GOOGLETRANSLATE(D55, ""en"", ""zh"")"),"A) 更低的重心")</f>
        <v>A) 更低的重心</v>
      </c>
      <c r="K55" s="4" t="str">
        <f>IFERROR(__xludf.DUMMYFUNCTION("GOOGLETRANSLATE(E55, ""en"", ""zh"")"),"#VALUE!")</f>
        <v>#VALUE!</v>
      </c>
      <c r="L55" s="21"/>
      <c r="M55" s="21"/>
      <c r="N55" s="21"/>
      <c r="O55" s="21"/>
      <c r="P55" s="21"/>
      <c r="Q55" s="19"/>
      <c r="R55" s="19"/>
      <c r="S55" s="19"/>
      <c r="T55" s="19"/>
      <c r="U55" s="19"/>
      <c r="V55" s="19"/>
      <c r="W55" s="19"/>
      <c r="X55" s="19"/>
      <c r="Y55" s="19"/>
      <c r="Z55" s="19"/>
    </row>
    <row r="56">
      <c r="A56" s="30">
        <v>55.0</v>
      </c>
      <c r="B56" s="12" t="s">
        <v>2405</v>
      </c>
      <c r="C56" s="12" t="s">
        <v>2406</v>
      </c>
      <c r="D56" s="12" t="s">
        <v>2407</v>
      </c>
      <c r="E56" s="43"/>
      <c r="F56" s="21"/>
      <c r="G56" s="21"/>
      <c r="H56" s="4" t="str">
        <f>IFERROR(__xludf.DUMMYFUNCTION("GOOGLETRANSLATE(B56, ""en"", ""zh"")"),"在双人练习中，你的搭档动作过于激进。你会如何应对？")</f>
        <v>在双人练习中，你的搭档动作过于激进。你会如何应对？</v>
      </c>
      <c r="I56" s="4" t="str">
        <f>IFERROR(__xludf.DUMMYFUNCTION("GOOGLETRANSLATE(C56, ""en"", ""zh"")"),"A) 让步并引导 B) 无视 C) 上前 D) 直接反击")</f>
        <v>A) 让步并引导 B) 无视 C) 上前 D) 直接反击</v>
      </c>
      <c r="J56" s="4" t="str">
        <f>IFERROR(__xludf.DUMMYFUNCTION("GOOGLETRANSLATE(D56, ""en"", ""zh"")"),"A) 产量和指南")</f>
        <v>A) 产量和指南</v>
      </c>
      <c r="K56" s="4" t="str">
        <f>IFERROR(__xludf.DUMMYFUNCTION("GOOGLETRANSLATE(E56, ""en"", ""zh"")"),"#VALUE!")</f>
        <v>#VALUE!</v>
      </c>
      <c r="L56" s="21"/>
      <c r="M56" s="21"/>
      <c r="N56" s="21"/>
      <c r="O56" s="21"/>
      <c r="P56" s="21"/>
      <c r="Q56" s="19"/>
      <c r="R56" s="19"/>
      <c r="S56" s="19"/>
      <c r="T56" s="19"/>
      <c r="U56" s="19"/>
      <c r="V56" s="19"/>
      <c r="W56" s="19"/>
      <c r="X56" s="19"/>
      <c r="Y56" s="19"/>
      <c r="Z56" s="19"/>
    </row>
    <row r="57">
      <c r="A57" s="30">
        <v>56.0</v>
      </c>
      <c r="B57" s="12" t="s">
        <v>2408</v>
      </c>
      <c r="C57" s="12" t="s">
        <v>2409</v>
      </c>
      <c r="D57" s="12" t="s">
        <v>2410</v>
      </c>
      <c r="E57" s="43"/>
      <c r="F57" s="21"/>
      <c r="G57" s="21"/>
      <c r="H57" s="4" t="str">
        <f>IFERROR(__xludf.DUMMYFUNCTION("GOOGLETRANSLATE(B57, ""en"", ""zh"")"),"独自练习时，你的动作往往过于急促。你如何才能重新掌控局面？")</f>
        <v>独自练习时，你的动作往往过于急促。你如何才能重新掌控局面？</v>
      </c>
      <c r="I57" s="4" t="str">
        <f>IFERROR(__xludf.DUMMYFUNCTION("GOOGLETRANSLATE(C57, ""en"", ""zh"")"),"A) 放慢速度，专注于对齐 B) 忽略 C) 停止 D) 加大力度")</f>
        <v>A) 放慢速度，专注于对齐 B) 忽略 C) 停止 D) 加大力度</v>
      </c>
      <c r="J57" s="4" t="str">
        <f>IFERROR(__xludf.DUMMYFUNCTION("GOOGLETRANSLATE(D57, ""en"", ""zh"")"),"A) 放慢速度，专注于对齐")</f>
        <v>A) 放慢速度，专注于对齐</v>
      </c>
      <c r="K57" s="4" t="str">
        <f>IFERROR(__xludf.DUMMYFUNCTION("GOOGLETRANSLATE(E57, ""en"", ""zh"")"),"#VALUE!")</f>
        <v>#VALUE!</v>
      </c>
      <c r="L57" s="21"/>
      <c r="M57" s="21"/>
      <c r="N57" s="21"/>
      <c r="O57" s="21"/>
      <c r="P57" s="21"/>
      <c r="Q57" s="19"/>
      <c r="R57" s="19"/>
      <c r="S57" s="19"/>
      <c r="T57" s="19"/>
      <c r="U57" s="19"/>
      <c r="V57" s="19"/>
      <c r="W57" s="19"/>
      <c r="X57" s="19"/>
      <c r="Y57" s="19"/>
      <c r="Z57" s="19"/>
    </row>
    <row r="58">
      <c r="A58" s="30">
        <v>57.0</v>
      </c>
      <c r="B58" s="12" t="s">
        <v>2411</v>
      </c>
      <c r="C58" s="12" t="s">
        <v>2412</v>
      </c>
      <c r="D58" s="12" t="s">
        <v>2413</v>
      </c>
      <c r="E58" s="43"/>
      <c r="F58" s="21"/>
      <c r="G58" s="21"/>
      <c r="H58" s="4" t="str">
        <f>IFERROR(__xludf.DUMMYFUNCTION("GOOGLETRANSLATE(B58, ""en"", ""zh"")"),"在推手练习中，你的搭档抓住了你的手腕。你会如何应对？")</f>
        <v>在推手练习中，你的搭档抓住了你的手腕。你会如何应对？</v>
      </c>
      <c r="I58" s="4" t="str">
        <f>IFERROR(__xludf.DUMMYFUNCTION("GOOGLETRANSLATE(C58, ""en"", ""zh"")"),"A) 转移能量并释放 B) 无视 C) 后退 D) 强力抵抗")</f>
        <v>A) 转移能量并释放 B) 无视 C) 后退 D) 强力抵抗</v>
      </c>
      <c r="J58" s="4" t="str">
        <f>IFERROR(__xludf.DUMMYFUNCTION("GOOGLETRANSLATE(D58, ""en"", ""zh"")"),"A) 重新分配能量并释放")</f>
        <v>A) 重新分配能量并释放</v>
      </c>
      <c r="K58" s="4" t="str">
        <f>IFERROR(__xludf.DUMMYFUNCTION("GOOGLETRANSLATE(E58, ""en"", ""zh"")"),"#VALUE!")</f>
        <v>#VALUE!</v>
      </c>
      <c r="L58" s="21"/>
      <c r="M58" s="21"/>
      <c r="N58" s="21"/>
      <c r="O58" s="21"/>
      <c r="P58" s="21"/>
      <c r="Q58" s="19"/>
      <c r="R58" s="19"/>
      <c r="S58" s="19"/>
      <c r="T58" s="19"/>
      <c r="U58" s="19"/>
      <c r="V58" s="19"/>
      <c r="W58" s="19"/>
      <c r="X58" s="19"/>
      <c r="Y58" s="19"/>
      <c r="Z58" s="19"/>
    </row>
    <row r="59">
      <c r="A59" s="30">
        <v>58.0</v>
      </c>
      <c r="B59" s="12" t="s">
        <v>2414</v>
      </c>
      <c r="C59" s="12" t="s">
        <v>2415</v>
      </c>
      <c r="D59" s="12" t="s">
        <v>2416</v>
      </c>
      <c r="E59" s="43"/>
      <c r="F59" s="21"/>
      <c r="G59" s="21"/>
      <c r="H59" s="4" t="str">
        <f>IFERROR(__xludf.DUMMYFUNCTION("GOOGLETRANSLATE(B59, ""en"", ""zh"")"),"练习过程中，对手突然转移重心。你会如何应对？")</f>
        <v>练习过程中，对手突然转移重心。你会如何应对？</v>
      </c>
      <c r="I59" s="4" t="str">
        <f>IFERROR(__xludf.DUMMYFUNCTION("GOOGLETRANSLATE(C59, ""en"", ""zh"")"),"A) 调整平衡 B) 忽略 C) 向前走 D) 停止")</f>
        <v>A) 调整平衡 B) 忽略 C) 向前走 D) 停止</v>
      </c>
      <c r="J59" s="4" t="str">
        <f>IFERROR(__xludf.DUMMYFUNCTION("GOOGLETRANSLATE(D59, ""en"", ""zh"")"),"A) 调整余额")</f>
        <v>A) 调整余额</v>
      </c>
      <c r="K59" s="4" t="str">
        <f>IFERROR(__xludf.DUMMYFUNCTION("GOOGLETRANSLATE(E59, ""en"", ""zh"")"),"#VALUE!")</f>
        <v>#VALUE!</v>
      </c>
      <c r="L59" s="21"/>
      <c r="M59" s="21"/>
      <c r="N59" s="21"/>
      <c r="O59" s="21"/>
      <c r="P59" s="21"/>
      <c r="Q59" s="19"/>
      <c r="R59" s="19"/>
      <c r="S59" s="19"/>
      <c r="T59" s="19"/>
      <c r="U59" s="19"/>
      <c r="V59" s="19"/>
      <c r="W59" s="19"/>
      <c r="X59" s="19"/>
      <c r="Y59" s="19"/>
      <c r="Z59" s="19"/>
    </row>
    <row r="60">
      <c r="A60" s="30">
        <v>59.0</v>
      </c>
      <c r="B60" s="12" t="s">
        <v>2417</v>
      </c>
      <c r="C60" s="12" t="s">
        <v>2418</v>
      </c>
      <c r="D60" s="12" t="s">
        <v>2419</v>
      </c>
      <c r="E60" s="27"/>
      <c r="F60" s="21"/>
      <c r="G60" s="21"/>
      <c r="H60" s="4" t="str">
        <f>IFERROR(__xludf.DUMMYFUNCTION("GOOGLETRANSLATE(B60, ""en"", ""zh"")"),"在站立姿势时，你会感到腿部肌肉紧张。最佳的应对方法是什么？")</f>
        <v>在站立姿势时，你会感到腿部肌肉紧张。最佳的应对方法是什么？</v>
      </c>
      <c r="I60" s="4" t="str">
        <f>IFERROR(__xludf.DUMMYFUNCTION("GOOGLETRANSLATE(C60, ""en"", ""zh"")"),"A) 放松肌肉，纠正姿势 B) 忽略 C) 向前迈一步 D) 用力推")</f>
        <v>A) 放松肌肉，纠正姿势 B) 忽略 C) 向前迈一步 D) 用力推</v>
      </c>
      <c r="J60" s="4" t="str">
        <f>IFERROR(__xludf.DUMMYFUNCTION("GOOGLETRANSLATE(D60, ""en"", ""zh"")"),"A) 放松肌肉并纠正姿势")</f>
        <v>A) 放松肌肉并纠正姿势</v>
      </c>
      <c r="K60" s="4" t="str">
        <f>IFERROR(__xludf.DUMMYFUNCTION("GOOGLETRANSLATE(E60, ""en"", ""zh"")"),"#VALUE!")</f>
        <v>#VALUE!</v>
      </c>
      <c r="L60" s="21"/>
      <c r="M60" s="21"/>
      <c r="N60" s="21"/>
      <c r="O60" s="21"/>
      <c r="P60" s="21"/>
      <c r="Q60" s="19"/>
      <c r="R60" s="19"/>
      <c r="S60" s="19"/>
      <c r="T60" s="19"/>
      <c r="U60" s="19"/>
      <c r="V60" s="19"/>
      <c r="W60" s="19"/>
      <c r="X60" s="19"/>
      <c r="Y60" s="19"/>
      <c r="Z60" s="19"/>
    </row>
    <row r="61">
      <c r="A61" s="30">
        <v>60.0</v>
      </c>
      <c r="B61" s="12" t="s">
        <v>2420</v>
      </c>
      <c r="C61" s="12" t="s">
        <v>2421</v>
      </c>
      <c r="D61" s="12" t="s">
        <v>2422</v>
      </c>
      <c r="E61" s="27"/>
      <c r="F61" s="21"/>
      <c r="G61" s="21"/>
      <c r="H61" s="4" t="str">
        <f>IFERROR(__xludf.DUMMYFUNCTION("GOOGLETRANSLATE(B61, ""en"", ""zh"")"),"搭档以不同方向施加圆周推力。反应如何？")</f>
        <v>搭档以不同方向施加圆周推力。反应如何？</v>
      </c>
      <c r="I61" s="4" t="str">
        <f>IFERROR(__xludf.DUMMYFUNCTION("GOOGLETRANSLATE(C61, ""en"", ""zh"")"),"A) 跟随圆圈并改变方向 B) 忽略 C) 向前走 D) 抵抗")</f>
        <v>A) 跟随圆圈并改变方向 B) 忽略 C) 向前走 D) 抵抗</v>
      </c>
      <c r="J61" s="4" t="str">
        <f>IFERROR(__xludf.DUMMYFUNCTION("GOOGLETRANSLATE(D61, ""en"", ""zh"")"),"A) 跟随圆圈并重定向")</f>
        <v>A) 跟随圆圈并重定向</v>
      </c>
      <c r="K61" s="4" t="str">
        <f>IFERROR(__xludf.DUMMYFUNCTION("GOOGLETRANSLATE(E61, ""en"", ""zh"")"),"#VALUE!")</f>
        <v>#VALUE!</v>
      </c>
      <c r="L61" s="21"/>
      <c r="M61" s="21"/>
      <c r="N61" s="21"/>
      <c r="O61" s="21"/>
      <c r="P61" s="21"/>
      <c r="Q61" s="19"/>
      <c r="R61" s="19"/>
      <c r="S61" s="19"/>
      <c r="T61" s="19"/>
      <c r="U61" s="19"/>
      <c r="V61" s="19"/>
      <c r="W61" s="19"/>
      <c r="X61" s="19"/>
      <c r="Y61" s="19"/>
      <c r="Z61" s="19"/>
    </row>
    <row r="62">
      <c r="A62" s="33">
        <v>61.0</v>
      </c>
      <c r="B62" s="12" t="s">
        <v>2423</v>
      </c>
      <c r="C62" s="12" t="s">
        <v>2424</v>
      </c>
      <c r="D62" s="12" t="s">
        <v>2425</v>
      </c>
      <c r="E62" s="27"/>
      <c r="F62" s="21"/>
      <c r="G62" s="21"/>
      <c r="H62" s="4" t="str">
        <f>IFERROR(__xludf.DUMMYFUNCTION("GOOGLETRANSLATE(B62, ""en"", ""zh"")"),"训练过程中，你注意力不集中。你应该如何恢复？")</f>
        <v>训练过程中，你注意力不集中。你应该如何恢复？</v>
      </c>
      <c r="I62" s="4" t="str">
        <f>IFERROR(__xludf.DUMMYFUNCTION("GOOGLETRANSLATE(C62, ""en"", ""zh"")"),"A) 重新集中注意力 B) 忽略 C) 后退 D) 暂停")</f>
        <v>A) 重新集中注意力 B) 忽略 C) 后退 D) 暂停</v>
      </c>
      <c r="J62" s="4" t="str">
        <f>IFERROR(__xludf.DUMMYFUNCTION("GOOGLETRANSLATE(D62, ""en"", ""zh"")"),"A) 恢复精神集中")</f>
        <v>A) 恢复精神集中</v>
      </c>
      <c r="K62" s="4" t="str">
        <f>IFERROR(__xludf.DUMMYFUNCTION("GOOGLETRANSLATE(E62, ""en"", ""zh"")"),"#VALUE!")</f>
        <v>#VALUE!</v>
      </c>
      <c r="L62" s="21"/>
      <c r="M62" s="21"/>
      <c r="N62" s="21"/>
      <c r="O62" s="21"/>
      <c r="P62" s="21"/>
      <c r="Q62" s="19"/>
      <c r="R62" s="19"/>
      <c r="S62" s="19"/>
      <c r="T62" s="19"/>
      <c r="U62" s="19"/>
      <c r="V62" s="19"/>
      <c r="W62" s="19"/>
      <c r="X62" s="19"/>
      <c r="Y62" s="19"/>
      <c r="Z62" s="19"/>
    </row>
    <row r="63">
      <c r="A63" s="33">
        <v>62.0</v>
      </c>
      <c r="B63" s="12" t="s">
        <v>2426</v>
      </c>
      <c r="C63" s="12" t="s">
        <v>2427</v>
      </c>
      <c r="D63" s="12" t="s">
        <v>2428</v>
      </c>
      <c r="E63" s="27"/>
      <c r="F63" s="21"/>
      <c r="G63" s="21"/>
      <c r="H63" s="4" t="str">
        <f>IFERROR(__xludf.DUMMYFUNCTION("GOOGLETRANSLATE(B63, ""en"", ""zh"")"),"搭档在推手时虚晃低位，你如何应对？")</f>
        <v>搭档在推手时虚晃低位，你如何应对？</v>
      </c>
      <c r="I63" s="4" t="str">
        <f>IFERROR(__xludf.DUMMYFUNCTION("GOOGLETRANSLATE(C63, ""en"", ""zh"")"),"A) 调整站姿并引导 B) 无视 C) 向前迈步 D) 攻击")</f>
        <v>A) 调整站姿并引导 B) 无视 C) 向前迈步 D) 攻击</v>
      </c>
      <c r="J63" s="4" t="str">
        <f>IFERROR(__xludf.DUMMYFUNCTION("GOOGLETRANSLATE(D63, ""en"", ""zh"")"),"A) 调整站姿并引导")</f>
        <v>A) 调整站姿并引导</v>
      </c>
      <c r="K63" s="4" t="str">
        <f>IFERROR(__xludf.DUMMYFUNCTION("GOOGLETRANSLATE(E63, ""en"", ""zh"")"),"#VALUE!")</f>
        <v>#VALUE!</v>
      </c>
      <c r="L63" s="21"/>
      <c r="M63" s="21"/>
      <c r="N63" s="21"/>
      <c r="O63" s="21"/>
      <c r="P63" s="21"/>
      <c r="Q63" s="19"/>
      <c r="R63" s="19"/>
      <c r="S63" s="19"/>
      <c r="T63" s="19"/>
      <c r="U63" s="19"/>
      <c r="V63" s="19"/>
      <c r="W63" s="19"/>
      <c r="X63" s="19"/>
      <c r="Y63" s="19"/>
      <c r="Z63" s="19"/>
    </row>
    <row r="64">
      <c r="A64" s="33">
        <v>63.0</v>
      </c>
      <c r="B64" s="12" t="s">
        <v>2429</v>
      </c>
      <c r="C64" s="12" t="s">
        <v>2430</v>
      </c>
      <c r="D64" s="12" t="s">
        <v>2431</v>
      </c>
      <c r="E64" s="27"/>
      <c r="F64" s="21"/>
      <c r="G64" s="21"/>
      <c r="H64" s="4" t="str">
        <f>IFERROR(__xludf.DUMMYFUNCTION("GOOGLETRANSLATE(B64, ""en"", ""zh"")"),"在进行一系列动作时，你稍微踉跄了一下。最好的应对方法是什么？")</f>
        <v>在进行一系列动作时，你稍微踉跄了一下。最好的应对方法是什么？</v>
      </c>
      <c r="I64" s="4" t="str">
        <f>IFERROR(__xludf.DUMMYFUNCTION("GOOGLETRANSLATE(C64, ""en"", ""zh"")"),"A) 恢复平衡并继续 B) 忽略 C) 停止 D) 暂停")</f>
        <v>A) 恢复平衡并继续 B) 忽略 C) 停止 D) 暂停</v>
      </c>
      <c r="J64" s="4" t="str">
        <f>IFERROR(__xludf.DUMMYFUNCTION("GOOGLETRANSLATE(D64, ""en"", ""zh"")"),"A) 恢复平衡并继续")</f>
        <v>A) 恢复平衡并继续</v>
      </c>
      <c r="K64" s="4" t="str">
        <f>IFERROR(__xludf.DUMMYFUNCTION("GOOGLETRANSLATE(E64, ""en"", ""zh"")"),"#VALUE!")</f>
        <v>#VALUE!</v>
      </c>
      <c r="L64" s="21"/>
      <c r="M64" s="21"/>
      <c r="N64" s="21"/>
      <c r="O64" s="21"/>
      <c r="P64" s="21"/>
      <c r="Q64" s="19"/>
      <c r="R64" s="19"/>
      <c r="S64" s="19"/>
      <c r="T64" s="19"/>
      <c r="U64" s="19"/>
      <c r="V64" s="19"/>
      <c r="W64" s="19"/>
      <c r="X64" s="19"/>
      <c r="Y64" s="19"/>
      <c r="Z64" s="19"/>
    </row>
    <row r="65">
      <c r="A65" s="34">
        <v>64.0</v>
      </c>
      <c r="B65" s="12" t="s">
        <v>2432</v>
      </c>
      <c r="C65" s="12" t="s">
        <v>2433</v>
      </c>
      <c r="D65" s="12" t="s">
        <v>2434</v>
      </c>
      <c r="E65" s="27"/>
      <c r="F65" s="21"/>
      <c r="G65" s="21"/>
      <c r="H65" s="4" t="str">
        <f>IFERROR(__xludf.DUMMYFUNCTION("GOOGLETRANSLATE(B65, ""en"", ""zh"")"),"同伴突然加速，你应该怎么做？")</f>
        <v>同伴突然加速，你应该怎么做？</v>
      </c>
      <c r="I65" s="4" t="str">
        <f>IFERROR(__xludf.DUMMYFUNCTION("GOOGLETRANSLATE(C65, ""en"", ""zh"")"),"A) 保持控制的同时跟上速度 B) 忽略 C) 向前迈一步 D) 用力推")</f>
        <v>A) 保持控制的同时跟上速度 B) 忽略 C) 向前迈一步 D) 用力推</v>
      </c>
      <c r="J65" s="4" t="str">
        <f>IFERROR(__xludf.DUMMYFUNCTION("GOOGLETRANSLATE(D65, ""en"", ""zh"")"),"A) 在保持控制的同时匹配速度")</f>
        <v>A) 在保持控制的同时匹配速度</v>
      </c>
      <c r="K65" s="4" t="str">
        <f>IFERROR(__xludf.DUMMYFUNCTION("GOOGLETRANSLATE(E65, ""en"", ""zh"")"),"#VALUE!")</f>
        <v>#VALUE!</v>
      </c>
      <c r="L65" s="21"/>
      <c r="M65" s="21"/>
      <c r="N65" s="21"/>
      <c r="O65" s="21"/>
      <c r="P65" s="21"/>
      <c r="Q65" s="19"/>
      <c r="R65" s="19"/>
      <c r="S65" s="19"/>
      <c r="T65" s="19"/>
      <c r="U65" s="19"/>
      <c r="V65" s="19"/>
      <c r="W65" s="19"/>
      <c r="X65" s="19"/>
      <c r="Y65" s="19"/>
      <c r="Z65" s="19"/>
    </row>
    <row r="66">
      <c r="A66" s="34">
        <v>65.0</v>
      </c>
      <c r="B66" s="12" t="s">
        <v>2435</v>
      </c>
      <c r="C66" s="12" t="s">
        <v>2436</v>
      </c>
      <c r="D66" s="12" t="s">
        <v>2437</v>
      </c>
      <c r="E66" s="27"/>
      <c r="F66" s="21"/>
      <c r="G66" s="21"/>
      <c r="H66" s="4" t="str">
        <f>IFERROR(__xludf.DUMMYFUNCTION("GOOGLETRANSLATE(B66, ""en"", ""zh"")"),"动作进行到一半时，你的手臂位置不对。该如何纠正？")</f>
        <v>动作进行到一半时，你的手臂位置不对。该如何纠正？</v>
      </c>
      <c r="I66" s="4" t="str">
        <f>IFERROR(__xludf.DUMMYFUNCTION("GOOGLETRANSLATE(C66, ""en"", ""zh"")"),"A) 调整肩膀和肘部 B) 忽略 C) 后退 D) 暂停")</f>
        <v>A) 调整肩膀和肘部 B) 忽略 C) 后退 D) 暂停</v>
      </c>
      <c r="J66" s="4" t="str">
        <f>IFERROR(__xludf.DUMMYFUNCTION("GOOGLETRANSLATE(D66, ""en"", ""zh"")"),"A）调整肩膀和肘部")</f>
        <v>A）调整肩膀和肘部</v>
      </c>
      <c r="K66" s="4" t="str">
        <f>IFERROR(__xludf.DUMMYFUNCTION("GOOGLETRANSLATE(E66, ""en"", ""zh"")"),"#VALUE!")</f>
        <v>#VALUE!</v>
      </c>
      <c r="L66" s="21"/>
      <c r="M66" s="21"/>
      <c r="N66" s="21"/>
      <c r="O66" s="21"/>
      <c r="P66" s="21"/>
      <c r="Q66" s="19"/>
      <c r="R66" s="19"/>
      <c r="S66" s="19"/>
      <c r="T66" s="19"/>
      <c r="U66" s="19"/>
      <c r="V66" s="19"/>
      <c r="W66" s="19"/>
      <c r="X66" s="19"/>
      <c r="Y66" s="19"/>
      <c r="Z66" s="19"/>
    </row>
    <row r="67">
      <c r="A67" s="36">
        <v>66.0</v>
      </c>
      <c r="B67" s="12" t="s">
        <v>2438</v>
      </c>
      <c r="C67" s="12" t="s">
        <v>2439</v>
      </c>
      <c r="D67" s="12" t="s">
        <v>2440</v>
      </c>
      <c r="E67" s="27"/>
      <c r="F67" s="21"/>
      <c r="G67" s="21"/>
      <c r="H67" s="4" t="str">
        <f>IFERROR(__xludf.DUMMYFUNCTION("GOOGLETRANSLATE(B67, ""en"", ""zh"")"),"同伴施加向下的压力。你会如何应对？")</f>
        <v>同伴施加向下的压力。你会如何应对？</v>
      </c>
      <c r="I67" s="4" t="str">
        <f>IFERROR(__xludf.DUMMYFUNCTION("GOOGLETRANSLATE(C67, ""en"", ""zh"")"),"A) 沿路径重定向 B) 忽略 C) 直接抵抗 D) 向前迈一步")</f>
        <v>A) 沿路径重定向 B) 忽略 C) 直接抵抗 D) 向前迈一步</v>
      </c>
      <c r="J67" s="4" t="str">
        <f>IFERROR(__xludf.DUMMYFUNCTION("GOOGLETRANSLATE(D67, ""en"", ""zh"")"),"A) 沿路径重定向")</f>
        <v>A) 沿路径重定向</v>
      </c>
      <c r="K67" s="4" t="str">
        <f>IFERROR(__xludf.DUMMYFUNCTION("GOOGLETRANSLATE(E67, ""en"", ""zh"")"),"#VALUE!")</f>
        <v>#VALUE!</v>
      </c>
      <c r="L67" s="21"/>
      <c r="M67" s="21"/>
      <c r="N67" s="21"/>
      <c r="O67" s="21"/>
      <c r="P67" s="21"/>
      <c r="Q67" s="19"/>
      <c r="R67" s="19"/>
      <c r="S67" s="19"/>
      <c r="T67" s="19"/>
      <c r="U67" s="19"/>
      <c r="V67" s="19"/>
      <c r="W67" s="19"/>
      <c r="X67" s="19"/>
      <c r="Y67" s="19"/>
      <c r="Z67" s="19"/>
    </row>
    <row r="68">
      <c r="A68" s="36">
        <v>67.0</v>
      </c>
      <c r="B68" s="12" t="s">
        <v>2441</v>
      </c>
      <c r="C68" s="12" t="s">
        <v>2442</v>
      </c>
      <c r="D68" s="12" t="s">
        <v>2443</v>
      </c>
      <c r="E68" s="27"/>
      <c r="F68" s="21"/>
      <c r="G68" s="21"/>
      <c r="H68" s="4" t="str">
        <f>IFERROR(__xludf.DUMMYFUNCTION("GOOGLETRANSLATE(B68, ""en"", ""zh"")"),"太极剑术中，对手会改变位置。最佳应对方法是什么？")</f>
        <v>太极剑术中，对手会改变位置。最佳应对方法是什么？</v>
      </c>
      <c r="I68" s="4" t="str">
        <f>IFERROR(__xludf.DUMMYFUNCTION("GOOGLETRANSLATE(C68, ""en"", ""zh"")"),"A) 调整步法和刀法 B) 忽略 C) 后退 D) 暂停")</f>
        <v>A) 调整步法和刀法 B) 忽略 C) 后退 D) 暂停</v>
      </c>
      <c r="J68" s="4" t="str">
        <f>IFERROR(__xludf.DUMMYFUNCTION("GOOGLETRANSLATE(D68, ""en"", ""zh"")"),"A) 调整步法和刀法")</f>
        <v>A) 调整步法和刀法</v>
      </c>
      <c r="K68" s="4" t="str">
        <f>IFERROR(__xludf.DUMMYFUNCTION("GOOGLETRANSLATE(E68, ""en"", ""zh"")"),"#VALUE!")</f>
        <v>#VALUE!</v>
      </c>
      <c r="L68" s="21"/>
      <c r="M68" s="21"/>
      <c r="N68" s="21"/>
      <c r="O68" s="21"/>
      <c r="P68" s="21"/>
      <c r="Q68" s="19"/>
      <c r="R68" s="19"/>
      <c r="S68" s="19"/>
      <c r="T68" s="19"/>
      <c r="U68" s="19"/>
      <c r="V68" s="19"/>
      <c r="W68" s="19"/>
      <c r="X68" s="19"/>
      <c r="Y68" s="19"/>
      <c r="Z68" s="19"/>
    </row>
    <row r="69">
      <c r="A69" s="36">
        <v>68.0</v>
      </c>
      <c r="B69" s="12" t="s">
        <v>2444</v>
      </c>
      <c r="C69" s="12" t="s">
        <v>2445</v>
      </c>
      <c r="D69" s="12" t="s">
        <v>2446</v>
      </c>
      <c r="E69" s="27"/>
      <c r="F69" s="21"/>
      <c r="G69" s="21"/>
      <c r="H69" s="4" t="str">
        <f>IFERROR(__xludf.DUMMYFUNCTION("GOOGLETRANSLATE(B69, ""en"", ""zh"")"),"练习过程中，你感觉背部紧绷。该如何调整？")</f>
        <v>练习过程中，你感觉背部紧绷。该如何调整？</v>
      </c>
      <c r="I69" s="4" t="str">
        <f>IFERROR(__xludf.DUMMYFUNCTION("GOOGLETRANSLATE(C69, ""en"", ""zh"")"),"A) 放松肌肉并调整姿势 B) 忽略 C) 停止 D) 向前推")</f>
        <v>A) 放松肌肉并调整姿势 B) 忽略 C) 停止 D) 向前推</v>
      </c>
      <c r="J69" s="4" t="str">
        <f>IFERROR(__xludf.DUMMYFUNCTION("GOOGLETRANSLATE(D69, ""en"", ""zh"")"),"A) 放松肌肉并调整姿势")</f>
        <v>A) 放松肌肉并调整姿势</v>
      </c>
      <c r="K69" s="4" t="str">
        <f>IFERROR(__xludf.DUMMYFUNCTION("GOOGLETRANSLATE(E69, ""en"", ""zh"")"),"#VALUE!")</f>
        <v>#VALUE!</v>
      </c>
      <c r="L69" s="21"/>
      <c r="M69" s="21"/>
      <c r="N69" s="21"/>
      <c r="O69" s="21"/>
      <c r="P69" s="21"/>
      <c r="Q69" s="19"/>
      <c r="R69" s="19"/>
      <c r="S69" s="19"/>
      <c r="T69" s="19"/>
      <c r="U69" s="19"/>
      <c r="V69" s="19"/>
      <c r="W69" s="19"/>
      <c r="X69" s="19"/>
      <c r="Y69" s="19"/>
      <c r="Z69" s="19"/>
    </row>
    <row r="70">
      <c r="A70" s="36">
        <v>69.0</v>
      </c>
      <c r="B70" s="12" t="s">
        <v>2447</v>
      </c>
      <c r="C70" s="12" t="s">
        <v>2448</v>
      </c>
      <c r="D70" s="12" t="s">
        <v>2449</v>
      </c>
      <c r="E70" s="27"/>
      <c r="F70" s="21"/>
      <c r="G70" s="21"/>
      <c r="H70" s="4" t="str">
        <f>IFERROR(__xludf.DUMMYFUNCTION("GOOGLETRANSLATE(B70, ""en"", ""zh"")"),"搭档在推手时虚晃高位。如何应对？")</f>
        <v>搭档在推手时虚晃高位。如何应对？</v>
      </c>
      <c r="I70" s="4" t="str">
        <f>IFERROR(__xludf.DUMMYFUNCTION("GOOGLETRANSLATE(C70, ""en"", ""zh"")"),"A) 调整防守姿势和中心 B) 无视 C) 向前迈步 D) 随机攻击")</f>
        <v>A) 调整防守姿势和中心 B) 无视 C) 向前迈步 D) 随机攻击</v>
      </c>
      <c r="J70" s="4" t="str">
        <f>IFERROR(__xludf.DUMMYFUNCTION("GOOGLETRANSLATE(D70, ""en"", ""zh"")"),"A) 调整护罩和中心")</f>
        <v>A) 调整护罩和中心</v>
      </c>
      <c r="K70" s="4" t="str">
        <f>IFERROR(__xludf.DUMMYFUNCTION("GOOGLETRANSLATE(E70, ""en"", ""zh"")"),"#VALUE!")</f>
        <v>#VALUE!</v>
      </c>
      <c r="L70" s="21"/>
      <c r="M70" s="21"/>
      <c r="N70" s="21"/>
      <c r="O70" s="21"/>
      <c r="P70" s="21"/>
      <c r="Q70" s="19"/>
      <c r="R70" s="19"/>
      <c r="S70" s="19"/>
      <c r="T70" s="19"/>
      <c r="U70" s="19"/>
      <c r="V70" s="19"/>
      <c r="W70" s="19"/>
      <c r="X70" s="19"/>
      <c r="Y70" s="19"/>
      <c r="Z70" s="19"/>
    </row>
    <row r="71">
      <c r="A71" s="36">
        <v>70.0</v>
      </c>
      <c r="B71" s="12" t="s">
        <v>2450</v>
      </c>
      <c r="C71" s="12" t="s">
        <v>2451</v>
      </c>
      <c r="D71" s="12" t="s">
        <v>2452</v>
      </c>
      <c r="E71" s="27"/>
      <c r="F71" s="21"/>
      <c r="G71" s="21"/>
      <c r="H71" s="4" t="str">
        <f>IFERROR(__xludf.DUMMYFUNCTION("GOOGLETRANSLATE(B71, ""en"", ""zh"")"),"单人练习时，转身过程中平衡感出现动摇。你会怎么做？")</f>
        <v>单人练习时，转身过程中平衡感出现动摇。你会怎么做？</v>
      </c>
      <c r="I71" s="4" t="str">
        <f>IFERROR(__xludf.DUMMYFUNCTION("GOOGLETRANSLATE(C71, ""en"", ""zh"")"),"A) 降低中心位置并继续 B) 忽略 C) 后退 D) 暂停")</f>
        <v>A) 降低中心位置并继续 B) 忽略 C) 后退 D) 暂停</v>
      </c>
      <c r="J71" s="4" t="str">
        <f>IFERROR(__xludf.DUMMYFUNCTION("GOOGLETRANSLATE(D71, ""en"", ""zh"")"),"A) 降低中心并继续")</f>
        <v>A) 降低中心并继续</v>
      </c>
      <c r="K71" s="4" t="str">
        <f>IFERROR(__xludf.DUMMYFUNCTION("GOOGLETRANSLATE(E71, ""en"", ""zh"")"),"#VALUE!")</f>
        <v>#VALUE!</v>
      </c>
      <c r="L71" s="21"/>
      <c r="M71" s="21"/>
      <c r="N71" s="21"/>
      <c r="O71" s="21"/>
      <c r="P71" s="21"/>
      <c r="Q71" s="19"/>
      <c r="R71" s="19"/>
      <c r="S71" s="19"/>
      <c r="T71" s="19"/>
      <c r="U71" s="19"/>
      <c r="V71" s="19"/>
      <c r="W71" s="19"/>
      <c r="X71" s="19"/>
      <c r="Y71" s="19"/>
      <c r="Z71" s="19"/>
    </row>
    <row r="72">
      <c r="A72" s="36">
        <v>71.0</v>
      </c>
      <c r="B72" s="12" t="s">
        <v>2453</v>
      </c>
      <c r="C72" s="12" t="s">
        <v>2454</v>
      </c>
      <c r="D72" s="12" t="s">
        <v>2377</v>
      </c>
      <c r="E72" s="27"/>
      <c r="F72" s="21"/>
      <c r="G72" s="21"/>
      <c r="H72" s="4" t="str">
        <f>IFERROR(__xludf.DUMMYFUNCTION("GOOGLETRANSLATE(B72, ""en"", ""zh"")"),"练习过程中，搭档突然用力按压。如何保持控制？")</f>
        <v>练习过程中，搭档突然用力按压。如何保持控制？</v>
      </c>
      <c r="I72" s="4" t="str">
        <f>IFERROR(__xludf.DUMMYFUNCTION("GOOGLETRANSLATE(C72, ""en"", ""zh"")"),"A) 让步并改变方向 B) 无视 C) 向前迈步 D) 强力抵抗")</f>
        <v>A) 让步并改变方向 B) 无视 C) 向前迈步 D) 强力抵抗</v>
      </c>
      <c r="J72" s="4" t="str">
        <f>IFERROR(__xludf.DUMMYFUNCTION("GOOGLETRANSLATE(D72, ""en"", ""zh"")"),"A) 让路并重新定向")</f>
        <v>A) 让路并重新定向</v>
      </c>
      <c r="K72" s="4" t="str">
        <f>IFERROR(__xludf.DUMMYFUNCTION("GOOGLETRANSLATE(E72, ""en"", ""zh"")"),"#VALUE!")</f>
        <v>#VALUE!</v>
      </c>
      <c r="L72" s="21"/>
      <c r="M72" s="21"/>
      <c r="N72" s="21"/>
      <c r="O72" s="21"/>
      <c r="P72" s="21"/>
      <c r="Q72" s="19"/>
      <c r="R72" s="19"/>
      <c r="S72" s="19"/>
      <c r="T72" s="19"/>
      <c r="U72" s="19"/>
      <c r="V72" s="19"/>
      <c r="W72" s="19"/>
      <c r="X72" s="19"/>
      <c r="Y72" s="19"/>
      <c r="Z72" s="19"/>
    </row>
    <row r="73">
      <c r="A73" s="36">
        <v>72.0</v>
      </c>
      <c r="B73" s="12" t="s">
        <v>2455</v>
      </c>
      <c r="C73" s="12" t="s">
        <v>2456</v>
      </c>
      <c r="D73" s="12" t="s">
        <v>2457</v>
      </c>
      <c r="E73" s="27"/>
      <c r="F73" s="21"/>
      <c r="G73" s="21"/>
      <c r="H73" s="4" t="str">
        <f>IFERROR(__xludf.DUMMYFUNCTION("GOOGLETRANSLATE(B73, ""en"", ""zh"")"),"你发现搭档的防守出现了漏洞。该采取什么策略？")</f>
        <v>你发现搭档的防守出现了漏洞。该采取什么策略？</v>
      </c>
      <c r="I73" s="4" t="str">
        <f>IFERROR(__xludf.DUMMYFUNCTION("GOOGLETRANSLATE(C73, ""en"", ""zh"")"),"A）轻轻引导至合适位置 B）忽略 C）向前迈一步 D）攻击")</f>
        <v>A）轻轻引导至合适位置 B）忽略 C）向前迈一步 D）攻击</v>
      </c>
      <c r="J73" s="4" t="str">
        <f>IFERROR(__xludf.DUMMYFUNCTION("GOOGLETRANSLATE(D73, ""en"", ""zh"")"),"A) 轻轻引导至合适位置")</f>
        <v>A) 轻轻引导至合适位置</v>
      </c>
      <c r="K73" s="4" t="str">
        <f>IFERROR(__xludf.DUMMYFUNCTION("GOOGLETRANSLATE(E73, ""en"", ""zh"")"),"#VALUE!")</f>
        <v>#VALUE!</v>
      </c>
      <c r="L73" s="21"/>
      <c r="M73" s="21"/>
      <c r="N73" s="21"/>
      <c r="O73" s="21"/>
      <c r="P73" s="21"/>
      <c r="Q73" s="19"/>
      <c r="R73" s="19"/>
      <c r="S73" s="19"/>
      <c r="T73" s="19"/>
      <c r="U73" s="19"/>
      <c r="V73" s="19"/>
      <c r="W73" s="19"/>
      <c r="X73" s="19"/>
      <c r="Y73" s="19"/>
      <c r="Z73" s="19"/>
    </row>
    <row r="74">
      <c r="A74" s="36">
        <v>73.0</v>
      </c>
      <c r="B74" s="12" t="s">
        <v>2458</v>
      </c>
      <c r="C74" s="12" t="s">
        <v>2459</v>
      </c>
      <c r="D74" s="12" t="s">
        <v>2460</v>
      </c>
      <c r="E74" s="27"/>
      <c r="F74" s="21"/>
      <c r="G74" s="21"/>
      <c r="H74" s="4" t="str">
        <f>IFERROR(__xludf.DUMMYFUNCTION("GOOGLETRANSLATE(B74, ""en"", ""zh"")"),"伴侣的行动难以预测，如何保持流畅的工作流程？")</f>
        <v>伴侣的行动难以预测，如何保持流畅的工作流程？</v>
      </c>
      <c r="I74" s="4" t="str">
        <f>IFERROR(__xludf.DUMMYFUNCTION("GOOGLETRANSLATE(C74, ""en"", ""zh"")"),"A) 保持放松并适应 B) 忽略 C) 向前迈进 D) 更加努力")</f>
        <v>A) 保持放松并适应 B) 忽略 C) 向前迈进 D) 更加努力</v>
      </c>
      <c r="J74" s="4" t="str">
        <f>IFERROR(__xludf.DUMMYFUNCTION("GOOGLETRANSLATE(D74, ""en"", ""zh"")"),"A) 保持放松并适应")</f>
        <v>A) 保持放松并适应</v>
      </c>
      <c r="K74" s="4" t="str">
        <f>IFERROR(__xludf.DUMMYFUNCTION("GOOGLETRANSLATE(E74, ""en"", ""zh"")"),"#VALUE!")</f>
        <v>#VALUE!</v>
      </c>
      <c r="L74" s="21"/>
      <c r="M74" s="21"/>
      <c r="N74" s="21"/>
      <c r="O74" s="21"/>
      <c r="P74" s="21"/>
      <c r="Q74" s="19"/>
      <c r="R74" s="19"/>
      <c r="S74" s="19"/>
      <c r="T74" s="19"/>
      <c r="U74" s="19"/>
      <c r="V74" s="19"/>
      <c r="W74" s="19"/>
      <c r="X74" s="19"/>
      <c r="Y74" s="19"/>
      <c r="Z74" s="19"/>
    </row>
    <row r="75">
      <c r="A75" s="36">
        <v>74.0</v>
      </c>
      <c r="B75" s="12" t="s">
        <v>2461</v>
      </c>
      <c r="C75" s="12" t="s">
        <v>2462</v>
      </c>
      <c r="D75" s="12" t="s">
        <v>1099</v>
      </c>
      <c r="E75" s="27"/>
      <c r="F75" s="21"/>
      <c r="G75" s="21"/>
      <c r="H75" s="4" t="str">
        <f>IFERROR(__xludf.DUMMYFUNCTION("GOOGLETRANSLATE(B75, ""en"", ""zh"")"),"比赛中途，对手突然转移重心。如何应对？")</f>
        <v>比赛中途，对手突然转移重心。如何应对？</v>
      </c>
      <c r="I75" s="4" t="str">
        <f>IFERROR(__xludf.DUMMYFUNCTION("GOOGLETRANSLATE(C75, ""en"", ""zh"")"),"A) 调整姿势 B) 忽略 C) 后退 D) 暂停")</f>
        <v>A) 调整姿势 B) 忽略 C) 后退 D) 暂停</v>
      </c>
      <c r="J75" s="4" t="str">
        <f>IFERROR(__xludf.DUMMYFUNCTION("GOOGLETRANSLATE(D75, ""en"", ""zh"")"),"A）调整站姿")</f>
        <v>A）调整站姿</v>
      </c>
      <c r="K75" s="4" t="str">
        <f>IFERROR(__xludf.DUMMYFUNCTION("GOOGLETRANSLATE(E75, ""en"", ""zh"")"),"#VALUE!")</f>
        <v>#VALUE!</v>
      </c>
      <c r="L75" s="21"/>
      <c r="M75" s="21"/>
      <c r="N75" s="21"/>
      <c r="O75" s="21"/>
      <c r="P75" s="21"/>
      <c r="Q75" s="19"/>
      <c r="R75" s="19"/>
      <c r="S75" s="19"/>
      <c r="T75" s="19"/>
      <c r="U75" s="19"/>
      <c r="V75" s="19"/>
      <c r="W75" s="19"/>
      <c r="X75" s="19"/>
      <c r="Y75" s="19"/>
      <c r="Z75" s="19"/>
    </row>
    <row r="76">
      <c r="A76" s="37">
        <v>75.0</v>
      </c>
      <c r="B76" s="12" t="s">
        <v>2463</v>
      </c>
      <c r="C76" s="12" t="s">
        <v>2464</v>
      </c>
      <c r="D76" s="12" t="s">
        <v>2465</v>
      </c>
      <c r="E76" s="27"/>
      <c r="F76" s="21"/>
      <c r="G76" s="21"/>
      <c r="H76" s="4" t="str">
        <f>IFERROR(__xludf.DUMMYFUNCTION("GOOGLETRANSLATE(B76, ""en"", ""zh"")"),"在双人练习中，你感觉自己不在状态。你会如何应对？")</f>
        <v>在双人练习中，你感觉自己不在状态。你会如何应对？</v>
      </c>
      <c r="I76" s="4" t="str">
        <f>IFERROR(__xludf.DUMMYFUNCTION("GOOGLETRANSLATE(C76, ""en"", ""zh"")"),"A) 重新调整身体位置 B) 忽略 C) 向前迈一步 D) 停止")</f>
        <v>A) 重新调整身体位置 B) 忽略 C) 向前迈一步 D) 停止</v>
      </c>
      <c r="J76" s="4" t="str">
        <f>IFERROR(__xludf.DUMMYFUNCTION("GOOGLETRANSLATE(D76, ""en"", ""zh"")"),"A) 重新调整车身中心位置")</f>
        <v>A) 重新调整车身中心位置</v>
      </c>
      <c r="K76" s="4" t="str">
        <f>IFERROR(__xludf.DUMMYFUNCTION("GOOGLETRANSLATE(E76, ""en"", ""zh"")"),"#VALUE!")</f>
        <v>#VALUE!</v>
      </c>
      <c r="L76" s="21"/>
      <c r="M76" s="21"/>
      <c r="N76" s="21"/>
      <c r="O76" s="21"/>
      <c r="P76" s="21"/>
      <c r="Q76" s="19"/>
      <c r="R76" s="19"/>
      <c r="S76" s="19"/>
      <c r="T76" s="19"/>
      <c r="U76" s="19"/>
      <c r="V76" s="19"/>
      <c r="W76" s="19"/>
      <c r="X76" s="19"/>
      <c r="Y76" s="19"/>
      <c r="Z76" s="19"/>
    </row>
    <row r="77">
      <c r="A77" s="37">
        <v>76.0</v>
      </c>
      <c r="B77" s="12" t="s">
        <v>2466</v>
      </c>
      <c r="C77" s="12" t="s">
        <v>2467</v>
      </c>
      <c r="D77" s="12" t="s">
        <v>2468</v>
      </c>
      <c r="E77" s="27"/>
      <c r="F77" s="21"/>
      <c r="G77" s="21"/>
      <c r="H77" s="4" t="str">
        <f>IFERROR(__xludf.DUMMYFUNCTION("GOOGLETRANSLATE(B77, ""en"", ""zh"")"),"伴侣突然抓住你的手臂，你应该如何应对？")</f>
        <v>伴侣突然抓住你的手臂，你应该如何应对？</v>
      </c>
      <c r="I77" s="4" t="str">
        <f>IFERROR(__xludf.DUMMYFUNCTION("GOOGLETRANSLATE(C77, ""en"", ""zh"")"),"A) 改变作用力 B) 无视 C) 后退 D) 抵抗")</f>
        <v>A) 改变作用力 B) 无视 C) 后退 D) 抵抗</v>
      </c>
      <c r="J77" s="4" t="str">
        <f>IFERROR(__xludf.DUMMYFUNCTION("GOOGLETRANSLATE(D77, ""en"", ""zh"")"),"A) 重定向力")</f>
        <v>A) 重定向力</v>
      </c>
      <c r="K77" s="4" t="str">
        <f>IFERROR(__xludf.DUMMYFUNCTION("GOOGLETRANSLATE(E77, ""en"", ""zh"")"),"#VALUE!")</f>
        <v>#VALUE!</v>
      </c>
      <c r="L77" s="21"/>
      <c r="M77" s="21"/>
      <c r="N77" s="21"/>
      <c r="O77" s="21"/>
      <c r="P77" s="21"/>
      <c r="Q77" s="19"/>
      <c r="R77" s="19"/>
      <c r="S77" s="19"/>
      <c r="T77" s="19"/>
      <c r="U77" s="19"/>
      <c r="V77" s="19"/>
      <c r="W77" s="19"/>
      <c r="X77" s="19"/>
      <c r="Y77" s="19"/>
      <c r="Z77" s="19"/>
    </row>
    <row r="78">
      <c r="A78" s="37">
        <v>77.0</v>
      </c>
      <c r="B78" s="12" t="s">
        <v>2469</v>
      </c>
      <c r="C78" s="12" t="s">
        <v>2470</v>
      </c>
      <c r="D78" s="12" t="s">
        <v>2471</v>
      </c>
      <c r="E78" s="27"/>
      <c r="F78" s="21"/>
      <c r="G78" s="21"/>
      <c r="H78" s="4" t="str">
        <f>IFERROR(__xludf.DUMMYFUNCTION("GOOGLETRANSLATE(B78, ""en"", ""zh"")"),"练习过程中，手臂动作过于僵硬，该如何纠正？")</f>
        <v>练习过程中，手臂动作过于僵硬，该如何纠正？</v>
      </c>
      <c r="I78" s="4" t="str">
        <f>IFERROR(__xludf.DUMMYFUNCTION("GOOGLETRANSLATE(C78, ""en"", ""zh"")"),"A) 放松肌肉 B) 忽略 C) 向前迈一步 D) 用力推")</f>
        <v>A) 放松肌肉 B) 忽略 C) 向前迈一步 D) 用力推</v>
      </c>
      <c r="J78" s="4" t="str">
        <f>IFERROR(__xludf.DUMMYFUNCTION("GOOGLETRANSLATE(D78, ""en"", ""zh"")"),"A) 放松肌肉")</f>
        <v>A) 放松肌肉</v>
      </c>
      <c r="K78" s="4" t="str">
        <f>IFERROR(__xludf.DUMMYFUNCTION("GOOGLETRANSLATE(E78, ""en"", ""zh"")"),"#VALUE!")</f>
        <v>#VALUE!</v>
      </c>
      <c r="L78" s="21"/>
      <c r="M78" s="21"/>
      <c r="N78" s="21"/>
      <c r="O78" s="21"/>
      <c r="P78" s="21"/>
      <c r="Q78" s="19"/>
      <c r="R78" s="19"/>
      <c r="S78" s="19"/>
      <c r="T78" s="19"/>
      <c r="U78" s="19"/>
      <c r="V78" s="19"/>
      <c r="W78" s="19"/>
      <c r="X78" s="19"/>
      <c r="Y78" s="19"/>
      <c r="Z78" s="19"/>
    </row>
    <row r="79">
      <c r="A79" s="37">
        <v>78.0</v>
      </c>
      <c r="B79" s="12" t="s">
        <v>2472</v>
      </c>
      <c r="C79" s="12" t="s">
        <v>2473</v>
      </c>
      <c r="D79" s="12" t="s">
        <v>2474</v>
      </c>
      <c r="E79" s="27"/>
      <c r="F79" s="21"/>
      <c r="G79" s="21"/>
      <c r="H79" s="4" t="str">
        <f>IFERROR(__xludf.DUMMYFUNCTION("GOOGLETRANSLATE(B79, ""en"", ""zh"")"),"搭档突然施加横向力。应对措施？")</f>
        <v>搭档突然施加横向力。应对措施？</v>
      </c>
      <c r="I79" s="4" t="str">
        <f>IFERROR(__xludf.DUMMYFUNCTION("GOOGLETRANSLATE(C79, ""en"", ""zh"")"),"A) 跟随并引导 B) 忽略 C) 向前迈步 D) 抵制")</f>
        <v>A) 跟随并引导 B) 忽略 C) 向前迈步 D) 抵制</v>
      </c>
      <c r="J79" s="4" t="str">
        <f>IFERROR(__xludf.DUMMYFUNCTION("GOOGLETRANSLATE(D79, ""en"", ""zh"")"),"A) 关注并重定向")</f>
        <v>A) 关注并重定向</v>
      </c>
      <c r="K79" s="4" t="str">
        <f>IFERROR(__xludf.DUMMYFUNCTION("GOOGLETRANSLATE(E79, ""en"", ""zh"")"),"#VALUE!")</f>
        <v>#VALUE!</v>
      </c>
      <c r="L79" s="21"/>
      <c r="M79" s="21"/>
      <c r="N79" s="21"/>
      <c r="O79" s="21"/>
      <c r="P79" s="21"/>
      <c r="Q79" s="19"/>
      <c r="R79" s="19"/>
      <c r="S79" s="19"/>
      <c r="T79" s="19"/>
      <c r="U79" s="19"/>
      <c r="V79" s="19"/>
      <c r="W79" s="19"/>
      <c r="X79" s="19"/>
      <c r="Y79" s="19"/>
      <c r="Z79" s="19"/>
    </row>
    <row r="80">
      <c r="A80" s="37">
        <v>79.0</v>
      </c>
      <c r="B80" s="12" t="s">
        <v>2475</v>
      </c>
      <c r="C80" s="12" t="s">
        <v>2476</v>
      </c>
      <c r="D80" s="12" t="s">
        <v>2477</v>
      </c>
      <c r="E80" s="27"/>
      <c r="F80" s="21"/>
      <c r="G80" s="21"/>
      <c r="H80" s="4" t="str">
        <f>IFERROR(__xludf.DUMMYFUNCTION("GOOGLETRANSLATE(B80, ""en"", ""zh"")"),"练习过程中，你的脚会稍微滑动。你如何保持平衡？")</f>
        <v>练习过程中，你的脚会稍微滑动。你如何保持平衡？</v>
      </c>
      <c r="I80" s="4" t="str">
        <f>IFERROR(__xludf.DUMMYFUNCTION("GOOGLETRANSLATE(C80, ""en"", ""zh"")"),"A) 调整中心并继续 B) 忽略 C) 后退 D) 暂停")</f>
        <v>A) 调整中心并继续 B) 忽略 C) 后退 D) 暂停</v>
      </c>
      <c r="J80" s="4" t="str">
        <f>IFERROR(__xludf.DUMMYFUNCTION("GOOGLETRANSLATE(D80, ""en"", ""zh"")"),"A) 调整中心并继续")</f>
        <v>A) 调整中心并继续</v>
      </c>
      <c r="K80" s="4" t="str">
        <f>IFERROR(__xludf.DUMMYFUNCTION("GOOGLETRANSLATE(E80, ""en"", ""zh"")"),"#VALUE!")</f>
        <v>#VALUE!</v>
      </c>
      <c r="L80" s="21"/>
      <c r="M80" s="21"/>
      <c r="N80" s="21"/>
      <c r="O80" s="21"/>
      <c r="P80" s="21"/>
      <c r="Q80" s="19"/>
      <c r="R80" s="19"/>
      <c r="S80" s="19"/>
      <c r="T80" s="19"/>
      <c r="U80" s="19"/>
      <c r="V80" s="19"/>
      <c r="W80" s="19"/>
      <c r="X80" s="19"/>
      <c r="Y80" s="19"/>
      <c r="Z80" s="19"/>
    </row>
    <row r="81">
      <c r="A81" s="37">
        <v>80.0</v>
      </c>
      <c r="B81" s="12" t="s">
        <v>2478</v>
      </c>
      <c r="C81" s="12" t="s">
        <v>2479</v>
      </c>
      <c r="D81" s="12" t="s">
        <v>2407</v>
      </c>
      <c r="E81" s="27"/>
      <c r="F81" s="21"/>
      <c r="G81" s="21"/>
      <c r="H81" s="4" t="str">
        <f>IFERROR(__xludf.DUMMYFUNCTION("GOOGLETRANSLATE(B81, ""en"", ""zh"")"),"在推手游戏中，搭档用手按压你的手。你该如何应对？")</f>
        <v>在推手游戏中，搭档用手按压你的手。你该如何应对？</v>
      </c>
      <c r="I81" s="4" t="str">
        <f>IFERROR(__xludf.DUMMYFUNCTION("GOOGLETRANSLATE(C81, ""en"", ""zh"")"),"A) 让步并引导 B) 无视 C) 前进 D) 抵抗")</f>
        <v>A) 让步并引导 B) 无视 C) 前进 D) 抵抗</v>
      </c>
      <c r="J81" s="4" t="str">
        <f>IFERROR(__xludf.DUMMYFUNCTION("GOOGLETRANSLATE(D81, ""en"", ""zh"")"),"A) 产量和指南")</f>
        <v>A) 产量和指南</v>
      </c>
      <c r="K81" s="4" t="str">
        <f>IFERROR(__xludf.DUMMYFUNCTION("GOOGLETRANSLATE(E81, ""en"", ""zh"")"),"#VALUE!")</f>
        <v>#VALUE!</v>
      </c>
      <c r="L81" s="21"/>
      <c r="M81" s="21"/>
      <c r="N81" s="21"/>
      <c r="O81" s="21"/>
      <c r="P81" s="21"/>
      <c r="Q81" s="19"/>
      <c r="R81" s="19"/>
      <c r="S81" s="19"/>
      <c r="T81" s="19"/>
      <c r="U81" s="19"/>
      <c r="V81" s="19"/>
      <c r="W81" s="19"/>
      <c r="X81" s="19"/>
      <c r="Y81" s="19"/>
      <c r="Z81" s="19"/>
    </row>
    <row r="82">
      <c r="A82" s="37">
        <v>81.0</v>
      </c>
      <c r="B82" s="12" t="s">
        <v>2480</v>
      </c>
      <c r="C82" s="12" t="s">
        <v>2481</v>
      </c>
      <c r="D82" s="12" t="s">
        <v>2482</v>
      </c>
      <c r="E82" s="27"/>
      <c r="F82" s="21"/>
      <c r="G82" s="21"/>
      <c r="H82" s="4" t="str">
        <f>IFERROR(__xludf.DUMMYFUNCTION("GOOGLETRANSLATE(B82, ""en"", ""zh"")"),"练习过程中，你的节奏被打乱了。如何才能重新找回节奏？")</f>
        <v>练习过程中，你的节奏被打乱了。如何才能重新找回节奏？</v>
      </c>
      <c r="I82" s="4" t="str">
        <f>IFERROR(__xludf.DUMMYFUNCTION("GOOGLETRANSLATE(C82, ""en"", ""zh"")"),"A) 专注于呼吸 B) 忽略 C) 后退 D) 暂停")</f>
        <v>A) 专注于呼吸 B) 忽略 C) 后退 D) 暂停</v>
      </c>
      <c r="J82" s="4" t="str">
        <f>IFERROR(__xludf.DUMMYFUNCTION("GOOGLETRANSLATE(D82, ""en"", ""zh"")"),"A) 专注于呼吸")</f>
        <v>A) 专注于呼吸</v>
      </c>
      <c r="K82" s="4" t="str">
        <f>IFERROR(__xludf.DUMMYFUNCTION("GOOGLETRANSLATE(E82, ""en"", ""zh"")"),"#VALUE!")</f>
        <v>#VALUE!</v>
      </c>
      <c r="L82" s="21"/>
      <c r="M82" s="21"/>
      <c r="N82" s="21"/>
      <c r="O82" s="21"/>
      <c r="P82" s="21"/>
      <c r="Q82" s="19"/>
      <c r="R82" s="19"/>
      <c r="S82" s="19"/>
      <c r="T82" s="19"/>
      <c r="U82" s="19"/>
      <c r="V82" s="19"/>
      <c r="W82" s="19"/>
      <c r="X82" s="19"/>
      <c r="Y82" s="19"/>
      <c r="Z82" s="19"/>
    </row>
    <row r="83">
      <c r="A83" s="37">
        <v>82.0</v>
      </c>
      <c r="B83" s="12" t="s">
        <v>2483</v>
      </c>
      <c r="C83" s="12" t="s">
        <v>2484</v>
      </c>
      <c r="D83" s="12" t="s">
        <v>2485</v>
      </c>
      <c r="E83" s="27"/>
      <c r="F83" s="21"/>
      <c r="G83" s="21"/>
      <c r="H83" s="4" t="str">
        <f>IFERROR(__xludf.DUMMYFUNCTION("GOOGLETRANSLATE(B83, ""en"", ""zh"")"),"伴侣改变姿势让你失去平衡。该如何应对？")</f>
        <v>伴侣改变姿势让你失去平衡。该如何应对？</v>
      </c>
      <c r="I83" s="4" t="str">
        <f>IFERROR(__xludf.DUMMYFUNCTION("GOOGLETRANSLATE(C83, ""en"", ""zh"")"),"A) 调整脚步和重心 B) 忽略 C) 向前迈步 D) 跳跃")</f>
        <v>A) 调整脚步和重心 B) 忽略 C) 向前迈步 D) 跳跃</v>
      </c>
      <c r="J83" s="4" t="str">
        <f>IFERROR(__xludf.DUMMYFUNCTION("GOOGLETRANSLATE(D83, ""en"", ""zh"")"),"A) 调整脚部和中心")</f>
        <v>A) 调整脚部和中心</v>
      </c>
      <c r="K83" s="4" t="str">
        <f>IFERROR(__xludf.DUMMYFUNCTION("GOOGLETRANSLATE(E83, ""en"", ""zh"")"),"#VALUE!")</f>
        <v>#VALUE!</v>
      </c>
      <c r="L83" s="21"/>
      <c r="M83" s="21"/>
      <c r="N83" s="21"/>
      <c r="O83" s="21"/>
      <c r="P83" s="21"/>
      <c r="Q83" s="19"/>
      <c r="R83" s="19"/>
      <c r="S83" s="19"/>
      <c r="T83" s="19"/>
      <c r="U83" s="19"/>
      <c r="V83" s="19"/>
      <c r="W83" s="19"/>
      <c r="X83" s="19"/>
      <c r="Y83" s="19"/>
      <c r="Z83" s="19"/>
    </row>
    <row r="84">
      <c r="A84" s="37">
        <v>83.0</v>
      </c>
      <c r="B84" s="12" t="s">
        <v>2486</v>
      </c>
      <c r="C84" s="12" t="s">
        <v>2487</v>
      </c>
      <c r="D84" s="12" t="s">
        <v>2488</v>
      </c>
      <c r="E84" s="27"/>
      <c r="F84" s="21"/>
      <c r="G84" s="21"/>
      <c r="H84" s="4" t="str">
        <f>IFERROR(__xludf.DUMMYFUNCTION("GOOGLETRANSLATE(B84, ""en"", ""zh"")"),"太极剑术中，对手虚晃低剑，你如何应对？")</f>
        <v>太极剑术中，对手虚晃低剑，你如何应对？</v>
      </c>
      <c r="I84" s="4" t="str">
        <f>IFERROR(__xludf.DUMMYFUNCTION("GOOGLETRANSLATE(C84, ""en"", ""zh"")"),"A) 调整刀片角度 B) 忽略 C) 向前迈一步 D) 暂停")</f>
        <v>A) 调整刀片角度 B) 忽略 C) 向前迈一步 D) 暂停</v>
      </c>
      <c r="J84" s="4" t="str">
        <f>IFERROR(__xludf.DUMMYFUNCTION("GOOGLETRANSLATE(D84, ""en"", ""zh"")"),"A) 调整刀片角度")</f>
        <v>A) 调整刀片角度</v>
      </c>
      <c r="K84" s="4" t="str">
        <f>IFERROR(__xludf.DUMMYFUNCTION("GOOGLETRANSLATE(E84, ""en"", ""zh"")"),"#VALUE!")</f>
        <v>#VALUE!</v>
      </c>
      <c r="L84" s="21"/>
      <c r="M84" s="21"/>
      <c r="N84" s="21"/>
      <c r="O84" s="21"/>
      <c r="P84" s="21"/>
      <c r="Q84" s="19"/>
      <c r="R84" s="19"/>
      <c r="S84" s="19"/>
      <c r="T84" s="19"/>
      <c r="U84" s="19"/>
      <c r="V84" s="19"/>
      <c r="W84" s="19"/>
      <c r="X84" s="19"/>
      <c r="Y84" s="19"/>
      <c r="Z84" s="19"/>
    </row>
    <row r="85">
      <c r="A85" s="37">
        <v>84.0</v>
      </c>
      <c r="B85" s="12" t="s">
        <v>2489</v>
      </c>
      <c r="C85" s="12" t="s">
        <v>2490</v>
      </c>
      <c r="D85" s="12" t="s">
        <v>2491</v>
      </c>
      <c r="E85" s="27"/>
      <c r="F85" s="21"/>
      <c r="G85" s="21"/>
      <c r="H85" s="4" t="str">
        <f>IFERROR(__xludf.DUMMYFUNCTION("GOOGLETRANSLATE(B85, ""en"", ""zh"")"),"训练过程中，腿部感到疲劳。最好的解决方法是什么？")</f>
        <v>训练过程中，腿部感到疲劳。最好的解决方法是什么？</v>
      </c>
      <c r="I85" s="4" t="str">
        <f>IFERROR(__xludf.DUMMYFUNCTION("GOOGLETRANSLATE(C85, ""en"", ""zh"")"),"A) 放松并调整姿势 B) 忽略 C) 后退 D) 用力推")</f>
        <v>A) 放松并调整姿势 B) 忽略 C) 后退 D) 用力推</v>
      </c>
      <c r="J85" s="4" t="str">
        <f>IFERROR(__xludf.DUMMYFUNCTION("GOOGLETRANSLATE(D85, ""en"", ""zh"")"),"A）放松并调整姿势")</f>
        <v>A）放松并调整姿势</v>
      </c>
      <c r="K85" s="4" t="str">
        <f>IFERROR(__xludf.DUMMYFUNCTION("GOOGLETRANSLATE(E85, ""en"", ""zh"")"),"#VALUE!")</f>
        <v>#VALUE!</v>
      </c>
      <c r="L85" s="21"/>
      <c r="M85" s="21"/>
      <c r="N85" s="21"/>
      <c r="O85" s="21"/>
      <c r="P85" s="21"/>
      <c r="Q85" s="19"/>
      <c r="R85" s="19"/>
      <c r="S85" s="19"/>
      <c r="T85" s="19"/>
      <c r="U85" s="19"/>
      <c r="V85" s="19"/>
      <c r="W85" s="19"/>
      <c r="X85" s="19"/>
      <c r="Y85" s="19"/>
      <c r="Z85" s="19"/>
    </row>
    <row r="86">
      <c r="A86" s="37">
        <v>85.0</v>
      </c>
      <c r="B86" s="12" t="s">
        <v>2492</v>
      </c>
      <c r="C86" s="12" t="s">
        <v>2493</v>
      </c>
      <c r="D86" s="12" t="s">
        <v>2377</v>
      </c>
      <c r="E86" s="27"/>
      <c r="F86" s="21"/>
      <c r="G86" s="21"/>
      <c r="H86" s="4" t="str">
        <f>IFERROR(__xludf.DUMMYFUNCTION("GOOGLETRANSLATE(B86, ""en"", ""zh"")"),"你的搭档向上施力。你应该如何应对？")</f>
        <v>你的搭档向上施力。你应该如何应对？</v>
      </c>
      <c r="I86" s="4" t="str">
        <f>IFERROR(__xludf.DUMMYFUNCTION("GOOGLETRANSLATE(C86, ""en"", ""zh"")"),"A) 让步并改变方向 B) 无视 C) 前进 D) 抵抗")</f>
        <v>A) 让步并改变方向 B) 无视 C) 前进 D) 抵抗</v>
      </c>
      <c r="J86" s="4" t="str">
        <f>IFERROR(__xludf.DUMMYFUNCTION("GOOGLETRANSLATE(D86, ""en"", ""zh"")"),"A) 让路并重新定向")</f>
        <v>A) 让路并重新定向</v>
      </c>
      <c r="K86" s="4" t="str">
        <f>IFERROR(__xludf.DUMMYFUNCTION("GOOGLETRANSLATE(E86, ""en"", ""zh"")"),"#VALUE!")</f>
        <v>#VALUE!</v>
      </c>
      <c r="L86" s="21"/>
      <c r="M86" s="21"/>
      <c r="N86" s="21"/>
      <c r="O86" s="21"/>
      <c r="P86" s="21"/>
      <c r="Q86" s="19"/>
      <c r="R86" s="19"/>
      <c r="S86" s="19"/>
      <c r="T86" s="19"/>
      <c r="U86" s="19"/>
      <c r="V86" s="19"/>
      <c r="W86" s="19"/>
      <c r="X86" s="19"/>
      <c r="Y86" s="19"/>
      <c r="Z86" s="19"/>
    </row>
    <row r="87">
      <c r="A87" s="37">
        <v>86.0</v>
      </c>
      <c r="B87" s="12" t="s">
        <v>2494</v>
      </c>
      <c r="C87" s="12" t="s">
        <v>2495</v>
      </c>
      <c r="D87" s="12" t="s">
        <v>2496</v>
      </c>
      <c r="E87" s="27"/>
      <c r="F87" s="21"/>
      <c r="G87" s="21"/>
      <c r="H87" s="4" t="str">
        <f>IFERROR(__xludf.DUMMYFUNCTION("GOOGLETRANSLATE(B87, ""en"", ""zh"")"),"在比赛中，对手向下施压。你该如何应对？")</f>
        <v>在比赛中，对手向下施压。你该如何应对？</v>
      </c>
      <c r="I87" s="4" t="str">
        <f>IFERROR(__xludf.DUMMYFUNCTION("GOOGLETRANSLATE(C87, ""en"", ""zh"")"),"A) 沿路径重新定向力 B) 忽略 C) 后退 D) 抵抗")</f>
        <v>A) 沿路径重新定向力 B) 忽略 C) 后退 D) 抵抗</v>
      </c>
      <c r="J87" s="4" t="str">
        <f>IFERROR(__xludf.DUMMYFUNCTION("GOOGLETRANSLATE(D87, ""en"", ""zh"")"),"A) 沿路径重新定向力")</f>
        <v>A) 沿路径重新定向力</v>
      </c>
      <c r="K87" s="4" t="str">
        <f>IFERROR(__xludf.DUMMYFUNCTION("GOOGLETRANSLATE(E87, ""en"", ""zh"")"),"#VALUE!")</f>
        <v>#VALUE!</v>
      </c>
      <c r="L87" s="21"/>
      <c r="M87" s="21"/>
      <c r="N87" s="21"/>
      <c r="O87" s="21"/>
      <c r="P87" s="21"/>
      <c r="Q87" s="19"/>
      <c r="R87" s="19"/>
      <c r="S87" s="19"/>
      <c r="T87" s="19"/>
      <c r="U87" s="19"/>
      <c r="V87" s="19"/>
      <c r="W87" s="19"/>
      <c r="X87" s="19"/>
      <c r="Y87" s="19"/>
      <c r="Z87" s="19"/>
    </row>
    <row r="88">
      <c r="A88" s="37">
        <v>87.0</v>
      </c>
      <c r="B88" s="12" t="s">
        <v>2497</v>
      </c>
      <c r="C88" s="12" t="s">
        <v>2498</v>
      </c>
      <c r="D88" s="12" t="s">
        <v>2499</v>
      </c>
      <c r="E88" s="27"/>
      <c r="F88" s="21"/>
      <c r="G88" s="21"/>
      <c r="H88" s="4" t="str">
        <f>IFERROR(__xludf.DUMMYFUNCTION("GOOGLETRANSLATE(B88, ""en"", ""zh"")"),"练习过程中，你的手部姿势不对。该如何纠正？")</f>
        <v>练习过程中，你的手部姿势不对。该如何纠正？</v>
      </c>
      <c r="I88" s="4" t="str">
        <f>IFERROR(__xludf.DUMMYFUNCTION("GOOGLETRANSLATE(C88, ""en"", ""zh"")"),"A) 调整手臂和肩膀 B) 忽略 C) 后退 D) 暂停")</f>
        <v>A) 调整手臂和肩膀 B) 忽略 C) 后退 D) 暂停</v>
      </c>
      <c r="J88" s="4" t="str">
        <f>IFERROR(__xludf.DUMMYFUNCTION("GOOGLETRANSLATE(D88, ""en"", ""zh"")"),"A) 调整手臂和肩膀")</f>
        <v>A) 调整手臂和肩膀</v>
      </c>
      <c r="K88" s="4" t="str">
        <f>IFERROR(__xludf.DUMMYFUNCTION("GOOGLETRANSLATE(E88, ""en"", ""zh"")"),"#VALUE!")</f>
        <v>#VALUE!</v>
      </c>
      <c r="L88" s="21"/>
      <c r="M88" s="21"/>
      <c r="N88" s="21"/>
      <c r="O88" s="21"/>
      <c r="P88" s="21"/>
      <c r="Q88" s="19"/>
      <c r="R88" s="19"/>
      <c r="S88" s="19"/>
      <c r="T88" s="19"/>
      <c r="U88" s="19"/>
      <c r="V88" s="19"/>
      <c r="W88" s="19"/>
      <c r="X88" s="19"/>
      <c r="Y88" s="19"/>
      <c r="Z88" s="19"/>
    </row>
    <row r="89">
      <c r="A89" s="37">
        <v>88.0</v>
      </c>
      <c r="B89" s="12" t="s">
        <v>2500</v>
      </c>
      <c r="C89" s="12" t="s">
        <v>2501</v>
      </c>
      <c r="D89" s="12" t="s">
        <v>1165</v>
      </c>
      <c r="E89" s="27"/>
      <c r="F89" s="21"/>
      <c r="G89" s="21"/>
      <c r="H89" s="4" t="str">
        <f>IFERROR(__xludf.DUMMYFUNCTION("GOOGLETRANSLATE(B89, ""en"", ""zh"")"),"搭档先向左虚晃，再向右虚晃。你如何保持控制？")</f>
        <v>搭档先向左虚晃，再向右虚晃。你如何保持控制？</v>
      </c>
      <c r="I89" s="4" t="str">
        <f>IFERROR(__xludf.DUMMYFUNCTION("GOOGLETRANSLATE(C89, ""en"", ""zh"")"),"A) 横向调整 B) 无视 C) 向前迈一步 D) 攻击")</f>
        <v>A) 横向调整 B) 无视 C) 向前迈一步 D) 攻击</v>
      </c>
      <c r="J89" s="4" t="str">
        <f>IFERROR(__xludf.DUMMYFUNCTION("GOOGLETRANSLATE(D89, ""en"", ""zh"")"),"A) 横向调整")</f>
        <v>A) 横向调整</v>
      </c>
      <c r="K89" s="4" t="str">
        <f>IFERROR(__xludf.DUMMYFUNCTION("GOOGLETRANSLATE(E89, ""en"", ""zh"")"),"#VALUE!")</f>
        <v>#VALUE!</v>
      </c>
      <c r="L89" s="21"/>
      <c r="M89" s="21"/>
      <c r="N89" s="21"/>
      <c r="O89" s="21"/>
      <c r="P89" s="21"/>
      <c r="Q89" s="19"/>
      <c r="R89" s="19"/>
      <c r="S89" s="19"/>
      <c r="T89" s="19"/>
      <c r="U89" s="19"/>
      <c r="V89" s="19"/>
      <c r="W89" s="19"/>
      <c r="X89" s="19"/>
      <c r="Y89" s="19"/>
      <c r="Z89" s="19"/>
    </row>
    <row r="90">
      <c r="A90" s="37">
        <v>89.0</v>
      </c>
      <c r="B90" s="12" t="s">
        <v>2502</v>
      </c>
      <c r="C90" s="12" t="s">
        <v>2473</v>
      </c>
      <c r="D90" s="12" t="s">
        <v>2474</v>
      </c>
      <c r="E90" s="27"/>
      <c r="F90" s="21"/>
      <c r="G90" s="21"/>
      <c r="H90" s="4" t="str">
        <f>IFERROR(__xludf.DUMMYFUNCTION("GOOGLETRANSLATE(B90, ""en"", ""zh"")"),"在推手阶段，对手的移动难以预测。你应该如何应对？")</f>
        <v>在推手阶段，对手的移动难以预测。你应该如何应对？</v>
      </c>
      <c r="I90" s="4" t="str">
        <f>IFERROR(__xludf.DUMMYFUNCTION("GOOGLETRANSLATE(C90, ""en"", ""zh"")"),"A) 跟随并引导 B) 忽略 C) 向前迈步 D) 抵制")</f>
        <v>A) 跟随并引导 B) 忽略 C) 向前迈步 D) 抵制</v>
      </c>
      <c r="J90" s="4" t="str">
        <f>IFERROR(__xludf.DUMMYFUNCTION("GOOGLETRANSLATE(D90, ""en"", ""zh"")"),"A) 关注并重定向")</f>
        <v>A) 关注并重定向</v>
      </c>
      <c r="K90" s="4" t="str">
        <f>IFERROR(__xludf.DUMMYFUNCTION("GOOGLETRANSLATE(E90, ""en"", ""zh"")"),"#VALUE!")</f>
        <v>#VALUE!</v>
      </c>
      <c r="L90" s="21"/>
      <c r="M90" s="21"/>
      <c r="N90" s="21"/>
      <c r="O90" s="21"/>
      <c r="P90" s="21"/>
      <c r="Q90" s="19"/>
      <c r="R90" s="19"/>
      <c r="S90" s="19"/>
      <c r="T90" s="19"/>
      <c r="U90" s="19"/>
      <c r="V90" s="19"/>
      <c r="W90" s="19"/>
      <c r="X90" s="19"/>
      <c r="Y90" s="19"/>
      <c r="Z90" s="19"/>
    </row>
    <row r="91">
      <c r="A91" s="37">
        <v>90.0</v>
      </c>
      <c r="B91" s="12" t="s">
        <v>2503</v>
      </c>
      <c r="C91" s="12" t="s">
        <v>2451</v>
      </c>
      <c r="D91" s="12" t="s">
        <v>2452</v>
      </c>
      <c r="E91" s="27"/>
      <c r="F91" s="21"/>
      <c r="G91" s="21"/>
      <c r="H91" s="4" t="str">
        <f>IFERROR(__xludf.DUMMYFUNCTION("GOOGLETRANSLATE(B91, ""en"", ""zh"")"),"在动作中途，你的重心在转身时摇晃。如何应对？")</f>
        <v>在动作中途，你的重心在转身时摇晃。如何应对？</v>
      </c>
      <c r="I91" s="4" t="str">
        <f>IFERROR(__xludf.DUMMYFUNCTION("GOOGLETRANSLATE(C91, ""en"", ""zh"")"),"A) 降低中心位置并继续 B) 忽略 C) 后退 D) 暂停")</f>
        <v>A) 降低中心位置并继续 B) 忽略 C) 后退 D) 暂停</v>
      </c>
      <c r="J91" s="4" t="str">
        <f>IFERROR(__xludf.DUMMYFUNCTION("GOOGLETRANSLATE(D91, ""en"", ""zh"")"),"A) 降低中心并继续")</f>
        <v>A) 降低中心并继续</v>
      </c>
      <c r="K91" s="4" t="str">
        <f>IFERROR(__xludf.DUMMYFUNCTION("GOOGLETRANSLATE(E91, ""en"", ""zh"")"),"#VALUE!")</f>
        <v>#VALUE!</v>
      </c>
      <c r="L91" s="21"/>
      <c r="M91" s="21"/>
      <c r="N91" s="21"/>
      <c r="O91" s="21"/>
      <c r="P91" s="21"/>
      <c r="Q91" s="19"/>
      <c r="R91" s="19"/>
      <c r="S91" s="19"/>
      <c r="T91" s="19"/>
      <c r="U91" s="19"/>
      <c r="V91" s="19"/>
      <c r="W91" s="19"/>
      <c r="X91" s="19"/>
      <c r="Y91" s="19"/>
      <c r="Z91" s="19"/>
    </row>
    <row r="92">
      <c r="A92" s="37">
        <v>91.0</v>
      </c>
      <c r="B92" s="12" t="s">
        <v>2504</v>
      </c>
      <c r="C92" s="12" t="s">
        <v>2493</v>
      </c>
      <c r="D92" s="12" t="s">
        <v>2377</v>
      </c>
      <c r="E92" s="27"/>
      <c r="F92" s="21"/>
      <c r="G92" s="21"/>
      <c r="H92" s="4" t="str">
        <f>IFERROR(__xludf.DUMMYFUNCTION("GOOGLETRANSLATE(B92, ""en"", ""zh"")"),"搭档突然向前施压。你会如何应对？")</f>
        <v>搭档突然向前施压。你会如何应对？</v>
      </c>
      <c r="I92" s="4" t="str">
        <f>IFERROR(__xludf.DUMMYFUNCTION("GOOGLETRANSLATE(C92, ""en"", ""zh"")"),"A) 让步并改变方向 B) 无视 C) 前进 D) 抵抗")</f>
        <v>A) 让步并改变方向 B) 无视 C) 前进 D) 抵抗</v>
      </c>
      <c r="J92" s="4" t="str">
        <f>IFERROR(__xludf.DUMMYFUNCTION("GOOGLETRANSLATE(D92, ""en"", ""zh"")"),"A) 让路并重新定向")</f>
        <v>A) 让路并重新定向</v>
      </c>
      <c r="K92" s="4" t="str">
        <f>IFERROR(__xludf.DUMMYFUNCTION("GOOGLETRANSLATE(E92, ""en"", ""zh"")"),"#VALUE!")</f>
        <v>#VALUE!</v>
      </c>
      <c r="L92" s="21"/>
      <c r="M92" s="21"/>
      <c r="N92" s="21"/>
      <c r="O92" s="21"/>
      <c r="P92" s="21"/>
      <c r="Q92" s="19"/>
      <c r="R92" s="19"/>
      <c r="S92" s="19"/>
      <c r="T92" s="19"/>
      <c r="U92" s="19"/>
      <c r="V92" s="19"/>
      <c r="W92" s="19"/>
      <c r="X92" s="19"/>
      <c r="Y92" s="19"/>
      <c r="Z92" s="19"/>
    </row>
    <row r="93">
      <c r="A93" s="37">
        <v>92.0</v>
      </c>
      <c r="B93" s="12" t="s">
        <v>2505</v>
      </c>
      <c r="C93" s="12" t="s">
        <v>2506</v>
      </c>
      <c r="D93" s="12" t="s">
        <v>2507</v>
      </c>
      <c r="E93" s="27"/>
      <c r="F93" s="21"/>
      <c r="G93" s="21"/>
      <c r="H93" s="4" t="str">
        <f>IFERROR(__xludf.DUMMYFUNCTION("GOOGLETRANSLATE(B93, ""en"", ""zh"")"),"独自练习时，你的手臂动作不均匀。如何纠正？")</f>
        <v>独自练习时，你的手臂动作不均匀。如何纠正？</v>
      </c>
      <c r="I93" s="4" t="str">
        <f>IFERROR(__xludf.DUMMYFUNCTION("GOOGLETRANSLATE(C93, ""en"", ""zh"")"),"A) 重新调整并继续 B) 忽略 C) 后退 D) 暂停")</f>
        <v>A) 重新调整并继续 B) 忽略 C) 后退 D) 暂停</v>
      </c>
      <c r="J93" s="4" t="str">
        <f>IFERROR(__xludf.DUMMYFUNCTION("GOOGLETRANSLATE(D93, ""en"", ""zh"")"),"A) 重新调整并继续")</f>
        <v>A) 重新调整并继续</v>
      </c>
      <c r="K93" s="4" t="str">
        <f>IFERROR(__xludf.DUMMYFUNCTION("GOOGLETRANSLATE(E93, ""en"", ""zh"")"),"#VALUE!")</f>
        <v>#VALUE!</v>
      </c>
      <c r="L93" s="21"/>
      <c r="M93" s="21"/>
      <c r="N93" s="21"/>
      <c r="O93" s="21"/>
      <c r="P93" s="21"/>
      <c r="Q93" s="19"/>
      <c r="R93" s="19"/>
      <c r="S93" s="19"/>
      <c r="T93" s="19"/>
      <c r="U93" s="19"/>
      <c r="V93" s="19"/>
      <c r="W93" s="19"/>
      <c r="X93" s="19"/>
      <c r="Y93" s="19"/>
      <c r="Z93" s="19"/>
    </row>
    <row r="94">
      <c r="A94" s="37">
        <v>93.0</v>
      </c>
      <c r="B94" s="12" t="s">
        <v>2508</v>
      </c>
      <c r="C94" s="12" t="s">
        <v>2509</v>
      </c>
      <c r="D94" s="12" t="s">
        <v>2374</v>
      </c>
      <c r="E94" s="27"/>
      <c r="F94" s="21"/>
      <c r="G94" s="21"/>
      <c r="H94" s="4" t="str">
        <f>IFERROR(__xludf.DUMMYFUNCTION("GOOGLETRANSLATE(B94, ""en"", ""zh"")"),"练习过程中，对手移动速度过快。你应该如何应对？")</f>
        <v>练习过程中，对手移动速度过快。你应该如何应对？</v>
      </c>
      <c r="I94" s="4" t="str">
        <f>IFERROR(__xludf.DUMMYFUNCTION("GOOGLETRANSLATE(C94, ""en"", ""zh"")"),"A) 保持速度并保持姿势 B) 忽略 C) 向前迈一步 D) 暂停")</f>
        <v>A) 保持速度并保持姿势 B) 忽略 C) 向前迈一步 D) 暂停</v>
      </c>
      <c r="J94" s="4" t="str">
        <f>IFERROR(__xludf.DUMMYFUNCTION("GOOGLETRANSLATE(D94, ""en"", ""zh"")"),"A）保持比赛节奏和状态")</f>
        <v>A）保持比赛节奏和状态</v>
      </c>
      <c r="K94" s="4" t="str">
        <f>IFERROR(__xludf.DUMMYFUNCTION("GOOGLETRANSLATE(E94, ""en"", ""zh"")"),"#VALUE!")</f>
        <v>#VALUE!</v>
      </c>
      <c r="L94" s="21"/>
      <c r="M94" s="21"/>
      <c r="N94" s="21"/>
      <c r="O94" s="21"/>
      <c r="P94" s="21"/>
      <c r="Q94" s="19"/>
      <c r="R94" s="19"/>
      <c r="S94" s="19"/>
      <c r="T94" s="19"/>
      <c r="U94" s="19"/>
      <c r="V94" s="19"/>
      <c r="W94" s="19"/>
      <c r="X94" s="19"/>
      <c r="Y94" s="19"/>
      <c r="Z94" s="19"/>
    </row>
    <row r="95">
      <c r="A95" s="37">
        <v>94.0</v>
      </c>
      <c r="B95" s="12" t="s">
        <v>2510</v>
      </c>
      <c r="C95" s="12" t="s">
        <v>2511</v>
      </c>
      <c r="D95" s="12" t="s">
        <v>2512</v>
      </c>
      <c r="E95" s="27"/>
      <c r="F95" s="21"/>
      <c r="G95" s="21"/>
      <c r="H95" s="4" t="str">
        <f>IFERROR(__xludf.DUMMYFUNCTION("GOOGLETRANSLATE(B95, ""en"", ""zh"")"),"伴侣突然转移重心，你会如何应对？")</f>
        <v>伴侣突然转移重心，你会如何应对？</v>
      </c>
      <c r="I95" s="4" t="str">
        <f>IFERROR(__xludf.DUMMYFUNCTION("GOOGLETRANSLATE(C95, ""en"", ""zh"")"),"A) 调整站姿和平衡 B) 忽略 C) 向前迈步 D) 跳跃")</f>
        <v>A) 调整站姿和平衡 B) 忽略 C) 向前迈步 D) 跳跃</v>
      </c>
      <c r="J95" s="4" t="str">
        <f>IFERROR(__xludf.DUMMYFUNCTION("GOOGLETRANSLATE(D95, ""en"", ""zh"")"),"A) 调整站姿和平衡")</f>
        <v>A) 调整站姿和平衡</v>
      </c>
      <c r="K95" s="4" t="str">
        <f>IFERROR(__xludf.DUMMYFUNCTION("GOOGLETRANSLATE(E95, ""en"", ""zh"")"),"#VALUE!")</f>
        <v>#VALUE!</v>
      </c>
      <c r="L95" s="21"/>
      <c r="M95" s="21"/>
      <c r="N95" s="21"/>
      <c r="O95" s="21"/>
      <c r="P95" s="21"/>
      <c r="Q95" s="19"/>
      <c r="R95" s="19"/>
      <c r="S95" s="19"/>
      <c r="T95" s="19"/>
      <c r="U95" s="19"/>
      <c r="V95" s="19"/>
      <c r="W95" s="19"/>
      <c r="X95" s="19"/>
      <c r="Y95" s="19"/>
      <c r="Z95" s="19"/>
    </row>
    <row r="96">
      <c r="A96" s="37">
        <v>95.0</v>
      </c>
      <c r="B96" s="12" t="s">
        <v>2513</v>
      </c>
      <c r="C96" s="12" t="s">
        <v>2514</v>
      </c>
      <c r="D96" s="12" t="s">
        <v>2515</v>
      </c>
      <c r="E96" s="27"/>
      <c r="F96" s="21"/>
      <c r="G96" s="21"/>
      <c r="H96" s="4" t="str">
        <f>IFERROR(__xludf.DUMMYFUNCTION("GOOGLETRANSLATE(B96, ""en"", ""zh"")"),"推手动作中，你感觉重心偏离。你应该怎么做？")</f>
        <v>推手动作中，你感觉重心偏离。你应该怎么做？</v>
      </c>
      <c r="I96" s="4" t="str">
        <f>IFERROR(__xludf.DUMMYFUNCTION("GOOGLETRANSLATE(C96, ""en"", ""zh"")"),"A) 重新定位并引导 B) 忽略 C) 向前迈步 D) 抵抗")</f>
        <v>A) 重新定位并引导 B) 忽略 C) 向前迈步 D) 抵抗</v>
      </c>
      <c r="J96" s="4" t="str">
        <f>IFERROR(__xludf.DUMMYFUNCTION("GOOGLETRANSLATE(D96, ""en"", ""zh"")"),"A) 重新居中并引导")</f>
        <v>A) 重新居中并引导</v>
      </c>
      <c r="K96" s="4" t="str">
        <f>IFERROR(__xludf.DUMMYFUNCTION("GOOGLETRANSLATE(E96, ""en"", ""zh"")"),"#VALUE!")</f>
        <v>#VALUE!</v>
      </c>
      <c r="L96" s="21"/>
      <c r="M96" s="21"/>
      <c r="N96" s="21"/>
      <c r="O96" s="21"/>
      <c r="P96" s="21"/>
      <c r="Q96" s="19"/>
      <c r="R96" s="19"/>
      <c r="S96" s="19"/>
      <c r="T96" s="19"/>
      <c r="U96" s="19"/>
      <c r="V96" s="19"/>
      <c r="W96" s="19"/>
      <c r="X96" s="19"/>
      <c r="Y96" s="19"/>
      <c r="Z96" s="19"/>
    </row>
    <row r="97">
      <c r="A97" s="37">
        <v>96.0</v>
      </c>
      <c r="B97" s="12" t="s">
        <v>2516</v>
      </c>
      <c r="C97" s="12" t="s">
        <v>2517</v>
      </c>
      <c r="D97" s="12" t="s">
        <v>2518</v>
      </c>
      <c r="E97" s="27"/>
      <c r="F97" s="21"/>
      <c r="G97" s="21"/>
      <c r="H97" s="4" t="str">
        <f>IFERROR(__xludf.DUMMYFUNCTION("GOOGLETRANSLATE(B97, ""en"", ""zh"")"),"动作进行到一半时，腿部感觉僵硬。最佳应对方法是什么？")</f>
        <v>动作进行到一半时，腿部感觉僵硬。最佳应对方法是什么？</v>
      </c>
      <c r="I97" s="4" t="str">
        <f>IFERROR(__xludf.DUMMYFUNCTION("GOOGLETRANSLATE(C97, ""en"", ""zh"")"),"A) 放松并调整 B) 忽略 C) 后退 D) 加大力度")</f>
        <v>A) 放松并调整 B) 忽略 C) 后退 D) 加大力度</v>
      </c>
      <c r="J97" s="4" t="str">
        <f>IFERROR(__xludf.DUMMYFUNCTION("GOOGLETRANSLATE(D97, ""en"", ""zh"")"),"A) 放松并调整")</f>
        <v>A) 放松并调整</v>
      </c>
      <c r="K97" s="4" t="str">
        <f>IFERROR(__xludf.DUMMYFUNCTION("GOOGLETRANSLATE(E97, ""en"", ""zh"")"),"#VALUE!")</f>
        <v>#VALUE!</v>
      </c>
      <c r="L97" s="21"/>
      <c r="M97" s="21"/>
      <c r="N97" s="21"/>
      <c r="O97" s="21"/>
      <c r="P97" s="21"/>
      <c r="Q97" s="19"/>
      <c r="R97" s="19"/>
      <c r="S97" s="19"/>
      <c r="T97" s="19"/>
      <c r="U97" s="19"/>
      <c r="V97" s="19"/>
      <c r="W97" s="19"/>
      <c r="X97" s="19"/>
      <c r="Y97" s="19"/>
      <c r="Z97" s="19"/>
    </row>
    <row r="98">
      <c r="A98" s="37">
        <v>97.0</v>
      </c>
      <c r="B98" s="12" t="s">
        <v>2519</v>
      </c>
      <c r="C98" s="12" t="s">
        <v>2520</v>
      </c>
      <c r="D98" s="12" t="s">
        <v>2521</v>
      </c>
      <c r="E98" s="27"/>
      <c r="F98" s="21"/>
      <c r="G98" s="21"/>
      <c r="H98" s="4" t="str">
        <f>IFERROR(__xludf.DUMMYFUNCTION("GOOGLETRANSLATE(B98, ""en"", ""zh"")"),"你的搭档先假动作向上，然后向下。你会如何应对？")</f>
        <v>你的搭档先假动作向上，然后向下。你会如何应对？</v>
      </c>
      <c r="I98" s="4" t="str">
        <f>IFERROR(__xludf.DUMMYFUNCTION("GOOGLETRANSLATE(C98, ""en"", ""zh"")"),"A) 调整防御姿势并跟随 B) 无视 C) 向前迈步 D) 攻击")</f>
        <v>A) 调整防御姿势并跟随 B) 无视 C) 向前迈步 D) 攻击</v>
      </c>
      <c r="J98" s="4" t="str">
        <f>IFERROR(__xludf.DUMMYFUNCTION("GOOGLETRANSLATE(D98, ""en"", ""zh"")"),"A) 调整护罩并跟随")</f>
        <v>A) 调整护罩并跟随</v>
      </c>
      <c r="K98" s="4" t="str">
        <f>IFERROR(__xludf.DUMMYFUNCTION("GOOGLETRANSLATE(E98, ""en"", ""zh"")"),"#VALUE!")</f>
        <v>#VALUE!</v>
      </c>
      <c r="L98" s="21"/>
      <c r="M98" s="21"/>
      <c r="N98" s="21"/>
      <c r="O98" s="21"/>
      <c r="P98" s="21"/>
      <c r="Q98" s="19"/>
      <c r="R98" s="19"/>
      <c r="S98" s="19"/>
      <c r="T98" s="19"/>
      <c r="U98" s="19"/>
      <c r="V98" s="19"/>
      <c r="W98" s="19"/>
      <c r="X98" s="19"/>
      <c r="Y98" s="19"/>
      <c r="Z98" s="19"/>
    </row>
    <row r="99">
      <c r="A99" s="37">
        <v>98.0</v>
      </c>
      <c r="B99" s="12" t="s">
        <v>2522</v>
      </c>
      <c r="C99" s="12" t="s">
        <v>2523</v>
      </c>
      <c r="D99" s="12" t="s">
        <v>2468</v>
      </c>
      <c r="E99" s="27"/>
      <c r="F99" s="21"/>
      <c r="G99" s="21"/>
      <c r="H99" s="4" t="str">
        <f>IFERROR(__xludf.DUMMYFUNCTION("GOOGLETRANSLATE(B99, ""en"", ""zh"")"),"太极剑术中，对手动作过猛。如何应对？")</f>
        <v>太极剑术中，对手动作过猛。如何应对？</v>
      </c>
      <c r="I99" s="4" t="str">
        <f>IFERROR(__xludf.DUMMYFUNCTION("GOOGLETRANSLATE(C99, ""en"", ""zh"")"),"A) 转移力量 B) 忽略 C) 前进 D) 暂停")</f>
        <v>A) 转移力量 B) 忽略 C) 前进 D) 暂停</v>
      </c>
      <c r="J99" s="4" t="str">
        <f>IFERROR(__xludf.DUMMYFUNCTION("GOOGLETRANSLATE(D99, ""en"", ""zh"")"),"A) 重定向力")</f>
        <v>A) 重定向力</v>
      </c>
      <c r="K99" s="4" t="str">
        <f>IFERROR(__xludf.DUMMYFUNCTION("GOOGLETRANSLATE(E99, ""en"", ""zh"")"),"#VALUE!")</f>
        <v>#VALUE!</v>
      </c>
      <c r="L99" s="21"/>
      <c r="M99" s="21"/>
      <c r="N99" s="21"/>
      <c r="O99" s="21"/>
      <c r="P99" s="21"/>
      <c r="Q99" s="19"/>
      <c r="R99" s="19"/>
      <c r="S99" s="19"/>
      <c r="T99" s="19"/>
      <c r="U99" s="19"/>
      <c r="V99" s="19"/>
      <c r="W99" s="19"/>
      <c r="X99" s="19"/>
      <c r="Y99" s="19"/>
      <c r="Z99" s="19"/>
    </row>
    <row r="100">
      <c r="A100" s="37">
        <v>99.0</v>
      </c>
      <c r="B100" s="12" t="s">
        <v>2524</v>
      </c>
      <c r="C100" s="12" t="s">
        <v>2525</v>
      </c>
      <c r="D100" s="12" t="s">
        <v>2526</v>
      </c>
      <c r="E100" s="27"/>
      <c r="F100" s="21"/>
      <c r="G100" s="21"/>
      <c r="H100" s="4" t="str">
        <f>IFERROR(__xludf.DUMMYFUNCTION("GOOGLETRANSLATE(B100, ""en"", ""zh"")"),"练习过程中，你的动作太快了。如何纠正？")</f>
        <v>练习过程中，你的动作太快了。如何纠正？</v>
      </c>
      <c r="I100" s="4" t="str">
        <f>IFERROR(__xludf.DUMMYFUNCTION("GOOGLETRANSLATE(C100, ""en"", ""zh"")"),"A) 放慢速度并保持姿势 B) 忽略 C) 后退 D) 加大力度")</f>
        <v>A) 放慢速度并保持姿势 B) 忽略 C) 后退 D) 加大力度</v>
      </c>
      <c r="J100" s="4" t="str">
        <f>IFERROR(__xludf.DUMMYFUNCTION("GOOGLETRANSLATE(D100, ""en"", ""zh"")"),"A) 放慢速度并保持姿势")</f>
        <v>A) 放慢速度并保持姿势</v>
      </c>
      <c r="K100" s="4" t="str">
        <f>IFERROR(__xludf.DUMMYFUNCTION("GOOGLETRANSLATE(E100, ""en"", ""zh"")"),"#VALUE!")</f>
        <v>#VALUE!</v>
      </c>
      <c r="L100" s="21"/>
      <c r="M100" s="21"/>
      <c r="N100" s="21"/>
      <c r="O100" s="21"/>
      <c r="P100" s="21"/>
      <c r="Q100" s="19"/>
      <c r="R100" s="19"/>
      <c r="S100" s="19"/>
      <c r="T100" s="19"/>
      <c r="U100" s="19"/>
      <c r="V100" s="19"/>
      <c r="W100" s="19"/>
      <c r="X100" s="19"/>
      <c r="Y100" s="19"/>
      <c r="Z100" s="19"/>
    </row>
    <row r="101">
      <c r="A101" s="37">
        <v>100.0</v>
      </c>
      <c r="B101" s="12" t="s">
        <v>2527</v>
      </c>
      <c r="C101" s="12" t="s">
        <v>2459</v>
      </c>
      <c r="D101" s="12" t="s">
        <v>2460</v>
      </c>
      <c r="E101" s="27"/>
      <c r="F101" s="21"/>
      <c r="G101" s="21"/>
      <c r="H101" s="4" t="str">
        <f>IFERROR(__xludf.DUMMYFUNCTION("GOOGLETRANSLATE(B101, ""en"", ""zh"")"),"伴侣的行动难以预测，如何保持流畅的交流？")</f>
        <v>伴侣的行动难以预测，如何保持流畅的交流？</v>
      </c>
      <c r="I101" s="4" t="str">
        <f>IFERROR(__xludf.DUMMYFUNCTION("GOOGLETRANSLATE(C101, ""en"", ""zh"")"),"A) 保持放松并适应 B) 忽略 C) 向前迈进 D) 更加努力")</f>
        <v>A) 保持放松并适应 B) 忽略 C) 向前迈进 D) 更加努力</v>
      </c>
      <c r="J101" s="4" t="str">
        <f>IFERROR(__xludf.DUMMYFUNCTION("GOOGLETRANSLATE(D101, ""en"", ""zh"")"),"A) 保持放松并适应")</f>
        <v>A) 保持放松并适应</v>
      </c>
      <c r="K101" s="4" t="str">
        <f>IFERROR(__xludf.DUMMYFUNCTION("GOOGLETRANSLATE(E101, ""en"", ""zh"")"),"#VALUE!")</f>
        <v>#VALUE!</v>
      </c>
      <c r="L101" s="21"/>
      <c r="M101" s="21"/>
      <c r="N101" s="21"/>
      <c r="O101" s="21"/>
      <c r="P101" s="21"/>
      <c r="Q101" s="19"/>
      <c r="R101" s="19"/>
      <c r="S101" s="19"/>
      <c r="T101" s="19"/>
      <c r="U101" s="19"/>
      <c r="V101" s="19"/>
      <c r="W101" s="19"/>
      <c r="X101" s="19"/>
      <c r="Y101" s="19"/>
      <c r="Z101" s="19"/>
    </row>
    <row r="102">
      <c r="A102" s="37">
        <v>101.0</v>
      </c>
      <c r="B102" s="12" t="s">
        <v>2528</v>
      </c>
      <c r="C102" s="12" t="s">
        <v>2529</v>
      </c>
      <c r="D102" s="12" t="s">
        <v>1569</v>
      </c>
      <c r="E102" s="27"/>
      <c r="F102" s="21"/>
      <c r="G102" s="21"/>
      <c r="H102" s="4" t="str">
        <f>IFERROR(__xludf.DUMMYFUNCTION("GOOGLETRANSLATE(B102, ""en"", ""zh"")"),"练习过程中，你稍微踉跄了一下。你会如何应对？")</f>
        <v>练习过程中，你稍微踉跄了一下。你会如何应对？</v>
      </c>
      <c r="I102" s="4" t="str">
        <f>IFERROR(__xludf.DUMMYFUNCTION("GOOGLETRANSLATE(C102, ""en"", ""zh"")"),"A) 恢复平衡 B) 忽略 C) 后退 D) 暂停")</f>
        <v>A) 恢复平衡 B) 忽略 C) 后退 D) 暂停</v>
      </c>
      <c r="J102" s="4" t="str">
        <f>IFERROR(__xludf.DUMMYFUNCTION("GOOGLETRANSLATE(D102, ""en"", ""zh"")"),"A) 恢复平衡")</f>
        <v>A) 恢复平衡</v>
      </c>
      <c r="K102" s="4" t="str">
        <f>IFERROR(__xludf.DUMMYFUNCTION("GOOGLETRANSLATE(E102, ""en"", ""zh"")"),"#VALUE!")</f>
        <v>#VALUE!</v>
      </c>
      <c r="L102" s="21"/>
      <c r="M102" s="21"/>
      <c r="N102" s="21"/>
      <c r="O102" s="21"/>
      <c r="P102" s="21"/>
      <c r="Q102" s="19"/>
      <c r="R102" s="19"/>
      <c r="S102" s="19"/>
      <c r="T102" s="19"/>
      <c r="U102" s="19"/>
      <c r="V102" s="19"/>
      <c r="W102" s="19"/>
      <c r="X102" s="19"/>
      <c r="Y102" s="19"/>
      <c r="Z102" s="19"/>
    </row>
    <row r="103">
      <c r="A103" s="37">
        <v>102.0</v>
      </c>
      <c r="B103" s="12" t="s">
        <v>2530</v>
      </c>
      <c r="C103" s="12" t="s">
        <v>2531</v>
      </c>
      <c r="D103" s="12" t="s">
        <v>2532</v>
      </c>
      <c r="E103" s="27"/>
      <c r="F103" s="21"/>
      <c r="G103" s="21"/>
      <c r="H103" s="4" t="str">
        <f>IFERROR(__xludf.DUMMYFUNCTION("GOOGLETRANSLATE(B103, ""en"", ""zh"")"),"伴侣施加圆周压力。你会如何应对？")</f>
        <v>伴侣施加圆周压力。你会如何应对？</v>
      </c>
      <c r="I103" s="4" t="str">
        <f>IFERROR(__xludf.DUMMYFUNCTION("GOOGLETRANSLATE(C103, ""en"", ""zh"")"),"A) 沿圆圈重新引导 B) 忽略 C) 向前走 D) 抵抗")</f>
        <v>A) 沿圆圈重新引导 B) 忽略 C) 向前走 D) 抵抗</v>
      </c>
      <c r="J103" s="4" t="str">
        <f>IFERROR(__xludf.DUMMYFUNCTION("GOOGLETRANSLATE(D103, ""en"", ""zh"")"),"A) 沿圆圈重新定向")</f>
        <v>A) 沿圆圈重新定向</v>
      </c>
      <c r="K103" s="4" t="str">
        <f>IFERROR(__xludf.DUMMYFUNCTION("GOOGLETRANSLATE(E103, ""en"", ""zh"")"),"#VALUE!")</f>
        <v>#VALUE!</v>
      </c>
      <c r="L103" s="21"/>
      <c r="M103" s="21"/>
      <c r="N103" s="21"/>
      <c r="O103" s="21"/>
      <c r="P103" s="21"/>
      <c r="Q103" s="19"/>
      <c r="R103" s="19"/>
      <c r="S103" s="19"/>
      <c r="T103" s="19"/>
      <c r="U103" s="19"/>
      <c r="V103" s="19"/>
      <c r="W103" s="19"/>
      <c r="X103" s="19"/>
      <c r="Y103" s="19"/>
      <c r="Z103" s="19"/>
    </row>
    <row r="104">
      <c r="A104" s="37">
        <v>103.0</v>
      </c>
      <c r="B104" s="12" t="s">
        <v>2533</v>
      </c>
      <c r="C104" s="12" t="s">
        <v>2534</v>
      </c>
      <c r="D104" s="12" t="s">
        <v>2535</v>
      </c>
      <c r="E104" s="27"/>
      <c r="F104" s="21"/>
      <c r="G104" s="21"/>
      <c r="H104" s="4" t="str">
        <f>IFERROR(__xludf.DUMMYFUNCTION("GOOGLETRANSLATE(B104, ""en"", ""zh"")"),"练习过程中，你突然走神了。最佳解决方法是什么？")</f>
        <v>练习过程中，你突然走神了。最佳解决方法是什么？</v>
      </c>
      <c r="I104" s="4" t="str">
        <f>IFERROR(__xludf.DUMMYFUNCTION("GOOGLETRANSLATE(C104, ""en"", ""zh"")"),"A) 重新集中注意力并继续 B) 忽略 C) 后退一步 D) 暂停")</f>
        <v>A) 重新集中注意力并继续 B) 忽略 C) 后退一步 D) 暂停</v>
      </c>
      <c r="J104" s="4" t="str">
        <f>IFERROR(__xludf.DUMMYFUNCTION("GOOGLETRANSLATE(D104, ""en"", ""zh"")"),"A) 重新集中注意力并继续")</f>
        <v>A) 重新集中注意力并继续</v>
      </c>
      <c r="K104" s="4" t="str">
        <f>IFERROR(__xludf.DUMMYFUNCTION("GOOGLETRANSLATE(E104, ""en"", ""zh"")"),"#VALUE!")</f>
        <v>#VALUE!</v>
      </c>
      <c r="L104" s="21"/>
      <c r="M104" s="21"/>
      <c r="N104" s="21"/>
      <c r="O104" s="21"/>
      <c r="P104" s="21"/>
      <c r="Q104" s="19"/>
      <c r="R104" s="19"/>
      <c r="S104" s="19"/>
      <c r="T104" s="19"/>
      <c r="U104" s="19"/>
      <c r="V104" s="19"/>
      <c r="W104" s="19"/>
      <c r="X104" s="19"/>
      <c r="Y104" s="19"/>
      <c r="Z104" s="19"/>
    </row>
    <row r="105">
      <c r="A105" s="37">
        <v>104.0</v>
      </c>
      <c r="B105" s="12" t="s">
        <v>2536</v>
      </c>
      <c r="C105" s="12" t="s">
        <v>2537</v>
      </c>
      <c r="D105" s="12" t="s">
        <v>2538</v>
      </c>
      <c r="E105" s="27"/>
      <c r="F105" s="21"/>
      <c r="G105" s="21"/>
      <c r="H105" s="4" t="str">
        <f>IFERROR(__xludf.DUMMYFUNCTION("GOOGLETRANSLATE(B105, ""en"", ""zh"")"),"舞伴突然虚晃并做出意想不到的动作，你应该如何应对？")</f>
        <v>舞伴突然虚晃并做出意想不到的动作，你应该如何应对？</v>
      </c>
      <c r="I105" s="4" t="str">
        <f>IFERROR(__xludf.DUMMYFUNCTION("GOOGLETRANSLATE(C105, ""en"", ""zh"")"),"A) 保持警惕并适应 B) 无视 C) 向前迈步 D) 反击")</f>
        <v>A) 保持警惕并适应 B) 无视 C) 向前迈步 D) 反击</v>
      </c>
      <c r="J105" s="4" t="str">
        <f>IFERROR(__xludf.DUMMYFUNCTION("GOOGLETRANSLATE(D105, ""en"", ""zh"")"),"A) 保持警惕并适应变化")</f>
        <v>A) 保持警惕并适应变化</v>
      </c>
      <c r="K105" s="4" t="str">
        <f>IFERROR(__xludf.DUMMYFUNCTION("GOOGLETRANSLATE(E105, ""en"", ""zh"")"),"#VALUE!")</f>
        <v>#VALUE!</v>
      </c>
      <c r="L105" s="21"/>
      <c r="M105" s="21"/>
      <c r="N105" s="21"/>
      <c r="O105" s="21"/>
      <c r="P105" s="21"/>
      <c r="Q105" s="19"/>
      <c r="R105" s="19"/>
      <c r="S105" s="19"/>
      <c r="T105" s="19"/>
      <c r="U105" s="19"/>
      <c r="V105" s="19"/>
      <c r="W105" s="19"/>
      <c r="X105" s="19"/>
      <c r="Y105" s="19"/>
      <c r="Z105" s="19"/>
    </row>
    <row r="106">
      <c r="A106" s="37">
        <v>105.0</v>
      </c>
      <c r="B106" s="12" t="s">
        <v>2539</v>
      </c>
      <c r="C106" s="12" t="s">
        <v>2540</v>
      </c>
      <c r="D106" s="12" t="s">
        <v>2541</v>
      </c>
      <c r="E106" s="27"/>
      <c r="F106" s="21"/>
      <c r="G106" s="21"/>
      <c r="H106" s="4" t="str">
        <f>IFERROR(__xludf.DUMMYFUNCTION("GOOGLETRANSLATE(B106, ""en"", ""zh"")"),"练习过程中，你的手腕姿势不对。该如何纠正？")</f>
        <v>练习过程中，你的手腕姿势不对。该如何纠正？</v>
      </c>
      <c r="I106" s="4" t="str">
        <f>IFERROR(__xludf.DUMMYFUNCTION("GOOGLETRANSLATE(C106, ""en"", ""zh"")"),"A) 调整并继续 B) 忽略 C) 后退 D) 暂停")</f>
        <v>A) 调整并继续 B) 忽略 C) 后退 D) 暂停</v>
      </c>
      <c r="J106" s="4" t="str">
        <f>IFERROR(__xludf.DUMMYFUNCTION("GOOGLETRANSLATE(D106, ""en"", ""zh"")"),"A) 调整并继续")</f>
        <v>A) 调整并继续</v>
      </c>
      <c r="K106" s="4" t="str">
        <f>IFERROR(__xludf.DUMMYFUNCTION("GOOGLETRANSLATE(E106, ""en"", ""zh"")"),"#VALUE!")</f>
        <v>#VALUE!</v>
      </c>
      <c r="L106" s="21"/>
      <c r="M106" s="21"/>
      <c r="N106" s="21"/>
      <c r="O106" s="21"/>
      <c r="P106" s="21"/>
      <c r="Q106" s="19"/>
      <c r="R106" s="19"/>
      <c r="S106" s="19"/>
      <c r="T106" s="19"/>
      <c r="U106" s="19"/>
      <c r="V106" s="19"/>
      <c r="W106" s="19"/>
      <c r="X106" s="19"/>
      <c r="Y106" s="19"/>
      <c r="Z106" s="19"/>
    </row>
    <row r="107">
      <c r="A107" s="37">
        <v>106.0</v>
      </c>
      <c r="B107" s="12" t="s">
        <v>2542</v>
      </c>
      <c r="C107" s="12" t="s">
        <v>2493</v>
      </c>
      <c r="D107" s="12" t="s">
        <v>2377</v>
      </c>
      <c r="E107" s="27"/>
      <c r="F107" s="21"/>
      <c r="G107" s="21"/>
      <c r="H107" s="4" t="str">
        <f>IFERROR(__xludf.DUMMYFUNCTION("GOOGLETRANSLATE(B107, ""en"", ""zh"")"),"太极剑术中，对手突然施压，你该如何应对？")</f>
        <v>太极剑术中，对手突然施压，你该如何应对？</v>
      </c>
      <c r="I107" s="4" t="str">
        <f>IFERROR(__xludf.DUMMYFUNCTION("GOOGLETRANSLATE(C107, ""en"", ""zh"")"),"A) 让步并改变方向 B) 无视 C) 前进 D) 抵抗")</f>
        <v>A) 让步并改变方向 B) 无视 C) 前进 D) 抵抗</v>
      </c>
      <c r="J107" s="4" t="str">
        <f>IFERROR(__xludf.DUMMYFUNCTION("GOOGLETRANSLATE(D107, ""en"", ""zh"")"),"A) 让路并重新定向")</f>
        <v>A) 让路并重新定向</v>
      </c>
      <c r="K107" s="4" t="str">
        <f>IFERROR(__xludf.DUMMYFUNCTION("GOOGLETRANSLATE(E107, ""en"", ""zh"")"),"#VALUE!")</f>
        <v>#VALUE!</v>
      </c>
      <c r="L107" s="21"/>
      <c r="M107" s="21"/>
      <c r="N107" s="21"/>
      <c r="O107" s="21"/>
      <c r="P107" s="21"/>
      <c r="Q107" s="19"/>
      <c r="R107" s="19"/>
      <c r="S107" s="19"/>
      <c r="T107" s="19"/>
      <c r="U107" s="19"/>
      <c r="V107" s="19"/>
      <c r="W107" s="19"/>
      <c r="X107" s="19"/>
      <c r="Y107" s="19"/>
      <c r="Z107" s="19"/>
    </row>
    <row r="108">
      <c r="A108" s="37">
        <v>107.0</v>
      </c>
      <c r="B108" s="12" t="s">
        <v>2543</v>
      </c>
      <c r="C108" s="12" t="s">
        <v>2493</v>
      </c>
      <c r="D108" s="12" t="s">
        <v>2377</v>
      </c>
      <c r="E108" s="27"/>
      <c r="F108" s="21"/>
      <c r="G108" s="21"/>
      <c r="H108" s="4" t="str">
        <f>IFERROR(__xludf.DUMMYFUNCTION("GOOGLETRANSLATE(B108, ""en"", ""zh"")"),"搭档突然加大了向前施压的力度。你会如何应对？")</f>
        <v>搭档突然加大了向前施压的力度。你会如何应对？</v>
      </c>
      <c r="I108" s="4" t="str">
        <f>IFERROR(__xludf.DUMMYFUNCTION("GOOGLETRANSLATE(C108, ""en"", ""zh"")"),"A) 让步并改变方向 B) 无视 C) 前进 D) 抵抗")</f>
        <v>A) 让步并改变方向 B) 无视 C) 前进 D) 抵抗</v>
      </c>
      <c r="J108" s="4" t="str">
        <f>IFERROR(__xludf.DUMMYFUNCTION("GOOGLETRANSLATE(D108, ""en"", ""zh"")"),"A) 让路并重新定向")</f>
        <v>A) 让路并重新定向</v>
      </c>
      <c r="K108" s="4" t="str">
        <f>IFERROR(__xludf.DUMMYFUNCTION("GOOGLETRANSLATE(E108, ""en"", ""zh"")"),"#VALUE!")</f>
        <v>#VALUE!</v>
      </c>
      <c r="L108" s="21"/>
      <c r="M108" s="21"/>
      <c r="N108" s="21"/>
      <c r="O108" s="21"/>
      <c r="P108" s="21"/>
      <c r="Q108" s="19"/>
      <c r="R108" s="19"/>
      <c r="S108" s="19"/>
      <c r="T108" s="19"/>
      <c r="U108" s="19"/>
      <c r="V108" s="19"/>
      <c r="W108" s="19"/>
      <c r="X108" s="19"/>
      <c r="Y108" s="19"/>
      <c r="Z108" s="19"/>
    </row>
    <row r="109">
      <c r="A109" s="37">
        <v>108.0</v>
      </c>
      <c r="B109" s="12" t="s">
        <v>2544</v>
      </c>
      <c r="C109" s="12" t="s">
        <v>2451</v>
      </c>
      <c r="D109" s="12" t="s">
        <v>2452</v>
      </c>
      <c r="E109" s="27"/>
      <c r="F109" s="21"/>
      <c r="G109" s="21"/>
      <c r="H109" s="4" t="str">
        <f>IFERROR(__xludf.DUMMYFUNCTION("GOOGLETRANSLATE(B109, ""en"", ""zh"")"),"练习过程中，你的转体失去平衡。你应该怎么做？")</f>
        <v>练习过程中，你的转体失去平衡。你应该怎么做？</v>
      </c>
      <c r="I109" s="4" t="str">
        <f>IFERROR(__xludf.DUMMYFUNCTION("GOOGLETRANSLATE(C109, ""en"", ""zh"")"),"A) 降低中心位置并继续 B) 忽略 C) 后退 D) 暂停")</f>
        <v>A) 降低中心位置并继续 B) 忽略 C) 后退 D) 暂停</v>
      </c>
      <c r="J109" s="4" t="str">
        <f>IFERROR(__xludf.DUMMYFUNCTION("GOOGLETRANSLATE(D109, ""en"", ""zh"")"),"A) 降低中心并继续")</f>
        <v>A) 降低中心并继续</v>
      </c>
      <c r="K109" s="4" t="str">
        <f>IFERROR(__xludf.DUMMYFUNCTION("GOOGLETRANSLATE(E109, ""en"", ""zh"")"),"#VALUE!")</f>
        <v>#VALUE!</v>
      </c>
      <c r="L109" s="21"/>
      <c r="M109" s="21"/>
      <c r="N109" s="21"/>
      <c r="O109" s="21"/>
      <c r="P109" s="21"/>
      <c r="Q109" s="19"/>
      <c r="R109" s="19"/>
      <c r="S109" s="19"/>
      <c r="T109" s="19"/>
      <c r="U109" s="19"/>
      <c r="V109" s="19"/>
      <c r="W109" s="19"/>
      <c r="X109" s="19"/>
      <c r="Y109" s="19"/>
      <c r="Z109" s="19"/>
    </row>
    <row r="110">
      <c r="A110" s="37">
        <v>109.0</v>
      </c>
      <c r="B110" s="12" t="s">
        <v>2545</v>
      </c>
      <c r="C110" s="12" t="s">
        <v>2546</v>
      </c>
      <c r="D110" s="12" t="s">
        <v>2468</v>
      </c>
      <c r="E110" s="27"/>
      <c r="F110" s="21"/>
      <c r="G110" s="21"/>
      <c r="H110" s="4" t="str">
        <f>IFERROR(__xludf.DUMMYFUNCTION("GOOGLETRANSLATE(B110, ""en"", ""zh"")"),"对手突然施加向下的压力。应对方法？")</f>
        <v>对手突然施加向下的压力。应对方法？</v>
      </c>
      <c r="I110" s="4" t="str">
        <f>IFERROR(__xludf.DUMMYFUNCTION("GOOGLETRANSLATE(C110, ""en"", ""zh"")"),"A) 改变方向 B) 无视 C) 向前迈一步 D) 抵抗")</f>
        <v>A) 改变方向 B) 无视 C) 向前迈一步 D) 抵抗</v>
      </c>
      <c r="J110" s="4" t="str">
        <f>IFERROR(__xludf.DUMMYFUNCTION("GOOGLETRANSLATE(D110, ""en"", ""zh"")"),"A) 重定向力")</f>
        <v>A) 重定向力</v>
      </c>
      <c r="K110" s="4" t="str">
        <f>IFERROR(__xludf.DUMMYFUNCTION("GOOGLETRANSLATE(E110, ""en"", ""zh"")"),"#VALUE!")</f>
        <v>#VALUE!</v>
      </c>
      <c r="L110" s="21"/>
      <c r="M110" s="21"/>
      <c r="N110" s="21"/>
      <c r="O110" s="21"/>
      <c r="P110" s="21"/>
      <c r="Q110" s="19"/>
      <c r="R110" s="19"/>
      <c r="S110" s="19"/>
      <c r="T110" s="19"/>
      <c r="U110" s="19"/>
      <c r="V110" s="19"/>
      <c r="W110" s="19"/>
      <c r="X110" s="19"/>
      <c r="Y110" s="19"/>
      <c r="Z110" s="19"/>
    </row>
    <row r="111">
      <c r="A111" s="37">
        <v>110.0</v>
      </c>
      <c r="B111" s="12" t="s">
        <v>2547</v>
      </c>
      <c r="C111" s="12" t="s">
        <v>2548</v>
      </c>
      <c r="D111" s="12" t="s">
        <v>2549</v>
      </c>
      <c r="E111" s="27"/>
      <c r="F111" s="21"/>
      <c r="G111" s="21"/>
      <c r="H111" s="4" t="str">
        <f>IFERROR(__xludf.DUMMYFUNCTION("GOOGLETRANSLATE(B111, ""en"", ""zh"")"),"你的手臂在动作中姿势不正确，该如何纠正？")</f>
        <v>你的手臂在动作中姿势不正确，该如何纠正？</v>
      </c>
      <c r="I111" s="4" t="str">
        <f>IFERROR(__xludf.DUMMYFUNCTION("GOOGLETRANSLATE(C111, ""en"", ""zh"")"),"A) 调整肩膀和手臂 B) 忽略 C) 后退 D) 暂停")</f>
        <v>A) 调整肩膀和手臂 B) 忽略 C) 后退 D) 暂停</v>
      </c>
      <c r="J111" s="4" t="str">
        <f>IFERROR(__xludf.DUMMYFUNCTION("GOOGLETRANSLATE(D111, ""en"", ""zh"")"),"A) 调整肩膀和手臂")</f>
        <v>A) 调整肩膀和手臂</v>
      </c>
      <c r="K111" s="4" t="str">
        <f>IFERROR(__xludf.DUMMYFUNCTION("GOOGLETRANSLATE(E111, ""en"", ""zh"")"),"#VALUE!")</f>
        <v>#VALUE!</v>
      </c>
      <c r="L111" s="21"/>
      <c r="M111" s="21"/>
      <c r="N111" s="21"/>
      <c r="O111" s="21"/>
      <c r="P111" s="21"/>
      <c r="Q111" s="19"/>
      <c r="R111" s="19"/>
      <c r="S111" s="19"/>
      <c r="T111" s="19"/>
      <c r="U111" s="19"/>
      <c r="V111" s="19"/>
      <c r="W111" s="19"/>
      <c r="X111" s="19"/>
      <c r="Y111" s="19"/>
      <c r="Z111" s="19"/>
    </row>
    <row r="112">
      <c r="A112" s="37">
        <v>111.0</v>
      </c>
      <c r="B112" s="12" t="s">
        <v>2550</v>
      </c>
      <c r="C112" s="12" t="s">
        <v>2551</v>
      </c>
      <c r="D112" s="12" t="s">
        <v>2552</v>
      </c>
      <c r="E112" s="27"/>
      <c r="F112" s="21"/>
      <c r="G112" s="21"/>
      <c r="H112" s="4" t="str">
        <f>IFERROR(__xludf.DUMMYFUNCTION("GOOGLETRANSLATE(B112, ""en"", ""zh"")"),"练习过程中，你的重心分布出现了问题。该如何解决？")</f>
        <v>练习过程中，你的重心分布出现了问题。该如何解决？</v>
      </c>
      <c r="I112" s="4" t="str">
        <f>IFERROR(__xludf.DUMMYFUNCTION("GOOGLETRANSLATE(C112, ""en"", ""zh"")"),"A) 重新调整重心和站姿 B) 忽略 C) 向前迈一步 D) 用力推")</f>
        <v>A) 重新调整重心和站姿 B) 忽略 C) 向前迈一步 D) 用力推</v>
      </c>
      <c r="J112" s="4" t="str">
        <f>IFERROR(__xludf.DUMMYFUNCTION("GOOGLETRANSLATE(D112, ""en"", ""zh"")"),"A) 重新调整中心位置和站姿")</f>
        <v>A) 重新调整中心位置和站姿</v>
      </c>
      <c r="K112" s="4" t="str">
        <f>IFERROR(__xludf.DUMMYFUNCTION("GOOGLETRANSLATE(E112, ""en"", ""zh"")"),"#VALUE!")</f>
        <v>#VALUE!</v>
      </c>
      <c r="L112" s="21"/>
      <c r="M112" s="21"/>
      <c r="N112" s="21"/>
      <c r="O112" s="21"/>
      <c r="P112" s="21"/>
      <c r="Q112" s="19"/>
      <c r="R112" s="19"/>
      <c r="S112" s="19"/>
      <c r="T112" s="19"/>
      <c r="U112" s="19"/>
      <c r="V112" s="19"/>
      <c r="W112" s="19"/>
      <c r="X112" s="19"/>
      <c r="Y112" s="19"/>
      <c r="Z112" s="19"/>
    </row>
    <row r="113">
      <c r="A113" s="37">
        <v>112.0</v>
      </c>
      <c r="B113" s="12" t="s">
        <v>2553</v>
      </c>
      <c r="C113" s="12" t="s">
        <v>2520</v>
      </c>
      <c r="D113" s="12" t="s">
        <v>2521</v>
      </c>
      <c r="E113" s="27"/>
      <c r="F113" s="21"/>
      <c r="G113" s="21"/>
      <c r="H113" s="4" t="str">
        <f>IFERROR(__xludf.DUMMYFUNCTION("GOOGLETRANSLATE(B113, ""en"", ""zh"")"),"你的搭档先向左虚晃，再向右虚晃。你如何应对？")</f>
        <v>你的搭档先向左虚晃，再向右虚晃。你如何应对？</v>
      </c>
      <c r="I113" s="4" t="str">
        <f>IFERROR(__xludf.DUMMYFUNCTION("GOOGLETRANSLATE(C113, ""en"", ""zh"")"),"A) 调整防御姿势并跟随 B) 无视 C) 向前迈步 D) 攻击")</f>
        <v>A) 调整防御姿势并跟随 B) 无视 C) 向前迈步 D) 攻击</v>
      </c>
      <c r="J113" s="4" t="str">
        <f>IFERROR(__xludf.DUMMYFUNCTION("GOOGLETRANSLATE(D113, ""en"", ""zh"")"),"A) 调整护罩并跟随")</f>
        <v>A) 调整护罩并跟随</v>
      </c>
      <c r="K113" s="4" t="str">
        <f>IFERROR(__xludf.DUMMYFUNCTION("GOOGLETRANSLATE(E113, ""en"", ""zh"")"),"#VALUE!")</f>
        <v>#VALUE!</v>
      </c>
      <c r="L113" s="21"/>
      <c r="M113" s="21"/>
      <c r="N113" s="21"/>
      <c r="O113" s="21"/>
      <c r="P113" s="21"/>
      <c r="Q113" s="19"/>
      <c r="R113" s="19"/>
      <c r="S113" s="19"/>
      <c r="T113" s="19"/>
      <c r="U113" s="19"/>
      <c r="V113" s="19"/>
      <c r="W113" s="19"/>
      <c r="X113" s="19"/>
      <c r="Y113" s="19"/>
      <c r="Z113" s="19"/>
    </row>
    <row r="114">
      <c r="A114" s="37">
        <v>113.0</v>
      </c>
      <c r="B114" s="12" t="s">
        <v>2554</v>
      </c>
      <c r="C114" s="12" t="s">
        <v>2555</v>
      </c>
      <c r="D114" s="12" t="s">
        <v>2556</v>
      </c>
      <c r="E114" s="27"/>
      <c r="F114" s="21"/>
      <c r="G114" s="21"/>
      <c r="H114" s="4" t="str">
        <f>IFERROR(__xludf.DUMMYFUNCTION("GOOGLETRANSLATE(B114, ""en"", ""zh"")"),"推手出招时，对手过度伸展手臂。你应该如何应对？")</f>
        <v>推手出招时，对手过度伸展手臂。你应该如何应对？</v>
      </c>
      <c r="I114" s="4" t="str">
        <f>IFERROR(__xludf.DUMMYFUNCTION("GOOGLETRANSLATE(C114, ""en"", ""zh"")"),"A) 将能量沿路径重新定向 B) 忽略 C) 向前迈一步 D) 抵抗")</f>
        <v>A) 将能量沿路径重新定向 B) 忽略 C) 向前迈一步 D) 抵抗</v>
      </c>
      <c r="J114" s="4" t="str">
        <f>IFERROR(__xludf.DUMMYFUNCTION("GOOGLETRANSLATE(D114, ""en"", ""zh"")"),"A) 沿路径重新定向能量")</f>
        <v>A) 沿路径重新定向能量</v>
      </c>
      <c r="K114" s="4" t="str">
        <f>IFERROR(__xludf.DUMMYFUNCTION("GOOGLETRANSLATE(E114, ""en"", ""zh"")"),"#VALUE!")</f>
        <v>#VALUE!</v>
      </c>
      <c r="L114" s="21"/>
      <c r="M114" s="21"/>
      <c r="N114" s="21"/>
      <c r="O114" s="21"/>
      <c r="P114" s="21"/>
      <c r="Q114" s="19"/>
      <c r="R114" s="19"/>
      <c r="S114" s="19"/>
      <c r="T114" s="19"/>
      <c r="U114" s="19"/>
      <c r="V114" s="19"/>
      <c r="W114" s="19"/>
      <c r="X114" s="19"/>
      <c r="Y114" s="19"/>
      <c r="Z114" s="19"/>
    </row>
    <row r="115">
      <c r="A115" s="37">
        <v>114.0</v>
      </c>
      <c r="B115" s="12" t="s">
        <v>2557</v>
      </c>
      <c r="C115" s="12" t="s">
        <v>2558</v>
      </c>
      <c r="D115" s="12" t="s">
        <v>2559</v>
      </c>
      <c r="E115" s="27"/>
      <c r="F115" s="21"/>
      <c r="G115" s="21"/>
      <c r="H115" s="4" t="str">
        <f>IFERROR(__xludf.DUMMYFUNCTION("GOOGLETRANSLATE(B115, ""en"", ""zh"")"),"你的腿部站姿太僵硬了，该如何纠正？")</f>
        <v>你的腿部站姿太僵硬了，该如何纠正？</v>
      </c>
      <c r="I115" s="4" t="str">
        <f>IFERROR(__xludf.DUMMYFUNCTION("GOOGLETRANSLATE(C115, ""en"", ""zh"")"),"A) 放松并继续 B) 忽略 C) 后退 D) 加大力度")</f>
        <v>A) 放松并继续 B) 忽略 C) 后退 D) 加大力度</v>
      </c>
      <c r="J115" s="4" t="str">
        <f>IFERROR(__xludf.DUMMYFUNCTION("GOOGLETRANSLATE(D115, ""en"", ""zh"")"),"A) 放松并继续")</f>
        <v>A) 放松并继续</v>
      </c>
      <c r="K115" s="4" t="str">
        <f>IFERROR(__xludf.DUMMYFUNCTION("GOOGLETRANSLATE(E115, ""en"", ""zh"")"),"#VALUE!")</f>
        <v>#VALUE!</v>
      </c>
      <c r="L115" s="21"/>
      <c r="M115" s="21"/>
      <c r="N115" s="21"/>
      <c r="O115" s="21"/>
      <c r="P115" s="21"/>
      <c r="Q115" s="19"/>
      <c r="R115" s="19"/>
      <c r="S115" s="19"/>
      <c r="T115" s="19"/>
      <c r="U115" s="19"/>
      <c r="V115" s="19"/>
      <c r="W115" s="19"/>
      <c r="X115" s="19"/>
      <c r="Y115" s="19"/>
      <c r="Z115" s="19"/>
    </row>
    <row r="116">
      <c r="A116" s="37">
        <v>115.0</v>
      </c>
      <c r="B116" s="12" t="s">
        <v>2560</v>
      </c>
      <c r="C116" s="12" t="s">
        <v>2459</v>
      </c>
      <c r="D116" s="12" t="s">
        <v>2460</v>
      </c>
      <c r="E116" s="27"/>
      <c r="F116" s="21"/>
      <c r="G116" s="21"/>
      <c r="H116" s="4" t="str">
        <f>IFERROR(__xludf.DUMMYFUNCTION("GOOGLETRANSLATE(B116, ""en"", ""zh"")"),"训练过程中，对手突然做出不可预测的移动。你如何保持训练节奏？")</f>
        <v>训练过程中，对手突然做出不可预测的移动。你如何保持训练节奏？</v>
      </c>
      <c r="I116" s="4" t="str">
        <f>IFERROR(__xludf.DUMMYFUNCTION("GOOGLETRANSLATE(C116, ""en"", ""zh"")"),"A) 保持放松并适应 B) 忽略 C) 向前迈进 D) 更加努力")</f>
        <v>A) 保持放松并适应 B) 忽略 C) 向前迈进 D) 更加努力</v>
      </c>
      <c r="J116" s="4" t="str">
        <f>IFERROR(__xludf.DUMMYFUNCTION("GOOGLETRANSLATE(D116, ""en"", ""zh"")"),"A) 保持放松并适应")</f>
        <v>A) 保持放松并适应</v>
      </c>
      <c r="K116" s="4" t="str">
        <f>IFERROR(__xludf.DUMMYFUNCTION("GOOGLETRANSLATE(E116, ""en"", ""zh"")"),"#VALUE!")</f>
        <v>#VALUE!</v>
      </c>
      <c r="L116" s="21"/>
      <c r="M116" s="21"/>
      <c r="N116" s="21"/>
      <c r="O116" s="21"/>
      <c r="P116" s="21"/>
      <c r="Q116" s="19"/>
      <c r="R116" s="19"/>
      <c r="S116" s="19"/>
      <c r="T116" s="19"/>
      <c r="U116" s="19"/>
      <c r="V116" s="19"/>
      <c r="W116" s="19"/>
      <c r="X116" s="19"/>
      <c r="Y116" s="19"/>
      <c r="Z116" s="19"/>
    </row>
    <row r="117">
      <c r="A117" s="37">
        <v>116.0</v>
      </c>
      <c r="B117" s="12" t="s">
        <v>2561</v>
      </c>
      <c r="C117" s="12" t="s">
        <v>2391</v>
      </c>
      <c r="D117" s="12" t="s">
        <v>2392</v>
      </c>
      <c r="E117" s="27"/>
      <c r="F117" s="21"/>
      <c r="G117" s="21"/>
      <c r="H117" s="4" t="str">
        <f>IFERROR(__xludf.DUMMYFUNCTION("GOOGLETRANSLATE(B117, ""en"", ""zh"")"),"剑术练习中，你的挥剑轨迹偏离了目标。对此有何回应？")</f>
        <v>剑术练习中，你的挥剑轨迹偏离了目标。对此有何回应？</v>
      </c>
      <c r="I117" s="4" t="str">
        <f>IFERROR(__xludf.DUMMYFUNCTION("GOOGLETRANSLATE(C117, ""en"", ""zh"")"),"A) 调整角度并继续 B) 忽略 C) 后退 D) 暂停")</f>
        <v>A) 调整角度并继续 B) 忽略 C) 后退 D) 暂停</v>
      </c>
      <c r="J117" s="4" t="str">
        <f>IFERROR(__xludf.DUMMYFUNCTION("GOOGLETRANSLATE(D117, ""en"", ""zh"")"),"A) 调整角度并继续")</f>
        <v>A) 调整角度并继续</v>
      </c>
      <c r="K117" s="4" t="str">
        <f>IFERROR(__xludf.DUMMYFUNCTION("GOOGLETRANSLATE(E117, ""en"", ""zh"")"),"#VALUE!")</f>
        <v>#VALUE!</v>
      </c>
      <c r="L117" s="21"/>
      <c r="M117" s="21"/>
      <c r="N117" s="21"/>
      <c r="O117" s="21"/>
      <c r="P117" s="21"/>
      <c r="Q117" s="19"/>
      <c r="R117" s="19"/>
      <c r="S117" s="19"/>
      <c r="T117" s="19"/>
      <c r="U117" s="19"/>
      <c r="V117" s="19"/>
      <c r="W117" s="19"/>
      <c r="X117" s="19"/>
      <c r="Y117" s="19"/>
      <c r="Z117" s="19"/>
    </row>
    <row r="118">
      <c r="A118" s="37">
        <v>117.0</v>
      </c>
      <c r="B118" s="12" t="s">
        <v>2562</v>
      </c>
      <c r="C118" s="12" t="s">
        <v>2563</v>
      </c>
      <c r="D118" s="12" t="s">
        <v>2564</v>
      </c>
      <c r="E118" s="27"/>
      <c r="F118" s="21"/>
      <c r="G118" s="21"/>
      <c r="H118" s="4" t="str">
        <f>IFERROR(__xludf.DUMMYFUNCTION("GOOGLETRANSLATE(B118, ""en"", ""zh"")"),"伴侣施加侧向压力。你应该如何应对？")</f>
        <v>伴侣施加侧向压力。你应该如何应对？</v>
      </c>
      <c r="I118" s="4" t="str">
        <f>IFERROR(__xludf.DUMMYFUNCTION("GOOGLETRANSLATE(C118, ""en"", ""zh"")"),"A) 沿路径重定向 B) 忽略 C) 前进 D) 抵抗")</f>
        <v>A) 沿路径重定向 B) 忽略 C) 前进 D) 抵抗</v>
      </c>
      <c r="J118" s="4" t="str">
        <f>IFERROR(__xludf.DUMMYFUNCTION("GOOGLETRANSLATE(D118, ""en"", ""zh"")"),"A) 沿路径重定向")</f>
        <v>A) 沿路径重定向</v>
      </c>
      <c r="K118" s="4" t="str">
        <f>IFERROR(__xludf.DUMMYFUNCTION("GOOGLETRANSLATE(E118, ""en"", ""zh"")"),"#VALUE!")</f>
        <v>#VALUE!</v>
      </c>
      <c r="L118" s="21"/>
      <c r="M118" s="21"/>
      <c r="N118" s="21"/>
      <c r="O118" s="21"/>
      <c r="P118" s="21"/>
      <c r="Q118" s="19"/>
      <c r="R118" s="19"/>
      <c r="S118" s="19"/>
      <c r="T118" s="19"/>
      <c r="U118" s="19"/>
      <c r="V118" s="19"/>
      <c r="W118" s="19"/>
      <c r="X118" s="19"/>
      <c r="Y118" s="19"/>
      <c r="Z118" s="19"/>
    </row>
    <row r="119">
      <c r="A119" s="37">
        <v>118.0</v>
      </c>
      <c r="B119" s="12" t="s">
        <v>2565</v>
      </c>
      <c r="C119" s="12" t="s">
        <v>2558</v>
      </c>
      <c r="D119" s="12" t="s">
        <v>2559</v>
      </c>
      <c r="E119" s="27"/>
      <c r="F119" s="21"/>
      <c r="G119" s="21"/>
      <c r="H119" s="4" t="str">
        <f>IFERROR(__xludf.DUMMYFUNCTION("GOOGLETRANSLATE(B119, ""en"", ""zh"")"),"练习过程中，你的双手突然变得非常紧张。你会怎么做？")</f>
        <v>练习过程中，你的双手突然变得非常紧张。你会怎么做？</v>
      </c>
      <c r="I119" s="4" t="str">
        <f>IFERROR(__xludf.DUMMYFUNCTION("GOOGLETRANSLATE(C119, ""en"", ""zh"")"),"A) 放松并继续 B) 忽略 C) 后退 D) 加大力度")</f>
        <v>A) 放松并继续 B) 忽略 C) 后退 D) 加大力度</v>
      </c>
      <c r="J119" s="4" t="str">
        <f>IFERROR(__xludf.DUMMYFUNCTION("GOOGLETRANSLATE(D119, ""en"", ""zh"")"),"A) 放松并继续")</f>
        <v>A) 放松并继续</v>
      </c>
      <c r="K119" s="4" t="str">
        <f>IFERROR(__xludf.DUMMYFUNCTION("GOOGLETRANSLATE(E119, ""en"", ""zh"")"),"#VALUE!")</f>
        <v>#VALUE!</v>
      </c>
      <c r="L119" s="21"/>
      <c r="M119" s="21"/>
      <c r="N119" s="21"/>
      <c r="O119" s="21"/>
      <c r="P119" s="21"/>
      <c r="Q119" s="19"/>
      <c r="R119" s="19"/>
      <c r="S119" s="19"/>
      <c r="T119" s="19"/>
      <c r="U119" s="19"/>
      <c r="V119" s="19"/>
      <c r="W119" s="19"/>
      <c r="X119" s="19"/>
      <c r="Y119" s="19"/>
      <c r="Z119" s="19"/>
    </row>
    <row r="120">
      <c r="A120" s="37">
        <v>119.0</v>
      </c>
      <c r="B120" s="12" t="s">
        <v>2566</v>
      </c>
      <c r="C120" s="12" t="s">
        <v>2567</v>
      </c>
      <c r="D120" s="12" t="s">
        <v>1527</v>
      </c>
      <c r="E120" s="27"/>
      <c r="F120" s="21"/>
      <c r="G120" s="21"/>
      <c r="H120" s="4" t="str">
        <f>IFERROR(__xludf.DUMMYFUNCTION("GOOGLETRANSLATE(B120, ""en"", ""zh"")"),"对手先假动作打高位再打低位，你该如何应对？")</f>
        <v>对手先假动作打高位再打低位，你该如何应对？</v>
      </c>
      <c r="I120" s="4" t="str">
        <f>IFERROR(__xludf.DUMMYFUNCTION("GOOGLETRANSLATE(C120, ""en"", ""zh"")"),"A) 调整防御姿势 B) 无视 C) 向前迈步 D) 攻击")</f>
        <v>A) 调整防御姿势 B) 无视 C) 向前迈步 D) 攻击</v>
      </c>
      <c r="J120" s="4" t="str">
        <f>IFERROR(__xludf.DUMMYFUNCTION("GOOGLETRANSLATE(D120, ""en"", ""zh"")"),"A) 调整防守姿势和站姿")</f>
        <v>A) 调整防守姿势和站姿</v>
      </c>
      <c r="K120" s="4" t="str">
        <f>IFERROR(__xludf.DUMMYFUNCTION("GOOGLETRANSLATE(E120, ""en"", ""zh"")"),"#VALUE!")</f>
        <v>#VALUE!</v>
      </c>
      <c r="L120" s="21"/>
      <c r="M120" s="21"/>
      <c r="N120" s="21"/>
      <c r="O120" s="21"/>
      <c r="P120" s="21"/>
      <c r="Q120" s="19"/>
      <c r="R120" s="19"/>
      <c r="S120" s="19"/>
      <c r="T120" s="19"/>
      <c r="U120" s="19"/>
      <c r="V120" s="19"/>
      <c r="W120" s="19"/>
      <c r="X120" s="19"/>
      <c r="Y120" s="19"/>
      <c r="Z120" s="19"/>
    </row>
    <row r="121">
      <c r="A121" s="37">
        <v>120.0</v>
      </c>
      <c r="B121" s="12" t="s">
        <v>2568</v>
      </c>
      <c r="C121" s="12" t="s">
        <v>2569</v>
      </c>
      <c r="D121" s="12" t="s">
        <v>2570</v>
      </c>
      <c r="E121" s="27"/>
      <c r="F121" s="21"/>
      <c r="G121" s="21"/>
      <c r="H121" s="4" t="str">
        <f>IFERROR(__xludf.DUMMYFUNCTION("GOOGLETRANSLATE(B121, ""en"", ""zh"")"),"在双人练习中，你的平衡感不稳定。如何纠正？")</f>
        <v>在双人练习中，你的平衡感不稳定。如何纠正？</v>
      </c>
      <c r="I121" s="4" t="str">
        <f>IFERROR(__xludf.DUMMYFUNCTION("GOOGLETRANSLATE(C121, ""en"", ""zh"")"),"A) 重新调整中心并继续 B) 忽略 C) 后退 D) 暂停")</f>
        <v>A) 重新调整中心并继续 B) 忽略 C) 后退 D) 暂停</v>
      </c>
      <c r="J121" s="4" t="str">
        <f>IFERROR(__xludf.DUMMYFUNCTION("GOOGLETRANSLATE(D121, ""en"", ""zh"")"),"A) 重新居中并继续")</f>
        <v>A) 重新居中并继续</v>
      </c>
      <c r="K121" s="4" t="str">
        <f>IFERROR(__xludf.DUMMYFUNCTION("GOOGLETRANSLATE(E121, ""en"", ""zh"")"),"#VALUE!")</f>
        <v>#VALUE!</v>
      </c>
      <c r="L121" s="21"/>
      <c r="M121" s="21"/>
      <c r="N121" s="21"/>
      <c r="O121" s="21"/>
      <c r="P121" s="21"/>
      <c r="Q121" s="19"/>
      <c r="R121" s="19"/>
      <c r="S121" s="19"/>
      <c r="T121" s="19"/>
      <c r="U121" s="19"/>
      <c r="V121" s="19"/>
      <c r="W121" s="19"/>
      <c r="X121" s="19"/>
      <c r="Y121" s="19"/>
      <c r="Z121" s="19"/>
    </row>
    <row r="122">
      <c r="A122" s="37">
        <v>121.0</v>
      </c>
      <c r="B122" s="12" t="s">
        <v>2571</v>
      </c>
      <c r="C122" s="12" t="s">
        <v>2572</v>
      </c>
      <c r="D122" s="12" t="s">
        <v>2573</v>
      </c>
      <c r="E122" s="27"/>
      <c r="F122" s="21"/>
      <c r="G122" s="21"/>
      <c r="H122" s="4" t="str">
        <f>IFERROR(__xludf.DUMMYFUNCTION("GOOGLETRANSLATE(B122, ""en"", ""zh"")"),"伴侣突然改变主意，你如何保持掌控？")</f>
        <v>伴侣突然改变主意，你如何保持掌控？</v>
      </c>
      <c r="I122" s="4" t="str">
        <f>IFERROR(__xludf.DUMMYFUNCTION("GOOGLETRANSLATE(C122, ""en"", ""zh"")"),"A) 调整重心并跟随 B) 忽略 C) 向前迈步 D) 抵抗")</f>
        <v>A) 调整重心并跟随 B) 忽略 C) 向前迈步 D) 抵抗</v>
      </c>
      <c r="J122" s="4" t="str">
        <f>IFERROR(__xludf.DUMMYFUNCTION("GOOGLETRANSLATE(D122, ""en"", ""zh"")"),"A) 调整重量并遵循")</f>
        <v>A) 调整重量并遵循</v>
      </c>
      <c r="K122" s="4" t="str">
        <f>IFERROR(__xludf.DUMMYFUNCTION("GOOGLETRANSLATE(E122, ""en"", ""zh"")"),"#VALUE!")</f>
        <v>#VALUE!</v>
      </c>
      <c r="L122" s="21"/>
      <c r="M122" s="21"/>
      <c r="N122" s="21"/>
      <c r="O122" s="21"/>
      <c r="P122" s="21"/>
      <c r="Q122" s="19"/>
      <c r="R122" s="19"/>
      <c r="S122" s="19"/>
      <c r="T122" s="19"/>
      <c r="U122" s="19"/>
      <c r="V122" s="19"/>
      <c r="W122" s="19"/>
      <c r="X122" s="19"/>
      <c r="Y122" s="19"/>
      <c r="Z122" s="19"/>
    </row>
    <row r="123">
      <c r="A123" s="37">
        <v>122.0</v>
      </c>
      <c r="B123" s="12" t="s">
        <v>2574</v>
      </c>
      <c r="C123" s="12" t="s">
        <v>2575</v>
      </c>
      <c r="D123" s="12" t="s">
        <v>2576</v>
      </c>
      <c r="E123" s="27"/>
      <c r="F123" s="21"/>
      <c r="G123" s="21"/>
      <c r="H123" s="4" t="str">
        <f>IFERROR(__xludf.DUMMYFUNCTION("GOOGLETRANSLATE(B123, ""en"", ""zh"")"),"比赛中途，你的节奏被打乱了。你该如何重新找回节奏？")</f>
        <v>比赛中途，你的节奏被打乱了。你该如何重新找回节奏？</v>
      </c>
      <c r="I123" s="4" t="str">
        <f>IFERROR(__xludf.DUMMYFUNCTION("GOOGLETRANSLATE(C123, ""en"", ""zh"")"),"A) 专注于呼吸和姿势 B) 忽略 C) 后退 D) 暂停")</f>
        <v>A) 专注于呼吸和姿势 B) 忽略 C) 后退 D) 暂停</v>
      </c>
      <c r="J123" s="4" t="str">
        <f>IFERROR(__xludf.DUMMYFUNCTION("GOOGLETRANSLATE(D123, ""en"", ""zh"")"),"A) 专注于呼吸和体态调整")</f>
        <v>A) 专注于呼吸和体态调整</v>
      </c>
      <c r="K123" s="4" t="str">
        <f>IFERROR(__xludf.DUMMYFUNCTION("GOOGLETRANSLATE(E123, ""en"", ""zh"")"),"#VALUE!")</f>
        <v>#VALUE!</v>
      </c>
      <c r="L123" s="21"/>
      <c r="M123" s="21"/>
      <c r="N123" s="21"/>
      <c r="O123" s="21"/>
      <c r="P123" s="21"/>
      <c r="Q123" s="19"/>
      <c r="R123" s="19"/>
      <c r="S123" s="19"/>
      <c r="T123" s="19"/>
      <c r="U123" s="19"/>
      <c r="V123" s="19"/>
      <c r="W123" s="19"/>
      <c r="X123" s="19"/>
      <c r="Y123" s="19"/>
      <c r="Z123" s="19"/>
    </row>
    <row r="124">
      <c r="A124" s="37">
        <v>123.0</v>
      </c>
      <c r="B124" s="12" t="s">
        <v>2577</v>
      </c>
      <c r="C124" s="12" t="s">
        <v>2479</v>
      </c>
      <c r="D124" s="12" t="s">
        <v>2407</v>
      </c>
      <c r="E124" s="27"/>
      <c r="F124" s="21"/>
      <c r="G124" s="21"/>
      <c r="H124" s="4" t="str">
        <f>IFERROR(__xludf.DUMMYFUNCTION("GOOGLETRANSLATE(B124, ""en"", ""zh"")"),"对方用力握住你的手。你会作何反应？")</f>
        <v>对方用力握住你的手。你会作何反应？</v>
      </c>
      <c r="I124" s="4" t="str">
        <f>IFERROR(__xludf.DUMMYFUNCTION("GOOGLETRANSLATE(C124, ""en"", ""zh"")"),"A) 让步并引导 B) 无视 C) 前进 D) 抵抗")</f>
        <v>A) 让步并引导 B) 无视 C) 前进 D) 抵抗</v>
      </c>
      <c r="J124" s="4" t="str">
        <f>IFERROR(__xludf.DUMMYFUNCTION("GOOGLETRANSLATE(D124, ""en"", ""zh"")"),"A) 产量和指南")</f>
        <v>A) 产量和指南</v>
      </c>
      <c r="K124" s="4" t="str">
        <f>IFERROR(__xludf.DUMMYFUNCTION("GOOGLETRANSLATE(E124, ""en"", ""zh"")"),"#VALUE!")</f>
        <v>#VALUE!</v>
      </c>
      <c r="L124" s="21"/>
      <c r="M124" s="21"/>
      <c r="N124" s="21"/>
      <c r="O124" s="21"/>
      <c r="P124" s="21"/>
      <c r="Q124" s="19"/>
      <c r="R124" s="19"/>
      <c r="S124" s="19"/>
      <c r="T124" s="19"/>
      <c r="U124" s="19"/>
      <c r="V124" s="19"/>
      <c r="W124" s="19"/>
      <c r="X124" s="19"/>
      <c r="Y124" s="19"/>
      <c r="Z124" s="19"/>
    </row>
    <row r="125">
      <c r="A125" s="37">
        <v>124.0</v>
      </c>
      <c r="B125" s="12" t="s">
        <v>2578</v>
      </c>
      <c r="C125" s="12" t="s">
        <v>2487</v>
      </c>
      <c r="D125" s="12" t="s">
        <v>2488</v>
      </c>
      <c r="E125" s="27"/>
      <c r="F125" s="21"/>
      <c r="G125" s="21"/>
      <c r="H125" s="4" t="str">
        <f>IFERROR(__xludf.DUMMYFUNCTION("GOOGLETRANSLATE(B125, ""en"", ""zh"")"),"剑术练习中，对手向左佯攻，你如何应对？")</f>
        <v>剑术练习中，对手向左佯攻，你如何应对？</v>
      </c>
      <c r="I125" s="4" t="str">
        <f>IFERROR(__xludf.DUMMYFUNCTION("GOOGLETRANSLATE(C125, ""en"", ""zh"")"),"A) 调整刀片角度 B) 忽略 C) 向前迈一步 D) 暂停")</f>
        <v>A) 调整刀片角度 B) 忽略 C) 向前迈一步 D) 暂停</v>
      </c>
      <c r="J125" s="4" t="str">
        <f>IFERROR(__xludf.DUMMYFUNCTION("GOOGLETRANSLATE(D125, ""en"", ""zh"")"),"A) 调整刀片角度")</f>
        <v>A) 调整刀片角度</v>
      </c>
      <c r="K125" s="4" t="str">
        <f>IFERROR(__xludf.DUMMYFUNCTION("GOOGLETRANSLATE(E125, ""en"", ""zh"")"),"#VALUE!")</f>
        <v>#VALUE!</v>
      </c>
      <c r="L125" s="21"/>
      <c r="M125" s="21"/>
      <c r="N125" s="21"/>
      <c r="O125" s="21"/>
      <c r="P125" s="21"/>
      <c r="Q125" s="19"/>
      <c r="R125" s="19"/>
      <c r="S125" s="19"/>
      <c r="T125" s="19"/>
      <c r="U125" s="19"/>
      <c r="V125" s="19"/>
      <c r="W125" s="19"/>
      <c r="X125" s="19"/>
      <c r="Y125" s="19"/>
      <c r="Z125" s="19"/>
    </row>
    <row r="126">
      <c r="A126" s="37">
        <v>125.0</v>
      </c>
      <c r="B126" s="12" t="s">
        <v>2579</v>
      </c>
      <c r="C126" s="12" t="s">
        <v>2506</v>
      </c>
      <c r="D126" s="12" t="s">
        <v>2507</v>
      </c>
      <c r="E126" s="27"/>
      <c r="F126" s="21"/>
      <c r="G126" s="21"/>
      <c r="H126" s="4" t="str">
        <f>IFERROR(__xludf.DUMMYFUNCTION("GOOGLETRANSLATE(B126, ""en"", ""zh"")"),"练习过程中，手臂动作不均匀。如何纠正？")</f>
        <v>练习过程中，手臂动作不均匀。如何纠正？</v>
      </c>
      <c r="I126" s="4" t="str">
        <f>IFERROR(__xludf.DUMMYFUNCTION("GOOGLETRANSLATE(C126, ""en"", ""zh"")"),"A) 重新调整并继续 B) 忽略 C) 后退 D) 暂停")</f>
        <v>A) 重新调整并继续 B) 忽略 C) 后退 D) 暂停</v>
      </c>
      <c r="J126" s="4" t="str">
        <f>IFERROR(__xludf.DUMMYFUNCTION("GOOGLETRANSLATE(D126, ""en"", ""zh"")"),"A) 重新调整并继续")</f>
        <v>A) 重新调整并继续</v>
      </c>
      <c r="K126" s="4" t="str">
        <f>IFERROR(__xludf.DUMMYFUNCTION("GOOGLETRANSLATE(E126, ""en"", ""zh"")"),"#VALUE!")</f>
        <v>#VALUE!</v>
      </c>
      <c r="L126" s="21"/>
      <c r="M126" s="21"/>
      <c r="N126" s="21"/>
      <c r="O126" s="21"/>
      <c r="P126" s="21"/>
      <c r="Q126" s="19"/>
      <c r="R126" s="19"/>
      <c r="S126" s="19"/>
      <c r="T126" s="19"/>
      <c r="U126" s="19"/>
      <c r="V126" s="19"/>
      <c r="W126" s="19"/>
      <c r="X126" s="19"/>
      <c r="Y126" s="19"/>
      <c r="Z126" s="19"/>
    </row>
    <row r="127">
      <c r="A127" s="37">
        <v>126.0</v>
      </c>
      <c r="B127" s="12" t="s">
        <v>2580</v>
      </c>
      <c r="C127" s="12" t="s">
        <v>2563</v>
      </c>
      <c r="D127" s="12" t="s">
        <v>2564</v>
      </c>
      <c r="E127" s="27"/>
      <c r="F127" s="21"/>
      <c r="G127" s="21"/>
      <c r="H127" s="4" t="str">
        <f>IFERROR(__xludf.DUMMYFUNCTION("GOOGLETRANSLATE(B127, ""en"", ""zh"")"),"同伴向前推进过猛，你会如何应对？")</f>
        <v>同伴向前推进过猛，你会如何应对？</v>
      </c>
      <c r="I127" s="4" t="str">
        <f>IFERROR(__xludf.DUMMYFUNCTION("GOOGLETRANSLATE(C127, ""en"", ""zh"")"),"A) 沿路径重定向 B) 忽略 C) 前进 D) 抵抗")</f>
        <v>A) 沿路径重定向 B) 忽略 C) 前进 D) 抵抗</v>
      </c>
      <c r="J127" s="4" t="str">
        <f>IFERROR(__xludf.DUMMYFUNCTION("GOOGLETRANSLATE(D127, ""en"", ""zh"")"),"A) 沿路径重定向")</f>
        <v>A) 沿路径重定向</v>
      </c>
      <c r="K127" s="4" t="str">
        <f>IFERROR(__xludf.DUMMYFUNCTION("GOOGLETRANSLATE(E127, ""en"", ""zh"")"),"#VALUE!")</f>
        <v>#VALUE!</v>
      </c>
      <c r="L127" s="21"/>
      <c r="M127" s="21"/>
      <c r="N127" s="21"/>
      <c r="O127" s="21"/>
      <c r="P127" s="21"/>
      <c r="Q127" s="19"/>
      <c r="R127" s="19"/>
      <c r="S127" s="19"/>
      <c r="T127" s="19"/>
      <c r="U127" s="19"/>
      <c r="V127" s="19"/>
      <c r="W127" s="19"/>
      <c r="X127" s="19"/>
      <c r="Y127" s="19"/>
      <c r="Z127" s="19"/>
    </row>
    <row r="128">
      <c r="A128" s="37">
        <v>127.0</v>
      </c>
      <c r="B128" s="12" t="s">
        <v>2581</v>
      </c>
      <c r="C128" s="12" t="s">
        <v>2582</v>
      </c>
      <c r="D128" s="12" t="s">
        <v>2583</v>
      </c>
      <c r="E128" s="27"/>
      <c r="F128" s="21"/>
      <c r="G128" s="21"/>
      <c r="H128" s="4" t="str">
        <f>IFERROR(__xludf.DUMMYFUNCTION("GOOGLETRANSLATE(B128, ""en"", ""zh"")"),"在推手阶段，你的搭档改变了节奏。你会如何回应？")</f>
        <v>在推手阶段，你的搭档改变了节奏。你会如何回应？</v>
      </c>
      <c r="I128" s="4" t="str">
        <f>IFERROR(__xludf.DUMMYFUNCTION("GOOGLETRANSLATE(C128, ""en"", ""zh"")"),"A) 调整时机并跟随 B) 忽略 C) 向前迈步 D) 攻击")</f>
        <v>A) 调整时机并跟随 B) 忽略 C) 向前迈步 D) 攻击</v>
      </c>
      <c r="J128" s="4" t="str">
        <f>IFERROR(__xludf.DUMMYFUNCTION("GOOGLETRANSLATE(D128, ""en"", ""zh"")"),"A) 调整时间并遵循")</f>
        <v>A) 调整时间并遵循</v>
      </c>
      <c r="K128" s="4" t="str">
        <f>IFERROR(__xludf.DUMMYFUNCTION("GOOGLETRANSLATE(E128, ""en"", ""zh"")"),"#VALUE!")</f>
        <v>#VALUE!</v>
      </c>
      <c r="L128" s="21"/>
      <c r="M128" s="21"/>
      <c r="N128" s="21"/>
      <c r="O128" s="21"/>
      <c r="P128" s="21"/>
      <c r="Q128" s="19"/>
      <c r="R128" s="19"/>
      <c r="S128" s="19"/>
      <c r="T128" s="19"/>
      <c r="U128" s="19"/>
      <c r="V128" s="19"/>
      <c r="W128" s="19"/>
      <c r="X128" s="19"/>
      <c r="Y128" s="19"/>
      <c r="Z128" s="19"/>
    </row>
    <row r="129">
      <c r="A129" s="37">
        <v>128.0</v>
      </c>
      <c r="B129" s="12" t="s">
        <v>2584</v>
      </c>
      <c r="C129" s="12" t="s">
        <v>2476</v>
      </c>
      <c r="D129" s="12" t="s">
        <v>2477</v>
      </c>
      <c r="E129" s="27"/>
      <c r="F129" s="21"/>
      <c r="G129" s="21"/>
      <c r="H129" s="4" t="str">
        <f>IFERROR(__xludf.DUMMYFUNCTION("GOOGLETRANSLATE(B129, ""en"", ""zh"")"),"动作进行到一半时，脚稍微滑了一下。如何保持平衡？")</f>
        <v>动作进行到一半时，脚稍微滑了一下。如何保持平衡？</v>
      </c>
      <c r="I129" s="4" t="str">
        <f>IFERROR(__xludf.DUMMYFUNCTION("GOOGLETRANSLATE(C129, ""en"", ""zh"")"),"A) 调整中心并继续 B) 忽略 C) 后退 D) 暂停")</f>
        <v>A) 调整中心并继续 B) 忽略 C) 后退 D) 暂停</v>
      </c>
      <c r="J129" s="4" t="str">
        <f>IFERROR(__xludf.DUMMYFUNCTION("GOOGLETRANSLATE(D129, ""en"", ""zh"")"),"A) 调整中心并继续")</f>
        <v>A) 调整中心并继续</v>
      </c>
      <c r="K129" s="4" t="str">
        <f>IFERROR(__xludf.DUMMYFUNCTION("GOOGLETRANSLATE(E129, ""en"", ""zh"")"),"#VALUE!")</f>
        <v>#VALUE!</v>
      </c>
      <c r="L129" s="21"/>
      <c r="M129" s="21"/>
      <c r="N129" s="21"/>
      <c r="O129" s="21"/>
      <c r="P129" s="21"/>
      <c r="Q129" s="19"/>
      <c r="R129" s="19"/>
      <c r="S129" s="19"/>
      <c r="T129" s="19"/>
      <c r="U129" s="19"/>
      <c r="V129" s="19"/>
      <c r="W129" s="19"/>
      <c r="X129" s="19"/>
      <c r="Y129" s="19"/>
      <c r="Z129" s="19"/>
    </row>
    <row r="130">
      <c r="A130" s="37">
        <v>129.0</v>
      </c>
      <c r="B130" s="12" t="s">
        <v>2585</v>
      </c>
      <c r="C130" s="12" t="s">
        <v>2421</v>
      </c>
      <c r="D130" s="12" t="s">
        <v>2422</v>
      </c>
      <c r="E130" s="27"/>
      <c r="F130" s="21"/>
      <c r="G130" s="21"/>
      <c r="H130" s="4" t="str">
        <f>IFERROR(__xludf.DUMMYFUNCTION("GOOGLETRANSLATE(B130, ""en"", ""zh"")"),"伴侣会施加意想不到的环形压力。你会如何应对？")</f>
        <v>伴侣会施加意想不到的环形压力。你会如何应对？</v>
      </c>
      <c r="I130" s="4" t="str">
        <f>IFERROR(__xludf.DUMMYFUNCTION("GOOGLETRANSLATE(C130, ""en"", ""zh"")"),"A) 跟随圆圈并改变方向 B) 忽略 C) 向前走 D) 抵抗")</f>
        <v>A) 跟随圆圈并改变方向 B) 忽略 C) 向前走 D) 抵抗</v>
      </c>
      <c r="J130" s="4" t="str">
        <f>IFERROR(__xludf.DUMMYFUNCTION("GOOGLETRANSLATE(D130, ""en"", ""zh"")"),"A) 跟随圆圈并重定向")</f>
        <v>A) 跟随圆圈并重定向</v>
      </c>
      <c r="K130" s="4" t="str">
        <f>IFERROR(__xludf.DUMMYFUNCTION("GOOGLETRANSLATE(E130, ""en"", ""zh"")"),"#VALUE!")</f>
        <v>#VALUE!</v>
      </c>
      <c r="L130" s="21"/>
      <c r="M130" s="21"/>
      <c r="N130" s="21"/>
      <c r="O130" s="21"/>
      <c r="P130" s="21"/>
      <c r="Q130" s="19"/>
      <c r="R130" s="19"/>
      <c r="S130" s="19"/>
      <c r="T130" s="19"/>
      <c r="U130" s="19"/>
      <c r="V130" s="19"/>
      <c r="W130" s="19"/>
      <c r="X130" s="19"/>
      <c r="Y130" s="19"/>
      <c r="Z130" s="19"/>
    </row>
    <row r="131">
      <c r="A131" s="37">
        <v>130.0</v>
      </c>
      <c r="B131" s="12" t="s">
        <v>2586</v>
      </c>
      <c r="C131" s="12" t="s">
        <v>2424</v>
      </c>
      <c r="D131" s="12" t="s">
        <v>2425</v>
      </c>
      <c r="E131" s="27"/>
      <c r="F131" s="21"/>
      <c r="G131" s="21"/>
      <c r="H131" s="4" t="str">
        <f>IFERROR(__xludf.DUMMYFUNCTION("GOOGLETRANSLATE(B131, ""en"", ""zh"")"),"独自练习时，你的注意力容易分散。你会怎么做？")</f>
        <v>独自练习时，你的注意力容易分散。你会怎么做？</v>
      </c>
      <c r="I131" s="4" t="str">
        <f>IFERROR(__xludf.DUMMYFUNCTION("GOOGLETRANSLATE(C131, ""en"", ""zh"")"),"A) 重新集中注意力 B) 忽略 C) 后退 D) 暂停")</f>
        <v>A) 重新集中注意力 B) 忽略 C) 后退 D) 暂停</v>
      </c>
      <c r="J131" s="4" t="str">
        <f>IFERROR(__xludf.DUMMYFUNCTION("GOOGLETRANSLATE(D131, ""en"", ""zh"")"),"A) 恢复精神集中")</f>
        <v>A) 恢复精神集中</v>
      </c>
      <c r="K131" s="4" t="str">
        <f>IFERROR(__xludf.DUMMYFUNCTION("GOOGLETRANSLATE(E131, ""en"", ""zh"")"),"#VALUE!")</f>
        <v>#VALUE!</v>
      </c>
      <c r="L131" s="21"/>
      <c r="M131" s="21"/>
      <c r="N131" s="21"/>
      <c r="O131" s="21"/>
      <c r="P131" s="21"/>
      <c r="Q131" s="19"/>
      <c r="R131" s="19"/>
      <c r="S131" s="19"/>
      <c r="T131" s="19"/>
      <c r="U131" s="19"/>
      <c r="V131" s="19"/>
      <c r="W131" s="19"/>
      <c r="X131" s="19"/>
      <c r="Y131" s="19"/>
      <c r="Z131" s="19"/>
    </row>
    <row r="132">
      <c r="A132" s="37">
        <v>131.0</v>
      </c>
      <c r="B132" s="12" t="s">
        <v>2587</v>
      </c>
      <c r="C132" s="12" t="s">
        <v>2388</v>
      </c>
      <c r="D132" s="12" t="s">
        <v>2389</v>
      </c>
      <c r="E132" s="27"/>
      <c r="F132" s="21"/>
      <c r="G132" s="21"/>
      <c r="H132" s="4" t="str">
        <f>IFERROR(__xludf.DUMMYFUNCTION("GOOGLETRANSLATE(B132, ""en"", ""zh"")"),"练习过程中，对手突然向下移动。你会如何应对？")</f>
        <v>练习过程中，对手突然向下移动。你会如何应对？</v>
      </c>
      <c r="I132" s="4" t="str">
        <f>IFERROR(__xludf.DUMMYFUNCTION("GOOGLETRANSLATE(C132, ""en"", ""zh"")"),"A) 转移能量 B) 忽略 C) 前进 D) 抵抗")</f>
        <v>A) 转移能量 B) 忽略 C) 前进 D) 抵抗</v>
      </c>
      <c r="J132" s="4" t="str">
        <f>IFERROR(__xludf.DUMMYFUNCTION("GOOGLETRANSLATE(D132, ""en"", ""zh"")"),"A) 重新定向能量")</f>
        <v>A) 重新定向能量</v>
      </c>
      <c r="K132" s="4" t="str">
        <f>IFERROR(__xludf.DUMMYFUNCTION("GOOGLETRANSLATE(E132, ""en"", ""zh"")"),"#VALUE!")</f>
        <v>#VALUE!</v>
      </c>
      <c r="L132" s="21"/>
      <c r="M132" s="21"/>
      <c r="N132" s="21"/>
      <c r="O132" s="21"/>
      <c r="P132" s="21"/>
      <c r="Q132" s="19"/>
      <c r="R132" s="19"/>
      <c r="S132" s="19"/>
      <c r="T132" s="19"/>
      <c r="U132" s="19"/>
      <c r="V132" s="19"/>
      <c r="W132" s="19"/>
      <c r="X132" s="19"/>
      <c r="Y132" s="19"/>
      <c r="Z132" s="19"/>
    </row>
    <row r="133">
      <c r="A133" s="37">
        <v>132.0</v>
      </c>
      <c r="B133" s="12" t="s">
        <v>2588</v>
      </c>
      <c r="C133" s="12" t="s">
        <v>2589</v>
      </c>
      <c r="D133" s="12" t="s">
        <v>2590</v>
      </c>
      <c r="E133" s="27"/>
      <c r="F133" s="21"/>
      <c r="G133" s="21"/>
      <c r="H133" s="4" t="str">
        <f>IFERROR(__xludf.DUMMYFUNCTION("GOOGLETRANSLATE(B133, ""en"", ""zh"")"),"剑术练习中手臂位置不对，该如何调整？")</f>
        <v>剑术练习中手臂位置不对，该如何调整？</v>
      </c>
      <c r="I133" s="4" t="str">
        <f>IFERROR(__xludf.DUMMYFUNCTION("GOOGLETRANSLATE(C133, ""en"", ""zh"")"),"A) 调整手臂和肩膀的位置 B) 忽略 C) 后退 D) 暂停")</f>
        <v>A) 调整手臂和肩膀的位置 B) 忽略 C) 后退 D) 暂停</v>
      </c>
      <c r="J133" s="4" t="str">
        <f>IFERROR(__xludf.DUMMYFUNCTION("GOOGLETRANSLATE(D133, ""en"", ""zh"")"),"A) 调整手臂和肩膀的位置")</f>
        <v>A) 调整手臂和肩膀的位置</v>
      </c>
      <c r="K133" s="4" t="str">
        <f>IFERROR(__xludf.DUMMYFUNCTION("GOOGLETRANSLATE(E133, ""en"", ""zh"")"),"#VALUE!")</f>
        <v>#VALUE!</v>
      </c>
      <c r="L133" s="21"/>
      <c r="M133" s="21"/>
      <c r="N133" s="21"/>
      <c r="O133" s="21"/>
      <c r="P133" s="21"/>
      <c r="Q133" s="19"/>
      <c r="R133" s="19"/>
      <c r="S133" s="19"/>
      <c r="T133" s="19"/>
      <c r="U133" s="19"/>
      <c r="V133" s="19"/>
      <c r="W133" s="19"/>
      <c r="X133" s="19"/>
      <c r="Y133" s="19"/>
      <c r="Z133" s="19"/>
    </row>
    <row r="134">
      <c r="A134" s="37">
        <v>133.0</v>
      </c>
      <c r="B134" s="12" t="s">
        <v>2591</v>
      </c>
      <c r="C134" s="12" t="s">
        <v>2567</v>
      </c>
      <c r="D134" s="12" t="s">
        <v>1527</v>
      </c>
      <c r="E134" s="27"/>
      <c r="F134" s="21"/>
      <c r="G134" s="21"/>
      <c r="H134" s="4" t="str">
        <f>IFERROR(__xludf.DUMMYFUNCTION("GOOGLETRANSLATE(B134, ""en"", ""zh"")"),"搭档虚晃高跳，你如何保持平衡？")</f>
        <v>搭档虚晃高跳，你如何保持平衡？</v>
      </c>
      <c r="I134" s="4" t="str">
        <f>IFERROR(__xludf.DUMMYFUNCTION("GOOGLETRANSLATE(C134, ""en"", ""zh"")"),"A) 调整防御姿势 B) 无视 C) 向前迈步 D) 攻击")</f>
        <v>A) 调整防御姿势 B) 无视 C) 向前迈步 D) 攻击</v>
      </c>
      <c r="J134" s="4" t="str">
        <f>IFERROR(__xludf.DUMMYFUNCTION("GOOGLETRANSLATE(D134, ""en"", ""zh"")"),"A) 调整防守姿势和站姿")</f>
        <v>A) 调整防守姿势和站姿</v>
      </c>
      <c r="K134" s="4" t="str">
        <f>IFERROR(__xludf.DUMMYFUNCTION("GOOGLETRANSLATE(E134, ""en"", ""zh"")"),"#VALUE!")</f>
        <v>#VALUE!</v>
      </c>
      <c r="L134" s="21"/>
      <c r="M134" s="21"/>
      <c r="N134" s="21"/>
      <c r="O134" s="21"/>
      <c r="P134" s="21"/>
      <c r="Q134" s="19"/>
      <c r="R134" s="19"/>
      <c r="S134" s="19"/>
      <c r="T134" s="19"/>
      <c r="U134" s="19"/>
      <c r="V134" s="19"/>
      <c r="W134" s="19"/>
      <c r="X134" s="19"/>
      <c r="Y134" s="19"/>
      <c r="Z134" s="19"/>
    </row>
    <row r="135">
      <c r="A135" s="37">
        <v>134.0</v>
      </c>
      <c r="B135" s="12" t="s">
        <v>2592</v>
      </c>
      <c r="C135" s="12" t="s">
        <v>2490</v>
      </c>
      <c r="D135" s="12" t="s">
        <v>2491</v>
      </c>
      <c r="E135" s="27"/>
      <c r="F135" s="21"/>
      <c r="G135" s="21"/>
      <c r="H135" s="4" t="str">
        <f>IFERROR(__xludf.DUMMYFUNCTION("GOOGLETRANSLATE(B135, ""en"", ""zh"")"),"训练过程中，腿部感到疲劳。该如何应对？")</f>
        <v>训练过程中，腿部感到疲劳。该如何应对？</v>
      </c>
      <c r="I135" s="4" t="str">
        <f>IFERROR(__xludf.DUMMYFUNCTION("GOOGLETRANSLATE(C135, ""en"", ""zh"")"),"A) 放松并调整姿势 B) 忽略 C) 后退 D) 用力推")</f>
        <v>A) 放松并调整姿势 B) 忽略 C) 后退 D) 用力推</v>
      </c>
      <c r="J135" s="4" t="str">
        <f>IFERROR(__xludf.DUMMYFUNCTION("GOOGLETRANSLATE(D135, ""en"", ""zh"")"),"A）放松并调整姿势")</f>
        <v>A）放松并调整姿势</v>
      </c>
      <c r="K135" s="4" t="str">
        <f>IFERROR(__xludf.DUMMYFUNCTION("GOOGLETRANSLATE(E135, ""en"", ""zh"")"),"#VALUE!")</f>
        <v>#VALUE!</v>
      </c>
      <c r="L135" s="21"/>
      <c r="M135" s="21"/>
      <c r="N135" s="21"/>
      <c r="O135" s="21"/>
      <c r="P135" s="21"/>
      <c r="Q135" s="19"/>
      <c r="R135" s="19"/>
      <c r="S135" s="19"/>
      <c r="T135" s="19"/>
      <c r="U135" s="19"/>
      <c r="V135" s="19"/>
      <c r="W135" s="19"/>
      <c r="X135" s="19"/>
      <c r="Y135" s="19"/>
      <c r="Z135" s="19"/>
    </row>
    <row r="136">
      <c r="A136" s="37">
        <v>135.0</v>
      </c>
      <c r="B136" s="12" t="s">
        <v>2593</v>
      </c>
      <c r="C136" s="12" t="s">
        <v>2493</v>
      </c>
      <c r="D136" s="12" t="s">
        <v>2377</v>
      </c>
      <c r="E136" s="27"/>
      <c r="F136" s="21"/>
      <c r="G136" s="21"/>
      <c r="H136" s="4" t="str">
        <f>IFERROR(__xludf.DUMMYFUNCTION("GOOGLETRANSLATE(B136, ""en"", ""zh"")"),"在推手练习中，搭档会以不可预测的方式施压。如何应对？")</f>
        <v>在推手练习中，搭档会以不可预测的方式施压。如何应对？</v>
      </c>
      <c r="I136" s="4" t="str">
        <f>IFERROR(__xludf.DUMMYFUNCTION("GOOGLETRANSLATE(C136, ""en"", ""zh"")"),"A) 让步并改变方向 B) 无视 C) 前进 D) 抵抗")</f>
        <v>A) 让步并改变方向 B) 无视 C) 前进 D) 抵抗</v>
      </c>
      <c r="J136" s="4" t="str">
        <f>IFERROR(__xludf.DUMMYFUNCTION("GOOGLETRANSLATE(D136, ""en"", ""zh"")"),"A) 让路并重新定向")</f>
        <v>A) 让路并重新定向</v>
      </c>
      <c r="K136" s="4" t="str">
        <f>IFERROR(__xludf.DUMMYFUNCTION("GOOGLETRANSLATE(E136, ""en"", ""zh"")"),"#VALUE!")</f>
        <v>#VALUE!</v>
      </c>
      <c r="L136" s="21"/>
      <c r="M136" s="21"/>
      <c r="N136" s="21"/>
      <c r="O136" s="21"/>
      <c r="P136" s="21"/>
      <c r="Q136" s="19"/>
      <c r="R136" s="19"/>
      <c r="S136" s="19"/>
      <c r="T136" s="19"/>
      <c r="U136" s="19"/>
      <c r="V136" s="19"/>
      <c r="W136" s="19"/>
      <c r="X136" s="19"/>
      <c r="Y136" s="19"/>
      <c r="Z136" s="19"/>
    </row>
    <row r="137">
      <c r="A137" s="38">
        <v>136.0</v>
      </c>
      <c r="B137" s="12" t="s">
        <v>2594</v>
      </c>
      <c r="C137" s="12" t="s">
        <v>2595</v>
      </c>
      <c r="D137" s="12" t="s">
        <v>2596</v>
      </c>
      <c r="E137" s="27"/>
      <c r="F137" s="21"/>
      <c r="G137" s="21"/>
      <c r="H137" s="4" t="str">
        <f>IFERROR(__xludf.DUMMYFUNCTION("GOOGLETRANSLATE(B137, ""en"", ""zh"")"),"剑法进行到一半时，剑的轨迹偏离了。如何纠正？")</f>
        <v>剑法进行到一半时，剑的轨迹偏离了。如何纠正？</v>
      </c>
      <c r="I137" s="4" t="str">
        <f>IFERROR(__xludf.DUMMYFUNCTION("GOOGLETRANSLATE(C137, ""en"", ""zh"")"),"A) 调整角度并继续 B) 忽略 C) 后退 D) 暂停")</f>
        <v>A) 调整角度并继续 B) 忽略 C) 后退 D) 暂停</v>
      </c>
      <c r="J137" s="4" t="str">
        <f>IFERROR(__xludf.DUMMYFUNCTION("GOOGLETRANSLATE(D137, ""en"", ""zh"")"),"A) 调整角度并继续")</f>
        <v>A) 调整角度并继续</v>
      </c>
      <c r="K137" s="4" t="str">
        <f>IFERROR(__xludf.DUMMYFUNCTION("GOOGLETRANSLATE(E137, ""en"", ""zh"")"),"#VALUE!")</f>
        <v>#VALUE!</v>
      </c>
      <c r="L137" s="21"/>
      <c r="M137" s="21"/>
      <c r="N137" s="21"/>
      <c r="O137" s="21"/>
      <c r="P137" s="21"/>
      <c r="Q137" s="19"/>
      <c r="R137" s="19"/>
      <c r="S137" s="19"/>
      <c r="T137" s="19"/>
      <c r="U137" s="19"/>
      <c r="V137" s="19"/>
      <c r="W137" s="19"/>
      <c r="X137" s="19"/>
      <c r="Y137" s="19"/>
      <c r="Z137" s="19"/>
    </row>
    <row r="138">
      <c r="A138" s="38">
        <v>137.0</v>
      </c>
      <c r="B138" s="12" t="s">
        <v>2597</v>
      </c>
      <c r="C138" s="12" t="s">
        <v>2598</v>
      </c>
      <c r="D138" s="12" t="s">
        <v>2599</v>
      </c>
      <c r="E138" s="27"/>
      <c r="F138" s="21"/>
      <c r="G138" s="21"/>
      <c r="H138" s="4" t="str">
        <f>IFERROR(__xludf.DUMMYFUNCTION("GOOGLETRANSLATE(B138, ""en"", ""zh"")"),"伴侣将重心移向一侧。你应该如何应对？")</f>
        <v>伴侣将重心移向一侧。你应该如何应对？</v>
      </c>
      <c r="I138" s="4" t="str">
        <f>IFERROR(__xludf.DUMMYFUNCTION("GOOGLETRANSLATE(C138, ""en"", ""zh"")"),"A) 调整姿势并跟随 B) 忽略 C) 向前迈一步 D) 抵抗")</f>
        <v>A) 调整姿势并跟随 B) 忽略 C) 向前迈一步 D) 抵抗</v>
      </c>
      <c r="J138" s="4" t="str">
        <f>IFERROR(__xludf.DUMMYFUNCTION("GOOGLETRANSLATE(D138, ""en"", ""zh"")"),"A) 调整姿势并跟随")</f>
        <v>A) 调整姿势并跟随</v>
      </c>
      <c r="K138" s="4" t="str">
        <f>IFERROR(__xludf.DUMMYFUNCTION("GOOGLETRANSLATE(E138, ""en"", ""zh"")"),"#VALUE!")</f>
        <v>#VALUE!</v>
      </c>
      <c r="L138" s="21"/>
      <c r="M138" s="21"/>
      <c r="N138" s="21"/>
      <c r="O138" s="21"/>
      <c r="P138" s="21"/>
      <c r="Q138" s="19"/>
      <c r="R138" s="19"/>
      <c r="S138" s="19"/>
      <c r="T138" s="19"/>
      <c r="U138" s="19"/>
      <c r="V138" s="19"/>
      <c r="W138" s="19"/>
      <c r="X138" s="19"/>
      <c r="Y138" s="19"/>
      <c r="Z138" s="19"/>
    </row>
    <row r="139">
      <c r="A139" s="38">
        <v>138.0</v>
      </c>
      <c r="B139" s="12" t="s">
        <v>2600</v>
      </c>
      <c r="C139" s="12" t="s">
        <v>2601</v>
      </c>
      <c r="D139" s="12" t="s">
        <v>2602</v>
      </c>
      <c r="E139" s="27"/>
      <c r="F139" s="21"/>
      <c r="G139" s="21"/>
      <c r="H139" s="4" t="str">
        <f>IFERROR(__xludf.DUMMYFUNCTION("GOOGLETRANSLATE(B139, ""en"", ""zh"")"),"练习过程中，手部肌肉紧张。如何纠正？")</f>
        <v>练习过程中，手部肌肉紧张。如何纠正？</v>
      </c>
      <c r="I139" s="4" t="str">
        <f>IFERROR(__xludf.DUMMYFUNCTION("GOOGLETRANSLATE(C139, ""en"", ""zh"")"),"A) 放松双手继续 B) 忽略 C) 后退 D) 用力推")</f>
        <v>A) 放松双手继续 B) 忽略 C) 后退 D) 用力推</v>
      </c>
      <c r="J139" s="4" t="str">
        <f>IFERROR(__xludf.DUMMYFUNCTION("GOOGLETRANSLATE(D139, ""en"", ""zh"")"),"A) 放松双手并继续")</f>
        <v>A) 放松双手并继续</v>
      </c>
      <c r="K139" s="4" t="str">
        <f>IFERROR(__xludf.DUMMYFUNCTION("GOOGLETRANSLATE(E139, ""en"", ""zh"")"),"#VALUE!")</f>
        <v>#VALUE!</v>
      </c>
      <c r="L139" s="21"/>
      <c r="M139" s="21"/>
      <c r="N139" s="21"/>
      <c r="O139" s="21"/>
      <c r="P139" s="21"/>
      <c r="Q139" s="19"/>
      <c r="R139" s="19"/>
      <c r="S139" s="19"/>
      <c r="T139" s="19"/>
      <c r="U139" s="19"/>
      <c r="V139" s="19"/>
      <c r="W139" s="19"/>
      <c r="X139" s="19"/>
      <c r="Y139" s="19"/>
      <c r="Z139" s="19"/>
    </row>
    <row r="140">
      <c r="A140" s="38">
        <v>139.0</v>
      </c>
      <c r="B140" s="12" t="s">
        <v>2603</v>
      </c>
      <c r="C140" s="12" t="s">
        <v>2493</v>
      </c>
      <c r="D140" s="12" t="s">
        <v>2377</v>
      </c>
      <c r="E140" s="27"/>
      <c r="F140" s="21"/>
      <c r="G140" s="21"/>
      <c r="H140" s="4" t="str">
        <f>IFERROR(__xludf.DUMMYFUNCTION("GOOGLETRANSLATE(B140, ""en"", ""zh"")"),"对方突然向前施压。你会如何应对？")</f>
        <v>对方突然向前施压。你会如何应对？</v>
      </c>
      <c r="I140" s="4" t="str">
        <f>IFERROR(__xludf.DUMMYFUNCTION("GOOGLETRANSLATE(C140, ""en"", ""zh"")"),"A) 让步并改变方向 B) 无视 C) 前进 D) 抵抗")</f>
        <v>A) 让步并改变方向 B) 无视 C) 前进 D) 抵抗</v>
      </c>
      <c r="J140" s="4" t="str">
        <f>IFERROR(__xludf.DUMMYFUNCTION("GOOGLETRANSLATE(D140, ""en"", ""zh"")"),"A) 让路并重新定向")</f>
        <v>A) 让路并重新定向</v>
      </c>
      <c r="K140" s="4" t="str">
        <f>IFERROR(__xludf.DUMMYFUNCTION("GOOGLETRANSLATE(E140, ""en"", ""zh"")"),"#VALUE!")</f>
        <v>#VALUE!</v>
      </c>
      <c r="L140" s="21"/>
      <c r="M140" s="21"/>
      <c r="N140" s="21"/>
      <c r="O140" s="21"/>
      <c r="P140" s="21"/>
      <c r="Q140" s="19"/>
      <c r="R140" s="19"/>
      <c r="S140" s="19"/>
      <c r="T140" s="19"/>
      <c r="U140" s="19"/>
      <c r="V140" s="19"/>
      <c r="W140" s="19"/>
      <c r="X140" s="19"/>
      <c r="Y140" s="19"/>
      <c r="Z140" s="19"/>
    </row>
    <row r="141">
      <c r="A141" s="38">
        <v>140.0</v>
      </c>
      <c r="B141" s="12" t="s">
        <v>2604</v>
      </c>
      <c r="C141" s="12" t="s">
        <v>2605</v>
      </c>
      <c r="D141" s="12" t="s">
        <v>2606</v>
      </c>
      <c r="E141" s="27"/>
      <c r="F141" s="21"/>
      <c r="G141" s="21"/>
      <c r="H141" s="4" t="str">
        <f>IFERROR(__xludf.DUMMYFUNCTION("GOOGLETRANSLATE(B141, ""en"", ""zh"")"),"在双人练习中，对手突然做出意料之外的移动。如何应对？")</f>
        <v>在双人练习中，对手突然做出意料之外的移动。如何应对？</v>
      </c>
      <c r="I141" s="4" t="str">
        <f>IFERROR(__xludf.DUMMYFUNCTION("GOOGLETRANSLATE(C141, ""en"", ""zh"")"),"A) 适应并跟随 B) 无视 C) 向前迈进 D) 反击")</f>
        <v>A) 适应并跟随 B) 无视 C) 向前迈进 D) 反击</v>
      </c>
      <c r="J141" s="4" t="str">
        <f>IFERROR(__xludf.DUMMYFUNCTION("GOOGLETRANSLATE(D141, ""en"", ""zh"")"),"A) 适应并遵循")</f>
        <v>A) 适应并遵循</v>
      </c>
      <c r="K141" s="4" t="str">
        <f>IFERROR(__xludf.DUMMYFUNCTION("GOOGLETRANSLATE(E141, ""en"", ""zh"")"),"#VALUE!")</f>
        <v>#VALUE!</v>
      </c>
      <c r="L141" s="21"/>
      <c r="M141" s="21"/>
      <c r="N141" s="21"/>
      <c r="O141" s="21"/>
      <c r="P141" s="21"/>
      <c r="Q141" s="19"/>
      <c r="R141" s="19"/>
      <c r="S141" s="19"/>
      <c r="T141" s="19"/>
      <c r="U141" s="19"/>
      <c r="V141" s="19"/>
      <c r="W141" s="19"/>
      <c r="X141" s="19"/>
      <c r="Y141" s="19"/>
      <c r="Z141" s="19"/>
    </row>
    <row r="142">
      <c r="A142" s="38">
        <v>141.0</v>
      </c>
      <c r="B142" s="12" t="s">
        <v>2607</v>
      </c>
      <c r="C142" s="12" t="s">
        <v>2451</v>
      </c>
      <c r="D142" s="12" t="s">
        <v>2452</v>
      </c>
      <c r="E142" s="27"/>
      <c r="F142" s="21"/>
      <c r="G142" s="21"/>
      <c r="H142" s="4" t="str">
        <f>IFERROR(__xludf.DUMMYFUNCTION("GOOGLETRANSLATE(B142, ""en"", ""zh"")"),"中途，枢轴点失去平衡。如何纠正？")</f>
        <v>中途，枢轴点失去平衡。如何纠正？</v>
      </c>
      <c r="I142" s="4" t="str">
        <f>IFERROR(__xludf.DUMMYFUNCTION("GOOGLETRANSLATE(C142, ""en"", ""zh"")"),"A) 降低中心位置并继续 B) 忽略 C) 后退 D) 暂停")</f>
        <v>A) 降低中心位置并继续 B) 忽略 C) 后退 D) 暂停</v>
      </c>
      <c r="J142" s="4" t="str">
        <f>IFERROR(__xludf.DUMMYFUNCTION("GOOGLETRANSLATE(D142, ""en"", ""zh"")"),"A) 降低中心并继续")</f>
        <v>A) 降低中心并继续</v>
      </c>
      <c r="K142" s="4" t="str">
        <f>IFERROR(__xludf.DUMMYFUNCTION("GOOGLETRANSLATE(E142, ""en"", ""zh"")"),"#VALUE!")</f>
        <v>#VALUE!</v>
      </c>
      <c r="L142" s="21"/>
      <c r="M142" s="21"/>
      <c r="N142" s="21"/>
      <c r="O142" s="21"/>
      <c r="P142" s="21"/>
      <c r="Q142" s="19"/>
      <c r="R142" s="19"/>
      <c r="S142" s="19"/>
      <c r="T142" s="19"/>
      <c r="U142" s="19"/>
      <c r="V142" s="19"/>
      <c r="W142" s="19"/>
      <c r="X142" s="19"/>
      <c r="Y142" s="19"/>
      <c r="Z142" s="19"/>
    </row>
    <row r="143">
      <c r="A143" s="38">
        <v>142.0</v>
      </c>
      <c r="B143" s="12" t="s">
        <v>2438</v>
      </c>
      <c r="C143" s="12" t="s">
        <v>2563</v>
      </c>
      <c r="D143" s="12" t="s">
        <v>2564</v>
      </c>
      <c r="E143" s="27"/>
      <c r="F143" s="21"/>
      <c r="G143" s="21"/>
      <c r="H143" s="4" t="str">
        <f>IFERROR(__xludf.DUMMYFUNCTION("GOOGLETRANSLATE(B143, ""en"", ""zh"")"),"同伴施加向下的压力。你会如何应对？")</f>
        <v>同伴施加向下的压力。你会如何应对？</v>
      </c>
      <c r="I143" s="4" t="str">
        <f>IFERROR(__xludf.DUMMYFUNCTION("GOOGLETRANSLATE(C143, ""en"", ""zh"")"),"A) 沿路径重定向 B) 忽略 C) 前进 D) 抵抗")</f>
        <v>A) 沿路径重定向 B) 忽略 C) 前进 D) 抵抗</v>
      </c>
      <c r="J143" s="4" t="str">
        <f>IFERROR(__xludf.DUMMYFUNCTION("GOOGLETRANSLATE(D143, ""en"", ""zh"")"),"A) 沿路径重定向")</f>
        <v>A) 沿路径重定向</v>
      </c>
      <c r="K143" s="4" t="str">
        <f>IFERROR(__xludf.DUMMYFUNCTION("GOOGLETRANSLATE(E143, ""en"", ""zh"")"),"#VALUE!")</f>
        <v>#VALUE!</v>
      </c>
      <c r="L143" s="21"/>
      <c r="M143" s="21"/>
      <c r="N143" s="21"/>
      <c r="O143" s="21"/>
      <c r="P143" s="21"/>
      <c r="Q143" s="19"/>
      <c r="R143" s="19"/>
      <c r="S143" s="19"/>
      <c r="T143" s="19"/>
      <c r="U143" s="19"/>
      <c r="V143" s="19"/>
      <c r="W143" s="19"/>
      <c r="X143" s="19"/>
      <c r="Y143" s="19"/>
      <c r="Z143" s="19"/>
    </row>
    <row r="144">
      <c r="A144" s="38">
        <v>143.0</v>
      </c>
      <c r="B144" s="12" t="s">
        <v>2608</v>
      </c>
      <c r="C144" s="12" t="s">
        <v>2481</v>
      </c>
      <c r="D144" s="12" t="s">
        <v>2482</v>
      </c>
      <c r="E144" s="27"/>
      <c r="F144" s="21"/>
      <c r="G144" s="21"/>
      <c r="H144" s="4" t="str">
        <f>IFERROR(__xludf.DUMMYFUNCTION("GOOGLETRANSLATE(B144, ""en"", ""zh"")"),"独奏时，节奏会突然中断。应该如何恢复？")</f>
        <v>独奏时，节奏会突然中断。应该如何恢复？</v>
      </c>
      <c r="I144" s="4" t="str">
        <f>IFERROR(__xludf.DUMMYFUNCTION("GOOGLETRANSLATE(C144, ""en"", ""zh"")"),"A) 专注于呼吸 B) 忽略 C) 后退 D) 暂停")</f>
        <v>A) 专注于呼吸 B) 忽略 C) 后退 D) 暂停</v>
      </c>
      <c r="J144" s="4" t="str">
        <f>IFERROR(__xludf.DUMMYFUNCTION("GOOGLETRANSLATE(D144, ""en"", ""zh"")"),"A) 专注于呼吸")</f>
        <v>A) 专注于呼吸</v>
      </c>
      <c r="K144" s="4" t="str">
        <f>IFERROR(__xludf.DUMMYFUNCTION("GOOGLETRANSLATE(E144, ""en"", ""zh"")"),"#VALUE!")</f>
        <v>#VALUE!</v>
      </c>
      <c r="L144" s="21"/>
      <c r="M144" s="21"/>
      <c r="N144" s="21"/>
      <c r="O144" s="21"/>
      <c r="P144" s="21"/>
      <c r="Q144" s="19"/>
      <c r="R144" s="19"/>
      <c r="S144" s="19"/>
      <c r="T144" s="19"/>
      <c r="U144" s="19"/>
      <c r="V144" s="19"/>
      <c r="W144" s="19"/>
      <c r="X144" s="19"/>
      <c r="Y144" s="19"/>
      <c r="Z144" s="19"/>
    </row>
    <row r="145">
      <c r="A145" s="38">
        <v>144.0</v>
      </c>
      <c r="B145" s="12" t="s">
        <v>2609</v>
      </c>
      <c r="C145" s="12" t="s">
        <v>2610</v>
      </c>
      <c r="D145" s="12" t="s">
        <v>2460</v>
      </c>
      <c r="E145" s="27"/>
      <c r="F145" s="21"/>
      <c r="G145" s="21"/>
      <c r="H145" s="4" t="str">
        <f>IFERROR(__xludf.DUMMYFUNCTION("GOOGLETRANSLATE(B145, ""en"", ""zh"")"),"练习过程中，搭档突然虚晃一枪。你会怎么做？")</f>
        <v>练习过程中，搭档突然虚晃一枪。你会怎么做？</v>
      </c>
      <c r="I145" s="4" t="str">
        <f>IFERROR(__xludf.DUMMYFUNCTION("GOOGLETRANSLATE(C145, ""en"", ""zh"")"),"A) 保持放松并适应 B) 无视 C) 向前迈步 D) 攻击")</f>
        <v>A) 保持放松并适应 B) 无视 C) 向前迈步 D) 攻击</v>
      </c>
      <c r="J145" s="4" t="str">
        <f>IFERROR(__xludf.DUMMYFUNCTION("GOOGLETRANSLATE(D145, ""en"", ""zh"")"),"A) 保持放松并适应")</f>
        <v>A) 保持放松并适应</v>
      </c>
      <c r="K145" s="4" t="str">
        <f>IFERROR(__xludf.DUMMYFUNCTION("GOOGLETRANSLATE(E145, ""en"", ""zh"")"),"#VALUE!")</f>
        <v>#VALUE!</v>
      </c>
      <c r="L145" s="21"/>
      <c r="M145" s="21"/>
      <c r="N145" s="21"/>
      <c r="O145" s="21"/>
      <c r="P145" s="21"/>
      <c r="Q145" s="19"/>
      <c r="R145" s="19"/>
      <c r="S145" s="19"/>
      <c r="T145" s="19"/>
      <c r="U145" s="19"/>
      <c r="V145" s="19"/>
      <c r="W145" s="19"/>
      <c r="X145" s="19"/>
      <c r="Y145" s="19"/>
      <c r="Z145" s="19"/>
    </row>
    <row r="146">
      <c r="A146" s="44">
        <v>145.0</v>
      </c>
      <c r="B146" s="12" t="s">
        <v>2611</v>
      </c>
      <c r="C146" s="12" t="s">
        <v>2498</v>
      </c>
      <c r="D146" s="12" t="s">
        <v>2499</v>
      </c>
      <c r="E146" s="27"/>
      <c r="F146" s="21"/>
      <c r="G146" s="21"/>
      <c r="H146" s="4" t="str">
        <f>IFERROR(__xludf.DUMMYFUNCTION("GOOGLETRANSLATE(B146, ""en"", ""zh"")"),"动作过程中手臂位置不对，该如何纠正？")</f>
        <v>动作过程中手臂位置不对，该如何纠正？</v>
      </c>
      <c r="I146" s="4" t="str">
        <f>IFERROR(__xludf.DUMMYFUNCTION("GOOGLETRANSLATE(C146, ""en"", ""zh"")"),"A) 调整手臂和肩膀 B) 忽略 C) 后退 D) 暂停")</f>
        <v>A) 调整手臂和肩膀 B) 忽略 C) 后退 D) 暂停</v>
      </c>
      <c r="J146" s="4" t="str">
        <f>IFERROR(__xludf.DUMMYFUNCTION("GOOGLETRANSLATE(D146, ""en"", ""zh"")"),"A) 调整手臂和肩膀")</f>
        <v>A) 调整手臂和肩膀</v>
      </c>
      <c r="K146" s="4" t="str">
        <f>IFERROR(__xludf.DUMMYFUNCTION("GOOGLETRANSLATE(E146, ""en"", ""zh"")"),"#VALUE!")</f>
        <v>#VALUE!</v>
      </c>
      <c r="L146" s="21"/>
      <c r="M146" s="21"/>
      <c r="N146" s="21"/>
      <c r="O146" s="21"/>
      <c r="P146" s="21"/>
      <c r="Q146" s="19"/>
      <c r="R146" s="19"/>
      <c r="S146" s="19"/>
      <c r="T146" s="19"/>
      <c r="U146" s="19"/>
      <c r="V146" s="19"/>
      <c r="W146" s="19"/>
      <c r="X146" s="19"/>
      <c r="Y146" s="19"/>
      <c r="Z146" s="19"/>
    </row>
    <row r="147">
      <c r="A147" s="44">
        <v>146.0</v>
      </c>
      <c r="B147" s="12" t="s">
        <v>2612</v>
      </c>
      <c r="C147" s="12" t="s">
        <v>2613</v>
      </c>
      <c r="D147" s="12" t="s">
        <v>2512</v>
      </c>
      <c r="E147" s="27"/>
      <c r="F147" s="21"/>
      <c r="G147" s="21"/>
      <c r="H147" s="4" t="str">
        <f>IFERROR(__xludf.DUMMYFUNCTION("GOOGLETRANSLATE(B147, ""en"", ""zh"")"),"伴侣的移动让你失去平衡。你会如何应对？")</f>
        <v>伴侣的移动让你失去平衡。你会如何应对？</v>
      </c>
      <c r="I147" s="4" t="str">
        <f>IFERROR(__xludf.DUMMYFUNCTION("GOOGLETRANSLATE(C147, ""en"", ""zh"")"),"A) 调整站姿和平衡 B) 无视 C) 向前迈一步 D) 抵抗")</f>
        <v>A) 调整站姿和平衡 B) 无视 C) 向前迈一步 D) 抵抗</v>
      </c>
      <c r="J147" s="4" t="str">
        <f>IFERROR(__xludf.DUMMYFUNCTION("GOOGLETRANSLATE(D147, ""en"", ""zh"")"),"A) 调整站姿和平衡")</f>
        <v>A) 调整站姿和平衡</v>
      </c>
      <c r="K147" s="4" t="str">
        <f>IFERROR(__xludf.DUMMYFUNCTION("GOOGLETRANSLATE(E147, ""en"", ""zh"")"),"#VALUE!")</f>
        <v>#VALUE!</v>
      </c>
      <c r="L147" s="21"/>
      <c r="M147" s="21"/>
      <c r="N147" s="21"/>
      <c r="O147" s="21"/>
      <c r="P147" s="21"/>
      <c r="Q147" s="19"/>
      <c r="R147" s="19"/>
      <c r="S147" s="19"/>
      <c r="T147" s="19"/>
      <c r="U147" s="19"/>
      <c r="V147" s="19"/>
      <c r="W147" s="19"/>
      <c r="X147" s="19"/>
      <c r="Y147" s="19"/>
      <c r="Z147" s="19"/>
    </row>
    <row r="148">
      <c r="A148" s="44">
        <v>147.0</v>
      </c>
      <c r="B148" s="12" t="s">
        <v>2614</v>
      </c>
      <c r="C148" s="12" t="s">
        <v>2558</v>
      </c>
      <c r="D148" s="12" t="s">
        <v>2559</v>
      </c>
      <c r="E148" s="27"/>
      <c r="F148" s="21"/>
      <c r="G148" s="21"/>
      <c r="H148" s="4" t="str">
        <f>IFERROR(__xludf.DUMMYFUNCTION("GOOGLETRANSLATE(B148, ""en"", ""zh"")"),"练习过程中，腿部肌肉紧张。最佳解决方法是什么？")</f>
        <v>练习过程中，腿部肌肉紧张。最佳解决方法是什么？</v>
      </c>
      <c r="I148" s="4" t="str">
        <f>IFERROR(__xludf.DUMMYFUNCTION("GOOGLETRANSLATE(C148, ""en"", ""zh"")"),"A) 放松并继续 B) 忽略 C) 后退 D) 加大力度")</f>
        <v>A) 放松并继续 B) 忽略 C) 后退 D) 加大力度</v>
      </c>
      <c r="J148" s="4" t="str">
        <f>IFERROR(__xludf.DUMMYFUNCTION("GOOGLETRANSLATE(D148, ""en"", ""zh"")"),"A) 放松并继续")</f>
        <v>A) 放松并继续</v>
      </c>
      <c r="K148" s="4" t="str">
        <f>IFERROR(__xludf.DUMMYFUNCTION("GOOGLETRANSLATE(E148, ""en"", ""zh"")"),"#VALUE!")</f>
        <v>#VALUE!</v>
      </c>
      <c r="L148" s="21"/>
      <c r="M148" s="21"/>
      <c r="N148" s="21"/>
      <c r="O148" s="21"/>
      <c r="P148" s="21"/>
      <c r="Q148" s="19"/>
      <c r="R148" s="19"/>
      <c r="S148" s="19"/>
      <c r="T148" s="19"/>
      <c r="U148" s="19"/>
      <c r="V148" s="19"/>
      <c r="W148" s="19"/>
      <c r="X148" s="19"/>
      <c r="Y148" s="19"/>
      <c r="Z148" s="19"/>
    </row>
    <row r="149">
      <c r="A149" s="21"/>
      <c r="B149" s="21"/>
      <c r="C149" s="21"/>
      <c r="D149" s="21"/>
      <c r="E149" s="21"/>
      <c r="F149" s="21"/>
      <c r="G149" s="21"/>
      <c r="H149" s="2"/>
      <c r="I149" s="21"/>
      <c r="J149" s="21"/>
      <c r="K149" s="21"/>
      <c r="L149" s="21"/>
      <c r="M149" s="21"/>
      <c r="N149" s="21"/>
      <c r="O149" s="21"/>
      <c r="P149" s="21"/>
      <c r="Q149" s="19"/>
      <c r="R149" s="19"/>
      <c r="S149" s="19"/>
      <c r="T149" s="19"/>
      <c r="U149" s="19"/>
      <c r="V149" s="19"/>
      <c r="W149" s="19"/>
      <c r="X149" s="19"/>
      <c r="Y149" s="19"/>
      <c r="Z149" s="19"/>
    </row>
    <row r="150">
      <c r="A150" s="21"/>
      <c r="B150" s="21"/>
      <c r="C150" s="21"/>
      <c r="D150" s="21"/>
      <c r="E150" s="21"/>
      <c r="F150" s="21"/>
      <c r="G150" s="21"/>
      <c r="H150" s="2"/>
      <c r="I150" s="21"/>
      <c r="J150" s="21"/>
      <c r="K150" s="21"/>
      <c r="L150" s="21"/>
      <c r="M150" s="21"/>
      <c r="N150" s="21"/>
      <c r="O150" s="21"/>
      <c r="P150" s="21"/>
      <c r="Q150" s="19"/>
      <c r="R150" s="19"/>
      <c r="S150" s="19"/>
      <c r="T150" s="19"/>
      <c r="U150" s="19"/>
      <c r="V150" s="19"/>
      <c r="W150" s="19"/>
      <c r="X150" s="19"/>
      <c r="Y150" s="19"/>
      <c r="Z150" s="19"/>
    </row>
    <row r="151">
      <c r="A151" s="21"/>
      <c r="B151" s="21"/>
      <c r="C151" s="21"/>
      <c r="D151" s="21"/>
      <c r="E151" s="21"/>
      <c r="F151" s="21"/>
      <c r="G151" s="21"/>
      <c r="H151" s="2"/>
      <c r="I151" s="21"/>
      <c r="J151" s="21"/>
      <c r="K151" s="21"/>
      <c r="L151" s="21"/>
      <c r="M151" s="21"/>
      <c r="N151" s="21"/>
      <c r="O151" s="21"/>
      <c r="P151" s="21"/>
      <c r="Q151" s="19"/>
      <c r="R151" s="19"/>
      <c r="S151" s="19"/>
      <c r="T151" s="19"/>
      <c r="U151" s="19"/>
      <c r="V151" s="19"/>
      <c r="W151" s="19"/>
      <c r="X151" s="19"/>
      <c r="Y151" s="19"/>
      <c r="Z151" s="19"/>
    </row>
    <row r="152">
      <c r="A152" s="21"/>
      <c r="B152" s="21"/>
      <c r="C152" s="21"/>
      <c r="D152" s="21"/>
      <c r="E152" s="21"/>
      <c r="F152" s="21"/>
      <c r="G152" s="21"/>
      <c r="H152" s="2"/>
      <c r="I152" s="21"/>
      <c r="J152" s="21"/>
      <c r="K152" s="21"/>
      <c r="L152" s="21"/>
      <c r="M152" s="21"/>
      <c r="N152" s="21"/>
      <c r="O152" s="21"/>
      <c r="P152" s="21"/>
      <c r="Q152" s="19"/>
      <c r="R152" s="19"/>
      <c r="S152" s="19"/>
      <c r="T152" s="19"/>
      <c r="U152" s="19"/>
      <c r="V152" s="19"/>
      <c r="W152" s="19"/>
      <c r="X152" s="19"/>
      <c r="Y152" s="19"/>
      <c r="Z152" s="19"/>
    </row>
    <row r="153">
      <c r="A153" s="21"/>
      <c r="B153" s="21"/>
      <c r="C153" s="21"/>
      <c r="D153" s="21"/>
      <c r="E153" s="21"/>
      <c r="F153" s="21"/>
      <c r="G153" s="21"/>
      <c r="H153" s="2"/>
      <c r="I153" s="21"/>
      <c r="J153" s="21"/>
      <c r="K153" s="21"/>
      <c r="L153" s="21"/>
      <c r="M153" s="21"/>
      <c r="N153" s="21"/>
      <c r="O153" s="21"/>
      <c r="P153" s="21"/>
      <c r="Q153" s="19"/>
      <c r="R153" s="19"/>
      <c r="S153" s="19"/>
      <c r="T153" s="19"/>
      <c r="U153" s="19"/>
      <c r="V153" s="19"/>
      <c r="W153" s="19"/>
      <c r="X153" s="19"/>
      <c r="Y153" s="19"/>
      <c r="Z153" s="19"/>
    </row>
    <row r="154">
      <c r="A154" s="21"/>
      <c r="B154" s="21"/>
      <c r="C154" s="21"/>
      <c r="D154" s="21"/>
      <c r="E154" s="21"/>
      <c r="F154" s="21"/>
      <c r="G154" s="21"/>
      <c r="H154" s="2"/>
      <c r="I154" s="21"/>
      <c r="J154" s="21"/>
      <c r="K154" s="21"/>
      <c r="L154" s="21"/>
      <c r="M154" s="21"/>
      <c r="N154" s="21"/>
      <c r="O154" s="21"/>
      <c r="P154" s="21"/>
      <c r="Q154" s="19"/>
      <c r="R154" s="19"/>
      <c r="S154" s="19"/>
      <c r="T154" s="19"/>
      <c r="U154" s="19"/>
      <c r="V154" s="19"/>
      <c r="W154" s="19"/>
      <c r="X154" s="19"/>
      <c r="Y154" s="19"/>
      <c r="Z154" s="19"/>
    </row>
    <row r="155">
      <c r="A155" s="21"/>
      <c r="B155" s="21"/>
      <c r="C155" s="21"/>
      <c r="D155" s="21"/>
      <c r="E155" s="21"/>
      <c r="F155" s="21"/>
      <c r="G155" s="21"/>
      <c r="H155" s="2"/>
      <c r="I155" s="21"/>
      <c r="J155" s="21"/>
      <c r="K155" s="21"/>
      <c r="L155" s="21"/>
      <c r="M155" s="21"/>
      <c r="N155" s="21"/>
      <c r="O155" s="21"/>
      <c r="P155" s="21"/>
      <c r="Q155" s="19"/>
      <c r="R155" s="19"/>
      <c r="S155" s="19"/>
      <c r="T155" s="19"/>
      <c r="U155" s="19"/>
      <c r="V155" s="19"/>
      <c r="W155" s="19"/>
      <c r="X155" s="19"/>
      <c r="Y155" s="19"/>
      <c r="Z155" s="19"/>
    </row>
    <row r="156">
      <c r="A156" s="21"/>
      <c r="B156" s="21"/>
      <c r="C156" s="21"/>
      <c r="D156" s="21"/>
      <c r="E156" s="21"/>
      <c r="F156" s="21"/>
      <c r="G156" s="21"/>
      <c r="H156" s="2"/>
      <c r="I156" s="21"/>
      <c r="J156" s="21"/>
      <c r="K156" s="21"/>
      <c r="L156" s="21"/>
      <c r="M156" s="21"/>
      <c r="N156" s="21"/>
      <c r="O156" s="21"/>
      <c r="P156" s="21"/>
      <c r="Q156" s="19"/>
      <c r="R156" s="19"/>
      <c r="S156" s="19"/>
      <c r="T156" s="19"/>
      <c r="U156" s="19"/>
      <c r="V156" s="19"/>
      <c r="W156" s="19"/>
      <c r="X156" s="19"/>
      <c r="Y156" s="19"/>
      <c r="Z156" s="19"/>
    </row>
    <row r="157">
      <c r="A157" s="21"/>
      <c r="B157" s="21"/>
      <c r="C157" s="21"/>
      <c r="D157" s="21"/>
      <c r="E157" s="21"/>
      <c r="F157" s="21"/>
      <c r="G157" s="21"/>
      <c r="H157" s="2"/>
      <c r="I157" s="21"/>
      <c r="J157" s="21"/>
      <c r="K157" s="21"/>
      <c r="L157" s="21"/>
      <c r="M157" s="21"/>
      <c r="N157" s="21"/>
      <c r="O157" s="21"/>
      <c r="P157" s="21"/>
      <c r="Q157" s="19"/>
      <c r="R157" s="19"/>
      <c r="S157" s="19"/>
      <c r="T157" s="19"/>
      <c r="U157" s="19"/>
      <c r="V157" s="19"/>
      <c r="W157" s="19"/>
      <c r="X157" s="19"/>
      <c r="Y157" s="19"/>
      <c r="Z157" s="19"/>
    </row>
    <row r="158">
      <c r="A158" s="21"/>
      <c r="B158" s="21"/>
      <c r="C158" s="21"/>
      <c r="D158" s="21"/>
      <c r="E158" s="21"/>
      <c r="F158" s="21"/>
      <c r="G158" s="21"/>
      <c r="H158" s="2"/>
      <c r="I158" s="21"/>
      <c r="J158" s="21"/>
      <c r="K158" s="21"/>
      <c r="L158" s="21"/>
      <c r="M158" s="21"/>
      <c r="N158" s="21"/>
      <c r="O158" s="21"/>
      <c r="P158" s="21"/>
      <c r="Q158" s="19"/>
      <c r="R158" s="19"/>
      <c r="S158" s="19"/>
      <c r="T158" s="19"/>
      <c r="U158" s="19"/>
      <c r="V158" s="19"/>
      <c r="W158" s="19"/>
      <c r="X158" s="19"/>
      <c r="Y158" s="19"/>
      <c r="Z158" s="19"/>
    </row>
    <row r="159">
      <c r="A159" s="21"/>
      <c r="B159" s="21"/>
      <c r="C159" s="21"/>
      <c r="D159" s="21"/>
      <c r="E159" s="21"/>
      <c r="F159" s="21"/>
      <c r="G159" s="21"/>
      <c r="H159" s="2"/>
      <c r="I159" s="21"/>
      <c r="J159" s="21"/>
      <c r="K159" s="21"/>
      <c r="L159" s="21"/>
      <c r="M159" s="21"/>
      <c r="N159" s="21"/>
      <c r="O159" s="21"/>
      <c r="P159" s="21"/>
      <c r="Q159" s="19"/>
      <c r="R159" s="19"/>
      <c r="S159" s="19"/>
      <c r="T159" s="19"/>
      <c r="U159" s="19"/>
      <c r="V159" s="19"/>
      <c r="W159" s="19"/>
      <c r="X159" s="19"/>
      <c r="Y159" s="19"/>
      <c r="Z159" s="19"/>
    </row>
    <row r="160">
      <c r="A160" s="21"/>
      <c r="B160" s="21"/>
      <c r="C160" s="21"/>
      <c r="D160" s="21"/>
      <c r="E160" s="21"/>
      <c r="F160" s="21"/>
      <c r="G160" s="21"/>
      <c r="H160" s="2"/>
      <c r="I160" s="21"/>
      <c r="J160" s="21"/>
      <c r="K160" s="21"/>
      <c r="L160" s="21"/>
      <c r="M160" s="21"/>
      <c r="N160" s="21"/>
      <c r="O160" s="21"/>
      <c r="P160" s="21"/>
      <c r="Q160" s="19"/>
      <c r="R160" s="19"/>
      <c r="S160" s="19"/>
      <c r="T160" s="19"/>
      <c r="U160" s="19"/>
      <c r="V160" s="19"/>
      <c r="W160" s="19"/>
      <c r="X160" s="19"/>
      <c r="Y160" s="19"/>
      <c r="Z160" s="19"/>
    </row>
    <row r="161">
      <c r="A161" s="21"/>
      <c r="B161" s="21"/>
      <c r="C161" s="21"/>
      <c r="D161" s="21"/>
      <c r="E161" s="21"/>
      <c r="F161" s="21"/>
      <c r="G161" s="21"/>
      <c r="H161" s="2"/>
      <c r="I161" s="21"/>
      <c r="J161" s="21"/>
      <c r="K161" s="21"/>
      <c r="L161" s="21"/>
      <c r="M161" s="21"/>
      <c r="N161" s="21"/>
      <c r="O161" s="21"/>
      <c r="P161" s="21"/>
      <c r="Q161" s="19"/>
      <c r="R161" s="19"/>
      <c r="S161" s="19"/>
      <c r="T161" s="19"/>
      <c r="U161" s="19"/>
      <c r="V161" s="19"/>
      <c r="W161" s="19"/>
      <c r="X161" s="19"/>
      <c r="Y161" s="19"/>
      <c r="Z161" s="19"/>
    </row>
    <row r="162">
      <c r="A162" s="21"/>
      <c r="B162" s="21"/>
      <c r="C162" s="21"/>
      <c r="D162" s="21"/>
      <c r="E162" s="21"/>
      <c r="F162" s="21"/>
      <c r="G162" s="21"/>
      <c r="H162" s="2"/>
      <c r="I162" s="21"/>
      <c r="J162" s="21"/>
      <c r="K162" s="21"/>
      <c r="L162" s="21"/>
      <c r="M162" s="21"/>
      <c r="N162" s="21"/>
      <c r="O162" s="21"/>
      <c r="P162" s="21"/>
      <c r="Q162" s="19"/>
      <c r="R162" s="19"/>
      <c r="S162" s="19"/>
      <c r="T162" s="19"/>
      <c r="U162" s="19"/>
      <c r="V162" s="19"/>
      <c r="W162" s="19"/>
      <c r="X162" s="19"/>
      <c r="Y162" s="19"/>
      <c r="Z162" s="19"/>
    </row>
    <row r="163">
      <c r="A163" s="21"/>
      <c r="B163" s="21"/>
      <c r="C163" s="21"/>
      <c r="D163" s="21"/>
      <c r="E163" s="21"/>
      <c r="F163" s="21"/>
      <c r="G163" s="21"/>
      <c r="H163" s="2"/>
      <c r="I163" s="21"/>
      <c r="J163" s="21"/>
      <c r="K163" s="21"/>
      <c r="L163" s="21"/>
      <c r="M163" s="21"/>
      <c r="N163" s="21"/>
      <c r="O163" s="21"/>
      <c r="P163" s="21"/>
      <c r="Q163" s="19"/>
      <c r="R163" s="19"/>
      <c r="S163" s="19"/>
      <c r="T163" s="19"/>
      <c r="U163" s="19"/>
      <c r="V163" s="19"/>
      <c r="W163" s="19"/>
      <c r="X163" s="19"/>
      <c r="Y163" s="19"/>
      <c r="Z163" s="19"/>
    </row>
    <row r="164">
      <c r="A164" s="21"/>
      <c r="B164" s="21"/>
      <c r="C164" s="21"/>
      <c r="D164" s="21"/>
      <c r="E164" s="21"/>
      <c r="F164" s="21"/>
      <c r="G164" s="21"/>
      <c r="H164" s="2"/>
      <c r="I164" s="21"/>
      <c r="J164" s="21"/>
      <c r="K164" s="21"/>
      <c r="L164" s="21"/>
      <c r="M164" s="21"/>
      <c r="N164" s="21"/>
      <c r="O164" s="21"/>
      <c r="P164" s="21"/>
      <c r="Q164" s="19"/>
      <c r="R164" s="19"/>
      <c r="S164" s="19"/>
      <c r="T164" s="19"/>
      <c r="U164" s="19"/>
      <c r="V164" s="19"/>
      <c r="W164" s="19"/>
      <c r="X164" s="19"/>
      <c r="Y164" s="19"/>
      <c r="Z164" s="19"/>
    </row>
    <row r="165">
      <c r="A165" s="21"/>
      <c r="B165" s="21"/>
      <c r="C165" s="21"/>
      <c r="D165" s="21"/>
      <c r="E165" s="21"/>
      <c r="F165" s="21"/>
      <c r="G165" s="21"/>
      <c r="H165" s="2"/>
      <c r="I165" s="21"/>
      <c r="J165" s="21"/>
      <c r="K165" s="21"/>
      <c r="L165" s="21"/>
      <c r="M165" s="21"/>
      <c r="N165" s="21"/>
      <c r="O165" s="21"/>
      <c r="P165" s="21"/>
      <c r="Q165" s="19"/>
      <c r="R165" s="19"/>
      <c r="S165" s="19"/>
      <c r="T165" s="19"/>
      <c r="U165" s="19"/>
      <c r="V165" s="19"/>
      <c r="W165" s="19"/>
      <c r="X165" s="19"/>
      <c r="Y165" s="19"/>
      <c r="Z165" s="19"/>
    </row>
    <row r="166">
      <c r="A166" s="21"/>
      <c r="B166" s="21"/>
      <c r="C166" s="21"/>
      <c r="D166" s="21"/>
      <c r="E166" s="21"/>
      <c r="F166" s="21"/>
      <c r="G166" s="21"/>
      <c r="H166" s="2"/>
      <c r="I166" s="21"/>
      <c r="J166" s="21"/>
      <c r="K166" s="21"/>
      <c r="L166" s="21"/>
      <c r="M166" s="21"/>
      <c r="N166" s="21"/>
      <c r="O166" s="21"/>
      <c r="P166" s="21"/>
      <c r="Q166" s="19"/>
      <c r="R166" s="19"/>
      <c r="S166" s="19"/>
      <c r="T166" s="19"/>
      <c r="U166" s="19"/>
      <c r="V166" s="19"/>
      <c r="W166" s="19"/>
      <c r="X166" s="19"/>
      <c r="Y166" s="19"/>
      <c r="Z166" s="19"/>
    </row>
    <row r="167">
      <c r="A167" s="21"/>
      <c r="B167" s="21"/>
      <c r="C167" s="21"/>
      <c r="D167" s="21"/>
      <c r="E167" s="21"/>
      <c r="F167" s="21"/>
      <c r="G167" s="21"/>
      <c r="H167" s="2"/>
      <c r="I167" s="21"/>
      <c r="J167" s="21"/>
      <c r="K167" s="21"/>
      <c r="L167" s="21"/>
      <c r="M167" s="21"/>
      <c r="N167" s="21"/>
      <c r="O167" s="21"/>
      <c r="P167" s="21"/>
      <c r="Q167" s="19"/>
      <c r="R167" s="19"/>
      <c r="S167" s="19"/>
      <c r="T167" s="19"/>
      <c r="U167" s="19"/>
      <c r="V167" s="19"/>
      <c r="W167" s="19"/>
      <c r="X167" s="19"/>
      <c r="Y167" s="19"/>
      <c r="Z167" s="19"/>
    </row>
    <row r="168">
      <c r="A168" s="21"/>
      <c r="B168" s="21"/>
      <c r="C168" s="21"/>
      <c r="D168" s="21"/>
      <c r="E168" s="21"/>
      <c r="F168" s="21"/>
      <c r="G168" s="21"/>
      <c r="H168" s="2"/>
      <c r="I168" s="21"/>
      <c r="J168" s="21"/>
      <c r="K168" s="21"/>
      <c r="L168" s="21"/>
      <c r="M168" s="21"/>
      <c r="N168" s="21"/>
      <c r="O168" s="21"/>
      <c r="P168" s="21"/>
      <c r="Q168" s="19"/>
      <c r="R168" s="19"/>
      <c r="S168" s="19"/>
      <c r="T168" s="19"/>
      <c r="U168" s="19"/>
      <c r="V168" s="19"/>
      <c r="W168" s="19"/>
      <c r="X168" s="19"/>
      <c r="Y168" s="19"/>
      <c r="Z168" s="19"/>
    </row>
    <row r="169">
      <c r="A169" s="21"/>
      <c r="B169" s="21"/>
      <c r="C169" s="21"/>
      <c r="D169" s="21"/>
      <c r="E169" s="21"/>
      <c r="F169" s="21"/>
      <c r="G169" s="21"/>
      <c r="H169" s="2"/>
      <c r="I169" s="21"/>
      <c r="J169" s="21"/>
      <c r="K169" s="21"/>
      <c r="L169" s="21"/>
      <c r="M169" s="21"/>
      <c r="N169" s="21"/>
      <c r="O169" s="21"/>
      <c r="P169" s="21"/>
      <c r="Q169" s="19"/>
      <c r="R169" s="19"/>
      <c r="S169" s="19"/>
      <c r="T169" s="19"/>
      <c r="U169" s="19"/>
      <c r="V169" s="19"/>
      <c r="W169" s="19"/>
      <c r="X169" s="19"/>
      <c r="Y169" s="19"/>
      <c r="Z169" s="19"/>
    </row>
    <row r="170">
      <c r="A170" s="21"/>
      <c r="B170" s="21"/>
      <c r="C170" s="21"/>
      <c r="D170" s="21"/>
      <c r="E170" s="21"/>
      <c r="F170" s="21"/>
      <c r="G170" s="21"/>
      <c r="H170" s="2"/>
      <c r="I170" s="21"/>
      <c r="J170" s="21"/>
      <c r="K170" s="21"/>
      <c r="L170" s="21"/>
      <c r="M170" s="21"/>
      <c r="N170" s="21"/>
      <c r="O170" s="21"/>
      <c r="P170" s="21"/>
      <c r="Q170" s="19"/>
      <c r="R170" s="19"/>
      <c r="S170" s="19"/>
      <c r="T170" s="19"/>
      <c r="U170" s="19"/>
      <c r="V170" s="19"/>
      <c r="W170" s="19"/>
      <c r="X170" s="19"/>
      <c r="Y170" s="19"/>
      <c r="Z170" s="19"/>
    </row>
    <row r="171">
      <c r="A171" s="21"/>
      <c r="B171" s="21"/>
      <c r="C171" s="21"/>
      <c r="D171" s="21"/>
      <c r="E171" s="21"/>
      <c r="F171" s="21"/>
      <c r="G171" s="21"/>
      <c r="H171" s="2"/>
      <c r="I171" s="21"/>
      <c r="J171" s="21"/>
      <c r="K171" s="21"/>
      <c r="L171" s="21"/>
      <c r="M171" s="21"/>
      <c r="N171" s="21"/>
      <c r="O171" s="21"/>
      <c r="P171" s="21"/>
      <c r="Q171" s="19"/>
      <c r="R171" s="19"/>
      <c r="S171" s="19"/>
      <c r="T171" s="19"/>
      <c r="U171" s="19"/>
      <c r="V171" s="19"/>
      <c r="W171" s="19"/>
      <c r="X171" s="19"/>
      <c r="Y171" s="19"/>
      <c r="Z171" s="19"/>
    </row>
    <row r="172">
      <c r="A172" s="21"/>
      <c r="B172" s="21"/>
      <c r="C172" s="21"/>
      <c r="D172" s="21"/>
      <c r="E172" s="21"/>
      <c r="F172" s="21"/>
      <c r="G172" s="21"/>
      <c r="H172" s="2"/>
      <c r="I172" s="21"/>
      <c r="J172" s="21"/>
      <c r="K172" s="21"/>
      <c r="L172" s="21"/>
      <c r="M172" s="21"/>
      <c r="N172" s="21"/>
      <c r="O172" s="21"/>
      <c r="P172" s="21"/>
      <c r="Q172" s="19"/>
      <c r="R172" s="19"/>
      <c r="S172" s="19"/>
      <c r="T172" s="19"/>
      <c r="U172" s="19"/>
      <c r="V172" s="19"/>
      <c r="W172" s="19"/>
      <c r="X172" s="19"/>
      <c r="Y172" s="19"/>
      <c r="Z172" s="19"/>
    </row>
    <row r="173">
      <c r="A173" s="21"/>
      <c r="B173" s="21"/>
      <c r="C173" s="21"/>
      <c r="D173" s="21"/>
      <c r="E173" s="21"/>
      <c r="F173" s="21"/>
      <c r="G173" s="21"/>
      <c r="H173" s="2"/>
      <c r="I173" s="21"/>
      <c r="J173" s="21"/>
      <c r="K173" s="21"/>
      <c r="L173" s="21"/>
      <c r="M173" s="21"/>
      <c r="N173" s="21"/>
      <c r="O173" s="21"/>
      <c r="P173" s="21"/>
      <c r="Q173" s="19"/>
      <c r="R173" s="19"/>
      <c r="S173" s="19"/>
      <c r="T173" s="19"/>
      <c r="U173" s="19"/>
      <c r="V173" s="19"/>
      <c r="W173" s="19"/>
      <c r="X173" s="19"/>
      <c r="Y173" s="19"/>
      <c r="Z173" s="19"/>
    </row>
    <row r="174">
      <c r="A174" s="21"/>
      <c r="B174" s="21"/>
      <c r="C174" s="21"/>
      <c r="D174" s="21"/>
      <c r="E174" s="21"/>
      <c r="F174" s="21"/>
      <c r="G174" s="21"/>
      <c r="H174" s="2"/>
      <c r="I174" s="21"/>
      <c r="J174" s="21"/>
      <c r="K174" s="21"/>
      <c r="L174" s="21"/>
      <c r="M174" s="21"/>
      <c r="N174" s="21"/>
      <c r="O174" s="21"/>
      <c r="P174" s="21"/>
      <c r="Q174" s="19"/>
      <c r="R174" s="19"/>
      <c r="S174" s="19"/>
      <c r="T174" s="19"/>
      <c r="U174" s="19"/>
      <c r="V174" s="19"/>
      <c r="W174" s="19"/>
      <c r="X174" s="19"/>
      <c r="Y174" s="19"/>
      <c r="Z174" s="19"/>
    </row>
    <row r="175">
      <c r="A175" s="21"/>
      <c r="B175" s="21"/>
      <c r="C175" s="21"/>
      <c r="D175" s="21"/>
      <c r="E175" s="21"/>
      <c r="F175" s="21"/>
      <c r="G175" s="21"/>
      <c r="H175" s="2"/>
      <c r="I175" s="21"/>
      <c r="J175" s="21"/>
      <c r="K175" s="21"/>
      <c r="L175" s="21"/>
      <c r="M175" s="21"/>
      <c r="N175" s="21"/>
      <c r="O175" s="21"/>
      <c r="P175" s="21"/>
      <c r="Q175" s="19"/>
      <c r="R175" s="19"/>
      <c r="S175" s="19"/>
      <c r="T175" s="19"/>
      <c r="U175" s="19"/>
      <c r="V175" s="19"/>
      <c r="W175" s="19"/>
      <c r="X175" s="19"/>
      <c r="Y175" s="19"/>
      <c r="Z175" s="19"/>
    </row>
    <row r="176">
      <c r="A176" s="21"/>
      <c r="B176" s="21"/>
      <c r="C176" s="21"/>
      <c r="D176" s="21"/>
      <c r="E176" s="21"/>
      <c r="F176" s="21"/>
      <c r="G176" s="21"/>
      <c r="H176" s="2"/>
      <c r="I176" s="21"/>
      <c r="J176" s="21"/>
      <c r="K176" s="21"/>
      <c r="L176" s="21"/>
      <c r="M176" s="21"/>
      <c r="N176" s="21"/>
      <c r="O176" s="21"/>
      <c r="P176" s="21"/>
      <c r="Q176" s="19"/>
      <c r="R176" s="19"/>
      <c r="S176" s="19"/>
      <c r="T176" s="19"/>
      <c r="U176" s="19"/>
      <c r="V176" s="19"/>
      <c r="W176" s="19"/>
      <c r="X176" s="19"/>
      <c r="Y176" s="19"/>
      <c r="Z176" s="19"/>
    </row>
    <row r="177">
      <c r="A177" s="21"/>
      <c r="B177" s="21"/>
      <c r="C177" s="21"/>
      <c r="D177" s="21"/>
      <c r="E177" s="21"/>
      <c r="F177" s="21"/>
      <c r="G177" s="21"/>
      <c r="H177" s="2"/>
      <c r="I177" s="21"/>
      <c r="J177" s="21"/>
      <c r="K177" s="21"/>
      <c r="L177" s="21"/>
      <c r="M177" s="21"/>
      <c r="N177" s="21"/>
      <c r="O177" s="21"/>
      <c r="P177" s="21"/>
      <c r="Q177" s="19"/>
      <c r="R177" s="19"/>
      <c r="S177" s="19"/>
      <c r="T177" s="19"/>
      <c r="U177" s="19"/>
      <c r="V177" s="19"/>
      <c r="W177" s="19"/>
      <c r="X177" s="19"/>
      <c r="Y177" s="19"/>
      <c r="Z177" s="19"/>
    </row>
    <row r="178">
      <c r="A178" s="21"/>
      <c r="B178" s="21"/>
      <c r="C178" s="21"/>
      <c r="D178" s="21"/>
      <c r="E178" s="21"/>
      <c r="F178" s="21"/>
      <c r="G178" s="21"/>
      <c r="H178" s="2"/>
      <c r="I178" s="21"/>
      <c r="J178" s="21"/>
      <c r="K178" s="21"/>
      <c r="L178" s="21"/>
      <c r="M178" s="21"/>
      <c r="N178" s="21"/>
      <c r="O178" s="21"/>
      <c r="P178" s="21"/>
      <c r="Q178" s="19"/>
      <c r="R178" s="19"/>
      <c r="S178" s="19"/>
      <c r="T178" s="19"/>
      <c r="U178" s="19"/>
      <c r="V178" s="19"/>
      <c r="W178" s="19"/>
      <c r="X178" s="19"/>
      <c r="Y178" s="19"/>
      <c r="Z178" s="19"/>
    </row>
    <row r="179">
      <c r="A179" s="21"/>
      <c r="B179" s="21"/>
      <c r="C179" s="21"/>
      <c r="D179" s="21"/>
      <c r="E179" s="21"/>
      <c r="F179" s="21"/>
      <c r="G179" s="21"/>
      <c r="H179" s="2"/>
      <c r="I179" s="21"/>
      <c r="J179" s="21"/>
      <c r="K179" s="21"/>
      <c r="L179" s="21"/>
      <c r="M179" s="21"/>
      <c r="N179" s="21"/>
      <c r="O179" s="21"/>
      <c r="P179" s="21"/>
      <c r="Q179" s="19"/>
      <c r="R179" s="19"/>
      <c r="S179" s="19"/>
      <c r="T179" s="19"/>
      <c r="U179" s="19"/>
      <c r="V179" s="19"/>
      <c r="W179" s="19"/>
      <c r="X179" s="19"/>
      <c r="Y179" s="19"/>
      <c r="Z179" s="19"/>
    </row>
    <row r="180">
      <c r="A180" s="21"/>
      <c r="B180" s="21"/>
      <c r="C180" s="21"/>
      <c r="D180" s="21"/>
      <c r="E180" s="21"/>
      <c r="F180" s="21"/>
      <c r="G180" s="21"/>
      <c r="H180" s="2"/>
      <c r="I180" s="21"/>
      <c r="J180" s="21"/>
      <c r="K180" s="21"/>
      <c r="L180" s="21"/>
      <c r="M180" s="21"/>
      <c r="N180" s="21"/>
      <c r="O180" s="21"/>
      <c r="P180" s="21"/>
      <c r="Q180" s="19"/>
      <c r="R180" s="19"/>
      <c r="S180" s="19"/>
      <c r="T180" s="19"/>
      <c r="U180" s="19"/>
      <c r="V180" s="19"/>
      <c r="W180" s="19"/>
      <c r="X180" s="19"/>
      <c r="Y180" s="19"/>
      <c r="Z180" s="19"/>
    </row>
    <row r="181">
      <c r="A181" s="21"/>
      <c r="B181" s="21"/>
      <c r="C181" s="21"/>
      <c r="D181" s="21"/>
      <c r="E181" s="21"/>
      <c r="F181" s="21"/>
      <c r="G181" s="21"/>
      <c r="H181" s="2"/>
      <c r="I181" s="21"/>
      <c r="J181" s="21"/>
      <c r="K181" s="21"/>
      <c r="L181" s="21"/>
      <c r="M181" s="21"/>
      <c r="N181" s="21"/>
      <c r="O181" s="21"/>
      <c r="P181" s="21"/>
      <c r="Q181" s="19"/>
      <c r="R181" s="19"/>
      <c r="S181" s="19"/>
      <c r="T181" s="19"/>
      <c r="U181" s="19"/>
      <c r="V181" s="19"/>
      <c r="W181" s="19"/>
      <c r="X181" s="19"/>
      <c r="Y181" s="19"/>
      <c r="Z181" s="19"/>
    </row>
    <row r="182">
      <c r="A182" s="21"/>
      <c r="B182" s="21"/>
      <c r="C182" s="21"/>
      <c r="D182" s="21"/>
      <c r="E182" s="21"/>
      <c r="F182" s="21"/>
      <c r="G182" s="21"/>
      <c r="H182" s="2"/>
      <c r="I182" s="21"/>
      <c r="J182" s="21"/>
      <c r="K182" s="21"/>
      <c r="L182" s="21"/>
      <c r="M182" s="21"/>
      <c r="N182" s="21"/>
      <c r="O182" s="21"/>
      <c r="P182" s="21"/>
      <c r="Q182" s="19"/>
      <c r="R182" s="19"/>
      <c r="S182" s="19"/>
      <c r="T182" s="19"/>
      <c r="U182" s="19"/>
      <c r="V182" s="19"/>
      <c r="W182" s="19"/>
      <c r="X182" s="19"/>
      <c r="Y182" s="19"/>
      <c r="Z182" s="19"/>
    </row>
    <row r="183">
      <c r="A183" s="21"/>
      <c r="B183" s="21"/>
      <c r="C183" s="21"/>
      <c r="D183" s="21"/>
      <c r="E183" s="21"/>
      <c r="F183" s="21"/>
      <c r="G183" s="21"/>
      <c r="H183" s="2"/>
      <c r="I183" s="21"/>
      <c r="J183" s="21"/>
      <c r="K183" s="21"/>
      <c r="L183" s="21"/>
      <c r="M183" s="21"/>
      <c r="N183" s="21"/>
      <c r="O183" s="21"/>
      <c r="P183" s="21"/>
      <c r="Q183" s="19"/>
      <c r="R183" s="19"/>
      <c r="S183" s="19"/>
      <c r="T183" s="19"/>
      <c r="U183" s="19"/>
      <c r="V183" s="19"/>
      <c r="W183" s="19"/>
      <c r="X183" s="19"/>
      <c r="Y183" s="19"/>
      <c r="Z183" s="19"/>
    </row>
    <row r="184">
      <c r="A184" s="21"/>
      <c r="B184" s="21"/>
      <c r="C184" s="21"/>
      <c r="D184" s="21"/>
      <c r="E184" s="21"/>
      <c r="F184" s="21"/>
      <c r="G184" s="21"/>
      <c r="H184" s="2"/>
      <c r="I184" s="21"/>
      <c r="J184" s="21"/>
      <c r="K184" s="21"/>
      <c r="L184" s="21"/>
      <c r="M184" s="21"/>
      <c r="N184" s="21"/>
      <c r="O184" s="21"/>
      <c r="P184" s="21"/>
      <c r="Q184" s="19"/>
      <c r="R184" s="19"/>
      <c r="S184" s="19"/>
      <c r="T184" s="19"/>
      <c r="U184" s="19"/>
      <c r="V184" s="19"/>
      <c r="W184" s="19"/>
      <c r="X184" s="19"/>
      <c r="Y184" s="19"/>
      <c r="Z184" s="19"/>
    </row>
    <row r="185">
      <c r="A185" s="21"/>
      <c r="B185" s="21"/>
      <c r="C185" s="21"/>
      <c r="D185" s="21"/>
      <c r="E185" s="21"/>
      <c r="F185" s="21"/>
      <c r="G185" s="21"/>
      <c r="H185" s="2"/>
      <c r="I185" s="21"/>
      <c r="J185" s="21"/>
      <c r="K185" s="21"/>
      <c r="L185" s="21"/>
      <c r="M185" s="21"/>
      <c r="N185" s="21"/>
      <c r="O185" s="21"/>
      <c r="P185" s="21"/>
      <c r="Q185" s="19"/>
      <c r="R185" s="19"/>
      <c r="S185" s="19"/>
      <c r="T185" s="19"/>
      <c r="U185" s="19"/>
      <c r="V185" s="19"/>
      <c r="W185" s="19"/>
      <c r="X185" s="19"/>
      <c r="Y185" s="19"/>
      <c r="Z185" s="19"/>
    </row>
    <row r="186">
      <c r="A186" s="21"/>
      <c r="B186" s="21"/>
      <c r="C186" s="21"/>
      <c r="D186" s="21"/>
      <c r="E186" s="21"/>
      <c r="F186" s="21"/>
      <c r="G186" s="21"/>
      <c r="H186" s="2"/>
      <c r="I186" s="21"/>
      <c r="J186" s="21"/>
      <c r="K186" s="21"/>
      <c r="L186" s="21"/>
      <c r="M186" s="21"/>
      <c r="N186" s="21"/>
      <c r="O186" s="21"/>
      <c r="P186" s="21"/>
      <c r="Q186" s="19"/>
      <c r="R186" s="19"/>
      <c r="S186" s="19"/>
      <c r="T186" s="19"/>
      <c r="U186" s="19"/>
      <c r="V186" s="19"/>
      <c r="W186" s="19"/>
      <c r="X186" s="19"/>
      <c r="Y186" s="19"/>
      <c r="Z186" s="19"/>
    </row>
    <row r="187">
      <c r="A187" s="21"/>
      <c r="B187" s="21"/>
      <c r="C187" s="21"/>
      <c r="D187" s="21"/>
      <c r="E187" s="21"/>
      <c r="F187" s="21"/>
      <c r="G187" s="21"/>
      <c r="H187" s="2"/>
      <c r="I187" s="21"/>
      <c r="J187" s="21"/>
      <c r="K187" s="21"/>
      <c r="L187" s="21"/>
      <c r="M187" s="21"/>
      <c r="N187" s="21"/>
      <c r="O187" s="21"/>
      <c r="P187" s="21"/>
      <c r="Q187" s="19"/>
      <c r="R187" s="19"/>
      <c r="S187" s="19"/>
      <c r="T187" s="19"/>
      <c r="U187" s="19"/>
      <c r="V187" s="19"/>
      <c r="W187" s="19"/>
      <c r="X187" s="19"/>
      <c r="Y187" s="19"/>
      <c r="Z187" s="19"/>
    </row>
    <row r="188">
      <c r="A188" s="21"/>
      <c r="B188" s="21"/>
      <c r="C188" s="21"/>
      <c r="D188" s="21"/>
      <c r="E188" s="21"/>
      <c r="F188" s="21"/>
      <c r="G188" s="21"/>
      <c r="H188" s="2"/>
      <c r="I188" s="21"/>
      <c r="J188" s="21"/>
      <c r="K188" s="21"/>
      <c r="L188" s="21"/>
      <c r="M188" s="21"/>
      <c r="N188" s="21"/>
      <c r="O188" s="21"/>
      <c r="P188" s="21"/>
      <c r="Q188" s="19"/>
      <c r="R188" s="19"/>
      <c r="S188" s="19"/>
      <c r="T188" s="19"/>
      <c r="U188" s="19"/>
      <c r="V188" s="19"/>
      <c r="W188" s="19"/>
      <c r="X188" s="19"/>
      <c r="Y188" s="19"/>
      <c r="Z188" s="19"/>
    </row>
    <row r="189">
      <c r="A189" s="21"/>
      <c r="B189" s="21"/>
      <c r="C189" s="21"/>
      <c r="D189" s="21"/>
      <c r="E189" s="21"/>
      <c r="F189" s="21"/>
      <c r="G189" s="21"/>
      <c r="H189" s="2"/>
      <c r="I189" s="21"/>
      <c r="J189" s="21"/>
      <c r="K189" s="21"/>
      <c r="L189" s="21"/>
      <c r="M189" s="21"/>
      <c r="N189" s="21"/>
      <c r="O189" s="21"/>
      <c r="P189" s="21"/>
      <c r="Q189" s="19"/>
      <c r="R189" s="19"/>
      <c r="S189" s="19"/>
      <c r="T189" s="19"/>
      <c r="U189" s="19"/>
      <c r="V189" s="19"/>
      <c r="W189" s="19"/>
      <c r="X189" s="19"/>
      <c r="Y189" s="19"/>
      <c r="Z189" s="19"/>
    </row>
    <row r="190">
      <c r="A190" s="21"/>
      <c r="B190" s="21"/>
      <c r="C190" s="21"/>
      <c r="D190" s="21"/>
      <c r="E190" s="21"/>
      <c r="F190" s="21"/>
      <c r="G190" s="21"/>
      <c r="H190" s="2"/>
      <c r="I190" s="21"/>
      <c r="J190" s="21"/>
      <c r="K190" s="21"/>
      <c r="L190" s="21"/>
      <c r="M190" s="21"/>
      <c r="N190" s="21"/>
      <c r="O190" s="21"/>
      <c r="P190" s="21"/>
      <c r="Q190" s="19"/>
      <c r="R190" s="19"/>
      <c r="S190" s="19"/>
      <c r="T190" s="19"/>
      <c r="U190" s="19"/>
      <c r="V190" s="19"/>
      <c r="W190" s="19"/>
      <c r="X190" s="19"/>
      <c r="Y190" s="19"/>
      <c r="Z190" s="19"/>
    </row>
    <row r="191">
      <c r="A191" s="21"/>
      <c r="B191" s="21"/>
      <c r="C191" s="21"/>
      <c r="D191" s="21"/>
      <c r="E191" s="21"/>
      <c r="F191" s="21"/>
      <c r="G191" s="21"/>
      <c r="H191" s="2"/>
      <c r="I191" s="21"/>
      <c r="J191" s="21"/>
      <c r="K191" s="21"/>
      <c r="L191" s="21"/>
      <c r="M191" s="21"/>
      <c r="N191" s="21"/>
      <c r="O191" s="21"/>
      <c r="P191" s="21"/>
      <c r="Q191" s="19"/>
      <c r="R191" s="19"/>
      <c r="S191" s="19"/>
      <c r="T191" s="19"/>
      <c r="U191" s="19"/>
      <c r="V191" s="19"/>
      <c r="W191" s="19"/>
      <c r="X191" s="19"/>
      <c r="Y191" s="19"/>
      <c r="Z191" s="19"/>
    </row>
    <row r="192">
      <c r="A192" s="21"/>
      <c r="B192" s="21"/>
      <c r="C192" s="21"/>
      <c r="D192" s="21"/>
      <c r="E192" s="21"/>
      <c r="F192" s="21"/>
      <c r="G192" s="21"/>
      <c r="H192" s="2"/>
      <c r="I192" s="21"/>
      <c r="J192" s="21"/>
      <c r="K192" s="21"/>
      <c r="L192" s="21"/>
      <c r="M192" s="21"/>
      <c r="N192" s="21"/>
      <c r="O192" s="21"/>
      <c r="P192" s="21"/>
      <c r="Q192" s="19"/>
      <c r="R192" s="19"/>
      <c r="S192" s="19"/>
      <c r="T192" s="19"/>
      <c r="U192" s="19"/>
      <c r="V192" s="19"/>
      <c r="W192" s="19"/>
      <c r="X192" s="19"/>
      <c r="Y192" s="19"/>
      <c r="Z192" s="19"/>
    </row>
    <row r="193">
      <c r="A193" s="21"/>
      <c r="B193" s="21"/>
      <c r="C193" s="21"/>
      <c r="D193" s="21"/>
      <c r="E193" s="21"/>
      <c r="F193" s="21"/>
      <c r="G193" s="21"/>
      <c r="H193" s="2"/>
      <c r="I193" s="21"/>
      <c r="J193" s="21"/>
      <c r="K193" s="21"/>
      <c r="L193" s="21"/>
      <c r="M193" s="21"/>
      <c r="N193" s="21"/>
      <c r="O193" s="21"/>
      <c r="P193" s="21"/>
      <c r="Q193" s="19"/>
      <c r="R193" s="19"/>
      <c r="S193" s="19"/>
      <c r="T193" s="19"/>
      <c r="U193" s="19"/>
      <c r="V193" s="19"/>
      <c r="W193" s="19"/>
      <c r="X193" s="19"/>
      <c r="Y193" s="19"/>
      <c r="Z193" s="19"/>
    </row>
    <row r="194">
      <c r="A194" s="21"/>
      <c r="B194" s="21"/>
      <c r="C194" s="21"/>
      <c r="D194" s="21"/>
      <c r="E194" s="21"/>
      <c r="F194" s="21"/>
      <c r="G194" s="21"/>
      <c r="H194" s="2"/>
      <c r="I194" s="21"/>
      <c r="J194" s="21"/>
      <c r="K194" s="21"/>
      <c r="L194" s="21"/>
      <c r="M194" s="21"/>
      <c r="N194" s="21"/>
      <c r="O194" s="21"/>
      <c r="P194" s="21"/>
      <c r="Q194" s="19"/>
      <c r="R194" s="19"/>
      <c r="S194" s="19"/>
      <c r="T194" s="19"/>
      <c r="U194" s="19"/>
      <c r="V194" s="19"/>
      <c r="W194" s="19"/>
      <c r="X194" s="19"/>
      <c r="Y194" s="19"/>
      <c r="Z194" s="19"/>
    </row>
    <row r="195">
      <c r="A195" s="21"/>
      <c r="B195" s="21"/>
      <c r="C195" s="21"/>
      <c r="D195" s="21"/>
      <c r="E195" s="21"/>
      <c r="F195" s="21"/>
      <c r="G195" s="21"/>
      <c r="H195" s="2"/>
      <c r="I195" s="21"/>
      <c r="J195" s="21"/>
      <c r="K195" s="21"/>
      <c r="L195" s="21"/>
      <c r="M195" s="21"/>
      <c r="N195" s="21"/>
      <c r="O195" s="21"/>
      <c r="P195" s="21"/>
      <c r="Q195" s="19"/>
      <c r="R195" s="19"/>
      <c r="S195" s="19"/>
      <c r="T195" s="19"/>
      <c r="U195" s="19"/>
      <c r="V195" s="19"/>
      <c r="W195" s="19"/>
      <c r="X195" s="19"/>
      <c r="Y195" s="19"/>
      <c r="Z195" s="19"/>
    </row>
    <row r="196">
      <c r="A196" s="21"/>
      <c r="B196" s="21"/>
      <c r="C196" s="21"/>
      <c r="D196" s="21"/>
      <c r="E196" s="21"/>
      <c r="F196" s="21"/>
      <c r="G196" s="21"/>
      <c r="H196" s="2"/>
      <c r="I196" s="21"/>
      <c r="J196" s="21"/>
      <c r="K196" s="21"/>
      <c r="L196" s="21"/>
      <c r="M196" s="21"/>
      <c r="N196" s="21"/>
      <c r="O196" s="21"/>
      <c r="P196" s="21"/>
      <c r="Q196" s="19"/>
      <c r="R196" s="19"/>
      <c r="S196" s="19"/>
      <c r="T196" s="19"/>
      <c r="U196" s="19"/>
      <c r="V196" s="19"/>
      <c r="W196" s="19"/>
      <c r="X196" s="19"/>
      <c r="Y196" s="19"/>
      <c r="Z196" s="19"/>
    </row>
    <row r="197">
      <c r="A197" s="21"/>
      <c r="B197" s="21"/>
      <c r="C197" s="21"/>
      <c r="D197" s="21"/>
      <c r="E197" s="21"/>
      <c r="F197" s="21"/>
      <c r="G197" s="21"/>
      <c r="H197" s="2"/>
      <c r="I197" s="21"/>
      <c r="J197" s="21"/>
      <c r="K197" s="21"/>
      <c r="L197" s="21"/>
      <c r="M197" s="21"/>
      <c r="N197" s="21"/>
      <c r="O197" s="21"/>
      <c r="P197" s="21"/>
      <c r="Q197" s="19"/>
      <c r="R197" s="19"/>
      <c r="S197" s="19"/>
      <c r="T197" s="19"/>
      <c r="U197" s="19"/>
      <c r="V197" s="19"/>
      <c r="W197" s="19"/>
      <c r="X197" s="19"/>
      <c r="Y197" s="19"/>
      <c r="Z197" s="19"/>
    </row>
    <row r="198">
      <c r="A198" s="21"/>
      <c r="B198" s="21"/>
      <c r="C198" s="21"/>
      <c r="D198" s="21"/>
      <c r="E198" s="21"/>
      <c r="F198" s="21"/>
      <c r="G198" s="21"/>
      <c r="H198" s="2"/>
      <c r="I198" s="21"/>
      <c r="J198" s="21"/>
      <c r="K198" s="21"/>
      <c r="L198" s="21"/>
      <c r="M198" s="21"/>
      <c r="N198" s="21"/>
      <c r="O198" s="21"/>
      <c r="P198" s="21"/>
      <c r="Q198" s="19"/>
      <c r="R198" s="19"/>
      <c r="S198" s="19"/>
      <c r="T198" s="19"/>
      <c r="U198" s="19"/>
      <c r="V198" s="19"/>
      <c r="W198" s="19"/>
      <c r="X198" s="19"/>
      <c r="Y198" s="19"/>
      <c r="Z198" s="19"/>
    </row>
    <row r="199">
      <c r="A199" s="21"/>
      <c r="B199" s="21"/>
      <c r="C199" s="21"/>
      <c r="D199" s="21"/>
      <c r="E199" s="21"/>
      <c r="F199" s="21"/>
      <c r="G199" s="21"/>
      <c r="H199" s="2"/>
      <c r="I199" s="21"/>
      <c r="J199" s="21"/>
      <c r="K199" s="21"/>
      <c r="L199" s="21"/>
      <c r="M199" s="21"/>
      <c r="N199" s="21"/>
      <c r="O199" s="21"/>
      <c r="P199" s="21"/>
      <c r="Q199" s="19"/>
      <c r="R199" s="19"/>
      <c r="S199" s="19"/>
      <c r="T199" s="19"/>
      <c r="U199" s="19"/>
      <c r="V199" s="19"/>
      <c r="W199" s="19"/>
      <c r="X199" s="19"/>
      <c r="Y199" s="19"/>
      <c r="Z199" s="19"/>
    </row>
    <row r="200">
      <c r="A200" s="21"/>
      <c r="B200" s="21"/>
      <c r="C200" s="21"/>
      <c r="D200" s="21"/>
      <c r="E200" s="21"/>
      <c r="F200" s="21"/>
      <c r="G200" s="21"/>
      <c r="H200" s="2"/>
      <c r="I200" s="21"/>
      <c r="J200" s="21"/>
      <c r="K200" s="21"/>
      <c r="L200" s="21"/>
      <c r="M200" s="21"/>
      <c r="N200" s="21"/>
      <c r="O200" s="21"/>
      <c r="P200" s="21"/>
      <c r="Q200" s="19"/>
      <c r="R200" s="19"/>
      <c r="S200" s="19"/>
      <c r="T200" s="19"/>
      <c r="U200" s="19"/>
      <c r="V200" s="19"/>
      <c r="W200" s="19"/>
      <c r="X200" s="19"/>
      <c r="Y200" s="19"/>
      <c r="Z200" s="19"/>
    </row>
    <row r="201">
      <c r="A201" s="21"/>
      <c r="B201" s="21"/>
      <c r="C201" s="21"/>
      <c r="D201" s="21"/>
      <c r="E201" s="21"/>
      <c r="F201" s="21"/>
      <c r="G201" s="21"/>
      <c r="H201" s="2"/>
      <c r="I201" s="21"/>
      <c r="J201" s="21"/>
      <c r="K201" s="21"/>
      <c r="L201" s="21"/>
      <c r="M201" s="21"/>
      <c r="N201" s="21"/>
      <c r="O201" s="21"/>
      <c r="P201" s="21"/>
      <c r="Q201" s="19"/>
      <c r="R201" s="19"/>
      <c r="S201" s="19"/>
      <c r="T201" s="19"/>
      <c r="U201" s="19"/>
      <c r="V201" s="19"/>
      <c r="W201" s="19"/>
      <c r="X201" s="19"/>
      <c r="Y201" s="19"/>
      <c r="Z201" s="19"/>
    </row>
    <row r="202">
      <c r="A202" s="21"/>
      <c r="B202" s="21"/>
      <c r="C202" s="21"/>
      <c r="D202" s="21"/>
      <c r="E202" s="21"/>
      <c r="F202" s="21"/>
      <c r="G202" s="21"/>
      <c r="H202" s="2"/>
      <c r="I202" s="21"/>
      <c r="J202" s="21"/>
      <c r="K202" s="21"/>
      <c r="L202" s="21"/>
      <c r="M202" s="21"/>
      <c r="N202" s="21"/>
      <c r="O202" s="21"/>
      <c r="P202" s="21"/>
      <c r="Q202" s="19"/>
      <c r="R202" s="19"/>
      <c r="S202" s="19"/>
      <c r="T202" s="19"/>
      <c r="U202" s="19"/>
      <c r="V202" s="19"/>
      <c r="W202" s="19"/>
      <c r="X202" s="19"/>
      <c r="Y202" s="19"/>
      <c r="Z202" s="19"/>
    </row>
    <row r="203">
      <c r="A203" s="21"/>
      <c r="B203" s="21"/>
      <c r="C203" s="21"/>
      <c r="D203" s="21"/>
      <c r="E203" s="21"/>
      <c r="F203" s="21"/>
      <c r="G203" s="21"/>
      <c r="H203" s="2"/>
      <c r="I203" s="21"/>
      <c r="J203" s="21"/>
      <c r="K203" s="21"/>
      <c r="L203" s="21"/>
      <c r="M203" s="21"/>
      <c r="N203" s="21"/>
      <c r="O203" s="21"/>
      <c r="P203" s="21"/>
      <c r="Q203" s="19"/>
      <c r="R203" s="19"/>
      <c r="S203" s="19"/>
      <c r="T203" s="19"/>
      <c r="U203" s="19"/>
      <c r="V203" s="19"/>
      <c r="W203" s="19"/>
      <c r="X203" s="19"/>
      <c r="Y203" s="19"/>
      <c r="Z203" s="19"/>
    </row>
    <row r="204">
      <c r="A204" s="21"/>
      <c r="B204" s="21"/>
      <c r="C204" s="21"/>
      <c r="D204" s="21"/>
      <c r="E204" s="21"/>
      <c r="F204" s="21"/>
      <c r="G204" s="21"/>
      <c r="H204" s="2"/>
      <c r="I204" s="21"/>
      <c r="J204" s="21"/>
      <c r="K204" s="21"/>
      <c r="L204" s="21"/>
      <c r="M204" s="21"/>
      <c r="N204" s="21"/>
      <c r="O204" s="21"/>
      <c r="P204" s="21"/>
      <c r="Q204" s="19"/>
      <c r="R204" s="19"/>
      <c r="S204" s="19"/>
      <c r="T204" s="19"/>
      <c r="U204" s="19"/>
      <c r="V204" s="19"/>
      <c r="W204" s="19"/>
      <c r="X204" s="19"/>
      <c r="Y204" s="19"/>
      <c r="Z204" s="19"/>
    </row>
    <row r="205">
      <c r="A205" s="21"/>
      <c r="B205" s="21"/>
      <c r="C205" s="21"/>
      <c r="D205" s="21"/>
      <c r="E205" s="21"/>
      <c r="F205" s="21"/>
      <c r="G205" s="21"/>
      <c r="H205" s="2"/>
      <c r="I205" s="21"/>
      <c r="J205" s="21"/>
      <c r="K205" s="21"/>
      <c r="L205" s="21"/>
      <c r="M205" s="21"/>
      <c r="N205" s="21"/>
      <c r="O205" s="21"/>
      <c r="P205" s="21"/>
      <c r="Q205" s="19"/>
      <c r="R205" s="19"/>
      <c r="S205" s="19"/>
      <c r="T205" s="19"/>
      <c r="U205" s="19"/>
      <c r="V205" s="19"/>
      <c r="W205" s="19"/>
      <c r="X205" s="19"/>
      <c r="Y205" s="19"/>
      <c r="Z205" s="19"/>
    </row>
    <row r="206">
      <c r="A206" s="21"/>
      <c r="B206" s="21"/>
      <c r="C206" s="21"/>
      <c r="D206" s="21"/>
      <c r="E206" s="21"/>
      <c r="F206" s="21"/>
      <c r="G206" s="21"/>
      <c r="H206" s="2"/>
      <c r="I206" s="21"/>
      <c r="J206" s="21"/>
      <c r="K206" s="21"/>
      <c r="L206" s="21"/>
      <c r="M206" s="21"/>
      <c r="N206" s="21"/>
      <c r="O206" s="21"/>
      <c r="P206" s="21"/>
      <c r="Q206" s="19"/>
      <c r="R206" s="19"/>
      <c r="S206" s="19"/>
      <c r="T206" s="19"/>
      <c r="U206" s="19"/>
      <c r="V206" s="19"/>
      <c r="W206" s="19"/>
      <c r="X206" s="19"/>
      <c r="Y206" s="19"/>
      <c r="Z206" s="19"/>
    </row>
    <row r="207">
      <c r="A207" s="21"/>
      <c r="B207" s="21"/>
      <c r="C207" s="21"/>
      <c r="D207" s="21"/>
      <c r="E207" s="21"/>
      <c r="F207" s="21"/>
      <c r="G207" s="21"/>
      <c r="H207" s="2"/>
      <c r="I207" s="21"/>
      <c r="J207" s="21"/>
      <c r="K207" s="21"/>
      <c r="L207" s="21"/>
      <c r="M207" s="21"/>
      <c r="N207" s="21"/>
      <c r="O207" s="21"/>
      <c r="P207" s="21"/>
      <c r="Q207" s="19"/>
      <c r="R207" s="19"/>
      <c r="S207" s="19"/>
      <c r="T207" s="19"/>
      <c r="U207" s="19"/>
      <c r="V207" s="19"/>
      <c r="W207" s="19"/>
      <c r="X207" s="19"/>
      <c r="Y207" s="19"/>
      <c r="Z207" s="19"/>
    </row>
    <row r="208">
      <c r="A208" s="21"/>
      <c r="B208" s="21"/>
      <c r="C208" s="21"/>
      <c r="D208" s="21"/>
      <c r="E208" s="21"/>
      <c r="F208" s="21"/>
      <c r="G208" s="21"/>
      <c r="H208" s="2"/>
      <c r="I208" s="21"/>
      <c r="J208" s="21"/>
      <c r="K208" s="21"/>
      <c r="L208" s="21"/>
      <c r="M208" s="21"/>
      <c r="N208" s="21"/>
      <c r="O208" s="21"/>
      <c r="P208" s="21"/>
      <c r="Q208" s="19"/>
      <c r="R208" s="19"/>
      <c r="S208" s="19"/>
      <c r="T208" s="19"/>
      <c r="U208" s="19"/>
      <c r="V208" s="19"/>
      <c r="W208" s="19"/>
      <c r="X208" s="19"/>
      <c r="Y208" s="19"/>
      <c r="Z208" s="19"/>
    </row>
    <row r="209">
      <c r="A209" s="21"/>
      <c r="B209" s="21"/>
      <c r="C209" s="21"/>
      <c r="D209" s="21"/>
      <c r="E209" s="21"/>
      <c r="F209" s="21"/>
      <c r="G209" s="21"/>
      <c r="H209" s="2"/>
      <c r="I209" s="21"/>
      <c r="J209" s="21"/>
      <c r="K209" s="21"/>
      <c r="L209" s="21"/>
      <c r="M209" s="21"/>
      <c r="N209" s="21"/>
      <c r="O209" s="21"/>
      <c r="P209" s="21"/>
      <c r="Q209" s="19"/>
      <c r="R209" s="19"/>
      <c r="S209" s="19"/>
      <c r="T209" s="19"/>
      <c r="U209" s="19"/>
      <c r="V209" s="19"/>
      <c r="W209" s="19"/>
      <c r="X209" s="19"/>
      <c r="Y209" s="19"/>
      <c r="Z209" s="19"/>
    </row>
    <row r="210">
      <c r="A210" s="21"/>
      <c r="B210" s="21"/>
      <c r="C210" s="21"/>
      <c r="D210" s="21"/>
      <c r="E210" s="21"/>
      <c r="F210" s="21"/>
      <c r="G210" s="21"/>
      <c r="H210" s="2"/>
      <c r="I210" s="21"/>
      <c r="J210" s="21"/>
      <c r="K210" s="21"/>
      <c r="L210" s="21"/>
      <c r="M210" s="21"/>
      <c r="N210" s="21"/>
      <c r="O210" s="21"/>
      <c r="P210" s="21"/>
      <c r="Q210" s="19"/>
      <c r="R210" s="19"/>
      <c r="S210" s="19"/>
      <c r="T210" s="19"/>
      <c r="U210" s="19"/>
      <c r="V210" s="19"/>
      <c r="W210" s="19"/>
      <c r="X210" s="19"/>
      <c r="Y210" s="19"/>
      <c r="Z210" s="19"/>
    </row>
    <row r="211">
      <c r="A211" s="21"/>
      <c r="B211" s="21"/>
      <c r="C211" s="21"/>
      <c r="D211" s="21"/>
      <c r="E211" s="21"/>
      <c r="F211" s="21"/>
      <c r="G211" s="21"/>
      <c r="H211" s="2"/>
      <c r="I211" s="21"/>
      <c r="J211" s="21"/>
      <c r="K211" s="21"/>
      <c r="L211" s="21"/>
      <c r="M211" s="21"/>
      <c r="N211" s="21"/>
      <c r="O211" s="21"/>
      <c r="P211" s="21"/>
      <c r="Q211" s="19"/>
      <c r="R211" s="19"/>
      <c r="S211" s="19"/>
      <c r="T211" s="19"/>
      <c r="U211" s="19"/>
      <c r="V211" s="19"/>
      <c r="W211" s="19"/>
      <c r="X211" s="19"/>
      <c r="Y211" s="19"/>
      <c r="Z211" s="19"/>
    </row>
    <row r="212">
      <c r="A212" s="21"/>
      <c r="B212" s="21"/>
      <c r="C212" s="21"/>
      <c r="D212" s="21"/>
      <c r="E212" s="21"/>
      <c r="F212" s="21"/>
      <c r="G212" s="21"/>
      <c r="H212" s="2"/>
      <c r="I212" s="21"/>
      <c r="J212" s="21"/>
      <c r="K212" s="21"/>
      <c r="L212" s="21"/>
      <c r="M212" s="21"/>
      <c r="N212" s="21"/>
      <c r="O212" s="21"/>
      <c r="P212" s="21"/>
      <c r="Q212" s="19"/>
      <c r="R212" s="19"/>
      <c r="S212" s="19"/>
      <c r="T212" s="19"/>
      <c r="U212" s="19"/>
      <c r="V212" s="19"/>
      <c r="W212" s="19"/>
      <c r="X212" s="19"/>
      <c r="Y212" s="19"/>
      <c r="Z212" s="19"/>
    </row>
    <row r="213">
      <c r="A213" s="21"/>
      <c r="B213" s="21"/>
      <c r="C213" s="21"/>
      <c r="D213" s="21"/>
      <c r="E213" s="21"/>
      <c r="F213" s="21"/>
      <c r="G213" s="21"/>
      <c r="H213" s="2"/>
      <c r="I213" s="21"/>
      <c r="J213" s="21"/>
      <c r="K213" s="21"/>
      <c r="L213" s="21"/>
      <c r="M213" s="21"/>
      <c r="N213" s="21"/>
      <c r="O213" s="21"/>
      <c r="P213" s="21"/>
      <c r="Q213" s="19"/>
      <c r="R213" s="19"/>
      <c r="S213" s="19"/>
      <c r="T213" s="19"/>
      <c r="U213" s="19"/>
      <c r="V213" s="19"/>
      <c r="W213" s="19"/>
      <c r="X213" s="19"/>
      <c r="Y213" s="19"/>
      <c r="Z213" s="19"/>
    </row>
    <row r="214">
      <c r="A214" s="21"/>
      <c r="B214" s="21"/>
      <c r="C214" s="21"/>
      <c r="D214" s="21"/>
      <c r="E214" s="21"/>
      <c r="F214" s="21"/>
      <c r="G214" s="21"/>
      <c r="H214" s="2"/>
      <c r="I214" s="21"/>
      <c r="J214" s="21"/>
      <c r="K214" s="21"/>
      <c r="L214" s="21"/>
      <c r="M214" s="21"/>
      <c r="N214" s="21"/>
      <c r="O214" s="21"/>
      <c r="P214" s="21"/>
      <c r="Q214" s="19"/>
      <c r="R214" s="19"/>
      <c r="S214" s="19"/>
      <c r="T214" s="19"/>
      <c r="U214" s="19"/>
      <c r="V214" s="19"/>
      <c r="W214" s="19"/>
      <c r="X214" s="19"/>
      <c r="Y214" s="19"/>
      <c r="Z214" s="19"/>
    </row>
    <row r="215">
      <c r="A215" s="21"/>
      <c r="B215" s="21"/>
      <c r="C215" s="21"/>
      <c r="D215" s="21"/>
      <c r="E215" s="21"/>
      <c r="F215" s="21"/>
      <c r="G215" s="21"/>
      <c r="H215" s="2"/>
      <c r="I215" s="21"/>
      <c r="J215" s="21"/>
      <c r="K215" s="21"/>
      <c r="L215" s="21"/>
      <c r="M215" s="21"/>
      <c r="N215" s="21"/>
      <c r="O215" s="21"/>
      <c r="P215" s="21"/>
      <c r="Q215" s="19"/>
      <c r="R215" s="19"/>
      <c r="S215" s="19"/>
      <c r="T215" s="19"/>
      <c r="U215" s="19"/>
      <c r="V215" s="19"/>
      <c r="W215" s="19"/>
      <c r="X215" s="19"/>
      <c r="Y215" s="19"/>
      <c r="Z215" s="19"/>
    </row>
    <row r="216">
      <c r="A216" s="21"/>
      <c r="B216" s="21"/>
      <c r="C216" s="21"/>
      <c r="D216" s="21"/>
      <c r="E216" s="21"/>
      <c r="F216" s="21"/>
      <c r="G216" s="21"/>
      <c r="H216" s="2"/>
      <c r="I216" s="21"/>
      <c r="J216" s="21"/>
      <c r="K216" s="21"/>
      <c r="L216" s="21"/>
      <c r="M216" s="21"/>
      <c r="N216" s="21"/>
      <c r="O216" s="21"/>
      <c r="P216" s="21"/>
      <c r="Q216" s="19"/>
      <c r="R216" s="19"/>
      <c r="S216" s="19"/>
      <c r="T216" s="19"/>
      <c r="U216" s="19"/>
      <c r="V216" s="19"/>
      <c r="W216" s="19"/>
      <c r="X216" s="19"/>
      <c r="Y216" s="19"/>
      <c r="Z216" s="19"/>
    </row>
    <row r="217">
      <c r="A217" s="21"/>
      <c r="B217" s="21"/>
      <c r="C217" s="21"/>
      <c r="D217" s="21"/>
      <c r="E217" s="21"/>
      <c r="F217" s="21"/>
      <c r="G217" s="21"/>
      <c r="H217" s="2"/>
      <c r="I217" s="21"/>
      <c r="J217" s="21"/>
      <c r="K217" s="21"/>
      <c r="L217" s="21"/>
      <c r="M217" s="21"/>
      <c r="N217" s="21"/>
      <c r="O217" s="21"/>
      <c r="P217" s="21"/>
      <c r="Q217" s="19"/>
      <c r="R217" s="19"/>
      <c r="S217" s="19"/>
      <c r="T217" s="19"/>
      <c r="U217" s="19"/>
      <c r="V217" s="19"/>
      <c r="W217" s="19"/>
      <c r="X217" s="19"/>
      <c r="Y217" s="19"/>
      <c r="Z217" s="19"/>
    </row>
    <row r="218">
      <c r="A218" s="21"/>
      <c r="B218" s="21"/>
      <c r="C218" s="21"/>
      <c r="D218" s="21"/>
      <c r="E218" s="21"/>
      <c r="F218" s="21"/>
      <c r="G218" s="21"/>
      <c r="H218" s="2"/>
      <c r="I218" s="21"/>
      <c r="J218" s="21"/>
      <c r="K218" s="21"/>
      <c r="L218" s="21"/>
      <c r="M218" s="21"/>
      <c r="N218" s="21"/>
      <c r="O218" s="21"/>
      <c r="P218" s="21"/>
      <c r="Q218" s="19"/>
      <c r="R218" s="19"/>
      <c r="S218" s="19"/>
      <c r="T218" s="19"/>
      <c r="U218" s="19"/>
      <c r="V218" s="19"/>
      <c r="W218" s="19"/>
      <c r="X218" s="19"/>
      <c r="Y218" s="19"/>
      <c r="Z218" s="19"/>
    </row>
    <row r="219">
      <c r="A219" s="21"/>
      <c r="B219" s="21"/>
      <c r="C219" s="21"/>
      <c r="D219" s="21"/>
      <c r="E219" s="21"/>
      <c r="F219" s="21"/>
      <c r="G219" s="21"/>
      <c r="H219" s="2"/>
      <c r="I219" s="21"/>
      <c r="J219" s="21"/>
      <c r="K219" s="21"/>
      <c r="L219" s="21"/>
      <c r="M219" s="21"/>
      <c r="N219" s="21"/>
      <c r="O219" s="21"/>
      <c r="P219" s="21"/>
      <c r="Q219" s="19"/>
      <c r="R219" s="19"/>
      <c r="S219" s="19"/>
      <c r="T219" s="19"/>
      <c r="U219" s="19"/>
      <c r="V219" s="19"/>
      <c r="W219" s="19"/>
      <c r="X219" s="19"/>
      <c r="Y219" s="19"/>
      <c r="Z219" s="19"/>
    </row>
    <row r="220">
      <c r="A220" s="21"/>
      <c r="B220" s="21"/>
      <c r="C220" s="21"/>
      <c r="D220" s="21"/>
      <c r="E220" s="21"/>
      <c r="F220" s="21"/>
      <c r="G220" s="21"/>
      <c r="H220" s="2"/>
      <c r="I220" s="21"/>
      <c r="J220" s="21"/>
      <c r="K220" s="21"/>
      <c r="L220" s="21"/>
      <c r="M220" s="21"/>
      <c r="N220" s="21"/>
      <c r="O220" s="21"/>
      <c r="P220" s="21"/>
      <c r="Q220" s="19"/>
      <c r="R220" s="19"/>
      <c r="S220" s="19"/>
      <c r="T220" s="19"/>
      <c r="U220" s="19"/>
      <c r="V220" s="19"/>
      <c r="W220" s="19"/>
      <c r="X220" s="19"/>
      <c r="Y220" s="19"/>
      <c r="Z220" s="19"/>
    </row>
    <row r="221">
      <c r="A221" s="21"/>
      <c r="B221" s="21"/>
      <c r="C221" s="21"/>
      <c r="D221" s="21"/>
      <c r="E221" s="21"/>
      <c r="F221" s="21"/>
      <c r="G221" s="21"/>
      <c r="H221" s="2"/>
      <c r="I221" s="21"/>
      <c r="J221" s="21"/>
      <c r="K221" s="21"/>
      <c r="L221" s="21"/>
      <c r="M221" s="21"/>
      <c r="N221" s="21"/>
      <c r="O221" s="21"/>
      <c r="P221" s="21"/>
      <c r="Q221" s="19"/>
      <c r="R221" s="19"/>
      <c r="S221" s="19"/>
      <c r="T221" s="19"/>
      <c r="U221" s="19"/>
      <c r="V221" s="19"/>
      <c r="W221" s="19"/>
      <c r="X221" s="19"/>
      <c r="Y221" s="19"/>
      <c r="Z221" s="19"/>
    </row>
    <row r="222">
      <c r="A222" s="21"/>
      <c r="B222" s="21"/>
      <c r="C222" s="21"/>
      <c r="D222" s="21"/>
      <c r="E222" s="21"/>
      <c r="F222" s="21"/>
      <c r="G222" s="21"/>
      <c r="H222" s="2"/>
      <c r="I222" s="21"/>
      <c r="J222" s="21"/>
      <c r="K222" s="21"/>
      <c r="L222" s="21"/>
      <c r="M222" s="21"/>
      <c r="N222" s="21"/>
      <c r="O222" s="21"/>
      <c r="P222" s="21"/>
      <c r="Q222" s="19"/>
      <c r="R222" s="19"/>
      <c r="S222" s="19"/>
      <c r="T222" s="19"/>
      <c r="U222" s="19"/>
      <c r="V222" s="19"/>
      <c r="W222" s="19"/>
      <c r="X222" s="19"/>
      <c r="Y222" s="19"/>
      <c r="Z222" s="19"/>
    </row>
    <row r="223">
      <c r="A223" s="21"/>
      <c r="B223" s="21"/>
      <c r="C223" s="21"/>
      <c r="D223" s="21"/>
      <c r="E223" s="21"/>
      <c r="F223" s="21"/>
      <c r="G223" s="21"/>
      <c r="H223" s="2"/>
      <c r="I223" s="21"/>
      <c r="J223" s="21"/>
      <c r="K223" s="21"/>
      <c r="L223" s="21"/>
      <c r="M223" s="21"/>
      <c r="N223" s="21"/>
      <c r="O223" s="21"/>
      <c r="P223" s="21"/>
      <c r="Q223" s="19"/>
      <c r="R223" s="19"/>
      <c r="S223" s="19"/>
      <c r="T223" s="19"/>
      <c r="U223" s="19"/>
      <c r="V223" s="19"/>
      <c r="W223" s="19"/>
      <c r="X223" s="19"/>
      <c r="Y223" s="19"/>
      <c r="Z223" s="19"/>
    </row>
    <row r="224">
      <c r="A224" s="21"/>
      <c r="B224" s="21"/>
      <c r="C224" s="21"/>
      <c r="D224" s="21"/>
      <c r="E224" s="21"/>
      <c r="F224" s="21"/>
      <c r="G224" s="21"/>
      <c r="H224" s="2"/>
      <c r="I224" s="21"/>
      <c r="J224" s="21"/>
      <c r="K224" s="21"/>
      <c r="L224" s="21"/>
      <c r="M224" s="21"/>
      <c r="N224" s="21"/>
      <c r="O224" s="21"/>
      <c r="P224" s="21"/>
      <c r="Q224" s="19"/>
      <c r="R224" s="19"/>
      <c r="S224" s="19"/>
      <c r="T224" s="19"/>
      <c r="U224" s="19"/>
      <c r="V224" s="19"/>
      <c r="W224" s="19"/>
      <c r="X224" s="19"/>
      <c r="Y224" s="19"/>
      <c r="Z224" s="19"/>
    </row>
    <row r="225">
      <c r="A225" s="21"/>
      <c r="B225" s="21"/>
      <c r="C225" s="21"/>
      <c r="D225" s="21"/>
      <c r="E225" s="21"/>
      <c r="F225" s="21"/>
      <c r="G225" s="21"/>
      <c r="H225" s="2"/>
      <c r="I225" s="21"/>
      <c r="J225" s="21"/>
      <c r="K225" s="21"/>
      <c r="L225" s="21"/>
      <c r="M225" s="21"/>
      <c r="N225" s="21"/>
      <c r="O225" s="21"/>
      <c r="P225" s="21"/>
      <c r="Q225" s="19"/>
      <c r="R225" s="19"/>
      <c r="S225" s="19"/>
      <c r="T225" s="19"/>
      <c r="U225" s="19"/>
      <c r="V225" s="19"/>
      <c r="W225" s="19"/>
      <c r="X225" s="19"/>
      <c r="Y225" s="19"/>
      <c r="Z225" s="19"/>
    </row>
    <row r="226">
      <c r="A226" s="21"/>
      <c r="B226" s="21"/>
      <c r="C226" s="21"/>
      <c r="D226" s="21"/>
      <c r="E226" s="21"/>
      <c r="F226" s="21"/>
      <c r="G226" s="21"/>
      <c r="H226" s="2"/>
      <c r="I226" s="21"/>
      <c r="J226" s="21"/>
      <c r="K226" s="21"/>
      <c r="L226" s="21"/>
      <c r="M226" s="21"/>
      <c r="N226" s="21"/>
      <c r="O226" s="21"/>
      <c r="P226" s="21"/>
      <c r="Q226" s="19"/>
      <c r="R226" s="19"/>
      <c r="S226" s="19"/>
      <c r="T226" s="19"/>
      <c r="U226" s="19"/>
      <c r="V226" s="19"/>
      <c r="W226" s="19"/>
      <c r="X226" s="19"/>
      <c r="Y226" s="19"/>
      <c r="Z226" s="19"/>
    </row>
    <row r="227">
      <c r="A227" s="21"/>
      <c r="B227" s="21"/>
      <c r="C227" s="21"/>
      <c r="D227" s="21"/>
      <c r="E227" s="21"/>
      <c r="F227" s="21"/>
      <c r="G227" s="21"/>
      <c r="H227" s="2"/>
      <c r="I227" s="21"/>
      <c r="J227" s="21"/>
      <c r="K227" s="21"/>
      <c r="L227" s="21"/>
      <c r="M227" s="21"/>
      <c r="N227" s="21"/>
      <c r="O227" s="21"/>
      <c r="P227" s="21"/>
      <c r="Q227" s="19"/>
      <c r="R227" s="19"/>
      <c r="S227" s="19"/>
      <c r="T227" s="19"/>
      <c r="U227" s="19"/>
      <c r="V227" s="19"/>
      <c r="W227" s="19"/>
      <c r="X227" s="19"/>
      <c r="Y227" s="19"/>
      <c r="Z227" s="19"/>
    </row>
    <row r="228">
      <c r="A228" s="21"/>
      <c r="B228" s="21"/>
      <c r="C228" s="21"/>
      <c r="D228" s="21"/>
      <c r="E228" s="21"/>
      <c r="F228" s="21"/>
      <c r="G228" s="21"/>
      <c r="H228" s="2"/>
      <c r="I228" s="21"/>
      <c r="J228" s="21"/>
      <c r="K228" s="21"/>
      <c r="L228" s="21"/>
      <c r="M228" s="21"/>
      <c r="N228" s="21"/>
      <c r="O228" s="21"/>
      <c r="P228" s="21"/>
      <c r="Q228" s="19"/>
      <c r="R228" s="19"/>
      <c r="S228" s="19"/>
      <c r="T228" s="19"/>
      <c r="U228" s="19"/>
      <c r="V228" s="19"/>
      <c r="W228" s="19"/>
      <c r="X228" s="19"/>
      <c r="Y228" s="19"/>
      <c r="Z228" s="19"/>
    </row>
    <row r="229">
      <c r="A229" s="21"/>
      <c r="B229" s="21"/>
      <c r="C229" s="21"/>
      <c r="D229" s="21"/>
      <c r="E229" s="21"/>
      <c r="F229" s="21"/>
      <c r="G229" s="21"/>
      <c r="H229" s="2"/>
      <c r="I229" s="21"/>
      <c r="J229" s="21"/>
      <c r="K229" s="21"/>
      <c r="L229" s="21"/>
      <c r="M229" s="21"/>
      <c r="N229" s="21"/>
      <c r="O229" s="21"/>
      <c r="P229" s="21"/>
      <c r="Q229" s="19"/>
      <c r="R229" s="19"/>
      <c r="S229" s="19"/>
      <c r="T229" s="19"/>
      <c r="U229" s="19"/>
      <c r="V229" s="19"/>
      <c r="W229" s="19"/>
      <c r="X229" s="19"/>
      <c r="Y229" s="19"/>
      <c r="Z229" s="19"/>
    </row>
    <row r="230">
      <c r="A230" s="21"/>
      <c r="B230" s="21"/>
      <c r="C230" s="21"/>
      <c r="D230" s="21"/>
      <c r="E230" s="21"/>
      <c r="F230" s="21"/>
      <c r="G230" s="21"/>
      <c r="H230" s="2"/>
      <c r="I230" s="21"/>
      <c r="J230" s="21"/>
      <c r="K230" s="21"/>
      <c r="L230" s="21"/>
      <c r="M230" s="21"/>
      <c r="N230" s="21"/>
      <c r="O230" s="21"/>
      <c r="P230" s="21"/>
      <c r="Q230" s="19"/>
      <c r="R230" s="19"/>
      <c r="S230" s="19"/>
      <c r="T230" s="19"/>
      <c r="U230" s="19"/>
      <c r="V230" s="19"/>
      <c r="W230" s="19"/>
      <c r="X230" s="19"/>
      <c r="Y230" s="19"/>
      <c r="Z230" s="19"/>
    </row>
    <row r="231">
      <c r="A231" s="21"/>
      <c r="B231" s="21"/>
      <c r="C231" s="21"/>
      <c r="D231" s="21"/>
      <c r="E231" s="21"/>
      <c r="F231" s="21"/>
      <c r="G231" s="21"/>
      <c r="H231" s="2"/>
      <c r="I231" s="21"/>
      <c r="J231" s="21"/>
      <c r="K231" s="21"/>
      <c r="L231" s="21"/>
      <c r="M231" s="21"/>
      <c r="N231" s="21"/>
      <c r="O231" s="21"/>
      <c r="P231" s="21"/>
      <c r="Q231" s="19"/>
      <c r="R231" s="19"/>
      <c r="S231" s="19"/>
      <c r="T231" s="19"/>
      <c r="U231" s="19"/>
      <c r="V231" s="19"/>
      <c r="W231" s="19"/>
      <c r="X231" s="19"/>
      <c r="Y231" s="19"/>
      <c r="Z231" s="19"/>
    </row>
    <row r="232">
      <c r="A232" s="21"/>
      <c r="B232" s="21"/>
      <c r="C232" s="21"/>
      <c r="D232" s="21"/>
      <c r="E232" s="21"/>
      <c r="F232" s="21"/>
      <c r="G232" s="21"/>
      <c r="H232" s="2"/>
      <c r="I232" s="21"/>
      <c r="J232" s="21"/>
      <c r="K232" s="21"/>
      <c r="L232" s="21"/>
      <c r="M232" s="21"/>
      <c r="N232" s="21"/>
      <c r="O232" s="21"/>
      <c r="P232" s="21"/>
      <c r="Q232" s="19"/>
      <c r="R232" s="19"/>
      <c r="S232" s="19"/>
      <c r="T232" s="19"/>
      <c r="U232" s="19"/>
      <c r="V232" s="19"/>
      <c r="W232" s="19"/>
      <c r="X232" s="19"/>
      <c r="Y232" s="19"/>
      <c r="Z232" s="19"/>
    </row>
    <row r="233">
      <c r="A233" s="21"/>
      <c r="B233" s="21"/>
      <c r="C233" s="21"/>
      <c r="D233" s="21"/>
      <c r="E233" s="21"/>
      <c r="F233" s="21"/>
      <c r="G233" s="21"/>
      <c r="H233" s="2"/>
      <c r="I233" s="21"/>
      <c r="J233" s="21"/>
      <c r="K233" s="21"/>
      <c r="L233" s="21"/>
      <c r="M233" s="21"/>
      <c r="N233" s="21"/>
      <c r="O233" s="21"/>
      <c r="P233" s="21"/>
      <c r="Q233" s="19"/>
      <c r="R233" s="19"/>
      <c r="S233" s="19"/>
      <c r="T233" s="19"/>
      <c r="U233" s="19"/>
      <c r="V233" s="19"/>
      <c r="W233" s="19"/>
      <c r="X233" s="19"/>
      <c r="Y233" s="19"/>
      <c r="Z233" s="19"/>
    </row>
    <row r="234">
      <c r="A234" s="21"/>
      <c r="B234" s="21"/>
      <c r="C234" s="21"/>
      <c r="D234" s="21"/>
      <c r="E234" s="21"/>
      <c r="F234" s="21"/>
      <c r="G234" s="21"/>
      <c r="H234" s="2"/>
      <c r="I234" s="21"/>
      <c r="J234" s="21"/>
      <c r="K234" s="21"/>
      <c r="L234" s="21"/>
      <c r="M234" s="21"/>
      <c r="N234" s="21"/>
      <c r="O234" s="21"/>
      <c r="P234" s="21"/>
      <c r="Q234" s="19"/>
      <c r="R234" s="19"/>
      <c r="S234" s="19"/>
      <c r="T234" s="19"/>
      <c r="U234" s="19"/>
      <c r="V234" s="19"/>
      <c r="W234" s="19"/>
      <c r="X234" s="19"/>
      <c r="Y234" s="19"/>
      <c r="Z234" s="19"/>
    </row>
    <row r="235">
      <c r="A235" s="21"/>
      <c r="B235" s="21"/>
      <c r="C235" s="21"/>
      <c r="D235" s="21"/>
      <c r="E235" s="21"/>
      <c r="F235" s="21"/>
      <c r="G235" s="21"/>
      <c r="H235" s="2"/>
      <c r="I235" s="21"/>
      <c r="J235" s="21"/>
      <c r="K235" s="21"/>
      <c r="L235" s="21"/>
      <c r="M235" s="21"/>
      <c r="N235" s="21"/>
      <c r="O235" s="21"/>
      <c r="P235" s="21"/>
      <c r="Q235" s="19"/>
      <c r="R235" s="19"/>
      <c r="S235" s="19"/>
      <c r="T235" s="19"/>
      <c r="U235" s="19"/>
      <c r="V235" s="19"/>
      <c r="W235" s="19"/>
      <c r="X235" s="19"/>
      <c r="Y235" s="19"/>
      <c r="Z235" s="19"/>
    </row>
    <row r="236">
      <c r="A236" s="21"/>
      <c r="B236" s="21"/>
      <c r="C236" s="21"/>
      <c r="D236" s="21"/>
      <c r="E236" s="21"/>
      <c r="F236" s="21"/>
      <c r="G236" s="21"/>
      <c r="H236" s="2"/>
      <c r="I236" s="21"/>
      <c r="J236" s="21"/>
      <c r="K236" s="21"/>
      <c r="L236" s="21"/>
      <c r="M236" s="21"/>
      <c r="N236" s="21"/>
      <c r="O236" s="21"/>
      <c r="P236" s="21"/>
      <c r="Q236" s="19"/>
      <c r="R236" s="19"/>
      <c r="S236" s="19"/>
      <c r="T236" s="19"/>
      <c r="U236" s="19"/>
      <c r="V236" s="19"/>
      <c r="W236" s="19"/>
      <c r="X236" s="19"/>
      <c r="Y236" s="19"/>
      <c r="Z236" s="19"/>
    </row>
    <row r="237">
      <c r="A237" s="21"/>
      <c r="B237" s="21"/>
      <c r="C237" s="21"/>
      <c r="D237" s="21"/>
      <c r="E237" s="21"/>
      <c r="F237" s="21"/>
      <c r="G237" s="21"/>
      <c r="H237" s="2"/>
      <c r="I237" s="21"/>
      <c r="J237" s="21"/>
      <c r="K237" s="21"/>
      <c r="L237" s="21"/>
      <c r="M237" s="21"/>
      <c r="N237" s="21"/>
      <c r="O237" s="21"/>
      <c r="P237" s="21"/>
      <c r="Q237" s="19"/>
      <c r="R237" s="19"/>
      <c r="S237" s="19"/>
      <c r="T237" s="19"/>
      <c r="U237" s="19"/>
      <c r="V237" s="19"/>
      <c r="W237" s="19"/>
      <c r="X237" s="19"/>
      <c r="Y237" s="19"/>
      <c r="Z237" s="19"/>
    </row>
    <row r="238">
      <c r="A238" s="21"/>
      <c r="B238" s="21"/>
      <c r="C238" s="21"/>
      <c r="D238" s="21"/>
      <c r="E238" s="21"/>
      <c r="F238" s="21"/>
      <c r="G238" s="21"/>
      <c r="H238" s="2"/>
      <c r="I238" s="21"/>
      <c r="J238" s="21"/>
      <c r="K238" s="21"/>
      <c r="L238" s="21"/>
      <c r="M238" s="21"/>
      <c r="N238" s="21"/>
      <c r="O238" s="21"/>
      <c r="P238" s="21"/>
      <c r="Q238" s="19"/>
      <c r="R238" s="19"/>
      <c r="S238" s="19"/>
      <c r="T238" s="19"/>
      <c r="U238" s="19"/>
      <c r="V238" s="19"/>
      <c r="W238" s="19"/>
      <c r="X238" s="19"/>
      <c r="Y238" s="19"/>
      <c r="Z238" s="19"/>
    </row>
    <row r="239">
      <c r="A239" s="21"/>
      <c r="B239" s="21"/>
      <c r="C239" s="21"/>
      <c r="D239" s="21"/>
      <c r="E239" s="21"/>
      <c r="F239" s="21"/>
      <c r="G239" s="21"/>
      <c r="H239" s="2"/>
      <c r="I239" s="21"/>
      <c r="J239" s="21"/>
      <c r="K239" s="21"/>
      <c r="L239" s="21"/>
      <c r="M239" s="21"/>
      <c r="N239" s="21"/>
      <c r="O239" s="21"/>
      <c r="P239" s="21"/>
      <c r="Q239" s="19"/>
      <c r="R239" s="19"/>
      <c r="S239" s="19"/>
      <c r="T239" s="19"/>
      <c r="U239" s="19"/>
      <c r="V239" s="19"/>
      <c r="W239" s="19"/>
      <c r="X239" s="19"/>
      <c r="Y239" s="19"/>
      <c r="Z239" s="19"/>
    </row>
    <row r="240">
      <c r="A240" s="21"/>
      <c r="B240" s="21"/>
      <c r="C240" s="21"/>
      <c r="D240" s="21"/>
      <c r="E240" s="21"/>
      <c r="F240" s="21"/>
      <c r="G240" s="21"/>
      <c r="H240" s="2"/>
      <c r="I240" s="21"/>
      <c r="J240" s="21"/>
      <c r="K240" s="21"/>
      <c r="L240" s="21"/>
      <c r="M240" s="21"/>
      <c r="N240" s="21"/>
      <c r="O240" s="21"/>
      <c r="P240" s="21"/>
      <c r="Q240" s="19"/>
      <c r="R240" s="19"/>
      <c r="S240" s="19"/>
      <c r="T240" s="19"/>
      <c r="U240" s="19"/>
      <c r="V240" s="19"/>
      <c r="W240" s="19"/>
      <c r="X240" s="19"/>
      <c r="Y240" s="19"/>
      <c r="Z240" s="19"/>
    </row>
    <row r="241">
      <c r="A241" s="21"/>
      <c r="B241" s="21"/>
      <c r="C241" s="21"/>
      <c r="D241" s="21"/>
      <c r="E241" s="21"/>
      <c r="F241" s="21"/>
      <c r="G241" s="21"/>
      <c r="H241" s="2"/>
      <c r="I241" s="21"/>
      <c r="J241" s="21"/>
      <c r="K241" s="21"/>
      <c r="L241" s="21"/>
      <c r="M241" s="21"/>
      <c r="N241" s="21"/>
      <c r="O241" s="21"/>
      <c r="P241" s="21"/>
      <c r="Q241" s="19"/>
      <c r="R241" s="19"/>
      <c r="S241" s="19"/>
      <c r="T241" s="19"/>
      <c r="U241" s="19"/>
      <c r="V241" s="19"/>
      <c r="W241" s="19"/>
      <c r="X241" s="19"/>
      <c r="Y241" s="19"/>
      <c r="Z241" s="19"/>
    </row>
    <row r="242">
      <c r="A242" s="21"/>
      <c r="B242" s="21"/>
      <c r="C242" s="21"/>
      <c r="D242" s="21"/>
      <c r="E242" s="21"/>
      <c r="F242" s="21"/>
      <c r="G242" s="21"/>
      <c r="H242" s="2"/>
      <c r="I242" s="21"/>
      <c r="J242" s="21"/>
      <c r="K242" s="21"/>
      <c r="L242" s="21"/>
      <c r="M242" s="21"/>
      <c r="N242" s="21"/>
      <c r="O242" s="21"/>
      <c r="P242" s="21"/>
      <c r="Q242" s="19"/>
      <c r="R242" s="19"/>
      <c r="S242" s="19"/>
      <c r="T242" s="19"/>
      <c r="U242" s="19"/>
      <c r="V242" s="19"/>
      <c r="W242" s="19"/>
      <c r="X242" s="19"/>
      <c r="Y242" s="19"/>
      <c r="Z242" s="19"/>
    </row>
    <row r="243">
      <c r="A243" s="21"/>
      <c r="B243" s="21"/>
      <c r="C243" s="21"/>
      <c r="D243" s="21"/>
      <c r="E243" s="21"/>
      <c r="F243" s="21"/>
      <c r="G243" s="21"/>
      <c r="H243" s="2"/>
      <c r="I243" s="21"/>
      <c r="J243" s="21"/>
      <c r="K243" s="21"/>
      <c r="L243" s="21"/>
      <c r="M243" s="21"/>
      <c r="N243" s="21"/>
      <c r="O243" s="21"/>
      <c r="P243" s="21"/>
      <c r="Q243" s="19"/>
      <c r="R243" s="19"/>
      <c r="S243" s="19"/>
      <c r="T243" s="19"/>
      <c r="U243" s="19"/>
      <c r="V243" s="19"/>
      <c r="W243" s="19"/>
      <c r="X243" s="19"/>
      <c r="Y243" s="19"/>
      <c r="Z243" s="19"/>
    </row>
    <row r="244">
      <c r="A244" s="21"/>
      <c r="B244" s="21"/>
      <c r="C244" s="21"/>
      <c r="D244" s="21"/>
      <c r="E244" s="21"/>
      <c r="F244" s="21"/>
      <c r="G244" s="21"/>
      <c r="H244" s="2"/>
      <c r="I244" s="21"/>
      <c r="J244" s="21"/>
      <c r="K244" s="21"/>
      <c r="L244" s="21"/>
      <c r="M244" s="21"/>
      <c r="N244" s="21"/>
      <c r="O244" s="21"/>
      <c r="P244" s="21"/>
      <c r="Q244" s="19"/>
      <c r="R244" s="19"/>
      <c r="S244" s="19"/>
      <c r="T244" s="19"/>
      <c r="U244" s="19"/>
      <c r="V244" s="19"/>
      <c r="W244" s="19"/>
      <c r="X244" s="19"/>
      <c r="Y244" s="19"/>
      <c r="Z244" s="19"/>
    </row>
    <row r="245">
      <c r="A245" s="21"/>
      <c r="B245" s="21"/>
      <c r="C245" s="21"/>
      <c r="D245" s="21"/>
      <c r="E245" s="21"/>
      <c r="F245" s="21"/>
      <c r="G245" s="21"/>
      <c r="H245" s="2"/>
      <c r="I245" s="21"/>
      <c r="J245" s="21"/>
      <c r="K245" s="21"/>
      <c r="L245" s="21"/>
      <c r="M245" s="21"/>
      <c r="N245" s="21"/>
      <c r="O245" s="21"/>
      <c r="P245" s="21"/>
      <c r="Q245" s="19"/>
      <c r="R245" s="19"/>
      <c r="S245" s="19"/>
      <c r="T245" s="19"/>
      <c r="U245" s="19"/>
      <c r="V245" s="19"/>
      <c r="W245" s="19"/>
      <c r="X245" s="19"/>
      <c r="Y245" s="19"/>
      <c r="Z245" s="19"/>
    </row>
    <row r="246">
      <c r="A246" s="21"/>
      <c r="B246" s="21"/>
      <c r="C246" s="21"/>
      <c r="D246" s="21"/>
      <c r="E246" s="21"/>
      <c r="F246" s="21"/>
      <c r="G246" s="21"/>
      <c r="H246" s="2"/>
      <c r="I246" s="21"/>
      <c r="J246" s="21"/>
      <c r="K246" s="21"/>
      <c r="L246" s="21"/>
      <c r="M246" s="21"/>
      <c r="N246" s="21"/>
      <c r="O246" s="21"/>
      <c r="P246" s="21"/>
      <c r="Q246" s="19"/>
      <c r="R246" s="19"/>
      <c r="S246" s="19"/>
      <c r="T246" s="19"/>
      <c r="U246" s="19"/>
      <c r="V246" s="19"/>
      <c r="W246" s="19"/>
      <c r="X246" s="19"/>
      <c r="Y246" s="19"/>
      <c r="Z246" s="19"/>
    </row>
    <row r="247">
      <c r="A247" s="21"/>
      <c r="B247" s="21"/>
      <c r="C247" s="21"/>
      <c r="D247" s="21"/>
      <c r="E247" s="21"/>
      <c r="F247" s="21"/>
      <c r="G247" s="21"/>
      <c r="H247" s="2"/>
      <c r="I247" s="21"/>
      <c r="J247" s="21"/>
      <c r="K247" s="21"/>
      <c r="L247" s="21"/>
      <c r="M247" s="21"/>
      <c r="N247" s="21"/>
      <c r="O247" s="21"/>
      <c r="P247" s="21"/>
      <c r="Q247" s="19"/>
      <c r="R247" s="19"/>
      <c r="S247" s="19"/>
      <c r="T247" s="19"/>
      <c r="U247" s="19"/>
      <c r="V247" s="19"/>
      <c r="W247" s="19"/>
      <c r="X247" s="19"/>
      <c r="Y247" s="19"/>
      <c r="Z247" s="19"/>
    </row>
    <row r="248">
      <c r="A248" s="21"/>
      <c r="B248" s="21"/>
      <c r="C248" s="21"/>
      <c r="D248" s="21"/>
      <c r="E248" s="21"/>
      <c r="F248" s="21"/>
      <c r="G248" s="21"/>
      <c r="H248" s="2"/>
      <c r="I248" s="21"/>
      <c r="J248" s="21"/>
      <c r="K248" s="21"/>
      <c r="L248" s="21"/>
      <c r="M248" s="21"/>
      <c r="N248" s="21"/>
      <c r="O248" s="21"/>
      <c r="P248" s="21"/>
      <c r="Q248" s="19"/>
      <c r="R248" s="19"/>
      <c r="S248" s="19"/>
      <c r="T248" s="19"/>
      <c r="U248" s="19"/>
      <c r="V248" s="19"/>
      <c r="W248" s="19"/>
      <c r="X248" s="19"/>
      <c r="Y248" s="19"/>
      <c r="Z248" s="19"/>
    </row>
    <row r="249">
      <c r="A249" s="21"/>
      <c r="B249" s="21"/>
      <c r="C249" s="21"/>
      <c r="D249" s="21"/>
      <c r="E249" s="21"/>
      <c r="F249" s="21"/>
      <c r="G249" s="21"/>
      <c r="H249" s="2"/>
      <c r="I249" s="21"/>
      <c r="J249" s="21"/>
      <c r="K249" s="21"/>
      <c r="L249" s="21"/>
      <c r="M249" s="21"/>
      <c r="N249" s="21"/>
      <c r="O249" s="21"/>
      <c r="P249" s="21"/>
      <c r="Q249" s="19"/>
      <c r="R249" s="19"/>
      <c r="S249" s="19"/>
      <c r="T249" s="19"/>
      <c r="U249" s="19"/>
      <c r="V249" s="19"/>
      <c r="W249" s="19"/>
      <c r="X249" s="19"/>
      <c r="Y249" s="19"/>
      <c r="Z249" s="19"/>
    </row>
    <row r="250">
      <c r="A250" s="21"/>
      <c r="B250" s="21"/>
      <c r="C250" s="21"/>
      <c r="D250" s="21"/>
      <c r="E250" s="21"/>
      <c r="F250" s="21"/>
      <c r="G250" s="21"/>
      <c r="H250" s="2"/>
      <c r="I250" s="21"/>
      <c r="J250" s="21"/>
      <c r="K250" s="21"/>
      <c r="L250" s="21"/>
      <c r="M250" s="21"/>
      <c r="N250" s="21"/>
      <c r="O250" s="21"/>
      <c r="P250" s="21"/>
      <c r="Q250" s="19"/>
      <c r="R250" s="19"/>
      <c r="S250" s="19"/>
      <c r="T250" s="19"/>
      <c r="U250" s="19"/>
      <c r="V250" s="19"/>
      <c r="W250" s="19"/>
      <c r="X250" s="19"/>
      <c r="Y250" s="19"/>
      <c r="Z250" s="19"/>
    </row>
    <row r="251">
      <c r="A251" s="21"/>
      <c r="B251" s="21"/>
      <c r="C251" s="21"/>
      <c r="D251" s="21"/>
      <c r="E251" s="21"/>
      <c r="F251" s="21"/>
      <c r="G251" s="21"/>
      <c r="H251" s="2"/>
      <c r="I251" s="21"/>
      <c r="J251" s="21"/>
      <c r="K251" s="21"/>
      <c r="L251" s="21"/>
      <c r="M251" s="21"/>
      <c r="N251" s="21"/>
      <c r="O251" s="21"/>
      <c r="P251" s="21"/>
      <c r="Q251" s="19"/>
      <c r="R251" s="19"/>
      <c r="S251" s="19"/>
      <c r="T251" s="19"/>
      <c r="U251" s="19"/>
      <c r="V251" s="19"/>
      <c r="W251" s="19"/>
      <c r="X251" s="19"/>
      <c r="Y251" s="19"/>
      <c r="Z251" s="19"/>
    </row>
    <row r="252">
      <c r="A252" s="21"/>
      <c r="B252" s="21"/>
      <c r="C252" s="21"/>
      <c r="D252" s="21"/>
      <c r="E252" s="21"/>
      <c r="F252" s="21"/>
      <c r="G252" s="21"/>
      <c r="H252" s="2"/>
      <c r="I252" s="21"/>
      <c r="J252" s="21"/>
      <c r="K252" s="21"/>
      <c r="L252" s="21"/>
      <c r="M252" s="21"/>
      <c r="N252" s="21"/>
      <c r="O252" s="21"/>
      <c r="P252" s="21"/>
      <c r="Q252" s="19"/>
      <c r="R252" s="19"/>
      <c r="S252" s="19"/>
      <c r="T252" s="19"/>
      <c r="U252" s="19"/>
      <c r="V252" s="19"/>
      <c r="W252" s="19"/>
      <c r="X252" s="19"/>
      <c r="Y252" s="19"/>
      <c r="Z252" s="19"/>
    </row>
    <row r="253">
      <c r="A253" s="21"/>
      <c r="B253" s="21"/>
      <c r="C253" s="21"/>
      <c r="D253" s="21"/>
      <c r="E253" s="21"/>
      <c r="F253" s="21"/>
      <c r="G253" s="21"/>
      <c r="H253" s="2"/>
      <c r="I253" s="21"/>
      <c r="J253" s="21"/>
      <c r="K253" s="21"/>
      <c r="L253" s="21"/>
      <c r="M253" s="21"/>
      <c r="N253" s="21"/>
      <c r="O253" s="21"/>
      <c r="P253" s="21"/>
      <c r="Q253" s="19"/>
      <c r="R253" s="19"/>
      <c r="S253" s="19"/>
      <c r="T253" s="19"/>
      <c r="U253" s="19"/>
      <c r="V253" s="19"/>
      <c r="W253" s="19"/>
      <c r="X253" s="19"/>
      <c r="Y253" s="19"/>
      <c r="Z253" s="19"/>
    </row>
    <row r="254">
      <c r="A254" s="21"/>
      <c r="B254" s="21"/>
      <c r="C254" s="21"/>
      <c r="D254" s="21"/>
      <c r="E254" s="21"/>
      <c r="F254" s="21"/>
      <c r="G254" s="21"/>
      <c r="H254" s="2"/>
      <c r="I254" s="21"/>
      <c r="J254" s="21"/>
      <c r="K254" s="21"/>
      <c r="L254" s="21"/>
      <c r="M254" s="21"/>
      <c r="N254" s="21"/>
      <c r="O254" s="21"/>
      <c r="P254" s="21"/>
      <c r="Q254" s="19"/>
      <c r="R254" s="19"/>
      <c r="S254" s="19"/>
      <c r="T254" s="19"/>
      <c r="U254" s="19"/>
      <c r="V254" s="19"/>
      <c r="W254" s="19"/>
      <c r="X254" s="19"/>
      <c r="Y254" s="19"/>
      <c r="Z254" s="19"/>
    </row>
    <row r="255">
      <c r="A255" s="21"/>
      <c r="B255" s="21"/>
      <c r="C255" s="21"/>
      <c r="D255" s="21"/>
      <c r="E255" s="21"/>
      <c r="F255" s="21"/>
      <c r="G255" s="21"/>
      <c r="H255" s="2"/>
      <c r="I255" s="21"/>
      <c r="J255" s="21"/>
      <c r="K255" s="21"/>
      <c r="L255" s="21"/>
      <c r="M255" s="21"/>
      <c r="N255" s="21"/>
      <c r="O255" s="21"/>
      <c r="P255" s="21"/>
      <c r="Q255" s="19"/>
      <c r="R255" s="19"/>
      <c r="S255" s="19"/>
      <c r="T255" s="19"/>
      <c r="U255" s="19"/>
      <c r="V255" s="19"/>
      <c r="W255" s="19"/>
      <c r="X255" s="19"/>
      <c r="Y255" s="19"/>
      <c r="Z255" s="19"/>
    </row>
    <row r="256">
      <c r="A256" s="21"/>
      <c r="B256" s="21"/>
      <c r="C256" s="21"/>
      <c r="D256" s="21"/>
      <c r="E256" s="21"/>
      <c r="F256" s="21"/>
      <c r="G256" s="21"/>
      <c r="H256" s="2"/>
      <c r="I256" s="21"/>
      <c r="J256" s="21"/>
      <c r="K256" s="21"/>
      <c r="L256" s="21"/>
      <c r="M256" s="21"/>
      <c r="N256" s="21"/>
      <c r="O256" s="21"/>
      <c r="P256" s="21"/>
      <c r="Q256" s="19"/>
      <c r="R256" s="19"/>
      <c r="S256" s="19"/>
      <c r="T256" s="19"/>
      <c r="U256" s="19"/>
      <c r="V256" s="19"/>
      <c r="W256" s="19"/>
      <c r="X256" s="19"/>
      <c r="Y256" s="19"/>
      <c r="Z256" s="19"/>
    </row>
    <row r="257">
      <c r="A257" s="21"/>
      <c r="B257" s="21"/>
      <c r="C257" s="21"/>
      <c r="D257" s="21"/>
      <c r="E257" s="21"/>
      <c r="F257" s="21"/>
      <c r="G257" s="21"/>
      <c r="H257" s="2"/>
      <c r="I257" s="21"/>
      <c r="J257" s="21"/>
      <c r="K257" s="21"/>
      <c r="L257" s="21"/>
      <c r="M257" s="21"/>
      <c r="N257" s="21"/>
      <c r="O257" s="21"/>
      <c r="P257" s="21"/>
      <c r="Q257" s="19"/>
      <c r="R257" s="19"/>
      <c r="S257" s="19"/>
      <c r="T257" s="19"/>
      <c r="U257" s="19"/>
      <c r="V257" s="19"/>
      <c r="W257" s="19"/>
      <c r="X257" s="19"/>
      <c r="Y257" s="19"/>
      <c r="Z257" s="19"/>
    </row>
    <row r="258">
      <c r="A258" s="21"/>
      <c r="B258" s="21"/>
      <c r="C258" s="21"/>
      <c r="D258" s="21"/>
      <c r="E258" s="21"/>
      <c r="F258" s="21"/>
      <c r="G258" s="21"/>
      <c r="H258" s="2"/>
      <c r="I258" s="21"/>
      <c r="J258" s="21"/>
      <c r="K258" s="21"/>
      <c r="L258" s="21"/>
      <c r="M258" s="21"/>
      <c r="N258" s="21"/>
      <c r="O258" s="21"/>
      <c r="P258" s="21"/>
      <c r="Q258" s="19"/>
      <c r="R258" s="19"/>
      <c r="S258" s="19"/>
      <c r="T258" s="19"/>
      <c r="U258" s="19"/>
      <c r="V258" s="19"/>
      <c r="W258" s="19"/>
      <c r="X258" s="19"/>
      <c r="Y258" s="19"/>
      <c r="Z258" s="19"/>
    </row>
    <row r="259">
      <c r="A259" s="21"/>
      <c r="B259" s="21"/>
      <c r="C259" s="21"/>
      <c r="D259" s="21"/>
      <c r="E259" s="21"/>
      <c r="F259" s="21"/>
      <c r="G259" s="21"/>
      <c r="H259" s="2"/>
      <c r="I259" s="21"/>
      <c r="J259" s="21"/>
      <c r="K259" s="21"/>
      <c r="L259" s="21"/>
      <c r="M259" s="21"/>
      <c r="N259" s="21"/>
      <c r="O259" s="21"/>
      <c r="P259" s="21"/>
      <c r="Q259" s="19"/>
      <c r="R259" s="19"/>
      <c r="S259" s="19"/>
      <c r="T259" s="19"/>
      <c r="U259" s="19"/>
      <c r="V259" s="19"/>
      <c r="W259" s="19"/>
      <c r="X259" s="19"/>
      <c r="Y259" s="19"/>
      <c r="Z259" s="19"/>
    </row>
    <row r="260">
      <c r="A260" s="21"/>
      <c r="B260" s="21"/>
      <c r="C260" s="21"/>
      <c r="D260" s="21"/>
      <c r="E260" s="21"/>
      <c r="F260" s="21"/>
      <c r="G260" s="21"/>
      <c r="H260" s="2"/>
      <c r="I260" s="21"/>
      <c r="J260" s="21"/>
      <c r="K260" s="21"/>
      <c r="L260" s="21"/>
      <c r="M260" s="21"/>
      <c r="N260" s="21"/>
      <c r="O260" s="21"/>
      <c r="P260" s="21"/>
      <c r="Q260" s="19"/>
      <c r="R260" s="19"/>
      <c r="S260" s="19"/>
      <c r="T260" s="19"/>
      <c r="U260" s="19"/>
      <c r="V260" s="19"/>
      <c r="W260" s="19"/>
      <c r="X260" s="19"/>
      <c r="Y260" s="19"/>
      <c r="Z260" s="19"/>
    </row>
    <row r="261">
      <c r="A261" s="21"/>
      <c r="B261" s="21"/>
      <c r="C261" s="21"/>
      <c r="D261" s="21"/>
      <c r="E261" s="21"/>
      <c r="F261" s="21"/>
      <c r="G261" s="21"/>
      <c r="H261" s="2"/>
      <c r="I261" s="21"/>
      <c r="J261" s="21"/>
      <c r="K261" s="21"/>
      <c r="L261" s="21"/>
      <c r="M261" s="21"/>
      <c r="N261" s="21"/>
      <c r="O261" s="21"/>
      <c r="P261" s="21"/>
      <c r="Q261" s="19"/>
      <c r="R261" s="19"/>
      <c r="S261" s="19"/>
      <c r="T261" s="19"/>
      <c r="U261" s="19"/>
      <c r="V261" s="19"/>
      <c r="W261" s="19"/>
      <c r="X261" s="19"/>
      <c r="Y261" s="19"/>
      <c r="Z261" s="19"/>
    </row>
    <row r="262">
      <c r="A262" s="21"/>
      <c r="B262" s="21"/>
      <c r="C262" s="21"/>
      <c r="D262" s="21"/>
      <c r="E262" s="21"/>
      <c r="F262" s="21"/>
      <c r="G262" s="21"/>
      <c r="H262" s="2"/>
      <c r="I262" s="21"/>
      <c r="J262" s="21"/>
      <c r="K262" s="21"/>
      <c r="L262" s="21"/>
      <c r="M262" s="21"/>
      <c r="N262" s="21"/>
      <c r="O262" s="21"/>
      <c r="P262" s="21"/>
      <c r="Q262" s="19"/>
      <c r="R262" s="19"/>
      <c r="S262" s="19"/>
      <c r="T262" s="19"/>
      <c r="U262" s="19"/>
      <c r="V262" s="19"/>
      <c r="W262" s="19"/>
      <c r="X262" s="19"/>
      <c r="Y262" s="19"/>
      <c r="Z262" s="19"/>
    </row>
    <row r="263">
      <c r="A263" s="21"/>
      <c r="B263" s="21"/>
      <c r="C263" s="21"/>
      <c r="D263" s="21"/>
      <c r="E263" s="21"/>
      <c r="F263" s="21"/>
      <c r="G263" s="21"/>
      <c r="H263" s="2"/>
      <c r="I263" s="21"/>
      <c r="J263" s="21"/>
      <c r="K263" s="21"/>
      <c r="L263" s="21"/>
      <c r="M263" s="21"/>
      <c r="N263" s="21"/>
      <c r="O263" s="21"/>
      <c r="P263" s="21"/>
      <c r="Q263" s="19"/>
      <c r="R263" s="19"/>
      <c r="S263" s="19"/>
      <c r="T263" s="19"/>
      <c r="U263" s="19"/>
      <c r="V263" s="19"/>
      <c r="W263" s="19"/>
      <c r="X263" s="19"/>
      <c r="Y263" s="19"/>
      <c r="Z263" s="19"/>
    </row>
    <row r="264">
      <c r="A264" s="21"/>
      <c r="B264" s="21"/>
      <c r="C264" s="21"/>
      <c r="D264" s="21"/>
      <c r="E264" s="21"/>
      <c r="F264" s="21"/>
      <c r="G264" s="21"/>
      <c r="H264" s="2"/>
      <c r="I264" s="21"/>
      <c r="J264" s="21"/>
      <c r="K264" s="21"/>
      <c r="L264" s="21"/>
      <c r="M264" s="21"/>
      <c r="N264" s="21"/>
      <c r="O264" s="21"/>
      <c r="P264" s="21"/>
      <c r="Q264" s="19"/>
      <c r="R264" s="19"/>
      <c r="S264" s="19"/>
      <c r="T264" s="19"/>
      <c r="U264" s="19"/>
      <c r="V264" s="19"/>
      <c r="W264" s="19"/>
      <c r="X264" s="19"/>
      <c r="Y264" s="19"/>
      <c r="Z264" s="19"/>
    </row>
    <row r="265">
      <c r="A265" s="21"/>
      <c r="B265" s="21"/>
      <c r="C265" s="21"/>
      <c r="D265" s="21"/>
      <c r="E265" s="21"/>
      <c r="F265" s="21"/>
      <c r="G265" s="21"/>
      <c r="H265" s="2"/>
      <c r="I265" s="21"/>
      <c r="J265" s="21"/>
      <c r="K265" s="21"/>
      <c r="L265" s="21"/>
      <c r="M265" s="21"/>
      <c r="N265" s="21"/>
      <c r="O265" s="21"/>
      <c r="P265" s="21"/>
      <c r="Q265" s="19"/>
      <c r="R265" s="19"/>
      <c r="S265" s="19"/>
      <c r="T265" s="19"/>
      <c r="U265" s="19"/>
      <c r="V265" s="19"/>
      <c r="W265" s="19"/>
      <c r="X265" s="19"/>
      <c r="Y265" s="19"/>
      <c r="Z265" s="19"/>
    </row>
    <row r="266">
      <c r="A266" s="21"/>
      <c r="B266" s="21"/>
      <c r="C266" s="21"/>
      <c r="D266" s="21"/>
      <c r="E266" s="21"/>
      <c r="F266" s="21"/>
      <c r="G266" s="21"/>
      <c r="H266" s="2"/>
      <c r="I266" s="21"/>
      <c r="J266" s="21"/>
      <c r="K266" s="21"/>
      <c r="L266" s="21"/>
      <c r="M266" s="21"/>
      <c r="N266" s="21"/>
      <c r="O266" s="21"/>
      <c r="P266" s="21"/>
      <c r="Q266" s="19"/>
      <c r="R266" s="19"/>
      <c r="S266" s="19"/>
      <c r="T266" s="19"/>
      <c r="U266" s="19"/>
      <c r="V266" s="19"/>
      <c r="W266" s="19"/>
      <c r="X266" s="19"/>
      <c r="Y266" s="19"/>
      <c r="Z266" s="19"/>
    </row>
    <row r="267">
      <c r="A267" s="21"/>
      <c r="B267" s="21"/>
      <c r="C267" s="21"/>
      <c r="D267" s="21"/>
      <c r="E267" s="21"/>
      <c r="F267" s="21"/>
      <c r="G267" s="21"/>
      <c r="H267" s="2"/>
      <c r="I267" s="21"/>
      <c r="J267" s="21"/>
      <c r="K267" s="21"/>
      <c r="L267" s="21"/>
      <c r="M267" s="21"/>
      <c r="N267" s="21"/>
      <c r="O267" s="21"/>
      <c r="P267" s="21"/>
      <c r="Q267" s="19"/>
      <c r="R267" s="19"/>
      <c r="S267" s="19"/>
      <c r="T267" s="19"/>
      <c r="U267" s="19"/>
      <c r="V267" s="19"/>
      <c r="W267" s="19"/>
      <c r="X267" s="19"/>
      <c r="Y267" s="19"/>
      <c r="Z267" s="19"/>
    </row>
    <row r="268">
      <c r="A268" s="21"/>
      <c r="B268" s="21"/>
      <c r="C268" s="21"/>
      <c r="D268" s="21"/>
      <c r="E268" s="21"/>
      <c r="F268" s="21"/>
      <c r="G268" s="21"/>
      <c r="H268" s="2"/>
      <c r="I268" s="21"/>
      <c r="J268" s="21"/>
      <c r="K268" s="21"/>
      <c r="L268" s="21"/>
      <c r="M268" s="21"/>
      <c r="N268" s="21"/>
      <c r="O268" s="21"/>
      <c r="P268" s="21"/>
      <c r="Q268" s="19"/>
      <c r="R268" s="19"/>
      <c r="S268" s="19"/>
      <c r="T268" s="19"/>
      <c r="U268" s="19"/>
      <c r="V268" s="19"/>
      <c r="W268" s="19"/>
      <c r="X268" s="19"/>
      <c r="Y268" s="19"/>
      <c r="Z268" s="19"/>
    </row>
    <row r="269">
      <c r="A269" s="21"/>
      <c r="B269" s="21"/>
      <c r="C269" s="21"/>
      <c r="D269" s="21"/>
      <c r="E269" s="21"/>
      <c r="F269" s="21"/>
      <c r="G269" s="21"/>
      <c r="H269" s="2"/>
      <c r="I269" s="21"/>
      <c r="J269" s="21"/>
      <c r="K269" s="21"/>
      <c r="L269" s="21"/>
      <c r="M269" s="21"/>
      <c r="N269" s="21"/>
      <c r="O269" s="21"/>
      <c r="P269" s="21"/>
      <c r="Q269" s="19"/>
      <c r="R269" s="19"/>
      <c r="S269" s="19"/>
      <c r="T269" s="19"/>
      <c r="U269" s="19"/>
      <c r="V269" s="19"/>
      <c r="W269" s="19"/>
      <c r="X269" s="19"/>
      <c r="Y269" s="19"/>
      <c r="Z269" s="19"/>
    </row>
    <row r="270">
      <c r="A270" s="21"/>
      <c r="B270" s="21"/>
      <c r="C270" s="21"/>
      <c r="D270" s="21"/>
      <c r="E270" s="21"/>
      <c r="F270" s="21"/>
      <c r="G270" s="21"/>
      <c r="H270" s="2"/>
      <c r="I270" s="21"/>
      <c r="J270" s="21"/>
      <c r="K270" s="21"/>
      <c r="L270" s="21"/>
      <c r="M270" s="21"/>
      <c r="N270" s="21"/>
      <c r="O270" s="21"/>
      <c r="P270" s="21"/>
      <c r="Q270" s="19"/>
      <c r="R270" s="19"/>
      <c r="S270" s="19"/>
      <c r="T270" s="19"/>
      <c r="U270" s="19"/>
      <c r="V270" s="19"/>
      <c r="W270" s="19"/>
      <c r="X270" s="19"/>
      <c r="Y270" s="19"/>
      <c r="Z270" s="19"/>
    </row>
    <row r="271">
      <c r="A271" s="21"/>
      <c r="B271" s="21"/>
      <c r="C271" s="21"/>
      <c r="D271" s="21"/>
      <c r="E271" s="21"/>
      <c r="F271" s="21"/>
      <c r="G271" s="21"/>
      <c r="H271" s="2"/>
      <c r="I271" s="21"/>
      <c r="J271" s="21"/>
      <c r="K271" s="21"/>
      <c r="L271" s="21"/>
      <c r="M271" s="21"/>
      <c r="N271" s="21"/>
      <c r="O271" s="21"/>
      <c r="P271" s="21"/>
      <c r="Q271" s="19"/>
      <c r="R271" s="19"/>
      <c r="S271" s="19"/>
      <c r="T271" s="19"/>
      <c r="U271" s="19"/>
      <c r="V271" s="19"/>
      <c r="W271" s="19"/>
      <c r="X271" s="19"/>
      <c r="Y271" s="19"/>
      <c r="Z271" s="19"/>
    </row>
    <row r="272">
      <c r="A272" s="21"/>
      <c r="B272" s="21"/>
      <c r="C272" s="21"/>
      <c r="D272" s="21"/>
      <c r="E272" s="21"/>
      <c r="F272" s="21"/>
      <c r="G272" s="21"/>
      <c r="H272" s="2"/>
      <c r="I272" s="21"/>
      <c r="J272" s="21"/>
      <c r="K272" s="21"/>
      <c r="L272" s="21"/>
      <c r="M272" s="21"/>
      <c r="N272" s="21"/>
      <c r="O272" s="21"/>
      <c r="P272" s="21"/>
      <c r="Q272" s="19"/>
      <c r="R272" s="19"/>
      <c r="S272" s="19"/>
      <c r="T272" s="19"/>
      <c r="U272" s="19"/>
      <c r="V272" s="19"/>
      <c r="W272" s="19"/>
      <c r="X272" s="19"/>
      <c r="Y272" s="19"/>
      <c r="Z272" s="19"/>
    </row>
    <row r="273">
      <c r="A273" s="21"/>
      <c r="B273" s="21"/>
      <c r="C273" s="21"/>
      <c r="D273" s="21"/>
      <c r="E273" s="21"/>
      <c r="F273" s="21"/>
      <c r="G273" s="21"/>
      <c r="H273" s="2"/>
      <c r="I273" s="21"/>
      <c r="J273" s="21"/>
      <c r="K273" s="21"/>
      <c r="L273" s="21"/>
      <c r="M273" s="21"/>
      <c r="N273" s="21"/>
      <c r="O273" s="21"/>
      <c r="P273" s="21"/>
      <c r="Q273" s="19"/>
      <c r="R273" s="19"/>
      <c r="S273" s="19"/>
      <c r="T273" s="19"/>
      <c r="U273" s="19"/>
      <c r="V273" s="19"/>
      <c r="W273" s="19"/>
      <c r="X273" s="19"/>
      <c r="Y273" s="19"/>
      <c r="Z273" s="19"/>
    </row>
    <row r="274">
      <c r="A274" s="21"/>
      <c r="B274" s="21"/>
      <c r="C274" s="21"/>
      <c r="D274" s="21"/>
      <c r="E274" s="21"/>
      <c r="F274" s="21"/>
      <c r="G274" s="21"/>
      <c r="H274" s="2"/>
      <c r="I274" s="21"/>
      <c r="J274" s="21"/>
      <c r="K274" s="21"/>
      <c r="L274" s="21"/>
      <c r="M274" s="21"/>
      <c r="N274" s="21"/>
      <c r="O274" s="21"/>
      <c r="P274" s="21"/>
      <c r="Q274" s="19"/>
      <c r="R274" s="19"/>
      <c r="S274" s="19"/>
      <c r="T274" s="19"/>
      <c r="U274" s="19"/>
      <c r="V274" s="19"/>
      <c r="W274" s="19"/>
      <c r="X274" s="19"/>
      <c r="Y274" s="19"/>
      <c r="Z274" s="19"/>
    </row>
    <row r="275">
      <c r="A275" s="21"/>
      <c r="B275" s="21"/>
      <c r="C275" s="21"/>
      <c r="D275" s="21"/>
      <c r="E275" s="21"/>
      <c r="F275" s="21"/>
      <c r="G275" s="21"/>
      <c r="H275" s="2"/>
      <c r="I275" s="21"/>
      <c r="J275" s="21"/>
      <c r="K275" s="21"/>
      <c r="L275" s="21"/>
      <c r="M275" s="21"/>
      <c r="N275" s="21"/>
      <c r="O275" s="21"/>
      <c r="P275" s="21"/>
      <c r="Q275" s="19"/>
      <c r="R275" s="19"/>
      <c r="S275" s="19"/>
      <c r="T275" s="19"/>
      <c r="U275" s="19"/>
      <c r="V275" s="19"/>
      <c r="W275" s="19"/>
      <c r="X275" s="19"/>
      <c r="Y275" s="19"/>
      <c r="Z275" s="19"/>
    </row>
    <row r="276">
      <c r="A276" s="21"/>
      <c r="B276" s="21"/>
      <c r="C276" s="21"/>
      <c r="D276" s="21"/>
      <c r="E276" s="21"/>
      <c r="F276" s="21"/>
      <c r="G276" s="21"/>
      <c r="H276" s="2"/>
      <c r="I276" s="21"/>
      <c r="J276" s="21"/>
      <c r="K276" s="21"/>
      <c r="L276" s="21"/>
      <c r="M276" s="21"/>
      <c r="N276" s="21"/>
      <c r="O276" s="21"/>
      <c r="P276" s="21"/>
      <c r="Q276" s="19"/>
      <c r="R276" s="19"/>
      <c r="S276" s="19"/>
      <c r="T276" s="19"/>
      <c r="U276" s="19"/>
      <c r="V276" s="19"/>
      <c r="W276" s="19"/>
      <c r="X276" s="19"/>
      <c r="Y276" s="19"/>
      <c r="Z276" s="19"/>
    </row>
    <row r="277">
      <c r="A277" s="21"/>
      <c r="B277" s="21"/>
      <c r="C277" s="21"/>
      <c r="D277" s="21"/>
      <c r="E277" s="21"/>
      <c r="F277" s="21"/>
      <c r="G277" s="21"/>
      <c r="H277" s="2"/>
      <c r="I277" s="21"/>
      <c r="J277" s="21"/>
      <c r="K277" s="21"/>
      <c r="L277" s="21"/>
      <c r="M277" s="21"/>
      <c r="N277" s="21"/>
      <c r="O277" s="21"/>
      <c r="P277" s="21"/>
      <c r="Q277" s="19"/>
      <c r="R277" s="19"/>
      <c r="S277" s="19"/>
      <c r="T277" s="19"/>
      <c r="U277" s="19"/>
      <c r="V277" s="19"/>
      <c r="W277" s="19"/>
      <c r="X277" s="19"/>
      <c r="Y277" s="19"/>
      <c r="Z277" s="19"/>
    </row>
    <row r="278">
      <c r="A278" s="21"/>
      <c r="B278" s="21"/>
      <c r="C278" s="21"/>
      <c r="D278" s="21"/>
      <c r="E278" s="21"/>
      <c r="F278" s="21"/>
      <c r="G278" s="21"/>
      <c r="H278" s="2"/>
      <c r="I278" s="21"/>
      <c r="J278" s="21"/>
      <c r="K278" s="21"/>
      <c r="L278" s="21"/>
      <c r="M278" s="21"/>
      <c r="N278" s="21"/>
      <c r="O278" s="21"/>
      <c r="P278" s="21"/>
      <c r="Q278" s="19"/>
      <c r="R278" s="19"/>
      <c r="S278" s="19"/>
      <c r="T278" s="19"/>
      <c r="U278" s="19"/>
      <c r="V278" s="19"/>
      <c r="W278" s="19"/>
      <c r="X278" s="19"/>
      <c r="Y278" s="19"/>
      <c r="Z278" s="19"/>
    </row>
    <row r="279">
      <c r="A279" s="21"/>
      <c r="B279" s="21"/>
      <c r="C279" s="21"/>
      <c r="D279" s="21"/>
      <c r="E279" s="21"/>
      <c r="F279" s="21"/>
      <c r="G279" s="21"/>
      <c r="H279" s="2"/>
      <c r="I279" s="21"/>
      <c r="J279" s="21"/>
      <c r="K279" s="21"/>
      <c r="L279" s="21"/>
      <c r="M279" s="21"/>
      <c r="N279" s="21"/>
      <c r="O279" s="21"/>
      <c r="P279" s="21"/>
      <c r="Q279" s="19"/>
      <c r="R279" s="19"/>
      <c r="S279" s="19"/>
      <c r="T279" s="19"/>
      <c r="U279" s="19"/>
      <c r="V279" s="19"/>
      <c r="W279" s="19"/>
      <c r="X279" s="19"/>
      <c r="Y279" s="19"/>
      <c r="Z279" s="19"/>
    </row>
    <row r="280">
      <c r="A280" s="21"/>
      <c r="B280" s="21"/>
      <c r="C280" s="21"/>
      <c r="D280" s="21"/>
      <c r="E280" s="21"/>
      <c r="F280" s="21"/>
      <c r="G280" s="21"/>
      <c r="H280" s="2"/>
      <c r="I280" s="21"/>
      <c r="J280" s="21"/>
      <c r="K280" s="21"/>
      <c r="L280" s="21"/>
      <c r="M280" s="21"/>
      <c r="N280" s="21"/>
      <c r="O280" s="21"/>
      <c r="P280" s="21"/>
      <c r="Q280" s="19"/>
      <c r="R280" s="19"/>
      <c r="S280" s="19"/>
      <c r="T280" s="19"/>
      <c r="U280" s="19"/>
      <c r="V280" s="19"/>
      <c r="W280" s="19"/>
      <c r="X280" s="19"/>
      <c r="Y280" s="19"/>
      <c r="Z280" s="19"/>
    </row>
    <row r="281">
      <c r="A281" s="21"/>
      <c r="B281" s="21"/>
      <c r="C281" s="21"/>
      <c r="D281" s="21"/>
      <c r="E281" s="21"/>
      <c r="F281" s="21"/>
      <c r="G281" s="21"/>
      <c r="H281" s="2"/>
      <c r="I281" s="21"/>
      <c r="J281" s="21"/>
      <c r="K281" s="21"/>
      <c r="L281" s="21"/>
      <c r="M281" s="21"/>
      <c r="N281" s="21"/>
      <c r="O281" s="21"/>
      <c r="P281" s="21"/>
      <c r="Q281" s="19"/>
      <c r="R281" s="19"/>
      <c r="S281" s="19"/>
      <c r="T281" s="19"/>
      <c r="U281" s="19"/>
      <c r="V281" s="19"/>
      <c r="W281" s="19"/>
      <c r="X281" s="19"/>
      <c r="Y281" s="19"/>
      <c r="Z281" s="19"/>
    </row>
    <row r="282">
      <c r="A282" s="21"/>
      <c r="B282" s="21"/>
      <c r="C282" s="21"/>
      <c r="D282" s="21"/>
      <c r="E282" s="21"/>
      <c r="F282" s="21"/>
      <c r="G282" s="21"/>
      <c r="H282" s="2"/>
      <c r="I282" s="21"/>
      <c r="J282" s="21"/>
      <c r="K282" s="21"/>
      <c r="L282" s="21"/>
      <c r="M282" s="21"/>
      <c r="N282" s="21"/>
      <c r="O282" s="21"/>
      <c r="P282" s="21"/>
      <c r="Q282" s="19"/>
      <c r="R282" s="19"/>
      <c r="S282" s="19"/>
      <c r="T282" s="19"/>
      <c r="U282" s="19"/>
      <c r="V282" s="19"/>
      <c r="W282" s="19"/>
      <c r="X282" s="19"/>
      <c r="Y282" s="19"/>
      <c r="Z282" s="19"/>
    </row>
    <row r="283">
      <c r="A283" s="21"/>
      <c r="B283" s="21"/>
      <c r="C283" s="21"/>
      <c r="D283" s="21"/>
      <c r="E283" s="21"/>
      <c r="F283" s="21"/>
      <c r="G283" s="21"/>
      <c r="H283" s="2"/>
      <c r="I283" s="21"/>
      <c r="J283" s="21"/>
      <c r="K283" s="21"/>
      <c r="L283" s="21"/>
      <c r="M283" s="21"/>
      <c r="N283" s="21"/>
      <c r="O283" s="21"/>
      <c r="P283" s="21"/>
      <c r="Q283" s="19"/>
      <c r="R283" s="19"/>
      <c r="S283" s="19"/>
      <c r="T283" s="19"/>
      <c r="U283" s="19"/>
      <c r="V283" s="19"/>
      <c r="W283" s="19"/>
      <c r="X283" s="19"/>
      <c r="Y283" s="19"/>
      <c r="Z283" s="19"/>
    </row>
    <row r="284">
      <c r="A284" s="21"/>
      <c r="B284" s="21"/>
      <c r="C284" s="21"/>
      <c r="D284" s="21"/>
      <c r="E284" s="21"/>
      <c r="F284" s="21"/>
      <c r="G284" s="21"/>
      <c r="H284" s="2"/>
      <c r="I284" s="21"/>
      <c r="J284" s="21"/>
      <c r="K284" s="21"/>
      <c r="L284" s="21"/>
      <c r="M284" s="21"/>
      <c r="N284" s="21"/>
      <c r="O284" s="21"/>
      <c r="P284" s="21"/>
      <c r="Q284" s="19"/>
      <c r="R284" s="19"/>
      <c r="S284" s="19"/>
      <c r="T284" s="19"/>
      <c r="U284" s="19"/>
      <c r="V284" s="19"/>
      <c r="W284" s="19"/>
      <c r="X284" s="19"/>
      <c r="Y284" s="19"/>
      <c r="Z284" s="19"/>
    </row>
    <row r="285">
      <c r="A285" s="21"/>
      <c r="B285" s="21"/>
      <c r="C285" s="21"/>
      <c r="D285" s="21"/>
      <c r="E285" s="21"/>
      <c r="F285" s="21"/>
      <c r="G285" s="21"/>
      <c r="H285" s="2"/>
      <c r="I285" s="21"/>
      <c r="J285" s="21"/>
      <c r="K285" s="21"/>
      <c r="L285" s="21"/>
      <c r="M285" s="21"/>
      <c r="N285" s="21"/>
      <c r="O285" s="21"/>
      <c r="P285" s="21"/>
      <c r="Q285" s="19"/>
      <c r="R285" s="19"/>
      <c r="S285" s="19"/>
      <c r="T285" s="19"/>
      <c r="U285" s="19"/>
      <c r="V285" s="19"/>
      <c r="W285" s="19"/>
      <c r="X285" s="19"/>
      <c r="Y285" s="19"/>
      <c r="Z285" s="19"/>
    </row>
    <row r="286">
      <c r="A286" s="21"/>
      <c r="B286" s="21"/>
      <c r="C286" s="21"/>
      <c r="D286" s="21"/>
      <c r="E286" s="21"/>
      <c r="F286" s="21"/>
      <c r="G286" s="21"/>
      <c r="H286" s="2"/>
      <c r="I286" s="21"/>
      <c r="J286" s="21"/>
      <c r="K286" s="21"/>
      <c r="L286" s="21"/>
      <c r="M286" s="21"/>
      <c r="N286" s="21"/>
      <c r="O286" s="21"/>
      <c r="P286" s="21"/>
      <c r="Q286" s="19"/>
      <c r="R286" s="19"/>
      <c r="S286" s="19"/>
      <c r="T286" s="19"/>
      <c r="U286" s="19"/>
      <c r="V286" s="19"/>
      <c r="W286" s="19"/>
      <c r="X286" s="19"/>
      <c r="Y286" s="19"/>
      <c r="Z286" s="19"/>
    </row>
    <row r="287">
      <c r="A287" s="21"/>
      <c r="B287" s="21"/>
      <c r="C287" s="21"/>
      <c r="D287" s="21"/>
      <c r="E287" s="21"/>
      <c r="F287" s="21"/>
      <c r="G287" s="21"/>
      <c r="H287" s="2"/>
      <c r="I287" s="21"/>
      <c r="J287" s="21"/>
      <c r="K287" s="21"/>
      <c r="L287" s="21"/>
      <c r="M287" s="21"/>
      <c r="N287" s="21"/>
      <c r="O287" s="21"/>
      <c r="P287" s="21"/>
      <c r="Q287" s="19"/>
      <c r="R287" s="19"/>
      <c r="S287" s="19"/>
      <c r="T287" s="19"/>
      <c r="U287" s="19"/>
      <c r="V287" s="19"/>
      <c r="W287" s="19"/>
      <c r="X287" s="19"/>
      <c r="Y287" s="19"/>
      <c r="Z287" s="19"/>
    </row>
    <row r="288">
      <c r="A288" s="21"/>
      <c r="B288" s="21"/>
      <c r="C288" s="21"/>
      <c r="D288" s="21"/>
      <c r="E288" s="21"/>
      <c r="F288" s="21"/>
      <c r="G288" s="21"/>
      <c r="H288" s="2"/>
      <c r="I288" s="21"/>
      <c r="J288" s="21"/>
      <c r="K288" s="21"/>
      <c r="L288" s="21"/>
      <c r="M288" s="21"/>
      <c r="N288" s="21"/>
      <c r="O288" s="21"/>
      <c r="P288" s="21"/>
      <c r="Q288" s="19"/>
      <c r="R288" s="19"/>
      <c r="S288" s="19"/>
      <c r="T288" s="19"/>
      <c r="U288" s="19"/>
      <c r="V288" s="19"/>
      <c r="W288" s="19"/>
      <c r="X288" s="19"/>
      <c r="Y288" s="19"/>
      <c r="Z288" s="19"/>
    </row>
    <row r="289">
      <c r="A289" s="21"/>
      <c r="B289" s="21"/>
      <c r="C289" s="21"/>
      <c r="D289" s="21"/>
      <c r="E289" s="21"/>
      <c r="F289" s="21"/>
      <c r="G289" s="21"/>
      <c r="H289" s="2"/>
      <c r="I289" s="21"/>
      <c r="J289" s="21"/>
      <c r="K289" s="21"/>
      <c r="L289" s="21"/>
      <c r="M289" s="21"/>
      <c r="N289" s="21"/>
      <c r="O289" s="21"/>
      <c r="P289" s="21"/>
      <c r="Q289" s="19"/>
      <c r="R289" s="19"/>
      <c r="S289" s="19"/>
      <c r="T289" s="19"/>
      <c r="U289" s="19"/>
      <c r="V289" s="19"/>
      <c r="W289" s="19"/>
      <c r="X289" s="19"/>
      <c r="Y289" s="19"/>
      <c r="Z289" s="19"/>
    </row>
    <row r="290">
      <c r="A290" s="21"/>
      <c r="B290" s="21"/>
      <c r="C290" s="21"/>
      <c r="D290" s="21"/>
      <c r="E290" s="21"/>
      <c r="F290" s="21"/>
      <c r="G290" s="21"/>
      <c r="H290" s="2"/>
      <c r="I290" s="21"/>
      <c r="J290" s="21"/>
      <c r="K290" s="21"/>
      <c r="L290" s="21"/>
      <c r="M290" s="21"/>
      <c r="N290" s="21"/>
      <c r="O290" s="21"/>
      <c r="P290" s="21"/>
      <c r="Q290" s="19"/>
      <c r="R290" s="19"/>
      <c r="S290" s="19"/>
      <c r="T290" s="19"/>
      <c r="U290" s="19"/>
      <c r="V290" s="19"/>
      <c r="W290" s="19"/>
      <c r="X290" s="19"/>
      <c r="Y290" s="19"/>
      <c r="Z290" s="19"/>
    </row>
    <row r="291">
      <c r="A291" s="21"/>
      <c r="B291" s="21"/>
      <c r="C291" s="21"/>
      <c r="D291" s="21"/>
      <c r="E291" s="21"/>
      <c r="F291" s="21"/>
      <c r="G291" s="21"/>
      <c r="H291" s="2"/>
      <c r="I291" s="21"/>
      <c r="J291" s="21"/>
      <c r="K291" s="21"/>
      <c r="L291" s="21"/>
      <c r="M291" s="21"/>
      <c r="N291" s="21"/>
      <c r="O291" s="21"/>
      <c r="P291" s="21"/>
      <c r="Q291" s="19"/>
      <c r="R291" s="19"/>
      <c r="S291" s="19"/>
      <c r="T291" s="19"/>
      <c r="U291" s="19"/>
      <c r="V291" s="19"/>
      <c r="W291" s="19"/>
      <c r="X291" s="19"/>
      <c r="Y291" s="19"/>
      <c r="Z291" s="19"/>
    </row>
    <row r="292">
      <c r="A292" s="21"/>
      <c r="B292" s="21"/>
      <c r="C292" s="21"/>
      <c r="D292" s="21"/>
      <c r="E292" s="21"/>
      <c r="F292" s="21"/>
      <c r="G292" s="21"/>
      <c r="H292" s="2"/>
      <c r="I292" s="21"/>
      <c r="J292" s="21"/>
      <c r="K292" s="21"/>
      <c r="L292" s="21"/>
      <c r="M292" s="21"/>
      <c r="N292" s="21"/>
      <c r="O292" s="21"/>
      <c r="P292" s="21"/>
      <c r="Q292" s="19"/>
      <c r="R292" s="19"/>
      <c r="S292" s="19"/>
      <c r="T292" s="19"/>
      <c r="U292" s="19"/>
      <c r="V292" s="19"/>
      <c r="W292" s="19"/>
      <c r="X292" s="19"/>
      <c r="Y292" s="19"/>
      <c r="Z292" s="19"/>
    </row>
    <row r="293">
      <c r="A293" s="21"/>
      <c r="B293" s="21"/>
      <c r="C293" s="21"/>
      <c r="D293" s="21"/>
      <c r="E293" s="21"/>
      <c r="F293" s="21"/>
      <c r="G293" s="21"/>
      <c r="H293" s="2"/>
      <c r="I293" s="21"/>
      <c r="J293" s="21"/>
      <c r="K293" s="21"/>
      <c r="L293" s="21"/>
      <c r="M293" s="21"/>
      <c r="N293" s="21"/>
      <c r="O293" s="21"/>
      <c r="P293" s="21"/>
      <c r="Q293" s="19"/>
      <c r="R293" s="19"/>
      <c r="S293" s="19"/>
      <c r="T293" s="19"/>
      <c r="U293" s="19"/>
      <c r="V293" s="19"/>
      <c r="W293" s="19"/>
      <c r="X293" s="19"/>
      <c r="Y293" s="19"/>
      <c r="Z293" s="19"/>
    </row>
    <row r="294">
      <c r="A294" s="21"/>
      <c r="B294" s="21"/>
      <c r="C294" s="21"/>
      <c r="D294" s="21"/>
      <c r="E294" s="21"/>
      <c r="F294" s="21"/>
      <c r="G294" s="21"/>
      <c r="H294" s="2"/>
      <c r="I294" s="21"/>
      <c r="J294" s="21"/>
      <c r="K294" s="21"/>
      <c r="L294" s="21"/>
      <c r="M294" s="21"/>
      <c r="N294" s="21"/>
      <c r="O294" s="21"/>
      <c r="P294" s="21"/>
      <c r="Q294" s="19"/>
      <c r="R294" s="19"/>
      <c r="S294" s="19"/>
      <c r="T294" s="19"/>
      <c r="U294" s="19"/>
      <c r="V294" s="19"/>
      <c r="W294" s="19"/>
      <c r="X294" s="19"/>
      <c r="Y294" s="19"/>
      <c r="Z294" s="19"/>
    </row>
    <row r="295">
      <c r="A295" s="21"/>
      <c r="B295" s="21"/>
      <c r="C295" s="21"/>
      <c r="D295" s="21"/>
      <c r="E295" s="21"/>
      <c r="F295" s="21"/>
      <c r="G295" s="21"/>
      <c r="H295" s="2"/>
      <c r="I295" s="21"/>
      <c r="J295" s="21"/>
      <c r="K295" s="21"/>
      <c r="L295" s="21"/>
      <c r="M295" s="21"/>
      <c r="N295" s="21"/>
      <c r="O295" s="21"/>
      <c r="P295" s="21"/>
      <c r="Q295" s="19"/>
      <c r="R295" s="19"/>
      <c r="S295" s="19"/>
      <c r="T295" s="19"/>
      <c r="U295" s="19"/>
      <c r="V295" s="19"/>
      <c r="W295" s="19"/>
      <c r="X295" s="19"/>
      <c r="Y295" s="19"/>
      <c r="Z295" s="19"/>
    </row>
    <row r="296">
      <c r="A296" s="21"/>
      <c r="B296" s="21"/>
      <c r="C296" s="21"/>
      <c r="D296" s="21"/>
      <c r="E296" s="21"/>
      <c r="F296" s="21"/>
      <c r="G296" s="21"/>
      <c r="H296" s="2"/>
      <c r="I296" s="21"/>
      <c r="J296" s="21"/>
      <c r="K296" s="21"/>
      <c r="L296" s="21"/>
      <c r="M296" s="21"/>
      <c r="N296" s="21"/>
      <c r="O296" s="21"/>
      <c r="P296" s="21"/>
      <c r="Q296" s="19"/>
      <c r="R296" s="19"/>
      <c r="S296" s="19"/>
      <c r="T296" s="19"/>
      <c r="U296" s="19"/>
      <c r="V296" s="19"/>
      <c r="W296" s="19"/>
      <c r="X296" s="19"/>
      <c r="Y296" s="19"/>
      <c r="Z296" s="19"/>
    </row>
    <row r="297">
      <c r="A297" s="21"/>
      <c r="B297" s="21"/>
      <c r="C297" s="21"/>
      <c r="D297" s="21"/>
      <c r="E297" s="21"/>
      <c r="F297" s="21"/>
      <c r="G297" s="21"/>
      <c r="H297" s="2"/>
      <c r="I297" s="21"/>
      <c r="J297" s="21"/>
      <c r="K297" s="21"/>
      <c r="L297" s="21"/>
      <c r="M297" s="21"/>
      <c r="N297" s="21"/>
      <c r="O297" s="21"/>
      <c r="P297" s="21"/>
      <c r="Q297" s="19"/>
      <c r="R297" s="19"/>
      <c r="S297" s="19"/>
      <c r="T297" s="19"/>
      <c r="U297" s="19"/>
      <c r="V297" s="19"/>
      <c r="W297" s="19"/>
      <c r="X297" s="19"/>
      <c r="Y297" s="19"/>
      <c r="Z297" s="19"/>
    </row>
    <row r="298">
      <c r="A298" s="21"/>
      <c r="B298" s="21"/>
      <c r="C298" s="21"/>
      <c r="D298" s="21"/>
      <c r="E298" s="21"/>
      <c r="F298" s="21"/>
      <c r="G298" s="21"/>
      <c r="H298" s="2"/>
      <c r="I298" s="21"/>
      <c r="J298" s="21"/>
      <c r="K298" s="21"/>
      <c r="L298" s="21"/>
      <c r="M298" s="21"/>
      <c r="N298" s="21"/>
      <c r="O298" s="21"/>
      <c r="P298" s="21"/>
      <c r="Q298" s="19"/>
      <c r="R298" s="19"/>
      <c r="S298" s="19"/>
      <c r="T298" s="19"/>
      <c r="U298" s="19"/>
      <c r="V298" s="19"/>
      <c r="W298" s="19"/>
      <c r="X298" s="19"/>
      <c r="Y298" s="19"/>
      <c r="Z298" s="19"/>
    </row>
    <row r="299">
      <c r="A299" s="21"/>
      <c r="B299" s="21"/>
      <c r="C299" s="21"/>
      <c r="D299" s="21"/>
      <c r="E299" s="21"/>
      <c r="F299" s="21"/>
      <c r="G299" s="21"/>
      <c r="H299" s="2"/>
      <c r="I299" s="21"/>
      <c r="J299" s="21"/>
      <c r="K299" s="21"/>
      <c r="L299" s="21"/>
      <c r="M299" s="21"/>
      <c r="N299" s="21"/>
      <c r="O299" s="21"/>
      <c r="P299" s="21"/>
      <c r="Q299" s="19"/>
      <c r="R299" s="19"/>
      <c r="S299" s="19"/>
      <c r="T299" s="19"/>
      <c r="U299" s="19"/>
      <c r="V299" s="19"/>
      <c r="W299" s="19"/>
      <c r="X299" s="19"/>
      <c r="Y299" s="19"/>
      <c r="Z299" s="19"/>
    </row>
    <row r="300">
      <c r="A300" s="21"/>
      <c r="B300" s="21"/>
      <c r="C300" s="21"/>
      <c r="D300" s="21"/>
      <c r="E300" s="21"/>
      <c r="F300" s="21"/>
      <c r="G300" s="21"/>
      <c r="H300" s="2"/>
      <c r="I300" s="21"/>
      <c r="J300" s="21"/>
      <c r="K300" s="21"/>
      <c r="L300" s="21"/>
      <c r="M300" s="21"/>
      <c r="N300" s="21"/>
      <c r="O300" s="21"/>
      <c r="P300" s="21"/>
      <c r="Q300" s="19"/>
      <c r="R300" s="19"/>
      <c r="S300" s="19"/>
      <c r="T300" s="19"/>
      <c r="U300" s="19"/>
      <c r="V300" s="19"/>
      <c r="W300" s="19"/>
      <c r="X300" s="19"/>
      <c r="Y300" s="19"/>
      <c r="Z300" s="19"/>
    </row>
    <row r="301">
      <c r="A301" s="21"/>
      <c r="B301" s="21"/>
      <c r="C301" s="21"/>
      <c r="D301" s="21"/>
      <c r="E301" s="21"/>
      <c r="F301" s="21"/>
      <c r="G301" s="21"/>
      <c r="H301" s="2"/>
      <c r="I301" s="21"/>
      <c r="J301" s="21"/>
      <c r="K301" s="21"/>
      <c r="L301" s="21"/>
      <c r="M301" s="21"/>
      <c r="N301" s="21"/>
      <c r="O301" s="21"/>
      <c r="P301" s="21"/>
      <c r="Q301" s="19"/>
      <c r="R301" s="19"/>
      <c r="S301" s="19"/>
      <c r="T301" s="19"/>
      <c r="U301" s="19"/>
      <c r="V301" s="19"/>
      <c r="W301" s="19"/>
      <c r="X301" s="19"/>
      <c r="Y301" s="19"/>
      <c r="Z301" s="19"/>
    </row>
    <row r="302">
      <c r="A302" s="21"/>
      <c r="B302" s="21"/>
      <c r="C302" s="21"/>
      <c r="D302" s="21"/>
      <c r="E302" s="21"/>
      <c r="F302" s="21"/>
      <c r="G302" s="21"/>
      <c r="H302" s="2"/>
      <c r="I302" s="21"/>
      <c r="J302" s="21"/>
      <c r="K302" s="21"/>
      <c r="L302" s="21"/>
      <c r="M302" s="21"/>
      <c r="N302" s="21"/>
      <c r="O302" s="21"/>
      <c r="P302" s="21"/>
      <c r="Q302" s="19"/>
      <c r="R302" s="19"/>
      <c r="S302" s="19"/>
      <c r="T302" s="19"/>
      <c r="U302" s="19"/>
      <c r="V302" s="19"/>
      <c r="W302" s="19"/>
      <c r="X302" s="19"/>
      <c r="Y302" s="19"/>
      <c r="Z302" s="19"/>
    </row>
    <row r="303">
      <c r="A303" s="21"/>
      <c r="B303" s="21"/>
      <c r="C303" s="21"/>
      <c r="D303" s="21"/>
      <c r="E303" s="21"/>
      <c r="F303" s="21"/>
      <c r="G303" s="21"/>
      <c r="H303" s="2"/>
      <c r="I303" s="21"/>
      <c r="J303" s="21"/>
      <c r="K303" s="21"/>
      <c r="L303" s="21"/>
      <c r="M303" s="21"/>
      <c r="N303" s="21"/>
      <c r="O303" s="21"/>
      <c r="P303" s="21"/>
      <c r="Q303" s="19"/>
      <c r="R303" s="19"/>
      <c r="S303" s="19"/>
      <c r="T303" s="19"/>
      <c r="U303" s="19"/>
      <c r="V303" s="19"/>
      <c r="W303" s="19"/>
      <c r="X303" s="19"/>
      <c r="Y303" s="19"/>
      <c r="Z303" s="19"/>
    </row>
    <row r="304">
      <c r="A304" s="21"/>
      <c r="B304" s="21"/>
      <c r="C304" s="21"/>
      <c r="D304" s="21"/>
      <c r="E304" s="21"/>
      <c r="F304" s="21"/>
      <c r="G304" s="21"/>
      <c r="H304" s="2"/>
      <c r="I304" s="21"/>
      <c r="J304" s="21"/>
      <c r="K304" s="21"/>
      <c r="L304" s="21"/>
      <c r="M304" s="21"/>
      <c r="N304" s="21"/>
      <c r="O304" s="21"/>
      <c r="P304" s="21"/>
      <c r="Q304" s="19"/>
      <c r="R304" s="19"/>
      <c r="S304" s="19"/>
      <c r="T304" s="19"/>
      <c r="U304" s="19"/>
      <c r="V304" s="19"/>
      <c r="W304" s="19"/>
      <c r="X304" s="19"/>
      <c r="Y304" s="19"/>
      <c r="Z304" s="19"/>
    </row>
    <row r="305">
      <c r="A305" s="21"/>
      <c r="B305" s="21"/>
      <c r="C305" s="21"/>
      <c r="D305" s="21"/>
      <c r="E305" s="21"/>
      <c r="F305" s="21"/>
      <c r="G305" s="21"/>
      <c r="H305" s="2"/>
      <c r="I305" s="21"/>
      <c r="J305" s="21"/>
      <c r="K305" s="21"/>
      <c r="L305" s="21"/>
      <c r="M305" s="21"/>
      <c r="N305" s="21"/>
      <c r="O305" s="21"/>
      <c r="P305" s="21"/>
      <c r="Q305" s="19"/>
      <c r="R305" s="19"/>
      <c r="S305" s="19"/>
      <c r="T305" s="19"/>
      <c r="U305" s="19"/>
      <c r="V305" s="19"/>
      <c r="W305" s="19"/>
      <c r="X305" s="19"/>
      <c r="Y305" s="19"/>
      <c r="Z305" s="19"/>
    </row>
    <row r="306">
      <c r="A306" s="21"/>
      <c r="B306" s="21"/>
      <c r="C306" s="21"/>
      <c r="D306" s="21"/>
      <c r="E306" s="21"/>
      <c r="F306" s="21"/>
      <c r="G306" s="21"/>
      <c r="H306" s="2"/>
      <c r="I306" s="21"/>
      <c r="J306" s="21"/>
      <c r="K306" s="21"/>
      <c r="L306" s="21"/>
      <c r="M306" s="21"/>
      <c r="N306" s="21"/>
      <c r="O306" s="21"/>
      <c r="P306" s="21"/>
      <c r="Q306" s="19"/>
      <c r="R306" s="19"/>
      <c r="S306" s="19"/>
      <c r="T306" s="19"/>
      <c r="U306" s="19"/>
      <c r="V306" s="19"/>
      <c r="W306" s="19"/>
      <c r="X306" s="19"/>
      <c r="Y306" s="19"/>
      <c r="Z306" s="19"/>
    </row>
    <row r="307">
      <c r="A307" s="21"/>
      <c r="B307" s="21"/>
      <c r="C307" s="21"/>
      <c r="D307" s="21"/>
      <c r="E307" s="21"/>
      <c r="F307" s="21"/>
      <c r="G307" s="21"/>
      <c r="H307" s="2"/>
      <c r="I307" s="21"/>
      <c r="J307" s="21"/>
      <c r="K307" s="21"/>
      <c r="L307" s="21"/>
      <c r="M307" s="21"/>
      <c r="N307" s="21"/>
      <c r="O307" s="21"/>
      <c r="P307" s="21"/>
      <c r="Q307" s="19"/>
      <c r="R307" s="19"/>
      <c r="S307" s="19"/>
      <c r="T307" s="19"/>
      <c r="U307" s="19"/>
      <c r="V307" s="19"/>
      <c r="W307" s="19"/>
      <c r="X307" s="19"/>
      <c r="Y307" s="19"/>
      <c r="Z307" s="19"/>
    </row>
    <row r="308">
      <c r="A308" s="21"/>
      <c r="B308" s="21"/>
      <c r="C308" s="21"/>
      <c r="D308" s="21"/>
      <c r="E308" s="21"/>
      <c r="F308" s="21"/>
      <c r="G308" s="21"/>
      <c r="H308" s="2"/>
      <c r="I308" s="21"/>
      <c r="J308" s="21"/>
      <c r="K308" s="21"/>
      <c r="L308" s="21"/>
      <c r="M308" s="21"/>
      <c r="N308" s="21"/>
      <c r="O308" s="21"/>
      <c r="P308" s="21"/>
      <c r="Q308" s="19"/>
      <c r="R308" s="19"/>
      <c r="S308" s="19"/>
      <c r="T308" s="19"/>
      <c r="U308" s="19"/>
      <c r="V308" s="19"/>
      <c r="W308" s="19"/>
      <c r="X308" s="19"/>
      <c r="Y308" s="19"/>
      <c r="Z308" s="19"/>
    </row>
    <row r="309">
      <c r="A309" s="21"/>
      <c r="B309" s="21"/>
      <c r="C309" s="21"/>
      <c r="D309" s="21"/>
      <c r="E309" s="21"/>
      <c r="F309" s="21"/>
      <c r="G309" s="21"/>
      <c r="H309" s="2"/>
      <c r="I309" s="21"/>
      <c r="J309" s="21"/>
      <c r="K309" s="21"/>
      <c r="L309" s="21"/>
      <c r="M309" s="21"/>
      <c r="N309" s="21"/>
      <c r="O309" s="21"/>
      <c r="P309" s="21"/>
      <c r="Q309" s="19"/>
      <c r="R309" s="19"/>
      <c r="S309" s="19"/>
      <c r="T309" s="19"/>
      <c r="U309" s="19"/>
      <c r="V309" s="19"/>
      <c r="W309" s="19"/>
      <c r="X309" s="19"/>
      <c r="Y309" s="19"/>
      <c r="Z309" s="19"/>
    </row>
    <row r="310">
      <c r="A310" s="21"/>
      <c r="B310" s="21"/>
      <c r="C310" s="21"/>
      <c r="D310" s="21"/>
      <c r="E310" s="21"/>
      <c r="F310" s="21"/>
      <c r="G310" s="21"/>
      <c r="H310" s="2"/>
      <c r="I310" s="21"/>
      <c r="J310" s="21"/>
      <c r="K310" s="21"/>
      <c r="L310" s="21"/>
      <c r="M310" s="21"/>
      <c r="N310" s="21"/>
      <c r="O310" s="21"/>
      <c r="P310" s="21"/>
      <c r="Q310" s="19"/>
      <c r="R310" s="19"/>
      <c r="S310" s="19"/>
      <c r="T310" s="19"/>
      <c r="U310" s="19"/>
      <c r="V310" s="19"/>
      <c r="W310" s="19"/>
      <c r="X310" s="19"/>
      <c r="Y310" s="19"/>
      <c r="Z310" s="19"/>
    </row>
    <row r="311">
      <c r="A311" s="21"/>
      <c r="B311" s="21"/>
      <c r="C311" s="21"/>
      <c r="D311" s="21"/>
      <c r="E311" s="21"/>
      <c r="F311" s="21"/>
      <c r="G311" s="21"/>
      <c r="H311" s="2"/>
      <c r="I311" s="21"/>
      <c r="J311" s="21"/>
      <c r="K311" s="21"/>
      <c r="L311" s="21"/>
      <c r="M311" s="21"/>
      <c r="N311" s="21"/>
      <c r="O311" s="21"/>
      <c r="P311" s="21"/>
      <c r="Q311" s="19"/>
      <c r="R311" s="19"/>
      <c r="S311" s="19"/>
      <c r="T311" s="19"/>
      <c r="U311" s="19"/>
      <c r="V311" s="19"/>
      <c r="W311" s="19"/>
      <c r="X311" s="19"/>
      <c r="Y311" s="19"/>
      <c r="Z311" s="19"/>
    </row>
    <row r="312">
      <c r="A312" s="21"/>
      <c r="B312" s="21"/>
      <c r="C312" s="21"/>
      <c r="D312" s="21"/>
      <c r="E312" s="21"/>
      <c r="F312" s="21"/>
      <c r="G312" s="21"/>
      <c r="H312" s="2"/>
      <c r="I312" s="21"/>
      <c r="J312" s="21"/>
      <c r="K312" s="21"/>
      <c r="L312" s="21"/>
      <c r="M312" s="21"/>
      <c r="N312" s="21"/>
      <c r="O312" s="21"/>
      <c r="P312" s="21"/>
      <c r="Q312" s="19"/>
      <c r="R312" s="19"/>
      <c r="S312" s="19"/>
      <c r="T312" s="19"/>
      <c r="U312" s="19"/>
      <c r="V312" s="19"/>
      <c r="W312" s="19"/>
      <c r="X312" s="19"/>
      <c r="Y312" s="19"/>
      <c r="Z312" s="19"/>
    </row>
    <row r="313">
      <c r="A313" s="21"/>
      <c r="B313" s="21"/>
      <c r="C313" s="21"/>
      <c r="D313" s="21"/>
      <c r="E313" s="21"/>
      <c r="F313" s="21"/>
      <c r="G313" s="21"/>
      <c r="H313" s="2"/>
      <c r="I313" s="21"/>
      <c r="J313" s="21"/>
      <c r="K313" s="21"/>
      <c r="L313" s="21"/>
      <c r="M313" s="21"/>
      <c r="N313" s="21"/>
      <c r="O313" s="21"/>
      <c r="P313" s="21"/>
      <c r="Q313" s="19"/>
      <c r="R313" s="19"/>
      <c r="S313" s="19"/>
      <c r="T313" s="19"/>
      <c r="U313" s="19"/>
      <c r="V313" s="19"/>
      <c r="W313" s="19"/>
      <c r="X313" s="19"/>
      <c r="Y313" s="19"/>
      <c r="Z313" s="19"/>
    </row>
    <row r="314">
      <c r="A314" s="21"/>
      <c r="B314" s="21"/>
      <c r="C314" s="21"/>
      <c r="D314" s="21"/>
      <c r="E314" s="21"/>
      <c r="F314" s="21"/>
      <c r="G314" s="21"/>
      <c r="H314" s="2"/>
      <c r="I314" s="21"/>
      <c r="J314" s="21"/>
      <c r="K314" s="21"/>
      <c r="L314" s="21"/>
      <c r="M314" s="21"/>
      <c r="N314" s="21"/>
      <c r="O314" s="21"/>
      <c r="P314" s="21"/>
      <c r="Q314" s="19"/>
      <c r="R314" s="19"/>
      <c r="S314" s="19"/>
      <c r="T314" s="19"/>
      <c r="U314" s="19"/>
      <c r="V314" s="19"/>
      <c r="W314" s="19"/>
      <c r="X314" s="19"/>
      <c r="Y314" s="19"/>
      <c r="Z314" s="19"/>
    </row>
    <row r="315">
      <c r="A315" s="21"/>
      <c r="B315" s="21"/>
      <c r="C315" s="21"/>
      <c r="D315" s="21"/>
      <c r="E315" s="21"/>
      <c r="F315" s="21"/>
      <c r="G315" s="21"/>
      <c r="H315" s="2"/>
      <c r="I315" s="21"/>
      <c r="J315" s="21"/>
      <c r="K315" s="21"/>
      <c r="L315" s="21"/>
      <c r="M315" s="21"/>
      <c r="N315" s="21"/>
      <c r="O315" s="21"/>
      <c r="P315" s="21"/>
      <c r="Q315" s="19"/>
      <c r="R315" s="19"/>
      <c r="S315" s="19"/>
      <c r="T315" s="19"/>
      <c r="U315" s="19"/>
      <c r="V315" s="19"/>
      <c r="W315" s="19"/>
      <c r="X315" s="19"/>
      <c r="Y315" s="19"/>
      <c r="Z315" s="19"/>
    </row>
    <row r="316">
      <c r="A316" s="21"/>
      <c r="B316" s="21"/>
      <c r="C316" s="21"/>
      <c r="D316" s="21"/>
      <c r="E316" s="21"/>
      <c r="F316" s="21"/>
      <c r="G316" s="21"/>
      <c r="H316" s="2"/>
      <c r="I316" s="21"/>
      <c r="J316" s="21"/>
      <c r="K316" s="21"/>
      <c r="L316" s="21"/>
      <c r="M316" s="21"/>
      <c r="N316" s="21"/>
      <c r="O316" s="21"/>
      <c r="P316" s="21"/>
      <c r="Q316" s="19"/>
      <c r="R316" s="19"/>
      <c r="S316" s="19"/>
      <c r="T316" s="19"/>
      <c r="U316" s="19"/>
      <c r="V316" s="19"/>
      <c r="W316" s="19"/>
      <c r="X316" s="19"/>
      <c r="Y316" s="19"/>
      <c r="Z316" s="19"/>
    </row>
    <row r="317">
      <c r="A317" s="21"/>
      <c r="B317" s="21"/>
      <c r="C317" s="21"/>
      <c r="D317" s="21"/>
      <c r="E317" s="21"/>
      <c r="F317" s="21"/>
      <c r="G317" s="21"/>
      <c r="H317" s="2"/>
      <c r="I317" s="21"/>
      <c r="J317" s="21"/>
      <c r="K317" s="21"/>
      <c r="L317" s="21"/>
      <c r="M317" s="21"/>
      <c r="N317" s="21"/>
      <c r="O317" s="21"/>
      <c r="P317" s="21"/>
      <c r="Q317" s="19"/>
      <c r="R317" s="19"/>
      <c r="S317" s="19"/>
      <c r="T317" s="19"/>
      <c r="U317" s="19"/>
      <c r="V317" s="19"/>
      <c r="W317" s="19"/>
      <c r="X317" s="19"/>
      <c r="Y317" s="19"/>
      <c r="Z317" s="19"/>
    </row>
    <row r="318">
      <c r="A318" s="21"/>
      <c r="B318" s="21"/>
      <c r="C318" s="21"/>
      <c r="D318" s="21"/>
      <c r="E318" s="21"/>
      <c r="F318" s="21"/>
      <c r="G318" s="21"/>
      <c r="H318" s="2"/>
      <c r="I318" s="21"/>
      <c r="J318" s="21"/>
      <c r="K318" s="21"/>
      <c r="L318" s="21"/>
      <c r="M318" s="21"/>
      <c r="N318" s="21"/>
      <c r="O318" s="21"/>
      <c r="P318" s="21"/>
      <c r="Q318" s="19"/>
      <c r="R318" s="19"/>
      <c r="S318" s="19"/>
      <c r="T318" s="19"/>
      <c r="U318" s="19"/>
      <c r="V318" s="19"/>
      <c r="W318" s="19"/>
      <c r="X318" s="19"/>
      <c r="Y318" s="19"/>
      <c r="Z318" s="19"/>
    </row>
    <row r="319">
      <c r="A319" s="21"/>
      <c r="B319" s="21"/>
      <c r="C319" s="21"/>
      <c r="D319" s="21"/>
      <c r="E319" s="21"/>
      <c r="F319" s="21"/>
      <c r="G319" s="21"/>
      <c r="H319" s="2"/>
      <c r="I319" s="21"/>
      <c r="J319" s="21"/>
      <c r="K319" s="21"/>
      <c r="L319" s="21"/>
      <c r="M319" s="21"/>
      <c r="N319" s="21"/>
      <c r="O319" s="21"/>
      <c r="P319" s="21"/>
      <c r="Q319" s="19"/>
      <c r="R319" s="19"/>
      <c r="S319" s="19"/>
      <c r="T319" s="19"/>
      <c r="U319" s="19"/>
      <c r="V319" s="19"/>
      <c r="W319" s="19"/>
      <c r="X319" s="19"/>
      <c r="Y319" s="19"/>
      <c r="Z319" s="19"/>
    </row>
    <row r="320">
      <c r="A320" s="21"/>
      <c r="B320" s="21"/>
      <c r="C320" s="21"/>
      <c r="D320" s="21"/>
      <c r="E320" s="21"/>
      <c r="F320" s="21"/>
      <c r="G320" s="21"/>
      <c r="H320" s="2"/>
      <c r="I320" s="21"/>
      <c r="J320" s="21"/>
      <c r="K320" s="21"/>
      <c r="L320" s="21"/>
      <c r="M320" s="21"/>
      <c r="N320" s="21"/>
      <c r="O320" s="21"/>
      <c r="P320" s="21"/>
      <c r="Q320" s="19"/>
      <c r="R320" s="19"/>
      <c r="S320" s="19"/>
      <c r="T320" s="19"/>
      <c r="U320" s="19"/>
      <c r="V320" s="19"/>
      <c r="W320" s="19"/>
      <c r="X320" s="19"/>
      <c r="Y320" s="19"/>
      <c r="Z320" s="19"/>
    </row>
    <row r="321">
      <c r="A321" s="21"/>
      <c r="B321" s="21"/>
      <c r="C321" s="21"/>
      <c r="D321" s="21"/>
      <c r="E321" s="21"/>
      <c r="F321" s="21"/>
      <c r="G321" s="21"/>
      <c r="H321" s="2"/>
      <c r="I321" s="21"/>
      <c r="J321" s="21"/>
      <c r="K321" s="21"/>
      <c r="L321" s="21"/>
      <c r="M321" s="21"/>
      <c r="N321" s="21"/>
      <c r="O321" s="21"/>
      <c r="P321" s="21"/>
      <c r="Q321" s="19"/>
      <c r="R321" s="19"/>
      <c r="S321" s="19"/>
      <c r="T321" s="19"/>
      <c r="U321" s="19"/>
      <c r="V321" s="19"/>
      <c r="W321" s="19"/>
      <c r="X321" s="19"/>
      <c r="Y321" s="19"/>
      <c r="Z321" s="19"/>
    </row>
    <row r="322">
      <c r="A322" s="21"/>
      <c r="B322" s="21"/>
      <c r="C322" s="21"/>
      <c r="D322" s="21"/>
      <c r="E322" s="21"/>
      <c r="F322" s="21"/>
      <c r="G322" s="21"/>
      <c r="H322" s="2"/>
      <c r="I322" s="21"/>
      <c r="J322" s="21"/>
      <c r="K322" s="21"/>
      <c r="L322" s="21"/>
      <c r="M322" s="21"/>
      <c r="N322" s="21"/>
      <c r="O322" s="21"/>
      <c r="P322" s="21"/>
      <c r="Q322" s="19"/>
      <c r="R322" s="19"/>
      <c r="S322" s="19"/>
      <c r="T322" s="19"/>
      <c r="U322" s="19"/>
      <c r="V322" s="19"/>
      <c r="W322" s="19"/>
      <c r="X322" s="19"/>
      <c r="Y322" s="19"/>
      <c r="Z322" s="19"/>
    </row>
    <row r="323">
      <c r="A323" s="21"/>
      <c r="B323" s="21"/>
      <c r="C323" s="21"/>
      <c r="D323" s="21"/>
      <c r="E323" s="21"/>
      <c r="F323" s="21"/>
      <c r="G323" s="21"/>
      <c r="H323" s="2"/>
      <c r="I323" s="21"/>
      <c r="J323" s="21"/>
      <c r="K323" s="21"/>
      <c r="L323" s="21"/>
      <c r="M323" s="21"/>
      <c r="N323" s="21"/>
      <c r="O323" s="21"/>
      <c r="P323" s="21"/>
      <c r="Q323" s="19"/>
      <c r="R323" s="19"/>
      <c r="S323" s="19"/>
      <c r="T323" s="19"/>
      <c r="U323" s="19"/>
      <c r="V323" s="19"/>
      <c r="W323" s="19"/>
      <c r="X323" s="19"/>
      <c r="Y323" s="19"/>
      <c r="Z323" s="19"/>
    </row>
    <row r="324">
      <c r="A324" s="21"/>
      <c r="B324" s="21"/>
      <c r="C324" s="21"/>
      <c r="D324" s="21"/>
      <c r="E324" s="21"/>
      <c r="F324" s="21"/>
      <c r="G324" s="21"/>
      <c r="H324" s="2"/>
      <c r="I324" s="21"/>
      <c r="J324" s="21"/>
      <c r="K324" s="21"/>
      <c r="L324" s="21"/>
      <c r="M324" s="21"/>
      <c r="N324" s="21"/>
      <c r="O324" s="21"/>
      <c r="P324" s="21"/>
      <c r="Q324" s="19"/>
      <c r="R324" s="19"/>
      <c r="S324" s="19"/>
      <c r="T324" s="19"/>
      <c r="U324" s="19"/>
      <c r="V324" s="19"/>
      <c r="W324" s="19"/>
      <c r="X324" s="19"/>
      <c r="Y324" s="19"/>
      <c r="Z324" s="19"/>
    </row>
    <row r="325">
      <c r="A325" s="21"/>
      <c r="B325" s="21"/>
      <c r="C325" s="21"/>
      <c r="D325" s="21"/>
      <c r="E325" s="21"/>
      <c r="F325" s="21"/>
      <c r="G325" s="21"/>
      <c r="H325" s="2"/>
      <c r="I325" s="21"/>
      <c r="J325" s="21"/>
      <c r="K325" s="21"/>
      <c r="L325" s="21"/>
      <c r="M325" s="21"/>
      <c r="N325" s="21"/>
      <c r="O325" s="21"/>
      <c r="P325" s="21"/>
      <c r="Q325" s="19"/>
      <c r="R325" s="19"/>
      <c r="S325" s="19"/>
      <c r="T325" s="19"/>
      <c r="U325" s="19"/>
      <c r="V325" s="19"/>
      <c r="W325" s="19"/>
      <c r="X325" s="19"/>
      <c r="Y325" s="19"/>
      <c r="Z325" s="19"/>
    </row>
    <row r="326">
      <c r="A326" s="21"/>
      <c r="B326" s="21"/>
      <c r="C326" s="21"/>
      <c r="D326" s="21"/>
      <c r="E326" s="21"/>
      <c r="F326" s="21"/>
      <c r="G326" s="21"/>
      <c r="H326" s="2"/>
      <c r="I326" s="21"/>
      <c r="J326" s="21"/>
      <c r="K326" s="21"/>
      <c r="L326" s="21"/>
      <c r="M326" s="21"/>
      <c r="N326" s="21"/>
      <c r="O326" s="21"/>
      <c r="P326" s="21"/>
      <c r="Q326" s="19"/>
      <c r="R326" s="19"/>
      <c r="S326" s="19"/>
      <c r="T326" s="19"/>
      <c r="U326" s="19"/>
      <c r="V326" s="19"/>
      <c r="W326" s="19"/>
      <c r="X326" s="19"/>
      <c r="Y326" s="19"/>
      <c r="Z326" s="19"/>
    </row>
    <row r="327">
      <c r="A327" s="21"/>
      <c r="B327" s="21"/>
      <c r="C327" s="21"/>
      <c r="D327" s="21"/>
      <c r="E327" s="21"/>
      <c r="F327" s="21"/>
      <c r="G327" s="21"/>
      <c r="H327" s="2"/>
      <c r="I327" s="21"/>
      <c r="J327" s="21"/>
      <c r="K327" s="21"/>
      <c r="L327" s="21"/>
      <c r="M327" s="21"/>
      <c r="N327" s="21"/>
      <c r="O327" s="21"/>
      <c r="P327" s="21"/>
      <c r="Q327" s="19"/>
      <c r="R327" s="19"/>
      <c r="S327" s="19"/>
      <c r="T327" s="19"/>
      <c r="U327" s="19"/>
      <c r="V327" s="19"/>
      <c r="W327" s="19"/>
      <c r="X327" s="19"/>
      <c r="Y327" s="19"/>
      <c r="Z327" s="19"/>
    </row>
    <row r="328">
      <c r="A328" s="21"/>
      <c r="B328" s="21"/>
      <c r="C328" s="21"/>
      <c r="D328" s="21"/>
      <c r="E328" s="21"/>
      <c r="F328" s="21"/>
      <c r="G328" s="21"/>
      <c r="H328" s="2"/>
      <c r="I328" s="21"/>
      <c r="J328" s="21"/>
      <c r="K328" s="21"/>
      <c r="L328" s="21"/>
      <c r="M328" s="21"/>
      <c r="N328" s="21"/>
      <c r="O328" s="21"/>
      <c r="P328" s="21"/>
      <c r="Q328" s="19"/>
      <c r="R328" s="19"/>
      <c r="S328" s="19"/>
      <c r="T328" s="19"/>
      <c r="U328" s="19"/>
      <c r="V328" s="19"/>
      <c r="W328" s="19"/>
      <c r="X328" s="19"/>
      <c r="Y328" s="19"/>
      <c r="Z328" s="19"/>
    </row>
    <row r="329">
      <c r="A329" s="21"/>
      <c r="B329" s="21"/>
      <c r="C329" s="21"/>
      <c r="D329" s="21"/>
      <c r="E329" s="21"/>
      <c r="F329" s="21"/>
      <c r="G329" s="21"/>
      <c r="H329" s="2"/>
      <c r="I329" s="21"/>
      <c r="J329" s="21"/>
      <c r="K329" s="21"/>
      <c r="L329" s="21"/>
      <c r="M329" s="21"/>
      <c r="N329" s="21"/>
      <c r="O329" s="21"/>
      <c r="P329" s="21"/>
      <c r="Q329" s="19"/>
      <c r="R329" s="19"/>
      <c r="S329" s="19"/>
      <c r="T329" s="19"/>
      <c r="U329" s="19"/>
      <c r="V329" s="19"/>
      <c r="W329" s="19"/>
      <c r="X329" s="19"/>
      <c r="Y329" s="19"/>
      <c r="Z329" s="19"/>
    </row>
    <row r="330">
      <c r="A330" s="21"/>
      <c r="B330" s="21"/>
      <c r="C330" s="21"/>
      <c r="D330" s="21"/>
      <c r="E330" s="21"/>
      <c r="F330" s="21"/>
      <c r="G330" s="21"/>
      <c r="H330" s="2"/>
      <c r="I330" s="21"/>
      <c r="J330" s="21"/>
      <c r="K330" s="21"/>
      <c r="L330" s="21"/>
      <c r="M330" s="21"/>
      <c r="N330" s="21"/>
      <c r="O330" s="21"/>
      <c r="P330" s="21"/>
      <c r="Q330" s="19"/>
      <c r="R330" s="19"/>
      <c r="S330" s="19"/>
      <c r="T330" s="19"/>
      <c r="U330" s="19"/>
      <c r="V330" s="19"/>
      <c r="W330" s="19"/>
      <c r="X330" s="19"/>
      <c r="Y330" s="19"/>
      <c r="Z330" s="19"/>
    </row>
    <row r="331">
      <c r="A331" s="21"/>
      <c r="B331" s="21"/>
      <c r="C331" s="21"/>
      <c r="D331" s="21"/>
      <c r="E331" s="21"/>
      <c r="F331" s="21"/>
      <c r="G331" s="21"/>
      <c r="H331" s="2"/>
      <c r="I331" s="21"/>
      <c r="J331" s="21"/>
      <c r="K331" s="21"/>
      <c r="L331" s="21"/>
      <c r="M331" s="21"/>
      <c r="N331" s="21"/>
      <c r="O331" s="21"/>
      <c r="P331" s="21"/>
      <c r="Q331" s="19"/>
      <c r="R331" s="19"/>
      <c r="S331" s="19"/>
      <c r="T331" s="19"/>
      <c r="U331" s="19"/>
      <c r="V331" s="19"/>
      <c r="W331" s="19"/>
      <c r="X331" s="19"/>
      <c r="Y331" s="19"/>
      <c r="Z331" s="19"/>
    </row>
    <row r="332">
      <c r="A332" s="21"/>
      <c r="B332" s="21"/>
      <c r="C332" s="21"/>
      <c r="D332" s="21"/>
      <c r="E332" s="21"/>
      <c r="F332" s="21"/>
      <c r="G332" s="21"/>
      <c r="H332" s="2"/>
      <c r="I332" s="21"/>
      <c r="J332" s="21"/>
      <c r="K332" s="21"/>
      <c r="L332" s="21"/>
      <c r="M332" s="21"/>
      <c r="N332" s="21"/>
      <c r="O332" s="21"/>
      <c r="P332" s="21"/>
      <c r="Q332" s="19"/>
      <c r="R332" s="19"/>
      <c r="S332" s="19"/>
      <c r="T332" s="19"/>
      <c r="U332" s="19"/>
      <c r="V332" s="19"/>
      <c r="W332" s="19"/>
      <c r="X332" s="19"/>
      <c r="Y332" s="19"/>
      <c r="Z332" s="19"/>
    </row>
    <row r="333">
      <c r="A333" s="21"/>
      <c r="B333" s="21"/>
      <c r="C333" s="21"/>
      <c r="D333" s="21"/>
      <c r="E333" s="21"/>
      <c r="F333" s="21"/>
      <c r="G333" s="21"/>
      <c r="H333" s="2"/>
      <c r="I333" s="21"/>
      <c r="J333" s="21"/>
      <c r="K333" s="21"/>
      <c r="L333" s="21"/>
      <c r="M333" s="21"/>
      <c r="N333" s="21"/>
      <c r="O333" s="21"/>
      <c r="P333" s="21"/>
      <c r="Q333" s="19"/>
      <c r="R333" s="19"/>
      <c r="S333" s="19"/>
      <c r="T333" s="19"/>
      <c r="U333" s="19"/>
      <c r="V333" s="19"/>
      <c r="W333" s="19"/>
      <c r="X333" s="19"/>
      <c r="Y333" s="19"/>
      <c r="Z333" s="19"/>
    </row>
    <row r="334">
      <c r="A334" s="21"/>
      <c r="B334" s="21"/>
      <c r="C334" s="21"/>
      <c r="D334" s="21"/>
      <c r="E334" s="21"/>
      <c r="F334" s="21"/>
      <c r="G334" s="21"/>
      <c r="H334" s="2"/>
      <c r="I334" s="21"/>
      <c r="J334" s="21"/>
      <c r="K334" s="21"/>
      <c r="L334" s="21"/>
      <c r="M334" s="21"/>
      <c r="N334" s="21"/>
      <c r="O334" s="21"/>
      <c r="P334" s="21"/>
      <c r="Q334" s="19"/>
      <c r="R334" s="19"/>
      <c r="S334" s="19"/>
      <c r="T334" s="19"/>
      <c r="U334" s="19"/>
      <c r="V334" s="19"/>
      <c r="W334" s="19"/>
      <c r="X334" s="19"/>
      <c r="Y334" s="19"/>
      <c r="Z334" s="19"/>
    </row>
    <row r="335">
      <c r="A335" s="21"/>
      <c r="B335" s="21"/>
      <c r="C335" s="21"/>
      <c r="D335" s="21"/>
      <c r="E335" s="21"/>
      <c r="F335" s="21"/>
      <c r="G335" s="21"/>
      <c r="H335" s="2"/>
      <c r="I335" s="21"/>
      <c r="J335" s="21"/>
      <c r="K335" s="21"/>
      <c r="L335" s="21"/>
      <c r="M335" s="21"/>
      <c r="N335" s="21"/>
      <c r="O335" s="21"/>
      <c r="P335" s="21"/>
      <c r="Q335" s="19"/>
      <c r="R335" s="19"/>
      <c r="S335" s="19"/>
      <c r="T335" s="19"/>
      <c r="U335" s="19"/>
      <c r="V335" s="19"/>
      <c r="W335" s="19"/>
      <c r="X335" s="19"/>
      <c r="Y335" s="19"/>
      <c r="Z335" s="19"/>
    </row>
    <row r="336">
      <c r="A336" s="21"/>
      <c r="B336" s="21"/>
      <c r="C336" s="21"/>
      <c r="D336" s="21"/>
      <c r="E336" s="21"/>
      <c r="F336" s="21"/>
      <c r="G336" s="21"/>
      <c r="H336" s="2"/>
      <c r="I336" s="21"/>
      <c r="J336" s="21"/>
      <c r="K336" s="21"/>
      <c r="L336" s="21"/>
      <c r="M336" s="21"/>
      <c r="N336" s="21"/>
      <c r="O336" s="21"/>
      <c r="P336" s="21"/>
      <c r="Q336" s="19"/>
      <c r="R336" s="19"/>
      <c r="S336" s="19"/>
      <c r="T336" s="19"/>
      <c r="U336" s="19"/>
      <c r="V336" s="19"/>
      <c r="W336" s="19"/>
      <c r="X336" s="19"/>
      <c r="Y336" s="19"/>
      <c r="Z336" s="19"/>
    </row>
    <row r="337">
      <c r="A337" s="21"/>
      <c r="B337" s="21"/>
      <c r="C337" s="21"/>
      <c r="D337" s="21"/>
      <c r="E337" s="21"/>
      <c r="F337" s="21"/>
      <c r="G337" s="21"/>
      <c r="H337" s="2"/>
      <c r="I337" s="21"/>
      <c r="J337" s="21"/>
      <c r="K337" s="21"/>
      <c r="L337" s="21"/>
      <c r="M337" s="21"/>
      <c r="N337" s="21"/>
      <c r="O337" s="21"/>
      <c r="P337" s="21"/>
      <c r="Q337" s="19"/>
      <c r="R337" s="19"/>
      <c r="S337" s="19"/>
      <c r="T337" s="19"/>
      <c r="U337" s="19"/>
      <c r="V337" s="19"/>
      <c r="W337" s="19"/>
      <c r="X337" s="19"/>
      <c r="Y337" s="19"/>
      <c r="Z337" s="19"/>
    </row>
    <row r="338">
      <c r="A338" s="21"/>
      <c r="B338" s="21"/>
      <c r="C338" s="21"/>
      <c r="D338" s="21"/>
      <c r="E338" s="21"/>
      <c r="F338" s="21"/>
      <c r="G338" s="21"/>
      <c r="H338" s="2"/>
      <c r="I338" s="21"/>
      <c r="J338" s="21"/>
      <c r="K338" s="21"/>
      <c r="L338" s="21"/>
      <c r="M338" s="21"/>
      <c r="N338" s="21"/>
      <c r="O338" s="21"/>
      <c r="P338" s="21"/>
      <c r="Q338" s="19"/>
      <c r="R338" s="19"/>
      <c r="S338" s="19"/>
      <c r="T338" s="19"/>
      <c r="U338" s="19"/>
      <c r="V338" s="19"/>
      <c r="W338" s="19"/>
      <c r="X338" s="19"/>
      <c r="Y338" s="19"/>
      <c r="Z338" s="19"/>
    </row>
    <row r="339">
      <c r="A339" s="21"/>
      <c r="B339" s="21"/>
      <c r="C339" s="21"/>
      <c r="D339" s="21"/>
      <c r="E339" s="21"/>
      <c r="F339" s="21"/>
      <c r="G339" s="21"/>
      <c r="H339" s="2"/>
      <c r="I339" s="21"/>
      <c r="J339" s="21"/>
      <c r="K339" s="21"/>
      <c r="L339" s="21"/>
      <c r="M339" s="21"/>
      <c r="N339" s="21"/>
      <c r="O339" s="21"/>
      <c r="P339" s="21"/>
      <c r="Q339" s="19"/>
      <c r="R339" s="19"/>
      <c r="S339" s="19"/>
      <c r="T339" s="19"/>
      <c r="U339" s="19"/>
      <c r="V339" s="19"/>
      <c r="W339" s="19"/>
      <c r="X339" s="19"/>
      <c r="Y339" s="19"/>
      <c r="Z339" s="19"/>
    </row>
    <row r="340">
      <c r="A340" s="21"/>
      <c r="B340" s="21"/>
      <c r="C340" s="21"/>
      <c r="D340" s="21"/>
      <c r="E340" s="21"/>
      <c r="F340" s="21"/>
      <c r="G340" s="21"/>
      <c r="H340" s="2"/>
      <c r="I340" s="21"/>
      <c r="J340" s="21"/>
      <c r="K340" s="21"/>
      <c r="L340" s="21"/>
      <c r="M340" s="21"/>
      <c r="N340" s="21"/>
      <c r="O340" s="21"/>
      <c r="P340" s="21"/>
      <c r="Q340" s="19"/>
      <c r="R340" s="19"/>
      <c r="S340" s="19"/>
      <c r="T340" s="19"/>
      <c r="U340" s="19"/>
      <c r="V340" s="19"/>
      <c r="W340" s="19"/>
      <c r="X340" s="19"/>
      <c r="Y340" s="19"/>
      <c r="Z340" s="19"/>
    </row>
    <row r="341">
      <c r="A341" s="21"/>
      <c r="B341" s="21"/>
      <c r="C341" s="21"/>
      <c r="D341" s="21"/>
      <c r="E341" s="21"/>
      <c r="F341" s="21"/>
      <c r="G341" s="21"/>
      <c r="H341" s="2"/>
      <c r="I341" s="21"/>
      <c r="J341" s="21"/>
      <c r="K341" s="21"/>
      <c r="L341" s="21"/>
      <c r="M341" s="21"/>
      <c r="N341" s="21"/>
      <c r="O341" s="21"/>
      <c r="P341" s="21"/>
      <c r="Q341" s="19"/>
      <c r="R341" s="19"/>
      <c r="S341" s="19"/>
      <c r="T341" s="19"/>
      <c r="U341" s="19"/>
      <c r="V341" s="19"/>
      <c r="W341" s="19"/>
      <c r="X341" s="19"/>
      <c r="Y341" s="19"/>
      <c r="Z341" s="19"/>
    </row>
    <row r="342">
      <c r="A342" s="21"/>
      <c r="B342" s="21"/>
      <c r="C342" s="21"/>
      <c r="D342" s="21"/>
      <c r="E342" s="21"/>
      <c r="F342" s="21"/>
      <c r="G342" s="21"/>
      <c r="H342" s="2"/>
      <c r="I342" s="21"/>
      <c r="J342" s="21"/>
      <c r="K342" s="21"/>
      <c r="L342" s="21"/>
      <c r="M342" s="21"/>
      <c r="N342" s="21"/>
      <c r="O342" s="21"/>
      <c r="P342" s="21"/>
      <c r="Q342" s="19"/>
      <c r="R342" s="19"/>
      <c r="S342" s="19"/>
      <c r="T342" s="19"/>
      <c r="U342" s="19"/>
      <c r="V342" s="19"/>
      <c r="W342" s="19"/>
      <c r="X342" s="19"/>
      <c r="Y342" s="19"/>
      <c r="Z342" s="19"/>
    </row>
    <row r="343">
      <c r="A343" s="21"/>
      <c r="B343" s="21"/>
      <c r="C343" s="21"/>
      <c r="D343" s="21"/>
      <c r="E343" s="21"/>
      <c r="F343" s="21"/>
      <c r="G343" s="21"/>
      <c r="H343" s="2"/>
      <c r="I343" s="21"/>
      <c r="J343" s="21"/>
      <c r="K343" s="21"/>
      <c r="L343" s="21"/>
      <c r="M343" s="21"/>
      <c r="N343" s="21"/>
      <c r="O343" s="21"/>
      <c r="P343" s="21"/>
      <c r="Q343" s="19"/>
      <c r="R343" s="19"/>
      <c r="S343" s="19"/>
      <c r="T343" s="19"/>
      <c r="U343" s="19"/>
      <c r="V343" s="19"/>
      <c r="W343" s="19"/>
      <c r="X343" s="19"/>
      <c r="Y343" s="19"/>
      <c r="Z343" s="19"/>
    </row>
    <row r="344">
      <c r="A344" s="21"/>
      <c r="B344" s="21"/>
      <c r="C344" s="21"/>
      <c r="D344" s="21"/>
      <c r="E344" s="21"/>
      <c r="F344" s="21"/>
      <c r="G344" s="21"/>
      <c r="H344" s="2"/>
      <c r="I344" s="21"/>
      <c r="J344" s="21"/>
      <c r="K344" s="21"/>
      <c r="L344" s="21"/>
      <c r="M344" s="21"/>
      <c r="N344" s="21"/>
      <c r="O344" s="21"/>
      <c r="P344" s="21"/>
      <c r="Q344" s="19"/>
      <c r="R344" s="19"/>
      <c r="S344" s="19"/>
      <c r="T344" s="19"/>
      <c r="U344" s="19"/>
      <c r="V344" s="19"/>
      <c r="W344" s="19"/>
      <c r="X344" s="19"/>
      <c r="Y344" s="19"/>
      <c r="Z344" s="19"/>
    </row>
    <row r="345">
      <c r="A345" s="21"/>
      <c r="B345" s="21"/>
      <c r="C345" s="21"/>
      <c r="D345" s="21"/>
      <c r="E345" s="21"/>
      <c r="F345" s="21"/>
      <c r="G345" s="21"/>
      <c r="H345" s="2"/>
      <c r="I345" s="21"/>
      <c r="J345" s="21"/>
      <c r="K345" s="21"/>
      <c r="L345" s="21"/>
      <c r="M345" s="21"/>
      <c r="N345" s="21"/>
      <c r="O345" s="21"/>
      <c r="P345" s="21"/>
      <c r="Q345" s="19"/>
      <c r="R345" s="19"/>
      <c r="S345" s="19"/>
      <c r="T345" s="19"/>
      <c r="U345" s="19"/>
      <c r="V345" s="19"/>
      <c r="W345" s="19"/>
      <c r="X345" s="19"/>
      <c r="Y345" s="19"/>
      <c r="Z345" s="19"/>
    </row>
    <row r="346">
      <c r="A346" s="21"/>
      <c r="B346" s="21"/>
      <c r="C346" s="21"/>
      <c r="D346" s="21"/>
      <c r="E346" s="21"/>
      <c r="F346" s="21"/>
      <c r="G346" s="21"/>
      <c r="H346" s="2"/>
      <c r="I346" s="21"/>
      <c r="J346" s="21"/>
      <c r="K346" s="21"/>
      <c r="L346" s="21"/>
      <c r="M346" s="21"/>
      <c r="N346" s="21"/>
      <c r="O346" s="21"/>
      <c r="P346" s="21"/>
      <c r="Q346" s="19"/>
      <c r="R346" s="19"/>
      <c r="S346" s="19"/>
      <c r="T346" s="19"/>
      <c r="U346" s="19"/>
      <c r="V346" s="19"/>
      <c r="W346" s="19"/>
      <c r="X346" s="19"/>
      <c r="Y346" s="19"/>
      <c r="Z346" s="19"/>
    </row>
    <row r="347">
      <c r="A347" s="21"/>
      <c r="B347" s="21"/>
      <c r="C347" s="21"/>
      <c r="D347" s="21"/>
      <c r="E347" s="21"/>
      <c r="F347" s="21"/>
      <c r="G347" s="21"/>
      <c r="H347" s="2"/>
      <c r="I347" s="21"/>
      <c r="J347" s="21"/>
      <c r="K347" s="21"/>
      <c r="L347" s="21"/>
      <c r="M347" s="21"/>
      <c r="N347" s="21"/>
      <c r="O347" s="21"/>
      <c r="P347" s="21"/>
      <c r="Q347" s="19"/>
      <c r="R347" s="19"/>
      <c r="S347" s="19"/>
      <c r="T347" s="19"/>
      <c r="U347" s="19"/>
      <c r="V347" s="19"/>
      <c r="W347" s="19"/>
      <c r="X347" s="19"/>
      <c r="Y347" s="19"/>
      <c r="Z347" s="19"/>
    </row>
    <row r="348">
      <c r="A348" s="21"/>
      <c r="B348" s="21"/>
      <c r="C348" s="21"/>
      <c r="D348" s="21"/>
      <c r="E348" s="21"/>
      <c r="F348" s="21"/>
      <c r="G348" s="21"/>
      <c r="H348" s="2"/>
      <c r="I348" s="21"/>
      <c r="J348" s="21"/>
      <c r="K348" s="21"/>
      <c r="L348" s="21"/>
      <c r="M348" s="21"/>
      <c r="N348" s="21"/>
      <c r="O348" s="21"/>
      <c r="P348" s="21"/>
      <c r="Q348" s="19"/>
      <c r="R348" s="19"/>
      <c r="S348" s="19"/>
      <c r="T348" s="19"/>
      <c r="U348" s="19"/>
      <c r="V348" s="19"/>
      <c r="W348" s="19"/>
      <c r="X348" s="19"/>
      <c r="Y348" s="19"/>
      <c r="Z348" s="19"/>
    </row>
    <row r="349">
      <c r="A349" s="21"/>
      <c r="B349" s="21"/>
      <c r="C349" s="21"/>
      <c r="D349" s="21"/>
      <c r="E349" s="21"/>
      <c r="F349" s="21"/>
      <c r="G349" s="21"/>
      <c r="H349" s="2"/>
      <c r="I349" s="21"/>
      <c r="J349" s="21"/>
      <c r="K349" s="21"/>
      <c r="L349" s="21"/>
      <c r="M349" s="21"/>
      <c r="N349" s="21"/>
      <c r="O349" s="21"/>
      <c r="P349" s="21"/>
      <c r="Q349" s="19"/>
      <c r="R349" s="19"/>
      <c r="S349" s="19"/>
      <c r="T349" s="19"/>
      <c r="U349" s="19"/>
      <c r="V349" s="19"/>
      <c r="W349" s="19"/>
      <c r="X349" s="19"/>
      <c r="Y349" s="19"/>
      <c r="Z349" s="19"/>
    </row>
    <row r="350">
      <c r="A350" s="21"/>
      <c r="B350" s="21"/>
      <c r="C350" s="21"/>
      <c r="D350" s="21"/>
      <c r="E350" s="21"/>
      <c r="F350" s="21"/>
      <c r="G350" s="21"/>
      <c r="H350" s="2"/>
      <c r="I350" s="21"/>
      <c r="J350" s="21"/>
      <c r="K350" s="21"/>
      <c r="L350" s="21"/>
      <c r="M350" s="21"/>
      <c r="N350" s="21"/>
      <c r="O350" s="21"/>
      <c r="P350" s="21"/>
      <c r="Q350" s="19"/>
      <c r="R350" s="19"/>
      <c r="S350" s="19"/>
      <c r="T350" s="19"/>
      <c r="U350" s="19"/>
      <c r="V350" s="19"/>
      <c r="W350" s="19"/>
      <c r="X350" s="19"/>
      <c r="Y350" s="19"/>
      <c r="Z350" s="19"/>
    </row>
    <row r="351">
      <c r="A351" s="21"/>
      <c r="B351" s="21"/>
      <c r="C351" s="21"/>
      <c r="D351" s="21"/>
      <c r="E351" s="21"/>
      <c r="F351" s="21"/>
      <c r="G351" s="21"/>
      <c r="H351" s="2"/>
      <c r="I351" s="21"/>
      <c r="J351" s="21"/>
      <c r="K351" s="21"/>
      <c r="L351" s="21"/>
      <c r="M351" s="21"/>
      <c r="N351" s="21"/>
      <c r="O351" s="21"/>
      <c r="P351" s="21"/>
      <c r="Q351" s="19"/>
      <c r="R351" s="19"/>
      <c r="S351" s="19"/>
      <c r="T351" s="19"/>
      <c r="U351" s="19"/>
      <c r="V351" s="19"/>
      <c r="W351" s="19"/>
      <c r="X351" s="19"/>
      <c r="Y351" s="19"/>
      <c r="Z351" s="19"/>
    </row>
    <row r="352">
      <c r="A352" s="21"/>
      <c r="B352" s="21"/>
      <c r="C352" s="21"/>
      <c r="D352" s="21"/>
      <c r="E352" s="21"/>
      <c r="F352" s="21"/>
      <c r="G352" s="21"/>
      <c r="H352" s="2"/>
      <c r="I352" s="21"/>
      <c r="J352" s="21"/>
      <c r="K352" s="21"/>
      <c r="L352" s="21"/>
      <c r="M352" s="21"/>
      <c r="N352" s="21"/>
      <c r="O352" s="21"/>
      <c r="P352" s="21"/>
      <c r="Q352" s="19"/>
      <c r="R352" s="19"/>
      <c r="S352" s="19"/>
      <c r="T352" s="19"/>
      <c r="U352" s="19"/>
      <c r="V352" s="19"/>
      <c r="W352" s="19"/>
      <c r="X352" s="19"/>
      <c r="Y352" s="19"/>
      <c r="Z352" s="19"/>
    </row>
    <row r="353">
      <c r="A353" s="21"/>
      <c r="B353" s="21"/>
      <c r="C353" s="21"/>
      <c r="D353" s="21"/>
      <c r="E353" s="21"/>
      <c r="F353" s="21"/>
      <c r="G353" s="21"/>
      <c r="H353" s="2"/>
      <c r="I353" s="21"/>
      <c r="J353" s="21"/>
      <c r="K353" s="21"/>
      <c r="L353" s="21"/>
      <c r="M353" s="21"/>
      <c r="N353" s="21"/>
      <c r="O353" s="21"/>
      <c r="P353" s="21"/>
      <c r="Q353" s="19"/>
      <c r="R353" s="19"/>
      <c r="S353" s="19"/>
      <c r="T353" s="19"/>
      <c r="U353" s="19"/>
      <c r="V353" s="19"/>
      <c r="W353" s="19"/>
      <c r="X353" s="19"/>
      <c r="Y353" s="19"/>
      <c r="Z353" s="19"/>
    </row>
    <row r="354">
      <c r="A354" s="21"/>
      <c r="B354" s="21"/>
      <c r="C354" s="21"/>
      <c r="D354" s="21"/>
      <c r="E354" s="21"/>
      <c r="F354" s="21"/>
      <c r="G354" s="21"/>
      <c r="H354" s="2"/>
      <c r="I354" s="21"/>
      <c r="J354" s="21"/>
      <c r="K354" s="21"/>
      <c r="L354" s="21"/>
      <c r="M354" s="21"/>
      <c r="N354" s="21"/>
      <c r="O354" s="21"/>
      <c r="P354" s="21"/>
      <c r="Q354" s="19"/>
      <c r="R354" s="19"/>
      <c r="S354" s="19"/>
      <c r="T354" s="19"/>
      <c r="U354" s="19"/>
      <c r="V354" s="19"/>
      <c r="W354" s="19"/>
      <c r="X354" s="19"/>
      <c r="Y354" s="19"/>
      <c r="Z354" s="19"/>
    </row>
    <row r="355">
      <c r="A355" s="21"/>
      <c r="B355" s="21"/>
      <c r="C355" s="21"/>
      <c r="D355" s="21"/>
      <c r="E355" s="21"/>
      <c r="F355" s="21"/>
      <c r="G355" s="21"/>
      <c r="H355" s="2"/>
      <c r="I355" s="21"/>
      <c r="J355" s="21"/>
      <c r="K355" s="21"/>
      <c r="L355" s="21"/>
      <c r="M355" s="21"/>
      <c r="N355" s="21"/>
      <c r="O355" s="21"/>
      <c r="P355" s="21"/>
      <c r="Q355" s="19"/>
      <c r="R355" s="19"/>
      <c r="S355" s="19"/>
      <c r="T355" s="19"/>
      <c r="U355" s="19"/>
      <c r="V355" s="19"/>
      <c r="W355" s="19"/>
      <c r="X355" s="19"/>
      <c r="Y355" s="19"/>
      <c r="Z355" s="19"/>
    </row>
    <row r="356">
      <c r="A356" s="21"/>
      <c r="B356" s="21"/>
      <c r="C356" s="21"/>
      <c r="D356" s="21"/>
      <c r="E356" s="21"/>
      <c r="F356" s="21"/>
      <c r="G356" s="21"/>
      <c r="H356" s="2"/>
      <c r="I356" s="21"/>
      <c r="J356" s="21"/>
      <c r="K356" s="21"/>
      <c r="L356" s="21"/>
      <c r="M356" s="21"/>
      <c r="N356" s="21"/>
      <c r="O356" s="21"/>
      <c r="P356" s="21"/>
      <c r="Q356" s="19"/>
      <c r="R356" s="19"/>
      <c r="S356" s="19"/>
      <c r="T356" s="19"/>
      <c r="U356" s="19"/>
      <c r="V356" s="19"/>
      <c r="W356" s="19"/>
      <c r="X356" s="19"/>
      <c r="Y356" s="19"/>
      <c r="Z356" s="19"/>
    </row>
    <row r="357">
      <c r="A357" s="21"/>
      <c r="B357" s="21"/>
      <c r="C357" s="21"/>
      <c r="D357" s="21"/>
      <c r="E357" s="21"/>
      <c r="F357" s="21"/>
      <c r="G357" s="21"/>
      <c r="H357" s="2"/>
      <c r="I357" s="21"/>
      <c r="J357" s="21"/>
      <c r="K357" s="21"/>
      <c r="L357" s="21"/>
      <c r="M357" s="21"/>
      <c r="N357" s="21"/>
      <c r="O357" s="21"/>
      <c r="P357" s="21"/>
      <c r="Q357" s="19"/>
      <c r="R357" s="19"/>
      <c r="S357" s="19"/>
      <c r="T357" s="19"/>
      <c r="U357" s="19"/>
      <c r="V357" s="19"/>
      <c r="W357" s="19"/>
      <c r="X357" s="19"/>
      <c r="Y357" s="19"/>
      <c r="Z357" s="19"/>
    </row>
    <row r="358">
      <c r="A358" s="21"/>
      <c r="B358" s="21"/>
      <c r="C358" s="21"/>
      <c r="D358" s="21"/>
      <c r="E358" s="21"/>
      <c r="F358" s="21"/>
      <c r="G358" s="21"/>
      <c r="H358" s="2"/>
      <c r="I358" s="21"/>
      <c r="J358" s="21"/>
      <c r="K358" s="21"/>
      <c r="L358" s="21"/>
      <c r="M358" s="21"/>
      <c r="N358" s="21"/>
      <c r="O358" s="21"/>
      <c r="P358" s="21"/>
      <c r="Q358" s="19"/>
      <c r="R358" s="19"/>
      <c r="S358" s="19"/>
      <c r="T358" s="19"/>
      <c r="U358" s="19"/>
      <c r="V358" s="19"/>
      <c r="W358" s="19"/>
      <c r="X358" s="19"/>
      <c r="Y358" s="19"/>
      <c r="Z358" s="19"/>
    </row>
    <row r="359">
      <c r="A359" s="21"/>
      <c r="B359" s="21"/>
      <c r="C359" s="21"/>
      <c r="D359" s="21"/>
      <c r="E359" s="21"/>
      <c r="F359" s="21"/>
      <c r="G359" s="21"/>
      <c r="H359" s="2"/>
      <c r="I359" s="21"/>
      <c r="J359" s="21"/>
      <c r="K359" s="21"/>
      <c r="L359" s="21"/>
      <c r="M359" s="21"/>
      <c r="N359" s="21"/>
      <c r="O359" s="21"/>
      <c r="P359" s="21"/>
      <c r="Q359" s="19"/>
      <c r="R359" s="19"/>
      <c r="S359" s="19"/>
      <c r="T359" s="19"/>
      <c r="U359" s="19"/>
      <c r="V359" s="19"/>
      <c r="W359" s="19"/>
      <c r="X359" s="19"/>
      <c r="Y359" s="19"/>
      <c r="Z359" s="19"/>
    </row>
    <row r="360">
      <c r="A360" s="21"/>
      <c r="B360" s="21"/>
      <c r="C360" s="21"/>
      <c r="D360" s="21"/>
      <c r="E360" s="21"/>
      <c r="F360" s="21"/>
      <c r="G360" s="21"/>
      <c r="H360" s="2"/>
      <c r="I360" s="21"/>
      <c r="J360" s="21"/>
      <c r="K360" s="21"/>
      <c r="L360" s="21"/>
      <c r="M360" s="21"/>
      <c r="N360" s="21"/>
      <c r="O360" s="21"/>
      <c r="P360" s="21"/>
      <c r="Q360" s="19"/>
      <c r="R360" s="19"/>
      <c r="S360" s="19"/>
      <c r="T360" s="19"/>
      <c r="U360" s="19"/>
      <c r="V360" s="19"/>
      <c r="W360" s="19"/>
      <c r="X360" s="19"/>
      <c r="Y360" s="19"/>
      <c r="Z360" s="19"/>
    </row>
    <row r="361">
      <c r="A361" s="21"/>
      <c r="B361" s="21"/>
      <c r="C361" s="21"/>
      <c r="D361" s="21"/>
      <c r="E361" s="21"/>
      <c r="F361" s="21"/>
      <c r="G361" s="21"/>
      <c r="H361" s="2"/>
      <c r="I361" s="21"/>
      <c r="J361" s="21"/>
      <c r="K361" s="21"/>
      <c r="L361" s="21"/>
      <c r="M361" s="21"/>
      <c r="N361" s="21"/>
      <c r="O361" s="21"/>
      <c r="P361" s="21"/>
      <c r="Q361" s="19"/>
      <c r="R361" s="19"/>
      <c r="S361" s="19"/>
      <c r="T361" s="19"/>
      <c r="U361" s="19"/>
      <c r="V361" s="19"/>
      <c r="W361" s="19"/>
      <c r="X361" s="19"/>
      <c r="Y361" s="19"/>
      <c r="Z361" s="19"/>
    </row>
    <row r="362">
      <c r="A362" s="21"/>
      <c r="B362" s="21"/>
      <c r="C362" s="21"/>
      <c r="D362" s="21"/>
      <c r="E362" s="21"/>
      <c r="F362" s="21"/>
      <c r="G362" s="21"/>
      <c r="H362" s="2"/>
      <c r="I362" s="21"/>
      <c r="J362" s="21"/>
      <c r="K362" s="21"/>
      <c r="L362" s="21"/>
      <c r="M362" s="21"/>
      <c r="N362" s="21"/>
      <c r="O362" s="21"/>
      <c r="P362" s="21"/>
      <c r="Q362" s="19"/>
      <c r="R362" s="19"/>
      <c r="S362" s="19"/>
      <c r="T362" s="19"/>
      <c r="U362" s="19"/>
      <c r="V362" s="19"/>
      <c r="W362" s="19"/>
      <c r="X362" s="19"/>
      <c r="Y362" s="19"/>
      <c r="Z362" s="19"/>
    </row>
    <row r="363">
      <c r="A363" s="21"/>
      <c r="B363" s="21"/>
      <c r="C363" s="21"/>
      <c r="D363" s="21"/>
      <c r="E363" s="21"/>
      <c r="F363" s="21"/>
      <c r="G363" s="21"/>
      <c r="H363" s="2"/>
      <c r="I363" s="21"/>
      <c r="J363" s="21"/>
      <c r="K363" s="21"/>
      <c r="L363" s="21"/>
      <c r="M363" s="21"/>
      <c r="N363" s="21"/>
      <c r="O363" s="21"/>
      <c r="P363" s="21"/>
      <c r="Q363" s="19"/>
      <c r="R363" s="19"/>
      <c r="S363" s="19"/>
      <c r="T363" s="19"/>
      <c r="U363" s="19"/>
      <c r="V363" s="19"/>
      <c r="W363" s="19"/>
      <c r="X363" s="19"/>
      <c r="Y363" s="19"/>
      <c r="Z363" s="19"/>
    </row>
    <row r="364">
      <c r="A364" s="21"/>
      <c r="B364" s="21"/>
      <c r="C364" s="21"/>
      <c r="D364" s="21"/>
      <c r="E364" s="21"/>
      <c r="F364" s="21"/>
      <c r="G364" s="21"/>
      <c r="H364" s="2"/>
      <c r="I364" s="21"/>
      <c r="J364" s="21"/>
      <c r="K364" s="21"/>
      <c r="L364" s="21"/>
      <c r="M364" s="21"/>
      <c r="N364" s="21"/>
      <c r="O364" s="21"/>
      <c r="P364" s="21"/>
      <c r="Q364" s="19"/>
      <c r="R364" s="19"/>
      <c r="S364" s="19"/>
      <c r="T364" s="19"/>
      <c r="U364" s="19"/>
      <c r="V364" s="19"/>
      <c r="W364" s="19"/>
      <c r="X364" s="19"/>
      <c r="Y364" s="19"/>
      <c r="Z364" s="19"/>
    </row>
    <row r="365">
      <c r="A365" s="21"/>
      <c r="B365" s="21"/>
      <c r="C365" s="21"/>
      <c r="D365" s="21"/>
      <c r="E365" s="21"/>
      <c r="F365" s="21"/>
      <c r="G365" s="21"/>
      <c r="H365" s="2"/>
      <c r="I365" s="21"/>
      <c r="J365" s="21"/>
      <c r="K365" s="21"/>
      <c r="L365" s="21"/>
      <c r="M365" s="21"/>
      <c r="N365" s="21"/>
      <c r="O365" s="21"/>
      <c r="P365" s="21"/>
      <c r="Q365" s="19"/>
      <c r="R365" s="19"/>
      <c r="S365" s="19"/>
      <c r="T365" s="19"/>
      <c r="U365" s="19"/>
      <c r="V365" s="19"/>
      <c r="W365" s="19"/>
      <c r="X365" s="19"/>
      <c r="Y365" s="19"/>
      <c r="Z365" s="19"/>
    </row>
    <row r="366">
      <c r="A366" s="21"/>
      <c r="B366" s="21"/>
      <c r="C366" s="21"/>
      <c r="D366" s="21"/>
      <c r="E366" s="21"/>
      <c r="F366" s="21"/>
      <c r="G366" s="21"/>
      <c r="H366" s="2"/>
      <c r="I366" s="21"/>
      <c r="J366" s="21"/>
      <c r="K366" s="21"/>
      <c r="L366" s="21"/>
      <c r="M366" s="21"/>
      <c r="N366" s="21"/>
      <c r="O366" s="21"/>
      <c r="P366" s="21"/>
      <c r="Q366" s="19"/>
      <c r="R366" s="19"/>
      <c r="S366" s="19"/>
      <c r="T366" s="19"/>
      <c r="U366" s="19"/>
      <c r="V366" s="19"/>
      <c r="W366" s="19"/>
      <c r="X366" s="19"/>
      <c r="Y366" s="19"/>
      <c r="Z366" s="19"/>
    </row>
    <row r="367">
      <c r="A367" s="21"/>
      <c r="B367" s="21"/>
      <c r="C367" s="21"/>
      <c r="D367" s="21"/>
      <c r="E367" s="21"/>
      <c r="F367" s="21"/>
      <c r="G367" s="21"/>
      <c r="H367" s="2"/>
      <c r="I367" s="21"/>
      <c r="J367" s="21"/>
      <c r="K367" s="21"/>
      <c r="L367" s="21"/>
      <c r="M367" s="21"/>
      <c r="N367" s="21"/>
      <c r="O367" s="21"/>
      <c r="P367" s="21"/>
      <c r="Q367" s="19"/>
      <c r="R367" s="19"/>
      <c r="S367" s="19"/>
      <c r="T367" s="19"/>
      <c r="U367" s="19"/>
      <c r="V367" s="19"/>
      <c r="W367" s="19"/>
      <c r="X367" s="19"/>
      <c r="Y367" s="19"/>
      <c r="Z367" s="19"/>
    </row>
    <row r="368">
      <c r="A368" s="21"/>
      <c r="B368" s="21"/>
      <c r="C368" s="21"/>
      <c r="D368" s="21"/>
      <c r="E368" s="21"/>
      <c r="F368" s="21"/>
      <c r="G368" s="21"/>
      <c r="H368" s="2"/>
      <c r="I368" s="21"/>
      <c r="J368" s="21"/>
      <c r="K368" s="21"/>
      <c r="L368" s="21"/>
      <c r="M368" s="21"/>
      <c r="N368" s="21"/>
      <c r="O368" s="21"/>
      <c r="P368" s="21"/>
      <c r="Q368" s="19"/>
      <c r="R368" s="19"/>
      <c r="S368" s="19"/>
      <c r="T368" s="19"/>
      <c r="U368" s="19"/>
      <c r="V368" s="19"/>
      <c r="W368" s="19"/>
      <c r="X368" s="19"/>
      <c r="Y368" s="19"/>
      <c r="Z368" s="19"/>
    </row>
    <row r="369">
      <c r="A369" s="21"/>
      <c r="B369" s="21"/>
      <c r="C369" s="21"/>
      <c r="D369" s="21"/>
      <c r="E369" s="21"/>
      <c r="F369" s="21"/>
      <c r="G369" s="21"/>
      <c r="H369" s="2"/>
      <c r="I369" s="21"/>
      <c r="J369" s="21"/>
      <c r="K369" s="21"/>
      <c r="L369" s="21"/>
      <c r="M369" s="21"/>
      <c r="N369" s="21"/>
      <c r="O369" s="21"/>
      <c r="P369" s="21"/>
      <c r="Q369" s="19"/>
      <c r="R369" s="19"/>
      <c r="S369" s="19"/>
      <c r="T369" s="19"/>
      <c r="U369" s="19"/>
      <c r="V369" s="19"/>
      <c r="W369" s="19"/>
      <c r="X369" s="19"/>
      <c r="Y369" s="19"/>
      <c r="Z369" s="19"/>
    </row>
    <row r="370">
      <c r="A370" s="21"/>
      <c r="B370" s="21"/>
      <c r="C370" s="21"/>
      <c r="D370" s="21"/>
      <c r="E370" s="21"/>
      <c r="F370" s="21"/>
      <c r="G370" s="21"/>
      <c r="H370" s="2"/>
      <c r="I370" s="21"/>
      <c r="J370" s="21"/>
      <c r="K370" s="21"/>
      <c r="L370" s="21"/>
      <c r="M370" s="21"/>
      <c r="N370" s="21"/>
      <c r="O370" s="21"/>
      <c r="P370" s="21"/>
      <c r="Q370" s="19"/>
      <c r="R370" s="19"/>
      <c r="S370" s="19"/>
      <c r="T370" s="19"/>
      <c r="U370" s="19"/>
      <c r="V370" s="19"/>
      <c r="W370" s="19"/>
      <c r="X370" s="19"/>
      <c r="Y370" s="19"/>
      <c r="Z370" s="19"/>
    </row>
    <row r="371">
      <c r="A371" s="21"/>
      <c r="B371" s="21"/>
      <c r="C371" s="21"/>
      <c r="D371" s="21"/>
      <c r="E371" s="21"/>
      <c r="F371" s="21"/>
      <c r="G371" s="21"/>
      <c r="H371" s="2"/>
      <c r="I371" s="21"/>
      <c r="J371" s="21"/>
      <c r="K371" s="21"/>
      <c r="L371" s="21"/>
      <c r="M371" s="21"/>
      <c r="N371" s="21"/>
      <c r="O371" s="21"/>
      <c r="P371" s="21"/>
      <c r="Q371" s="19"/>
      <c r="R371" s="19"/>
      <c r="S371" s="19"/>
      <c r="T371" s="19"/>
      <c r="U371" s="19"/>
      <c r="V371" s="19"/>
      <c r="W371" s="19"/>
      <c r="X371" s="19"/>
      <c r="Y371" s="19"/>
      <c r="Z371" s="19"/>
    </row>
    <row r="372">
      <c r="A372" s="21"/>
      <c r="B372" s="21"/>
      <c r="C372" s="21"/>
      <c r="D372" s="21"/>
      <c r="E372" s="21"/>
      <c r="F372" s="21"/>
      <c r="G372" s="21"/>
      <c r="H372" s="2"/>
      <c r="I372" s="21"/>
      <c r="J372" s="21"/>
      <c r="K372" s="21"/>
      <c r="L372" s="21"/>
      <c r="M372" s="21"/>
      <c r="N372" s="21"/>
      <c r="O372" s="21"/>
      <c r="P372" s="21"/>
      <c r="Q372" s="19"/>
      <c r="R372" s="19"/>
      <c r="S372" s="19"/>
      <c r="T372" s="19"/>
      <c r="U372" s="19"/>
      <c r="V372" s="19"/>
      <c r="W372" s="19"/>
      <c r="X372" s="19"/>
      <c r="Y372" s="19"/>
      <c r="Z372" s="19"/>
    </row>
    <row r="373">
      <c r="A373" s="21"/>
      <c r="B373" s="21"/>
      <c r="C373" s="21"/>
      <c r="D373" s="21"/>
      <c r="E373" s="21"/>
      <c r="F373" s="21"/>
      <c r="G373" s="21"/>
      <c r="H373" s="2"/>
      <c r="I373" s="21"/>
      <c r="J373" s="21"/>
      <c r="K373" s="21"/>
      <c r="L373" s="21"/>
      <c r="M373" s="21"/>
      <c r="N373" s="21"/>
      <c r="O373" s="21"/>
      <c r="P373" s="21"/>
      <c r="Q373" s="19"/>
      <c r="R373" s="19"/>
      <c r="S373" s="19"/>
      <c r="T373" s="19"/>
      <c r="U373" s="19"/>
      <c r="V373" s="19"/>
      <c r="W373" s="19"/>
      <c r="X373" s="19"/>
      <c r="Y373" s="19"/>
      <c r="Z373" s="19"/>
    </row>
    <row r="374">
      <c r="A374" s="21"/>
      <c r="B374" s="21"/>
      <c r="C374" s="21"/>
      <c r="D374" s="21"/>
      <c r="E374" s="21"/>
      <c r="F374" s="21"/>
      <c r="G374" s="21"/>
      <c r="H374" s="2"/>
      <c r="I374" s="21"/>
      <c r="J374" s="21"/>
      <c r="K374" s="21"/>
      <c r="L374" s="21"/>
      <c r="M374" s="21"/>
      <c r="N374" s="21"/>
      <c r="O374" s="21"/>
      <c r="P374" s="21"/>
      <c r="Q374" s="19"/>
      <c r="R374" s="19"/>
      <c r="S374" s="19"/>
      <c r="T374" s="19"/>
      <c r="U374" s="19"/>
      <c r="V374" s="19"/>
      <c r="W374" s="19"/>
      <c r="X374" s="19"/>
      <c r="Y374" s="19"/>
      <c r="Z374" s="19"/>
    </row>
    <row r="375">
      <c r="A375" s="21"/>
      <c r="B375" s="21"/>
      <c r="C375" s="21"/>
      <c r="D375" s="21"/>
      <c r="E375" s="21"/>
      <c r="F375" s="21"/>
      <c r="G375" s="21"/>
      <c r="H375" s="2"/>
      <c r="I375" s="21"/>
      <c r="J375" s="21"/>
      <c r="K375" s="21"/>
      <c r="L375" s="21"/>
      <c r="M375" s="21"/>
      <c r="N375" s="21"/>
      <c r="O375" s="21"/>
      <c r="P375" s="21"/>
      <c r="Q375" s="19"/>
      <c r="R375" s="19"/>
      <c r="S375" s="19"/>
      <c r="T375" s="19"/>
      <c r="U375" s="19"/>
      <c r="V375" s="19"/>
      <c r="W375" s="19"/>
      <c r="X375" s="19"/>
      <c r="Y375" s="19"/>
      <c r="Z375" s="19"/>
    </row>
    <row r="376">
      <c r="A376" s="21"/>
      <c r="B376" s="21"/>
      <c r="C376" s="21"/>
      <c r="D376" s="21"/>
      <c r="E376" s="21"/>
      <c r="F376" s="21"/>
      <c r="G376" s="21"/>
      <c r="H376" s="2"/>
      <c r="I376" s="21"/>
      <c r="J376" s="21"/>
      <c r="K376" s="21"/>
      <c r="L376" s="21"/>
      <c r="M376" s="21"/>
      <c r="N376" s="21"/>
      <c r="O376" s="21"/>
      <c r="P376" s="21"/>
      <c r="Q376" s="19"/>
      <c r="R376" s="19"/>
      <c r="S376" s="19"/>
      <c r="T376" s="19"/>
      <c r="U376" s="19"/>
      <c r="V376" s="19"/>
      <c r="W376" s="19"/>
      <c r="X376" s="19"/>
      <c r="Y376" s="19"/>
      <c r="Z376" s="19"/>
    </row>
    <row r="377">
      <c r="A377" s="21"/>
      <c r="B377" s="21"/>
      <c r="C377" s="21"/>
      <c r="D377" s="21"/>
      <c r="E377" s="21"/>
      <c r="F377" s="21"/>
      <c r="G377" s="21"/>
      <c r="H377" s="2"/>
      <c r="I377" s="21"/>
      <c r="J377" s="21"/>
      <c r="K377" s="21"/>
      <c r="L377" s="21"/>
      <c r="M377" s="21"/>
      <c r="N377" s="21"/>
      <c r="O377" s="21"/>
      <c r="P377" s="21"/>
      <c r="Q377" s="19"/>
      <c r="R377" s="19"/>
      <c r="S377" s="19"/>
      <c r="T377" s="19"/>
      <c r="U377" s="19"/>
      <c r="V377" s="19"/>
      <c r="W377" s="19"/>
      <c r="X377" s="19"/>
      <c r="Y377" s="19"/>
      <c r="Z377" s="19"/>
    </row>
    <row r="378">
      <c r="A378" s="21"/>
      <c r="B378" s="21"/>
      <c r="C378" s="21"/>
      <c r="D378" s="21"/>
      <c r="E378" s="21"/>
      <c r="F378" s="21"/>
      <c r="G378" s="21"/>
      <c r="H378" s="2"/>
      <c r="I378" s="21"/>
      <c r="J378" s="21"/>
      <c r="K378" s="21"/>
      <c r="L378" s="21"/>
      <c r="M378" s="21"/>
      <c r="N378" s="21"/>
      <c r="O378" s="21"/>
      <c r="P378" s="21"/>
      <c r="Q378" s="19"/>
      <c r="R378" s="19"/>
      <c r="S378" s="19"/>
      <c r="T378" s="19"/>
      <c r="U378" s="19"/>
      <c r="V378" s="19"/>
      <c r="W378" s="19"/>
      <c r="X378" s="19"/>
      <c r="Y378" s="19"/>
      <c r="Z378" s="19"/>
    </row>
    <row r="379">
      <c r="A379" s="21"/>
      <c r="B379" s="21"/>
      <c r="C379" s="21"/>
      <c r="D379" s="21"/>
      <c r="E379" s="21"/>
      <c r="F379" s="21"/>
      <c r="G379" s="21"/>
      <c r="H379" s="2"/>
      <c r="I379" s="21"/>
      <c r="J379" s="21"/>
      <c r="K379" s="21"/>
      <c r="L379" s="21"/>
      <c r="M379" s="21"/>
      <c r="N379" s="21"/>
      <c r="O379" s="21"/>
      <c r="P379" s="21"/>
      <c r="Q379" s="19"/>
      <c r="R379" s="19"/>
      <c r="S379" s="19"/>
      <c r="T379" s="19"/>
      <c r="U379" s="19"/>
      <c r="V379" s="19"/>
      <c r="W379" s="19"/>
      <c r="X379" s="19"/>
      <c r="Y379" s="19"/>
      <c r="Z379" s="19"/>
    </row>
    <row r="380">
      <c r="A380" s="21"/>
      <c r="B380" s="21"/>
      <c r="C380" s="21"/>
      <c r="D380" s="21"/>
      <c r="E380" s="21"/>
      <c r="F380" s="21"/>
      <c r="G380" s="21"/>
      <c r="H380" s="2"/>
      <c r="I380" s="21"/>
      <c r="J380" s="21"/>
      <c r="K380" s="21"/>
      <c r="L380" s="21"/>
      <c r="M380" s="21"/>
      <c r="N380" s="21"/>
      <c r="O380" s="21"/>
      <c r="P380" s="21"/>
      <c r="Q380" s="19"/>
      <c r="R380" s="19"/>
      <c r="S380" s="19"/>
      <c r="T380" s="19"/>
      <c r="U380" s="19"/>
      <c r="V380" s="19"/>
      <c r="W380" s="19"/>
      <c r="X380" s="19"/>
      <c r="Y380" s="19"/>
      <c r="Z380" s="19"/>
    </row>
    <row r="381">
      <c r="A381" s="21"/>
      <c r="B381" s="21"/>
      <c r="C381" s="21"/>
      <c r="D381" s="21"/>
      <c r="E381" s="21"/>
      <c r="F381" s="21"/>
      <c r="G381" s="21"/>
      <c r="H381" s="2"/>
      <c r="I381" s="21"/>
      <c r="J381" s="21"/>
      <c r="K381" s="21"/>
      <c r="L381" s="21"/>
      <c r="M381" s="21"/>
      <c r="N381" s="21"/>
      <c r="O381" s="21"/>
      <c r="P381" s="21"/>
      <c r="Q381" s="19"/>
      <c r="R381" s="19"/>
      <c r="S381" s="19"/>
      <c r="T381" s="19"/>
      <c r="U381" s="19"/>
      <c r="V381" s="19"/>
      <c r="W381" s="19"/>
      <c r="X381" s="19"/>
      <c r="Y381" s="19"/>
      <c r="Z381" s="19"/>
    </row>
    <row r="382">
      <c r="A382" s="21"/>
      <c r="B382" s="21"/>
      <c r="C382" s="21"/>
      <c r="D382" s="21"/>
      <c r="E382" s="21"/>
      <c r="F382" s="21"/>
      <c r="G382" s="21"/>
      <c r="H382" s="2"/>
      <c r="I382" s="21"/>
      <c r="J382" s="21"/>
      <c r="K382" s="21"/>
      <c r="L382" s="21"/>
      <c r="M382" s="21"/>
      <c r="N382" s="21"/>
      <c r="O382" s="21"/>
      <c r="P382" s="21"/>
      <c r="Q382" s="19"/>
      <c r="R382" s="19"/>
      <c r="S382" s="19"/>
      <c r="T382" s="19"/>
      <c r="U382" s="19"/>
      <c r="V382" s="19"/>
      <c r="W382" s="19"/>
      <c r="X382" s="19"/>
      <c r="Y382" s="19"/>
      <c r="Z382" s="19"/>
    </row>
    <row r="383">
      <c r="A383" s="21"/>
      <c r="B383" s="21"/>
      <c r="C383" s="21"/>
      <c r="D383" s="21"/>
      <c r="E383" s="21"/>
      <c r="F383" s="21"/>
      <c r="G383" s="21"/>
      <c r="H383" s="2"/>
      <c r="I383" s="21"/>
      <c r="J383" s="21"/>
      <c r="K383" s="21"/>
      <c r="L383" s="21"/>
      <c r="M383" s="21"/>
      <c r="N383" s="21"/>
      <c r="O383" s="21"/>
      <c r="P383" s="21"/>
      <c r="Q383" s="19"/>
      <c r="R383" s="19"/>
      <c r="S383" s="19"/>
      <c r="T383" s="19"/>
      <c r="U383" s="19"/>
      <c r="V383" s="19"/>
      <c r="W383" s="19"/>
      <c r="X383" s="19"/>
      <c r="Y383" s="19"/>
      <c r="Z383" s="19"/>
    </row>
    <row r="384">
      <c r="A384" s="21"/>
      <c r="B384" s="21"/>
      <c r="C384" s="21"/>
      <c r="D384" s="21"/>
      <c r="E384" s="21"/>
      <c r="F384" s="21"/>
      <c r="G384" s="21"/>
      <c r="H384" s="2"/>
      <c r="I384" s="21"/>
      <c r="J384" s="21"/>
      <c r="K384" s="21"/>
      <c r="L384" s="21"/>
      <c r="M384" s="21"/>
      <c r="N384" s="21"/>
      <c r="O384" s="21"/>
      <c r="P384" s="21"/>
      <c r="Q384" s="19"/>
      <c r="R384" s="19"/>
      <c r="S384" s="19"/>
      <c r="T384" s="19"/>
      <c r="U384" s="19"/>
      <c r="V384" s="19"/>
      <c r="W384" s="19"/>
      <c r="X384" s="19"/>
      <c r="Y384" s="19"/>
      <c r="Z384" s="19"/>
    </row>
    <row r="385">
      <c r="A385" s="21"/>
      <c r="B385" s="21"/>
      <c r="C385" s="21"/>
      <c r="D385" s="21"/>
      <c r="E385" s="21"/>
      <c r="F385" s="21"/>
      <c r="G385" s="21"/>
      <c r="H385" s="2"/>
      <c r="I385" s="21"/>
      <c r="J385" s="21"/>
      <c r="K385" s="21"/>
      <c r="L385" s="21"/>
      <c r="M385" s="21"/>
      <c r="N385" s="21"/>
      <c r="O385" s="21"/>
      <c r="P385" s="21"/>
      <c r="Q385" s="19"/>
      <c r="R385" s="19"/>
      <c r="S385" s="19"/>
      <c r="T385" s="19"/>
      <c r="U385" s="19"/>
      <c r="V385" s="19"/>
      <c r="W385" s="19"/>
      <c r="X385" s="19"/>
      <c r="Y385" s="19"/>
      <c r="Z385" s="19"/>
    </row>
    <row r="386">
      <c r="A386" s="21"/>
      <c r="B386" s="21"/>
      <c r="C386" s="21"/>
      <c r="D386" s="21"/>
      <c r="E386" s="21"/>
      <c r="F386" s="21"/>
      <c r="G386" s="21"/>
      <c r="H386" s="2"/>
      <c r="I386" s="21"/>
      <c r="J386" s="21"/>
      <c r="K386" s="21"/>
      <c r="L386" s="21"/>
      <c r="M386" s="21"/>
      <c r="N386" s="21"/>
      <c r="O386" s="21"/>
      <c r="P386" s="21"/>
      <c r="Q386" s="19"/>
      <c r="R386" s="19"/>
      <c r="S386" s="19"/>
      <c r="T386" s="19"/>
      <c r="U386" s="19"/>
      <c r="V386" s="19"/>
      <c r="W386" s="19"/>
      <c r="X386" s="19"/>
      <c r="Y386" s="19"/>
      <c r="Z386" s="19"/>
    </row>
    <row r="387">
      <c r="A387" s="21"/>
      <c r="B387" s="21"/>
      <c r="C387" s="21"/>
      <c r="D387" s="21"/>
      <c r="E387" s="21"/>
      <c r="F387" s="21"/>
      <c r="G387" s="21"/>
      <c r="H387" s="2"/>
      <c r="I387" s="21"/>
      <c r="J387" s="21"/>
      <c r="K387" s="21"/>
      <c r="L387" s="21"/>
      <c r="M387" s="21"/>
      <c r="N387" s="21"/>
      <c r="O387" s="21"/>
      <c r="P387" s="21"/>
      <c r="Q387" s="19"/>
      <c r="R387" s="19"/>
      <c r="S387" s="19"/>
      <c r="T387" s="19"/>
      <c r="U387" s="19"/>
      <c r="V387" s="19"/>
      <c r="W387" s="19"/>
      <c r="X387" s="19"/>
      <c r="Y387" s="19"/>
      <c r="Z387" s="19"/>
    </row>
    <row r="388">
      <c r="A388" s="21"/>
      <c r="B388" s="21"/>
      <c r="C388" s="21"/>
      <c r="D388" s="21"/>
      <c r="E388" s="21"/>
      <c r="F388" s="21"/>
      <c r="G388" s="21"/>
      <c r="H388" s="2"/>
      <c r="I388" s="21"/>
      <c r="J388" s="21"/>
      <c r="K388" s="21"/>
      <c r="L388" s="21"/>
      <c r="M388" s="21"/>
      <c r="N388" s="21"/>
      <c r="O388" s="21"/>
      <c r="P388" s="21"/>
      <c r="Q388" s="19"/>
      <c r="R388" s="19"/>
      <c r="S388" s="19"/>
      <c r="T388" s="19"/>
      <c r="U388" s="19"/>
      <c r="V388" s="19"/>
      <c r="W388" s="19"/>
      <c r="X388" s="19"/>
      <c r="Y388" s="19"/>
      <c r="Z388" s="19"/>
    </row>
    <row r="389">
      <c r="A389" s="21"/>
      <c r="B389" s="21"/>
      <c r="C389" s="21"/>
      <c r="D389" s="21"/>
      <c r="E389" s="21"/>
      <c r="F389" s="21"/>
      <c r="G389" s="21"/>
      <c r="H389" s="2"/>
      <c r="I389" s="21"/>
      <c r="J389" s="21"/>
      <c r="K389" s="21"/>
      <c r="L389" s="21"/>
      <c r="M389" s="21"/>
      <c r="N389" s="21"/>
      <c r="O389" s="21"/>
      <c r="P389" s="21"/>
      <c r="Q389" s="19"/>
      <c r="R389" s="19"/>
      <c r="S389" s="19"/>
      <c r="T389" s="19"/>
      <c r="U389" s="19"/>
      <c r="V389" s="19"/>
      <c r="W389" s="19"/>
      <c r="X389" s="19"/>
      <c r="Y389" s="19"/>
      <c r="Z389" s="19"/>
    </row>
    <row r="390">
      <c r="A390" s="21"/>
      <c r="B390" s="21"/>
      <c r="C390" s="21"/>
      <c r="D390" s="21"/>
      <c r="E390" s="21"/>
      <c r="F390" s="21"/>
      <c r="G390" s="21"/>
      <c r="H390" s="2"/>
      <c r="I390" s="21"/>
      <c r="J390" s="21"/>
      <c r="K390" s="21"/>
      <c r="L390" s="21"/>
      <c r="M390" s="21"/>
      <c r="N390" s="21"/>
      <c r="O390" s="21"/>
      <c r="P390" s="21"/>
      <c r="Q390" s="19"/>
      <c r="R390" s="19"/>
      <c r="S390" s="19"/>
      <c r="T390" s="19"/>
      <c r="U390" s="19"/>
      <c r="V390" s="19"/>
      <c r="W390" s="19"/>
      <c r="X390" s="19"/>
      <c r="Y390" s="19"/>
      <c r="Z390" s="19"/>
    </row>
    <row r="391">
      <c r="A391" s="21"/>
      <c r="B391" s="21"/>
      <c r="C391" s="21"/>
      <c r="D391" s="21"/>
      <c r="E391" s="21"/>
      <c r="F391" s="21"/>
      <c r="G391" s="21"/>
      <c r="H391" s="2"/>
      <c r="I391" s="21"/>
      <c r="J391" s="21"/>
      <c r="K391" s="21"/>
      <c r="L391" s="21"/>
      <c r="M391" s="21"/>
      <c r="N391" s="21"/>
      <c r="O391" s="21"/>
      <c r="P391" s="21"/>
      <c r="Q391" s="19"/>
      <c r="R391" s="19"/>
      <c r="S391" s="19"/>
      <c r="T391" s="19"/>
      <c r="U391" s="19"/>
      <c r="V391" s="19"/>
      <c r="W391" s="19"/>
      <c r="X391" s="19"/>
      <c r="Y391" s="19"/>
      <c r="Z391" s="19"/>
    </row>
    <row r="392">
      <c r="A392" s="21"/>
      <c r="B392" s="21"/>
      <c r="C392" s="21"/>
      <c r="D392" s="21"/>
      <c r="E392" s="21"/>
      <c r="F392" s="21"/>
      <c r="G392" s="21"/>
      <c r="H392" s="2"/>
      <c r="I392" s="21"/>
      <c r="J392" s="21"/>
      <c r="K392" s="21"/>
      <c r="L392" s="21"/>
      <c r="M392" s="21"/>
      <c r="N392" s="21"/>
      <c r="O392" s="21"/>
      <c r="P392" s="21"/>
      <c r="Q392" s="19"/>
      <c r="R392" s="19"/>
      <c r="S392" s="19"/>
      <c r="T392" s="19"/>
      <c r="U392" s="19"/>
      <c r="V392" s="19"/>
      <c r="W392" s="19"/>
      <c r="X392" s="19"/>
      <c r="Y392" s="19"/>
      <c r="Z392" s="19"/>
    </row>
    <row r="393">
      <c r="A393" s="21"/>
      <c r="B393" s="21"/>
      <c r="C393" s="21"/>
      <c r="D393" s="21"/>
      <c r="E393" s="21"/>
      <c r="F393" s="21"/>
      <c r="G393" s="21"/>
      <c r="H393" s="2"/>
      <c r="I393" s="21"/>
      <c r="J393" s="21"/>
      <c r="K393" s="21"/>
      <c r="L393" s="21"/>
      <c r="M393" s="21"/>
      <c r="N393" s="21"/>
      <c r="O393" s="21"/>
      <c r="P393" s="21"/>
      <c r="Q393" s="19"/>
      <c r="R393" s="19"/>
      <c r="S393" s="19"/>
      <c r="T393" s="19"/>
      <c r="U393" s="19"/>
      <c r="V393" s="19"/>
      <c r="W393" s="19"/>
      <c r="X393" s="19"/>
      <c r="Y393" s="19"/>
      <c r="Z393" s="19"/>
    </row>
    <row r="394">
      <c r="A394" s="21"/>
      <c r="B394" s="21"/>
      <c r="C394" s="21"/>
      <c r="D394" s="21"/>
      <c r="E394" s="21"/>
      <c r="F394" s="21"/>
      <c r="G394" s="21"/>
      <c r="H394" s="2"/>
      <c r="I394" s="21"/>
      <c r="J394" s="21"/>
      <c r="K394" s="21"/>
      <c r="L394" s="21"/>
      <c r="M394" s="21"/>
      <c r="N394" s="21"/>
      <c r="O394" s="21"/>
      <c r="P394" s="21"/>
      <c r="Q394" s="19"/>
      <c r="R394" s="19"/>
      <c r="S394" s="19"/>
      <c r="T394" s="19"/>
      <c r="U394" s="19"/>
      <c r="V394" s="19"/>
      <c r="W394" s="19"/>
      <c r="X394" s="19"/>
      <c r="Y394" s="19"/>
      <c r="Z394" s="19"/>
    </row>
    <row r="395">
      <c r="A395" s="21"/>
      <c r="B395" s="21"/>
      <c r="C395" s="21"/>
      <c r="D395" s="21"/>
      <c r="E395" s="21"/>
      <c r="F395" s="21"/>
      <c r="G395" s="21"/>
      <c r="H395" s="2"/>
      <c r="I395" s="21"/>
      <c r="J395" s="21"/>
      <c r="K395" s="21"/>
      <c r="L395" s="21"/>
      <c r="M395" s="21"/>
      <c r="N395" s="21"/>
      <c r="O395" s="21"/>
      <c r="P395" s="21"/>
      <c r="Q395" s="19"/>
      <c r="R395" s="19"/>
      <c r="S395" s="19"/>
      <c r="T395" s="19"/>
      <c r="U395" s="19"/>
      <c r="V395" s="19"/>
      <c r="W395" s="19"/>
      <c r="X395" s="19"/>
      <c r="Y395" s="19"/>
      <c r="Z395" s="19"/>
    </row>
    <row r="396">
      <c r="A396" s="21"/>
      <c r="B396" s="21"/>
      <c r="C396" s="21"/>
      <c r="D396" s="21"/>
      <c r="E396" s="21"/>
      <c r="F396" s="21"/>
      <c r="G396" s="21"/>
      <c r="H396" s="2"/>
      <c r="I396" s="21"/>
      <c r="J396" s="21"/>
      <c r="K396" s="21"/>
      <c r="L396" s="21"/>
      <c r="M396" s="21"/>
      <c r="N396" s="21"/>
      <c r="O396" s="21"/>
      <c r="P396" s="21"/>
      <c r="Q396" s="19"/>
      <c r="R396" s="19"/>
      <c r="S396" s="19"/>
      <c r="T396" s="19"/>
      <c r="U396" s="19"/>
      <c r="V396" s="19"/>
      <c r="W396" s="19"/>
      <c r="X396" s="19"/>
      <c r="Y396" s="19"/>
      <c r="Z396" s="19"/>
    </row>
    <row r="397">
      <c r="A397" s="21"/>
      <c r="B397" s="21"/>
      <c r="C397" s="21"/>
      <c r="D397" s="21"/>
      <c r="E397" s="21"/>
      <c r="F397" s="21"/>
      <c r="G397" s="21"/>
      <c r="H397" s="2"/>
      <c r="I397" s="21"/>
      <c r="J397" s="21"/>
      <c r="K397" s="21"/>
      <c r="L397" s="21"/>
      <c r="M397" s="21"/>
      <c r="N397" s="21"/>
      <c r="O397" s="21"/>
      <c r="P397" s="21"/>
      <c r="Q397" s="19"/>
      <c r="R397" s="19"/>
      <c r="S397" s="19"/>
      <c r="T397" s="19"/>
      <c r="U397" s="19"/>
      <c r="V397" s="19"/>
      <c r="W397" s="19"/>
      <c r="X397" s="19"/>
      <c r="Y397" s="19"/>
      <c r="Z397" s="19"/>
    </row>
    <row r="398">
      <c r="A398" s="21"/>
      <c r="B398" s="21"/>
      <c r="C398" s="21"/>
      <c r="D398" s="21"/>
      <c r="E398" s="21"/>
      <c r="F398" s="21"/>
      <c r="G398" s="21"/>
      <c r="H398" s="2"/>
      <c r="I398" s="21"/>
      <c r="J398" s="21"/>
      <c r="K398" s="21"/>
      <c r="L398" s="21"/>
      <c r="M398" s="21"/>
      <c r="N398" s="21"/>
      <c r="O398" s="21"/>
      <c r="P398" s="21"/>
      <c r="Q398" s="19"/>
      <c r="R398" s="19"/>
      <c r="S398" s="19"/>
      <c r="T398" s="19"/>
      <c r="U398" s="19"/>
      <c r="V398" s="19"/>
      <c r="W398" s="19"/>
      <c r="X398" s="19"/>
      <c r="Y398" s="19"/>
      <c r="Z398" s="19"/>
    </row>
    <row r="399">
      <c r="A399" s="21"/>
      <c r="B399" s="21"/>
      <c r="C399" s="21"/>
      <c r="D399" s="21"/>
      <c r="E399" s="21"/>
      <c r="F399" s="21"/>
      <c r="G399" s="21"/>
      <c r="H399" s="2"/>
      <c r="I399" s="21"/>
      <c r="J399" s="21"/>
      <c r="K399" s="21"/>
      <c r="L399" s="21"/>
      <c r="M399" s="21"/>
      <c r="N399" s="21"/>
      <c r="O399" s="21"/>
      <c r="P399" s="21"/>
      <c r="Q399" s="19"/>
      <c r="R399" s="19"/>
      <c r="S399" s="19"/>
      <c r="T399" s="19"/>
      <c r="U399" s="19"/>
      <c r="V399" s="19"/>
      <c r="W399" s="19"/>
      <c r="X399" s="19"/>
      <c r="Y399" s="19"/>
      <c r="Z399" s="19"/>
    </row>
    <row r="400">
      <c r="A400" s="21"/>
      <c r="B400" s="21"/>
      <c r="C400" s="21"/>
      <c r="D400" s="21"/>
      <c r="E400" s="21"/>
      <c r="F400" s="21"/>
      <c r="G400" s="21"/>
      <c r="H400" s="2"/>
      <c r="I400" s="21"/>
      <c r="J400" s="21"/>
      <c r="K400" s="21"/>
      <c r="L400" s="21"/>
      <c r="M400" s="21"/>
      <c r="N400" s="21"/>
      <c r="O400" s="21"/>
      <c r="P400" s="21"/>
      <c r="Q400" s="19"/>
      <c r="R400" s="19"/>
      <c r="S400" s="19"/>
      <c r="T400" s="19"/>
      <c r="U400" s="19"/>
      <c r="V400" s="19"/>
      <c r="W400" s="19"/>
      <c r="X400" s="19"/>
      <c r="Y400" s="19"/>
      <c r="Z400" s="19"/>
    </row>
    <row r="401">
      <c r="A401" s="21"/>
      <c r="B401" s="21"/>
      <c r="C401" s="21"/>
      <c r="D401" s="21"/>
      <c r="E401" s="21"/>
      <c r="F401" s="21"/>
      <c r="G401" s="21"/>
      <c r="H401" s="2"/>
      <c r="I401" s="21"/>
      <c r="J401" s="21"/>
      <c r="K401" s="21"/>
      <c r="L401" s="21"/>
      <c r="M401" s="21"/>
      <c r="N401" s="21"/>
      <c r="O401" s="21"/>
      <c r="P401" s="21"/>
      <c r="Q401" s="19"/>
      <c r="R401" s="19"/>
      <c r="S401" s="19"/>
      <c r="T401" s="19"/>
      <c r="U401" s="19"/>
      <c r="V401" s="19"/>
      <c r="W401" s="19"/>
      <c r="X401" s="19"/>
      <c r="Y401" s="19"/>
      <c r="Z401" s="19"/>
    </row>
    <row r="402">
      <c r="A402" s="21"/>
      <c r="B402" s="21"/>
      <c r="C402" s="21"/>
      <c r="D402" s="21"/>
      <c r="E402" s="21"/>
      <c r="F402" s="21"/>
      <c r="G402" s="21"/>
      <c r="H402" s="2"/>
      <c r="I402" s="21"/>
      <c r="J402" s="21"/>
      <c r="K402" s="21"/>
      <c r="L402" s="21"/>
      <c r="M402" s="21"/>
      <c r="N402" s="21"/>
      <c r="O402" s="21"/>
      <c r="P402" s="21"/>
      <c r="Q402" s="19"/>
      <c r="R402" s="19"/>
      <c r="S402" s="19"/>
      <c r="T402" s="19"/>
      <c r="U402" s="19"/>
      <c r="V402" s="19"/>
      <c r="W402" s="19"/>
      <c r="X402" s="19"/>
      <c r="Y402" s="19"/>
      <c r="Z402" s="19"/>
    </row>
    <row r="403">
      <c r="A403" s="21"/>
      <c r="B403" s="21"/>
      <c r="C403" s="21"/>
      <c r="D403" s="21"/>
      <c r="E403" s="21"/>
      <c r="F403" s="21"/>
      <c r="G403" s="21"/>
      <c r="H403" s="2"/>
      <c r="I403" s="21"/>
      <c r="J403" s="21"/>
      <c r="K403" s="21"/>
      <c r="L403" s="21"/>
      <c r="M403" s="21"/>
      <c r="N403" s="21"/>
      <c r="O403" s="21"/>
      <c r="P403" s="21"/>
      <c r="Q403" s="19"/>
      <c r="R403" s="19"/>
      <c r="S403" s="19"/>
      <c r="T403" s="19"/>
      <c r="U403" s="19"/>
      <c r="V403" s="19"/>
      <c r="W403" s="19"/>
      <c r="X403" s="19"/>
      <c r="Y403" s="19"/>
      <c r="Z403" s="19"/>
    </row>
    <row r="404">
      <c r="A404" s="21"/>
      <c r="B404" s="21"/>
      <c r="C404" s="21"/>
      <c r="D404" s="21"/>
      <c r="E404" s="21"/>
      <c r="F404" s="21"/>
      <c r="G404" s="21"/>
      <c r="H404" s="2"/>
      <c r="I404" s="21"/>
      <c r="J404" s="21"/>
      <c r="K404" s="21"/>
      <c r="L404" s="21"/>
      <c r="M404" s="21"/>
      <c r="N404" s="21"/>
      <c r="O404" s="21"/>
      <c r="P404" s="21"/>
      <c r="Q404" s="19"/>
      <c r="R404" s="19"/>
      <c r="S404" s="19"/>
      <c r="T404" s="19"/>
      <c r="U404" s="19"/>
      <c r="V404" s="19"/>
      <c r="W404" s="19"/>
      <c r="X404" s="19"/>
      <c r="Y404" s="19"/>
      <c r="Z404" s="19"/>
    </row>
    <row r="405">
      <c r="A405" s="21"/>
      <c r="B405" s="21"/>
      <c r="C405" s="21"/>
      <c r="D405" s="21"/>
      <c r="E405" s="21"/>
      <c r="F405" s="21"/>
      <c r="G405" s="21"/>
      <c r="H405" s="2"/>
      <c r="I405" s="21"/>
      <c r="J405" s="21"/>
      <c r="K405" s="21"/>
      <c r="L405" s="21"/>
      <c r="M405" s="21"/>
      <c r="N405" s="21"/>
      <c r="O405" s="21"/>
      <c r="P405" s="21"/>
      <c r="Q405" s="19"/>
      <c r="R405" s="19"/>
      <c r="S405" s="19"/>
      <c r="T405" s="19"/>
      <c r="U405" s="19"/>
      <c r="V405" s="19"/>
      <c r="W405" s="19"/>
      <c r="X405" s="19"/>
      <c r="Y405" s="19"/>
      <c r="Z405" s="19"/>
    </row>
    <row r="406">
      <c r="A406" s="21"/>
      <c r="B406" s="21"/>
      <c r="C406" s="21"/>
      <c r="D406" s="21"/>
      <c r="E406" s="21"/>
      <c r="F406" s="21"/>
      <c r="G406" s="21"/>
      <c r="H406" s="2"/>
      <c r="I406" s="21"/>
      <c r="J406" s="21"/>
      <c r="K406" s="21"/>
      <c r="L406" s="21"/>
      <c r="M406" s="21"/>
      <c r="N406" s="21"/>
      <c r="O406" s="21"/>
      <c r="P406" s="21"/>
      <c r="Q406" s="19"/>
      <c r="R406" s="19"/>
      <c r="S406" s="19"/>
      <c r="T406" s="19"/>
      <c r="U406" s="19"/>
      <c r="V406" s="19"/>
      <c r="W406" s="19"/>
      <c r="X406" s="19"/>
      <c r="Y406" s="19"/>
      <c r="Z406" s="19"/>
    </row>
    <row r="407">
      <c r="A407" s="21"/>
      <c r="B407" s="21"/>
      <c r="C407" s="21"/>
      <c r="D407" s="21"/>
      <c r="E407" s="21"/>
      <c r="F407" s="21"/>
      <c r="G407" s="21"/>
      <c r="H407" s="2"/>
      <c r="I407" s="21"/>
      <c r="J407" s="21"/>
      <c r="K407" s="21"/>
      <c r="L407" s="21"/>
      <c r="M407" s="21"/>
      <c r="N407" s="21"/>
      <c r="O407" s="21"/>
      <c r="P407" s="21"/>
      <c r="Q407" s="19"/>
      <c r="R407" s="19"/>
      <c r="S407" s="19"/>
      <c r="T407" s="19"/>
      <c r="U407" s="19"/>
      <c r="V407" s="19"/>
      <c r="W407" s="19"/>
      <c r="X407" s="19"/>
      <c r="Y407" s="19"/>
      <c r="Z407" s="19"/>
    </row>
    <row r="408">
      <c r="A408" s="21"/>
      <c r="B408" s="21"/>
      <c r="C408" s="21"/>
      <c r="D408" s="21"/>
      <c r="E408" s="21"/>
      <c r="F408" s="21"/>
      <c r="G408" s="21"/>
      <c r="H408" s="2"/>
      <c r="I408" s="21"/>
      <c r="J408" s="21"/>
      <c r="K408" s="21"/>
      <c r="L408" s="21"/>
      <c r="M408" s="21"/>
      <c r="N408" s="21"/>
      <c r="O408" s="21"/>
      <c r="P408" s="21"/>
      <c r="Q408" s="19"/>
      <c r="R408" s="19"/>
      <c r="S408" s="19"/>
      <c r="T408" s="19"/>
      <c r="U408" s="19"/>
      <c r="V408" s="19"/>
      <c r="W408" s="19"/>
      <c r="X408" s="19"/>
      <c r="Y408" s="19"/>
      <c r="Z408" s="19"/>
    </row>
    <row r="409">
      <c r="A409" s="21"/>
      <c r="B409" s="21"/>
      <c r="C409" s="21"/>
      <c r="D409" s="21"/>
      <c r="E409" s="21"/>
      <c r="F409" s="21"/>
      <c r="G409" s="21"/>
      <c r="H409" s="2"/>
      <c r="I409" s="21"/>
      <c r="J409" s="21"/>
      <c r="K409" s="21"/>
      <c r="L409" s="21"/>
      <c r="M409" s="21"/>
      <c r="N409" s="21"/>
      <c r="O409" s="21"/>
      <c r="P409" s="21"/>
      <c r="Q409" s="19"/>
      <c r="R409" s="19"/>
      <c r="S409" s="19"/>
      <c r="T409" s="19"/>
      <c r="U409" s="19"/>
      <c r="V409" s="19"/>
      <c r="W409" s="19"/>
      <c r="X409" s="19"/>
      <c r="Y409" s="19"/>
      <c r="Z409" s="19"/>
    </row>
    <row r="410">
      <c r="A410" s="21"/>
      <c r="B410" s="21"/>
      <c r="C410" s="21"/>
      <c r="D410" s="21"/>
      <c r="E410" s="21"/>
      <c r="F410" s="21"/>
      <c r="G410" s="21"/>
      <c r="H410" s="2"/>
      <c r="I410" s="21"/>
      <c r="J410" s="21"/>
      <c r="K410" s="21"/>
      <c r="L410" s="21"/>
      <c r="M410" s="21"/>
      <c r="N410" s="21"/>
      <c r="O410" s="21"/>
      <c r="P410" s="21"/>
      <c r="Q410" s="19"/>
      <c r="R410" s="19"/>
      <c r="S410" s="19"/>
      <c r="T410" s="19"/>
      <c r="U410" s="19"/>
      <c r="V410" s="19"/>
      <c r="W410" s="19"/>
      <c r="X410" s="19"/>
      <c r="Y410" s="19"/>
      <c r="Z410" s="19"/>
    </row>
    <row r="411">
      <c r="A411" s="21"/>
      <c r="B411" s="21"/>
      <c r="C411" s="21"/>
      <c r="D411" s="21"/>
      <c r="E411" s="21"/>
      <c r="F411" s="21"/>
      <c r="G411" s="21"/>
      <c r="H411" s="2"/>
      <c r="I411" s="21"/>
      <c r="J411" s="21"/>
      <c r="K411" s="21"/>
      <c r="L411" s="21"/>
      <c r="M411" s="21"/>
      <c r="N411" s="21"/>
      <c r="O411" s="21"/>
      <c r="P411" s="21"/>
      <c r="Q411" s="19"/>
      <c r="R411" s="19"/>
      <c r="S411" s="19"/>
      <c r="T411" s="19"/>
      <c r="U411" s="19"/>
      <c r="V411" s="19"/>
      <c r="W411" s="19"/>
      <c r="X411" s="19"/>
      <c r="Y411" s="19"/>
      <c r="Z411" s="19"/>
    </row>
    <row r="412">
      <c r="A412" s="21"/>
      <c r="B412" s="21"/>
      <c r="C412" s="21"/>
      <c r="D412" s="21"/>
      <c r="E412" s="21"/>
      <c r="F412" s="21"/>
      <c r="G412" s="21"/>
      <c r="H412" s="2"/>
      <c r="I412" s="21"/>
      <c r="J412" s="21"/>
      <c r="K412" s="21"/>
      <c r="L412" s="21"/>
      <c r="M412" s="21"/>
      <c r="N412" s="21"/>
      <c r="O412" s="21"/>
      <c r="P412" s="21"/>
      <c r="Q412" s="19"/>
      <c r="R412" s="19"/>
      <c r="S412" s="19"/>
      <c r="T412" s="19"/>
      <c r="U412" s="19"/>
      <c r="V412" s="19"/>
      <c r="W412" s="19"/>
      <c r="X412" s="19"/>
      <c r="Y412" s="19"/>
      <c r="Z412" s="19"/>
    </row>
    <row r="413">
      <c r="A413" s="21"/>
      <c r="B413" s="21"/>
      <c r="C413" s="21"/>
      <c r="D413" s="21"/>
      <c r="E413" s="21"/>
      <c r="F413" s="21"/>
      <c r="G413" s="21"/>
      <c r="H413" s="2"/>
      <c r="I413" s="21"/>
      <c r="J413" s="21"/>
      <c r="K413" s="21"/>
      <c r="L413" s="21"/>
      <c r="M413" s="21"/>
      <c r="N413" s="21"/>
      <c r="O413" s="21"/>
      <c r="P413" s="21"/>
      <c r="Q413" s="19"/>
      <c r="R413" s="19"/>
      <c r="S413" s="19"/>
      <c r="T413" s="19"/>
      <c r="U413" s="19"/>
      <c r="V413" s="19"/>
      <c r="W413" s="19"/>
      <c r="X413" s="19"/>
      <c r="Y413" s="19"/>
      <c r="Z413" s="19"/>
    </row>
    <row r="414">
      <c r="A414" s="21"/>
      <c r="B414" s="21"/>
      <c r="C414" s="21"/>
      <c r="D414" s="21"/>
      <c r="E414" s="21"/>
      <c r="F414" s="21"/>
      <c r="G414" s="21"/>
      <c r="H414" s="2"/>
      <c r="I414" s="21"/>
      <c r="J414" s="21"/>
      <c r="K414" s="21"/>
      <c r="L414" s="21"/>
      <c r="M414" s="21"/>
      <c r="N414" s="21"/>
      <c r="O414" s="21"/>
      <c r="P414" s="21"/>
      <c r="Q414" s="19"/>
      <c r="R414" s="19"/>
      <c r="S414" s="19"/>
      <c r="T414" s="19"/>
      <c r="U414" s="19"/>
      <c r="V414" s="19"/>
      <c r="W414" s="19"/>
      <c r="X414" s="19"/>
      <c r="Y414" s="19"/>
      <c r="Z414" s="19"/>
    </row>
    <row r="415">
      <c r="A415" s="21"/>
      <c r="B415" s="21"/>
      <c r="C415" s="21"/>
      <c r="D415" s="21"/>
      <c r="E415" s="21"/>
      <c r="F415" s="21"/>
      <c r="G415" s="21"/>
      <c r="H415" s="2"/>
      <c r="I415" s="21"/>
      <c r="J415" s="21"/>
      <c r="K415" s="21"/>
      <c r="L415" s="21"/>
      <c r="M415" s="21"/>
      <c r="N415" s="21"/>
      <c r="O415" s="21"/>
      <c r="P415" s="21"/>
      <c r="Q415" s="19"/>
      <c r="R415" s="19"/>
      <c r="S415" s="19"/>
      <c r="T415" s="19"/>
      <c r="U415" s="19"/>
      <c r="V415" s="19"/>
      <c r="W415" s="19"/>
      <c r="X415" s="19"/>
      <c r="Y415" s="19"/>
      <c r="Z415" s="19"/>
    </row>
    <row r="416">
      <c r="A416" s="21"/>
      <c r="B416" s="21"/>
      <c r="C416" s="21"/>
      <c r="D416" s="21"/>
      <c r="E416" s="21"/>
      <c r="F416" s="21"/>
      <c r="G416" s="21"/>
      <c r="H416" s="2"/>
      <c r="I416" s="21"/>
      <c r="J416" s="21"/>
      <c r="K416" s="21"/>
      <c r="L416" s="21"/>
      <c r="M416" s="21"/>
      <c r="N416" s="21"/>
      <c r="O416" s="21"/>
      <c r="P416" s="21"/>
      <c r="Q416" s="19"/>
      <c r="R416" s="19"/>
      <c r="S416" s="19"/>
      <c r="T416" s="19"/>
      <c r="U416" s="19"/>
      <c r="V416" s="19"/>
      <c r="W416" s="19"/>
      <c r="X416" s="19"/>
      <c r="Y416" s="19"/>
      <c r="Z416" s="19"/>
    </row>
    <row r="417">
      <c r="A417" s="21"/>
      <c r="B417" s="21"/>
      <c r="C417" s="21"/>
      <c r="D417" s="21"/>
      <c r="E417" s="21"/>
      <c r="F417" s="21"/>
      <c r="G417" s="21"/>
      <c r="H417" s="2"/>
      <c r="I417" s="21"/>
      <c r="J417" s="21"/>
      <c r="K417" s="21"/>
      <c r="L417" s="21"/>
      <c r="M417" s="21"/>
      <c r="N417" s="21"/>
      <c r="O417" s="21"/>
      <c r="P417" s="21"/>
      <c r="Q417" s="19"/>
      <c r="R417" s="19"/>
      <c r="S417" s="19"/>
      <c r="T417" s="19"/>
      <c r="U417" s="19"/>
      <c r="V417" s="19"/>
      <c r="W417" s="19"/>
      <c r="X417" s="19"/>
      <c r="Y417" s="19"/>
      <c r="Z417" s="19"/>
    </row>
    <row r="418">
      <c r="A418" s="21"/>
      <c r="B418" s="21"/>
      <c r="C418" s="21"/>
      <c r="D418" s="21"/>
      <c r="E418" s="21"/>
      <c r="F418" s="21"/>
      <c r="G418" s="21"/>
      <c r="H418" s="2"/>
      <c r="I418" s="21"/>
      <c r="J418" s="21"/>
      <c r="K418" s="21"/>
      <c r="L418" s="21"/>
      <c r="M418" s="21"/>
      <c r="N418" s="21"/>
      <c r="O418" s="21"/>
      <c r="P418" s="21"/>
      <c r="Q418" s="19"/>
      <c r="R418" s="19"/>
      <c r="S418" s="19"/>
      <c r="T418" s="19"/>
      <c r="U418" s="19"/>
      <c r="V418" s="19"/>
      <c r="W418" s="19"/>
      <c r="X418" s="19"/>
      <c r="Y418" s="19"/>
      <c r="Z418" s="19"/>
    </row>
    <row r="419">
      <c r="A419" s="21"/>
      <c r="B419" s="21"/>
      <c r="C419" s="21"/>
      <c r="D419" s="21"/>
      <c r="E419" s="21"/>
      <c r="F419" s="21"/>
      <c r="G419" s="21"/>
      <c r="H419" s="2"/>
      <c r="I419" s="21"/>
      <c r="J419" s="21"/>
      <c r="K419" s="21"/>
      <c r="L419" s="21"/>
      <c r="M419" s="21"/>
      <c r="N419" s="21"/>
      <c r="O419" s="21"/>
      <c r="P419" s="21"/>
      <c r="Q419" s="19"/>
      <c r="R419" s="19"/>
      <c r="S419" s="19"/>
      <c r="T419" s="19"/>
      <c r="U419" s="19"/>
      <c r="V419" s="19"/>
      <c r="W419" s="19"/>
      <c r="X419" s="19"/>
      <c r="Y419" s="19"/>
      <c r="Z419" s="19"/>
    </row>
    <row r="420">
      <c r="A420" s="21"/>
      <c r="B420" s="21"/>
      <c r="C420" s="21"/>
      <c r="D420" s="21"/>
      <c r="E420" s="21"/>
      <c r="F420" s="21"/>
      <c r="G420" s="21"/>
      <c r="H420" s="2"/>
      <c r="I420" s="21"/>
      <c r="J420" s="21"/>
      <c r="K420" s="21"/>
      <c r="L420" s="21"/>
      <c r="M420" s="21"/>
      <c r="N420" s="21"/>
      <c r="O420" s="21"/>
      <c r="P420" s="21"/>
      <c r="Q420" s="19"/>
      <c r="R420" s="19"/>
      <c r="S420" s="19"/>
      <c r="T420" s="19"/>
      <c r="U420" s="19"/>
      <c r="V420" s="19"/>
      <c r="W420" s="19"/>
      <c r="X420" s="19"/>
      <c r="Y420" s="19"/>
      <c r="Z420" s="19"/>
    </row>
    <row r="421">
      <c r="A421" s="21"/>
      <c r="B421" s="21"/>
      <c r="C421" s="21"/>
      <c r="D421" s="21"/>
      <c r="E421" s="21"/>
      <c r="F421" s="21"/>
      <c r="G421" s="21"/>
      <c r="H421" s="2"/>
      <c r="I421" s="21"/>
      <c r="J421" s="21"/>
      <c r="K421" s="21"/>
      <c r="L421" s="21"/>
      <c r="M421" s="21"/>
      <c r="N421" s="21"/>
      <c r="O421" s="21"/>
      <c r="P421" s="21"/>
      <c r="Q421" s="19"/>
      <c r="R421" s="19"/>
      <c r="S421" s="19"/>
      <c r="T421" s="19"/>
      <c r="U421" s="19"/>
      <c r="V421" s="19"/>
      <c r="W421" s="19"/>
      <c r="X421" s="19"/>
      <c r="Y421" s="19"/>
      <c r="Z421" s="19"/>
    </row>
    <row r="422">
      <c r="A422" s="21"/>
      <c r="B422" s="21"/>
      <c r="C422" s="21"/>
      <c r="D422" s="21"/>
      <c r="E422" s="21"/>
      <c r="F422" s="21"/>
      <c r="G422" s="21"/>
      <c r="H422" s="2"/>
      <c r="I422" s="21"/>
      <c r="J422" s="21"/>
      <c r="K422" s="21"/>
      <c r="L422" s="21"/>
      <c r="M422" s="21"/>
      <c r="N422" s="21"/>
      <c r="O422" s="21"/>
      <c r="P422" s="21"/>
      <c r="Q422" s="19"/>
      <c r="R422" s="19"/>
      <c r="S422" s="19"/>
      <c r="T422" s="19"/>
      <c r="U422" s="19"/>
      <c r="V422" s="19"/>
      <c r="W422" s="19"/>
      <c r="X422" s="19"/>
      <c r="Y422" s="19"/>
      <c r="Z422" s="19"/>
    </row>
    <row r="423">
      <c r="A423" s="21"/>
      <c r="B423" s="21"/>
      <c r="C423" s="21"/>
      <c r="D423" s="21"/>
      <c r="E423" s="21"/>
      <c r="F423" s="21"/>
      <c r="G423" s="21"/>
      <c r="H423" s="2"/>
      <c r="I423" s="21"/>
      <c r="J423" s="21"/>
      <c r="K423" s="21"/>
      <c r="L423" s="21"/>
      <c r="M423" s="21"/>
      <c r="N423" s="21"/>
      <c r="O423" s="21"/>
      <c r="P423" s="21"/>
      <c r="Q423" s="19"/>
      <c r="R423" s="19"/>
      <c r="S423" s="19"/>
      <c r="T423" s="19"/>
      <c r="U423" s="19"/>
      <c r="V423" s="19"/>
      <c r="W423" s="19"/>
      <c r="X423" s="19"/>
      <c r="Y423" s="19"/>
      <c r="Z423" s="19"/>
    </row>
    <row r="424">
      <c r="A424" s="21"/>
      <c r="B424" s="21"/>
      <c r="C424" s="21"/>
      <c r="D424" s="21"/>
      <c r="E424" s="21"/>
      <c r="F424" s="21"/>
      <c r="G424" s="21"/>
      <c r="H424" s="2"/>
      <c r="I424" s="21"/>
      <c r="J424" s="21"/>
      <c r="K424" s="21"/>
      <c r="L424" s="21"/>
      <c r="M424" s="21"/>
      <c r="N424" s="21"/>
      <c r="O424" s="21"/>
      <c r="P424" s="21"/>
      <c r="Q424" s="19"/>
      <c r="R424" s="19"/>
      <c r="S424" s="19"/>
      <c r="T424" s="19"/>
      <c r="U424" s="19"/>
      <c r="V424" s="19"/>
      <c r="W424" s="19"/>
      <c r="X424" s="19"/>
      <c r="Y424" s="19"/>
      <c r="Z424" s="19"/>
    </row>
    <row r="425">
      <c r="A425" s="21"/>
      <c r="B425" s="21"/>
      <c r="C425" s="21"/>
      <c r="D425" s="21"/>
      <c r="E425" s="21"/>
      <c r="F425" s="21"/>
      <c r="G425" s="21"/>
      <c r="H425" s="2"/>
      <c r="I425" s="21"/>
      <c r="J425" s="21"/>
      <c r="K425" s="21"/>
      <c r="L425" s="21"/>
      <c r="M425" s="21"/>
      <c r="N425" s="21"/>
      <c r="O425" s="21"/>
      <c r="P425" s="21"/>
      <c r="Q425" s="19"/>
      <c r="R425" s="19"/>
      <c r="S425" s="19"/>
      <c r="T425" s="19"/>
      <c r="U425" s="19"/>
      <c r="V425" s="19"/>
      <c r="W425" s="19"/>
      <c r="X425" s="19"/>
      <c r="Y425" s="19"/>
      <c r="Z425" s="19"/>
    </row>
    <row r="426">
      <c r="A426" s="21"/>
      <c r="B426" s="21"/>
      <c r="C426" s="21"/>
      <c r="D426" s="21"/>
      <c r="E426" s="21"/>
      <c r="F426" s="21"/>
      <c r="G426" s="21"/>
      <c r="H426" s="2"/>
      <c r="I426" s="21"/>
      <c r="J426" s="21"/>
      <c r="K426" s="21"/>
      <c r="L426" s="21"/>
      <c r="M426" s="21"/>
      <c r="N426" s="21"/>
      <c r="O426" s="21"/>
      <c r="P426" s="21"/>
      <c r="Q426" s="19"/>
      <c r="R426" s="19"/>
      <c r="S426" s="19"/>
      <c r="T426" s="19"/>
      <c r="U426" s="19"/>
      <c r="V426" s="19"/>
      <c r="W426" s="19"/>
      <c r="X426" s="19"/>
      <c r="Y426" s="19"/>
      <c r="Z426" s="19"/>
    </row>
    <row r="427">
      <c r="A427" s="21"/>
      <c r="B427" s="21"/>
      <c r="C427" s="21"/>
      <c r="D427" s="21"/>
      <c r="E427" s="21"/>
      <c r="F427" s="21"/>
      <c r="G427" s="21"/>
      <c r="H427" s="2"/>
      <c r="I427" s="21"/>
      <c r="J427" s="21"/>
      <c r="K427" s="21"/>
      <c r="L427" s="21"/>
      <c r="M427" s="21"/>
      <c r="N427" s="21"/>
      <c r="O427" s="21"/>
      <c r="P427" s="21"/>
      <c r="Q427" s="19"/>
      <c r="R427" s="19"/>
      <c r="S427" s="19"/>
      <c r="T427" s="19"/>
      <c r="U427" s="19"/>
      <c r="V427" s="19"/>
      <c r="W427" s="19"/>
      <c r="X427" s="19"/>
      <c r="Y427" s="19"/>
      <c r="Z427" s="19"/>
    </row>
    <row r="428">
      <c r="A428" s="21"/>
      <c r="B428" s="21"/>
      <c r="C428" s="21"/>
      <c r="D428" s="21"/>
      <c r="E428" s="21"/>
      <c r="F428" s="21"/>
      <c r="G428" s="21"/>
      <c r="H428" s="2"/>
      <c r="I428" s="21"/>
      <c r="J428" s="21"/>
      <c r="K428" s="21"/>
      <c r="L428" s="21"/>
      <c r="M428" s="21"/>
      <c r="N428" s="21"/>
      <c r="O428" s="21"/>
      <c r="P428" s="21"/>
      <c r="Q428" s="19"/>
      <c r="R428" s="19"/>
      <c r="S428" s="19"/>
      <c r="T428" s="19"/>
      <c r="U428" s="19"/>
      <c r="V428" s="19"/>
      <c r="W428" s="19"/>
      <c r="X428" s="19"/>
      <c r="Y428" s="19"/>
      <c r="Z428" s="19"/>
    </row>
    <row r="429">
      <c r="A429" s="21"/>
      <c r="B429" s="21"/>
      <c r="C429" s="21"/>
      <c r="D429" s="21"/>
      <c r="E429" s="21"/>
      <c r="F429" s="21"/>
      <c r="G429" s="21"/>
      <c r="H429" s="2"/>
      <c r="I429" s="21"/>
      <c r="J429" s="21"/>
      <c r="K429" s="21"/>
      <c r="L429" s="21"/>
      <c r="M429" s="21"/>
      <c r="N429" s="21"/>
      <c r="O429" s="21"/>
      <c r="P429" s="21"/>
      <c r="Q429" s="19"/>
      <c r="R429" s="19"/>
      <c r="S429" s="19"/>
      <c r="T429" s="19"/>
      <c r="U429" s="19"/>
      <c r="V429" s="19"/>
      <c r="W429" s="19"/>
      <c r="X429" s="19"/>
      <c r="Y429" s="19"/>
      <c r="Z429" s="19"/>
    </row>
    <row r="430">
      <c r="A430" s="21"/>
      <c r="B430" s="21"/>
      <c r="C430" s="21"/>
      <c r="D430" s="21"/>
      <c r="E430" s="21"/>
      <c r="F430" s="21"/>
      <c r="G430" s="21"/>
      <c r="H430" s="2"/>
      <c r="I430" s="21"/>
      <c r="J430" s="21"/>
      <c r="K430" s="21"/>
      <c r="L430" s="21"/>
      <c r="M430" s="21"/>
      <c r="N430" s="21"/>
      <c r="O430" s="21"/>
      <c r="P430" s="21"/>
      <c r="Q430" s="19"/>
      <c r="R430" s="19"/>
      <c r="S430" s="19"/>
      <c r="T430" s="19"/>
      <c r="U430" s="19"/>
      <c r="V430" s="19"/>
      <c r="W430" s="19"/>
      <c r="X430" s="19"/>
      <c r="Y430" s="19"/>
      <c r="Z430" s="19"/>
    </row>
    <row r="431">
      <c r="A431" s="21"/>
      <c r="B431" s="21"/>
      <c r="C431" s="21"/>
      <c r="D431" s="21"/>
      <c r="E431" s="21"/>
      <c r="F431" s="21"/>
      <c r="G431" s="21"/>
      <c r="H431" s="2"/>
      <c r="I431" s="21"/>
      <c r="J431" s="21"/>
      <c r="K431" s="21"/>
      <c r="L431" s="21"/>
      <c r="M431" s="21"/>
      <c r="N431" s="21"/>
      <c r="O431" s="21"/>
      <c r="P431" s="21"/>
      <c r="Q431" s="19"/>
      <c r="R431" s="19"/>
      <c r="S431" s="19"/>
      <c r="T431" s="19"/>
      <c r="U431" s="19"/>
      <c r="V431" s="19"/>
      <c r="W431" s="19"/>
      <c r="X431" s="19"/>
      <c r="Y431" s="19"/>
      <c r="Z431" s="19"/>
    </row>
    <row r="432">
      <c r="A432" s="21"/>
      <c r="B432" s="21"/>
      <c r="C432" s="21"/>
      <c r="D432" s="21"/>
      <c r="E432" s="21"/>
      <c r="F432" s="21"/>
      <c r="G432" s="21"/>
      <c r="H432" s="2"/>
      <c r="I432" s="21"/>
      <c r="J432" s="21"/>
      <c r="K432" s="21"/>
      <c r="L432" s="21"/>
      <c r="M432" s="21"/>
      <c r="N432" s="21"/>
      <c r="O432" s="21"/>
      <c r="P432" s="21"/>
      <c r="Q432" s="19"/>
      <c r="R432" s="19"/>
      <c r="S432" s="19"/>
      <c r="T432" s="19"/>
      <c r="U432" s="19"/>
      <c r="V432" s="19"/>
      <c r="W432" s="19"/>
      <c r="X432" s="19"/>
      <c r="Y432" s="19"/>
      <c r="Z432" s="19"/>
    </row>
    <row r="433">
      <c r="A433" s="21"/>
      <c r="B433" s="21"/>
      <c r="C433" s="21"/>
      <c r="D433" s="21"/>
      <c r="E433" s="21"/>
      <c r="F433" s="21"/>
      <c r="G433" s="21"/>
      <c r="H433" s="2"/>
      <c r="I433" s="21"/>
      <c r="J433" s="21"/>
      <c r="K433" s="21"/>
      <c r="L433" s="21"/>
      <c r="M433" s="21"/>
      <c r="N433" s="21"/>
      <c r="O433" s="21"/>
      <c r="P433" s="21"/>
      <c r="Q433" s="19"/>
      <c r="R433" s="19"/>
      <c r="S433" s="19"/>
      <c r="T433" s="19"/>
      <c r="U433" s="19"/>
      <c r="V433" s="19"/>
      <c r="W433" s="19"/>
      <c r="X433" s="19"/>
      <c r="Y433" s="19"/>
      <c r="Z433" s="19"/>
    </row>
    <row r="434">
      <c r="A434" s="21"/>
      <c r="B434" s="21"/>
      <c r="C434" s="21"/>
      <c r="D434" s="21"/>
      <c r="E434" s="21"/>
      <c r="F434" s="21"/>
      <c r="G434" s="21"/>
      <c r="H434" s="2"/>
      <c r="I434" s="21"/>
      <c r="J434" s="21"/>
      <c r="K434" s="21"/>
      <c r="L434" s="21"/>
      <c r="M434" s="21"/>
      <c r="N434" s="21"/>
      <c r="O434" s="21"/>
      <c r="P434" s="21"/>
      <c r="Q434" s="19"/>
      <c r="R434" s="19"/>
      <c r="S434" s="19"/>
      <c r="T434" s="19"/>
      <c r="U434" s="19"/>
      <c r="V434" s="19"/>
      <c r="W434" s="19"/>
      <c r="X434" s="19"/>
      <c r="Y434" s="19"/>
      <c r="Z434" s="19"/>
    </row>
    <row r="435">
      <c r="A435" s="21"/>
      <c r="B435" s="21"/>
      <c r="C435" s="21"/>
      <c r="D435" s="21"/>
      <c r="E435" s="21"/>
      <c r="F435" s="21"/>
      <c r="G435" s="21"/>
      <c r="H435" s="2"/>
      <c r="I435" s="21"/>
      <c r="J435" s="21"/>
      <c r="K435" s="21"/>
      <c r="L435" s="21"/>
      <c r="M435" s="21"/>
      <c r="N435" s="21"/>
      <c r="O435" s="21"/>
      <c r="P435" s="21"/>
      <c r="Q435" s="19"/>
      <c r="R435" s="19"/>
      <c r="S435" s="19"/>
      <c r="T435" s="19"/>
      <c r="U435" s="19"/>
      <c r="V435" s="19"/>
      <c r="W435" s="19"/>
      <c r="X435" s="19"/>
      <c r="Y435" s="19"/>
      <c r="Z435" s="19"/>
    </row>
    <row r="436">
      <c r="A436" s="21"/>
      <c r="B436" s="21"/>
      <c r="C436" s="21"/>
      <c r="D436" s="21"/>
      <c r="E436" s="21"/>
      <c r="F436" s="21"/>
      <c r="G436" s="21"/>
      <c r="H436" s="2"/>
      <c r="I436" s="21"/>
      <c r="J436" s="21"/>
      <c r="K436" s="21"/>
      <c r="L436" s="21"/>
      <c r="M436" s="21"/>
      <c r="N436" s="21"/>
      <c r="O436" s="21"/>
      <c r="P436" s="21"/>
      <c r="Q436" s="19"/>
      <c r="R436" s="19"/>
      <c r="S436" s="19"/>
      <c r="T436" s="19"/>
      <c r="U436" s="19"/>
      <c r="V436" s="19"/>
      <c r="W436" s="19"/>
      <c r="X436" s="19"/>
      <c r="Y436" s="19"/>
      <c r="Z436" s="19"/>
    </row>
    <row r="437">
      <c r="A437" s="21"/>
      <c r="B437" s="21"/>
      <c r="C437" s="21"/>
      <c r="D437" s="21"/>
      <c r="E437" s="21"/>
      <c r="F437" s="21"/>
      <c r="G437" s="21"/>
      <c r="H437" s="2"/>
      <c r="I437" s="21"/>
      <c r="J437" s="21"/>
      <c r="K437" s="21"/>
      <c r="L437" s="21"/>
      <c r="M437" s="21"/>
      <c r="N437" s="21"/>
      <c r="O437" s="21"/>
      <c r="P437" s="21"/>
      <c r="Q437" s="19"/>
      <c r="R437" s="19"/>
      <c r="S437" s="19"/>
      <c r="T437" s="19"/>
      <c r="U437" s="19"/>
      <c r="V437" s="19"/>
      <c r="W437" s="19"/>
      <c r="X437" s="19"/>
      <c r="Y437" s="19"/>
      <c r="Z437" s="19"/>
    </row>
    <row r="438">
      <c r="A438" s="21"/>
      <c r="B438" s="21"/>
      <c r="C438" s="21"/>
      <c r="D438" s="21"/>
      <c r="E438" s="21"/>
      <c r="F438" s="21"/>
      <c r="G438" s="21"/>
      <c r="H438" s="2"/>
      <c r="I438" s="21"/>
      <c r="J438" s="21"/>
      <c r="K438" s="21"/>
      <c r="L438" s="21"/>
      <c r="M438" s="21"/>
      <c r="N438" s="21"/>
      <c r="O438" s="21"/>
      <c r="P438" s="21"/>
      <c r="Q438" s="19"/>
      <c r="R438" s="19"/>
      <c r="S438" s="19"/>
      <c r="T438" s="19"/>
      <c r="U438" s="19"/>
      <c r="V438" s="19"/>
      <c r="W438" s="19"/>
      <c r="X438" s="19"/>
      <c r="Y438" s="19"/>
      <c r="Z438" s="19"/>
    </row>
    <row r="439">
      <c r="A439" s="21"/>
      <c r="B439" s="21"/>
      <c r="C439" s="21"/>
      <c r="D439" s="21"/>
      <c r="E439" s="21"/>
      <c r="F439" s="21"/>
      <c r="G439" s="21"/>
      <c r="H439" s="2"/>
      <c r="I439" s="21"/>
      <c r="J439" s="21"/>
      <c r="K439" s="21"/>
      <c r="L439" s="21"/>
      <c r="M439" s="21"/>
      <c r="N439" s="21"/>
      <c r="O439" s="21"/>
      <c r="P439" s="21"/>
      <c r="Q439" s="19"/>
      <c r="R439" s="19"/>
      <c r="S439" s="19"/>
      <c r="T439" s="19"/>
      <c r="U439" s="19"/>
      <c r="V439" s="19"/>
      <c r="W439" s="19"/>
      <c r="X439" s="19"/>
      <c r="Y439" s="19"/>
      <c r="Z439" s="19"/>
    </row>
    <row r="440">
      <c r="A440" s="21"/>
      <c r="B440" s="21"/>
      <c r="C440" s="21"/>
      <c r="D440" s="21"/>
      <c r="E440" s="21"/>
      <c r="F440" s="21"/>
      <c r="G440" s="21"/>
      <c r="H440" s="2"/>
      <c r="I440" s="21"/>
      <c r="J440" s="21"/>
      <c r="K440" s="21"/>
      <c r="L440" s="21"/>
      <c r="M440" s="21"/>
      <c r="N440" s="21"/>
      <c r="O440" s="21"/>
      <c r="P440" s="21"/>
      <c r="Q440" s="19"/>
      <c r="R440" s="19"/>
      <c r="S440" s="19"/>
      <c r="T440" s="19"/>
      <c r="U440" s="19"/>
      <c r="V440" s="19"/>
      <c r="W440" s="19"/>
      <c r="X440" s="19"/>
      <c r="Y440" s="19"/>
      <c r="Z440" s="19"/>
    </row>
    <row r="441">
      <c r="A441" s="21"/>
      <c r="B441" s="21"/>
      <c r="C441" s="21"/>
      <c r="D441" s="21"/>
      <c r="E441" s="21"/>
      <c r="F441" s="21"/>
      <c r="G441" s="21"/>
      <c r="H441" s="2"/>
      <c r="I441" s="21"/>
      <c r="J441" s="21"/>
      <c r="K441" s="21"/>
      <c r="L441" s="21"/>
      <c r="M441" s="21"/>
      <c r="N441" s="21"/>
      <c r="O441" s="21"/>
      <c r="P441" s="21"/>
      <c r="Q441" s="19"/>
      <c r="R441" s="19"/>
      <c r="S441" s="19"/>
      <c r="T441" s="19"/>
      <c r="U441" s="19"/>
      <c r="V441" s="19"/>
      <c r="W441" s="19"/>
      <c r="X441" s="19"/>
      <c r="Y441" s="19"/>
      <c r="Z441" s="19"/>
    </row>
    <row r="442">
      <c r="A442" s="21"/>
      <c r="B442" s="21"/>
      <c r="C442" s="21"/>
      <c r="D442" s="21"/>
      <c r="E442" s="21"/>
      <c r="F442" s="21"/>
      <c r="G442" s="21"/>
      <c r="H442" s="2"/>
      <c r="I442" s="21"/>
      <c r="J442" s="21"/>
      <c r="K442" s="21"/>
      <c r="L442" s="21"/>
      <c r="M442" s="21"/>
      <c r="N442" s="21"/>
      <c r="O442" s="21"/>
      <c r="P442" s="21"/>
      <c r="Q442" s="19"/>
      <c r="R442" s="19"/>
      <c r="S442" s="19"/>
      <c r="T442" s="19"/>
      <c r="U442" s="19"/>
      <c r="V442" s="19"/>
      <c r="W442" s="19"/>
      <c r="X442" s="19"/>
      <c r="Y442" s="19"/>
      <c r="Z442" s="19"/>
    </row>
    <row r="443">
      <c r="A443" s="21"/>
      <c r="B443" s="21"/>
      <c r="C443" s="21"/>
      <c r="D443" s="21"/>
      <c r="E443" s="21"/>
      <c r="F443" s="21"/>
      <c r="G443" s="21"/>
      <c r="H443" s="2"/>
      <c r="I443" s="21"/>
      <c r="J443" s="21"/>
      <c r="K443" s="21"/>
      <c r="L443" s="21"/>
      <c r="M443" s="21"/>
      <c r="N443" s="21"/>
      <c r="O443" s="21"/>
      <c r="P443" s="21"/>
      <c r="Q443" s="19"/>
      <c r="R443" s="19"/>
      <c r="S443" s="19"/>
      <c r="T443" s="19"/>
      <c r="U443" s="19"/>
      <c r="V443" s="19"/>
      <c r="W443" s="19"/>
      <c r="X443" s="19"/>
      <c r="Y443" s="19"/>
      <c r="Z443" s="19"/>
    </row>
    <row r="444">
      <c r="A444" s="21"/>
      <c r="B444" s="21"/>
      <c r="C444" s="21"/>
      <c r="D444" s="21"/>
      <c r="E444" s="21"/>
      <c r="F444" s="21"/>
      <c r="G444" s="21"/>
      <c r="H444" s="2"/>
      <c r="I444" s="21"/>
      <c r="J444" s="21"/>
      <c r="K444" s="21"/>
      <c r="L444" s="21"/>
      <c r="M444" s="21"/>
      <c r="N444" s="21"/>
      <c r="O444" s="21"/>
      <c r="P444" s="21"/>
      <c r="Q444" s="19"/>
      <c r="R444" s="19"/>
      <c r="S444" s="19"/>
      <c r="T444" s="19"/>
      <c r="U444" s="19"/>
      <c r="V444" s="19"/>
      <c r="W444" s="19"/>
      <c r="X444" s="19"/>
      <c r="Y444" s="19"/>
      <c r="Z444" s="19"/>
    </row>
    <row r="445">
      <c r="A445" s="21"/>
      <c r="B445" s="21"/>
      <c r="C445" s="21"/>
      <c r="D445" s="21"/>
      <c r="E445" s="21"/>
      <c r="F445" s="21"/>
      <c r="G445" s="21"/>
      <c r="H445" s="2"/>
      <c r="I445" s="21"/>
      <c r="J445" s="21"/>
      <c r="K445" s="21"/>
      <c r="L445" s="21"/>
      <c r="M445" s="21"/>
      <c r="N445" s="21"/>
      <c r="O445" s="21"/>
      <c r="P445" s="21"/>
      <c r="Q445" s="19"/>
      <c r="R445" s="19"/>
      <c r="S445" s="19"/>
      <c r="T445" s="19"/>
      <c r="U445" s="19"/>
      <c r="V445" s="19"/>
      <c r="W445" s="19"/>
      <c r="X445" s="19"/>
      <c r="Y445" s="19"/>
      <c r="Z445" s="19"/>
    </row>
    <row r="446">
      <c r="A446" s="21"/>
      <c r="B446" s="21"/>
      <c r="C446" s="21"/>
      <c r="D446" s="21"/>
      <c r="E446" s="21"/>
      <c r="F446" s="21"/>
      <c r="G446" s="21"/>
      <c r="H446" s="2"/>
      <c r="I446" s="21"/>
      <c r="J446" s="21"/>
      <c r="K446" s="21"/>
      <c r="L446" s="21"/>
      <c r="M446" s="21"/>
      <c r="N446" s="21"/>
      <c r="O446" s="21"/>
      <c r="P446" s="21"/>
      <c r="Q446" s="19"/>
      <c r="R446" s="19"/>
      <c r="S446" s="19"/>
      <c r="T446" s="19"/>
      <c r="U446" s="19"/>
      <c r="V446" s="19"/>
      <c r="W446" s="19"/>
      <c r="X446" s="19"/>
      <c r="Y446" s="19"/>
      <c r="Z446" s="19"/>
    </row>
    <row r="447">
      <c r="A447" s="21"/>
      <c r="B447" s="21"/>
      <c r="C447" s="21"/>
      <c r="D447" s="21"/>
      <c r="E447" s="21"/>
      <c r="F447" s="21"/>
      <c r="G447" s="21"/>
      <c r="H447" s="2"/>
      <c r="I447" s="21"/>
      <c r="J447" s="21"/>
      <c r="K447" s="21"/>
      <c r="L447" s="21"/>
      <c r="M447" s="21"/>
      <c r="N447" s="21"/>
      <c r="O447" s="21"/>
      <c r="P447" s="21"/>
      <c r="Q447" s="19"/>
      <c r="R447" s="19"/>
      <c r="S447" s="19"/>
      <c r="T447" s="19"/>
      <c r="U447" s="19"/>
      <c r="V447" s="19"/>
      <c r="W447" s="19"/>
      <c r="X447" s="19"/>
      <c r="Y447" s="19"/>
      <c r="Z447" s="19"/>
    </row>
    <row r="448">
      <c r="A448" s="21"/>
      <c r="B448" s="21"/>
      <c r="C448" s="21"/>
      <c r="D448" s="21"/>
      <c r="E448" s="21"/>
      <c r="F448" s="21"/>
      <c r="G448" s="21"/>
      <c r="H448" s="2"/>
      <c r="I448" s="21"/>
      <c r="J448" s="21"/>
      <c r="K448" s="21"/>
      <c r="L448" s="21"/>
      <c r="M448" s="21"/>
      <c r="N448" s="21"/>
      <c r="O448" s="21"/>
      <c r="P448" s="21"/>
      <c r="Q448" s="19"/>
      <c r="R448" s="19"/>
      <c r="S448" s="19"/>
      <c r="T448" s="19"/>
      <c r="U448" s="19"/>
      <c r="V448" s="19"/>
      <c r="W448" s="19"/>
      <c r="X448" s="19"/>
      <c r="Y448" s="19"/>
      <c r="Z448" s="19"/>
    </row>
    <row r="449">
      <c r="A449" s="21"/>
      <c r="B449" s="21"/>
      <c r="C449" s="21"/>
      <c r="D449" s="21"/>
      <c r="E449" s="21"/>
      <c r="F449" s="21"/>
      <c r="G449" s="21"/>
      <c r="H449" s="2"/>
      <c r="I449" s="21"/>
      <c r="J449" s="21"/>
      <c r="K449" s="21"/>
      <c r="L449" s="21"/>
      <c r="M449" s="21"/>
      <c r="N449" s="21"/>
      <c r="O449" s="21"/>
      <c r="P449" s="21"/>
      <c r="Q449" s="19"/>
      <c r="R449" s="19"/>
      <c r="S449" s="19"/>
      <c r="T449" s="19"/>
      <c r="U449" s="19"/>
      <c r="V449" s="19"/>
      <c r="W449" s="19"/>
      <c r="X449" s="19"/>
      <c r="Y449" s="19"/>
      <c r="Z449" s="19"/>
    </row>
    <row r="450">
      <c r="A450" s="21"/>
      <c r="B450" s="21"/>
      <c r="C450" s="21"/>
      <c r="D450" s="21"/>
      <c r="E450" s="21"/>
      <c r="F450" s="21"/>
      <c r="G450" s="21"/>
      <c r="H450" s="2"/>
      <c r="I450" s="21"/>
      <c r="J450" s="21"/>
      <c r="K450" s="21"/>
      <c r="L450" s="21"/>
      <c r="M450" s="21"/>
      <c r="N450" s="21"/>
      <c r="O450" s="21"/>
      <c r="P450" s="21"/>
      <c r="Q450" s="19"/>
      <c r="R450" s="19"/>
      <c r="S450" s="19"/>
      <c r="T450" s="19"/>
      <c r="U450" s="19"/>
      <c r="V450" s="19"/>
      <c r="W450" s="19"/>
      <c r="X450" s="19"/>
      <c r="Y450" s="19"/>
      <c r="Z450" s="19"/>
    </row>
    <row r="451">
      <c r="A451" s="21"/>
      <c r="B451" s="21"/>
      <c r="C451" s="21"/>
      <c r="D451" s="21"/>
      <c r="E451" s="21"/>
      <c r="F451" s="21"/>
      <c r="G451" s="21"/>
      <c r="H451" s="2"/>
      <c r="I451" s="21"/>
      <c r="J451" s="21"/>
      <c r="K451" s="21"/>
      <c r="L451" s="21"/>
      <c r="M451" s="21"/>
      <c r="N451" s="21"/>
      <c r="O451" s="21"/>
      <c r="P451" s="21"/>
      <c r="Q451" s="19"/>
      <c r="R451" s="19"/>
      <c r="S451" s="19"/>
      <c r="T451" s="19"/>
      <c r="U451" s="19"/>
      <c r="V451" s="19"/>
      <c r="W451" s="19"/>
      <c r="X451" s="19"/>
      <c r="Y451" s="19"/>
      <c r="Z451" s="19"/>
    </row>
    <row r="452">
      <c r="A452" s="21"/>
      <c r="B452" s="21"/>
      <c r="C452" s="21"/>
      <c r="D452" s="21"/>
      <c r="E452" s="21"/>
      <c r="F452" s="21"/>
      <c r="G452" s="21"/>
      <c r="H452" s="2"/>
      <c r="I452" s="21"/>
      <c r="J452" s="21"/>
      <c r="K452" s="21"/>
      <c r="L452" s="21"/>
      <c r="M452" s="21"/>
      <c r="N452" s="21"/>
      <c r="O452" s="21"/>
      <c r="P452" s="21"/>
      <c r="Q452" s="19"/>
      <c r="R452" s="19"/>
      <c r="S452" s="19"/>
      <c r="T452" s="19"/>
      <c r="U452" s="19"/>
      <c r="V452" s="19"/>
      <c r="W452" s="19"/>
      <c r="X452" s="19"/>
      <c r="Y452" s="19"/>
      <c r="Z452" s="19"/>
    </row>
    <row r="453">
      <c r="A453" s="21"/>
      <c r="B453" s="21"/>
      <c r="C453" s="21"/>
      <c r="D453" s="21"/>
      <c r="E453" s="21"/>
      <c r="F453" s="21"/>
      <c r="G453" s="21"/>
      <c r="H453" s="2"/>
      <c r="I453" s="21"/>
      <c r="J453" s="21"/>
      <c r="K453" s="21"/>
      <c r="L453" s="21"/>
      <c r="M453" s="21"/>
      <c r="N453" s="21"/>
      <c r="O453" s="21"/>
      <c r="P453" s="21"/>
      <c r="Q453" s="19"/>
      <c r="R453" s="19"/>
      <c r="S453" s="19"/>
      <c r="T453" s="19"/>
      <c r="U453" s="19"/>
      <c r="V453" s="19"/>
      <c r="W453" s="19"/>
      <c r="X453" s="19"/>
      <c r="Y453" s="19"/>
      <c r="Z453" s="19"/>
    </row>
    <row r="454">
      <c r="A454" s="21"/>
      <c r="B454" s="21"/>
      <c r="C454" s="21"/>
      <c r="D454" s="21"/>
      <c r="E454" s="21"/>
      <c r="F454" s="21"/>
      <c r="G454" s="21"/>
      <c r="H454" s="2"/>
      <c r="I454" s="21"/>
      <c r="J454" s="21"/>
      <c r="K454" s="21"/>
      <c r="L454" s="21"/>
      <c r="M454" s="21"/>
      <c r="N454" s="21"/>
      <c r="O454" s="21"/>
      <c r="P454" s="21"/>
      <c r="Q454" s="19"/>
      <c r="R454" s="19"/>
      <c r="S454" s="19"/>
      <c r="T454" s="19"/>
      <c r="U454" s="19"/>
      <c r="V454" s="19"/>
      <c r="W454" s="19"/>
      <c r="X454" s="19"/>
      <c r="Y454" s="19"/>
      <c r="Z454" s="19"/>
    </row>
    <row r="455">
      <c r="A455" s="21"/>
      <c r="B455" s="21"/>
      <c r="C455" s="21"/>
      <c r="D455" s="21"/>
      <c r="E455" s="21"/>
      <c r="F455" s="21"/>
      <c r="G455" s="21"/>
      <c r="H455" s="2"/>
      <c r="I455" s="21"/>
      <c r="J455" s="21"/>
      <c r="K455" s="21"/>
      <c r="L455" s="21"/>
      <c r="M455" s="21"/>
      <c r="N455" s="21"/>
      <c r="O455" s="21"/>
      <c r="P455" s="21"/>
      <c r="Q455" s="19"/>
      <c r="R455" s="19"/>
      <c r="S455" s="19"/>
      <c r="T455" s="19"/>
      <c r="U455" s="19"/>
      <c r="V455" s="19"/>
      <c r="W455" s="19"/>
      <c r="X455" s="19"/>
      <c r="Y455" s="19"/>
      <c r="Z455" s="19"/>
    </row>
    <row r="456">
      <c r="A456" s="21"/>
      <c r="B456" s="21"/>
      <c r="C456" s="21"/>
      <c r="D456" s="21"/>
      <c r="E456" s="21"/>
      <c r="F456" s="21"/>
      <c r="G456" s="21"/>
      <c r="H456" s="2"/>
      <c r="I456" s="21"/>
      <c r="J456" s="21"/>
      <c r="K456" s="21"/>
      <c r="L456" s="21"/>
      <c r="M456" s="21"/>
      <c r="N456" s="21"/>
      <c r="O456" s="21"/>
      <c r="P456" s="21"/>
      <c r="Q456" s="19"/>
      <c r="R456" s="19"/>
      <c r="S456" s="19"/>
      <c r="T456" s="19"/>
      <c r="U456" s="19"/>
      <c r="V456" s="19"/>
      <c r="W456" s="19"/>
      <c r="X456" s="19"/>
      <c r="Y456" s="19"/>
      <c r="Z456" s="19"/>
    </row>
    <row r="457">
      <c r="A457" s="21"/>
      <c r="B457" s="21"/>
      <c r="C457" s="21"/>
      <c r="D457" s="21"/>
      <c r="E457" s="21"/>
      <c r="F457" s="21"/>
      <c r="G457" s="21"/>
      <c r="H457" s="2"/>
      <c r="I457" s="21"/>
      <c r="J457" s="21"/>
      <c r="K457" s="21"/>
      <c r="L457" s="21"/>
      <c r="M457" s="21"/>
      <c r="N457" s="21"/>
      <c r="O457" s="21"/>
      <c r="P457" s="21"/>
      <c r="Q457" s="19"/>
      <c r="R457" s="19"/>
      <c r="S457" s="19"/>
      <c r="T457" s="19"/>
      <c r="U457" s="19"/>
      <c r="V457" s="19"/>
      <c r="W457" s="19"/>
      <c r="X457" s="19"/>
      <c r="Y457" s="19"/>
      <c r="Z457" s="19"/>
    </row>
    <row r="458">
      <c r="A458" s="21"/>
      <c r="B458" s="21"/>
      <c r="C458" s="21"/>
      <c r="D458" s="21"/>
      <c r="E458" s="21"/>
      <c r="F458" s="21"/>
      <c r="G458" s="21"/>
      <c r="H458" s="2"/>
      <c r="I458" s="21"/>
      <c r="J458" s="21"/>
      <c r="K458" s="21"/>
      <c r="L458" s="21"/>
      <c r="M458" s="21"/>
      <c r="N458" s="21"/>
      <c r="O458" s="21"/>
      <c r="P458" s="21"/>
      <c r="Q458" s="19"/>
      <c r="R458" s="19"/>
      <c r="S458" s="19"/>
      <c r="T458" s="19"/>
      <c r="U458" s="19"/>
      <c r="V458" s="19"/>
      <c r="W458" s="19"/>
      <c r="X458" s="19"/>
      <c r="Y458" s="19"/>
      <c r="Z458" s="19"/>
    </row>
    <row r="459">
      <c r="A459" s="21"/>
      <c r="B459" s="21"/>
      <c r="C459" s="21"/>
      <c r="D459" s="21"/>
      <c r="E459" s="21"/>
      <c r="F459" s="21"/>
      <c r="G459" s="21"/>
      <c r="H459" s="2"/>
      <c r="I459" s="21"/>
      <c r="J459" s="21"/>
      <c r="K459" s="21"/>
      <c r="L459" s="21"/>
      <c r="M459" s="21"/>
      <c r="N459" s="21"/>
      <c r="O459" s="21"/>
      <c r="P459" s="21"/>
      <c r="Q459" s="19"/>
      <c r="R459" s="19"/>
      <c r="S459" s="19"/>
      <c r="T459" s="19"/>
      <c r="U459" s="19"/>
      <c r="V459" s="19"/>
      <c r="W459" s="19"/>
      <c r="X459" s="19"/>
      <c r="Y459" s="19"/>
      <c r="Z459" s="19"/>
    </row>
    <row r="460">
      <c r="A460" s="21"/>
      <c r="B460" s="21"/>
      <c r="C460" s="21"/>
      <c r="D460" s="21"/>
      <c r="E460" s="21"/>
      <c r="F460" s="21"/>
      <c r="G460" s="21"/>
      <c r="H460" s="2"/>
      <c r="I460" s="21"/>
      <c r="J460" s="21"/>
      <c r="K460" s="21"/>
      <c r="L460" s="21"/>
      <c r="M460" s="21"/>
      <c r="N460" s="21"/>
      <c r="O460" s="21"/>
      <c r="P460" s="21"/>
      <c r="Q460" s="19"/>
      <c r="R460" s="19"/>
      <c r="S460" s="19"/>
      <c r="T460" s="19"/>
      <c r="U460" s="19"/>
      <c r="V460" s="19"/>
      <c r="W460" s="19"/>
      <c r="X460" s="19"/>
      <c r="Y460" s="19"/>
      <c r="Z460" s="19"/>
    </row>
    <row r="461">
      <c r="A461" s="21"/>
      <c r="B461" s="21"/>
      <c r="C461" s="21"/>
      <c r="D461" s="21"/>
      <c r="E461" s="21"/>
      <c r="F461" s="21"/>
      <c r="G461" s="21"/>
      <c r="H461" s="2"/>
      <c r="I461" s="21"/>
      <c r="J461" s="21"/>
      <c r="K461" s="21"/>
      <c r="L461" s="21"/>
      <c r="M461" s="21"/>
      <c r="N461" s="21"/>
      <c r="O461" s="21"/>
      <c r="P461" s="21"/>
      <c r="Q461" s="19"/>
      <c r="R461" s="19"/>
      <c r="S461" s="19"/>
      <c r="T461" s="19"/>
      <c r="U461" s="19"/>
      <c r="V461" s="19"/>
      <c r="W461" s="19"/>
      <c r="X461" s="19"/>
      <c r="Y461" s="19"/>
      <c r="Z461" s="19"/>
    </row>
    <row r="462">
      <c r="A462" s="21"/>
      <c r="B462" s="21"/>
      <c r="C462" s="21"/>
      <c r="D462" s="21"/>
      <c r="E462" s="21"/>
      <c r="F462" s="21"/>
      <c r="G462" s="21"/>
      <c r="H462" s="2"/>
      <c r="I462" s="21"/>
      <c r="J462" s="21"/>
      <c r="K462" s="21"/>
      <c r="L462" s="21"/>
      <c r="M462" s="21"/>
      <c r="N462" s="21"/>
      <c r="O462" s="21"/>
      <c r="P462" s="21"/>
      <c r="Q462" s="19"/>
      <c r="R462" s="19"/>
      <c r="S462" s="19"/>
      <c r="T462" s="19"/>
      <c r="U462" s="19"/>
      <c r="V462" s="19"/>
      <c r="W462" s="19"/>
      <c r="X462" s="19"/>
      <c r="Y462" s="19"/>
      <c r="Z462" s="19"/>
    </row>
    <row r="463">
      <c r="A463" s="21"/>
      <c r="B463" s="21"/>
      <c r="C463" s="21"/>
      <c r="D463" s="21"/>
      <c r="E463" s="21"/>
      <c r="F463" s="21"/>
      <c r="G463" s="21"/>
      <c r="H463" s="2"/>
      <c r="I463" s="21"/>
      <c r="J463" s="21"/>
      <c r="K463" s="21"/>
      <c r="L463" s="21"/>
      <c r="M463" s="21"/>
      <c r="N463" s="21"/>
      <c r="O463" s="21"/>
      <c r="P463" s="21"/>
      <c r="Q463" s="19"/>
      <c r="R463" s="19"/>
      <c r="S463" s="19"/>
      <c r="T463" s="19"/>
      <c r="U463" s="19"/>
      <c r="V463" s="19"/>
      <c r="W463" s="19"/>
      <c r="X463" s="19"/>
      <c r="Y463" s="19"/>
      <c r="Z463" s="19"/>
    </row>
    <row r="464">
      <c r="A464" s="21"/>
      <c r="B464" s="21"/>
      <c r="C464" s="21"/>
      <c r="D464" s="21"/>
      <c r="E464" s="21"/>
      <c r="F464" s="21"/>
      <c r="G464" s="21"/>
      <c r="H464" s="2"/>
      <c r="I464" s="21"/>
      <c r="J464" s="21"/>
      <c r="K464" s="21"/>
      <c r="L464" s="21"/>
      <c r="M464" s="21"/>
      <c r="N464" s="21"/>
      <c r="O464" s="21"/>
      <c r="P464" s="21"/>
      <c r="Q464" s="19"/>
      <c r="R464" s="19"/>
      <c r="S464" s="19"/>
      <c r="T464" s="19"/>
      <c r="U464" s="19"/>
      <c r="V464" s="19"/>
      <c r="W464" s="19"/>
      <c r="X464" s="19"/>
      <c r="Y464" s="19"/>
      <c r="Z464" s="19"/>
    </row>
    <row r="465">
      <c r="A465" s="21"/>
      <c r="B465" s="21"/>
      <c r="C465" s="21"/>
      <c r="D465" s="21"/>
      <c r="E465" s="21"/>
      <c r="F465" s="21"/>
      <c r="G465" s="21"/>
      <c r="H465" s="2"/>
      <c r="I465" s="21"/>
      <c r="J465" s="21"/>
      <c r="K465" s="21"/>
      <c r="L465" s="21"/>
      <c r="M465" s="21"/>
      <c r="N465" s="21"/>
      <c r="O465" s="21"/>
      <c r="P465" s="21"/>
      <c r="Q465" s="19"/>
      <c r="R465" s="19"/>
      <c r="S465" s="19"/>
      <c r="T465" s="19"/>
      <c r="U465" s="19"/>
      <c r="V465" s="19"/>
      <c r="W465" s="19"/>
      <c r="X465" s="19"/>
      <c r="Y465" s="19"/>
      <c r="Z465" s="19"/>
    </row>
    <row r="466">
      <c r="A466" s="21"/>
      <c r="B466" s="21"/>
      <c r="C466" s="21"/>
      <c r="D466" s="21"/>
      <c r="E466" s="21"/>
      <c r="F466" s="21"/>
      <c r="G466" s="21"/>
      <c r="H466" s="2"/>
      <c r="I466" s="21"/>
      <c r="J466" s="21"/>
      <c r="K466" s="21"/>
      <c r="L466" s="21"/>
      <c r="M466" s="21"/>
      <c r="N466" s="21"/>
      <c r="O466" s="21"/>
      <c r="P466" s="21"/>
      <c r="Q466" s="19"/>
      <c r="R466" s="19"/>
      <c r="S466" s="19"/>
      <c r="T466" s="19"/>
      <c r="U466" s="19"/>
      <c r="V466" s="19"/>
      <c r="W466" s="19"/>
      <c r="X466" s="19"/>
      <c r="Y466" s="19"/>
      <c r="Z466" s="19"/>
    </row>
    <row r="467">
      <c r="A467" s="21"/>
      <c r="B467" s="21"/>
      <c r="C467" s="21"/>
      <c r="D467" s="21"/>
      <c r="E467" s="21"/>
      <c r="F467" s="21"/>
      <c r="G467" s="21"/>
      <c r="H467" s="2"/>
      <c r="I467" s="21"/>
      <c r="J467" s="21"/>
      <c r="K467" s="21"/>
      <c r="L467" s="21"/>
      <c r="M467" s="21"/>
      <c r="N467" s="21"/>
      <c r="O467" s="21"/>
      <c r="P467" s="21"/>
      <c r="Q467" s="19"/>
      <c r="R467" s="19"/>
      <c r="S467" s="19"/>
      <c r="T467" s="19"/>
      <c r="U467" s="19"/>
      <c r="V467" s="19"/>
      <c r="W467" s="19"/>
      <c r="X467" s="19"/>
      <c r="Y467" s="19"/>
      <c r="Z467" s="19"/>
    </row>
    <row r="468">
      <c r="A468" s="21"/>
      <c r="B468" s="21"/>
      <c r="C468" s="21"/>
      <c r="D468" s="21"/>
      <c r="E468" s="21"/>
      <c r="F468" s="21"/>
      <c r="G468" s="21"/>
      <c r="H468" s="2"/>
      <c r="I468" s="21"/>
      <c r="J468" s="21"/>
      <c r="K468" s="21"/>
      <c r="L468" s="21"/>
      <c r="M468" s="21"/>
      <c r="N468" s="21"/>
      <c r="O468" s="21"/>
      <c r="P468" s="21"/>
      <c r="Q468" s="19"/>
      <c r="R468" s="19"/>
      <c r="S468" s="19"/>
      <c r="T468" s="19"/>
      <c r="U468" s="19"/>
      <c r="V468" s="19"/>
      <c r="W468" s="19"/>
      <c r="X468" s="19"/>
      <c r="Y468" s="19"/>
      <c r="Z468" s="19"/>
    </row>
    <row r="469">
      <c r="A469" s="21"/>
      <c r="B469" s="21"/>
      <c r="C469" s="21"/>
      <c r="D469" s="21"/>
      <c r="E469" s="21"/>
      <c r="F469" s="21"/>
      <c r="G469" s="21"/>
      <c r="H469" s="2"/>
      <c r="I469" s="21"/>
      <c r="J469" s="21"/>
      <c r="K469" s="21"/>
      <c r="L469" s="21"/>
      <c r="M469" s="21"/>
      <c r="N469" s="21"/>
      <c r="O469" s="21"/>
      <c r="P469" s="21"/>
      <c r="Q469" s="19"/>
      <c r="R469" s="19"/>
      <c r="S469" s="19"/>
      <c r="T469" s="19"/>
      <c r="U469" s="19"/>
      <c r="V469" s="19"/>
      <c r="W469" s="19"/>
      <c r="X469" s="19"/>
      <c r="Y469" s="19"/>
      <c r="Z469" s="19"/>
    </row>
    <row r="470">
      <c r="A470" s="21"/>
      <c r="B470" s="21"/>
      <c r="C470" s="21"/>
      <c r="D470" s="21"/>
      <c r="E470" s="21"/>
      <c r="F470" s="21"/>
      <c r="G470" s="21"/>
      <c r="H470" s="2"/>
      <c r="I470" s="21"/>
      <c r="J470" s="21"/>
      <c r="K470" s="21"/>
      <c r="L470" s="21"/>
      <c r="M470" s="21"/>
      <c r="N470" s="21"/>
      <c r="O470" s="21"/>
      <c r="P470" s="21"/>
      <c r="Q470" s="19"/>
      <c r="R470" s="19"/>
      <c r="S470" s="19"/>
      <c r="T470" s="19"/>
      <c r="U470" s="19"/>
      <c r="V470" s="19"/>
      <c r="W470" s="19"/>
      <c r="X470" s="19"/>
      <c r="Y470" s="19"/>
      <c r="Z470" s="19"/>
    </row>
    <row r="471">
      <c r="A471" s="21"/>
      <c r="B471" s="21"/>
      <c r="C471" s="21"/>
      <c r="D471" s="21"/>
      <c r="E471" s="21"/>
      <c r="F471" s="21"/>
      <c r="G471" s="21"/>
      <c r="H471" s="2"/>
      <c r="I471" s="21"/>
      <c r="J471" s="21"/>
      <c r="K471" s="21"/>
      <c r="L471" s="21"/>
      <c r="M471" s="21"/>
      <c r="N471" s="21"/>
      <c r="O471" s="21"/>
      <c r="P471" s="21"/>
      <c r="Q471" s="19"/>
      <c r="R471" s="19"/>
      <c r="S471" s="19"/>
      <c r="T471" s="19"/>
      <c r="U471" s="19"/>
      <c r="V471" s="19"/>
      <c r="W471" s="19"/>
      <c r="X471" s="19"/>
      <c r="Y471" s="19"/>
      <c r="Z471" s="19"/>
    </row>
    <row r="472">
      <c r="A472" s="21"/>
      <c r="B472" s="21"/>
      <c r="C472" s="21"/>
      <c r="D472" s="21"/>
      <c r="E472" s="21"/>
      <c r="F472" s="21"/>
      <c r="G472" s="21"/>
      <c r="H472" s="2"/>
      <c r="I472" s="21"/>
      <c r="J472" s="21"/>
      <c r="K472" s="21"/>
      <c r="L472" s="21"/>
      <c r="M472" s="21"/>
      <c r="N472" s="21"/>
      <c r="O472" s="21"/>
      <c r="P472" s="21"/>
      <c r="Q472" s="19"/>
      <c r="R472" s="19"/>
      <c r="S472" s="19"/>
      <c r="T472" s="19"/>
      <c r="U472" s="19"/>
      <c r="V472" s="19"/>
      <c r="W472" s="19"/>
      <c r="X472" s="19"/>
      <c r="Y472" s="19"/>
      <c r="Z472" s="19"/>
    </row>
    <row r="473">
      <c r="A473" s="21"/>
      <c r="B473" s="21"/>
      <c r="C473" s="21"/>
      <c r="D473" s="21"/>
      <c r="E473" s="21"/>
      <c r="F473" s="21"/>
      <c r="G473" s="21"/>
      <c r="H473" s="2"/>
      <c r="I473" s="21"/>
      <c r="J473" s="21"/>
      <c r="K473" s="21"/>
      <c r="L473" s="21"/>
      <c r="M473" s="21"/>
      <c r="N473" s="21"/>
      <c r="O473" s="21"/>
      <c r="P473" s="21"/>
      <c r="Q473" s="19"/>
      <c r="R473" s="19"/>
      <c r="S473" s="19"/>
      <c r="T473" s="19"/>
      <c r="U473" s="19"/>
      <c r="V473" s="19"/>
      <c r="W473" s="19"/>
      <c r="X473" s="19"/>
      <c r="Y473" s="19"/>
      <c r="Z473" s="19"/>
    </row>
    <row r="474">
      <c r="A474" s="21"/>
      <c r="B474" s="21"/>
      <c r="C474" s="21"/>
      <c r="D474" s="21"/>
      <c r="E474" s="21"/>
      <c r="F474" s="21"/>
      <c r="G474" s="21"/>
      <c r="H474" s="2"/>
      <c r="I474" s="21"/>
      <c r="J474" s="21"/>
      <c r="K474" s="21"/>
      <c r="L474" s="21"/>
      <c r="M474" s="21"/>
      <c r="N474" s="21"/>
      <c r="O474" s="21"/>
      <c r="P474" s="21"/>
      <c r="Q474" s="19"/>
      <c r="R474" s="19"/>
      <c r="S474" s="19"/>
      <c r="T474" s="19"/>
      <c r="U474" s="19"/>
      <c r="V474" s="19"/>
      <c r="W474" s="19"/>
      <c r="X474" s="19"/>
      <c r="Y474" s="19"/>
      <c r="Z474" s="19"/>
    </row>
    <row r="475">
      <c r="A475" s="21"/>
      <c r="B475" s="21"/>
      <c r="C475" s="21"/>
      <c r="D475" s="21"/>
      <c r="E475" s="21"/>
      <c r="F475" s="21"/>
      <c r="G475" s="21"/>
      <c r="H475" s="2"/>
      <c r="I475" s="21"/>
      <c r="J475" s="21"/>
      <c r="K475" s="21"/>
      <c r="L475" s="21"/>
      <c r="M475" s="21"/>
      <c r="N475" s="21"/>
      <c r="O475" s="21"/>
      <c r="P475" s="21"/>
      <c r="Q475" s="19"/>
      <c r="R475" s="19"/>
      <c r="S475" s="19"/>
      <c r="T475" s="19"/>
      <c r="U475" s="19"/>
      <c r="V475" s="19"/>
      <c r="W475" s="19"/>
      <c r="X475" s="19"/>
      <c r="Y475" s="19"/>
      <c r="Z475" s="19"/>
    </row>
    <row r="476">
      <c r="A476" s="21"/>
      <c r="B476" s="21"/>
      <c r="C476" s="21"/>
      <c r="D476" s="21"/>
      <c r="E476" s="21"/>
      <c r="F476" s="21"/>
      <c r="G476" s="21"/>
      <c r="H476" s="2"/>
      <c r="I476" s="21"/>
      <c r="J476" s="21"/>
      <c r="K476" s="21"/>
      <c r="L476" s="21"/>
      <c r="M476" s="21"/>
      <c r="N476" s="21"/>
      <c r="O476" s="21"/>
      <c r="P476" s="21"/>
      <c r="Q476" s="19"/>
      <c r="R476" s="19"/>
      <c r="S476" s="19"/>
      <c r="T476" s="19"/>
      <c r="U476" s="19"/>
      <c r="V476" s="19"/>
      <c r="W476" s="19"/>
      <c r="X476" s="19"/>
      <c r="Y476" s="19"/>
      <c r="Z476" s="19"/>
    </row>
    <row r="477">
      <c r="A477" s="21"/>
      <c r="B477" s="21"/>
      <c r="C477" s="21"/>
      <c r="D477" s="21"/>
      <c r="E477" s="21"/>
      <c r="F477" s="21"/>
      <c r="G477" s="21"/>
      <c r="H477" s="2"/>
      <c r="I477" s="21"/>
      <c r="J477" s="21"/>
      <c r="K477" s="21"/>
      <c r="L477" s="21"/>
      <c r="M477" s="21"/>
      <c r="N477" s="21"/>
      <c r="O477" s="21"/>
      <c r="P477" s="21"/>
      <c r="Q477" s="19"/>
      <c r="R477" s="19"/>
      <c r="S477" s="19"/>
      <c r="T477" s="19"/>
      <c r="U477" s="19"/>
      <c r="V477" s="19"/>
      <c r="W477" s="19"/>
      <c r="X477" s="19"/>
      <c r="Y477" s="19"/>
      <c r="Z477" s="19"/>
    </row>
    <row r="478">
      <c r="A478" s="21"/>
      <c r="B478" s="21"/>
      <c r="C478" s="21"/>
      <c r="D478" s="21"/>
      <c r="E478" s="21"/>
      <c r="F478" s="21"/>
      <c r="G478" s="21"/>
      <c r="H478" s="2"/>
      <c r="I478" s="21"/>
      <c r="J478" s="21"/>
      <c r="K478" s="21"/>
      <c r="L478" s="21"/>
      <c r="M478" s="21"/>
      <c r="N478" s="21"/>
      <c r="O478" s="21"/>
      <c r="P478" s="21"/>
      <c r="Q478" s="19"/>
      <c r="R478" s="19"/>
      <c r="S478" s="19"/>
      <c r="T478" s="19"/>
      <c r="U478" s="19"/>
      <c r="V478" s="19"/>
      <c r="W478" s="19"/>
      <c r="X478" s="19"/>
      <c r="Y478" s="19"/>
      <c r="Z478" s="19"/>
    </row>
    <row r="479">
      <c r="A479" s="21"/>
      <c r="B479" s="21"/>
      <c r="C479" s="21"/>
      <c r="D479" s="21"/>
      <c r="E479" s="21"/>
      <c r="F479" s="21"/>
      <c r="G479" s="21"/>
      <c r="H479" s="2"/>
      <c r="I479" s="21"/>
      <c r="J479" s="21"/>
      <c r="K479" s="21"/>
      <c r="L479" s="21"/>
      <c r="M479" s="21"/>
      <c r="N479" s="21"/>
      <c r="O479" s="21"/>
      <c r="P479" s="21"/>
      <c r="Q479" s="19"/>
      <c r="R479" s="19"/>
      <c r="S479" s="19"/>
      <c r="T479" s="19"/>
      <c r="U479" s="19"/>
      <c r="V479" s="19"/>
      <c r="W479" s="19"/>
      <c r="X479" s="19"/>
      <c r="Y479" s="19"/>
      <c r="Z479" s="19"/>
    </row>
    <row r="480">
      <c r="A480" s="21"/>
      <c r="B480" s="21"/>
      <c r="C480" s="21"/>
      <c r="D480" s="21"/>
      <c r="E480" s="21"/>
      <c r="F480" s="21"/>
      <c r="G480" s="21"/>
      <c r="H480" s="2"/>
      <c r="I480" s="21"/>
      <c r="J480" s="21"/>
      <c r="K480" s="21"/>
      <c r="L480" s="21"/>
      <c r="M480" s="21"/>
      <c r="N480" s="21"/>
      <c r="O480" s="21"/>
      <c r="P480" s="21"/>
      <c r="Q480" s="19"/>
      <c r="R480" s="19"/>
      <c r="S480" s="19"/>
      <c r="T480" s="19"/>
      <c r="U480" s="19"/>
      <c r="V480" s="19"/>
      <c r="W480" s="19"/>
      <c r="X480" s="19"/>
      <c r="Y480" s="19"/>
      <c r="Z480" s="19"/>
    </row>
    <row r="481">
      <c r="A481" s="21"/>
      <c r="B481" s="21"/>
      <c r="C481" s="21"/>
      <c r="D481" s="21"/>
      <c r="E481" s="21"/>
      <c r="F481" s="21"/>
      <c r="G481" s="21"/>
      <c r="H481" s="2"/>
      <c r="I481" s="21"/>
      <c r="J481" s="21"/>
      <c r="K481" s="21"/>
      <c r="L481" s="21"/>
      <c r="M481" s="21"/>
      <c r="N481" s="21"/>
      <c r="O481" s="21"/>
      <c r="P481" s="21"/>
      <c r="Q481" s="19"/>
      <c r="R481" s="19"/>
      <c r="S481" s="19"/>
      <c r="T481" s="19"/>
      <c r="U481" s="19"/>
      <c r="V481" s="19"/>
      <c r="W481" s="19"/>
      <c r="X481" s="19"/>
      <c r="Y481" s="19"/>
      <c r="Z481" s="19"/>
    </row>
    <row r="482">
      <c r="A482" s="21"/>
      <c r="B482" s="21"/>
      <c r="C482" s="21"/>
      <c r="D482" s="21"/>
      <c r="E482" s="21"/>
      <c r="F482" s="21"/>
      <c r="G482" s="21"/>
      <c r="H482" s="2"/>
      <c r="I482" s="21"/>
      <c r="J482" s="21"/>
      <c r="K482" s="21"/>
      <c r="L482" s="21"/>
      <c r="M482" s="21"/>
      <c r="N482" s="21"/>
      <c r="O482" s="21"/>
      <c r="P482" s="21"/>
      <c r="Q482" s="19"/>
      <c r="R482" s="19"/>
      <c r="S482" s="19"/>
      <c r="T482" s="19"/>
      <c r="U482" s="19"/>
      <c r="V482" s="19"/>
      <c r="W482" s="19"/>
      <c r="X482" s="19"/>
      <c r="Y482" s="19"/>
      <c r="Z482" s="19"/>
    </row>
    <row r="483">
      <c r="A483" s="21"/>
      <c r="B483" s="21"/>
      <c r="C483" s="21"/>
      <c r="D483" s="21"/>
      <c r="E483" s="21"/>
      <c r="F483" s="21"/>
      <c r="G483" s="21"/>
      <c r="H483" s="2"/>
      <c r="I483" s="21"/>
      <c r="J483" s="21"/>
      <c r="K483" s="21"/>
      <c r="L483" s="21"/>
      <c r="M483" s="21"/>
      <c r="N483" s="21"/>
      <c r="O483" s="21"/>
      <c r="P483" s="21"/>
      <c r="Q483" s="19"/>
      <c r="R483" s="19"/>
      <c r="S483" s="19"/>
      <c r="T483" s="19"/>
      <c r="U483" s="19"/>
      <c r="V483" s="19"/>
      <c r="W483" s="19"/>
      <c r="X483" s="19"/>
      <c r="Y483" s="19"/>
      <c r="Z483" s="19"/>
    </row>
    <row r="484">
      <c r="A484" s="21"/>
      <c r="B484" s="21"/>
      <c r="C484" s="21"/>
      <c r="D484" s="21"/>
      <c r="E484" s="21"/>
      <c r="F484" s="21"/>
      <c r="G484" s="21"/>
      <c r="H484" s="2"/>
      <c r="I484" s="21"/>
      <c r="J484" s="21"/>
      <c r="K484" s="21"/>
      <c r="L484" s="21"/>
      <c r="M484" s="21"/>
      <c r="N484" s="21"/>
      <c r="O484" s="21"/>
      <c r="P484" s="21"/>
      <c r="Q484" s="19"/>
      <c r="R484" s="19"/>
      <c r="S484" s="19"/>
      <c r="T484" s="19"/>
      <c r="U484" s="19"/>
      <c r="V484" s="19"/>
      <c r="W484" s="19"/>
      <c r="X484" s="19"/>
      <c r="Y484" s="19"/>
      <c r="Z484" s="19"/>
    </row>
    <row r="485">
      <c r="A485" s="21"/>
      <c r="B485" s="21"/>
      <c r="C485" s="21"/>
      <c r="D485" s="21"/>
      <c r="E485" s="21"/>
      <c r="F485" s="21"/>
      <c r="G485" s="21"/>
      <c r="H485" s="2"/>
      <c r="I485" s="21"/>
      <c r="J485" s="21"/>
      <c r="K485" s="21"/>
      <c r="L485" s="21"/>
      <c r="M485" s="21"/>
      <c r="N485" s="21"/>
      <c r="O485" s="21"/>
      <c r="P485" s="21"/>
      <c r="Q485" s="19"/>
      <c r="R485" s="19"/>
      <c r="S485" s="19"/>
      <c r="T485" s="19"/>
      <c r="U485" s="19"/>
      <c r="V485" s="19"/>
      <c r="W485" s="19"/>
      <c r="X485" s="19"/>
      <c r="Y485" s="19"/>
      <c r="Z485" s="19"/>
    </row>
    <row r="486">
      <c r="A486" s="21"/>
      <c r="B486" s="21"/>
      <c r="C486" s="21"/>
      <c r="D486" s="21"/>
      <c r="E486" s="21"/>
      <c r="F486" s="21"/>
      <c r="G486" s="21"/>
      <c r="H486" s="2"/>
      <c r="I486" s="21"/>
      <c r="J486" s="21"/>
      <c r="K486" s="21"/>
      <c r="L486" s="21"/>
      <c r="M486" s="21"/>
      <c r="N486" s="21"/>
      <c r="O486" s="21"/>
      <c r="P486" s="21"/>
      <c r="Q486" s="19"/>
      <c r="R486" s="19"/>
      <c r="S486" s="19"/>
      <c r="T486" s="19"/>
      <c r="U486" s="19"/>
      <c r="V486" s="19"/>
      <c r="W486" s="19"/>
      <c r="X486" s="19"/>
      <c r="Y486" s="19"/>
      <c r="Z486" s="19"/>
    </row>
    <row r="487">
      <c r="A487" s="21"/>
      <c r="B487" s="21"/>
      <c r="C487" s="21"/>
      <c r="D487" s="21"/>
      <c r="E487" s="21"/>
      <c r="F487" s="21"/>
      <c r="G487" s="21"/>
      <c r="H487" s="2"/>
      <c r="I487" s="21"/>
      <c r="J487" s="21"/>
      <c r="K487" s="21"/>
      <c r="L487" s="21"/>
      <c r="M487" s="21"/>
      <c r="N487" s="21"/>
      <c r="O487" s="21"/>
      <c r="P487" s="21"/>
      <c r="Q487" s="19"/>
      <c r="R487" s="19"/>
      <c r="S487" s="19"/>
      <c r="T487" s="19"/>
      <c r="U487" s="19"/>
      <c r="V487" s="19"/>
      <c r="W487" s="19"/>
      <c r="X487" s="19"/>
      <c r="Y487" s="19"/>
      <c r="Z487" s="19"/>
    </row>
    <row r="488">
      <c r="A488" s="21"/>
      <c r="B488" s="21"/>
      <c r="C488" s="21"/>
      <c r="D488" s="21"/>
      <c r="E488" s="21"/>
      <c r="F488" s="21"/>
      <c r="G488" s="21"/>
      <c r="H488" s="2"/>
      <c r="I488" s="21"/>
      <c r="J488" s="21"/>
      <c r="K488" s="21"/>
      <c r="L488" s="21"/>
      <c r="M488" s="21"/>
      <c r="N488" s="21"/>
      <c r="O488" s="21"/>
      <c r="P488" s="21"/>
      <c r="Q488" s="19"/>
      <c r="R488" s="19"/>
      <c r="S488" s="19"/>
      <c r="T488" s="19"/>
      <c r="U488" s="19"/>
      <c r="V488" s="19"/>
      <c r="W488" s="19"/>
      <c r="X488" s="19"/>
      <c r="Y488" s="19"/>
      <c r="Z488" s="19"/>
    </row>
    <row r="489">
      <c r="A489" s="21"/>
      <c r="B489" s="21"/>
      <c r="C489" s="21"/>
      <c r="D489" s="21"/>
      <c r="E489" s="21"/>
      <c r="F489" s="21"/>
      <c r="G489" s="21"/>
      <c r="H489" s="2"/>
      <c r="I489" s="21"/>
      <c r="J489" s="21"/>
      <c r="K489" s="21"/>
      <c r="L489" s="21"/>
      <c r="M489" s="21"/>
      <c r="N489" s="21"/>
      <c r="O489" s="21"/>
      <c r="P489" s="21"/>
      <c r="Q489" s="19"/>
      <c r="R489" s="19"/>
      <c r="S489" s="19"/>
      <c r="T489" s="19"/>
      <c r="U489" s="19"/>
      <c r="V489" s="19"/>
      <c r="W489" s="19"/>
      <c r="X489" s="19"/>
      <c r="Y489" s="19"/>
      <c r="Z489" s="19"/>
    </row>
    <row r="490">
      <c r="A490" s="21"/>
      <c r="B490" s="21"/>
      <c r="C490" s="21"/>
      <c r="D490" s="21"/>
      <c r="E490" s="21"/>
      <c r="F490" s="21"/>
      <c r="G490" s="21"/>
      <c r="H490" s="2"/>
      <c r="I490" s="21"/>
      <c r="J490" s="21"/>
      <c r="K490" s="21"/>
      <c r="L490" s="21"/>
      <c r="M490" s="21"/>
      <c r="N490" s="21"/>
      <c r="O490" s="21"/>
      <c r="P490" s="21"/>
      <c r="Q490" s="19"/>
      <c r="R490" s="19"/>
      <c r="S490" s="19"/>
      <c r="T490" s="19"/>
      <c r="U490" s="19"/>
      <c r="V490" s="19"/>
      <c r="W490" s="19"/>
      <c r="X490" s="19"/>
      <c r="Y490" s="19"/>
      <c r="Z490" s="19"/>
    </row>
    <row r="491">
      <c r="A491" s="21"/>
      <c r="B491" s="21"/>
      <c r="C491" s="21"/>
      <c r="D491" s="21"/>
      <c r="E491" s="21"/>
      <c r="F491" s="21"/>
      <c r="G491" s="21"/>
      <c r="H491" s="2"/>
      <c r="I491" s="21"/>
      <c r="J491" s="21"/>
      <c r="K491" s="21"/>
      <c r="L491" s="21"/>
      <c r="M491" s="21"/>
      <c r="N491" s="21"/>
      <c r="O491" s="21"/>
      <c r="P491" s="21"/>
      <c r="Q491" s="19"/>
      <c r="R491" s="19"/>
      <c r="S491" s="19"/>
      <c r="T491" s="19"/>
      <c r="U491" s="19"/>
      <c r="V491" s="19"/>
      <c r="W491" s="19"/>
      <c r="X491" s="19"/>
      <c r="Y491" s="19"/>
      <c r="Z491" s="19"/>
    </row>
    <row r="492">
      <c r="A492" s="21"/>
      <c r="B492" s="21"/>
      <c r="C492" s="21"/>
      <c r="D492" s="21"/>
      <c r="E492" s="21"/>
      <c r="F492" s="21"/>
      <c r="G492" s="21"/>
      <c r="H492" s="2"/>
      <c r="I492" s="21"/>
      <c r="J492" s="21"/>
      <c r="K492" s="21"/>
      <c r="L492" s="21"/>
      <c r="M492" s="21"/>
      <c r="N492" s="21"/>
      <c r="O492" s="21"/>
      <c r="P492" s="21"/>
      <c r="Q492" s="19"/>
      <c r="R492" s="19"/>
      <c r="S492" s="19"/>
      <c r="T492" s="19"/>
      <c r="U492" s="19"/>
      <c r="V492" s="19"/>
      <c r="W492" s="19"/>
      <c r="X492" s="19"/>
      <c r="Y492" s="19"/>
      <c r="Z492" s="19"/>
    </row>
    <row r="493">
      <c r="A493" s="21"/>
      <c r="B493" s="21"/>
      <c r="C493" s="21"/>
      <c r="D493" s="21"/>
      <c r="E493" s="21"/>
      <c r="F493" s="21"/>
      <c r="G493" s="21"/>
      <c r="H493" s="2"/>
      <c r="I493" s="21"/>
      <c r="J493" s="21"/>
      <c r="K493" s="21"/>
      <c r="L493" s="21"/>
      <c r="M493" s="21"/>
      <c r="N493" s="21"/>
      <c r="O493" s="21"/>
      <c r="P493" s="21"/>
      <c r="Q493" s="19"/>
      <c r="R493" s="19"/>
      <c r="S493" s="19"/>
      <c r="T493" s="19"/>
      <c r="U493" s="19"/>
      <c r="V493" s="19"/>
      <c r="W493" s="19"/>
      <c r="X493" s="19"/>
      <c r="Y493" s="19"/>
      <c r="Z493" s="19"/>
    </row>
    <row r="494">
      <c r="A494" s="21"/>
      <c r="B494" s="21"/>
      <c r="C494" s="21"/>
      <c r="D494" s="21"/>
      <c r="E494" s="21"/>
      <c r="F494" s="21"/>
      <c r="G494" s="21"/>
      <c r="H494" s="2"/>
      <c r="I494" s="21"/>
      <c r="J494" s="21"/>
      <c r="K494" s="21"/>
      <c r="L494" s="21"/>
      <c r="M494" s="21"/>
      <c r="N494" s="21"/>
      <c r="O494" s="21"/>
      <c r="P494" s="21"/>
      <c r="Q494" s="19"/>
      <c r="R494" s="19"/>
      <c r="S494" s="19"/>
      <c r="T494" s="19"/>
      <c r="U494" s="19"/>
      <c r="V494" s="19"/>
      <c r="W494" s="19"/>
      <c r="X494" s="19"/>
      <c r="Y494" s="19"/>
      <c r="Z494" s="19"/>
    </row>
    <row r="495">
      <c r="A495" s="21"/>
      <c r="B495" s="21"/>
      <c r="C495" s="21"/>
      <c r="D495" s="21"/>
      <c r="E495" s="21"/>
      <c r="F495" s="21"/>
      <c r="G495" s="21"/>
      <c r="H495" s="2"/>
      <c r="I495" s="21"/>
      <c r="J495" s="21"/>
      <c r="K495" s="21"/>
      <c r="L495" s="21"/>
      <c r="M495" s="21"/>
      <c r="N495" s="21"/>
      <c r="O495" s="21"/>
      <c r="P495" s="21"/>
      <c r="Q495" s="19"/>
      <c r="R495" s="19"/>
      <c r="S495" s="19"/>
      <c r="T495" s="19"/>
      <c r="U495" s="19"/>
      <c r="V495" s="19"/>
      <c r="W495" s="19"/>
      <c r="X495" s="19"/>
      <c r="Y495" s="19"/>
      <c r="Z495" s="19"/>
    </row>
    <row r="496">
      <c r="A496" s="21"/>
      <c r="B496" s="21"/>
      <c r="C496" s="21"/>
      <c r="D496" s="21"/>
      <c r="E496" s="21"/>
      <c r="F496" s="21"/>
      <c r="G496" s="21"/>
      <c r="H496" s="2"/>
      <c r="I496" s="21"/>
      <c r="J496" s="21"/>
      <c r="K496" s="21"/>
      <c r="L496" s="21"/>
      <c r="M496" s="21"/>
      <c r="N496" s="21"/>
      <c r="O496" s="21"/>
      <c r="P496" s="21"/>
      <c r="Q496" s="19"/>
      <c r="R496" s="19"/>
      <c r="S496" s="19"/>
      <c r="T496" s="19"/>
      <c r="U496" s="19"/>
      <c r="V496" s="19"/>
      <c r="W496" s="19"/>
      <c r="X496" s="19"/>
      <c r="Y496" s="19"/>
      <c r="Z496" s="19"/>
    </row>
    <row r="497">
      <c r="A497" s="21"/>
      <c r="B497" s="21"/>
      <c r="C497" s="21"/>
      <c r="D497" s="21"/>
      <c r="E497" s="21"/>
      <c r="F497" s="21"/>
      <c r="G497" s="21"/>
      <c r="H497" s="2"/>
      <c r="I497" s="21"/>
      <c r="J497" s="21"/>
      <c r="K497" s="21"/>
      <c r="L497" s="21"/>
      <c r="M497" s="21"/>
      <c r="N497" s="21"/>
      <c r="O497" s="21"/>
      <c r="P497" s="21"/>
      <c r="Q497" s="19"/>
      <c r="R497" s="19"/>
      <c r="S497" s="19"/>
      <c r="T497" s="19"/>
      <c r="U497" s="19"/>
      <c r="V497" s="19"/>
      <c r="W497" s="19"/>
      <c r="X497" s="19"/>
      <c r="Y497" s="19"/>
      <c r="Z497" s="19"/>
    </row>
    <row r="498">
      <c r="A498" s="21"/>
      <c r="B498" s="21"/>
      <c r="C498" s="21"/>
      <c r="D498" s="21"/>
      <c r="E498" s="21"/>
      <c r="F498" s="21"/>
      <c r="G498" s="21"/>
      <c r="H498" s="2"/>
      <c r="I498" s="21"/>
      <c r="J498" s="21"/>
      <c r="K498" s="21"/>
      <c r="L498" s="21"/>
      <c r="M498" s="21"/>
      <c r="N498" s="21"/>
      <c r="O498" s="21"/>
      <c r="P498" s="21"/>
      <c r="Q498" s="19"/>
      <c r="R498" s="19"/>
      <c r="S498" s="19"/>
      <c r="T498" s="19"/>
      <c r="U498" s="19"/>
      <c r="V498" s="19"/>
      <c r="W498" s="19"/>
      <c r="X498" s="19"/>
      <c r="Y498" s="19"/>
      <c r="Z498" s="19"/>
    </row>
    <row r="499">
      <c r="A499" s="21"/>
      <c r="B499" s="21"/>
      <c r="C499" s="21"/>
      <c r="D499" s="21"/>
      <c r="E499" s="21"/>
      <c r="F499" s="21"/>
      <c r="G499" s="21"/>
      <c r="H499" s="2"/>
      <c r="I499" s="21"/>
      <c r="J499" s="21"/>
      <c r="K499" s="21"/>
      <c r="L499" s="21"/>
      <c r="M499" s="21"/>
      <c r="N499" s="21"/>
      <c r="O499" s="21"/>
      <c r="P499" s="21"/>
      <c r="Q499" s="19"/>
      <c r="R499" s="19"/>
      <c r="S499" s="19"/>
      <c r="T499" s="19"/>
      <c r="U499" s="19"/>
      <c r="V499" s="19"/>
      <c r="W499" s="19"/>
      <c r="X499" s="19"/>
      <c r="Y499" s="19"/>
      <c r="Z499" s="19"/>
    </row>
    <row r="500">
      <c r="A500" s="21"/>
      <c r="B500" s="21"/>
      <c r="C500" s="21"/>
      <c r="D500" s="21"/>
      <c r="E500" s="21"/>
      <c r="F500" s="21"/>
      <c r="G500" s="21"/>
      <c r="H500" s="2"/>
      <c r="I500" s="21"/>
      <c r="J500" s="21"/>
      <c r="K500" s="21"/>
      <c r="L500" s="21"/>
      <c r="M500" s="21"/>
      <c r="N500" s="21"/>
      <c r="O500" s="21"/>
      <c r="P500" s="21"/>
      <c r="Q500" s="19"/>
      <c r="R500" s="19"/>
      <c r="S500" s="19"/>
      <c r="T500" s="19"/>
      <c r="U500" s="19"/>
      <c r="V500" s="19"/>
      <c r="W500" s="19"/>
      <c r="X500" s="19"/>
      <c r="Y500" s="19"/>
      <c r="Z500" s="19"/>
    </row>
    <row r="501">
      <c r="A501" s="21"/>
      <c r="B501" s="21"/>
      <c r="C501" s="21"/>
      <c r="D501" s="21"/>
      <c r="E501" s="21"/>
      <c r="F501" s="21"/>
      <c r="G501" s="21"/>
      <c r="H501" s="2"/>
      <c r="I501" s="21"/>
      <c r="J501" s="21"/>
      <c r="K501" s="21"/>
      <c r="L501" s="21"/>
      <c r="M501" s="21"/>
      <c r="N501" s="21"/>
      <c r="O501" s="21"/>
      <c r="P501" s="21"/>
      <c r="Q501" s="19"/>
      <c r="R501" s="19"/>
      <c r="S501" s="19"/>
      <c r="T501" s="19"/>
      <c r="U501" s="19"/>
      <c r="V501" s="19"/>
      <c r="W501" s="19"/>
      <c r="X501" s="19"/>
      <c r="Y501" s="19"/>
      <c r="Z501" s="19"/>
    </row>
    <row r="502">
      <c r="A502" s="21"/>
      <c r="B502" s="21"/>
      <c r="C502" s="21"/>
      <c r="D502" s="21"/>
      <c r="E502" s="21"/>
      <c r="F502" s="21"/>
      <c r="G502" s="21"/>
      <c r="H502" s="2"/>
      <c r="I502" s="21"/>
      <c r="J502" s="21"/>
      <c r="K502" s="21"/>
      <c r="L502" s="21"/>
      <c r="M502" s="21"/>
      <c r="N502" s="21"/>
      <c r="O502" s="21"/>
      <c r="P502" s="21"/>
      <c r="Q502" s="19"/>
      <c r="R502" s="19"/>
      <c r="S502" s="19"/>
      <c r="T502" s="19"/>
      <c r="U502" s="19"/>
      <c r="V502" s="19"/>
      <c r="W502" s="19"/>
      <c r="X502" s="19"/>
      <c r="Y502" s="19"/>
      <c r="Z502" s="19"/>
    </row>
    <row r="503">
      <c r="A503" s="21"/>
      <c r="B503" s="21"/>
      <c r="C503" s="21"/>
      <c r="D503" s="21"/>
      <c r="E503" s="21"/>
      <c r="F503" s="21"/>
      <c r="G503" s="21"/>
      <c r="H503" s="2"/>
      <c r="I503" s="21"/>
      <c r="J503" s="21"/>
      <c r="K503" s="21"/>
      <c r="L503" s="21"/>
      <c r="M503" s="21"/>
      <c r="N503" s="21"/>
      <c r="O503" s="21"/>
      <c r="P503" s="21"/>
      <c r="Q503" s="19"/>
      <c r="R503" s="19"/>
      <c r="S503" s="19"/>
      <c r="T503" s="19"/>
      <c r="U503" s="19"/>
      <c r="V503" s="19"/>
      <c r="W503" s="19"/>
      <c r="X503" s="19"/>
      <c r="Y503" s="19"/>
      <c r="Z503" s="19"/>
    </row>
    <row r="504">
      <c r="A504" s="21"/>
      <c r="B504" s="21"/>
      <c r="C504" s="21"/>
      <c r="D504" s="21"/>
      <c r="E504" s="21"/>
      <c r="F504" s="21"/>
      <c r="G504" s="21"/>
      <c r="H504" s="2"/>
      <c r="I504" s="21"/>
      <c r="J504" s="21"/>
      <c r="K504" s="21"/>
      <c r="L504" s="21"/>
      <c r="M504" s="21"/>
      <c r="N504" s="21"/>
      <c r="O504" s="21"/>
      <c r="P504" s="21"/>
      <c r="Q504" s="19"/>
      <c r="R504" s="19"/>
      <c r="S504" s="19"/>
      <c r="T504" s="19"/>
      <c r="U504" s="19"/>
      <c r="V504" s="19"/>
      <c r="W504" s="19"/>
      <c r="X504" s="19"/>
      <c r="Y504" s="19"/>
      <c r="Z504" s="19"/>
    </row>
    <row r="505">
      <c r="A505" s="21"/>
      <c r="B505" s="21"/>
      <c r="C505" s="21"/>
      <c r="D505" s="21"/>
      <c r="E505" s="21"/>
      <c r="F505" s="21"/>
      <c r="G505" s="21"/>
      <c r="H505" s="2"/>
      <c r="I505" s="21"/>
      <c r="J505" s="21"/>
      <c r="K505" s="21"/>
      <c r="L505" s="21"/>
      <c r="M505" s="21"/>
      <c r="N505" s="21"/>
      <c r="O505" s="21"/>
      <c r="P505" s="21"/>
      <c r="Q505" s="19"/>
      <c r="R505" s="19"/>
      <c r="S505" s="19"/>
      <c r="T505" s="19"/>
      <c r="U505" s="19"/>
      <c r="V505" s="19"/>
      <c r="W505" s="19"/>
      <c r="X505" s="19"/>
      <c r="Y505" s="19"/>
      <c r="Z505" s="19"/>
    </row>
    <row r="506">
      <c r="A506" s="21"/>
      <c r="B506" s="21"/>
      <c r="C506" s="21"/>
      <c r="D506" s="21"/>
      <c r="E506" s="21"/>
      <c r="F506" s="21"/>
      <c r="G506" s="21"/>
      <c r="H506" s="2"/>
      <c r="I506" s="21"/>
      <c r="J506" s="21"/>
      <c r="K506" s="21"/>
      <c r="L506" s="21"/>
      <c r="M506" s="21"/>
      <c r="N506" s="21"/>
      <c r="O506" s="21"/>
      <c r="P506" s="21"/>
      <c r="Q506" s="19"/>
      <c r="R506" s="19"/>
      <c r="S506" s="19"/>
      <c r="T506" s="19"/>
      <c r="U506" s="19"/>
      <c r="V506" s="19"/>
      <c r="W506" s="19"/>
      <c r="X506" s="19"/>
      <c r="Y506" s="19"/>
      <c r="Z506" s="19"/>
    </row>
    <row r="507">
      <c r="A507" s="21"/>
      <c r="B507" s="21"/>
      <c r="C507" s="21"/>
      <c r="D507" s="21"/>
      <c r="E507" s="21"/>
      <c r="F507" s="21"/>
      <c r="G507" s="21"/>
      <c r="H507" s="2"/>
      <c r="I507" s="21"/>
      <c r="J507" s="21"/>
      <c r="K507" s="21"/>
      <c r="L507" s="21"/>
      <c r="M507" s="21"/>
      <c r="N507" s="21"/>
      <c r="O507" s="21"/>
      <c r="P507" s="21"/>
      <c r="Q507" s="19"/>
      <c r="R507" s="19"/>
      <c r="S507" s="19"/>
      <c r="T507" s="19"/>
      <c r="U507" s="19"/>
      <c r="V507" s="19"/>
      <c r="W507" s="19"/>
      <c r="X507" s="19"/>
      <c r="Y507" s="19"/>
      <c r="Z507" s="19"/>
    </row>
    <row r="508">
      <c r="A508" s="21"/>
      <c r="B508" s="21"/>
      <c r="C508" s="21"/>
      <c r="D508" s="21"/>
      <c r="E508" s="21"/>
      <c r="F508" s="21"/>
      <c r="G508" s="21"/>
      <c r="H508" s="2"/>
      <c r="I508" s="21"/>
      <c r="J508" s="21"/>
      <c r="K508" s="21"/>
      <c r="L508" s="21"/>
      <c r="M508" s="21"/>
      <c r="N508" s="21"/>
      <c r="O508" s="21"/>
      <c r="P508" s="21"/>
      <c r="Q508" s="19"/>
      <c r="R508" s="19"/>
      <c r="S508" s="19"/>
      <c r="T508" s="19"/>
      <c r="U508" s="19"/>
      <c r="V508" s="19"/>
      <c r="W508" s="19"/>
      <c r="X508" s="19"/>
      <c r="Y508" s="19"/>
      <c r="Z508" s="19"/>
    </row>
    <row r="509">
      <c r="A509" s="21"/>
      <c r="B509" s="21"/>
      <c r="C509" s="21"/>
      <c r="D509" s="21"/>
      <c r="E509" s="21"/>
      <c r="F509" s="21"/>
      <c r="G509" s="21"/>
      <c r="H509" s="2"/>
      <c r="I509" s="21"/>
      <c r="J509" s="21"/>
      <c r="K509" s="21"/>
      <c r="L509" s="21"/>
      <c r="M509" s="21"/>
      <c r="N509" s="21"/>
      <c r="O509" s="21"/>
      <c r="P509" s="21"/>
      <c r="Q509" s="19"/>
      <c r="R509" s="19"/>
      <c r="S509" s="19"/>
      <c r="T509" s="19"/>
      <c r="U509" s="19"/>
      <c r="V509" s="19"/>
      <c r="W509" s="19"/>
      <c r="X509" s="19"/>
      <c r="Y509" s="19"/>
      <c r="Z509" s="19"/>
    </row>
    <row r="510">
      <c r="A510" s="21"/>
      <c r="B510" s="21"/>
      <c r="C510" s="21"/>
      <c r="D510" s="21"/>
      <c r="E510" s="21"/>
      <c r="F510" s="21"/>
      <c r="G510" s="21"/>
      <c r="H510" s="2"/>
      <c r="I510" s="21"/>
      <c r="J510" s="21"/>
      <c r="K510" s="21"/>
      <c r="L510" s="21"/>
      <c r="M510" s="21"/>
      <c r="N510" s="21"/>
      <c r="O510" s="21"/>
      <c r="P510" s="21"/>
      <c r="Q510" s="19"/>
      <c r="R510" s="19"/>
      <c r="S510" s="19"/>
      <c r="T510" s="19"/>
      <c r="U510" s="19"/>
      <c r="V510" s="19"/>
      <c r="W510" s="19"/>
      <c r="X510" s="19"/>
      <c r="Y510" s="19"/>
      <c r="Z510" s="19"/>
    </row>
    <row r="511">
      <c r="A511" s="21"/>
      <c r="B511" s="21"/>
      <c r="C511" s="21"/>
      <c r="D511" s="21"/>
      <c r="E511" s="21"/>
      <c r="F511" s="21"/>
      <c r="G511" s="21"/>
      <c r="H511" s="2"/>
      <c r="I511" s="21"/>
      <c r="J511" s="21"/>
      <c r="K511" s="21"/>
      <c r="L511" s="21"/>
      <c r="M511" s="21"/>
      <c r="N511" s="21"/>
      <c r="O511" s="21"/>
      <c r="P511" s="21"/>
      <c r="Q511" s="19"/>
      <c r="R511" s="19"/>
      <c r="S511" s="19"/>
      <c r="T511" s="19"/>
      <c r="U511" s="19"/>
      <c r="V511" s="19"/>
      <c r="W511" s="19"/>
      <c r="X511" s="19"/>
      <c r="Y511" s="19"/>
      <c r="Z511" s="19"/>
    </row>
    <row r="512">
      <c r="A512" s="21"/>
      <c r="B512" s="21"/>
      <c r="C512" s="21"/>
      <c r="D512" s="21"/>
      <c r="E512" s="21"/>
      <c r="F512" s="21"/>
      <c r="G512" s="21"/>
      <c r="H512" s="2"/>
      <c r="I512" s="21"/>
      <c r="J512" s="21"/>
      <c r="K512" s="21"/>
      <c r="L512" s="21"/>
      <c r="M512" s="21"/>
      <c r="N512" s="21"/>
      <c r="O512" s="21"/>
      <c r="P512" s="21"/>
      <c r="Q512" s="19"/>
      <c r="R512" s="19"/>
      <c r="S512" s="19"/>
      <c r="T512" s="19"/>
      <c r="U512" s="19"/>
      <c r="V512" s="19"/>
      <c r="W512" s="19"/>
      <c r="X512" s="19"/>
      <c r="Y512" s="19"/>
      <c r="Z512" s="19"/>
    </row>
    <row r="513">
      <c r="A513" s="21"/>
      <c r="B513" s="21"/>
      <c r="C513" s="21"/>
      <c r="D513" s="21"/>
      <c r="E513" s="21"/>
      <c r="F513" s="21"/>
      <c r="G513" s="21"/>
      <c r="H513" s="2"/>
      <c r="I513" s="21"/>
      <c r="J513" s="21"/>
      <c r="K513" s="21"/>
      <c r="L513" s="21"/>
      <c r="M513" s="21"/>
      <c r="N513" s="21"/>
      <c r="O513" s="21"/>
      <c r="P513" s="21"/>
      <c r="Q513" s="19"/>
      <c r="R513" s="19"/>
      <c r="S513" s="19"/>
      <c r="T513" s="19"/>
      <c r="U513" s="19"/>
      <c r="V513" s="19"/>
      <c r="W513" s="19"/>
      <c r="X513" s="19"/>
      <c r="Y513" s="19"/>
      <c r="Z513" s="19"/>
    </row>
    <row r="514">
      <c r="A514" s="21"/>
      <c r="B514" s="21"/>
      <c r="C514" s="21"/>
      <c r="D514" s="21"/>
      <c r="E514" s="21"/>
      <c r="F514" s="21"/>
      <c r="G514" s="21"/>
      <c r="H514" s="2"/>
      <c r="I514" s="21"/>
      <c r="J514" s="21"/>
      <c r="K514" s="21"/>
      <c r="L514" s="21"/>
      <c r="M514" s="21"/>
      <c r="N514" s="21"/>
      <c r="O514" s="21"/>
      <c r="P514" s="21"/>
      <c r="Q514" s="19"/>
      <c r="R514" s="19"/>
      <c r="S514" s="19"/>
      <c r="T514" s="19"/>
      <c r="U514" s="19"/>
      <c r="V514" s="19"/>
      <c r="W514" s="19"/>
      <c r="X514" s="19"/>
      <c r="Y514" s="19"/>
      <c r="Z514" s="19"/>
    </row>
    <row r="515">
      <c r="A515" s="21"/>
      <c r="B515" s="21"/>
      <c r="C515" s="21"/>
      <c r="D515" s="21"/>
      <c r="E515" s="21"/>
      <c r="F515" s="21"/>
      <c r="G515" s="21"/>
      <c r="H515" s="2"/>
      <c r="I515" s="21"/>
      <c r="J515" s="21"/>
      <c r="K515" s="21"/>
      <c r="L515" s="21"/>
      <c r="M515" s="21"/>
      <c r="N515" s="21"/>
      <c r="O515" s="21"/>
      <c r="P515" s="21"/>
      <c r="Q515" s="19"/>
      <c r="R515" s="19"/>
      <c r="S515" s="19"/>
      <c r="T515" s="19"/>
      <c r="U515" s="19"/>
      <c r="V515" s="19"/>
      <c r="W515" s="19"/>
      <c r="X515" s="19"/>
      <c r="Y515" s="19"/>
      <c r="Z515" s="19"/>
    </row>
    <row r="516">
      <c r="A516" s="21"/>
      <c r="B516" s="21"/>
      <c r="C516" s="21"/>
      <c r="D516" s="21"/>
      <c r="E516" s="21"/>
      <c r="F516" s="21"/>
      <c r="G516" s="21"/>
      <c r="H516" s="2"/>
      <c r="I516" s="21"/>
      <c r="J516" s="21"/>
      <c r="K516" s="21"/>
      <c r="L516" s="21"/>
      <c r="M516" s="21"/>
      <c r="N516" s="21"/>
      <c r="O516" s="21"/>
      <c r="P516" s="21"/>
      <c r="Q516" s="19"/>
      <c r="R516" s="19"/>
      <c r="S516" s="19"/>
      <c r="T516" s="19"/>
      <c r="U516" s="19"/>
      <c r="V516" s="19"/>
      <c r="W516" s="19"/>
      <c r="X516" s="19"/>
      <c r="Y516" s="19"/>
      <c r="Z516" s="19"/>
    </row>
    <row r="517">
      <c r="A517" s="21"/>
      <c r="B517" s="21"/>
      <c r="C517" s="21"/>
      <c r="D517" s="21"/>
      <c r="E517" s="21"/>
      <c r="F517" s="21"/>
      <c r="G517" s="21"/>
      <c r="H517" s="2"/>
      <c r="I517" s="21"/>
      <c r="J517" s="21"/>
      <c r="K517" s="21"/>
      <c r="L517" s="21"/>
      <c r="M517" s="21"/>
      <c r="N517" s="21"/>
      <c r="O517" s="21"/>
      <c r="P517" s="21"/>
      <c r="Q517" s="19"/>
      <c r="R517" s="19"/>
      <c r="S517" s="19"/>
      <c r="T517" s="19"/>
      <c r="U517" s="19"/>
      <c r="V517" s="19"/>
      <c r="W517" s="19"/>
      <c r="X517" s="19"/>
      <c r="Y517" s="19"/>
      <c r="Z517" s="19"/>
    </row>
    <row r="518">
      <c r="A518" s="21"/>
      <c r="B518" s="21"/>
      <c r="C518" s="21"/>
      <c r="D518" s="21"/>
      <c r="E518" s="21"/>
      <c r="F518" s="21"/>
      <c r="G518" s="21"/>
      <c r="H518" s="2"/>
      <c r="I518" s="21"/>
      <c r="J518" s="21"/>
      <c r="K518" s="21"/>
      <c r="L518" s="21"/>
      <c r="M518" s="21"/>
      <c r="N518" s="21"/>
      <c r="O518" s="21"/>
      <c r="P518" s="21"/>
      <c r="Q518" s="19"/>
      <c r="R518" s="19"/>
      <c r="S518" s="19"/>
      <c r="T518" s="19"/>
      <c r="U518" s="19"/>
      <c r="V518" s="19"/>
      <c r="W518" s="19"/>
      <c r="X518" s="19"/>
      <c r="Y518" s="19"/>
      <c r="Z518" s="19"/>
    </row>
    <row r="519">
      <c r="A519" s="21"/>
      <c r="B519" s="21"/>
      <c r="C519" s="21"/>
      <c r="D519" s="21"/>
      <c r="E519" s="21"/>
      <c r="F519" s="21"/>
      <c r="G519" s="21"/>
      <c r="H519" s="2"/>
      <c r="I519" s="21"/>
      <c r="J519" s="21"/>
      <c r="K519" s="21"/>
      <c r="L519" s="21"/>
      <c r="M519" s="21"/>
      <c r="N519" s="21"/>
      <c r="O519" s="21"/>
      <c r="P519" s="21"/>
      <c r="Q519" s="19"/>
      <c r="R519" s="19"/>
      <c r="S519" s="19"/>
      <c r="T519" s="19"/>
      <c r="U519" s="19"/>
      <c r="V519" s="19"/>
      <c r="W519" s="19"/>
      <c r="X519" s="19"/>
      <c r="Y519" s="19"/>
      <c r="Z519" s="19"/>
    </row>
    <row r="520">
      <c r="A520" s="21"/>
      <c r="B520" s="21"/>
      <c r="C520" s="21"/>
      <c r="D520" s="21"/>
      <c r="E520" s="21"/>
      <c r="F520" s="21"/>
      <c r="G520" s="21"/>
      <c r="H520" s="2"/>
      <c r="I520" s="21"/>
      <c r="J520" s="21"/>
      <c r="K520" s="21"/>
      <c r="L520" s="21"/>
      <c r="M520" s="21"/>
      <c r="N520" s="21"/>
      <c r="O520" s="21"/>
      <c r="P520" s="21"/>
      <c r="Q520" s="19"/>
      <c r="R520" s="19"/>
      <c r="S520" s="19"/>
      <c r="T520" s="19"/>
      <c r="U520" s="19"/>
      <c r="V520" s="19"/>
      <c r="W520" s="19"/>
      <c r="X520" s="19"/>
      <c r="Y520" s="19"/>
      <c r="Z520" s="19"/>
    </row>
    <row r="521">
      <c r="A521" s="21"/>
      <c r="B521" s="21"/>
      <c r="C521" s="21"/>
      <c r="D521" s="21"/>
      <c r="E521" s="21"/>
      <c r="F521" s="21"/>
      <c r="G521" s="21"/>
      <c r="H521" s="2"/>
      <c r="I521" s="21"/>
      <c r="J521" s="21"/>
      <c r="K521" s="21"/>
      <c r="L521" s="21"/>
      <c r="M521" s="21"/>
      <c r="N521" s="21"/>
      <c r="O521" s="21"/>
      <c r="P521" s="21"/>
      <c r="Q521" s="19"/>
      <c r="R521" s="19"/>
      <c r="S521" s="19"/>
      <c r="T521" s="19"/>
      <c r="U521" s="19"/>
      <c r="V521" s="19"/>
      <c r="W521" s="19"/>
      <c r="X521" s="19"/>
      <c r="Y521" s="19"/>
      <c r="Z521" s="19"/>
    </row>
    <row r="522">
      <c r="A522" s="21"/>
      <c r="B522" s="21"/>
      <c r="C522" s="21"/>
      <c r="D522" s="21"/>
      <c r="E522" s="21"/>
      <c r="F522" s="21"/>
      <c r="G522" s="21"/>
      <c r="H522" s="2"/>
      <c r="I522" s="21"/>
      <c r="J522" s="21"/>
      <c r="K522" s="21"/>
      <c r="L522" s="21"/>
      <c r="M522" s="21"/>
      <c r="N522" s="21"/>
      <c r="O522" s="21"/>
      <c r="P522" s="21"/>
      <c r="Q522" s="19"/>
      <c r="R522" s="19"/>
      <c r="S522" s="19"/>
      <c r="T522" s="19"/>
      <c r="U522" s="19"/>
      <c r="V522" s="19"/>
      <c r="W522" s="19"/>
      <c r="X522" s="19"/>
      <c r="Y522" s="19"/>
      <c r="Z522" s="19"/>
    </row>
    <row r="523">
      <c r="A523" s="21"/>
      <c r="B523" s="21"/>
      <c r="C523" s="21"/>
      <c r="D523" s="21"/>
      <c r="E523" s="21"/>
      <c r="F523" s="21"/>
      <c r="G523" s="21"/>
      <c r="H523" s="2"/>
      <c r="I523" s="21"/>
      <c r="J523" s="21"/>
      <c r="K523" s="21"/>
      <c r="L523" s="21"/>
      <c r="M523" s="21"/>
      <c r="N523" s="21"/>
      <c r="O523" s="21"/>
      <c r="P523" s="21"/>
      <c r="Q523" s="19"/>
      <c r="R523" s="19"/>
      <c r="S523" s="19"/>
      <c r="T523" s="19"/>
      <c r="U523" s="19"/>
      <c r="V523" s="19"/>
      <c r="W523" s="19"/>
      <c r="X523" s="19"/>
      <c r="Y523" s="19"/>
      <c r="Z523" s="19"/>
    </row>
    <row r="524">
      <c r="A524" s="21"/>
      <c r="B524" s="21"/>
      <c r="C524" s="21"/>
      <c r="D524" s="21"/>
      <c r="E524" s="21"/>
      <c r="F524" s="21"/>
      <c r="G524" s="21"/>
      <c r="H524" s="2"/>
      <c r="I524" s="21"/>
      <c r="J524" s="21"/>
      <c r="K524" s="21"/>
      <c r="L524" s="21"/>
      <c r="M524" s="21"/>
      <c r="N524" s="21"/>
      <c r="O524" s="21"/>
      <c r="P524" s="21"/>
      <c r="Q524" s="19"/>
      <c r="R524" s="19"/>
      <c r="S524" s="19"/>
      <c r="T524" s="19"/>
      <c r="U524" s="19"/>
      <c r="V524" s="19"/>
      <c r="W524" s="19"/>
      <c r="X524" s="19"/>
      <c r="Y524" s="19"/>
      <c r="Z524" s="19"/>
    </row>
    <row r="525">
      <c r="A525" s="21"/>
      <c r="B525" s="21"/>
      <c r="C525" s="21"/>
      <c r="D525" s="21"/>
      <c r="E525" s="21"/>
      <c r="F525" s="21"/>
      <c r="G525" s="21"/>
      <c r="H525" s="2"/>
      <c r="I525" s="21"/>
      <c r="J525" s="21"/>
      <c r="K525" s="21"/>
      <c r="L525" s="21"/>
      <c r="M525" s="21"/>
      <c r="N525" s="21"/>
      <c r="O525" s="21"/>
      <c r="P525" s="21"/>
      <c r="Q525" s="19"/>
      <c r="R525" s="19"/>
      <c r="S525" s="19"/>
      <c r="T525" s="19"/>
      <c r="U525" s="19"/>
      <c r="V525" s="19"/>
      <c r="W525" s="19"/>
      <c r="X525" s="19"/>
      <c r="Y525" s="19"/>
      <c r="Z525" s="19"/>
    </row>
    <row r="526">
      <c r="A526" s="21"/>
      <c r="B526" s="21"/>
      <c r="C526" s="21"/>
      <c r="D526" s="21"/>
      <c r="E526" s="21"/>
      <c r="F526" s="21"/>
      <c r="G526" s="21"/>
      <c r="H526" s="2"/>
      <c r="I526" s="21"/>
      <c r="J526" s="21"/>
      <c r="K526" s="21"/>
      <c r="L526" s="21"/>
      <c r="M526" s="21"/>
      <c r="N526" s="21"/>
      <c r="O526" s="21"/>
      <c r="P526" s="21"/>
      <c r="Q526" s="19"/>
      <c r="R526" s="19"/>
      <c r="S526" s="19"/>
      <c r="T526" s="19"/>
      <c r="U526" s="19"/>
      <c r="V526" s="19"/>
      <c r="W526" s="19"/>
      <c r="X526" s="19"/>
      <c r="Y526" s="19"/>
      <c r="Z526" s="19"/>
    </row>
    <row r="527">
      <c r="A527" s="21"/>
      <c r="B527" s="21"/>
      <c r="C527" s="21"/>
      <c r="D527" s="21"/>
      <c r="E527" s="21"/>
      <c r="F527" s="21"/>
      <c r="G527" s="21"/>
      <c r="H527" s="2"/>
      <c r="I527" s="21"/>
      <c r="J527" s="21"/>
      <c r="K527" s="21"/>
      <c r="L527" s="21"/>
      <c r="M527" s="21"/>
      <c r="N527" s="21"/>
      <c r="O527" s="21"/>
      <c r="P527" s="21"/>
      <c r="Q527" s="19"/>
      <c r="R527" s="19"/>
      <c r="S527" s="19"/>
      <c r="T527" s="19"/>
      <c r="U527" s="19"/>
      <c r="V527" s="19"/>
      <c r="W527" s="19"/>
      <c r="X527" s="19"/>
      <c r="Y527" s="19"/>
      <c r="Z527" s="19"/>
    </row>
    <row r="528">
      <c r="A528" s="21"/>
      <c r="B528" s="21"/>
      <c r="C528" s="21"/>
      <c r="D528" s="21"/>
      <c r="E528" s="21"/>
      <c r="F528" s="21"/>
      <c r="G528" s="21"/>
      <c r="H528" s="2"/>
      <c r="I528" s="21"/>
      <c r="J528" s="21"/>
      <c r="K528" s="21"/>
      <c r="L528" s="21"/>
      <c r="M528" s="21"/>
      <c r="N528" s="21"/>
      <c r="O528" s="21"/>
      <c r="P528" s="21"/>
      <c r="Q528" s="19"/>
      <c r="R528" s="19"/>
      <c r="S528" s="19"/>
      <c r="T528" s="19"/>
      <c r="U528" s="19"/>
      <c r="V528" s="19"/>
      <c r="W528" s="19"/>
      <c r="X528" s="19"/>
      <c r="Y528" s="19"/>
      <c r="Z528" s="19"/>
    </row>
    <row r="529">
      <c r="A529" s="21"/>
      <c r="B529" s="21"/>
      <c r="C529" s="21"/>
      <c r="D529" s="21"/>
      <c r="E529" s="21"/>
      <c r="F529" s="21"/>
      <c r="G529" s="21"/>
      <c r="H529" s="2"/>
      <c r="I529" s="21"/>
      <c r="J529" s="21"/>
      <c r="K529" s="21"/>
      <c r="L529" s="21"/>
      <c r="M529" s="21"/>
      <c r="N529" s="21"/>
      <c r="O529" s="21"/>
      <c r="P529" s="21"/>
      <c r="Q529" s="19"/>
      <c r="R529" s="19"/>
      <c r="S529" s="19"/>
      <c r="T529" s="19"/>
      <c r="U529" s="19"/>
      <c r="V529" s="19"/>
      <c r="W529" s="19"/>
      <c r="X529" s="19"/>
      <c r="Y529" s="19"/>
      <c r="Z529" s="19"/>
    </row>
    <row r="530">
      <c r="A530" s="21"/>
      <c r="B530" s="21"/>
      <c r="C530" s="21"/>
      <c r="D530" s="21"/>
      <c r="E530" s="21"/>
      <c r="F530" s="21"/>
      <c r="G530" s="21"/>
      <c r="H530" s="2"/>
      <c r="I530" s="21"/>
      <c r="J530" s="21"/>
      <c r="K530" s="21"/>
      <c r="L530" s="21"/>
      <c r="M530" s="21"/>
      <c r="N530" s="21"/>
      <c r="O530" s="21"/>
      <c r="P530" s="21"/>
      <c r="Q530" s="19"/>
      <c r="R530" s="19"/>
      <c r="S530" s="19"/>
      <c r="T530" s="19"/>
      <c r="U530" s="19"/>
      <c r="V530" s="19"/>
      <c r="W530" s="19"/>
      <c r="X530" s="19"/>
      <c r="Y530" s="19"/>
      <c r="Z530" s="19"/>
    </row>
    <row r="531">
      <c r="A531" s="21"/>
      <c r="B531" s="21"/>
      <c r="C531" s="21"/>
      <c r="D531" s="21"/>
      <c r="E531" s="21"/>
      <c r="F531" s="21"/>
      <c r="G531" s="21"/>
      <c r="H531" s="2"/>
      <c r="I531" s="21"/>
      <c r="J531" s="21"/>
      <c r="K531" s="21"/>
      <c r="L531" s="21"/>
      <c r="M531" s="21"/>
      <c r="N531" s="21"/>
      <c r="O531" s="21"/>
      <c r="P531" s="21"/>
      <c r="Q531" s="19"/>
      <c r="R531" s="19"/>
      <c r="S531" s="19"/>
      <c r="T531" s="19"/>
      <c r="U531" s="19"/>
      <c r="V531" s="19"/>
      <c r="W531" s="19"/>
      <c r="X531" s="19"/>
      <c r="Y531" s="19"/>
      <c r="Z531" s="19"/>
    </row>
    <row r="532">
      <c r="A532" s="21"/>
      <c r="B532" s="21"/>
      <c r="C532" s="21"/>
      <c r="D532" s="21"/>
      <c r="E532" s="21"/>
      <c r="F532" s="21"/>
      <c r="G532" s="21"/>
      <c r="H532" s="2"/>
      <c r="I532" s="21"/>
      <c r="J532" s="21"/>
      <c r="K532" s="21"/>
      <c r="L532" s="21"/>
      <c r="M532" s="21"/>
      <c r="N532" s="21"/>
      <c r="O532" s="21"/>
      <c r="P532" s="21"/>
      <c r="Q532" s="19"/>
      <c r="R532" s="19"/>
      <c r="S532" s="19"/>
      <c r="T532" s="19"/>
      <c r="U532" s="19"/>
      <c r="V532" s="19"/>
      <c r="W532" s="19"/>
      <c r="X532" s="19"/>
      <c r="Y532" s="19"/>
      <c r="Z532" s="19"/>
    </row>
    <row r="533">
      <c r="A533" s="21"/>
      <c r="B533" s="21"/>
      <c r="C533" s="21"/>
      <c r="D533" s="21"/>
      <c r="E533" s="21"/>
      <c r="F533" s="21"/>
      <c r="G533" s="21"/>
      <c r="H533" s="2"/>
      <c r="I533" s="21"/>
      <c r="J533" s="21"/>
      <c r="K533" s="21"/>
      <c r="L533" s="21"/>
      <c r="M533" s="21"/>
      <c r="N533" s="21"/>
      <c r="O533" s="21"/>
      <c r="P533" s="21"/>
      <c r="Q533" s="19"/>
      <c r="R533" s="19"/>
      <c r="S533" s="19"/>
      <c r="T533" s="19"/>
      <c r="U533" s="19"/>
      <c r="V533" s="19"/>
      <c r="W533" s="19"/>
      <c r="X533" s="19"/>
      <c r="Y533" s="19"/>
      <c r="Z533" s="19"/>
    </row>
    <row r="534">
      <c r="A534" s="21"/>
      <c r="B534" s="21"/>
      <c r="C534" s="21"/>
      <c r="D534" s="21"/>
      <c r="E534" s="21"/>
      <c r="F534" s="21"/>
      <c r="G534" s="21"/>
      <c r="H534" s="2"/>
      <c r="I534" s="21"/>
      <c r="J534" s="21"/>
      <c r="K534" s="21"/>
      <c r="L534" s="21"/>
      <c r="M534" s="21"/>
      <c r="N534" s="21"/>
      <c r="O534" s="21"/>
      <c r="P534" s="21"/>
      <c r="Q534" s="19"/>
      <c r="R534" s="19"/>
      <c r="S534" s="19"/>
      <c r="T534" s="19"/>
      <c r="U534" s="19"/>
      <c r="V534" s="19"/>
      <c r="W534" s="19"/>
      <c r="X534" s="19"/>
      <c r="Y534" s="19"/>
      <c r="Z534" s="19"/>
    </row>
    <row r="535">
      <c r="A535" s="21"/>
      <c r="B535" s="21"/>
      <c r="C535" s="21"/>
      <c r="D535" s="21"/>
      <c r="E535" s="21"/>
      <c r="F535" s="21"/>
      <c r="G535" s="21"/>
      <c r="H535" s="2"/>
      <c r="I535" s="21"/>
      <c r="J535" s="21"/>
      <c r="K535" s="21"/>
      <c r="L535" s="21"/>
      <c r="M535" s="21"/>
      <c r="N535" s="21"/>
      <c r="O535" s="21"/>
      <c r="P535" s="21"/>
      <c r="Q535" s="19"/>
      <c r="R535" s="19"/>
      <c r="S535" s="19"/>
      <c r="T535" s="19"/>
      <c r="U535" s="19"/>
      <c r="V535" s="19"/>
      <c r="W535" s="19"/>
      <c r="X535" s="19"/>
      <c r="Y535" s="19"/>
      <c r="Z535" s="19"/>
    </row>
    <row r="536">
      <c r="A536" s="21"/>
      <c r="B536" s="21"/>
      <c r="C536" s="21"/>
      <c r="D536" s="21"/>
      <c r="E536" s="21"/>
      <c r="F536" s="21"/>
      <c r="G536" s="21"/>
      <c r="H536" s="2"/>
      <c r="I536" s="21"/>
      <c r="J536" s="21"/>
      <c r="K536" s="21"/>
      <c r="L536" s="21"/>
      <c r="M536" s="21"/>
      <c r="N536" s="21"/>
      <c r="O536" s="21"/>
      <c r="P536" s="21"/>
      <c r="Q536" s="19"/>
      <c r="R536" s="19"/>
      <c r="S536" s="19"/>
      <c r="T536" s="19"/>
      <c r="U536" s="19"/>
      <c r="V536" s="19"/>
      <c r="W536" s="19"/>
      <c r="X536" s="19"/>
      <c r="Y536" s="19"/>
      <c r="Z536" s="19"/>
    </row>
    <row r="537">
      <c r="A537" s="21"/>
      <c r="B537" s="21"/>
      <c r="C537" s="21"/>
      <c r="D537" s="21"/>
      <c r="E537" s="21"/>
      <c r="F537" s="21"/>
      <c r="G537" s="21"/>
      <c r="H537" s="2"/>
      <c r="I537" s="21"/>
      <c r="J537" s="21"/>
      <c r="K537" s="21"/>
      <c r="L537" s="21"/>
      <c r="M537" s="21"/>
      <c r="N537" s="21"/>
      <c r="O537" s="21"/>
      <c r="P537" s="21"/>
      <c r="Q537" s="19"/>
      <c r="R537" s="19"/>
      <c r="S537" s="19"/>
      <c r="T537" s="19"/>
      <c r="U537" s="19"/>
      <c r="V537" s="19"/>
      <c r="W537" s="19"/>
      <c r="X537" s="19"/>
      <c r="Y537" s="19"/>
      <c r="Z537" s="19"/>
    </row>
    <row r="538">
      <c r="A538" s="21"/>
      <c r="B538" s="21"/>
      <c r="C538" s="21"/>
      <c r="D538" s="21"/>
      <c r="E538" s="21"/>
      <c r="F538" s="21"/>
      <c r="G538" s="21"/>
      <c r="H538" s="2"/>
      <c r="I538" s="21"/>
      <c r="J538" s="21"/>
      <c r="K538" s="21"/>
      <c r="L538" s="21"/>
      <c r="M538" s="21"/>
      <c r="N538" s="21"/>
      <c r="O538" s="21"/>
      <c r="P538" s="21"/>
      <c r="Q538" s="19"/>
      <c r="R538" s="19"/>
      <c r="S538" s="19"/>
      <c r="T538" s="19"/>
      <c r="U538" s="19"/>
      <c r="V538" s="19"/>
      <c r="W538" s="19"/>
      <c r="X538" s="19"/>
      <c r="Y538" s="19"/>
      <c r="Z538" s="19"/>
    </row>
    <row r="539">
      <c r="A539" s="21"/>
      <c r="B539" s="21"/>
      <c r="C539" s="21"/>
      <c r="D539" s="21"/>
      <c r="E539" s="21"/>
      <c r="F539" s="21"/>
      <c r="G539" s="21"/>
      <c r="H539" s="2"/>
      <c r="I539" s="21"/>
      <c r="J539" s="21"/>
      <c r="K539" s="21"/>
      <c r="L539" s="21"/>
      <c r="M539" s="21"/>
      <c r="N539" s="21"/>
      <c r="O539" s="21"/>
      <c r="P539" s="21"/>
      <c r="Q539" s="19"/>
      <c r="R539" s="19"/>
      <c r="S539" s="19"/>
      <c r="T539" s="19"/>
      <c r="U539" s="19"/>
      <c r="V539" s="19"/>
      <c r="W539" s="19"/>
      <c r="X539" s="19"/>
      <c r="Y539" s="19"/>
      <c r="Z539" s="19"/>
    </row>
    <row r="540">
      <c r="A540" s="21"/>
      <c r="B540" s="21"/>
      <c r="C540" s="21"/>
      <c r="D540" s="21"/>
      <c r="E540" s="21"/>
      <c r="F540" s="21"/>
      <c r="G540" s="21"/>
      <c r="H540" s="2"/>
      <c r="I540" s="21"/>
      <c r="J540" s="21"/>
      <c r="K540" s="21"/>
      <c r="L540" s="21"/>
      <c r="M540" s="21"/>
      <c r="N540" s="21"/>
      <c r="O540" s="21"/>
      <c r="P540" s="21"/>
      <c r="Q540" s="19"/>
      <c r="R540" s="19"/>
      <c r="S540" s="19"/>
      <c r="T540" s="19"/>
      <c r="U540" s="19"/>
      <c r="V540" s="19"/>
      <c r="W540" s="19"/>
      <c r="X540" s="19"/>
      <c r="Y540" s="19"/>
      <c r="Z540" s="19"/>
    </row>
    <row r="541">
      <c r="A541" s="21"/>
      <c r="B541" s="21"/>
      <c r="C541" s="21"/>
      <c r="D541" s="21"/>
      <c r="E541" s="21"/>
      <c r="F541" s="21"/>
      <c r="G541" s="21"/>
      <c r="H541" s="2"/>
      <c r="I541" s="21"/>
      <c r="J541" s="21"/>
      <c r="K541" s="21"/>
      <c r="L541" s="21"/>
      <c r="M541" s="21"/>
      <c r="N541" s="21"/>
      <c r="O541" s="21"/>
      <c r="P541" s="21"/>
      <c r="Q541" s="19"/>
      <c r="R541" s="19"/>
      <c r="S541" s="19"/>
      <c r="T541" s="19"/>
      <c r="U541" s="19"/>
      <c r="V541" s="19"/>
      <c r="W541" s="19"/>
      <c r="X541" s="19"/>
      <c r="Y541" s="19"/>
      <c r="Z541" s="19"/>
    </row>
    <row r="542">
      <c r="A542" s="21"/>
      <c r="B542" s="21"/>
      <c r="C542" s="21"/>
      <c r="D542" s="21"/>
      <c r="E542" s="21"/>
      <c r="F542" s="21"/>
      <c r="G542" s="21"/>
      <c r="H542" s="2"/>
      <c r="I542" s="21"/>
      <c r="J542" s="21"/>
      <c r="K542" s="21"/>
      <c r="L542" s="21"/>
      <c r="M542" s="21"/>
      <c r="N542" s="21"/>
      <c r="O542" s="21"/>
      <c r="P542" s="21"/>
      <c r="Q542" s="19"/>
      <c r="R542" s="19"/>
      <c r="S542" s="19"/>
      <c r="T542" s="19"/>
      <c r="U542" s="19"/>
      <c r="V542" s="19"/>
      <c r="W542" s="19"/>
      <c r="X542" s="19"/>
      <c r="Y542" s="19"/>
      <c r="Z542" s="19"/>
    </row>
    <row r="543">
      <c r="A543" s="21"/>
      <c r="B543" s="21"/>
      <c r="C543" s="21"/>
      <c r="D543" s="21"/>
      <c r="E543" s="21"/>
      <c r="F543" s="21"/>
      <c r="G543" s="21"/>
      <c r="H543" s="2"/>
      <c r="I543" s="21"/>
      <c r="J543" s="21"/>
      <c r="K543" s="21"/>
      <c r="L543" s="21"/>
      <c r="M543" s="21"/>
      <c r="N543" s="21"/>
      <c r="O543" s="21"/>
      <c r="P543" s="21"/>
      <c r="Q543" s="19"/>
      <c r="R543" s="19"/>
      <c r="S543" s="19"/>
      <c r="T543" s="19"/>
      <c r="U543" s="19"/>
      <c r="V543" s="19"/>
      <c r="W543" s="19"/>
      <c r="X543" s="19"/>
      <c r="Y543" s="19"/>
      <c r="Z543" s="19"/>
    </row>
    <row r="544">
      <c r="A544" s="21"/>
      <c r="B544" s="21"/>
      <c r="C544" s="21"/>
      <c r="D544" s="21"/>
      <c r="E544" s="21"/>
      <c r="F544" s="21"/>
      <c r="G544" s="21"/>
      <c r="H544" s="2"/>
      <c r="I544" s="21"/>
      <c r="J544" s="21"/>
      <c r="K544" s="21"/>
      <c r="L544" s="21"/>
      <c r="M544" s="21"/>
      <c r="N544" s="21"/>
      <c r="O544" s="21"/>
      <c r="P544" s="21"/>
      <c r="Q544" s="19"/>
      <c r="R544" s="19"/>
      <c r="S544" s="19"/>
      <c r="T544" s="19"/>
      <c r="U544" s="19"/>
      <c r="V544" s="19"/>
      <c r="W544" s="19"/>
      <c r="X544" s="19"/>
      <c r="Y544" s="19"/>
      <c r="Z544" s="19"/>
    </row>
    <row r="545">
      <c r="A545" s="21"/>
      <c r="B545" s="21"/>
      <c r="C545" s="21"/>
      <c r="D545" s="21"/>
      <c r="E545" s="21"/>
      <c r="F545" s="21"/>
      <c r="G545" s="21"/>
      <c r="H545" s="2"/>
      <c r="I545" s="21"/>
      <c r="J545" s="21"/>
      <c r="K545" s="21"/>
      <c r="L545" s="21"/>
      <c r="M545" s="21"/>
      <c r="N545" s="21"/>
      <c r="O545" s="21"/>
      <c r="P545" s="21"/>
      <c r="Q545" s="19"/>
      <c r="R545" s="19"/>
      <c r="S545" s="19"/>
      <c r="T545" s="19"/>
      <c r="U545" s="19"/>
      <c r="V545" s="19"/>
      <c r="W545" s="19"/>
      <c r="X545" s="19"/>
      <c r="Y545" s="19"/>
      <c r="Z545" s="19"/>
    </row>
    <row r="546">
      <c r="A546" s="21"/>
      <c r="B546" s="21"/>
      <c r="C546" s="21"/>
      <c r="D546" s="21"/>
      <c r="E546" s="21"/>
      <c r="F546" s="21"/>
      <c r="G546" s="21"/>
      <c r="H546" s="2"/>
      <c r="I546" s="21"/>
      <c r="J546" s="21"/>
      <c r="K546" s="21"/>
      <c r="L546" s="21"/>
      <c r="M546" s="21"/>
      <c r="N546" s="21"/>
      <c r="O546" s="21"/>
      <c r="P546" s="21"/>
      <c r="Q546" s="19"/>
      <c r="R546" s="19"/>
      <c r="S546" s="19"/>
      <c r="T546" s="19"/>
      <c r="U546" s="19"/>
      <c r="V546" s="19"/>
      <c r="W546" s="19"/>
      <c r="X546" s="19"/>
      <c r="Y546" s="19"/>
      <c r="Z546" s="19"/>
    </row>
    <row r="547">
      <c r="A547" s="21"/>
      <c r="B547" s="21"/>
      <c r="C547" s="21"/>
      <c r="D547" s="21"/>
      <c r="E547" s="21"/>
      <c r="F547" s="21"/>
      <c r="G547" s="21"/>
      <c r="H547" s="2"/>
      <c r="I547" s="21"/>
      <c r="J547" s="21"/>
      <c r="K547" s="21"/>
      <c r="L547" s="21"/>
      <c r="M547" s="21"/>
      <c r="N547" s="21"/>
      <c r="O547" s="21"/>
      <c r="P547" s="21"/>
      <c r="Q547" s="19"/>
      <c r="R547" s="19"/>
      <c r="S547" s="19"/>
      <c r="T547" s="19"/>
      <c r="U547" s="19"/>
      <c r="V547" s="19"/>
      <c r="W547" s="19"/>
      <c r="X547" s="19"/>
      <c r="Y547" s="19"/>
      <c r="Z547" s="19"/>
    </row>
    <row r="548">
      <c r="A548" s="21"/>
      <c r="B548" s="21"/>
      <c r="C548" s="21"/>
      <c r="D548" s="21"/>
      <c r="E548" s="21"/>
      <c r="F548" s="21"/>
      <c r="G548" s="21"/>
      <c r="H548" s="2"/>
      <c r="I548" s="21"/>
      <c r="J548" s="21"/>
      <c r="K548" s="21"/>
      <c r="L548" s="21"/>
      <c r="M548" s="21"/>
      <c r="N548" s="21"/>
      <c r="O548" s="21"/>
      <c r="P548" s="21"/>
      <c r="Q548" s="19"/>
      <c r="R548" s="19"/>
      <c r="S548" s="19"/>
      <c r="T548" s="19"/>
      <c r="U548" s="19"/>
      <c r="V548" s="19"/>
      <c r="W548" s="19"/>
      <c r="X548" s="19"/>
      <c r="Y548" s="19"/>
      <c r="Z548" s="19"/>
    </row>
    <row r="549">
      <c r="A549" s="21"/>
      <c r="B549" s="21"/>
      <c r="C549" s="21"/>
      <c r="D549" s="21"/>
      <c r="E549" s="21"/>
      <c r="F549" s="21"/>
      <c r="G549" s="21"/>
      <c r="H549" s="2"/>
      <c r="I549" s="21"/>
      <c r="J549" s="21"/>
      <c r="K549" s="21"/>
      <c r="L549" s="21"/>
      <c r="M549" s="21"/>
      <c r="N549" s="21"/>
      <c r="O549" s="21"/>
      <c r="P549" s="21"/>
      <c r="Q549" s="19"/>
      <c r="R549" s="19"/>
      <c r="S549" s="19"/>
      <c r="T549" s="19"/>
      <c r="U549" s="19"/>
      <c r="V549" s="19"/>
      <c r="W549" s="19"/>
      <c r="X549" s="19"/>
      <c r="Y549" s="19"/>
      <c r="Z549" s="19"/>
    </row>
    <row r="550">
      <c r="A550" s="21"/>
      <c r="B550" s="21"/>
      <c r="C550" s="21"/>
      <c r="D550" s="21"/>
      <c r="E550" s="21"/>
      <c r="F550" s="21"/>
      <c r="G550" s="21"/>
      <c r="H550" s="2"/>
      <c r="I550" s="21"/>
      <c r="J550" s="21"/>
      <c r="K550" s="21"/>
      <c r="L550" s="21"/>
      <c r="M550" s="21"/>
      <c r="N550" s="21"/>
      <c r="O550" s="21"/>
      <c r="P550" s="21"/>
      <c r="Q550" s="19"/>
      <c r="R550" s="19"/>
      <c r="S550" s="19"/>
      <c r="T550" s="19"/>
      <c r="U550" s="19"/>
      <c r="V550" s="19"/>
      <c r="W550" s="19"/>
      <c r="X550" s="19"/>
      <c r="Y550" s="19"/>
      <c r="Z550" s="19"/>
    </row>
    <row r="551">
      <c r="A551" s="21"/>
      <c r="B551" s="21"/>
      <c r="C551" s="21"/>
      <c r="D551" s="21"/>
      <c r="E551" s="21"/>
      <c r="F551" s="21"/>
      <c r="G551" s="21"/>
      <c r="H551" s="2"/>
      <c r="I551" s="21"/>
      <c r="J551" s="21"/>
      <c r="K551" s="21"/>
      <c r="L551" s="21"/>
      <c r="M551" s="21"/>
      <c r="N551" s="21"/>
      <c r="O551" s="21"/>
      <c r="P551" s="21"/>
      <c r="Q551" s="19"/>
      <c r="R551" s="19"/>
      <c r="S551" s="19"/>
      <c r="T551" s="19"/>
      <c r="U551" s="19"/>
      <c r="V551" s="19"/>
      <c r="W551" s="19"/>
      <c r="X551" s="19"/>
      <c r="Y551" s="19"/>
      <c r="Z551" s="19"/>
    </row>
    <row r="552">
      <c r="A552" s="21"/>
      <c r="B552" s="21"/>
      <c r="C552" s="21"/>
      <c r="D552" s="21"/>
      <c r="E552" s="21"/>
      <c r="F552" s="21"/>
      <c r="G552" s="21"/>
      <c r="H552" s="2"/>
      <c r="I552" s="21"/>
      <c r="J552" s="21"/>
      <c r="K552" s="21"/>
      <c r="L552" s="21"/>
      <c r="M552" s="21"/>
      <c r="N552" s="21"/>
      <c r="O552" s="21"/>
      <c r="P552" s="21"/>
      <c r="Q552" s="19"/>
      <c r="R552" s="19"/>
      <c r="S552" s="19"/>
      <c r="T552" s="19"/>
      <c r="U552" s="19"/>
      <c r="V552" s="19"/>
      <c r="W552" s="19"/>
      <c r="X552" s="19"/>
      <c r="Y552" s="19"/>
      <c r="Z552" s="19"/>
    </row>
    <row r="553">
      <c r="A553" s="21"/>
      <c r="B553" s="21"/>
      <c r="C553" s="21"/>
      <c r="D553" s="21"/>
      <c r="E553" s="21"/>
      <c r="F553" s="21"/>
      <c r="G553" s="21"/>
      <c r="H553" s="2"/>
      <c r="I553" s="21"/>
      <c r="J553" s="21"/>
      <c r="K553" s="21"/>
      <c r="L553" s="21"/>
      <c r="M553" s="21"/>
      <c r="N553" s="21"/>
      <c r="O553" s="21"/>
      <c r="P553" s="21"/>
      <c r="Q553" s="19"/>
      <c r="R553" s="19"/>
      <c r="S553" s="19"/>
      <c r="T553" s="19"/>
      <c r="U553" s="19"/>
      <c r="V553" s="19"/>
      <c r="W553" s="19"/>
      <c r="X553" s="19"/>
      <c r="Y553" s="19"/>
      <c r="Z553" s="19"/>
    </row>
    <row r="554">
      <c r="A554" s="21"/>
      <c r="B554" s="21"/>
      <c r="C554" s="21"/>
      <c r="D554" s="21"/>
      <c r="E554" s="21"/>
      <c r="F554" s="21"/>
      <c r="G554" s="21"/>
      <c r="H554" s="2"/>
      <c r="I554" s="21"/>
      <c r="J554" s="21"/>
      <c r="K554" s="21"/>
      <c r="L554" s="21"/>
      <c r="M554" s="21"/>
      <c r="N554" s="21"/>
      <c r="O554" s="21"/>
      <c r="P554" s="21"/>
      <c r="Q554" s="19"/>
      <c r="R554" s="19"/>
      <c r="S554" s="19"/>
      <c r="T554" s="19"/>
      <c r="U554" s="19"/>
      <c r="V554" s="19"/>
      <c r="W554" s="19"/>
      <c r="X554" s="19"/>
      <c r="Y554" s="19"/>
      <c r="Z554" s="19"/>
    </row>
    <row r="555">
      <c r="A555" s="21"/>
      <c r="B555" s="21"/>
      <c r="C555" s="21"/>
      <c r="D555" s="21"/>
      <c r="E555" s="21"/>
      <c r="F555" s="21"/>
      <c r="G555" s="21"/>
      <c r="H555" s="2"/>
      <c r="I555" s="21"/>
      <c r="J555" s="21"/>
      <c r="K555" s="21"/>
      <c r="L555" s="21"/>
      <c r="M555" s="21"/>
      <c r="N555" s="21"/>
      <c r="O555" s="21"/>
      <c r="P555" s="21"/>
      <c r="Q555" s="19"/>
      <c r="R555" s="19"/>
      <c r="S555" s="19"/>
      <c r="T555" s="19"/>
      <c r="U555" s="19"/>
      <c r="V555" s="19"/>
      <c r="W555" s="19"/>
      <c r="X555" s="19"/>
      <c r="Y555" s="19"/>
      <c r="Z555" s="19"/>
    </row>
    <row r="556">
      <c r="A556" s="21"/>
      <c r="B556" s="21"/>
      <c r="C556" s="21"/>
      <c r="D556" s="21"/>
      <c r="E556" s="21"/>
      <c r="F556" s="21"/>
      <c r="G556" s="21"/>
      <c r="H556" s="2"/>
      <c r="I556" s="21"/>
      <c r="J556" s="21"/>
      <c r="K556" s="21"/>
      <c r="L556" s="21"/>
      <c r="M556" s="21"/>
      <c r="N556" s="21"/>
      <c r="O556" s="21"/>
      <c r="P556" s="21"/>
      <c r="Q556" s="19"/>
      <c r="R556" s="19"/>
      <c r="S556" s="19"/>
      <c r="T556" s="19"/>
      <c r="U556" s="19"/>
      <c r="V556" s="19"/>
      <c r="W556" s="19"/>
      <c r="X556" s="19"/>
      <c r="Y556" s="19"/>
      <c r="Z556" s="19"/>
    </row>
    <row r="557">
      <c r="A557" s="21"/>
      <c r="B557" s="21"/>
      <c r="C557" s="21"/>
      <c r="D557" s="21"/>
      <c r="E557" s="21"/>
      <c r="F557" s="21"/>
      <c r="G557" s="21"/>
      <c r="H557" s="2"/>
      <c r="I557" s="21"/>
      <c r="J557" s="21"/>
      <c r="K557" s="21"/>
      <c r="L557" s="21"/>
      <c r="M557" s="21"/>
      <c r="N557" s="21"/>
      <c r="O557" s="21"/>
      <c r="P557" s="21"/>
      <c r="Q557" s="19"/>
      <c r="R557" s="19"/>
      <c r="S557" s="19"/>
      <c r="T557" s="19"/>
      <c r="U557" s="19"/>
      <c r="V557" s="19"/>
      <c r="W557" s="19"/>
      <c r="X557" s="19"/>
      <c r="Y557" s="19"/>
      <c r="Z557" s="19"/>
    </row>
    <row r="558">
      <c r="A558" s="21"/>
      <c r="B558" s="21"/>
      <c r="C558" s="21"/>
      <c r="D558" s="21"/>
      <c r="E558" s="21"/>
      <c r="F558" s="21"/>
      <c r="G558" s="21"/>
      <c r="H558" s="2"/>
      <c r="I558" s="21"/>
      <c r="J558" s="21"/>
      <c r="K558" s="21"/>
      <c r="L558" s="21"/>
      <c r="M558" s="21"/>
      <c r="N558" s="21"/>
      <c r="O558" s="21"/>
      <c r="P558" s="21"/>
      <c r="Q558" s="19"/>
      <c r="R558" s="19"/>
      <c r="S558" s="19"/>
      <c r="T558" s="19"/>
      <c r="U558" s="19"/>
      <c r="V558" s="19"/>
      <c r="W558" s="19"/>
      <c r="X558" s="19"/>
      <c r="Y558" s="19"/>
      <c r="Z558" s="19"/>
    </row>
    <row r="559">
      <c r="A559" s="21"/>
      <c r="B559" s="21"/>
      <c r="C559" s="21"/>
      <c r="D559" s="21"/>
      <c r="E559" s="21"/>
      <c r="F559" s="21"/>
      <c r="G559" s="21"/>
      <c r="H559" s="2"/>
      <c r="I559" s="21"/>
      <c r="J559" s="21"/>
      <c r="K559" s="21"/>
      <c r="L559" s="21"/>
      <c r="M559" s="21"/>
      <c r="N559" s="21"/>
      <c r="O559" s="21"/>
      <c r="P559" s="21"/>
      <c r="Q559" s="19"/>
      <c r="R559" s="19"/>
      <c r="S559" s="19"/>
      <c r="T559" s="19"/>
      <c r="U559" s="19"/>
      <c r="V559" s="19"/>
      <c r="W559" s="19"/>
      <c r="X559" s="19"/>
      <c r="Y559" s="19"/>
      <c r="Z559" s="19"/>
    </row>
    <row r="560">
      <c r="A560" s="21"/>
      <c r="B560" s="21"/>
      <c r="C560" s="21"/>
      <c r="D560" s="21"/>
      <c r="E560" s="21"/>
      <c r="F560" s="21"/>
      <c r="G560" s="21"/>
      <c r="H560" s="2"/>
      <c r="I560" s="21"/>
      <c r="J560" s="21"/>
      <c r="K560" s="21"/>
      <c r="L560" s="21"/>
      <c r="M560" s="21"/>
      <c r="N560" s="21"/>
      <c r="O560" s="21"/>
      <c r="P560" s="21"/>
      <c r="Q560" s="19"/>
      <c r="R560" s="19"/>
      <c r="S560" s="19"/>
      <c r="T560" s="19"/>
      <c r="U560" s="19"/>
      <c r="V560" s="19"/>
      <c r="W560" s="19"/>
      <c r="X560" s="19"/>
      <c r="Y560" s="19"/>
      <c r="Z560" s="19"/>
    </row>
    <row r="561">
      <c r="A561" s="21"/>
      <c r="B561" s="21"/>
      <c r="C561" s="21"/>
      <c r="D561" s="21"/>
      <c r="E561" s="21"/>
      <c r="F561" s="21"/>
      <c r="G561" s="21"/>
      <c r="H561" s="2"/>
      <c r="I561" s="21"/>
      <c r="J561" s="21"/>
      <c r="K561" s="21"/>
      <c r="L561" s="21"/>
      <c r="M561" s="21"/>
      <c r="N561" s="21"/>
      <c r="O561" s="21"/>
      <c r="P561" s="21"/>
      <c r="Q561" s="19"/>
      <c r="R561" s="19"/>
      <c r="S561" s="19"/>
      <c r="T561" s="19"/>
      <c r="U561" s="19"/>
      <c r="V561" s="19"/>
      <c r="W561" s="19"/>
      <c r="X561" s="19"/>
      <c r="Y561" s="19"/>
      <c r="Z561" s="19"/>
    </row>
    <row r="562">
      <c r="A562" s="21"/>
      <c r="B562" s="21"/>
      <c r="C562" s="21"/>
      <c r="D562" s="21"/>
      <c r="E562" s="21"/>
      <c r="F562" s="21"/>
      <c r="G562" s="21"/>
      <c r="H562" s="2"/>
      <c r="I562" s="21"/>
      <c r="J562" s="21"/>
      <c r="K562" s="21"/>
      <c r="L562" s="21"/>
      <c r="M562" s="21"/>
      <c r="N562" s="21"/>
      <c r="O562" s="21"/>
      <c r="P562" s="21"/>
      <c r="Q562" s="19"/>
      <c r="R562" s="19"/>
      <c r="S562" s="19"/>
      <c r="T562" s="19"/>
      <c r="U562" s="19"/>
      <c r="V562" s="19"/>
      <c r="W562" s="19"/>
      <c r="X562" s="19"/>
      <c r="Y562" s="19"/>
      <c r="Z562" s="19"/>
    </row>
    <row r="563">
      <c r="A563" s="21"/>
      <c r="B563" s="21"/>
      <c r="C563" s="21"/>
      <c r="D563" s="21"/>
      <c r="E563" s="21"/>
      <c r="F563" s="21"/>
      <c r="G563" s="21"/>
      <c r="H563" s="2"/>
      <c r="I563" s="21"/>
      <c r="J563" s="21"/>
      <c r="K563" s="21"/>
      <c r="L563" s="21"/>
      <c r="M563" s="21"/>
      <c r="N563" s="21"/>
      <c r="O563" s="21"/>
      <c r="P563" s="21"/>
      <c r="Q563" s="19"/>
      <c r="R563" s="19"/>
      <c r="S563" s="19"/>
      <c r="T563" s="19"/>
      <c r="U563" s="19"/>
      <c r="V563" s="19"/>
      <c r="W563" s="19"/>
      <c r="X563" s="19"/>
      <c r="Y563" s="19"/>
      <c r="Z563" s="19"/>
    </row>
    <row r="564">
      <c r="A564" s="21"/>
      <c r="B564" s="21"/>
      <c r="C564" s="21"/>
      <c r="D564" s="21"/>
      <c r="E564" s="21"/>
      <c r="F564" s="21"/>
      <c r="G564" s="21"/>
      <c r="H564" s="2"/>
      <c r="I564" s="21"/>
      <c r="J564" s="21"/>
      <c r="K564" s="21"/>
      <c r="L564" s="21"/>
      <c r="M564" s="21"/>
      <c r="N564" s="21"/>
      <c r="O564" s="21"/>
      <c r="P564" s="21"/>
      <c r="Q564" s="19"/>
      <c r="R564" s="19"/>
      <c r="S564" s="19"/>
      <c r="T564" s="19"/>
      <c r="U564" s="19"/>
      <c r="V564" s="19"/>
      <c r="W564" s="19"/>
      <c r="X564" s="19"/>
      <c r="Y564" s="19"/>
      <c r="Z564" s="19"/>
    </row>
    <row r="565">
      <c r="A565" s="21"/>
      <c r="B565" s="21"/>
      <c r="C565" s="21"/>
      <c r="D565" s="21"/>
      <c r="E565" s="21"/>
      <c r="F565" s="21"/>
      <c r="G565" s="21"/>
      <c r="H565" s="2"/>
      <c r="I565" s="21"/>
      <c r="J565" s="21"/>
      <c r="K565" s="21"/>
      <c r="L565" s="21"/>
      <c r="M565" s="21"/>
      <c r="N565" s="21"/>
      <c r="O565" s="21"/>
      <c r="P565" s="21"/>
      <c r="Q565" s="19"/>
      <c r="R565" s="19"/>
      <c r="S565" s="19"/>
      <c r="T565" s="19"/>
      <c r="U565" s="19"/>
      <c r="V565" s="19"/>
      <c r="W565" s="19"/>
      <c r="X565" s="19"/>
      <c r="Y565" s="19"/>
      <c r="Z565" s="19"/>
    </row>
    <row r="566">
      <c r="A566" s="21"/>
      <c r="B566" s="21"/>
      <c r="C566" s="21"/>
      <c r="D566" s="21"/>
      <c r="E566" s="21"/>
      <c r="F566" s="21"/>
      <c r="G566" s="21"/>
      <c r="H566" s="2"/>
      <c r="I566" s="21"/>
      <c r="J566" s="21"/>
      <c r="K566" s="21"/>
      <c r="L566" s="21"/>
      <c r="M566" s="21"/>
      <c r="N566" s="21"/>
      <c r="O566" s="21"/>
      <c r="P566" s="21"/>
      <c r="Q566" s="19"/>
      <c r="R566" s="19"/>
      <c r="S566" s="19"/>
      <c r="T566" s="19"/>
      <c r="U566" s="19"/>
      <c r="V566" s="19"/>
      <c r="W566" s="19"/>
      <c r="X566" s="19"/>
      <c r="Y566" s="19"/>
      <c r="Z566" s="19"/>
    </row>
    <row r="567">
      <c r="A567" s="21"/>
      <c r="B567" s="21"/>
      <c r="C567" s="21"/>
      <c r="D567" s="21"/>
      <c r="E567" s="21"/>
      <c r="F567" s="21"/>
      <c r="G567" s="21"/>
      <c r="H567" s="2"/>
      <c r="I567" s="21"/>
      <c r="J567" s="21"/>
      <c r="K567" s="21"/>
      <c r="L567" s="21"/>
      <c r="M567" s="21"/>
      <c r="N567" s="21"/>
      <c r="O567" s="21"/>
      <c r="P567" s="21"/>
      <c r="Q567" s="19"/>
      <c r="R567" s="19"/>
      <c r="S567" s="19"/>
      <c r="T567" s="19"/>
      <c r="U567" s="19"/>
      <c r="V567" s="19"/>
      <c r="W567" s="19"/>
      <c r="X567" s="19"/>
      <c r="Y567" s="19"/>
      <c r="Z567" s="19"/>
    </row>
    <row r="568">
      <c r="A568" s="21"/>
      <c r="B568" s="21"/>
      <c r="C568" s="21"/>
      <c r="D568" s="21"/>
      <c r="E568" s="21"/>
      <c r="F568" s="21"/>
      <c r="G568" s="21"/>
      <c r="H568" s="2"/>
      <c r="I568" s="21"/>
      <c r="J568" s="21"/>
      <c r="K568" s="21"/>
      <c r="L568" s="21"/>
      <c r="M568" s="21"/>
      <c r="N568" s="21"/>
      <c r="O568" s="21"/>
      <c r="P568" s="21"/>
      <c r="Q568" s="19"/>
      <c r="R568" s="19"/>
      <c r="S568" s="19"/>
      <c r="T568" s="19"/>
      <c r="U568" s="19"/>
      <c r="V568" s="19"/>
      <c r="W568" s="19"/>
      <c r="X568" s="19"/>
      <c r="Y568" s="19"/>
      <c r="Z568" s="19"/>
    </row>
    <row r="569">
      <c r="A569" s="21"/>
      <c r="B569" s="21"/>
      <c r="C569" s="21"/>
      <c r="D569" s="21"/>
      <c r="E569" s="21"/>
      <c r="F569" s="21"/>
      <c r="G569" s="21"/>
      <c r="H569" s="2"/>
      <c r="I569" s="21"/>
      <c r="J569" s="21"/>
      <c r="K569" s="21"/>
      <c r="L569" s="21"/>
      <c r="M569" s="21"/>
      <c r="N569" s="21"/>
      <c r="O569" s="21"/>
      <c r="P569" s="21"/>
      <c r="Q569" s="19"/>
      <c r="R569" s="19"/>
      <c r="S569" s="19"/>
      <c r="T569" s="19"/>
      <c r="U569" s="19"/>
      <c r="V569" s="19"/>
      <c r="W569" s="19"/>
      <c r="X569" s="19"/>
      <c r="Y569" s="19"/>
      <c r="Z569" s="19"/>
    </row>
    <row r="570">
      <c r="A570" s="21"/>
      <c r="B570" s="21"/>
      <c r="C570" s="21"/>
      <c r="D570" s="21"/>
      <c r="E570" s="21"/>
      <c r="F570" s="21"/>
      <c r="G570" s="21"/>
      <c r="H570" s="2"/>
      <c r="I570" s="21"/>
      <c r="J570" s="21"/>
      <c r="K570" s="21"/>
      <c r="L570" s="21"/>
      <c r="M570" s="21"/>
      <c r="N570" s="21"/>
      <c r="O570" s="21"/>
      <c r="P570" s="21"/>
      <c r="Q570" s="19"/>
      <c r="R570" s="19"/>
      <c r="S570" s="19"/>
      <c r="T570" s="19"/>
      <c r="U570" s="19"/>
      <c r="V570" s="19"/>
      <c r="W570" s="19"/>
      <c r="X570" s="19"/>
      <c r="Y570" s="19"/>
      <c r="Z570" s="19"/>
    </row>
    <row r="571">
      <c r="A571" s="21"/>
      <c r="B571" s="21"/>
      <c r="C571" s="21"/>
      <c r="D571" s="21"/>
      <c r="E571" s="21"/>
      <c r="F571" s="21"/>
      <c r="G571" s="21"/>
      <c r="H571" s="2"/>
      <c r="I571" s="21"/>
      <c r="J571" s="21"/>
      <c r="K571" s="21"/>
      <c r="L571" s="21"/>
      <c r="M571" s="21"/>
      <c r="N571" s="21"/>
      <c r="O571" s="21"/>
      <c r="P571" s="21"/>
      <c r="Q571" s="19"/>
      <c r="R571" s="19"/>
      <c r="S571" s="19"/>
      <c r="T571" s="19"/>
      <c r="U571" s="19"/>
      <c r="V571" s="19"/>
      <c r="W571" s="19"/>
      <c r="X571" s="19"/>
      <c r="Y571" s="19"/>
      <c r="Z571" s="19"/>
    </row>
    <row r="572">
      <c r="A572" s="21"/>
      <c r="B572" s="21"/>
      <c r="C572" s="21"/>
      <c r="D572" s="21"/>
      <c r="E572" s="21"/>
      <c r="F572" s="21"/>
      <c r="G572" s="21"/>
      <c r="H572" s="2"/>
      <c r="I572" s="21"/>
      <c r="J572" s="21"/>
      <c r="K572" s="21"/>
      <c r="L572" s="21"/>
      <c r="M572" s="21"/>
      <c r="N572" s="21"/>
      <c r="O572" s="21"/>
      <c r="P572" s="21"/>
      <c r="Q572" s="19"/>
      <c r="R572" s="19"/>
      <c r="S572" s="19"/>
      <c r="T572" s="19"/>
      <c r="U572" s="19"/>
      <c r="V572" s="19"/>
      <c r="W572" s="19"/>
      <c r="X572" s="19"/>
      <c r="Y572" s="19"/>
      <c r="Z572" s="19"/>
    </row>
    <row r="573">
      <c r="A573" s="21"/>
      <c r="B573" s="21"/>
      <c r="C573" s="21"/>
      <c r="D573" s="21"/>
      <c r="E573" s="21"/>
      <c r="F573" s="21"/>
      <c r="G573" s="21"/>
      <c r="H573" s="2"/>
      <c r="I573" s="21"/>
      <c r="J573" s="21"/>
      <c r="K573" s="21"/>
      <c r="L573" s="21"/>
      <c r="M573" s="21"/>
      <c r="N573" s="21"/>
      <c r="O573" s="21"/>
      <c r="P573" s="21"/>
      <c r="Q573" s="19"/>
      <c r="R573" s="19"/>
      <c r="S573" s="19"/>
      <c r="T573" s="19"/>
      <c r="U573" s="19"/>
      <c r="V573" s="19"/>
      <c r="W573" s="19"/>
      <c r="X573" s="19"/>
      <c r="Y573" s="19"/>
      <c r="Z573" s="19"/>
    </row>
    <row r="574">
      <c r="A574" s="21"/>
      <c r="B574" s="21"/>
      <c r="C574" s="21"/>
      <c r="D574" s="21"/>
      <c r="E574" s="21"/>
      <c r="F574" s="21"/>
      <c r="G574" s="21"/>
      <c r="H574" s="2"/>
      <c r="I574" s="21"/>
      <c r="J574" s="21"/>
      <c r="K574" s="21"/>
      <c r="L574" s="21"/>
      <c r="M574" s="21"/>
      <c r="N574" s="21"/>
      <c r="O574" s="21"/>
      <c r="P574" s="21"/>
      <c r="Q574" s="19"/>
      <c r="R574" s="19"/>
      <c r="S574" s="19"/>
      <c r="T574" s="19"/>
      <c r="U574" s="19"/>
      <c r="V574" s="19"/>
      <c r="W574" s="19"/>
      <c r="X574" s="19"/>
      <c r="Y574" s="19"/>
      <c r="Z574" s="19"/>
    </row>
    <row r="575">
      <c r="A575" s="21"/>
      <c r="B575" s="21"/>
      <c r="C575" s="21"/>
      <c r="D575" s="21"/>
      <c r="E575" s="21"/>
      <c r="F575" s="21"/>
      <c r="G575" s="21"/>
      <c r="H575" s="2"/>
      <c r="I575" s="21"/>
      <c r="J575" s="21"/>
      <c r="K575" s="21"/>
      <c r="L575" s="21"/>
      <c r="M575" s="21"/>
      <c r="N575" s="21"/>
      <c r="O575" s="21"/>
      <c r="P575" s="21"/>
      <c r="Q575" s="19"/>
      <c r="R575" s="19"/>
      <c r="S575" s="19"/>
      <c r="T575" s="19"/>
      <c r="U575" s="19"/>
      <c r="V575" s="19"/>
      <c r="W575" s="19"/>
      <c r="X575" s="19"/>
      <c r="Y575" s="19"/>
      <c r="Z575" s="19"/>
    </row>
    <row r="576">
      <c r="A576" s="21"/>
      <c r="B576" s="21"/>
      <c r="C576" s="21"/>
      <c r="D576" s="21"/>
      <c r="E576" s="21"/>
      <c r="F576" s="21"/>
      <c r="G576" s="21"/>
      <c r="H576" s="2"/>
      <c r="I576" s="21"/>
      <c r="J576" s="21"/>
      <c r="K576" s="21"/>
      <c r="L576" s="21"/>
      <c r="M576" s="21"/>
      <c r="N576" s="21"/>
      <c r="O576" s="21"/>
      <c r="P576" s="21"/>
      <c r="Q576" s="19"/>
      <c r="R576" s="19"/>
      <c r="S576" s="19"/>
      <c r="T576" s="19"/>
      <c r="U576" s="19"/>
      <c r="V576" s="19"/>
      <c r="W576" s="19"/>
      <c r="X576" s="19"/>
      <c r="Y576" s="19"/>
      <c r="Z576" s="19"/>
    </row>
    <row r="577">
      <c r="A577" s="21"/>
      <c r="B577" s="21"/>
      <c r="C577" s="21"/>
      <c r="D577" s="21"/>
      <c r="E577" s="21"/>
      <c r="F577" s="21"/>
      <c r="G577" s="21"/>
      <c r="H577" s="2"/>
      <c r="I577" s="21"/>
      <c r="J577" s="21"/>
      <c r="K577" s="21"/>
      <c r="L577" s="21"/>
      <c r="M577" s="21"/>
      <c r="N577" s="21"/>
      <c r="O577" s="21"/>
      <c r="P577" s="21"/>
      <c r="Q577" s="19"/>
      <c r="R577" s="19"/>
      <c r="S577" s="19"/>
      <c r="T577" s="19"/>
      <c r="U577" s="19"/>
      <c r="V577" s="19"/>
      <c r="W577" s="19"/>
      <c r="X577" s="19"/>
      <c r="Y577" s="19"/>
      <c r="Z577" s="19"/>
    </row>
    <row r="578">
      <c r="A578" s="21"/>
      <c r="B578" s="21"/>
      <c r="C578" s="21"/>
      <c r="D578" s="21"/>
      <c r="E578" s="21"/>
      <c r="F578" s="21"/>
      <c r="G578" s="21"/>
      <c r="H578" s="2"/>
      <c r="I578" s="21"/>
      <c r="J578" s="21"/>
      <c r="K578" s="21"/>
      <c r="L578" s="21"/>
      <c r="M578" s="21"/>
      <c r="N578" s="21"/>
      <c r="O578" s="21"/>
      <c r="P578" s="21"/>
      <c r="Q578" s="19"/>
      <c r="R578" s="19"/>
      <c r="S578" s="19"/>
      <c r="T578" s="19"/>
      <c r="U578" s="19"/>
      <c r="V578" s="19"/>
      <c r="W578" s="19"/>
      <c r="X578" s="19"/>
      <c r="Y578" s="19"/>
      <c r="Z578" s="19"/>
    </row>
    <row r="579">
      <c r="A579" s="21"/>
      <c r="B579" s="21"/>
      <c r="C579" s="21"/>
      <c r="D579" s="21"/>
      <c r="E579" s="21"/>
      <c r="F579" s="21"/>
      <c r="G579" s="21"/>
      <c r="H579" s="2"/>
      <c r="I579" s="21"/>
      <c r="J579" s="21"/>
      <c r="K579" s="21"/>
      <c r="L579" s="21"/>
      <c r="M579" s="21"/>
      <c r="N579" s="21"/>
      <c r="O579" s="21"/>
      <c r="P579" s="21"/>
      <c r="Q579" s="19"/>
      <c r="R579" s="19"/>
      <c r="S579" s="19"/>
      <c r="T579" s="19"/>
      <c r="U579" s="19"/>
      <c r="V579" s="19"/>
      <c r="W579" s="19"/>
      <c r="X579" s="19"/>
      <c r="Y579" s="19"/>
      <c r="Z579" s="19"/>
    </row>
    <row r="580">
      <c r="A580" s="21"/>
      <c r="B580" s="21"/>
      <c r="C580" s="21"/>
      <c r="D580" s="21"/>
      <c r="E580" s="21"/>
      <c r="F580" s="21"/>
      <c r="G580" s="21"/>
      <c r="H580" s="2"/>
      <c r="I580" s="21"/>
      <c r="J580" s="21"/>
      <c r="K580" s="21"/>
      <c r="L580" s="21"/>
      <c r="M580" s="21"/>
      <c r="N580" s="21"/>
      <c r="O580" s="21"/>
      <c r="P580" s="21"/>
      <c r="Q580" s="19"/>
      <c r="R580" s="19"/>
      <c r="S580" s="19"/>
      <c r="T580" s="19"/>
      <c r="U580" s="19"/>
      <c r="V580" s="19"/>
      <c r="W580" s="19"/>
      <c r="X580" s="19"/>
      <c r="Y580" s="19"/>
      <c r="Z580" s="19"/>
    </row>
    <row r="581">
      <c r="A581" s="21"/>
      <c r="B581" s="21"/>
      <c r="C581" s="21"/>
      <c r="D581" s="21"/>
      <c r="E581" s="21"/>
      <c r="F581" s="21"/>
      <c r="G581" s="21"/>
      <c r="H581" s="2"/>
      <c r="I581" s="21"/>
      <c r="J581" s="21"/>
      <c r="K581" s="21"/>
      <c r="L581" s="21"/>
      <c r="M581" s="21"/>
      <c r="N581" s="21"/>
      <c r="O581" s="21"/>
      <c r="P581" s="21"/>
      <c r="Q581" s="19"/>
      <c r="R581" s="19"/>
      <c r="S581" s="19"/>
      <c r="T581" s="19"/>
      <c r="U581" s="19"/>
      <c r="V581" s="19"/>
      <c r="W581" s="19"/>
      <c r="X581" s="19"/>
      <c r="Y581" s="19"/>
      <c r="Z581" s="19"/>
    </row>
    <row r="582">
      <c r="A582" s="21"/>
      <c r="B582" s="21"/>
      <c r="C582" s="21"/>
      <c r="D582" s="21"/>
      <c r="E582" s="21"/>
      <c r="F582" s="21"/>
      <c r="G582" s="21"/>
      <c r="H582" s="2"/>
      <c r="I582" s="21"/>
      <c r="J582" s="21"/>
      <c r="K582" s="21"/>
      <c r="L582" s="21"/>
      <c r="M582" s="21"/>
      <c r="N582" s="21"/>
      <c r="O582" s="21"/>
      <c r="P582" s="21"/>
      <c r="Q582" s="19"/>
      <c r="R582" s="19"/>
      <c r="S582" s="19"/>
      <c r="T582" s="19"/>
      <c r="U582" s="19"/>
      <c r="V582" s="19"/>
      <c r="W582" s="19"/>
      <c r="X582" s="19"/>
      <c r="Y582" s="19"/>
      <c r="Z582" s="19"/>
    </row>
    <row r="583">
      <c r="A583" s="21"/>
      <c r="B583" s="21"/>
      <c r="C583" s="21"/>
      <c r="D583" s="21"/>
      <c r="E583" s="21"/>
      <c r="F583" s="21"/>
      <c r="G583" s="21"/>
      <c r="H583" s="2"/>
      <c r="I583" s="21"/>
      <c r="J583" s="21"/>
      <c r="K583" s="21"/>
      <c r="L583" s="21"/>
      <c r="M583" s="21"/>
      <c r="N583" s="21"/>
      <c r="O583" s="21"/>
      <c r="P583" s="21"/>
      <c r="Q583" s="19"/>
      <c r="R583" s="19"/>
      <c r="S583" s="19"/>
      <c r="T583" s="19"/>
      <c r="U583" s="19"/>
      <c r="V583" s="19"/>
      <c r="W583" s="19"/>
      <c r="X583" s="19"/>
      <c r="Y583" s="19"/>
      <c r="Z583" s="19"/>
    </row>
    <row r="584">
      <c r="A584" s="21"/>
      <c r="B584" s="21"/>
      <c r="C584" s="21"/>
      <c r="D584" s="21"/>
      <c r="E584" s="21"/>
      <c r="F584" s="21"/>
      <c r="G584" s="21"/>
      <c r="H584" s="2"/>
      <c r="I584" s="21"/>
      <c r="J584" s="21"/>
      <c r="K584" s="21"/>
      <c r="L584" s="21"/>
      <c r="M584" s="21"/>
      <c r="N584" s="21"/>
      <c r="O584" s="21"/>
      <c r="P584" s="21"/>
      <c r="Q584" s="19"/>
      <c r="R584" s="19"/>
      <c r="S584" s="19"/>
      <c r="T584" s="19"/>
      <c r="U584" s="19"/>
      <c r="V584" s="19"/>
      <c r="W584" s="19"/>
      <c r="X584" s="19"/>
      <c r="Y584" s="19"/>
      <c r="Z584" s="19"/>
    </row>
    <row r="585">
      <c r="A585" s="21"/>
      <c r="B585" s="21"/>
      <c r="C585" s="21"/>
      <c r="D585" s="21"/>
      <c r="E585" s="21"/>
      <c r="F585" s="21"/>
      <c r="G585" s="21"/>
      <c r="H585" s="2"/>
      <c r="I585" s="21"/>
      <c r="J585" s="21"/>
      <c r="K585" s="21"/>
      <c r="L585" s="21"/>
      <c r="M585" s="21"/>
      <c r="N585" s="21"/>
      <c r="O585" s="21"/>
      <c r="P585" s="21"/>
      <c r="Q585" s="19"/>
      <c r="R585" s="19"/>
      <c r="S585" s="19"/>
      <c r="T585" s="19"/>
      <c r="U585" s="19"/>
      <c r="V585" s="19"/>
      <c r="W585" s="19"/>
      <c r="X585" s="19"/>
      <c r="Y585" s="19"/>
      <c r="Z585" s="19"/>
    </row>
    <row r="586">
      <c r="A586" s="21"/>
      <c r="B586" s="21"/>
      <c r="C586" s="21"/>
      <c r="D586" s="21"/>
      <c r="E586" s="21"/>
      <c r="F586" s="21"/>
      <c r="G586" s="21"/>
      <c r="H586" s="2"/>
      <c r="I586" s="21"/>
      <c r="J586" s="21"/>
      <c r="K586" s="21"/>
      <c r="L586" s="21"/>
      <c r="M586" s="21"/>
      <c r="N586" s="21"/>
      <c r="O586" s="21"/>
      <c r="P586" s="21"/>
      <c r="Q586" s="19"/>
      <c r="R586" s="19"/>
      <c r="S586" s="19"/>
      <c r="T586" s="19"/>
      <c r="U586" s="19"/>
      <c r="V586" s="19"/>
      <c r="W586" s="19"/>
      <c r="X586" s="19"/>
      <c r="Y586" s="19"/>
      <c r="Z586" s="19"/>
    </row>
    <row r="587">
      <c r="A587" s="21"/>
      <c r="B587" s="21"/>
      <c r="C587" s="21"/>
      <c r="D587" s="21"/>
      <c r="E587" s="21"/>
      <c r="F587" s="21"/>
      <c r="G587" s="21"/>
      <c r="H587" s="2"/>
      <c r="I587" s="21"/>
      <c r="J587" s="21"/>
      <c r="K587" s="21"/>
      <c r="L587" s="21"/>
      <c r="M587" s="21"/>
      <c r="N587" s="21"/>
      <c r="O587" s="21"/>
      <c r="P587" s="21"/>
      <c r="Q587" s="19"/>
      <c r="R587" s="19"/>
      <c r="S587" s="19"/>
      <c r="T587" s="19"/>
      <c r="U587" s="19"/>
      <c r="V587" s="19"/>
      <c r="W587" s="19"/>
      <c r="X587" s="19"/>
      <c r="Y587" s="19"/>
      <c r="Z587" s="19"/>
    </row>
    <row r="588">
      <c r="A588" s="21"/>
      <c r="B588" s="21"/>
      <c r="C588" s="21"/>
      <c r="D588" s="21"/>
      <c r="E588" s="21"/>
      <c r="F588" s="21"/>
      <c r="G588" s="21"/>
      <c r="H588" s="2"/>
      <c r="I588" s="21"/>
      <c r="J588" s="21"/>
      <c r="K588" s="21"/>
      <c r="L588" s="21"/>
      <c r="M588" s="21"/>
      <c r="N588" s="21"/>
      <c r="O588" s="21"/>
      <c r="P588" s="21"/>
      <c r="Q588" s="19"/>
      <c r="R588" s="19"/>
      <c r="S588" s="19"/>
      <c r="T588" s="19"/>
      <c r="U588" s="19"/>
      <c r="V588" s="19"/>
      <c r="W588" s="19"/>
      <c r="X588" s="19"/>
      <c r="Y588" s="19"/>
      <c r="Z588" s="19"/>
    </row>
    <row r="589">
      <c r="A589" s="21"/>
      <c r="B589" s="21"/>
      <c r="C589" s="21"/>
      <c r="D589" s="21"/>
      <c r="E589" s="21"/>
      <c r="F589" s="21"/>
      <c r="G589" s="21"/>
      <c r="H589" s="2"/>
      <c r="I589" s="21"/>
      <c r="J589" s="21"/>
      <c r="K589" s="21"/>
      <c r="L589" s="21"/>
      <c r="M589" s="21"/>
      <c r="N589" s="21"/>
      <c r="O589" s="21"/>
      <c r="P589" s="21"/>
      <c r="Q589" s="19"/>
      <c r="R589" s="19"/>
      <c r="S589" s="19"/>
      <c r="T589" s="19"/>
      <c r="U589" s="19"/>
      <c r="V589" s="19"/>
      <c r="W589" s="19"/>
      <c r="X589" s="19"/>
      <c r="Y589" s="19"/>
      <c r="Z589" s="19"/>
    </row>
    <row r="590">
      <c r="A590" s="21"/>
      <c r="B590" s="21"/>
      <c r="C590" s="21"/>
      <c r="D590" s="21"/>
      <c r="E590" s="21"/>
      <c r="F590" s="21"/>
      <c r="G590" s="21"/>
      <c r="H590" s="2"/>
      <c r="I590" s="21"/>
      <c r="J590" s="21"/>
      <c r="K590" s="21"/>
      <c r="L590" s="21"/>
      <c r="M590" s="21"/>
      <c r="N590" s="21"/>
      <c r="O590" s="21"/>
      <c r="P590" s="21"/>
      <c r="Q590" s="19"/>
      <c r="R590" s="19"/>
      <c r="S590" s="19"/>
      <c r="T590" s="19"/>
      <c r="U590" s="19"/>
      <c r="V590" s="19"/>
      <c r="W590" s="19"/>
      <c r="X590" s="19"/>
      <c r="Y590" s="19"/>
      <c r="Z590" s="19"/>
    </row>
    <row r="591">
      <c r="A591" s="21"/>
      <c r="B591" s="21"/>
      <c r="C591" s="21"/>
      <c r="D591" s="21"/>
      <c r="E591" s="21"/>
      <c r="F591" s="21"/>
      <c r="G591" s="21"/>
      <c r="H591" s="2"/>
      <c r="I591" s="21"/>
      <c r="J591" s="21"/>
      <c r="K591" s="21"/>
      <c r="L591" s="21"/>
      <c r="M591" s="21"/>
      <c r="N591" s="21"/>
      <c r="O591" s="21"/>
      <c r="P591" s="21"/>
      <c r="Q591" s="19"/>
      <c r="R591" s="19"/>
      <c r="S591" s="19"/>
      <c r="T591" s="19"/>
      <c r="U591" s="19"/>
      <c r="V591" s="19"/>
      <c r="W591" s="19"/>
      <c r="X591" s="19"/>
      <c r="Y591" s="19"/>
      <c r="Z591" s="19"/>
    </row>
    <row r="592">
      <c r="A592" s="21"/>
      <c r="B592" s="21"/>
      <c r="C592" s="21"/>
      <c r="D592" s="21"/>
      <c r="E592" s="21"/>
      <c r="F592" s="21"/>
      <c r="G592" s="21"/>
      <c r="H592" s="2"/>
      <c r="I592" s="21"/>
      <c r="J592" s="21"/>
      <c r="K592" s="21"/>
      <c r="L592" s="21"/>
      <c r="M592" s="21"/>
      <c r="N592" s="21"/>
      <c r="O592" s="21"/>
      <c r="P592" s="21"/>
      <c r="Q592" s="19"/>
      <c r="R592" s="19"/>
      <c r="S592" s="19"/>
      <c r="T592" s="19"/>
      <c r="U592" s="19"/>
      <c r="V592" s="19"/>
      <c r="W592" s="19"/>
      <c r="X592" s="19"/>
      <c r="Y592" s="19"/>
      <c r="Z592" s="19"/>
    </row>
    <row r="593">
      <c r="A593" s="21"/>
      <c r="B593" s="21"/>
      <c r="C593" s="21"/>
      <c r="D593" s="21"/>
      <c r="E593" s="21"/>
      <c r="F593" s="21"/>
      <c r="G593" s="21"/>
      <c r="H593" s="2"/>
      <c r="I593" s="21"/>
      <c r="J593" s="21"/>
      <c r="K593" s="21"/>
      <c r="L593" s="21"/>
      <c r="M593" s="21"/>
      <c r="N593" s="21"/>
      <c r="O593" s="21"/>
      <c r="P593" s="21"/>
      <c r="Q593" s="19"/>
      <c r="R593" s="19"/>
      <c r="S593" s="19"/>
      <c r="T593" s="19"/>
      <c r="U593" s="19"/>
      <c r="V593" s="19"/>
      <c r="W593" s="19"/>
      <c r="X593" s="19"/>
      <c r="Y593" s="19"/>
      <c r="Z593" s="19"/>
    </row>
    <row r="594">
      <c r="A594" s="21"/>
      <c r="B594" s="21"/>
      <c r="C594" s="21"/>
      <c r="D594" s="21"/>
      <c r="E594" s="21"/>
      <c r="F594" s="21"/>
      <c r="G594" s="21"/>
      <c r="H594" s="2"/>
      <c r="I594" s="21"/>
      <c r="J594" s="21"/>
      <c r="K594" s="21"/>
      <c r="L594" s="21"/>
      <c r="M594" s="21"/>
      <c r="N594" s="21"/>
      <c r="O594" s="21"/>
      <c r="P594" s="21"/>
      <c r="Q594" s="19"/>
      <c r="R594" s="19"/>
      <c r="S594" s="19"/>
      <c r="T594" s="19"/>
      <c r="U594" s="19"/>
      <c r="V594" s="19"/>
      <c r="W594" s="19"/>
      <c r="X594" s="19"/>
      <c r="Y594" s="19"/>
      <c r="Z594" s="19"/>
    </row>
    <row r="595">
      <c r="A595" s="21"/>
      <c r="B595" s="21"/>
      <c r="C595" s="21"/>
      <c r="D595" s="21"/>
      <c r="E595" s="21"/>
      <c r="F595" s="21"/>
      <c r="G595" s="21"/>
      <c r="H595" s="2"/>
      <c r="I595" s="21"/>
      <c r="J595" s="21"/>
      <c r="K595" s="21"/>
      <c r="L595" s="21"/>
      <c r="M595" s="21"/>
      <c r="N595" s="21"/>
      <c r="O595" s="21"/>
      <c r="P595" s="21"/>
      <c r="Q595" s="19"/>
      <c r="R595" s="19"/>
      <c r="S595" s="19"/>
      <c r="T595" s="19"/>
      <c r="U595" s="19"/>
      <c r="V595" s="19"/>
      <c r="W595" s="19"/>
      <c r="X595" s="19"/>
      <c r="Y595" s="19"/>
      <c r="Z595" s="19"/>
    </row>
    <row r="596">
      <c r="A596" s="21"/>
      <c r="B596" s="21"/>
      <c r="C596" s="21"/>
      <c r="D596" s="21"/>
      <c r="E596" s="21"/>
      <c r="F596" s="21"/>
      <c r="G596" s="21"/>
      <c r="H596" s="2"/>
      <c r="I596" s="21"/>
      <c r="J596" s="21"/>
      <c r="K596" s="21"/>
      <c r="L596" s="21"/>
      <c r="M596" s="21"/>
      <c r="N596" s="21"/>
      <c r="O596" s="21"/>
      <c r="P596" s="21"/>
      <c r="Q596" s="19"/>
      <c r="R596" s="19"/>
      <c r="S596" s="19"/>
      <c r="T596" s="19"/>
      <c r="U596" s="19"/>
      <c r="V596" s="19"/>
      <c r="W596" s="19"/>
      <c r="X596" s="19"/>
      <c r="Y596" s="19"/>
      <c r="Z596" s="19"/>
    </row>
    <row r="597">
      <c r="A597" s="21"/>
      <c r="B597" s="21"/>
      <c r="C597" s="21"/>
      <c r="D597" s="21"/>
      <c r="E597" s="21"/>
      <c r="F597" s="21"/>
      <c r="G597" s="21"/>
      <c r="H597" s="2"/>
      <c r="I597" s="21"/>
      <c r="J597" s="21"/>
      <c r="K597" s="21"/>
      <c r="L597" s="21"/>
      <c r="M597" s="21"/>
      <c r="N597" s="21"/>
      <c r="O597" s="21"/>
      <c r="P597" s="21"/>
      <c r="Q597" s="19"/>
      <c r="R597" s="19"/>
      <c r="S597" s="19"/>
      <c r="T597" s="19"/>
      <c r="U597" s="19"/>
      <c r="V597" s="19"/>
      <c r="W597" s="19"/>
      <c r="X597" s="19"/>
      <c r="Y597" s="19"/>
      <c r="Z597" s="19"/>
    </row>
    <row r="598">
      <c r="A598" s="21"/>
      <c r="B598" s="21"/>
      <c r="C598" s="21"/>
      <c r="D598" s="21"/>
      <c r="E598" s="21"/>
      <c r="F598" s="21"/>
      <c r="G598" s="21"/>
      <c r="H598" s="2"/>
      <c r="I598" s="21"/>
      <c r="J598" s="21"/>
      <c r="K598" s="21"/>
      <c r="L598" s="21"/>
      <c r="M598" s="21"/>
      <c r="N598" s="21"/>
      <c r="O598" s="21"/>
      <c r="P598" s="21"/>
      <c r="Q598" s="19"/>
      <c r="R598" s="19"/>
      <c r="S598" s="19"/>
      <c r="T598" s="19"/>
      <c r="U598" s="19"/>
      <c r="V598" s="19"/>
      <c r="W598" s="19"/>
      <c r="X598" s="19"/>
      <c r="Y598" s="19"/>
      <c r="Z598" s="19"/>
    </row>
    <row r="599">
      <c r="A599" s="21"/>
      <c r="B599" s="21"/>
      <c r="C599" s="21"/>
      <c r="D599" s="21"/>
      <c r="E599" s="21"/>
      <c r="F599" s="21"/>
      <c r="G599" s="21"/>
      <c r="H599" s="2"/>
      <c r="I599" s="21"/>
      <c r="J599" s="21"/>
      <c r="K599" s="21"/>
      <c r="L599" s="21"/>
      <c r="M599" s="21"/>
      <c r="N599" s="21"/>
      <c r="O599" s="21"/>
      <c r="P599" s="21"/>
      <c r="Q599" s="19"/>
      <c r="R599" s="19"/>
      <c r="S599" s="19"/>
      <c r="T599" s="19"/>
      <c r="U599" s="19"/>
      <c r="V599" s="19"/>
      <c r="W599" s="19"/>
      <c r="X599" s="19"/>
      <c r="Y599" s="19"/>
      <c r="Z599" s="19"/>
    </row>
    <row r="600">
      <c r="A600" s="21"/>
      <c r="B600" s="21"/>
      <c r="C600" s="21"/>
      <c r="D600" s="21"/>
      <c r="E600" s="21"/>
      <c r="F600" s="21"/>
      <c r="G600" s="21"/>
      <c r="H600" s="2"/>
      <c r="I600" s="21"/>
      <c r="J600" s="21"/>
      <c r="K600" s="21"/>
      <c r="L600" s="21"/>
      <c r="M600" s="21"/>
      <c r="N600" s="21"/>
      <c r="O600" s="21"/>
      <c r="P600" s="21"/>
      <c r="Q600" s="19"/>
      <c r="R600" s="19"/>
      <c r="S600" s="19"/>
      <c r="T600" s="19"/>
      <c r="U600" s="19"/>
      <c r="V600" s="19"/>
      <c r="W600" s="19"/>
      <c r="X600" s="19"/>
      <c r="Y600" s="19"/>
      <c r="Z600" s="19"/>
    </row>
    <row r="601">
      <c r="A601" s="21"/>
      <c r="B601" s="21"/>
      <c r="C601" s="21"/>
      <c r="D601" s="21"/>
      <c r="E601" s="21"/>
      <c r="F601" s="21"/>
      <c r="G601" s="21"/>
      <c r="H601" s="2"/>
      <c r="I601" s="21"/>
      <c r="J601" s="21"/>
      <c r="K601" s="21"/>
      <c r="L601" s="21"/>
      <c r="M601" s="21"/>
      <c r="N601" s="21"/>
      <c r="O601" s="21"/>
      <c r="P601" s="21"/>
      <c r="Q601" s="19"/>
      <c r="R601" s="19"/>
      <c r="S601" s="19"/>
      <c r="T601" s="19"/>
      <c r="U601" s="19"/>
      <c r="V601" s="19"/>
      <c r="W601" s="19"/>
      <c r="X601" s="19"/>
      <c r="Y601" s="19"/>
      <c r="Z601" s="19"/>
    </row>
    <row r="602">
      <c r="A602" s="21"/>
      <c r="B602" s="21"/>
      <c r="C602" s="21"/>
      <c r="D602" s="21"/>
      <c r="E602" s="21"/>
      <c r="F602" s="21"/>
      <c r="G602" s="21"/>
      <c r="H602" s="2"/>
      <c r="I602" s="21"/>
      <c r="J602" s="21"/>
      <c r="K602" s="21"/>
      <c r="L602" s="21"/>
      <c r="M602" s="21"/>
      <c r="N602" s="21"/>
      <c r="O602" s="21"/>
      <c r="P602" s="21"/>
      <c r="Q602" s="19"/>
      <c r="R602" s="19"/>
      <c r="S602" s="19"/>
      <c r="T602" s="19"/>
      <c r="U602" s="19"/>
      <c r="V602" s="19"/>
      <c r="W602" s="19"/>
      <c r="X602" s="19"/>
      <c r="Y602" s="19"/>
      <c r="Z602" s="19"/>
    </row>
    <row r="603">
      <c r="A603" s="21"/>
      <c r="B603" s="21"/>
      <c r="C603" s="21"/>
      <c r="D603" s="21"/>
      <c r="E603" s="21"/>
      <c r="F603" s="21"/>
      <c r="G603" s="21"/>
      <c r="H603" s="2"/>
      <c r="I603" s="21"/>
      <c r="J603" s="21"/>
      <c r="K603" s="21"/>
      <c r="L603" s="21"/>
      <c r="M603" s="21"/>
      <c r="N603" s="21"/>
      <c r="O603" s="21"/>
      <c r="P603" s="21"/>
      <c r="Q603" s="19"/>
      <c r="R603" s="19"/>
      <c r="S603" s="19"/>
      <c r="T603" s="19"/>
      <c r="U603" s="19"/>
      <c r="V603" s="19"/>
      <c r="W603" s="19"/>
      <c r="X603" s="19"/>
      <c r="Y603" s="19"/>
      <c r="Z603" s="19"/>
    </row>
    <row r="604">
      <c r="A604" s="21"/>
      <c r="B604" s="21"/>
      <c r="C604" s="21"/>
      <c r="D604" s="21"/>
      <c r="E604" s="21"/>
      <c r="F604" s="21"/>
      <c r="G604" s="21"/>
      <c r="H604" s="2"/>
      <c r="I604" s="21"/>
      <c r="J604" s="21"/>
      <c r="K604" s="21"/>
      <c r="L604" s="21"/>
      <c r="M604" s="21"/>
      <c r="N604" s="21"/>
      <c r="O604" s="21"/>
      <c r="P604" s="21"/>
      <c r="Q604" s="19"/>
      <c r="R604" s="19"/>
      <c r="S604" s="19"/>
      <c r="T604" s="19"/>
      <c r="U604" s="19"/>
      <c r="V604" s="19"/>
      <c r="W604" s="19"/>
      <c r="X604" s="19"/>
      <c r="Y604" s="19"/>
      <c r="Z604" s="19"/>
    </row>
    <row r="605">
      <c r="A605" s="21"/>
      <c r="B605" s="21"/>
      <c r="C605" s="21"/>
      <c r="D605" s="21"/>
      <c r="E605" s="21"/>
      <c r="F605" s="21"/>
      <c r="G605" s="21"/>
      <c r="H605" s="2"/>
      <c r="I605" s="21"/>
      <c r="J605" s="21"/>
      <c r="K605" s="21"/>
      <c r="L605" s="21"/>
      <c r="M605" s="21"/>
      <c r="N605" s="21"/>
      <c r="O605" s="21"/>
      <c r="P605" s="21"/>
      <c r="Q605" s="19"/>
      <c r="R605" s="19"/>
      <c r="S605" s="19"/>
      <c r="T605" s="19"/>
      <c r="U605" s="19"/>
      <c r="V605" s="19"/>
      <c r="W605" s="19"/>
      <c r="X605" s="19"/>
      <c r="Y605" s="19"/>
      <c r="Z605" s="19"/>
    </row>
    <row r="606">
      <c r="A606" s="21"/>
      <c r="B606" s="21"/>
      <c r="C606" s="21"/>
      <c r="D606" s="21"/>
      <c r="E606" s="21"/>
      <c r="F606" s="21"/>
      <c r="G606" s="21"/>
      <c r="H606" s="2"/>
      <c r="I606" s="21"/>
      <c r="J606" s="21"/>
      <c r="K606" s="21"/>
      <c r="L606" s="21"/>
      <c r="M606" s="21"/>
      <c r="N606" s="21"/>
      <c r="O606" s="21"/>
      <c r="P606" s="21"/>
      <c r="Q606" s="19"/>
      <c r="R606" s="19"/>
      <c r="S606" s="19"/>
      <c r="T606" s="19"/>
      <c r="U606" s="19"/>
      <c r="V606" s="19"/>
      <c r="W606" s="19"/>
      <c r="X606" s="19"/>
      <c r="Y606" s="19"/>
      <c r="Z606" s="19"/>
    </row>
    <row r="607">
      <c r="A607" s="21"/>
      <c r="B607" s="21"/>
      <c r="C607" s="21"/>
      <c r="D607" s="21"/>
      <c r="E607" s="21"/>
      <c r="F607" s="21"/>
      <c r="G607" s="21"/>
      <c r="H607" s="2"/>
      <c r="I607" s="21"/>
      <c r="J607" s="21"/>
      <c r="K607" s="21"/>
      <c r="L607" s="21"/>
      <c r="M607" s="21"/>
      <c r="N607" s="21"/>
      <c r="O607" s="21"/>
      <c r="P607" s="21"/>
      <c r="Q607" s="19"/>
      <c r="R607" s="19"/>
      <c r="S607" s="19"/>
      <c r="T607" s="19"/>
      <c r="U607" s="19"/>
      <c r="V607" s="19"/>
      <c r="W607" s="19"/>
      <c r="X607" s="19"/>
      <c r="Y607" s="19"/>
      <c r="Z607" s="19"/>
    </row>
    <row r="608">
      <c r="A608" s="21"/>
      <c r="B608" s="21"/>
      <c r="C608" s="21"/>
      <c r="D608" s="21"/>
      <c r="E608" s="21"/>
      <c r="F608" s="21"/>
      <c r="G608" s="21"/>
      <c r="H608" s="2"/>
      <c r="I608" s="21"/>
      <c r="J608" s="21"/>
      <c r="K608" s="21"/>
      <c r="L608" s="21"/>
      <c r="M608" s="21"/>
      <c r="N608" s="21"/>
      <c r="O608" s="21"/>
      <c r="P608" s="21"/>
      <c r="Q608" s="19"/>
      <c r="R608" s="19"/>
      <c r="S608" s="19"/>
      <c r="T608" s="19"/>
      <c r="U608" s="19"/>
      <c r="V608" s="19"/>
      <c r="W608" s="19"/>
      <c r="X608" s="19"/>
      <c r="Y608" s="19"/>
      <c r="Z608" s="19"/>
    </row>
    <row r="609">
      <c r="A609" s="21"/>
      <c r="B609" s="21"/>
      <c r="C609" s="21"/>
      <c r="D609" s="21"/>
      <c r="E609" s="21"/>
      <c r="F609" s="21"/>
      <c r="G609" s="21"/>
      <c r="H609" s="2"/>
      <c r="I609" s="21"/>
      <c r="J609" s="21"/>
      <c r="K609" s="21"/>
      <c r="L609" s="21"/>
      <c r="M609" s="21"/>
      <c r="N609" s="21"/>
      <c r="O609" s="21"/>
      <c r="P609" s="21"/>
      <c r="Q609" s="19"/>
      <c r="R609" s="19"/>
      <c r="S609" s="19"/>
      <c r="T609" s="19"/>
      <c r="U609" s="19"/>
      <c r="V609" s="19"/>
      <c r="W609" s="19"/>
      <c r="X609" s="19"/>
      <c r="Y609" s="19"/>
      <c r="Z609" s="19"/>
    </row>
    <row r="610">
      <c r="A610" s="21"/>
      <c r="B610" s="21"/>
      <c r="C610" s="21"/>
      <c r="D610" s="21"/>
      <c r="E610" s="21"/>
      <c r="F610" s="21"/>
      <c r="G610" s="21"/>
      <c r="H610" s="2"/>
      <c r="I610" s="21"/>
      <c r="J610" s="21"/>
      <c r="K610" s="21"/>
      <c r="L610" s="21"/>
      <c r="M610" s="21"/>
      <c r="N610" s="21"/>
      <c r="O610" s="21"/>
      <c r="P610" s="21"/>
      <c r="Q610" s="19"/>
      <c r="R610" s="19"/>
      <c r="S610" s="19"/>
      <c r="T610" s="19"/>
      <c r="U610" s="19"/>
      <c r="V610" s="19"/>
      <c r="W610" s="19"/>
      <c r="X610" s="19"/>
      <c r="Y610" s="19"/>
      <c r="Z610" s="19"/>
    </row>
    <row r="611">
      <c r="A611" s="21"/>
      <c r="B611" s="21"/>
      <c r="C611" s="21"/>
      <c r="D611" s="21"/>
      <c r="E611" s="21"/>
      <c r="F611" s="21"/>
      <c r="G611" s="21"/>
      <c r="H611" s="2"/>
      <c r="I611" s="21"/>
      <c r="J611" s="21"/>
      <c r="K611" s="21"/>
      <c r="L611" s="21"/>
      <c r="M611" s="21"/>
      <c r="N611" s="21"/>
      <c r="O611" s="21"/>
      <c r="P611" s="21"/>
      <c r="Q611" s="19"/>
      <c r="R611" s="19"/>
      <c r="S611" s="19"/>
      <c r="T611" s="19"/>
      <c r="U611" s="19"/>
      <c r="V611" s="19"/>
      <c r="W611" s="19"/>
      <c r="X611" s="19"/>
      <c r="Y611" s="19"/>
      <c r="Z611" s="19"/>
    </row>
    <row r="612">
      <c r="A612" s="21"/>
      <c r="B612" s="21"/>
      <c r="C612" s="21"/>
      <c r="D612" s="21"/>
      <c r="E612" s="21"/>
      <c r="F612" s="21"/>
      <c r="G612" s="21"/>
      <c r="H612" s="2"/>
      <c r="I612" s="21"/>
      <c r="J612" s="21"/>
      <c r="K612" s="21"/>
      <c r="L612" s="21"/>
      <c r="M612" s="21"/>
      <c r="N612" s="21"/>
      <c r="O612" s="21"/>
      <c r="P612" s="21"/>
      <c r="Q612" s="19"/>
      <c r="R612" s="19"/>
      <c r="S612" s="19"/>
      <c r="T612" s="19"/>
      <c r="U612" s="19"/>
      <c r="V612" s="19"/>
      <c r="W612" s="19"/>
      <c r="X612" s="19"/>
      <c r="Y612" s="19"/>
      <c r="Z612" s="19"/>
    </row>
    <row r="613">
      <c r="A613" s="21"/>
      <c r="B613" s="21"/>
      <c r="C613" s="21"/>
      <c r="D613" s="21"/>
      <c r="E613" s="21"/>
      <c r="F613" s="21"/>
      <c r="G613" s="21"/>
      <c r="H613" s="2"/>
      <c r="I613" s="21"/>
      <c r="J613" s="21"/>
      <c r="K613" s="21"/>
      <c r="L613" s="21"/>
      <c r="M613" s="21"/>
      <c r="N613" s="21"/>
      <c r="O613" s="21"/>
      <c r="P613" s="21"/>
      <c r="Q613" s="19"/>
      <c r="R613" s="19"/>
      <c r="S613" s="19"/>
      <c r="T613" s="19"/>
      <c r="U613" s="19"/>
      <c r="V613" s="19"/>
      <c r="W613" s="19"/>
      <c r="X613" s="19"/>
      <c r="Y613" s="19"/>
      <c r="Z613" s="19"/>
    </row>
    <row r="614">
      <c r="A614" s="21"/>
      <c r="B614" s="21"/>
      <c r="C614" s="21"/>
      <c r="D614" s="21"/>
      <c r="E614" s="21"/>
      <c r="F614" s="21"/>
      <c r="G614" s="21"/>
      <c r="H614" s="2"/>
      <c r="I614" s="21"/>
      <c r="J614" s="21"/>
      <c r="K614" s="21"/>
      <c r="L614" s="21"/>
      <c r="M614" s="21"/>
      <c r="N614" s="21"/>
      <c r="O614" s="21"/>
      <c r="P614" s="21"/>
      <c r="Q614" s="19"/>
      <c r="R614" s="19"/>
      <c r="S614" s="19"/>
      <c r="T614" s="19"/>
      <c r="U614" s="19"/>
      <c r="V614" s="19"/>
      <c r="W614" s="19"/>
      <c r="X614" s="19"/>
      <c r="Y614" s="19"/>
      <c r="Z614" s="19"/>
    </row>
    <row r="615">
      <c r="A615" s="21"/>
      <c r="B615" s="21"/>
      <c r="C615" s="21"/>
      <c r="D615" s="21"/>
      <c r="E615" s="21"/>
      <c r="F615" s="21"/>
      <c r="G615" s="21"/>
      <c r="H615" s="2"/>
      <c r="I615" s="21"/>
      <c r="J615" s="21"/>
      <c r="K615" s="21"/>
      <c r="L615" s="21"/>
      <c r="M615" s="21"/>
      <c r="N615" s="21"/>
      <c r="O615" s="21"/>
      <c r="P615" s="21"/>
      <c r="Q615" s="19"/>
      <c r="R615" s="19"/>
      <c r="S615" s="19"/>
      <c r="T615" s="19"/>
      <c r="U615" s="19"/>
      <c r="V615" s="19"/>
      <c r="W615" s="19"/>
      <c r="X615" s="19"/>
      <c r="Y615" s="19"/>
      <c r="Z615" s="19"/>
    </row>
    <row r="616">
      <c r="A616" s="21"/>
      <c r="B616" s="21"/>
      <c r="C616" s="21"/>
      <c r="D616" s="21"/>
      <c r="E616" s="21"/>
      <c r="F616" s="21"/>
      <c r="G616" s="21"/>
      <c r="H616" s="2"/>
      <c r="I616" s="21"/>
      <c r="J616" s="21"/>
      <c r="K616" s="21"/>
      <c r="L616" s="21"/>
      <c r="M616" s="21"/>
      <c r="N616" s="21"/>
      <c r="O616" s="21"/>
      <c r="P616" s="21"/>
      <c r="Q616" s="19"/>
      <c r="R616" s="19"/>
      <c r="S616" s="19"/>
      <c r="T616" s="19"/>
      <c r="U616" s="19"/>
      <c r="V616" s="19"/>
      <c r="W616" s="19"/>
      <c r="X616" s="19"/>
      <c r="Y616" s="19"/>
      <c r="Z616" s="19"/>
    </row>
    <row r="617">
      <c r="A617" s="21"/>
      <c r="B617" s="21"/>
      <c r="C617" s="21"/>
      <c r="D617" s="21"/>
      <c r="E617" s="21"/>
      <c r="F617" s="21"/>
      <c r="G617" s="21"/>
      <c r="H617" s="2"/>
      <c r="I617" s="21"/>
      <c r="J617" s="21"/>
      <c r="K617" s="21"/>
      <c r="L617" s="21"/>
      <c r="M617" s="21"/>
      <c r="N617" s="21"/>
      <c r="O617" s="21"/>
      <c r="P617" s="21"/>
      <c r="Q617" s="19"/>
      <c r="R617" s="19"/>
      <c r="S617" s="19"/>
      <c r="T617" s="19"/>
      <c r="U617" s="19"/>
      <c r="V617" s="19"/>
      <c r="W617" s="19"/>
      <c r="X617" s="19"/>
      <c r="Y617" s="19"/>
      <c r="Z617" s="19"/>
    </row>
    <row r="618">
      <c r="A618" s="21"/>
      <c r="B618" s="21"/>
      <c r="C618" s="21"/>
      <c r="D618" s="21"/>
      <c r="E618" s="21"/>
      <c r="F618" s="21"/>
      <c r="G618" s="21"/>
      <c r="H618" s="2"/>
      <c r="I618" s="21"/>
      <c r="J618" s="21"/>
      <c r="K618" s="21"/>
      <c r="L618" s="21"/>
      <c r="M618" s="21"/>
      <c r="N618" s="21"/>
      <c r="O618" s="21"/>
      <c r="P618" s="21"/>
      <c r="Q618" s="19"/>
      <c r="R618" s="19"/>
      <c r="S618" s="19"/>
      <c r="T618" s="19"/>
      <c r="U618" s="19"/>
      <c r="V618" s="19"/>
      <c r="W618" s="19"/>
      <c r="X618" s="19"/>
      <c r="Y618" s="19"/>
      <c r="Z618" s="19"/>
    </row>
    <row r="619">
      <c r="A619" s="21"/>
      <c r="B619" s="21"/>
      <c r="C619" s="21"/>
      <c r="D619" s="21"/>
      <c r="E619" s="21"/>
      <c r="F619" s="21"/>
      <c r="G619" s="21"/>
      <c r="H619" s="2"/>
      <c r="I619" s="21"/>
      <c r="J619" s="21"/>
      <c r="K619" s="21"/>
      <c r="L619" s="21"/>
      <c r="M619" s="21"/>
      <c r="N619" s="21"/>
      <c r="O619" s="21"/>
      <c r="P619" s="21"/>
      <c r="Q619" s="19"/>
      <c r="R619" s="19"/>
      <c r="S619" s="19"/>
      <c r="T619" s="19"/>
      <c r="U619" s="19"/>
      <c r="V619" s="19"/>
      <c r="W619" s="19"/>
      <c r="X619" s="19"/>
      <c r="Y619" s="19"/>
      <c r="Z619" s="19"/>
    </row>
    <row r="620">
      <c r="A620" s="21"/>
      <c r="B620" s="21"/>
      <c r="C620" s="21"/>
      <c r="D620" s="21"/>
      <c r="E620" s="21"/>
      <c r="F620" s="21"/>
      <c r="G620" s="21"/>
      <c r="H620" s="2"/>
      <c r="I620" s="21"/>
      <c r="J620" s="21"/>
      <c r="K620" s="21"/>
      <c r="L620" s="21"/>
      <c r="M620" s="21"/>
      <c r="N620" s="21"/>
      <c r="O620" s="21"/>
      <c r="P620" s="21"/>
      <c r="Q620" s="19"/>
      <c r="R620" s="19"/>
      <c r="S620" s="19"/>
      <c r="T620" s="19"/>
      <c r="U620" s="19"/>
      <c r="V620" s="19"/>
      <c r="W620" s="19"/>
      <c r="X620" s="19"/>
      <c r="Y620" s="19"/>
      <c r="Z620" s="19"/>
    </row>
    <row r="621">
      <c r="A621" s="21"/>
      <c r="B621" s="21"/>
      <c r="C621" s="21"/>
      <c r="D621" s="21"/>
      <c r="E621" s="21"/>
      <c r="F621" s="21"/>
      <c r="G621" s="21"/>
      <c r="H621" s="2"/>
      <c r="I621" s="21"/>
      <c r="J621" s="21"/>
      <c r="K621" s="21"/>
      <c r="L621" s="21"/>
      <c r="M621" s="21"/>
      <c r="N621" s="21"/>
      <c r="O621" s="21"/>
      <c r="P621" s="21"/>
      <c r="Q621" s="19"/>
      <c r="R621" s="19"/>
      <c r="S621" s="19"/>
      <c r="T621" s="19"/>
      <c r="U621" s="19"/>
      <c r="V621" s="19"/>
      <c r="W621" s="19"/>
      <c r="X621" s="19"/>
      <c r="Y621" s="19"/>
      <c r="Z621" s="19"/>
    </row>
    <row r="622">
      <c r="A622" s="21"/>
      <c r="B622" s="21"/>
      <c r="C622" s="21"/>
      <c r="D622" s="21"/>
      <c r="E622" s="21"/>
      <c r="F622" s="21"/>
      <c r="G622" s="21"/>
      <c r="H622" s="2"/>
      <c r="I622" s="21"/>
      <c r="J622" s="21"/>
      <c r="K622" s="21"/>
      <c r="L622" s="21"/>
      <c r="M622" s="21"/>
      <c r="N622" s="21"/>
      <c r="O622" s="21"/>
      <c r="P622" s="21"/>
      <c r="Q622" s="19"/>
      <c r="R622" s="19"/>
      <c r="S622" s="19"/>
      <c r="T622" s="19"/>
      <c r="U622" s="19"/>
      <c r="V622" s="19"/>
      <c r="W622" s="19"/>
      <c r="X622" s="19"/>
      <c r="Y622" s="19"/>
      <c r="Z622" s="19"/>
    </row>
    <row r="623">
      <c r="A623" s="21"/>
      <c r="B623" s="21"/>
      <c r="C623" s="21"/>
      <c r="D623" s="21"/>
      <c r="E623" s="21"/>
      <c r="F623" s="21"/>
      <c r="G623" s="21"/>
      <c r="H623" s="2"/>
      <c r="I623" s="21"/>
      <c r="J623" s="21"/>
      <c r="K623" s="21"/>
      <c r="L623" s="21"/>
      <c r="M623" s="21"/>
      <c r="N623" s="21"/>
      <c r="O623" s="21"/>
      <c r="P623" s="21"/>
      <c r="Q623" s="19"/>
      <c r="R623" s="19"/>
      <c r="S623" s="19"/>
      <c r="T623" s="19"/>
      <c r="U623" s="19"/>
      <c r="V623" s="19"/>
      <c r="W623" s="19"/>
      <c r="X623" s="19"/>
      <c r="Y623" s="19"/>
      <c r="Z623" s="19"/>
    </row>
    <row r="624">
      <c r="A624" s="21"/>
      <c r="B624" s="21"/>
      <c r="C624" s="21"/>
      <c r="D624" s="21"/>
      <c r="E624" s="21"/>
      <c r="F624" s="21"/>
      <c r="G624" s="21"/>
      <c r="H624" s="2"/>
      <c r="I624" s="21"/>
      <c r="J624" s="21"/>
      <c r="K624" s="21"/>
      <c r="L624" s="21"/>
      <c r="M624" s="21"/>
      <c r="N624" s="21"/>
      <c r="O624" s="21"/>
      <c r="P624" s="21"/>
      <c r="Q624" s="19"/>
      <c r="R624" s="19"/>
      <c r="S624" s="19"/>
      <c r="T624" s="19"/>
      <c r="U624" s="19"/>
      <c r="V624" s="19"/>
      <c r="W624" s="19"/>
      <c r="X624" s="19"/>
      <c r="Y624" s="19"/>
      <c r="Z624" s="19"/>
    </row>
    <row r="625">
      <c r="A625" s="21"/>
      <c r="B625" s="21"/>
      <c r="C625" s="21"/>
      <c r="D625" s="21"/>
      <c r="E625" s="21"/>
      <c r="F625" s="21"/>
      <c r="G625" s="21"/>
      <c r="H625" s="2"/>
      <c r="I625" s="21"/>
      <c r="J625" s="21"/>
      <c r="K625" s="21"/>
      <c r="L625" s="21"/>
      <c r="M625" s="21"/>
      <c r="N625" s="21"/>
      <c r="O625" s="21"/>
      <c r="P625" s="21"/>
      <c r="Q625" s="19"/>
      <c r="R625" s="19"/>
      <c r="S625" s="19"/>
      <c r="T625" s="19"/>
      <c r="U625" s="19"/>
      <c r="V625" s="19"/>
      <c r="W625" s="19"/>
      <c r="X625" s="19"/>
      <c r="Y625" s="19"/>
      <c r="Z625" s="19"/>
    </row>
    <row r="626">
      <c r="A626" s="21"/>
      <c r="B626" s="21"/>
      <c r="C626" s="21"/>
      <c r="D626" s="21"/>
      <c r="E626" s="21"/>
      <c r="F626" s="21"/>
      <c r="G626" s="21"/>
      <c r="H626" s="2"/>
      <c r="I626" s="21"/>
      <c r="J626" s="21"/>
      <c r="K626" s="21"/>
      <c r="L626" s="21"/>
      <c r="M626" s="21"/>
      <c r="N626" s="21"/>
      <c r="O626" s="21"/>
      <c r="P626" s="21"/>
      <c r="Q626" s="19"/>
      <c r="R626" s="19"/>
      <c r="S626" s="19"/>
      <c r="T626" s="19"/>
      <c r="U626" s="19"/>
      <c r="V626" s="19"/>
      <c r="W626" s="19"/>
      <c r="X626" s="19"/>
      <c r="Y626" s="19"/>
      <c r="Z626" s="19"/>
    </row>
    <row r="627">
      <c r="A627" s="21"/>
      <c r="B627" s="21"/>
      <c r="C627" s="21"/>
      <c r="D627" s="21"/>
      <c r="E627" s="21"/>
      <c r="F627" s="21"/>
      <c r="G627" s="21"/>
      <c r="H627" s="2"/>
      <c r="I627" s="21"/>
      <c r="J627" s="21"/>
      <c r="K627" s="21"/>
      <c r="L627" s="21"/>
      <c r="M627" s="21"/>
      <c r="N627" s="21"/>
      <c r="O627" s="21"/>
      <c r="P627" s="21"/>
      <c r="Q627" s="19"/>
      <c r="R627" s="19"/>
      <c r="S627" s="19"/>
      <c r="T627" s="19"/>
      <c r="U627" s="19"/>
      <c r="V627" s="19"/>
      <c r="W627" s="19"/>
      <c r="X627" s="19"/>
      <c r="Y627" s="19"/>
      <c r="Z627" s="19"/>
    </row>
    <row r="628">
      <c r="A628" s="21"/>
      <c r="B628" s="21"/>
      <c r="C628" s="21"/>
      <c r="D628" s="21"/>
      <c r="E628" s="21"/>
      <c r="F628" s="21"/>
      <c r="G628" s="21"/>
      <c r="H628" s="2"/>
      <c r="I628" s="21"/>
      <c r="J628" s="21"/>
      <c r="K628" s="21"/>
      <c r="L628" s="21"/>
      <c r="M628" s="21"/>
      <c r="N628" s="21"/>
      <c r="O628" s="21"/>
      <c r="P628" s="21"/>
      <c r="Q628" s="19"/>
      <c r="R628" s="19"/>
      <c r="S628" s="19"/>
      <c r="T628" s="19"/>
      <c r="U628" s="19"/>
      <c r="V628" s="19"/>
      <c r="W628" s="19"/>
      <c r="X628" s="19"/>
      <c r="Y628" s="19"/>
      <c r="Z628" s="19"/>
    </row>
    <row r="629">
      <c r="A629" s="21"/>
      <c r="B629" s="21"/>
      <c r="C629" s="21"/>
      <c r="D629" s="21"/>
      <c r="E629" s="21"/>
      <c r="F629" s="21"/>
      <c r="G629" s="21"/>
      <c r="H629" s="2"/>
      <c r="I629" s="21"/>
      <c r="J629" s="21"/>
      <c r="K629" s="21"/>
      <c r="L629" s="21"/>
      <c r="M629" s="21"/>
      <c r="N629" s="21"/>
      <c r="O629" s="21"/>
      <c r="P629" s="21"/>
      <c r="Q629" s="19"/>
      <c r="R629" s="19"/>
      <c r="S629" s="19"/>
      <c r="T629" s="19"/>
      <c r="U629" s="19"/>
      <c r="V629" s="19"/>
      <c r="W629" s="19"/>
      <c r="X629" s="19"/>
      <c r="Y629" s="19"/>
      <c r="Z629" s="19"/>
    </row>
    <row r="630">
      <c r="A630" s="21"/>
      <c r="B630" s="21"/>
      <c r="C630" s="21"/>
      <c r="D630" s="21"/>
      <c r="E630" s="21"/>
      <c r="F630" s="21"/>
      <c r="G630" s="21"/>
      <c r="H630" s="2"/>
      <c r="I630" s="21"/>
      <c r="J630" s="21"/>
      <c r="K630" s="21"/>
      <c r="L630" s="21"/>
      <c r="M630" s="21"/>
      <c r="N630" s="21"/>
      <c r="O630" s="21"/>
      <c r="P630" s="21"/>
      <c r="Q630" s="19"/>
      <c r="R630" s="19"/>
      <c r="S630" s="19"/>
      <c r="T630" s="19"/>
      <c r="U630" s="19"/>
      <c r="V630" s="19"/>
      <c r="W630" s="19"/>
      <c r="X630" s="19"/>
      <c r="Y630" s="19"/>
      <c r="Z630" s="19"/>
    </row>
    <row r="631">
      <c r="A631" s="21"/>
      <c r="B631" s="21"/>
      <c r="C631" s="21"/>
      <c r="D631" s="21"/>
      <c r="E631" s="21"/>
      <c r="F631" s="21"/>
      <c r="G631" s="21"/>
      <c r="H631" s="2"/>
      <c r="I631" s="21"/>
      <c r="J631" s="21"/>
      <c r="K631" s="21"/>
      <c r="L631" s="21"/>
      <c r="M631" s="21"/>
      <c r="N631" s="21"/>
      <c r="O631" s="21"/>
      <c r="P631" s="21"/>
      <c r="Q631" s="19"/>
      <c r="R631" s="19"/>
      <c r="S631" s="19"/>
      <c r="T631" s="19"/>
      <c r="U631" s="19"/>
      <c r="V631" s="19"/>
      <c r="W631" s="19"/>
      <c r="X631" s="19"/>
      <c r="Y631" s="19"/>
      <c r="Z631" s="19"/>
    </row>
    <row r="632">
      <c r="A632" s="21"/>
      <c r="B632" s="21"/>
      <c r="C632" s="21"/>
      <c r="D632" s="21"/>
      <c r="E632" s="21"/>
      <c r="F632" s="21"/>
      <c r="G632" s="21"/>
      <c r="H632" s="2"/>
      <c r="I632" s="21"/>
      <c r="J632" s="21"/>
      <c r="K632" s="21"/>
      <c r="L632" s="21"/>
      <c r="M632" s="21"/>
      <c r="N632" s="21"/>
      <c r="O632" s="21"/>
      <c r="P632" s="21"/>
      <c r="Q632" s="19"/>
      <c r="R632" s="19"/>
      <c r="S632" s="19"/>
      <c r="T632" s="19"/>
      <c r="U632" s="19"/>
      <c r="V632" s="19"/>
      <c r="W632" s="19"/>
      <c r="X632" s="19"/>
      <c r="Y632" s="19"/>
      <c r="Z632" s="19"/>
    </row>
    <row r="633">
      <c r="A633" s="21"/>
      <c r="B633" s="21"/>
      <c r="C633" s="21"/>
      <c r="D633" s="21"/>
      <c r="E633" s="21"/>
      <c r="F633" s="21"/>
      <c r="G633" s="21"/>
      <c r="H633" s="2"/>
      <c r="I633" s="21"/>
      <c r="J633" s="21"/>
      <c r="K633" s="21"/>
      <c r="L633" s="21"/>
      <c r="M633" s="21"/>
      <c r="N633" s="21"/>
      <c r="O633" s="21"/>
      <c r="P633" s="21"/>
      <c r="Q633" s="19"/>
      <c r="R633" s="19"/>
      <c r="S633" s="19"/>
      <c r="T633" s="19"/>
      <c r="U633" s="19"/>
      <c r="V633" s="19"/>
      <c r="W633" s="19"/>
      <c r="X633" s="19"/>
      <c r="Y633" s="19"/>
      <c r="Z633" s="19"/>
    </row>
    <row r="634">
      <c r="A634" s="21"/>
      <c r="B634" s="21"/>
      <c r="C634" s="21"/>
      <c r="D634" s="21"/>
      <c r="E634" s="21"/>
      <c r="F634" s="21"/>
      <c r="G634" s="21"/>
      <c r="H634" s="2"/>
      <c r="I634" s="21"/>
      <c r="J634" s="21"/>
      <c r="K634" s="21"/>
      <c r="L634" s="21"/>
      <c r="M634" s="21"/>
      <c r="N634" s="21"/>
      <c r="O634" s="21"/>
      <c r="P634" s="21"/>
      <c r="Q634" s="19"/>
      <c r="R634" s="19"/>
      <c r="S634" s="19"/>
      <c r="T634" s="19"/>
      <c r="U634" s="19"/>
      <c r="V634" s="19"/>
      <c r="W634" s="19"/>
      <c r="X634" s="19"/>
      <c r="Y634" s="19"/>
      <c r="Z634" s="19"/>
    </row>
    <row r="635">
      <c r="A635" s="21"/>
      <c r="B635" s="21"/>
      <c r="C635" s="21"/>
      <c r="D635" s="21"/>
      <c r="E635" s="21"/>
      <c r="F635" s="21"/>
      <c r="G635" s="21"/>
      <c r="H635" s="2"/>
      <c r="I635" s="21"/>
      <c r="J635" s="21"/>
      <c r="K635" s="21"/>
      <c r="L635" s="21"/>
      <c r="M635" s="21"/>
      <c r="N635" s="21"/>
      <c r="O635" s="21"/>
      <c r="P635" s="21"/>
      <c r="Q635" s="19"/>
      <c r="R635" s="19"/>
      <c r="S635" s="19"/>
      <c r="T635" s="19"/>
      <c r="U635" s="19"/>
      <c r="V635" s="19"/>
      <c r="W635" s="19"/>
      <c r="X635" s="19"/>
      <c r="Y635" s="19"/>
      <c r="Z635" s="19"/>
    </row>
    <row r="636">
      <c r="A636" s="21"/>
      <c r="B636" s="21"/>
      <c r="C636" s="21"/>
      <c r="D636" s="21"/>
      <c r="E636" s="21"/>
      <c r="F636" s="21"/>
      <c r="G636" s="21"/>
      <c r="H636" s="2"/>
      <c r="I636" s="21"/>
      <c r="J636" s="21"/>
      <c r="K636" s="21"/>
      <c r="L636" s="21"/>
      <c r="M636" s="21"/>
      <c r="N636" s="21"/>
      <c r="O636" s="21"/>
      <c r="P636" s="21"/>
      <c r="Q636" s="19"/>
      <c r="R636" s="19"/>
      <c r="S636" s="19"/>
      <c r="T636" s="19"/>
      <c r="U636" s="19"/>
      <c r="V636" s="19"/>
      <c r="W636" s="19"/>
      <c r="X636" s="19"/>
      <c r="Y636" s="19"/>
      <c r="Z636" s="19"/>
    </row>
    <row r="637">
      <c r="A637" s="21"/>
      <c r="B637" s="21"/>
      <c r="C637" s="21"/>
      <c r="D637" s="21"/>
      <c r="E637" s="21"/>
      <c r="F637" s="21"/>
      <c r="G637" s="21"/>
      <c r="H637" s="2"/>
      <c r="I637" s="21"/>
      <c r="J637" s="21"/>
      <c r="K637" s="21"/>
      <c r="L637" s="21"/>
      <c r="M637" s="21"/>
      <c r="N637" s="21"/>
      <c r="O637" s="21"/>
      <c r="P637" s="21"/>
      <c r="Q637" s="19"/>
      <c r="R637" s="19"/>
      <c r="S637" s="19"/>
      <c r="T637" s="19"/>
      <c r="U637" s="19"/>
      <c r="V637" s="19"/>
      <c r="W637" s="19"/>
      <c r="X637" s="19"/>
      <c r="Y637" s="19"/>
      <c r="Z637" s="19"/>
    </row>
    <row r="638">
      <c r="A638" s="21"/>
      <c r="B638" s="21"/>
      <c r="C638" s="21"/>
      <c r="D638" s="21"/>
      <c r="E638" s="21"/>
      <c r="F638" s="21"/>
      <c r="G638" s="21"/>
      <c r="H638" s="2"/>
      <c r="I638" s="21"/>
      <c r="J638" s="21"/>
      <c r="K638" s="21"/>
      <c r="L638" s="21"/>
      <c r="M638" s="21"/>
      <c r="N638" s="21"/>
      <c r="O638" s="21"/>
      <c r="P638" s="21"/>
      <c r="Q638" s="19"/>
      <c r="R638" s="19"/>
      <c r="S638" s="19"/>
      <c r="T638" s="19"/>
      <c r="U638" s="19"/>
      <c r="V638" s="19"/>
      <c r="W638" s="19"/>
      <c r="X638" s="19"/>
      <c r="Y638" s="19"/>
      <c r="Z638" s="19"/>
    </row>
    <row r="639">
      <c r="A639" s="21"/>
      <c r="B639" s="21"/>
      <c r="C639" s="21"/>
      <c r="D639" s="21"/>
      <c r="E639" s="21"/>
      <c r="F639" s="21"/>
      <c r="G639" s="21"/>
      <c r="H639" s="2"/>
      <c r="I639" s="21"/>
      <c r="J639" s="21"/>
      <c r="K639" s="21"/>
      <c r="L639" s="21"/>
      <c r="M639" s="21"/>
      <c r="N639" s="21"/>
      <c r="O639" s="21"/>
      <c r="P639" s="21"/>
      <c r="Q639" s="19"/>
      <c r="R639" s="19"/>
      <c r="S639" s="19"/>
      <c r="T639" s="19"/>
      <c r="U639" s="19"/>
      <c r="V639" s="19"/>
      <c r="W639" s="19"/>
      <c r="X639" s="19"/>
      <c r="Y639" s="19"/>
      <c r="Z639" s="19"/>
    </row>
    <row r="640">
      <c r="A640" s="21"/>
      <c r="B640" s="21"/>
      <c r="C640" s="21"/>
      <c r="D640" s="21"/>
      <c r="E640" s="21"/>
      <c r="F640" s="21"/>
      <c r="G640" s="21"/>
      <c r="H640" s="2"/>
      <c r="I640" s="21"/>
      <c r="J640" s="21"/>
      <c r="K640" s="21"/>
      <c r="L640" s="21"/>
      <c r="M640" s="21"/>
      <c r="N640" s="21"/>
      <c r="O640" s="21"/>
      <c r="P640" s="21"/>
      <c r="Q640" s="19"/>
      <c r="R640" s="19"/>
      <c r="S640" s="19"/>
      <c r="T640" s="19"/>
      <c r="U640" s="19"/>
      <c r="V640" s="19"/>
      <c r="W640" s="19"/>
      <c r="X640" s="19"/>
      <c r="Y640" s="19"/>
      <c r="Z640" s="19"/>
    </row>
    <row r="641">
      <c r="A641" s="21"/>
      <c r="B641" s="21"/>
      <c r="C641" s="21"/>
      <c r="D641" s="21"/>
      <c r="E641" s="21"/>
      <c r="F641" s="21"/>
      <c r="G641" s="21"/>
      <c r="H641" s="2"/>
      <c r="I641" s="21"/>
      <c r="J641" s="21"/>
      <c r="K641" s="21"/>
      <c r="L641" s="21"/>
      <c r="M641" s="21"/>
      <c r="N641" s="21"/>
      <c r="O641" s="21"/>
      <c r="P641" s="21"/>
      <c r="Q641" s="19"/>
      <c r="R641" s="19"/>
      <c r="S641" s="19"/>
      <c r="T641" s="19"/>
      <c r="U641" s="19"/>
      <c r="V641" s="19"/>
      <c r="W641" s="19"/>
      <c r="X641" s="19"/>
      <c r="Y641" s="19"/>
      <c r="Z641" s="19"/>
    </row>
    <row r="642">
      <c r="A642" s="21"/>
      <c r="B642" s="21"/>
      <c r="C642" s="21"/>
      <c r="D642" s="21"/>
      <c r="E642" s="21"/>
      <c r="F642" s="21"/>
      <c r="G642" s="21"/>
      <c r="H642" s="2"/>
      <c r="I642" s="21"/>
      <c r="J642" s="21"/>
      <c r="K642" s="21"/>
      <c r="L642" s="21"/>
      <c r="M642" s="21"/>
      <c r="N642" s="21"/>
      <c r="O642" s="21"/>
      <c r="P642" s="21"/>
      <c r="Q642" s="19"/>
      <c r="R642" s="19"/>
      <c r="S642" s="19"/>
      <c r="T642" s="19"/>
      <c r="U642" s="19"/>
      <c r="V642" s="19"/>
      <c r="W642" s="19"/>
      <c r="X642" s="19"/>
      <c r="Y642" s="19"/>
      <c r="Z642" s="19"/>
    </row>
    <row r="643">
      <c r="A643" s="21"/>
      <c r="B643" s="21"/>
      <c r="C643" s="21"/>
      <c r="D643" s="21"/>
      <c r="E643" s="21"/>
      <c r="F643" s="21"/>
      <c r="G643" s="21"/>
      <c r="H643" s="2"/>
      <c r="I643" s="21"/>
      <c r="J643" s="21"/>
      <c r="K643" s="21"/>
      <c r="L643" s="21"/>
      <c r="M643" s="21"/>
      <c r="N643" s="21"/>
      <c r="O643" s="21"/>
      <c r="P643" s="21"/>
      <c r="Q643" s="19"/>
      <c r="R643" s="19"/>
      <c r="S643" s="19"/>
      <c r="T643" s="19"/>
      <c r="U643" s="19"/>
      <c r="V643" s="19"/>
      <c r="W643" s="19"/>
      <c r="X643" s="19"/>
      <c r="Y643" s="19"/>
      <c r="Z643" s="19"/>
    </row>
    <row r="644">
      <c r="A644" s="21"/>
      <c r="B644" s="21"/>
      <c r="C644" s="21"/>
      <c r="D644" s="21"/>
      <c r="E644" s="21"/>
      <c r="F644" s="21"/>
      <c r="G644" s="21"/>
      <c r="H644" s="2"/>
      <c r="I644" s="21"/>
      <c r="J644" s="21"/>
      <c r="K644" s="21"/>
      <c r="L644" s="21"/>
      <c r="M644" s="21"/>
      <c r="N644" s="21"/>
      <c r="O644" s="21"/>
      <c r="P644" s="21"/>
      <c r="Q644" s="19"/>
      <c r="R644" s="19"/>
      <c r="S644" s="19"/>
      <c r="T644" s="19"/>
      <c r="U644" s="19"/>
      <c r="V644" s="19"/>
      <c r="W644" s="19"/>
      <c r="X644" s="19"/>
      <c r="Y644" s="19"/>
      <c r="Z644" s="19"/>
    </row>
    <row r="645">
      <c r="A645" s="21"/>
      <c r="B645" s="21"/>
      <c r="C645" s="21"/>
      <c r="D645" s="21"/>
      <c r="E645" s="21"/>
      <c r="F645" s="21"/>
      <c r="G645" s="21"/>
      <c r="H645" s="2"/>
      <c r="I645" s="21"/>
      <c r="J645" s="21"/>
      <c r="K645" s="21"/>
      <c r="L645" s="21"/>
      <c r="M645" s="21"/>
      <c r="N645" s="21"/>
      <c r="O645" s="21"/>
      <c r="P645" s="21"/>
      <c r="Q645" s="19"/>
      <c r="R645" s="19"/>
      <c r="S645" s="19"/>
      <c r="T645" s="19"/>
      <c r="U645" s="19"/>
      <c r="V645" s="19"/>
      <c r="W645" s="19"/>
      <c r="X645" s="19"/>
      <c r="Y645" s="19"/>
      <c r="Z645" s="19"/>
    </row>
    <row r="646">
      <c r="A646" s="21"/>
      <c r="B646" s="21"/>
      <c r="C646" s="21"/>
      <c r="D646" s="21"/>
      <c r="E646" s="21"/>
      <c r="F646" s="21"/>
      <c r="G646" s="21"/>
      <c r="H646" s="2"/>
      <c r="I646" s="21"/>
      <c r="J646" s="21"/>
      <c r="K646" s="21"/>
      <c r="L646" s="21"/>
      <c r="M646" s="21"/>
      <c r="N646" s="21"/>
      <c r="O646" s="21"/>
      <c r="P646" s="21"/>
      <c r="Q646" s="19"/>
      <c r="R646" s="19"/>
      <c r="S646" s="19"/>
      <c r="T646" s="19"/>
      <c r="U646" s="19"/>
      <c r="V646" s="19"/>
      <c r="W646" s="19"/>
      <c r="X646" s="19"/>
      <c r="Y646" s="19"/>
      <c r="Z646" s="19"/>
    </row>
    <row r="647">
      <c r="A647" s="21"/>
      <c r="B647" s="21"/>
      <c r="C647" s="21"/>
      <c r="D647" s="21"/>
      <c r="E647" s="21"/>
      <c r="F647" s="21"/>
      <c r="G647" s="21"/>
      <c r="H647" s="2"/>
      <c r="I647" s="21"/>
      <c r="J647" s="21"/>
      <c r="K647" s="21"/>
      <c r="L647" s="21"/>
      <c r="M647" s="21"/>
      <c r="N647" s="21"/>
      <c r="O647" s="21"/>
      <c r="P647" s="21"/>
      <c r="Q647" s="19"/>
      <c r="R647" s="19"/>
      <c r="S647" s="19"/>
      <c r="T647" s="19"/>
      <c r="U647" s="19"/>
      <c r="V647" s="19"/>
      <c r="W647" s="19"/>
      <c r="X647" s="19"/>
      <c r="Y647" s="19"/>
      <c r="Z647" s="19"/>
    </row>
    <row r="648">
      <c r="A648" s="21"/>
      <c r="B648" s="21"/>
      <c r="C648" s="21"/>
      <c r="D648" s="21"/>
      <c r="E648" s="21"/>
      <c r="F648" s="21"/>
      <c r="G648" s="21"/>
      <c r="H648" s="2"/>
      <c r="I648" s="21"/>
      <c r="J648" s="21"/>
      <c r="K648" s="21"/>
      <c r="L648" s="21"/>
      <c r="M648" s="21"/>
      <c r="N648" s="21"/>
      <c r="O648" s="21"/>
      <c r="P648" s="21"/>
      <c r="Q648" s="19"/>
      <c r="R648" s="19"/>
      <c r="S648" s="19"/>
      <c r="T648" s="19"/>
      <c r="U648" s="19"/>
      <c r="V648" s="19"/>
      <c r="W648" s="19"/>
      <c r="X648" s="19"/>
      <c r="Y648" s="19"/>
      <c r="Z648" s="19"/>
    </row>
    <row r="649">
      <c r="A649" s="21"/>
      <c r="B649" s="21"/>
      <c r="C649" s="21"/>
      <c r="D649" s="21"/>
      <c r="E649" s="21"/>
      <c r="F649" s="21"/>
      <c r="G649" s="21"/>
      <c r="H649" s="2"/>
      <c r="I649" s="21"/>
      <c r="J649" s="21"/>
      <c r="K649" s="21"/>
      <c r="L649" s="21"/>
      <c r="M649" s="21"/>
      <c r="N649" s="21"/>
      <c r="O649" s="21"/>
      <c r="P649" s="21"/>
      <c r="Q649" s="19"/>
      <c r="R649" s="19"/>
      <c r="S649" s="19"/>
      <c r="T649" s="19"/>
      <c r="U649" s="19"/>
      <c r="V649" s="19"/>
      <c r="W649" s="19"/>
      <c r="X649" s="19"/>
      <c r="Y649" s="19"/>
      <c r="Z649" s="19"/>
    </row>
    <row r="650">
      <c r="A650" s="21"/>
      <c r="B650" s="21"/>
      <c r="C650" s="21"/>
      <c r="D650" s="21"/>
      <c r="E650" s="21"/>
      <c r="F650" s="21"/>
      <c r="G650" s="21"/>
      <c r="H650" s="2"/>
      <c r="I650" s="21"/>
      <c r="J650" s="21"/>
      <c r="K650" s="21"/>
      <c r="L650" s="21"/>
      <c r="M650" s="21"/>
      <c r="N650" s="21"/>
      <c r="O650" s="21"/>
      <c r="P650" s="21"/>
      <c r="Q650" s="19"/>
      <c r="R650" s="19"/>
      <c r="S650" s="19"/>
      <c r="T650" s="19"/>
      <c r="U650" s="19"/>
      <c r="V650" s="19"/>
      <c r="W650" s="19"/>
      <c r="X650" s="19"/>
      <c r="Y650" s="19"/>
      <c r="Z650" s="19"/>
    </row>
    <row r="651">
      <c r="A651" s="21"/>
      <c r="B651" s="21"/>
      <c r="C651" s="21"/>
      <c r="D651" s="21"/>
      <c r="E651" s="21"/>
      <c r="F651" s="21"/>
      <c r="G651" s="21"/>
      <c r="H651" s="2"/>
      <c r="I651" s="21"/>
      <c r="J651" s="21"/>
      <c r="K651" s="21"/>
      <c r="L651" s="21"/>
      <c r="M651" s="21"/>
      <c r="N651" s="21"/>
      <c r="O651" s="21"/>
      <c r="P651" s="21"/>
      <c r="Q651" s="19"/>
      <c r="R651" s="19"/>
      <c r="S651" s="19"/>
      <c r="T651" s="19"/>
      <c r="U651" s="19"/>
      <c r="V651" s="19"/>
      <c r="W651" s="19"/>
      <c r="X651" s="19"/>
      <c r="Y651" s="19"/>
      <c r="Z651" s="19"/>
    </row>
    <row r="652">
      <c r="A652" s="21"/>
      <c r="B652" s="21"/>
      <c r="C652" s="21"/>
      <c r="D652" s="21"/>
      <c r="E652" s="21"/>
      <c r="F652" s="21"/>
      <c r="G652" s="21"/>
      <c r="H652" s="2"/>
      <c r="I652" s="21"/>
      <c r="J652" s="21"/>
      <c r="K652" s="21"/>
      <c r="L652" s="21"/>
      <c r="M652" s="21"/>
      <c r="N652" s="21"/>
      <c r="O652" s="21"/>
      <c r="P652" s="21"/>
      <c r="Q652" s="19"/>
      <c r="R652" s="19"/>
      <c r="S652" s="19"/>
      <c r="T652" s="19"/>
      <c r="U652" s="19"/>
      <c r="V652" s="19"/>
      <c r="W652" s="19"/>
      <c r="X652" s="19"/>
      <c r="Y652" s="19"/>
      <c r="Z652" s="19"/>
    </row>
    <row r="653">
      <c r="A653" s="21"/>
      <c r="B653" s="21"/>
      <c r="C653" s="21"/>
      <c r="D653" s="21"/>
      <c r="E653" s="21"/>
      <c r="F653" s="21"/>
      <c r="G653" s="21"/>
      <c r="H653" s="2"/>
      <c r="I653" s="21"/>
      <c r="J653" s="21"/>
      <c r="K653" s="21"/>
      <c r="L653" s="21"/>
      <c r="M653" s="21"/>
      <c r="N653" s="21"/>
      <c r="O653" s="21"/>
      <c r="P653" s="21"/>
      <c r="Q653" s="19"/>
      <c r="R653" s="19"/>
      <c r="S653" s="19"/>
      <c r="T653" s="19"/>
      <c r="U653" s="19"/>
      <c r="V653" s="19"/>
      <c r="W653" s="19"/>
      <c r="X653" s="19"/>
      <c r="Y653" s="19"/>
      <c r="Z653" s="19"/>
    </row>
    <row r="654">
      <c r="A654" s="21"/>
      <c r="B654" s="21"/>
      <c r="C654" s="21"/>
      <c r="D654" s="21"/>
      <c r="E654" s="21"/>
      <c r="F654" s="21"/>
      <c r="G654" s="21"/>
      <c r="H654" s="2"/>
      <c r="I654" s="21"/>
      <c r="J654" s="21"/>
      <c r="K654" s="21"/>
      <c r="L654" s="21"/>
      <c r="M654" s="21"/>
      <c r="N654" s="21"/>
      <c r="O654" s="21"/>
      <c r="P654" s="21"/>
      <c r="Q654" s="19"/>
      <c r="R654" s="19"/>
      <c r="S654" s="19"/>
      <c r="T654" s="19"/>
      <c r="U654" s="19"/>
      <c r="V654" s="19"/>
      <c r="W654" s="19"/>
      <c r="X654" s="19"/>
      <c r="Y654" s="19"/>
      <c r="Z654" s="19"/>
    </row>
    <row r="655">
      <c r="A655" s="21"/>
      <c r="B655" s="21"/>
      <c r="C655" s="21"/>
      <c r="D655" s="21"/>
      <c r="E655" s="21"/>
      <c r="F655" s="21"/>
      <c r="G655" s="21"/>
      <c r="H655" s="2"/>
      <c r="I655" s="21"/>
      <c r="J655" s="21"/>
      <c r="K655" s="21"/>
      <c r="L655" s="21"/>
      <c r="M655" s="21"/>
      <c r="N655" s="21"/>
      <c r="O655" s="21"/>
      <c r="P655" s="21"/>
      <c r="Q655" s="19"/>
      <c r="R655" s="19"/>
      <c r="S655" s="19"/>
      <c r="T655" s="19"/>
      <c r="U655" s="19"/>
      <c r="V655" s="19"/>
      <c r="W655" s="19"/>
      <c r="X655" s="19"/>
      <c r="Y655" s="19"/>
      <c r="Z655" s="19"/>
    </row>
    <row r="656">
      <c r="A656" s="21"/>
      <c r="B656" s="21"/>
      <c r="C656" s="21"/>
      <c r="D656" s="21"/>
      <c r="E656" s="21"/>
      <c r="F656" s="21"/>
      <c r="G656" s="21"/>
      <c r="H656" s="2"/>
      <c r="I656" s="21"/>
      <c r="J656" s="21"/>
      <c r="K656" s="21"/>
      <c r="L656" s="21"/>
      <c r="M656" s="21"/>
      <c r="N656" s="21"/>
      <c r="O656" s="21"/>
      <c r="P656" s="21"/>
      <c r="Q656" s="19"/>
      <c r="R656" s="19"/>
      <c r="S656" s="19"/>
      <c r="T656" s="19"/>
      <c r="U656" s="19"/>
      <c r="V656" s="19"/>
      <c r="W656" s="19"/>
      <c r="X656" s="19"/>
      <c r="Y656" s="19"/>
      <c r="Z656" s="19"/>
    </row>
    <row r="657">
      <c r="A657" s="21"/>
      <c r="B657" s="21"/>
      <c r="C657" s="21"/>
      <c r="D657" s="21"/>
      <c r="E657" s="21"/>
      <c r="F657" s="21"/>
      <c r="G657" s="21"/>
      <c r="H657" s="2"/>
      <c r="I657" s="21"/>
      <c r="J657" s="21"/>
      <c r="K657" s="21"/>
      <c r="L657" s="21"/>
      <c r="M657" s="21"/>
      <c r="N657" s="21"/>
      <c r="O657" s="21"/>
      <c r="P657" s="21"/>
      <c r="Q657" s="19"/>
      <c r="R657" s="19"/>
      <c r="S657" s="19"/>
      <c r="T657" s="19"/>
      <c r="U657" s="19"/>
      <c r="V657" s="19"/>
      <c r="W657" s="19"/>
      <c r="X657" s="19"/>
      <c r="Y657" s="19"/>
      <c r="Z657" s="19"/>
    </row>
    <row r="658">
      <c r="A658" s="21"/>
      <c r="B658" s="21"/>
      <c r="C658" s="21"/>
      <c r="D658" s="21"/>
      <c r="E658" s="21"/>
      <c r="F658" s="21"/>
      <c r="G658" s="21"/>
      <c r="H658" s="2"/>
      <c r="I658" s="21"/>
      <c r="J658" s="21"/>
      <c r="K658" s="21"/>
      <c r="L658" s="21"/>
      <c r="M658" s="21"/>
      <c r="N658" s="21"/>
      <c r="O658" s="21"/>
      <c r="P658" s="21"/>
      <c r="Q658" s="19"/>
      <c r="R658" s="19"/>
      <c r="S658" s="19"/>
      <c r="T658" s="19"/>
      <c r="U658" s="19"/>
      <c r="V658" s="19"/>
      <c r="W658" s="19"/>
      <c r="X658" s="19"/>
      <c r="Y658" s="19"/>
      <c r="Z658" s="19"/>
    </row>
    <row r="659">
      <c r="A659" s="21"/>
      <c r="B659" s="21"/>
      <c r="C659" s="21"/>
      <c r="D659" s="21"/>
      <c r="E659" s="21"/>
      <c r="F659" s="21"/>
      <c r="G659" s="21"/>
      <c r="H659" s="2"/>
      <c r="I659" s="21"/>
      <c r="J659" s="21"/>
      <c r="K659" s="21"/>
      <c r="L659" s="21"/>
      <c r="M659" s="21"/>
      <c r="N659" s="21"/>
      <c r="O659" s="21"/>
      <c r="P659" s="21"/>
      <c r="Q659" s="19"/>
      <c r="R659" s="19"/>
      <c r="S659" s="19"/>
      <c r="T659" s="19"/>
      <c r="U659" s="19"/>
      <c r="V659" s="19"/>
      <c r="W659" s="19"/>
      <c r="X659" s="19"/>
      <c r="Y659" s="19"/>
      <c r="Z659" s="19"/>
    </row>
    <row r="660">
      <c r="A660" s="21"/>
      <c r="B660" s="21"/>
      <c r="C660" s="21"/>
      <c r="D660" s="21"/>
      <c r="E660" s="21"/>
      <c r="F660" s="21"/>
      <c r="G660" s="21"/>
      <c r="H660" s="2"/>
      <c r="I660" s="21"/>
      <c r="J660" s="21"/>
      <c r="K660" s="21"/>
      <c r="L660" s="21"/>
      <c r="M660" s="21"/>
      <c r="N660" s="21"/>
      <c r="O660" s="21"/>
      <c r="P660" s="21"/>
      <c r="Q660" s="19"/>
      <c r="R660" s="19"/>
      <c r="S660" s="19"/>
      <c r="T660" s="19"/>
      <c r="U660" s="19"/>
      <c r="V660" s="19"/>
      <c r="W660" s="19"/>
      <c r="X660" s="19"/>
      <c r="Y660" s="19"/>
      <c r="Z660" s="19"/>
    </row>
    <row r="661">
      <c r="A661" s="21"/>
      <c r="B661" s="21"/>
      <c r="C661" s="21"/>
      <c r="D661" s="21"/>
      <c r="E661" s="21"/>
      <c r="F661" s="21"/>
      <c r="G661" s="21"/>
      <c r="H661" s="2"/>
      <c r="I661" s="21"/>
      <c r="J661" s="21"/>
      <c r="K661" s="21"/>
      <c r="L661" s="21"/>
      <c r="M661" s="21"/>
      <c r="N661" s="21"/>
      <c r="O661" s="21"/>
      <c r="P661" s="21"/>
      <c r="Q661" s="19"/>
      <c r="R661" s="19"/>
      <c r="S661" s="19"/>
      <c r="T661" s="19"/>
      <c r="U661" s="19"/>
      <c r="V661" s="19"/>
      <c r="W661" s="19"/>
      <c r="X661" s="19"/>
      <c r="Y661" s="19"/>
      <c r="Z661" s="19"/>
    </row>
    <row r="662">
      <c r="A662" s="21"/>
      <c r="B662" s="21"/>
      <c r="C662" s="21"/>
      <c r="D662" s="21"/>
      <c r="E662" s="21"/>
      <c r="F662" s="21"/>
      <c r="G662" s="21"/>
      <c r="H662" s="2"/>
      <c r="I662" s="21"/>
      <c r="J662" s="21"/>
      <c r="K662" s="21"/>
      <c r="L662" s="21"/>
      <c r="M662" s="21"/>
      <c r="N662" s="21"/>
      <c r="O662" s="21"/>
      <c r="P662" s="21"/>
      <c r="Q662" s="19"/>
      <c r="R662" s="19"/>
      <c r="S662" s="19"/>
      <c r="T662" s="19"/>
      <c r="U662" s="19"/>
      <c r="V662" s="19"/>
      <c r="W662" s="19"/>
      <c r="X662" s="19"/>
      <c r="Y662" s="19"/>
      <c r="Z662" s="19"/>
    </row>
    <row r="663">
      <c r="A663" s="21"/>
      <c r="B663" s="21"/>
      <c r="C663" s="21"/>
      <c r="D663" s="21"/>
      <c r="E663" s="21"/>
      <c r="F663" s="21"/>
      <c r="G663" s="21"/>
      <c r="H663" s="2"/>
      <c r="I663" s="21"/>
      <c r="J663" s="21"/>
      <c r="K663" s="21"/>
      <c r="L663" s="21"/>
      <c r="M663" s="21"/>
      <c r="N663" s="21"/>
      <c r="O663" s="21"/>
      <c r="P663" s="21"/>
      <c r="Q663" s="19"/>
      <c r="R663" s="19"/>
      <c r="S663" s="19"/>
      <c r="T663" s="19"/>
      <c r="U663" s="19"/>
      <c r="V663" s="19"/>
      <c r="W663" s="19"/>
      <c r="X663" s="19"/>
      <c r="Y663" s="19"/>
      <c r="Z663" s="19"/>
    </row>
    <row r="664">
      <c r="A664" s="21"/>
      <c r="B664" s="21"/>
      <c r="C664" s="21"/>
      <c r="D664" s="21"/>
      <c r="E664" s="21"/>
      <c r="F664" s="21"/>
      <c r="G664" s="21"/>
      <c r="H664" s="2"/>
      <c r="I664" s="21"/>
      <c r="J664" s="21"/>
      <c r="K664" s="21"/>
      <c r="L664" s="21"/>
      <c r="M664" s="21"/>
      <c r="N664" s="21"/>
      <c r="O664" s="21"/>
      <c r="P664" s="21"/>
      <c r="Q664" s="19"/>
      <c r="R664" s="19"/>
      <c r="S664" s="19"/>
      <c r="T664" s="19"/>
      <c r="U664" s="19"/>
      <c r="V664" s="19"/>
      <c r="W664" s="19"/>
      <c r="X664" s="19"/>
      <c r="Y664" s="19"/>
      <c r="Z664" s="19"/>
    </row>
    <row r="665">
      <c r="A665" s="21"/>
      <c r="B665" s="21"/>
      <c r="C665" s="21"/>
      <c r="D665" s="21"/>
      <c r="E665" s="21"/>
      <c r="F665" s="21"/>
      <c r="G665" s="21"/>
      <c r="H665" s="2"/>
      <c r="I665" s="21"/>
      <c r="J665" s="21"/>
      <c r="K665" s="21"/>
      <c r="L665" s="21"/>
      <c r="M665" s="21"/>
      <c r="N665" s="21"/>
      <c r="O665" s="21"/>
      <c r="P665" s="21"/>
      <c r="Q665" s="19"/>
      <c r="R665" s="19"/>
      <c r="S665" s="19"/>
      <c r="T665" s="19"/>
      <c r="U665" s="19"/>
      <c r="V665" s="19"/>
      <c r="W665" s="19"/>
      <c r="X665" s="19"/>
      <c r="Y665" s="19"/>
      <c r="Z665" s="19"/>
    </row>
    <row r="666">
      <c r="A666" s="21"/>
      <c r="B666" s="21"/>
      <c r="C666" s="21"/>
      <c r="D666" s="21"/>
      <c r="E666" s="21"/>
      <c r="F666" s="21"/>
      <c r="G666" s="21"/>
      <c r="H666" s="2"/>
      <c r="I666" s="21"/>
      <c r="J666" s="21"/>
      <c r="K666" s="21"/>
      <c r="L666" s="21"/>
      <c r="M666" s="21"/>
      <c r="N666" s="21"/>
      <c r="O666" s="21"/>
      <c r="P666" s="21"/>
      <c r="Q666" s="19"/>
      <c r="R666" s="19"/>
      <c r="S666" s="19"/>
      <c r="T666" s="19"/>
      <c r="U666" s="19"/>
      <c r="V666" s="19"/>
      <c r="W666" s="19"/>
      <c r="X666" s="19"/>
      <c r="Y666" s="19"/>
      <c r="Z666" s="19"/>
    </row>
    <row r="667">
      <c r="A667" s="21"/>
      <c r="B667" s="21"/>
      <c r="C667" s="21"/>
      <c r="D667" s="21"/>
      <c r="E667" s="21"/>
      <c r="F667" s="21"/>
      <c r="G667" s="21"/>
      <c r="H667" s="2"/>
      <c r="I667" s="21"/>
      <c r="J667" s="21"/>
      <c r="K667" s="21"/>
      <c r="L667" s="21"/>
      <c r="M667" s="21"/>
      <c r="N667" s="21"/>
      <c r="O667" s="21"/>
      <c r="P667" s="21"/>
      <c r="Q667" s="19"/>
      <c r="R667" s="19"/>
      <c r="S667" s="19"/>
      <c r="T667" s="19"/>
      <c r="U667" s="19"/>
      <c r="V667" s="19"/>
      <c r="W667" s="19"/>
      <c r="X667" s="19"/>
      <c r="Y667" s="19"/>
      <c r="Z667" s="19"/>
    </row>
    <row r="668">
      <c r="A668" s="21"/>
      <c r="B668" s="21"/>
      <c r="C668" s="21"/>
      <c r="D668" s="21"/>
      <c r="E668" s="21"/>
      <c r="F668" s="21"/>
      <c r="G668" s="21"/>
      <c r="H668" s="2"/>
      <c r="I668" s="21"/>
      <c r="J668" s="21"/>
      <c r="K668" s="21"/>
      <c r="L668" s="21"/>
      <c r="M668" s="21"/>
      <c r="N668" s="21"/>
      <c r="O668" s="21"/>
      <c r="P668" s="21"/>
      <c r="Q668" s="19"/>
      <c r="R668" s="19"/>
      <c r="S668" s="19"/>
      <c r="T668" s="19"/>
      <c r="U668" s="19"/>
      <c r="V668" s="19"/>
      <c r="W668" s="19"/>
      <c r="X668" s="19"/>
      <c r="Y668" s="19"/>
      <c r="Z668" s="19"/>
    </row>
    <row r="669">
      <c r="A669" s="21"/>
      <c r="B669" s="21"/>
      <c r="C669" s="21"/>
      <c r="D669" s="21"/>
      <c r="E669" s="21"/>
      <c r="F669" s="21"/>
      <c r="G669" s="21"/>
      <c r="H669" s="2"/>
      <c r="I669" s="21"/>
      <c r="J669" s="21"/>
      <c r="K669" s="21"/>
      <c r="L669" s="21"/>
      <c r="M669" s="21"/>
      <c r="N669" s="21"/>
      <c r="O669" s="21"/>
      <c r="P669" s="21"/>
      <c r="Q669" s="19"/>
      <c r="R669" s="19"/>
      <c r="S669" s="19"/>
      <c r="T669" s="19"/>
      <c r="U669" s="19"/>
      <c r="V669" s="19"/>
      <c r="W669" s="19"/>
      <c r="X669" s="19"/>
      <c r="Y669" s="19"/>
      <c r="Z669" s="19"/>
    </row>
    <row r="670">
      <c r="A670" s="21"/>
      <c r="B670" s="21"/>
      <c r="C670" s="21"/>
      <c r="D670" s="21"/>
      <c r="E670" s="21"/>
      <c r="F670" s="21"/>
      <c r="G670" s="21"/>
      <c r="H670" s="2"/>
      <c r="I670" s="21"/>
      <c r="J670" s="21"/>
      <c r="K670" s="21"/>
      <c r="L670" s="21"/>
      <c r="M670" s="21"/>
      <c r="N670" s="21"/>
      <c r="O670" s="21"/>
      <c r="P670" s="21"/>
      <c r="Q670" s="19"/>
      <c r="R670" s="19"/>
      <c r="S670" s="19"/>
      <c r="T670" s="19"/>
      <c r="U670" s="19"/>
      <c r="V670" s="19"/>
      <c r="W670" s="19"/>
      <c r="X670" s="19"/>
      <c r="Y670" s="19"/>
      <c r="Z670" s="19"/>
    </row>
    <row r="671">
      <c r="A671" s="21"/>
      <c r="B671" s="21"/>
      <c r="C671" s="21"/>
      <c r="D671" s="21"/>
      <c r="E671" s="21"/>
      <c r="F671" s="21"/>
      <c r="G671" s="21"/>
      <c r="H671" s="2"/>
      <c r="I671" s="21"/>
      <c r="J671" s="21"/>
      <c r="K671" s="21"/>
      <c r="L671" s="21"/>
      <c r="M671" s="21"/>
      <c r="N671" s="21"/>
      <c r="O671" s="21"/>
      <c r="P671" s="21"/>
      <c r="Q671" s="19"/>
      <c r="R671" s="19"/>
      <c r="S671" s="19"/>
      <c r="T671" s="19"/>
      <c r="U671" s="19"/>
      <c r="V671" s="19"/>
      <c r="W671" s="19"/>
      <c r="X671" s="19"/>
      <c r="Y671" s="19"/>
      <c r="Z671" s="19"/>
    </row>
    <row r="672">
      <c r="A672" s="21"/>
      <c r="B672" s="21"/>
      <c r="C672" s="21"/>
      <c r="D672" s="21"/>
      <c r="E672" s="21"/>
      <c r="F672" s="21"/>
      <c r="G672" s="21"/>
      <c r="H672" s="2"/>
      <c r="I672" s="21"/>
      <c r="J672" s="21"/>
      <c r="K672" s="21"/>
      <c r="L672" s="21"/>
      <c r="M672" s="21"/>
      <c r="N672" s="21"/>
      <c r="O672" s="21"/>
      <c r="P672" s="21"/>
      <c r="Q672" s="19"/>
      <c r="R672" s="19"/>
      <c r="S672" s="19"/>
      <c r="T672" s="19"/>
      <c r="U672" s="19"/>
      <c r="V672" s="19"/>
      <c r="W672" s="19"/>
      <c r="X672" s="19"/>
      <c r="Y672" s="19"/>
      <c r="Z672" s="19"/>
    </row>
    <row r="673">
      <c r="A673" s="21"/>
      <c r="B673" s="21"/>
      <c r="C673" s="21"/>
      <c r="D673" s="21"/>
      <c r="E673" s="21"/>
      <c r="F673" s="21"/>
      <c r="G673" s="21"/>
      <c r="H673" s="2"/>
      <c r="I673" s="21"/>
      <c r="J673" s="21"/>
      <c r="K673" s="21"/>
      <c r="L673" s="21"/>
      <c r="M673" s="21"/>
      <c r="N673" s="21"/>
      <c r="O673" s="21"/>
      <c r="P673" s="21"/>
      <c r="Q673" s="19"/>
      <c r="R673" s="19"/>
      <c r="S673" s="19"/>
      <c r="T673" s="19"/>
      <c r="U673" s="19"/>
      <c r="V673" s="19"/>
      <c r="W673" s="19"/>
      <c r="X673" s="19"/>
      <c r="Y673" s="19"/>
      <c r="Z673" s="19"/>
    </row>
    <row r="674">
      <c r="A674" s="21"/>
      <c r="B674" s="21"/>
      <c r="C674" s="21"/>
      <c r="D674" s="21"/>
      <c r="E674" s="21"/>
      <c r="F674" s="21"/>
      <c r="G674" s="21"/>
      <c r="H674" s="2"/>
      <c r="I674" s="21"/>
      <c r="J674" s="21"/>
      <c r="K674" s="21"/>
      <c r="L674" s="21"/>
      <c r="M674" s="21"/>
      <c r="N674" s="21"/>
      <c r="O674" s="21"/>
      <c r="P674" s="21"/>
      <c r="Q674" s="19"/>
      <c r="R674" s="19"/>
      <c r="S674" s="19"/>
      <c r="T674" s="19"/>
      <c r="U674" s="19"/>
      <c r="V674" s="19"/>
      <c r="W674" s="19"/>
      <c r="X674" s="19"/>
      <c r="Y674" s="19"/>
      <c r="Z674" s="19"/>
    </row>
    <row r="675">
      <c r="A675" s="21"/>
      <c r="B675" s="21"/>
      <c r="C675" s="21"/>
      <c r="D675" s="21"/>
      <c r="E675" s="21"/>
      <c r="F675" s="21"/>
      <c r="G675" s="21"/>
      <c r="H675" s="2"/>
      <c r="I675" s="21"/>
      <c r="J675" s="21"/>
      <c r="K675" s="21"/>
      <c r="L675" s="21"/>
      <c r="M675" s="21"/>
      <c r="N675" s="21"/>
      <c r="O675" s="21"/>
      <c r="P675" s="21"/>
      <c r="Q675" s="19"/>
      <c r="R675" s="19"/>
      <c r="S675" s="19"/>
      <c r="T675" s="19"/>
      <c r="U675" s="19"/>
      <c r="V675" s="19"/>
      <c r="W675" s="19"/>
      <c r="X675" s="19"/>
      <c r="Y675" s="19"/>
      <c r="Z675" s="19"/>
    </row>
    <row r="676">
      <c r="A676" s="21"/>
      <c r="B676" s="21"/>
      <c r="C676" s="21"/>
      <c r="D676" s="21"/>
      <c r="E676" s="21"/>
      <c r="F676" s="21"/>
      <c r="G676" s="21"/>
      <c r="H676" s="2"/>
      <c r="I676" s="21"/>
      <c r="J676" s="21"/>
      <c r="K676" s="21"/>
      <c r="L676" s="21"/>
      <c r="M676" s="21"/>
      <c r="N676" s="21"/>
      <c r="O676" s="21"/>
      <c r="P676" s="21"/>
      <c r="Q676" s="19"/>
      <c r="R676" s="19"/>
      <c r="S676" s="19"/>
      <c r="T676" s="19"/>
      <c r="U676" s="19"/>
      <c r="V676" s="19"/>
      <c r="W676" s="19"/>
      <c r="X676" s="19"/>
      <c r="Y676" s="19"/>
      <c r="Z676" s="19"/>
    </row>
    <row r="677">
      <c r="A677" s="21"/>
      <c r="B677" s="21"/>
      <c r="C677" s="21"/>
      <c r="D677" s="21"/>
      <c r="E677" s="21"/>
      <c r="F677" s="21"/>
      <c r="G677" s="21"/>
      <c r="H677" s="2"/>
      <c r="I677" s="21"/>
      <c r="J677" s="21"/>
      <c r="K677" s="21"/>
      <c r="L677" s="21"/>
      <c r="M677" s="21"/>
      <c r="N677" s="21"/>
      <c r="O677" s="21"/>
      <c r="P677" s="21"/>
      <c r="Q677" s="19"/>
      <c r="R677" s="19"/>
      <c r="S677" s="19"/>
      <c r="T677" s="19"/>
      <c r="U677" s="19"/>
      <c r="V677" s="19"/>
      <c r="W677" s="19"/>
      <c r="X677" s="19"/>
      <c r="Y677" s="19"/>
      <c r="Z677" s="19"/>
    </row>
    <row r="678">
      <c r="A678" s="21"/>
      <c r="B678" s="21"/>
      <c r="C678" s="21"/>
      <c r="D678" s="21"/>
      <c r="E678" s="21"/>
      <c r="F678" s="21"/>
      <c r="G678" s="21"/>
      <c r="H678" s="2"/>
      <c r="I678" s="21"/>
      <c r="J678" s="21"/>
      <c r="K678" s="21"/>
      <c r="L678" s="21"/>
      <c r="M678" s="21"/>
      <c r="N678" s="21"/>
      <c r="O678" s="21"/>
      <c r="P678" s="21"/>
      <c r="Q678" s="19"/>
      <c r="R678" s="19"/>
      <c r="S678" s="19"/>
      <c r="T678" s="19"/>
      <c r="U678" s="19"/>
      <c r="V678" s="19"/>
      <c r="W678" s="19"/>
      <c r="X678" s="19"/>
      <c r="Y678" s="19"/>
      <c r="Z678" s="19"/>
    </row>
    <row r="679">
      <c r="A679" s="21"/>
      <c r="B679" s="21"/>
      <c r="C679" s="21"/>
      <c r="D679" s="21"/>
      <c r="E679" s="21"/>
      <c r="F679" s="21"/>
      <c r="G679" s="21"/>
      <c r="H679" s="2"/>
      <c r="I679" s="21"/>
      <c r="J679" s="21"/>
      <c r="K679" s="21"/>
      <c r="L679" s="21"/>
      <c r="M679" s="21"/>
      <c r="N679" s="21"/>
      <c r="O679" s="21"/>
      <c r="P679" s="21"/>
      <c r="Q679" s="19"/>
      <c r="R679" s="19"/>
      <c r="S679" s="19"/>
      <c r="T679" s="19"/>
      <c r="U679" s="19"/>
      <c r="V679" s="19"/>
      <c r="W679" s="19"/>
      <c r="X679" s="19"/>
      <c r="Y679" s="19"/>
      <c r="Z679" s="19"/>
    </row>
    <row r="680">
      <c r="A680" s="21"/>
      <c r="B680" s="21"/>
      <c r="C680" s="21"/>
      <c r="D680" s="21"/>
      <c r="E680" s="21"/>
      <c r="F680" s="21"/>
      <c r="G680" s="21"/>
      <c r="H680" s="2"/>
      <c r="I680" s="21"/>
      <c r="J680" s="21"/>
      <c r="K680" s="21"/>
      <c r="L680" s="21"/>
      <c r="M680" s="21"/>
      <c r="N680" s="21"/>
      <c r="O680" s="21"/>
      <c r="P680" s="21"/>
      <c r="Q680" s="19"/>
      <c r="R680" s="19"/>
      <c r="S680" s="19"/>
      <c r="T680" s="19"/>
      <c r="U680" s="19"/>
      <c r="V680" s="19"/>
      <c r="W680" s="19"/>
      <c r="X680" s="19"/>
      <c r="Y680" s="19"/>
      <c r="Z680" s="19"/>
    </row>
    <row r="681">
      <c r="A681" s="21"/>
      <c r="B681" s="21"/>
      <c r="C681" s="21"/>
      <c r="D681" s="21"/>
      <c r="E681" s="21"/>
      <c r="F681" s="21"/>
      <c r="G681" s="21"/>
      <c r="H681" s="2"/>
      <c r="I681" s="21"/>
      <c r="J681" s="21"/>
      <c r="K681" s="21"/>
      <c r="L681" s="21"/>
      <c r="M681" s="21"/>
      <c r="N681" s="21"/>
      <c r="O681" s="21"/>
      <c r="P681" s="21"/>
      <c r="Q681" s="19"/>
      <c r="R681" s="19"/>
      <c r="S681" s="19"/>
      <c r="T681" s="19"/>
      <c r="U681" s="19"/>
      <c r="V681" s="19"/>
      <c r="W681" s="19"/>
      <c r="X681" s="19"/>
      <c r="Y681" s="19"/>
      <c r="Z681" s="19"/>
    </row>
    <row r="682">
      <c r="A682" s="21"/>
      <c r="B682" s="21"/>
      <c r="C682" s="21"/>
      <c r="D682" s="21"/>
      <c r="E682" s="21"/>
      <c r="F682" s="21"/>
      <c r="G682" s="21"/>
      <c r="H682" s="2"/>
      <c r="I682" s="21"/>
      <c r="J682" s="21"/>
      <c r="K682" s="21"/>
      <c r="L682" s="21"/>
      <c r="M682" s="21"/>
      <c r="N682" s="21"/>
      <c r="O682" s="21"/>
      <c r="P682" s="21"/>
      <c r="Q682" s="19"/>
      <c r="R682" s="19"/>
      <c r="S682" s="19"/>
      <c r="T682" s="19"/>
      <c r="U682" s="19"/>
      <c r="V682" s="19"/>
      <c r="W682" s="19"/>
      <c r="X682" s="19"/>
      <c r="Y682" s="19"/>
      <c r="Z682" s="19"/>
    </row>
    <row r="683">
      <c r="A683" s="21"/>
      <c r="B683" s="21"/>
      <c r="C683" s="21"/>
      <c r="D683" s="21"/>
      <c r="E683" s="21"/>
      <c r="F683" s="21"/>
      <c r="G683" s="21"/>
      <c r="H683" s="2"/>
      <c r="I683" s="21"/>
      <c r="J683" s="21"/>
      <c r="K683" s="21"/>
      <c r="L683" s="21"/>
      <c r="M683" s="21"/>
      <c r="N683" s="21"/>
      <c r="O683" s="21"/>
      <c r="P683" s="21"/>
      <c r="Q683" s="19"/>
      <c r="R683" s="19"/>
      <c r="S683" s="19"/>
      <c r="T683" s="19"/>
      <c r="U683" s="19"/>
      <c r="V683" s="19"/>
      <c r="W683" s="19"/>
      <c r="X683" s="19"/>
      <c r="Y683" s="19"/>
      <c r="Z683" s="19"/>
    </row>
    <row r="684">
      <c r="A684" s="21"/>
      <c r="B684" s="21"/>
      <c r="C684" s="21"/>
      <c r="D684" s="21"/>
      <c r="E684" s="21"/>
      <c r="F684" s="21"/>
      <c r="G684" s="21"/>
      <c r="H684" s="2"/>
      <c r="I684" s="21"/>
      <c r="J684" s="21"/>
      <c r="K684" s="21"/>
      <c r="L684" s="21"/>
      <c r="M684" s="21"/>
      <c r="N684" s="21"/>
      <c r="O684" s="21"/>
      <c r="P684" s="21"/>
      <c r="Q684" s="19"/>
      <c r="R684" s="19"/>
      <c r="S684" s="19"/>
      <c r="T684" s="19"/>
      <c r="U684" s="19"/>
      <c r="V684" s="19"/>
      <c r="W684" s="19"/>
      <c r="X684" s="19"/>
      <c r="Y684" s="19"/>
      <c r="Z684" s="19"/>
    </row>
    <row r="685">
      <c r="A685" s="21"/>
      <c r="B685" s="21"/>
      <c r="C685" s="21"/>
      <c r="D685" s="21"/>
      <c r="E685" s="21"/>
      <c r="F685" s="21"/>
      <c r="G685" s="21"/>
      <c r="H685" s="2"/>
      <c r="I685" s="21"/>
      <c r="J685" s="21"/>
      <c r="K685" s="21"/>
      <c r="L685" s="21"/>
      <c r="M685" s="21"/>
      <c r="N685" s="21"/>
      <c r="O685" s="21"/>
      <c r="P685" s="21"/>
      <c r="Q685" s="19"/>
      <c r="R685" s="19"/>
      <c r="S685" s="19"/>
      <c r="T685" s="19"/>
      <c r="U685" s="19"/>
      <c r="V685" s="19"/>
      <c r="W685" s="19"/>
      <c r="X685" s="19"/>
      <c r="Y685" s="19"/>
      <c r="Z685" s="19"/>
    </row>
    <row r="686">
      <c r="A686" s="21"/>
      <c r="B686" s="21"/>
      <c r="C686" s="21"/>
      <c r="D686" s="21"/>
      <c r="E686" s="21"/>
      <c r="F686" s="21"/>
      <c r="G686" s="21"/>
      <c r="H686" s="2"/>
      <c r="I686" s="21"/>
      <c r="J686" s="21"/>
      <c r="K686" s="21"/>
      <c r="L686" s="21"/>
      <c r="M686" s="21"/>
      <c r="N686" s="21"/>
      <c r="O686" s="21"/>
      <c r="P686" s="21"/>
      <c r="Q686" s="19"/>
      <c r="R686" s="19"/>
      <c r="S686" s="19"/>
      <c r="T686" s="19"/>
      <c r="U686" s="19"/>
      <c r="V686" s="19"/>
      <c r="W686" s="19"/>
      <c r="X686" s="19"/>
      <c r="Y686" s="19"/>
      <c r="Z686" s="19"/>
    </row>
    <row r="687">
      <c r="A687" s="21"/>
      <c r="B687" s="21"/>
      <c r="C687" s="21"/>
      <c r="D687" s="21"/>
      <c r="E687" s="21"/>
      <c r="F687" s="21"/>
      <c r="G687" s="21"/>
      <c r="H687" s="2"/>
      <c r="I687" s="21"/>
      <c r="J687" s="21"/>
      <c r="K687" s="21"/>
      <c r="L687" s="21"/>
      <c r="M687" s="21"/>
      <c r="N687" s="21"/>
      <c r="O687" s="21"/>
      <c r="P687" s="21"/>
      <c r="Q687" s="19"/>
      <c r="R687" s="19"/>
      <c r="S687" s="19"/>
      <c r="T687" s="19"/>
      <c r="U687" s="19"/>
      <c r="V687" s="19"/>
      <c r="W687" s="19"/>
      <c r="X687" s="19"/>
      <c r="Y687" s="19"/>
      <c r="Z687" s="19"/>
    </row>
    <row r="688">
      <c r="A688" s="21"/>
      <c r="B688" s="21"/>
      <c r="C688" s="21"/>
      <c r="D688" s="21"/>
      <c r="E688" s="21"/>
      <c r="F688" s="21"/>
      <c r="G688" s="21"/>
      <c r="H688" s="2"/>
      <c r="I688" s="21"/>
      <c r="J688" s="21"/>
      <c r="K688" s="21"/>
      <c r="L688" s="21"/>
      <c r="M688" s="21"/>
      <c r="N688" s="21"/>
      <c r="O688" s="21"/>
      <c r="P688" s="21"/>
      <c r="Q688" s="19"/>
      <c r="R688" s="19"/>
      <c r="S688" s="19"/>
      <c r="T688" s="19"/>
      <c r="U688" s="19"/>
      <c r="V688" s="19"/>
      <c r="W688" s="19"/>
      <c r="X688" s="19"/>
      <c r="Y688" s="19"/>
      <c r="Z688" s="19"/>
    </row>
    <row r="689">
      <c r="A689" s="21"/>
      <c r="B689" s="21"/>
      <c r="C689" s="21"/>
      <c r="D689" s="21"/>
      <c r="E689" s="21"/>
      <c r="F689" s="21"/>
      <c r="G689" s="21"/>
      <c r="H689" s="2"/>
      <c r="I689" s="21"/>
      <c r="J689" s="21"/>
      <c r="K689" s="21"/>
      <c r="L689" s="21"/>
      <c r="M689" s="21"/>
      <c r="N689" s="21"/>
      <c r="O689" s="21"/>
      <c r="P689" s="21"/>
      <c r="Q689" s="19"/>
      <c r="R689" s="19"/>
      <c r="S689" s="19"/>
      <c r="T689" s="19"/>
      <c r="U689" s="19"/>
      <c r="V689" s="19"/>
      <c r="W689" s="19"/>
      <c r="X689" s="19"/>
      <c r="Y689" s="19"/>
      <c r="Z689" s="19"/>
    </row>
    <row r="690">
      <c r="A690" s="21"/>
      <c r="B690" s="21"/>
      <c r="C690" s="21"/>
      <c r="D690" s="21"/>
      <c r="E690" s="21"/>
      <c r="F690" s="21"/>
      <c r="G690" s="21"/>
      <c r="H690" s="2"/>
      <c r="I690" s="21"/>
      <c r="J690" s="21"/>
      <c r="K690" s="21"/>
      <c r="L690" s="21"/>
      <c r="M690" s="21"/>
      <c r="N690" s="21"/>
      <c r="O690" s="21"/>
      <c r="P690" s="21"/>
      <c r="Q690" s="19"/>
      <c r="R690" s="19"/>
      <c r="S690" s="19"/>
      <c r="T690" s="19"/>
      <c r="U690" s="19"/>
      <c r="V690" s="19"/>
      <c r="W690" s="19"/>
      <c r="X690" s="19"/>
      <c r="Y690" s="19"/>
      <c r="Z690" s="19"/>
    </row>
    <row r="691">
      <c r="A691" s="21"/>
      <c r="B691" s="21"/>
      <c r="C691" s="21"/>
      <c r="D691" s="21"/>
      <c r="E691" s="21"/>
      <c r="F691" s="21"/>
      <c r="G691" s="21"/>
      <c r="H691" s="2"/>
      <c r="I691" s="21"/>
      <c r="J691" s="21"/>
      <c r="K691" s="21"/>
      <c r="L691" s="21"/>
      <c r="M691" s="21"/>
      <c r="N691" s="21"/>
      <c r="O691" s="21"/>
      <c r="P691" s="21"/>
      <c r="Q691" s="19"/>
      <c r="R691" s="19"/>
      <c r="S691" s="19"/>
      <c r="T691" s="19"/>
      <c r="U691" s="19"/>
      <c r="V691" s="19"/>
      <c r="W691" s="19"/>
      <c r="X691" s="19"/>
      <c r="Y691" s="19"/>
      <c r="Z691" s="19"/>
    </row>
    <row r="692">
      <c r="A692" s="21"/>
      <c r="B692" s="21"/>
      <c r="C692" s="21"/>
      <c r="D692" s="21"/>
      <c r="E692" s="21"/>
      <c r="F692" s="21"/>
      <c r="G692" s="21"/>
      <c r="H692" s="2"/>
      <c r="I692" s="21"/>
      <c r="J692" s="21"/>
      <c r="K692" s="21"/>
      <c r="L692" s="21"/>
      <c r="M692" s="21"/>
      <c r="N692" s="21"/>
      <c r="O692" s="21"/>
      <c r="P692" s="21"/>
      <c r="Q692" s="19"/>
      <c r="R692" s="19"/>
      <c r="S692" s="19"/>
      <c r="T692" s="19"/>
      <c r="U692" s="19"/>
      <c r="V692" s="19"/>
      <c r="W692" s="19"/>
      <c r="X692" s="19"/>
      <c r="Y692" s="19"/>
      <c r="Z692" s="19"/>
    </row>
    <row r="693">
      <c r="A693" s="21"/>
      <c r="B693" s="21"/>
      <c r="C693" s="21"/>
      <c r="D693" s="21"/>
      <c r="E693" s="21"/>
      <c r="F693" s="21"/>
      <c r="G693" s="21"/>
      <c r="H693" s="2"/>
      <c r="I693" s="21"/>
      <c r="J693" s="21"/>
      <c r="K693" s="21"/>
      <c r="L693" s="21"/>
      <c r="M693" s="21"/>
      <c r="N693" s="21"/>
      <c r="O693" s="21"/>
      <c r="P693" s="21"/>
      <c r="Q693" s="19"/>
      <c r="R693" s="19"/>
      <c r="S693" s="19"/>
      <c r="T693" s="19"/>
      <c r="U693" s="19"/>
      <c r="V693" s="19"/>
      <c r="W693" s="19"/>
      <c r="X693" s="19"/>
      <c r="Y693" s="19"/>
      <c r="Z693" s="19"/>
    </row>
    <row r="694">
      <c r="A694" s="21"/>
      <c r="B694" s="21"/>
      <c r="C694" s="21"/>
      <c r="D694" s="21"/>
      <c r="E694" s="21"/>
      <c r="F694" s="21"/>
      <c r="G694" s="21"/>
      <c r="H694" s="2"/>
      <c r="I694" s="21"/>
      <c r="J694" s="21"/>
      <c r="K694" s="21"/>
      <c r="L694" s="21"/>
      <c r="M694" s="21"/>
      <c r="N694" s="21"/>
      <c r="O694" s="21"/>
      <c r="P694" s="21"/>
      <c r="Q694" s="19"/>
      <c r="R694" s="19"/>
      <c r="S694" s="19"/>
      <c r="T694" s="19"/>
      <c r="U694" s="19"/>
      <c r="V694" s="19"/>
      <c r="W694" s="19"/>
      <c r="X694" s="19"/>
      <c r="Y694" s="19"/>
      <c r="Z694" s="19"/>
    </row>
    <row r="695">
      <c r="A695" s="21"/>
      <c r="B695" s="21"/>
      <c r="C695" s="21"/>
      <c r="D695" s="21"/>
      <c r="E695" s="21"/>
      <c r="F695" s="21"/>
      <c r="G695" s="21"/>
      <c r="H695" s="2"/>
      <c r="I695" s="21"/>
      <c r="J695" s="21"/>
      <c r="K695" s="21"/>
      <c r="L695" s="21"/>
      <c r="M695" s="21"/>
      <c r="N695" s="21"/>
      <c r="O695" s="21"/>
      <c r="P695" s="21"/>
      <c r="Q695" s="19"/>
      <c r="R695" s="19"/>
      <c r="S695" s="19"/>
      <c r="T695" s="19"/>
      <c r="U695" s="19"/>
      <c r="V695" s="19"/>
      <c r="W695" s="19"/>
      <c r="X695" s="19"/>
      <c r="Y695" s="19"/>
      <c r="Z695" s="19"/>
    </row>
    <row r="696">
      <c r="A696" s="21"/>
      <c r="B696" s="21"/>
      <c r="C696" s="21"/>
      <c r="D696" s="21"/>
      <c r="E696" s="21"/>
      <c r="F696" s="21"/>
      <c r="G696" s="21"/>
      <c r="H696" s="2"/>
      <c r="I696" s="21"/>
      <c r="J696" s="21"/>
      <c r="K696" s="21"/>
      <c r="L696" s="21"/>
      <c r="M696" s="21"/>
      <c r="N696" s="21"/>
      <c r="O696" s="21"/>
      <c r="P696" s="21"/>
      <c r="Q696" s="19"/>
      <c r="R696" s="19"/>
      <c r="S696" s="19"/>
      <c r="T696" s="19"/>
      <c r="U696" s="19"/>
      <c r="V696" s="19"/>
      <c r="W696" s="19"/>
      <c r="X696" s="19"/>
      <c r="Y696" s="19"/>
      <c r="Z696" s="19"/>
    </row>
    <row r="697">
      <c r="A697" s="21"/>
      <c r="B697" s="21"/>
      <c r="C697" s="21"/>
      <c r="D697" s="21"/>
      <c r="E697" s="21"/>
      <c r="F697" s="21"/>
      <c r="G697" s="21"/>
      <c r="H697" s="2"/>
      <c r="I697" s="21"/>
      <c r="J697" s="21"/>
      <c r="K697" s="21"/>
      <c r="L697" s="21"/>
      <c r="M697" s="21"/>
      <c r="N697" s="21"/>
      <c r="O697" s="21"/>
      <c r="P697" s="21"/>
      <c r="Q697" s="19"/>
      <c r="R697" s="19"/>
      <c r="S697" s="19"/>
      <c r="T697" s="19"/>
      <c r="U697" s="19"/>
      <c r="V697" s="19"/>
      <c r="W697" s="19"/>
      <c r="X697" s="19"/>
      <c r="Y697" s="19"/>
      <c r="Z697" s="19"/>
    </row>
    <row r="698">
      <c r="A698" s="21"/>
      <c r="B698" s="21"/>
      <c r="C698" s="21"/>
      <c r="D698" s="21"/>
      <c r="E698" s="21"/>
      <c r="F698" s="21"/>
      <c r="G698" s="21"/>
      <c r="H698" s="2"/>
      <c r="I698" s="21"/>
      <c r="J698" s="21"/>
      <c r="K698" s="21"/>
      <c r="L698" s="21"/>
      <c r="M698" s="21"/>
      <c r="N698" s="21"/>
      <c r="O698" s="21"/>
      <c r="P698" s="21"/>
      <c r="Q698" s="19"/>
      <c r="R698" s="19"/>
      <c r="S698" s="19"/>
      <c r="T698" s="19"/>
      <c r="U698" s="19"/>
      <c r="V698" s="19"/>
      <c r="W698" s="19"/>
      <c r="X698" s="19"/>
      <c r="Y698" s="19"/>
      <c r="Z698" s="19"/>
    </row>
    <row r="699">
      <c r="A699" s="21"/>
      <c r="B699" s="21"/>
      <c r="C699" s="21"/>
      <c r="D699" s="21"/>
      <c r="E699" s="21"/>
      <c r="F699" s="21"/>
      <c r="G699" s="21"/>
      <c r="H699" s="2"/>
      <c r="I699" s="21"/>
      <c r="J699" s="21"/>
      <c r="K699" s="21"/>
      <c r="L699" s="21"/>
      <c r="M699" s="21"/>
      <c r="N699" s="21"/>
      <c r="O699" s="21"/>
      <c r="P699" s="21"/>
      <c r="Q699" s="19"/>
      <c r="R699" s="19"/>
      <c r="S699" s="19"/>
      <c r="T699" s="19"/>
      <c r="U699" s="19"/>
      <c r="V699" s="19"/>
      <c r="W699" s="19"/>
      <c r="X699" s="19"/>
      <c r="Y699" s="19"/>
      <c r="Z699" s="19"/>
    </row>
    <row r="700">
      <c r="A700" s="21"/>
      <c r="B700" s="21"/>
      <c r="C700" s="21"/>
      <c r="D700" s="21"/>
      <c r="E700" s="21"/>
      <c r="F700" s="21"/>
      <c r="G700" s="21"/>
      <c r="H700" s="2"/>
      <c r="I700" s="21"/>
      <c r="J700" s="21"/>
      <c r="K700" s="21"/>
      <c r="L700" s="21"/>
      <c r="M700" s="21"/>
      <c r="N700" s="21"/>
      <c r="O700" s="21"/>
      <c r="P700" s="21"/>
      <c r="Q700" s="19"/>
      <c r="R700" s="19"/>
      <c r="S700" s="19"/>
      <c r="T700" s="19"/>
      <c r="U700" s="19"/>
      <c r="V700" s="19"/>
      <c r="W700" s="19"/>
      <c r="X700" s="19"/>
      <c r="Y700" s="19"/>
      <c r="Z700" s="19"/>
    </row>
    <row r="701">
      <c r="A701" s="21"/>
      <c r="B701" s="21"/>
      <c r="C701" s="21"/>
      <c r="D701" s="21"/>
      <c r="E701" s="21"/>
      <c r="F701" s="21"/>
      <c r="G701" s="21"/>
      <c r="H701" s="2"/>
      <c r="I701" s="21"/>
      <c r="J701" s="21"/>
      <c r="K701" s="21"/>
      <c r="L701" s="21"/>
      <c r="M701" s="21"/>
      <c r="N701" s="21"/>
      <c r="O701" s="21"/>
      <c r="P701" s="21"/>
      <c r="Q701" s="19"/>
      <c r="R701" s="19"/>
      <c r="S701" s="19"/>
      <c r="T701" s="19"/>
      <c r="U701" s="19"/>
      <c r="V701" s="19"/>
      <c r="W701" s="19"/>
      <c r="X701" s="19"/>
      <c r="Y701" s="19"/>
      <c r="Z701" s="19"/>
    </row>
    <row r="702">
      <c r="A702" s="21"/>
      <c r="B702" s="21"/>
      <c r="C702" s="21"/>
      <c r="D702" s="21"/>
      <c r="E702" s="21"/>
      <c r="F702" s="21"/>
      <c r="G702" s="21"/>
      <c r="H702" s="2"/>
      <c r="I702" s="21"/>
      <c r="J702" s="21"/>
      <c r="K702" s="21"/>
      <c r="L702" s="21"/>
      <c r="M702" s="21"/>
      <c r="N702" s="21"/>
      <c r="O702" s="21"/>
      <c r="P702" s="21"/>
      <c r="Q702" s="19"/>
      <c r="R702" s="19"/>
      <c r="S702" s="19"/>
      <c r="T702" s="19"/>
      <c r="U702" s="19"/>
      <c r="V702" s="19"/>
      <c r="W702" s="19"/>
      <c r="X702" s="19"/>
      <c r="Y702" s="19"/>
      <c r="Z702" s="19"/>
    </row>
    <row r="703">
      <c r="A703" s="21"/>
      <c r="B703" s="21"/>
      <c r="C703" s="21"/>
      <c r="D703" s="21"/>
      <c r="E703" s="21"/>
      <c r="F703" s="21"/>
      <c r="G703" s="21"/>
      <c r="H703" s="2"/>
      <c r="I703" s="21"/>
      <c r="J703" s="21"/>
      <c r="K703" s="21"/>
      <c r="L703" s="21"/>
      <c r="M703" s="21"/>
      <c r="N703" s="21"/>
      <c r="O703" s="21"/>
      <c r="P703" s="21"/>
      <c r="Q703" s="19"/>
      <c r="R703" s="19"/>
      <c r="S703" s="19"/>
      <c r="T703" s="19"/>
      <c r="U703" s="19"/>
      <c r="V703" s="19"/>
      <c r="W703" s="19"/>
      <c r="X703" s="19"/>
      <c r="Y703" s="19"/>
      <c r="Z703" s="19"/>
    </row>
    <row r="704">
      <c r="A704" s="21"/>
      <c r="B704" s="21"/>
      <c r="C704" s="21"/>
      <c r="D704" s="21"/>
      <c r="E704" s="21"/>
      <c r="F704" s="21"/>
      <c r="G704" s="21"/>
      <c r="H704" s="2"/>
      <c r="I704" s="21"/>
      <c r="J704" s="21"/>
      <c r="K704" s="21"/>
      <c r="L704" s="21"/>
      <c r="M704" s="21"/>
      <c r="N704" s="21"/>
      <c r="O704" s="21"/>
      <c r="P704" s="21"/>
      <c r="Q704" s="19"/>
      <c r="R704" s="19"/>
      <c r="S704" s="19"/>
      <c r="T704" s="19"/>
      <c r="U704" s="19"/>
      <c r="V704" s="19"/>
      <c r="W704" s="19"/>
      <c r="X704" s="19"/>
      <c r="Y704" s="19"/>
      <c r="Z704" s="19"/>
    </row>
    <row r="705">
      <c r="A705" s="21"/>
      <c r="B705" s="21"/>
      <c r="C705" s="21"/>
      <c r="D705" s="21"/>
      <c r="E705" s="21"/>
      <c r="F705" s="21"/>
      <c r="G705" s="21"/>
      <c r="H705" s="2"/>
      <c r="I705" s="21"/>
      <c r="J705" s="21"/>
      <c r="K705" s="21"/>
      <c r="L705" s="21"/>
      <c r="M705" s="21"/>
      <c r="N705" s="21"/>
      <c r="O705" s="21"/>
      <c r="P705" s="21"/>
      <c r="Q705" s="19"/>
      <c r="R705" s="19"/>
      <c r="S705" s="19"/>
      <c r="T705" s="19"/>
      <c r="U705" s="19"/>
      <c r="V705" s="19"/>
      <c r="W705" s="19"/>
      <c r="X705" s="19"/>
      <c r="Y705" s="19"/>
      <c r="Z705" s="19"/>
    </row>
    <row r="706">
      <c r="A706" s="21"/>
      <c r="B706" s="21"/>
      <c r="C706" s="21"/>
      <c r="D706" s="21"/>
      <c r="E706" s="21"/>
      <c r="F706" s="21"/>
      <c r="G706" s="21"/>
      <c r="H706" s="2"/>
      <c r="I706" s="21"/>
      <c r="J706" s="21"/>
      <c r="K706" s="21"/>
      <c r="L706" s="21"/>
      <c r="M706" s="21"/>
      <c r="N706" s="21"/>
      <c r="O706" s="21"/>
      <c r="P706" s="21"/>
      <c r="Q706" s="19"/>
      <c r="R706" s="19"/>
      <c r="S706" s="19"/>
      <c r="T706" s="19"/>
      <c r="U706" s="19"/>
      <c r="V706" s="19"/>
      <c r="W706" s="19"/>
      <c r="X706" s="19"/>
      <c r="Y706" s="19"/>
      <c r="Z706" s="19"/>
    </row>
    <row r="707">
      <c r="A707" s="21"/>
      <c r="B707" s="21"/>
      <c r="C707" s="21"/>
      <c r="D707" s="21"/>
      <c r="E707" s="21"/>
      <c r="F707" s="21"/>
      <c r="G707" s="21"/>
      <c r="H707" s="2"/>
      <c r="I707" s="21"/>
      <c r="J707" s="21"/>
      <c r="K707" s="21"/>
      <c r="L707" s="21"/>
      <c r="M707" s="21"/>
      <c r="N707" s="21"/>
      <c r="O707" s="21"/>
      <c r="P707" s="21"/>
      <c r="Q707" s="19"/>
      <c r="R707" s="19"/>
      <c r="S707" s="19"/>
      <c r="T707" s="19"/>
      <c r="U707" s="19"/>
      <c r="V707" s="19"/>
      <c r="W707" s="19"/>
      <c r="X707" s="19"/>
      <c r="Y707" s="19"/>
      <c r="Z707" s="19"/>
    </row>
    <row r="708">
      <c r="A708" s="21"/>
      <c r="B708" s="21"/>
      <c r="C708" s="21"/>
      <c r="D708" s="21"/>
      <c r="E708" s="21"/>
      <c r="F708" s="21"/>
      <c r="G708" s="21"/>
      <c r="H708" s="2"/>
      <c r="I708" s="21"/>
      <c r="J708" s="21"/>
      <c r="K708" s="21"/>
      <c r="L708" s="21"/>
      <c r="M708" s="21"/>
      <c r="N708" s="21"/>
      <c r="O708" s="21"/>
      <c r="P708" s="21"/>
      <c r="Q708" s="19"/>
      <c r="R708" s="19"/>
      <c r="S708" s="19"/>
      <c r="T708" s="19"/>
      <c r="U708" s="19"/>
      <c r="V708" s="19"/>
      <c r="W708" s="19"/>
      <c r="X708" s="19"/>
      <c r="Y708" s="19"/>
      <c r="Z708" s="19"/>
    </row>
    <row r="709">
      <c r="A709" s="21"/>
      <c r="B709" s="21"/>
      <c r="C709" s="21"/>
      <c r="D709" s="21"/>
      <c r="E709" s="21"/>
      <c r="F709" s="21"/>
      <c r="G709" s="21"/>
      <c r="H709" s="2"/>
      <c r="I709" s="21"/>
      <c r="J709" s="21"/>
      <c r="K709" s="21"/>
      <c r="L709" s="21"/>
      <c r="M709" s="21"/>
      <c r="N709" s="21"/>
      <c r="O709" s="21"/>
      <c r="P709" s="21"/>
      <c r="Q709" s="19"/>
      <c r="R709" s="19"/>
      <c r="S709" s="19"/>
      <c r="T709" s="19"/>
      <c r="U709" s="19"/>
      <c r="V709" s="19"/>
      <c r="W709" s="19"/>
      <c r="X709" s="19"/>
      <c r="Y709" s="19"/>
      <c r="Z709" s="19"/>
    </row>
    <row r="710">
      <c r="A710" s="21"/>
      <c r="B710" s="21"/>
      <c r="C710" s="21"/>
      <c r="D710" s="21"/>
      <c r="E710" s="21"/>
      <c r="F710" s="21"/>
      <c r="G710" s="21"/>
      <c r="H710" s="2"/>
      <c r="I710" s="21"/>
      <c r="J710" s="21"/>
      <c r="K710" s="21"/>
      <c r="L710" s="21"/>
      <c r="M710" s="21"/>
      <c r="N710" s="21"/>
      <c r="O710" s="21"/>
      <c r="P710" s="21"/>
      <c r="Q710" s="19"/>
      <c r="R710" s="19"/>
      <c r="S710" s="19"/>
      <c r="T710" s="19"/>
      <c r="U710" s="19"/>
      <c r="V710" s="19"/>
      <c r="W710" s="19"/>
      <c r="X710" s="19"/>
      <c r="Y710" s="19"/>
      <c r="Z710" s="19"/>
    </row>
    <row r="711">
      <c r="A711" s="21"/>
      <c r="B711" s="21"/>
      <c r="C711" s="21"/>
      <c r="D711" s="21"/>
      <c r="E711" s="21"/>
      <c r="F711" s="21"/>
      <c r="G711" s="21"/>
      <c r="H711" s="2"/>
      <c r="I711" s="21"/>
      <c r="J711" s="21"/>
      <c r="K711" s="21"/>
      <c r="L711" s="21"/>
      <c r="M711" s="21"/>
      <c r="N711" s="21"/>
      <c r="O711" s="21"/>
      <c r="P711" s="21"/>
      <c r="Q711" s="19"/>
      <c r="R711" s="19"/>
      <c r="S711" s="19"/>
      <c r="T711" s="19"/>
      <c r="U711" s="19"/>
      <c r="V711" s="19"/>
      <c r="W711" s="19"/>
      <c r="X711" s="19"/>
      <c r="Y711" s="19"/>
      <c r="Z711" s="19"/>
    </row>
    <row r="712">
      <c r="A712" s="21"/>
      <c r="B712" s="21"/>
      <c r="C712" s="21"/>
      <c r="D712" s="21"/>
      <c r="E712" s="21"/>
      <c r="F712" s="21"/>
      <c r="G712" s="21"/>
      <c r="H712" s="2"/>
      <c r="I712" s="21"/>
      <c r="J712" s="21"/>
      <c r="K712" s="21"/>
      <c r="L712" s="21"/>
      <c r="M712" s="21"/>
      <c r="N712" s="21"/>
      <c r="O712" s="21"/>
      <c r="P712" s="21"/>
      <c r="Q712" s="19"/>
      <c r="R712" s="19"/>
      <c r="S712" s="19"/>
      <c r="T712" s="19"/>
      <c r="U712" s="19"/>
      <c r="V712" s="19"/>
      <c r="W712" s="19"/>
      <c r="X712" s="19"/>
      <c r="Y712" s="19"/>
      <c r="Z712" s="19"/>
    </row>
    <row r="713">
      <c r="A713" s="21"/>
      <c r="B713" s="21"/>
      <c r="C713" s="21"/>
      <c r="D713" s="21"/>
      <c r="E713" s="21"/>
      <c r="F713" s="21"/>
      <c r="G713" s="21"/>
      <c r="H713" s="2"/>
      <c r="I713" s="21"/>
      <c r="J713" s="21"/>
      <c r="K713" s="21"/>
      <c r="L713" s="21"/>
      <c r="M713" s="21"/>
      <c r="N713" s="21"/>
      <c r="O713" s="21"/>
      <c r="P713" s="21"/>
      <c r="Q713" s="19"/>
      <c r="R713" s="19"/>
      <c r="S713" s="19"/>
      <c r="T713" s="19"/>
      <c r="U713" s="19"/>
      <c r="V713" s="19"/>
      <c r="W713" s="19"/>
      <c r="X713" s="19"/>
      <c r="Y713" s="19"/>
      <c r="Z713" s="19"/>
    </row>
    <row r="714">
      <c r="A714" s="21"/>
      <c r="B714" s="21"/>
      <c r="C714" s="21"/>
      <c r="D714" s="21"/>
      <c r="E714" s="21"/>
      <c r="F714" s="21"/>
      <c r="G714" s="21"/>
      <c r="H714" s="2"/>
      <c r="I714" s="21"/>
      <c r="J714" s="21"/>
      <c r="K714" s="21"/>
      <c r="L714" s="21"/>
      <c r="M714" s="21"/>
      <c r="N714" s="21"/>
      <c r="O714" s="21"/>
      <c r="P714" s="21"/>
      <c r="Q714" s="19"/>
      <c r="R714" s="19"/>
      <c r="S714" s="19"/>
      <c r="T714" s="19"/>
      <c r="U714" s="19"/>
      <c r="V714" s="19"/>
      <c r="W714" s="19"/>
      <c r="X714" s="19"/>
      <c r="Y714" s="19"/>
      <c r="Z714" s="19"/>
    </row>
    <row r="715">
      <c r="A715" s="21"/>
      <c r="B715" s="21"/>
      <c r="C715" s="21"/>
      <c r="D715" s="21"/>
      <c r="E715" s="21"/>
      <c r="F715" s="21"/>
      <c r="G715" s="21"/>
      <c r="H715" s="2"/>
      <c r="I715" s="21"/>
      <c r="J715" s="21"/>
      <c r="K715" s="21"/>
      <c r="L715" s="21"/>
      <c r="M715" s="21"/>
      <c r="N715" s="21"/>
      <c r="O715" s="21"/>
      <c r="P715" s="21"/>
      <c r="Q715" s="19"/>
      <c r="R715" s="19"/>
      <c r="S715" s="19"/>
      <c r="T715" s="19"/>
      <c r="U715" s="19"/>
      <c r="V715" s="19"/>
      <c r="W715" s="19"/>
      <c r="X715" s="19"/>
      <c r="Y715" s="19"/>
      <c r="Z715" s="19"/>
    </row>
    <row r="716">
      <c r="A716" s="21"/>
      <c r="B716" s="21"/>
      <c r="C716" s="21"/>
      <c r="D716" s="21"/>
      <c r="E716" s="21"/>
      <c r="F716" s="21"/>
      <c r="G716" s="21"/>
      <c r="H716" s="2"/>
      <c r="I716" s="21"/>
      <c r="J716" s="21"/>
      <c r="K716" s="21"/>
      <c r="L716" s="21"/>
      <c r="M716" s="21"/>
      <c r="N716" s="21"/>
      <c r="O716" s="21"/>
      <c r="P716" s="21"/>
      <c r="Q716" s="19"/>
      <c r="R716" s="19"/>
      <c r="S716" s="19"/>
      <c r="T716" s="19"/>
      <c r="U716" s="19"/>
      <c r="V716" s="19"/>
      <c r="W716" s="19"/>
      <c r="X716" s="19"/>
      <c r="Y716" s="19"/>
      <c r="Z716" s="19"/>
    </row>
    <row r="717">
      <c r="A717" s="21"/>
      <c r="B717" s="21"/>
      <c r="C717" s="21"/>
      <c r="D717" s="21"/>
      <c r="E717" s="21"/>
      <c r="F717" s="21"/>
      <c r="G717" s="21"/>
      <c r="H717" s="2"/>
      <c r="I717" s="21"/>
      <c r="J717" s="21"/>
      <c r="K717" s="21"/>
      <c r="L717" s="21"/>
      <c r="M717" s="21"/>
      <c r="N717" s="21"/>
      <c r="O717" s="21"/>
      <c r="P717" s="21"/>
      <c r="Q717" s="19"/>
      <c r="R717" s="19"/>
      <c r="S717" s="19"/>
      <c r="T717" s="19"/>
      <c r="U717" s="19"/>
      <c r="V717" s="19"/>
      <c r="W717" s="19"/>
      <c r="X717" s="19"/>
      <c r="Y717" s="19"/>
      <c r="Z717" s="19"/>
    </row>
    <row r="718">
      <c r="A718" s="21"/>
      <c r="B718" s="21"/>
      <c r="C718" s="21"/>
      <c r="D718" s="21"/>
      <c r="E718" s="21"/>
      <c r="F718" s="21"/>
      <c r="G718" s="21"/>
      <c r="H718" s="2"/>
      <c r="I718" s="21"/>
      <c r="J718" s="21"/>
      <c r="K718" s="21"/>
      <c r="L718" s="21"/>
      <c r="M718" s="21"/>
      <c r="N718" s="21"/>
      <c r="O718" s="21"/>
      <c r="P718" s="21"/>
      <c r="Q718" s="19"/>
      <c r="R718" s="19"/>
      <c r="S718" s="19"/>
      <c r="T718" s="19"/>
      <c r="U718" s="19"/>
      <c r="V718" s="19"/>
      <c r="W718" s="19"/>
      <c r="X718" s="19"/>
      <c r="Y718" s="19"/>
      <c r="Z718" s="19"/>
    </row>
    <row r="719">
      <c r="A719" s="21"/>
      <c r="B719" s="21"/>
      <c r="C719" s="21"/>
      <c r="D719" s="21"/>
      <c r="E719" s="21"/>
      <c r="F719" s="21"/>
      <c r="G719" s="21"/>
      <c r="H719" s="2"/>
      <c r="I719" s="21"/>
      <c r="J719" s="21"/>
      <c r="K719" s="21"/>
      <c r="L719" s="21"/>
      <c r="M719" s="21"/>
      <c r="N719" s="21"/>
      <c r="O719" s="21"/>
      <c r="P719" s="21"/>
      <c r="Q719" s="19"/>
      <c r="R719" s="19"/>
      <c r="S719" s="19"/>
      <c r="T719" s="19"/>
      <c r="U719" s="19"/>
      <c r="V719" s="19"/>
      <c r="W719" s="19"/>
      <c r="X719" s="19"/>
      <c r="Y719" s="19"/>
      <c r="Z719" s="19"/>
    </row>
    <row r="720">
      <c r="A720" s="21"/>
      <c r="B720" s="21"/>
      <c r="C720" s="21"/>
      <c r="D720" s="21"/>
      <c r="E720" s="21"/>
      <c r="F720" s="21"/>
      <c r="G720" s="21"/>
      <c r="H720" s="2"/>
      <c r="I720" s="21"/>
      <c r="J720" s="21"/>
      <c r="K720" s="21"/>
      <c r="L720" s="21"/>
      <c r="M720" s="21"/>
      <c r="N720" s="21"/>
      <c r="O720" s="21"/>
      <c r="P720" s="21"/>
      <c r="Q720" s="19"/>
      <c r="R720" s="19"/>
      <c r="S720" s="19"/>
      <c r="T720" s="19"/>
      <c r="U720" s="19"/>
      <c r="V720" s="19"/>
      <c r="W720" s="19"/>
      <c r="X720" s="19"/>
      <c r="Y720" s="19"/>
      <c r="Z720" s="19"/>
    </row>
    <row r="721">
      <c r="A721" s="21"/>
      <c r="B721" s="21"/>
      <c r="C721" s="21"/>
      <c r="D721" s="21"/>
      <c r="E721" s="21"/>
      <c r="F721" s="21"/>
      <c r="G721" s="21"/>
      <c r="H721" s="2"/>
      <c r="I721" s="21"/>
      <c r="J721" s="21"/>
      <c r="K721" s="21"/>
      <c r="L721" s="21"/>
      <c r="M721" s="21"/>
      <c r="N721" s="21"/>
      <c r="O721" s="21"/>
      <c r="P721" s="21"/>
      <c r="Q721" s="19"/>
      <c r="R721" s="19"/>
      <c r="S721" s="19"/>
      <c r="T721" s="19"/>
      <c r="U721" s="19"/>
      <c r="V721" s="19"/>
      <c r="W721" s="19"/>
      <c r="X721" s="19"/>
      <c r="Y721" s="19"/>
      <c r="Z721" s="19"/>
    </row>
    <row r="722">
      <c r="A722" s="21"/>
      <c r="B722" s="21"/>
      <c r="C722" s="21"/>
      <c r="D722" s="21"/>
      <c r="E722" s="21"/>
      <c r="F722" s="21"/>
      <c r="G722" s="21"/>
      <c r="H722" s="2"/>
      <c r="I722" s="21"/>
      <c r="J722" s="21"/>
      <c r="K722" s="21"/>
      <c r="L722" s="21"/>
      <c r="M722" s="21"/>
      <c r="N722" s="21"/>
      <c r="O722" s="21"/>
      <c r="P722" s="21"/>
      <c r="Q722" s="19"/>
      <c r="R722" s="19"/>
      <c r="S722" s="19"/>
      <c r="T722" s="19"/>
      <c r="U722" s="19"/>
      <c r="V722" s="19"/>
      <c r="W722" s="19"/>
      <c r="X722" s="19"/>
      <c r="Y722" s="19"/>
      <c r="Z722" s="19"/>
    </row>
    <row r="723">
      <c r="A723" s="21"/>
      <c r="B723" s="21"/>
      <c r="C723" s="21"/>
      <c r="D723" s="21"/>
      <c r="E723" s="21"/>
      <c r="F723" s="21"/>
      <c r="G723" s="21"/>
      <c r="H723" s="2"/>
      <c r="I723" s="21"/>
      <c r="J723" s="21"/>
      <c r="K723" s="21"/>
      <c r="L723" s="21"/>
      <c r="M723" s="21"/>
      <c r="N723" s="21"/>
      <c r="O723" s="21"/>
      <c r="P723" s="21"/>
      <c r="Q723" s="19"/>
      <c r="R723" s="19"/>
      <c r="S723" s="19"/>
      <c r="T723" s="19"/>
      <c r="U723" s="19"/>
      <c r="V723" s="19"/>
      <c r="W723" s="19"/>
      <c r="X723" s="19"/>
      <c r="Y723" s="19"/>
      <c r="Z723" s="19"/>
    </row>
    <row r="724">
      <c r="A724" s="21"/>
      <c r="B724" s="21"/>
      <c r="C724" s="21"/>
      <c r="D724" s="21"/>
      <c r="E724" s="21"/>
      <c r="F724" s="21"/>
      <c r="G724" s="21"/>
      <c r="H724" s="2"/>
      <c r="I724" s="21"/>
      <c r="J724" s="21"/>
      <c r="K724" s="21"/>
      <c r="L724" s="21"/>
      <c r="M724" s="21"/>
      <c r="N724" s="21"/>
      <c r="O724" s="21"/>
      <c r="P724" s="21"/>
      <c r="Q724" s="19"/>
      <c r="R724" s="19"/>
      <c r="S724" s="19"/>
      <c r="T724" s="19"/>
      <c r="U724" s="19"/>
      <c r="V724" s="19"/>
      <c r="W724" s="19"/>
      <c r="X724" s="19"/>
      <c r="Y724" s="19"/>
      <c r="Z724" s="19"/>
    </row>
    <row r="725">
      <c r="A725" s="21"/>
      <c r="B725" s="21"/>
      <c r="C725" s="21"/>
      <c r="D725" s="21"/>
      <c r="E725" s="21"/>
      <c r="F725" s="21"/>
      <c r="G725" s="21"/>
      <c r="H725" s="2"/>
      <c r="I725" s="21"/>
      <c r="J725" s="21"/>
      <c r="K725" s="21"/>
      <c r="L725" s="21"/>
      <c r="M725" s="21"/>
      <c r="N725" s="21"/>
      <c r="O725" s="21"/>
      <c r="P725" s="21"/>
      <c r="Q725" s="19"/>
      <c r="R725" s="19"/>
      <c r="S725" s="19"/>
      <c r="T725" s="19"/>
      <c r="U725" s="19"/>
      <c r="V725" s="19"/>
      <c r="W725" s="19"/>
      <c r="X725" s="19"/>
      <c r="Y725" s="19"/>
      <c r="Z725" s="19"/>
    </row>
    <row r="726">
      <c r="A726" s="21"/>
      <c r="B726" s="21"/>
      <c r="C726" s="21"/>
      <c r="D726" s="21"/>
      <c r="E726" s="21"/>
      <c r="F726" s="21"/>
      <c r="G726" s="21"/>
      <c r="H726" s="2"/>
      <c r="I726" s="21"/>
      <c r="J726" s="21"/>
      <c r="K726" s="21"/>
      <c r="L726" s="21"/>
      <c r="M726" s="21"/>
      <c r="N726" s="21"/>
      <c r="O726" s="21"/>
      <c r="P726" s="21"/>
      <c r="Q726" s="19"/>
      <c r="R726" s="19"/>
      <c r="S726" s="19"/>
      <c r="T726" s="19"/>
      <c r="U726" s="19"/>
      <c r="V726" s="19"/>
      <c r="W726" s="19"/>
      <c r="X726" s="19"/>
      <c r="Y726" s="19"/>
      <c r="Z726" s="19"/>
    </row>
    <row r="727">
      <c r="A727" s="21"/>
      <c r="B727" s="21"/>
      <c r="C727" s="21"/>
      <c r="D727" s="21"/>
      <c r="E727" s="21"/>
      <c r="F727" s="21"/>
      <c r="G727" s="21"/>
      <c r="H727" s="2"/>
      <c r="I727" s="21"/>
      <c r="J727" s="21"/>
      <c r="K727" s="21"/>
      <c r="L727" s="21"/>
      <c r="M727" s="21"/>
      <c r="N727" s="21"/>
      <c r="O727" s="21"/>
      <c r="P727" s="21"/>
      <c r="Q727" s="19"/>
      <c r="R727" s="19"/>
      <c r="S727" s="19"/>
      <c r="T727" s="19"/>
      <c r="U727" s="19"/>
      <c r="V727" s="19"/>
      <c r="W727" s="19"/>
      <c r="X727" s="19"/>
      <c r="Y727" s="19"/>
      <c r="Z727" s="19"/>
    </row>
    <row r="728">
      <c r="A728" s="21"/>
      <c r="B728" s="21"/>
      <c r="C728" s="21"/>
      <c r="D728" s="21"/>
      <c r="E728" s="21"/>
      <c r="F728" s="21"/>
      <c r="G728" s="21"/>
      <c r="H728" s="2"/>
      <c r="I728" s="21"/>
      <c r="J728" s="21"/>
      <c r="K728" s="21"/>
      <c r="L728" s="21"/>
      <c r="M728" s="21"/>
      <c r="N728" s="21"/>
      <c r="O728" s="21"/>
      <c r="P728" s="21"/>
      <c r="Q728" s="19"/>
      <c r="R728" s="19"/>
      <c r="S728" s="19"/>
      <c r="T728" s="19"/>
      <c r="U728" s="19"/>
      <c r="V728" s="19"/>
      <c r="W728" s="19"/>
      <c r="X728" s="19"/>
      <c r="Y728" s="19"/>
      <c r="Z728" s="19"/>
    </row>
    <row r="729">
      <c r="A729" s="21"/>
      <c r="B729" s="21"/>
      <c r="C729" s="21"/>
      <c r="D729" s="21"/>
      <c r="E729" s="21"/>
      <c r="F729" s="21"/>
      <c r="G729" s="21"/>
      <c r="H729" s="2"/>
      <c r="I729" s="21"/>
      <c r="J729" s="21"/>
      <c r="K729" s="21"/>
      <c r="L729" s="21"/>
      <c r="M729" s="21"/>
      <c r="N729" s="21"/>
      <c r="O729" s="21"/>
      <c r="P729" s="21"/>
      <c r="Q729" s="19"/>
      <c r="R729" s="19"/>
      <c r="S729" s="19"/>
      <c r="T729" s="19"/>
      <c r="U729" s="19"/>
      <c r="V729" s="19"/>
      <c r="W729" s="19"/>
      <c r="X729" s="19"/>
      <c r="Y729" s="19"/>
      <c r="Z729" s="19"/>
    </row>
    <row r="730">
      <c r="A730" s="21"/>
      <c r="B730" s="21"/>
      <c r="C730" s="21"/>
      <c r="D730" s="21"/>
      <c r="E730" s="21"/>
      <c r="F730" s="21"/>
      <c r="G730" s="21"/>
      <c r="H730" s="2"/>
      <c r="I730" s="21"/>
      <c r="J730" s="21"/>
      <c r="K730" s="21"/>
      <c r="L730" s="21"/>
      <c r="M730" s="21"/>
      <c r="N730" s="21"/>
      <c r="O730" s="21"/>
      <c r="P730" s="21"/>
      <c r="Q730" s="19"/>
      <c r="R730" s="19"/>
      <c r="S730" s="19"/>
      <c r="T730" s="19"/>
      <c r="U730" s="19"/>
      <c r="V730" s="19"/>
      <c r="W730" s="19"/>
      <c r="X730" s="19"/>
      <c r="Y730" s="19"/>
      <c r="Z730" s="19"/>
    </row>
    <row r="731">
      <c r="A731" s="21"/>
      <c r="B731" s="21"/>
      <c r="C731" s="21"/>
      <c r="D731" s="21"/>
      <c r="E731" s="21"/>
      <c r="F731" s="21"/>
      <c r="G731" s="21"/>
      <c r="H731" s="2"/>
      <c r="I731" s="21"/>
      <c r="J731" s="21"/>
      <c r="K731" s="21"/>
      <c r="L731" s="21"/>
      <c r="M731" s="21"/>
      <c r="N731" s="21"/>
      <c r="O731" s="21"/>
      <c r="P731" s="21"/>
      <c r="Q731" s="19"/>
      <c r="R731" s="19"/>
      <c r="S731" s="19"/>
      <c r="T731" s="19"/>
      <c r="U731" s="19"/>
      <c r="V731" s="19"/>
      <c r="W731" s="19"/>
      <c r="X731" s="19"/>
      <c r="Y731" s="19"/>
      <c r="Z731" s="19"/>
    </row>
    <row r="732">
      <c r="A732" s="21"/>
      <c r="B732" s="21"/>
      <c r="C732" s="21"/>
      <c r="D732" s="21"/>
      <c r="E732" s="21"/>
      <c r="F732" s="21"/>
      <c r="G732" s="21"/>
      <c r="H732" s="2"/>
      <c r="I732" s="21"/>
      <c r="J732" s="21"/>
      <c r="K732" s="21"/>
      <c r="L732" s="21"/>
      <c r="M732" s="21"/>
      <c r="N732" s="21"/>
      <c r="O732" s="21"/>
      <c r="P732" s="21"/>
      <c r="Q732" s="19"/>
      <c r="R732" s="19"/>
      <c r="S732" s="19"/>
      <c r="T732" s="19"/>
      <c r="U732" s="19"/>
      <c r="V732" s="19"/>
      <c r="W732" s="19"/>
      <c r="X732" s="19"/>
      <c r="Y732" s="19"/>
      <c r="Z732" s="19"/>
    </row>
    <row r="733">
      <c r="A733" s="21"/>
      <c r="B733" s="21"/>
      <c r="C733" s="21"/>
      <c r="D733" s="21"/>
      <c r="E733" s="21"/>
      <c r="F733" s="21"/>
      <c r="G733" s="21"/>
      <c r="H733" s="2"/>
      <c r="I733" s="21"/>
      <c r="J733" s="21"/>
      <c r="K733" s="21"/>
      <c r="L733" s="21"/>
      <c r="M733" s="21"/>
      <c r="N733" s="21"/>
      <c r="O733" s="21"/>
      <c r="P733" s="21"/>
      <c r="Q733" s="19"/>
      <c r="R733" s="19"/>
      <c r="S733" s="19"/>
      <c r="T733" s="19"/>
      <c r="U733" s="19"/>
      <c r="V733" s="19"/>
      <c r="W733" s="19"/>
      <c r="X733" s="19"/>
      <c r="Y733" s="19"/>
      <c r="Z733" s="19"/>
    </row>
    <row r="734">
      <c r="A734" s="21"/>
      <c r="B734" s="21"/>
      <c r="C734" s="21"/>
      <c r="D734" s="21"/>
      <c r="E734" s="21"/>
      <c r="F734" s="21"/>
      <c r="G734" s="21"/>
      <c r="H734" s="2"/>
      <c r="I734" s="21"/>
      <c r="J734" s="21"/>
      <c r="K734" s="21"/>
      <c r="L734" s="21"/>
      <c r="M734" s="21"/>
      <c r="N734" s="21"/>
      <c r="O734" s="21"/>
      <c r="P734" s="21"/>
      <c r="Q734" s="19"/>
      <c r="R734" s="19"/>
      <c r="S734" s="19"/>
      <c r="T734" s="19"/>
      <c r="U734" s="19"/>
      <c r="V734" s="19"/>
      <c r="W734" s="19"/>
      <c r="X734" s="19"/>
      <c r="Y734" s="19"/>
      <c r="Z734" s="19"/>
    </row>
    <row r="735">
      <c r="A735" s="21"/>
      <c r="B735" s="21"/>
      <c r="C735" s="21"/>
      <c r="D735" s="21"/>
      <c r="E735" s="21"/>
      <c r="F735" s="21"/>
      <c r="G735" s="21"/>
      <c r="H735" s="2"/>
      <c r="I735" s="21"/>
      <c r="J735" s="21"/>
      <c r="K735" s="21"/>
      <c r="L735" s="21"/>
      <c r="M735" s="21"/>
      <c r="N735" s="21"/>
      <c r="O735" s="21"/>
      <c r="P735" s="21"/>
      <c r="Q735" s="19"/>
      <c r="R735" s="19"/>
      <c r="S735" s="19"/>
      <c r="T735" s="19"/>
      <c r="U735" s="19"/>
      <c r="V735" s="19"/>
      <c r="W735" s="19"/>
      <c r="X735" s="19"/>
      <c r="Y735" s="19"/>
      <c r="Z735" s="19"/>
    </row>
    <row r="736">
      <c r="A736" s="21"/>
      <c r="B736" s="21"/>
      <c r="C736" s="21"/>
      <c r="D736" s="21"/>
      <c r="E736" s="21"/>
      <c r="F736" s="21"/>
      <c r="G736" s="21"/>
      <c r="H736" s="2"/>
      <c r="I736" s="21"/>
      <c r="J736" s="21"/>
      <c r="K736" s="21"/>
      <c r="L736" s="21"/>
      <c r="M736" s="21"/>
      <c r="N736" s="21"/>
      <c r="O736" s="21"/>
      <c r="P736" s="21"/>
      <c r="Q736" s="19"/>
      <c r="R736" s="19"/>
      <c r="S736" s="19"/>
      <c r="T736" s="19"/>
      <c r="U736" s="19"/>
      <c r="V736" s="19"/>
      <c r="W736" s="19"/>
      <c r="X736" s="19"/>
      <c r="Y736" s="19"/>
      <c r="Z736" s="19"/>
    </row>
    <row r="737">
      <c r="A737" s="21"/>
      <c r="B737" s="21"/>
      <c r="C737" s="21"/>
      <c r="D737" s="21"/>
      <c r="E737" s="21"/>
      <c r="F737" s="21"/>
      <c r="G737" s="21"/>
      <c r="H737" s="2"/>
      <c r="I737" s="21"/>
      <c r="J737" s="21"/>
      <c r="K737" s="21"/>
      <c r="L737" s="21"/>
      <c r="M737" s="21"/>
      <c r="N737" s="21"/>
      <c r="O737" s="21"/>
      <c r="P737" s="21"/>
      <c r="Q737" s="19"/>
      <c r="R737" s="19"/>
      <c r="S737" s="19"/>
      <c r="T737" s="19"/>
      <c r="U737" s="19"/>
      <c r="V737" s="19"/>
      <c r="W737" s="19"/>
      <c r="X737" s="19"/>
      <c r="Y737" s="19"/>
      <c r="Z737" s="19"/>
    </row>
    <row r="738">
      <c r="A738" s="21"/>
      <c r="B738" s="21"/>
      <c r="C738" s="21"/>
      <c r="D738" s="21"/>
      <c r="E738" s="21"/>
      <c r="F738" s="21"/>
      <c r="G738" s="21"/>
      <c r="H738" s="2"/>
      <c r="I738" s="21"/>
      <c r="J738" s="21"/>
      <c r="K738" s="21"/>
      <c r="L738" s="21"/>
      <c r="M738" s="21"/>
      <c r="N738" s="21"/>
      <c r="O738" s="21"/>
      <c r="P738" s="21"/>
      <c r="Q738" s="19"/>
      <c r="R738" s="19"/>
      <c r="S738" s="19"/>
      <c r="T738" s="19"/>
      <c r="U738" s="19"/>
      <c r="V738" s="19"/>
      <c r="W738" s="19"/>
      <c r="X738" s="19"/>
      <c r="Y738" s="19"/>
      <c r="Z738" s="19"/>
    </row>
    <row r="739">
      <c r="A739" s="21"/>
      <c r="B739" s="21"/>
      <c r="C739" s="21"/>
      <c r="D739" s="21"/>
      <c r="E739" s="21"/>
      <c r="F739" s="21"/>
      <c r="G739" s="21"/>
      <c r="H739" s="2"/>
      <c r="I739" s="21"/>
      <c r="J739" s="21"/>
      <c r="K739" s="21"/>
      <c r="L739" s="21"/>
      <c r="M739" s="21"/>
      <c r="N739" s="21"/>
      <c r="O739" s="21"/>
      <c r="P739" s="21"/>
      <c r="Q739" s="19"/>
      <c r="R739" s="19"/>
      <c r="S739" s="19"/>
      <c r="T739" s="19"/>
      <c r="U739" s="19"/>
      <c r="V739" s="19"/>
      <c r="W739" s="19"/>
      <c r="X739" s="19"/>
      <c r="Y739" s="19"/>
      <c r="Z739" s="19"/>
    </row>
    <row r="740">
      <c r="A740" s="21"/>
      <c r="B740" s="21"/>
      <c r="C740" s="21"/>
      <c r="D740" s="21"/>
      <c r="E740" s="21"/>
      <c r="F740" s="21"/>
      <c r="G740" s="21"/>
      <c r="H740" s="2"/>
      <c r="I740" s="21"/>
      <c r="J740" s="21"/>
      <c r="K740" s="21"/>
      <c r="L740" s="21"/>
      <c r="M740" s="21"/>
      <c r="N740" s="21"/>
      <c r="O740" s="21"/>
      <c r="P740" s="21"/>
      <c r="Q740" s="19"/>
      <c r="R740" s="19"/>
      <c r="S740" s="19"/>
      <c r="T740" s="19"/>
      <c r="U740" s="19"/>
      <c r="V740" s="19"/>
      <c r="W740" s="19"/>
      <c r="X740" s="19"/>
      <c r="Y740" s="19"/>
      <c r="Z740" s="19"/>
    </row>
    <row r="741">
      <c r="A741" s="21"/>
      <c r="B741" s="21"/>
      <c r="C741" s="21"/>
      <c r="D741" s="21"/>
      <c r="E741" s="21"/>
      <c r="F741" s="21"/>
      <c r="G741" s="21"/>
      <c r="H741" s="2"/>
      <c r="I741" s="21"/>
      <c r="J741" s="21"/>
      <c r="K741" s="21"/>
      <c r="L741" s="21"/>
      <c r="M741" s="21"/>
      <c r="N741" s="21"/>
      <c r="O741" s="21"/>
      <c r="P741" s="21"/>
      <c r="Q741" s="19"/>
      <c r="R741" s="19"/>
      <c r="S741" s="19"/>
      <c r="T741" s="19"/>
      <c r="U741" s="19"/>
      <c r="V741" s="19"/>
      <c r="W741" s="19"/>
      <c r="X741" s="19"/>
      <c r="Y741" s="19"/>
      <c r="Z741" s="19"/>
    </row>
    <row r="742">
      <c r="A742" s="21"/>
      <c r="B742" s="21"/>
      <c r="C742" s="21"/>
      <c r="D742" s="21"/>
      <c r="E742" s="21"/>
      <c r="F742" s="21"/>
      <c r="G742" s="21"/>
      <c r="H742" s="2"/>
      <c r="I742" s="21"/>
      <c r="J742" s="21"/>
      <c r="K742" s="21"/>
      <c r="L742" s="21"/>
      <c r="M742" s="21"/>
      <c r="N742" s="21"/>
      <c r="O742" s="21"/>
      <c r="P742" s="21"/>
      <c r="Q742" s="19"/>
      <c r="R742" s="19"/>
      <c r="S742" s="19"/>
      <c r="T742" s="19"/>
      <c r="U742" s="19"/>
      <c r="V742" s="19"/>
      <c r="W742" s="19"/>
      <c r="X742" s="19"/>
      <c r="Y742" s="19"/>
      <c r="Z742" s="19"/>
    </row>
    <row r="743">
      <c r="A743" s="21"/>
      <c r="B743" s="21"/>
      <c r="C743" s="21"/>
      <c r="D743" s="21"/>
      <c r="E743" s="21"/>
      <c r="F743" s="21"/>
      <c r="G743" s="21"/>
      <c r="H743" s="2"/>
      <c r="I743" s="21"/>
      <c r="J743" s="21"/>
      <c r="K743" s="21"/>
      <c r="L743" s="21"/>
      <c r="M743" s="21"/>
      <c r="N743" s="21"/>
      <c r="O743" s="21"/>
      <c r="P743" s="21"/>
      <c r="Q743" s="19"/>
      <c r="R743" s="19"/>
      <c r="S743" s="19"/>
      <c r="T743" s="19"/>
      <c r="U743" s="19"/>
      <c r="V743" s="19"/>
      <c r="W743" s="19"/>
      <c r="X743" s="19"/>
      <c r="Y743" s="19"/>
      <c r="Z743" s="19"/>
    </row>
    <row r="744">
      <c r="A744" s="21"/>
      <c r="B744" s="21"/>
      <c r="C744" s="21"/>
      <c r="D744" s="21"/>
      <c r="E744" s="21"/>
      <c r="F744" s="21"/>
      <c r="G744" s="21"/>
      <c r="H744" s="2"/>
      <c r="I744" s="21"/>
      <c r="J744" s="21"/>
      <c r="K744" s="21"/>
      <c r="L744" s="21"/>
      <c r="M744" s="21"/>
      <c r="N744" s="21"/>
      <c r="O744" s="21"/>
      <c r="P744" s="21"/>
      <c r="Q744" s="19"/>
      <c r="R744" s="19"/>
      <c r="S744" s="19"/>
      <c r="T744" s="19"/>
      <c r="U744" s="19"/>
      <c r="V744" s="19"/>
      <c r="W744" s="19"/>
      <c r="X744" s="19"/>
      <c r="Y744" s="19"/>
      <c r="Z744" s="19"/>
    </row>
    <row r="745">
      <c r="A745" s="21"/>
      <c r="B745" s="21"/>
      <c r="C745" s="21"/>
      <c r="D745" s="21"/>
      <c r="E745" s="21"/>
      <c r="F745" s="21"/>
      <c r="G745" s="21"/>
      <c r="H745" s="2"/>
      <c r="I745" s="21"/>
      <c r="J745" s="21"/>
      <c r="K745" s="21"/>
      <c r="L745" s="21"/>
      <c r="M745" s="21"/>
      <c r="N745" s="21"/>
      <c r="O745" s="21"/>
      <c r="P745" s="21"/>
      <c r="Q745" s="19"/>
      <c r="R745" s="19"/>
      <c r="S745" s="19"/>
      <c r="T745" s="19"/>
      <c r="U745" s="19"/>
      <c r="V745" s="19"/>
      <c r="W745" s="19"/>
      <c r="X745" s="19"/>
      <c r="Y745" s="19"/>
      <c r="Z745" s="19"/>
    </row>
    <row r="746">
      <c r="A746" s="21"/>
      <c r="B746" s="21"/>
      <c r="C746" s="21"/>
      <c r="D746" s="21"/>
      <c r="E746" s="21"/>
      <c r="F746" s="21"/>
      <c r="G746" s="21"/>
      <c r="H746" s="2"/>
      <c r="I746" s="21"/>
      <c r="J746" s="21"/>
      <c r="K746" s="21"/>
      <c r="L746" s="21"/>
      <c r="M746" s="21"/>
      <c r="N746" s="21"/>
      <c r="O746" s="21"/>
      <c r="P746" s="21"/>
      <c r="Q746" s="19"/>
      <c r="R746" s="19"/>
      <c r="S746" s="19"/>
      <c r="T746" s="19"/>
      <c r="U746" s="19"/>
      <c r="V746" s="19"/>
      <c r="W746" s="19"/>
      <c r="X746" s="19"/>
      <c r="Y746" s="19"/>
      <c r="Z746" s="19"/>
    </row>
    <row r="747">
      <c r="A747" s="21"/>
      <c r="B747" s="21"/>
      <c r="C747" s="21"/>
      <c r="D747" s="21"/>
      <c r="E747" s="21"/>
      <c r="F747" s="21"/>
      <c r="G747" s="21"/>
      <c r="H747" s="2"/>
      <c r="I747" s="21"/>
      <c r="J747" s="21"/>
      <c r="K747" s="21"/>
      <c r="L747" s="21"/>
      <c r="M747" s="21"/>
      <c r="N747" s="21"/>
      <c r="O747" s="21"/>
      <c r="P747" s="21"/>
      <c r="Q747" s="19"/>
      <c r="R747" s="19"/>
      <c r="S747" s="19"/>
      <c r="T747" s="19"/>
      <c r="U747" s="19"/>
      <c r="V747" s="19"/>
      <c r="W747" s="19"/>
      <c r="X747" s="19"/>
      <c r="Y747" s="19"/>
      <c r="Z747" s="19"/>
    </row>
    <row r="748">
      <c r="A748" s="21"/>
      <c r="B748" s="21"/>
      <c r="C748" s="21"/>
      <c r="D748" s="21"/>
      <c r="E748" s="21"/>
      <c r="F748" s="21"/>
      <c r="G748" s="21"/>
      <c r="H748" s="2"/>
      <c r="I748" s="21"/>
      <c r="J748" s="21"/>
      <c r="K748" s="21"/>
      <c r="L748" s="21"/>
      <c r="M748" s="21"/>
      <c r="N748" s="21"/>
      <c r="O748" s="21"/>
      <c r="P748" s="21"/>
      <c r="Q748" s="19"/>
      <c r="R748" s="19"/>
      <c r="S748" s="19"/>
      <c r="T748" s="19"/>
      <c r="U748" s="19"/>
      <c r="V748" s="19"/>
      <c r="W748" s="19"/>
      <c r="X748" s="19"/>
      <c r="Y748" s="19"/>
      <c r="Z748" s="19"/>
    </row>
    <row r="749">
      <c r="A749" s="21"/>
      <c r="B749" s="21"/>
      <c r="C749" s="21"/>
      <c r="D749" s="21"/>
      <c r="E749" s="21"/>
      <c r="F749" s="21"/>
      <c r="G749" s="21"/>
      <c r="H749" s="2"/>
      <c r="I749" s="21"/>
      <c r="J749" s="21"/>
      <c r="K749" s="21"/>
      <c r="L749" s="21"/>
      <c r="M749" s="21"/>
      <c r="N749" s="21"/>
      <c r="O749" s="21"/>
      <c r="P749" s="21"/>
      <c r="Q749" s="19"/>
      <c r="R749" s="19"/>
      <c r="S749" s="19"/>
      <c r="T749" s="19"/>
      <c r="U749" s="19"/>
      <c r="V749" s="19"/>
      <c r="W749" s="19"/>
      <c r="X749" s="19"/>
      <c r="Y749" s="19"/>
      <c r="Z749" s="19"/>
    </row>
    <row r="750">
      <c r="A750" s="21"/>
      <c r="B750" s="21"/>
      <c r="C750" s="21"/>
      <c r="D750" s="21"/>
      <c r="E750" s="21"/>
      <c r="F750" s="21"/>
      <c r="G750" s="21"/>
      <c r="H750" s="2"/>
      <c r="I750" s="21"/>
      <c r="J750" s="21"/>
      <c r="K750" s="21"/>
      <c r="L750" s="21"/>
      <c r="M750" s="21"/>
      <c r="N750" s="21"/>
      <c r="O750" s="21"/>
      <c r="P750" s="21"/>
      <c r="Q750" s="19"/>
      <c r="R750" s="19"/>
      <c r="S750" s="19"/>
      <c r="T750" s="19"/>
      <c r="U750" s="19"/>
      <c r="V750" s="19"/>
      <c r="W750" s="19"/>
      <c r="X750" s="19"/>
      <c r="Y750" s="19"/>
      <c r="Z750" s="19"/>
    </row>
    <row r="751">
      <c r="A751" s="21"/>
      <c r="B751" s="21"/>
      <c r="C751" s="21"/>
      <c r="D751" s="21"/>
      <c r="E751" s="21"/>
      <c r="F751" s="21"/>
      <c r="G751" s="21"/>
      <c r="H751" s="2"/>
      <c r="I751" s="21"/>
      <c r="J751" s="21"/>
      <c r="K751" s="21"/>
      <c r="L751" s="21"/>
      <c r="M751" s="21"/>
      <c r="N751" s="21"/>
      <c r="O751" s="21"/>
      <c r="P751" s="21"/>
      <c r="Q751" s="19"/>
      <c r="R751" s="19"/>
      <c r="S751" s="19"/>
      <c r="T751" s="19"/>
      <c r="U751" s="19"/>
      <c r="V751" s="19"/>
      <c r="W751" s="19"/>
      <c r="X751" s="19"/>
      <c r="Y751" s="19"/>
      <c r="Z751" s="19"/>
    </row>
    <row r="752">
      <c r="A752" s="21"/>
      <c r="B752" s="21"/>
      <c r="C752" s="21"/>
      <c r="D752" s="21"/>
      <c r="E752" s="21"/>
      <c r="F752" s="21"/>
      <c r="G752" s="21"/>
      <c r="H752" s="2"/>
      <c r="I752" s="21"/>
      <c r="J752" s="21"/>
      <c r="K752" s="21"/>
      <c r="L752" s="21"/>
      <c r="M752" s="21"/>
      <c r="N752" s="21"/>
      <c r="O752" s="21"/>
      <c r="P752" s="21"/>
      <c r="Q752" s="19"/>
      <c r="R752" s="19"/>
      <c r="S752" s="19"/>
      <c r="T752" s="19"/>
      <c r="U752" s="19"/>
      <c r="V752" s="19"/>
      <c r="W752" s="19"/>
      <c r="X752" s="19"/>
      <c r="Y752" s="19"/>
      <c r="Z752" s="19"/>
    </row>
    <row r="753">
      <c r="A753" s="21"/>
      <c r="B753" s="21"/>
      <c r="C753" s="21"/>
      <c r="D753" s="21"/>
      <c r="E753" s="21"/>
      <c r="F753" s="21"/>
      <c r="G753" s="21"/>
      <c r="H753" s="2"/>
      <c r="I753" s="21"/>
      <c r="J753" s="21"/>
      <c r="K753" s="21"/>
      <c r="L753" s="21"/>
      <c r="M753" s="21"/>
      <c r="N753" s="21"/>
      <c r="O753" s="21"/>
      <c r="P753" s="21"/>
      <c r="Q753" s="19"/>
      <c r="R753" s="19"/>
      <c r="S753" s="19"/>
      <c r="T753" s="19"/>
      <c r="U753" s="19"/>
      <c r="V753" s="19"/>
      <c r="W753" s="19"/>
      <c r="X753" s="19"/>
      <c r="Y753" s="19"/>
      <c r="Z753" s="19"/>
    </row>
    <row r="754">
      <c r="A754" s="21"/>
      <c r="B754" s="21"/>
      <c r="C754" s="21"/>
      <c r="D754" s="21"/>
      <c r="E754" s="21"/>
      <c r="F754" s="21"/>
      <c r="G754" s="21"/>
      <c r="H754" s="2"/>
      <c r="I754" s="21"/>
      <c r="J754" s="21"/>
      <c r="K754" s="21"/>
      <c r="L754" s="21"/>
      <c r="M754" s="21"/>
      <c r="N754" s="21"/>
      <c r="O754" s="21"/>
      <c r="P754" s="21"/>
      <c r="Q754" s="19"/>
      <c r="R754" s="19"/>
      <c r="S754" s="19"/>
      <c r="T754" s="19"/>
      <c r="U754" s="19"/>
      <c r="V754" s="19"/>
      <c r="W754" s="19"/>
      <c r="X754" s="19"/>
      <c r="Y754" s="19"/>
      <c r="Z754" s="19"/>
    </row>
    <row r="755">
      <c r="A755" s="21"/>
      <c r="B755" s="21"/>
      <c r="C755" s="21"/>
      <c r="D755" s="21"/>
      <c r="E755" s="21"/>
      <c r="F755" s="21"/>
      <c r="G755" s="21"/>
      <c r="H755" s="2"/>
      <c r="I755" s="21"/>
      <c r="J755" s="21"/>
      <c r="K755" s="21"/>
      <c r="L755" s="21"/>
      <c r="M755" s="21"/>
      <c r="N755" s="21"/>
      <c r="O755" s="21"/>
      <c r="P755" s="21"/>
      <c r="Q755" s="19"/>
      <c r="R755" s="19"/>
      <c r="S755" s="19"/>
      <c r="T755" s="19"/>
      <c r="U755" s="19"/>
      <c r="V755" s="19"/>
      <c r="W755" s="19"/>
      <c r="X755" s="19"/>
      <c r="Y755" s="19"/>
      <c r="Z755" s="19"/>
    </row>
    <row r="756">
      <c r="A756" s="21"/>
      <c r="B756" s="21"/>
      <c r="C756" s="21"/>
      <c r="D756" s="21"/>
      <c r="E756" s="21"/>
      <c r="F756" s="21"/>
      <c r="G756" s="21"/>
      <c r="H756" s="2"/>
      <c r="I756" s="21"/>
      <c r="J756" s="21"/>
      <c r="K756" s="21"/>
      <c r="L756" s="21"/>
      <c r="M756" s="21"/>
      <c r="N756" s="21"/>
      <c r="O756" s="21"/>
      <c r="P756" s="21"/>
      <c r="Q756" s="19"/>
      <c r="R756" s="19"/>
      <c r="S756" s="19"/>
      <c r="T756" s="19"/>
      <c r="U756" s="19"/>
      <c r="V756" s="19"/>
      <c r="W756" s="19"/>
      <c r="X756" s="19"/>
      <c r="Y756" s="19"/>
      <c r="Z756" s="19"/>
    </row>
    <row r="757">
      <c r="A757" s="21"/>
      <c r="B757" s="21"/>
      <c r="C757" s="21"/>
      <c r="D757" s="21"/>
      <c r="E757" s="21"/>
      <c r="F757" s="21"/>
      <c r="G757" s="21"/>
      <c r="H757" s="2"/>
      <c r="I757" s="21"/>
      <c r="J757" s="21"/>
      <c r="K757" s="21"/>
      <c r="L757" s="21"/>
      <c r="M757" s="21"/>
      <c r="N757" s="21"/>
      <c r="O757" s="21"/>
      <c r="P757" s="21"/>
      <c r="Q757" s="19"/>
      <c r="R757" s="19"/>
      <c r="S757" s="19"/>
      <c r="T757" s="19"/>
      <c r="U757" s="19"/>
      <c r="V757" s="19"/>
      <c r="W757" s="19"/>
      <c r="X757" s="19"/>
      <c r="Y757" s="19"/>
      <c r="Z757" s="19"/>
    </row>
    <row r="758">
      <c r="A758" s="21"/>
      <c r="B758" s="21"/>
      <c r="C758" s="21"/>
      <c r="D758" s="21"/>
      <c r="E758" s="21"/>
      <c r="F758" s="21"/>
      <c r="G758" s="21"/>
      <c r="H758" s="2"/>
      <c r="I758" s="21"/>
      <c r="J758" s="21"/>
      <c r="K758" s="21"/>
      <c r="L758" s="21"/>
      <c r="M758" s="21"/>
      <c r="N758" s="21"/>
      <c r="O758" s="21"/>
      <c r="P758" s="21"/>
      <c r="Q758" s="19"/>
      <c r="R758" s="19"/>
      <c r="S758" s="19"/>
      <c r="T758" s="19"/>
      <c r="U758" s="19"/>
      <c r="V758" s="19"/>
      <c r="W758" s="19"/>
      <c r="X758" s="19"/>
      <c r="Y758" s="19"/>
      <c r="Z758" s="19"/>
    </row>
    <row r="759">
      <c r="A759" s="21"/>
      <c r="B759" s="21"/>
      <c r="C759" s="21"/>
      <c r="D759" s="21"/>
      <c r="E759" s="21"/>
      <c r="F759" s="21"/>
      <c r="G759" s="21"/>
      <c r="H759" s="2"/>
      <c r="I759" s="21"/>
      <c r="J759" s="21"/>
      <c r="K759" s="21"/>
      <c r="L759" s="21"/>
      <c r="M759" s="21"/>
      <c r="N759" s="21"/>
      <c r="O759" s="21"/>
      <c r="P759" s="21"/>
      <c r="Q759" s="19"/>
      <c r="R759" s="19"/>
      <c r="S759" s="19"/>
      <c r="T759" s="19"/>
      <c r="U759" s="19"/>
      <c r="V759" s="19"/>
      <c r="W759" s="19"/>
      <c r="X759" s="19"/>
      <c r="Y759" s="19"/>
      <c r="Z759" s="19"/>
    </row>
    <row r="760">
      <c r="A760" s="21"/>
      <c r="B760" s="21"/>
      <c r="C760" s="21"/>
      <c r="D760" s="21"/>
      <c r="E760" s="21"/>
      <c r="F760" s="21"/>
      <c r="G760" s="21"/>
      <c r="H760" s="2"/>
      <c r="I760" s="21"/>
      <c r="J760" s="21"/>
      <c r="K760" s="21"/>
      <c r="L760" s="21"/>
      <c r="M760" s="21"/>
      <c r="N760" s="21"/>
      <c r="O760" s="21"/>
      <c r="P760" s="21"/>
      <c r="Q760" s="19"/>
      <c r="R760" s="19"/>
      <c r="S760" s="19"/>
      <c r="T760" s="19"/>
      <c r="U760" s="19"/>
      <c r="V760" s="19"/>
      <c r="W760" s="19"/>
      <c r="X760" s="19"/>
      <c r="Y760" s="19"/>
      <c r="Z760" s="19"/>
    </row>
    <row r="761">
      <c r="A761" s="21"/>
      <c r="B761" s="21"/>
      <c r="C761" s="21"/>
      <c r="D761" s="21"/>
      <c r="E761" s="21"/>
      <c r="F761" s="21"/>
      <c r="G761" s="21"/>
      <c r="H761" s="2"/>
      <c r="I761" s="21"/>
      <c r="J761" s="21"/>
      <c r="K761" s="21"/>
      <c r="L761" s="21"/>
      <c r="M761" s="21"/>
      <c r="N761" s="21"/>
      <c r="O761" s="21"/>
      <c r="P761" s="21"/>
      <c r="Q761" s="19"/>
      <c r="R761" s="19"/>
      <c r="S761" s="19"/>
      <c r="T761" s="19"/>
      <c r="U761" s="19"/>
      <c r="V761" s="19"/>
      <c r="W761" s="19"/>
      <c r="X761" s="19"/>
      <c r="Y761" s="19"/>
      <c r="Z761" s="19"/>
    </row>
    <row r="762">
      <c r="A762" s="21"/>
      <c r="B762" s="21"/>
      <c r="C762" s="21"/>
      <c r="D762" s="21"/>
      <c r="E762" s="21"/>
      <c r="F762" s="21"/>
      <c r="G762" s="21"/>
      <c r="H762" s="2"/>
      <c r="I762" s="21"/>
      <c r="J762" s="21"/>
      <c r="K762" s="21"/>
      <c r="L762" s="21"/>
      <c r="M762" s="21"/>
      <c r="N762" s="21"/>
      <c r="O762" s="21"/>
      <c r="P762" s="21"/>
      <c r="Q762" s="19"/>
      <c r="R762" s="19"/>
      <c r="S762" s="19"/>
      <c r="T762" s="19"/>
      <c r="U762" s="19"/>
      <c r="V762" s="19"/>
      <c r="W762" s="19"/>
      <c r="X762" s="19"/>
      <c r="Y762" s="19"/>
      <c r="Z762" s="19"/>
    </row>
    <row r="763">
      <c r="A763" s="21"/>
      <c r="B763" s="21"/>
      <c r="C763" s="21"/>
      <c r="D763" s="21"/>
      <c r="E763" s="21"/>
      <c r="F763" s="21"/>
      <c r="G763" s="21"/>
      <c r="H763" s="2"/>
      <c r="I763" s="21"/>
      <c r="J763" s="21"/>
      <c r="K763" s="21"/>
      <c r="L763" s="21"/>
      <c r="M763" s="21"/>
      <c r="N763" s="21"/>
      <c r="O763" s="21"/>
      <c r="P763" s="21"/>
      <c r="Q763" s="19"/>
      <c r="R763" s="19"/>
      <c r="S763" s="19"/>
      <c r="T763" s="19"/>
      <c r="U763" s="19"/>
      <c r="V763" s="19"/>
      <c r="W763" s="19"/>
      <c r="X763" s="19"/>
      <c r="Y763" s="19"/>
      <c r="Z763" s="19"/>
    </row>
    <row r="764">
      <c r="A764" s="21"/>
      <c r="B764" s="21"/>
      <c r="C764" s="21"/>
      <c r="D764" s="21"/>
      <c r="E764" s="21"/>
      <c r="F764" s="21"/>
      <c r="G764" s="21"/>
      <c r="H764" s="2"/>
      <c r="I764" s="21"/>
      <c r="J764" s="21"/>
      <c r="K764" s="21"/>
      <c r="L764" s="21"/>
      <c r="M764" s="21"/>
      <c r="N764" s="21"/>
      <c r="O764" s="21"/>
      <c r="P764" s="21"/>
      <c r="Q764" s="19"/>
      <c r="R764" s="19"/>
      <c r="S764" s="19"/>
      <c r="T764" s="19"/>
      <c r="U764" s="19"/>
      <c r="V764" s="19"/>
      <c r="W764" s="19"/>
      <c r="X764" s="19"/>
      <c r="Y764" s="19"/>
      <c r="Z764" s="19"/>
    </row>
    <row r="765">
      <c r="A765" s="21"/>
      <c r="B765" s="21"/>
      <c r="C765" s="21"/>
      <c r="D765" s="21"/>
      <c r="E765" s="21"/>
      <c r="F765" s="21"/>
      <c r="G765" s="21"/>
      <c r="H765" s="2"/>
      <c r="I765" s="21"/>
      <c r="J765" s="21"/>
      <c r="K765" s="21"/>
      <c r="L765" s="21"/>
      <c r="M765" s="21"/>
      <c r="N765" s="21"/>
      <c r="O765" s="21"/>
      <c r="P765" s="21"/>
      <c r="Q765" s="19"/>
      <c r="R765" s="19"/>
      <c r="S765" s="19"/>
      <c r="T765" s="19"/>
      <c r="U765" s="19"/>
      <c r="V765" s="19"/>
      <c r="W765" s="19"/>
      <c r="X765" s="19"/>
      <c r="Y765" s="19"/>
      <c r="Z765" s="19"/>
    </row>
    <row r="766">
      <c r="A766" s="21"/>
      <c r="B766" s="21"/>
      <c r="C766" s="21"/>
      <c r="D766" s="21"/>
      <c r="E766" s="21"/>
      <c r="F766" s="21"/>
      <c r="G766" s="21"/>
      <c r="H766" s="2"/>
      <c r="I766" s="21"/>
      <c r="J766" s="21"/>
      <c r="K766" s="21"/>
      <c r="L766" s="21"/>
      <c r="M766" s="21"/>
      <c r="N766" s="21"/>
      <c r="O766" s="21"/>
      <c r="P766" s="21"/>
      <c r="Q766" s="19"/>
      <c r="R766" s="19"/>
      <c r="S766" s="19"/>
      <c r="T766" s="19"/>
      <c r="U766" s="19"/>
      <c r="V766" s="19"/>
      <c r="W766" s="19"/>
      <c r="X766" s="19"/>
      <c r="Y766" s="19"/>
      <c r="Z766" s="19"/>
    </row>
    <row r="767">
      <c r="A767" s="21"/>
      <c r="B767" s="21"/>
      <c r="C767" s="21"/>
      <c r="D767" s="21"/>
      <c r="E767" s="21"/>
      <c r="F767" s="21"/>
      <c r="G767" s="21"/>
      <c r="H767" s="2"/>
      <c r="I767" s="21"/>
      <c r="J767" s="21"/>
      <c r="K767" s="21"/>
      <c r="L767" s="21"/>
      <c r="M767" s="21"/>
      <c r="N767" s="21"/>
      <c r="O767" s="21"/>
      <c r="P767" s="21"/>
      <c r="Q767" s="19"/>
      <c r="R767" s="19"/>
      <c r="S767" s="19"/>
      <c r="T767" s="19"/>
      <c r="U767" s="19"/>
      <c r="V767" s="19"/>
      <c r="W767" s="19"/>
      <c r="X767" s="19"/>
      <c r="Y767" s="19"/>
      <c r="Z767" s="19"/>
    </row>
    <row r="768">
      <c r="A768" s="21"/>
      <c r="B768" s="21"/>
      <c r="C768" s="21"/>
      <c r="D768" s="21"/>
      <c r="E768" s="21"/>
      <c r="F768" s="21"/>
      <c r="G768" s="21"/>
      <c r="H768" s="2"/>
      <c r="I768" s="21"/>
      <c r="J768" s="21"/>
      <c r="K768" s="21"/>
      <c r="L768" s="21"/>
      <c r="M768" s="21"/>
      <c r="N768" s="21"/>
      <c r="O768" s="21"/>
      <c r="P768" s="21"/>
      <c r="Q768" s="19"/>
      <c r="R768" s="19"/>
      <c r="S768" s="19"/>
      <c r="T768" s="19"/>
      <c r="U768" s="19"/>
      <c r="V768" s="19"/>
      <c r="W768" s="19"/>
      <c r="X768" s="19"/>
      <c r="Y768" s="19"/>
      <c r="Z768" s="19"/>
    </row>
    <row r="769">
      <c r="A769" s="21"/>
      <c r="B769" s="21"/>
      <c r="C769" s="21"/>
      <c r="D769" s="21"/>
      <c r="E769" s="21"/>
      <c r="F769" s="21"/>
      <c r="G769" s="21"/>
      <c r="H769" s="2"/>
      <c r="I769" s="21"/>
      <c r="J769" s="21"/>
      <c r="K769" s="21"/>
      <c r="L769" s="21"/>
      <c r="M769" s="21"/>
      <c r="N769" s="21"/>
      <c r="O769" s="21"/>
      <c r="P769" s="21"/>
      <c r="Q769" s="19"/>
      <c r="R769" s="19"/>
      <c r="S769" s="19"/>
      <c r="T769" s="19"/>
      <c r="U769" s="19"/>
      <c r="V769" s="19"/>
      <c r="W769" s="19"/>
      <c r="X769" s="19"/>
      <c r="Y769" s="19"/>
      <c r="Z769" s="19"/>
    </row>
    <row r="770">
      <c r="A770" s="21"/>
      <c r="B770" s="21"/>
      <c r="C770" s="21"/>
      <c r="D770" s="21"/>
      <c r="E770" s="21"/>
      <c r="F770" s="21"/>
      <c r="G770" s="21"/>
      <c r="H770" s="2"/>
      <c r="I770" s="21"/>
      <c r="J770" s="21"/>
      <c r="K770" s="21"/>
      <c r="L770" s="21"/>
      <c r="M770" s="21"/>
      <c r="N770" s="21"/>
      <c r="O770" s="21"/>
      <c r="P770" s="21"/>
      <c r="Q770" s="19"/>
      <c r="R770" s="19"/>
      <c r="S770" s="19"/>
      <c r="T770" s="19"/>
      <c r="U770" s="19"/>
      <c r="V770" s="19"/>
      <c r="W770" s="19"/>
      <c r="X770" s="19"/>
      <c r="Y770" s="19"/>
      <c r="Z770" s="19"/>
    </row>
    <row r="771">
      <c r="A771" s="21"/>
      <c r="B771" s="21"/>
      <c r="C771" s="21"/>
      <c r="D771" s="21"/>
      <c r="E771" s="21"/>
      <c r="F771" s="21"/>
      <c r="G771" s="21"/>
      <c r="H771" s="2"/>
      <c r="I771" s="21"/>
      <c r="J771" s="21"/>
      <c r="K771" s="21"/>
      <c r="L771" s="21"/>
      <c r="M771" s="21"/>
      <c r="N771" s="21"/>
      <c r="O771" s="21"/>
      <c r="P771" s="21"/>
      <c r="Q771" s="19"/>
      <c r="R771" s="19"/>
      <c r="S771" s="19"/>
      <c r="T771" s="19"/>
      <c r="U771" s="19"/>
      <c r="V771" s="19"/>
      <c r="W771" s="19"/>
      <c r="X771" s="19"/>
      <c r="Y771" s="19"/>
      <c r="Z771" s="19"/>
    </row>
    <row r="772">
      <c r="A772" s="21"/>
      <c r="B772" s="21"/>
      <c r="C772" s="21"/>
      <c r="D772" s="21"/>
      <c r="E772" s="21"/>
      <c r="F772" s="21"/>
      <c r="G772" s="21"/>
      <c r="H772" s="2"/>
      <c r="I772" s="21"/>
      <c r="J772" s="21"/>
      <c r="K772" s="21"/>
      <c r="L772" s="21"/>
      <c r="M772" s="21"/>
      <c r="N772" s="21"/>
      <c r="O772" s="21"/>
      <c r="P772" s="21"/>
      <c r="Q772" s="19"/>
      <c r="R772" s="19"/>
      <c r="S772" s="19"/>
      <c r="T772" s="19"/>
      <c r="U772" s="19"/>
      <c r="V772" s="19"/>
      <c r="W772" s="19"/>
      <c r="X772" s="19"/>
      <c r="Y772" s="19"/>
      <c r="Z772" s="19"/>
    </row>
    <row r="773">
      <c r="A773" s="21"/>
      <c r="B773" s="21"/>
      <c r="C773" s="21"/>
      <c r="D773" s="21"/>
      <c r="E773" s="21"/>
      <c r="F773" s="21"/>
      <c r="G773" s="21"/>
      <c r="H773" s="2"/>
      <c r="I773" s="21"/>
      <c r="J773" s="21"/>
      <c r="K773" s="21"/>
      <c r="L773" s="21"/>
      <c r="M773" s="21"/>
      <c r="N773" s="21"/>
      <c r="O773" s="21"/>
      <c r="P773" s="21"/>
      <c r="Q773" s="19"/>
      <c r="R773" s="19"/>
      <c r="S773" s="19"/>
      <c r="T773" s="19"/>
      <c r="U773" s="19"/>
      <c r="V773" s="19"/>
      <c r="W773" s="19"/>
      <c r="X773" s="19"/>
      <c r="Y773" s="19"/>
      <c r="Z773" s="19"/>
    </row>
    <row r="774">
      <c r="A774" s="21"/>
      <c r="B774" s="21"/>
      <c r="C774" s="21"/>
      <c r="D774" s="21"/>
      <c r="E774" s="21"/>
      <c r="F774" s="21"/>
      <c r="G774" s="21"/>
      <c r="H774" s="2"/>
      <c r="I774" s="21"/>
      <c r="J774" s="21"/>
      <c r="K774" s="21"/>
      <c r="L774" s="21"/>
      <c r="M774" s="21"/>
      <c r="N774" s="21"/>
      <c r="O774" s="21"/>
      <c r="P774" s="21"/>
      <c r="Q774" s="19"/>
      <c r="R774" s="19"/>
      <c r="S774" s="19"/>
      <c r="T774" s="19"/>
      <c r="U774" s="19"/>
      <c r="V774" s="19"/>
      <c r="W774" s="19"/>
      <c r="X774" s="19"/>
      <c r="Y774" s="19"/>
      <c r="Z774" s="19"/>
    </row>
    <row r="775">
      <c r="A775" s="21"/>
      <c r="B775" s="21"/>
      <c r="C775" s="21"/>
      <c r="D775" s="21"/>
      <c r="E775" s="21"/>
      <c r="F775" s="21"/>
      <c r="G775" s="21"/>
      <c r="H775" s="2"/>
      <c r="I775" s="21"/>
      <c r="J775" s="21"/>
      <c r="K775" s="21"/>
      <c r="L775" s="21"/>
      <c r="M775" s="21"/>
      <c r="N775" s="21"/>
      <c r="O775" s="21"/>
      <c r="P775" s="21"/>
      <c r="Q775" s="19"/>
      <c r="R775" s="19"/>
      <c r="S775" s="19"/>
      <c r="T775" s="19"/>
      <c r="U775" s="19"/>
      <c r="V775" s="19"/>
      <c r="W775" s="19"/>
      <c r="X775" s="19"/>
      <c r="Y775" s="19"/>
      <c r="Z775" s="19"/>
    </row>
    <row r="776">
      <c r="A776" s="21"/>
      <c r="B776" s="21"/>
      <c r="C776" s="21"/>
      <c r="D776" s="21"/>
      <c r="E776" s="21"/>
      <c r="F776" s="21"/>
      <c r="G776" s="21"/>
      <c r="H776" s="2"/>
      <c r="I776" s="21"/>
      <c r="J776" s="21"/>
      <c r="K776" s="21"/>
      <c r="L776" s="21"/>
      <c r="M776" s="21"/>
      <c r="N776" s="21"/>
      <c r="O776" s="21"/>
      <c r="P776" s="21"/>
      <c r="Q776" s="19"/>
      <c r="R776" s="19"/>
      <c r="S776" s="19"/>
      <c r="T776" s="19"/>
      <c r="U776" s="19"/>
      <c r="V776" s="19"/>
      <c r="W776" s="19"/>
      <c r="X776" s="19"/>
      <c r="Y776" s="19"/>
      <c r="Z776" s="19"/>
    </row>
    <row r="777">
      <c r="A777" s="21"/>
      <c r="B777" s="21"/>
      <c r="C777" s="21"/>
      <c r="D777" s="21"/>
      <c r="E777" s="21"/>
      <c r="F777" s="21"/>
      <c r="G777" s="21"/>
      <c r="H777" s="2"/>
      <c r="I777" s="21"/>
      <c r="J777" s="21"/>
      <c r="K777" s="21"/>
      <c r="L777" s="21"/>
      <c r="M777" s="21"/>
      <c r="N777" s="21"/>
      <c r="O777" s="21"/>
      <c r="P777" s="21"/>
      <c r="Q777" s="19"/>
      <c r="R777" s="19"/>
      <c r="S777" s="19"/>
      <c r="T777" s="19"/>
      <c r="U777" s="19"/>
      <c r="V777" s="19"/>
      <c r="W777" s="19"/>
      <c r="X777" s="19"/>
      <c r="Y777" s="19"/>
      <c r="Z777" s="19"/>
    </row>
    <row r="778">
      <c r="A778" s="21"/>
      <c r="B778" s="21"/>
      <c r="C778" s="21"/>
      <c r="D778" s="21"/>
      <c r="E778" s="21"/>
      <c r="F778" s="21"/>
      <c r="G778" s="21"/>
      <c r="H778" s="2"/>
      <c r="I778" s="21"/>
      <c r="J778" s="21"/>
      <c r="K778" s="21"/>
      <c r="L778" s="21"/>
      <c r="M778" s="21"/>
      <c r="N778" s="21"/>
      <c r="O778" s="21"/>
      <c r="P778" s="21"/>
      <c r="Q778" s="19"/>
      <c r="R778" s="19"/>
      <c r="S778" s="19"/>
      <c r="T778" s="19"/>
      <c r="U778" s="19"/>
      <c r="V778" s="19"/>
      <c r="W778" s="19"/>
      <c r="X778" s="19"/>
      <c r="Y778" s="19"/>
      <c r="Z778" s="19"/>
    </row>
    <row r="779">
      <c r="A779" s="21"/>
      <c r="B779" s="21"/>
      <c r="C779" s="21"/>
      <c r="D779" s="21"/>
      <c r="E779" s="21"/>
      <c r="F779" s="21"/>
      <c r="G779" s="21"/>
      <c r="H779" s="2"/>
      <c r="I779" s="21"/>
      <c r="J779" s="21"/>
      <c r="K779" s="21"/>
      <c r="L779" s="21"/>
      <c r="M779" s="21"/>
      <c r="N779" s="21"/>
      <c r="O779" s="21"/>
      <c r="P779" s="21"/>
      <c r="Q779" s="19"/>
      <c r="R779" s="19"/>
      <c r="S779" s="19"/>
      <c r="T779" s="19"/>
      <c r="U779" s="19"/>
      <c r="V779" s="19"/>
      <c r="W779" s="19"/>
      <c r="X779" s="19"/>
      <c r="Y779" s="19"/>
      <c r="Z779" s="19"/>
    </row>
    <row r="780">
      <c r="A780" s="21"/>
      <c r="B780" s="21"/>
      <c r="C780" s="21"/>
      <c r="D780" s="21"/>
      <c r="E780" s="21"/>
      <c r="F780" s="21"/>
      <c r="G780" s="21"/>
      <c r="H780" s="2"/>
      <c r="I780" s="21"/>
      <c r="J780" s="21"/>
      <c r="K780" s="21"/>
      <c r="L780" s="21"/>
      <c r="M780" s="21"/>
      <c r="N780" s="21"/>
      <c r="O780" s="21"/>
      <c r="P780" s="21"/>
      <c r="Q780" s="19"/>
      <c r="R780" s="19"/>
      <c r="S780" s="19"/>
      <c r="T780" s="19"/>
      <c r="U780" s="19"/>
      <c r="V780" s="19"/>
      <c r="W780" s="19"/>
      <c r="X780" s="19"/>
      <c r="Y780" s="19"/>
      <c r="Z780" s="19"/>
    </row>
    <row r="781">
      <c r="A781" s="21"/>
      <c r="B781" s="21"/>
      <c r="C781" s="21"/>
      <c r="D781" s="21"/>
      <c r="E781" s="21"/>
      <c r="F781" s="21"/>
      <c r="G781" s="21"/>
      <c r="H781" s="2"/>
      <c r="I781" s="21"/>
      <c r="J781" s="21"/>
      <c r="K781" s="21"/>
      <c r="L781" s="21"/>
      <c r="M781" s="21"/>
      <c r="N781" s="21"/>
      <c r="O781" s="21"/>
      <c r="P781" s="21"/>
      <c r="Q781" s="19"/>
      <c r="R781" s="19"/>
      <c r="S781" s="19"/>
      <c r="T781" s="19"/>
      <c r="U781" s="19"/>
      <c r="V781" s="19"/>
      <c r="W781" s="19"/>
      <c r="X781" s="19"/>
      <c r="Y781" s="19"/>
      <c r="Z781" s="19"/>
    </row>
    <row r="782">
      <c r="A782" s="21"/>
      <c r="B782" s="21"/>
      <c r="C782" s="21"/>
      <c r="D782" s="21"/>
      <c r="E782" s="21"/>
      <c r="F782" s="21"/>
      <c r="G782" s="21"/>
      <c r="H782" s="2"/>
      <c r="I782" s="21"/>
      <c r="J782" s="21"/>
      <c r="K782" s="21"/>
      <c r="L782" s="21"/>
      <c r="M782" s="21"/>
      <c r="N782" s="21"/>
      <c r="O782" s="21"/>
      <c r="P782" s="21"/>
      <c r="Q782" s="19"/>
      <c r="R782" s="19"/>
      <c r="S782" s="19"/>
      <c r="T782" s="19"/>
      <c r="U782" s="19"/>
      <c r="V782" s="19"/>
      <c r="W782" s="19"/>
      <c r="X782" s="19"/>
      <c r="Y782" s="19"/>
      <c r="Z782" s="19"/>
    </row>
    <row r="783">
      <c r="A783" s="21"/>
      <c r="B783" s="21"/>
      <c r="C783" s="21"/>
      <c r="D783" s="21"/>
      <c r="E783" s="21"/>
      <c r="F783" s="21"/>
      <c r="G783" s="21"/>
      <c r="H783" s="2"/>
      <c r="I783" s="21"/>
      <c r="J783" s="21"/>
      <c r="K783" s="21"/>
      <c r="L783" s="21"/>
      <c r="M783" s="21"/>
      <c r="N783" s="21"/>
      <c r="O783" s="21"/>
      <c r="P783" s="21"/>
      <c r="Q783" s="19"/>
      <c r="R783" s="19"/>
      <c r="S783" s="19"/>
      <c r="T783" s="19"/>
      <c r="U783" s="19"/>
      <c r="V783" s="19"/>
      <c r="W783" s="19"/>
      <c r="X783" s="19"/>
      <c r="Y783" s="19"/>
      <c r="Z783" s="19"/>
    </row>
    <row r="784">
      <c r="A784" s="21"/>
      <c r="B784" s="21"/>
      <c r="C784" s="21"/>
      <c r="D784" s="21"/>
      <c r="E784" s="21"/>
      <c r="F784" s="21"/>
      <c r="G784" s="21"/>
      <c r="H784" s="2"/>
      <c r="I784" s="21"/>
      <c r="J784" s="21"/>
      <c r="K784" s="21"/>
      <c r="L784" s="21"/>
      <c r="M784" s="21"/>
      <c r="N784" s="21"/>
      <c r="O784" s="21"/>
      <c r="P784" s="21"/>
      <c r="Q784" s="19"/>
      <c r="R784" s="19"/>
      <c r="S784" s="19"/>
      <c r="T784" s="19"/>
      <c r="U784" s="19"/>
      <c r="V784" s="19"/>
      <c r="W784" s="19"/>
      <c r="X784" s="19"/>
      <c r="Y784" s="19"/>
      <c r="Z784" s="19"/>
    </row>
    <row r="785">
      <c r="A785" s="21"/>
      <c r="B785" s="21"/>
      <c r="C785" s="21"/>
      <c r="D785" s="21"/>
      <c r="E785" s="21"/>
      <c r="F785" s="21"/>
      <c r="G785" s="21"/>
      <c r="H785" s="2"/>
      <c r="I785" s="21"/>
      <c r="J785" s="21"/>
      <c r="K785" s="21"/>
      <c r="L785" s="21"/>
      <c r="M785" s="21"/>
      <c r="N785" s="21"/>
      <c r="O785" s="21"/>
      <c r="P785" s="21"/>
      <c r="Q785" s="19"/>
      <c r="R785" s="19"/>
      <c r="S785" s="19"/>
      <c r="T785" s="19"/>
      <c r="U785" s="19"/>
      <c r="V785" s="19"/>
      <c r="W785" s="19"/>
      <c r="X785" s="19"/>
      <c r="Y785" s="19"/>
      <c r="Z785" s="19"/>
    </row>
    <row r="786">
      <c r="A786" s="21"/>
      <c r="B786" s="21"/>
      <c r="C786" s="21"/>
      <c r="D786" s="21"/>
      <c r="E786" s="21"/>
      <c r="F786" s="21"/>
      <c r="G786" s="21"/>
      <c r="H786" s="2"/>
      <c r="I786" s="21"/>
      <c r="J786" s="21"/>
      <c r="K786" s="21"/>
      <c r="L786" s="21"/>
      <c r="M786" s="21"/>
      <c r="N786" s="21"/>
      <c r="O786" s="21"/>
      <c r="P786" s="21"/>
      <c r="Q786" s="19"/>
      <c r="R786" s="19"/>
      <c r="S786" s="19"/>
      <c r="T786" s="19"/>
      <c r="U786" s="19"/>
      <c r="V786" s="19"/>
      <c r="W786" s="19"/>
      <c r="X786" s="19"/>
      <c r="Y786" s="19"/>
      <c r="Z786" s="19"/>
    </row>
    <row r="787">
      <c r="A787" s="21"/>
      <c r="B787" s="21"/>
      <c r="C787" s="21"/>
      <c r="D787" s="21"/>
      <c r="E787" s="21"/>
      <c r="F787" s="21"/>
      <c r="G787" s="21"/>
      <c r="H787" s="2"/>
      <c r="I787" s="21"/>
      <c r="J787" s="21"/>
      <c r="K787" s="21"/>
      <c r="L787" s="21"/>
      <c r="M787" s="21"/>
      <c r="N787" s="21"/>
      <c r="O787" s="21"/>
      <c r="P787" s="21"/>
      <c r="Q787" s="19"/>
      <c r="R787" s="19"/>
      <c r="S787" s="19"/>
      <c r="T787" s="19"/>
      <c r="U787" s="19"/>
      <c r="V787" s="19"/>
      <c r="W787" s="19"/>
      <c r="X787" s="19"/>
      <c r="Y787" s="19"/>
      <c r="Z787" s="19"/>
    </row>
    <row r="788">
      <c r="A788" s="21"/>
      <c r="B788" s="21"/>
      <c r="C788" s="21"/>
      <c r="D788" s="21"/>
      <c r="E788" s="21"/>
      <c r="F788" s="21"/>
      <c r="G788" s="21"/>
      <c r="H788" s="2"/>
      <c r="I788" s="21"/>
      <c r="J788" s="21"/>
      <c r="K788" s="21"/>
      <c r="L788" s="21"/>
      <c r="M788" s="21"/>
      <c r="N788" s="21"/>
      <c r="O788" s="21"/>
      <c r="P788" s="21"/>
      <c r="Q788" s="19"/>
      <c r="R788" s="19"/>
      <c r="S788" s="19"/>
      <c r="T788" s="19"/>
      <c r="U788" s="19"/>
      <c r="V788" s="19"/>
      <c r="W788" s="19"/>
      <c r="X788" s="19"/>
      <c r="Y788" s="19"/>
      <c r="Z788" s="19"/>
    </row>
    <row r="789">
      <c r="A789" s="21"/>
      <c r="B789" s="21"/>
      <c r="C789" s="21"/>
      <c r="D789" s="21"/>
      <c r="E789" s="21"/>
      <c r="F789" s="21"/>
      <c r="G789" s="21"/>
      <c r="H789" s="2"/>
      <c r="I789" s="21"/>
      <c r="J789" s="21"/>
      <c r="K789" s="21"/>
      <c r="L789" s="21"/>
      <c r="M789" s="21"/>
      <c r="N789" s="21"/>
      <c r="O789" s="21"/>
      <c r="P789" s="21"/>
      <c r="Q789" s="19"/>
      <c r="R789" s="19"/>
      <c r="S789" s="19"/>
      <c r="T789" s="19"/>
      <c r="U789" s="19"/>
      <c r="V789" s="19"/>
      <c r="W789" s="19"/>
      <c r="X789" s="19"/>
      <c r="Y789" s="19"/>
      <c r="Z789" s="19"/>
    </row>
    <row r="790">
      <c r="A790" s="21"/>
      <c r="B790" s="21"/>
      <c r="C790" s="21"/>
      <c r="D790" s="21"/>
      <c r="E790" s="21"/>
      <c r="F790" s="21"/>
      <c r="G790" s="21"/>
      <c r="H790" s="2"/>
      <c r="I790" s="21"/>
      <c r="J790" s="21"/>
      <c r="K790" s="21"/>
      <c r="L790" s="21"/>
      <c r="M790" s="21"/>
      <c r="N790" s="21"/>
      <c r="O790" s="21"/>
      <c r="P790" s="21"/>
      <c r="Q790" s="19"/>
      <c r="R790" s="19"/>
      <c r="S790" s="19"/>
      <c r="T790" s="19"/>
      <c r="U790" s="19"/>
      <c r="V790" s="19"/>
      <c r="W790" s="19"/>
      <c r="X790" s="19"/>
      <c r="Y790" s="19"/>
      <c r="Z790" s="19"/>
    </row>
    <row r="791">
      <c r="A791" s="21"/>
      <c r="B791" s="21"/>
      <c r="C791" s="21"/>
      <c r="D791" s="21"/>
      <c r="E791" s="21"/>
      <c r="F791" s="21"/>
      <c r="G791" s="21"/>
      <c r="H791" s="2"/>
      <c r="I791" s="21"/>
      <c r="J791" s="21"/>
      <c r="K791" s="21"/>
      <c r="L791" s="21"/>
      <c r="M791" s="21"/>
      <c r="N791" s="21"/>
      <c r="O791" s="21"/>
      <c r="P791" s="21"/>
      <c r="Q791" s="19"/>
      <c r="R791" s="19"/>
      <c r="S791" s="19"/>
      <c r="T791" s="19"/>
      <c r="U791" s="19"/>
      <c r="V791" s="19"/>
      <c r="W791" s="19"/>
      <c r="X791" s="19"/>
      <c r="Y791" s="19"/>
      <c r="Z791" s="19"/>
    </row>
    <row r="792">
      <c r="A792" s="21"/>
      <c r="B792" s="21"/>
      <c r="C792" s="21"/>
      <c r="D792" s="21"/>
      <c r="E792" s="21"/>
      <c r="F792" s="21"/>
      <c r="G792" s="21"/>
      <c r="H792" s="2"/>
      <c r="I792" s="21"/>
      <c r="J792" s="21"/>
      <c r="K792" s="21"/>
      <c r="L792" s="21"/>
      <c r="M792" s="21"/>
      <c r="N792" s="21"/>
      <c r="O792" s="21"/>
      <c r="P792" s="21"/>
      <c r="Q792" s="19"/>
      <c r="R792" s="19"/>
      <c r="S792" s="19"/>
      <c r="T792" s="19"/>
      <c r="U792" s="19"/>
      <c r="V792" s="19"/>
      <c r="W792" s="19"/>
      <c r="X792" s="19"/>
      <c r="Y792" s="19"/>
      <c r="Z792" s="19"/>
    </row>
    <row r="793">
      <c r="A793" s="21"/>
      <c r="B793" s="21"/>
      <c r="C793" s="21"/>
      <c r="D793" s="21"/>
      <c r="E793" s="21"/>
      <c r="F793" s="21"/>
      <c r="G793" s="21"/>
      <c r="H793" s="2"/>
      <c r="I793" s="21"/>
      <c r="J793" s="21"/>
      <c r="K793" s="21"/>
      <c r="L793" s="21"/>
      <c r="M793" s="21"/>
      <c r="N793" s="21"/>
      <c r="O793" s="21"/>
      <c r="P793" s="21"/>
      <c r="Q793" s="19"/>
      <c r="R793" s="19"/>
      <c r="S793" s="19"/>
      <c r="T793" s="19"/>
      <c r="U793" s="19"/>
      <c r="V793" s="19"/>
      <c r="W793" s="19"/>
      <c r="X793" s="19"/>
      <c r="Y793" s="19"/>
      <c r="Z793" s="19"/>
    </row>
    <row r="794">
      <c r="A794" s="21"/>
      <c r="B794" s="21"/>
      <c r="C794" s="21"/>
      <c r="D794" s="21"/>
      <c r="E794" s="21"/>
      <c r="F794" s="21"/>
      <c r="G794" s="21"/>
      <c r="H794" s="2"/>
      <c r="I794" s="21"/>
      <c r="J794" s="21"/>
      <c r="K794" s="21"/>
      <c r="L794" s="21"/>
      <c r="M794" s="21"/>
      <c r="N794" s="21"/>
      <c r="O794" s="21"/>
      <c r="P794" s="21"/>
      <c r="Q794" s="19"/>
      <c r="R794" s="19"/>
      <c r="S794" s="19"/>
      <c r="T794" s="19"/>
      <c r="U794" s="19"/>
      <c r="V794" s="19"/>
      <c r="W794" s="19"/>
      <c r="X794" s="19"/>
      <c r="Y794" s="19"/>
      <c r="Z794" s="19"/>
    </row>
    <row r="795">
      <c r="A795" s="21"/>
      <c r="B795" s="21"/>
      <c r="C795" s="21"/>
      <c r="D795" s="21"/>
      <c r="E795" s="21"/>
      <c r="F795" s="21"/>
      <c r="G795" s="21"/>
      <c r="H795" s="2"/>
      <c r="I795" s="21"/>
      <c r="J795" s="21"/>
      <c r="K795" s="21"/>
      <c r="L795" s="21"/>
      <c r="M795" s="21"/>
      <c r="N795" s="21"/>
      <c r="O795" s="21"/>
      <c r="P795" s="21"/>
      <c r="Q795" s="19"/>
      <c r="R795" s="19"/>
      <c r="S795" s="19"/>
      <c r="T795" s="19"/>
      <c r="U795" s="19"/>
      <c r="V795" s="19"/>
      <c r="W795" s="19"/>
      <c r="X795" s="19"/>
      <c r="Y795" s="19"/>
      <c r="Z795" s="19"/>
    </row>
    <row r="796">
      <c r="A796" s="21"/>
      <c r="B796" s="21"/>
      <c r="C796" s="21"/>
      <c r="D796" s="21"/>
      <c r="E796" s="21"/>
      <c r="F796" s="21"/>
      <c r="G796" s="21"/>
      <c r="H796" s="2"/>
      <c r="I796" s="21"/>
      <c r="J796" s="21"/>
      <c r="K796" s="21"/>
      <c r="L796" s="21"/>
      <c r="M796" s="21"/>
      <c r="N796" s="21"/>
      <c r="O796" s="21"/>
      <c r="P796" s="21"/>
      <c r="Q796" s="19"/>
      <c r="R796" s="19"/>
      <c r="S796" s="19"/>
      <c r="T796" s="19"/>
      <c r="U796" s="19"/>
      <c r="V796" s="19"/>
      <c r="W796" s="19"/>
      <c r="X796" s="19"/>
      <c r="Y796" s="19"/>
      <c r="Z796" s="19"/>
    </row>
    <row r="797">
      <c r="A797" s="21"/>
      <c r="B797" s="21"/>
      <c r="C797" s="21"/>
      <c r="D797" s="21"/>
      <c r="E797" s="21"/>
      <c r="F797" s="21"/>
      <c r="G797" s="21"/>
      <c r="H797" s="2"/>
      <c r="I797" s="21"/>
      <c r="J797" s="21"/>
      <c r="K797" s="21"/>
      <c r="L797" s="21"/>
      <c r="M797" s="21"/>
      <c r="N797" s="21"/>
      <c r="O797" s="21"/>
      <c r="P797" s="21"/>
      <c r="Q797" s="19"/>
      <c r="R797" s="19"/>
      <c r="S797" s="19"/>
      <c r="T797" s="19"/>
      <c r="U797" s="19"/>
      <c r="V797" s="19"/>
      <c r="W797" s="19"/>
      <c r="X797" s="19"/>
      <c r="Y797" s="19"/>
      <c r="Z797" s="19"/>
    </row>
    <row r="798">
      <c r="A798" s="21"/>
      <c r="B798" s="21"/>
      <c r="C798" s="21"/>
      <c r="D798" s="21"/>
      <c r="E798" s="21"/>
      <c r="F798" s="21"/>
      <c r="G798" s="21"/>
      <c r="H798" s="2"/>
      <c r="I798" s="21"/>
      <c r="J798" s="21"/>
      <c r="K798" s="21"/>
      <c r="L798" s="21"/>
      <c r="M798" s="21"/>
      <c r="N798" s="21"/>
      <c r="O798" s="21"/>
      <c r="P798" s="21"/>
      <c r="Q798" s="19"/>
      <c r="R798" s="19"/>
      <c r="S798" s="19"/>
      <c r="T798" s="19"/>
      <c r="U798" s="19"/>
      <c r="V798" s="19"/>
      <c r="W798" s="19"/>
      <c r="X798" s="19"/>
      <c r="Y798" s="19"/>
      <c r="Z798" s="19"/>
    </row>
    <row r="799">
      <c r="A799" s="21"/>
      <c r="B799" s="21"/>
      <c r="C799" s="21"/>
      <c r="D799" s="21"/>
      <c r="E799" s="21"/>
      <c r="F799" s="21"/>
      <c r="G799" s="21"/>
      <c r="H799" s="2"/>
      <c r="I799" s="21"/>
      <c r="J799" s="21"/>
      <c r="K799" s="21"/>
      <c r="L799" s="21"/>
      <c r="M799" s="21"/>
      <c r="N799" s="21"/>
      <c r="O799" s="21"/>
      <c r="P799" s="21"/>
      <c r="Q799" s="19"/>
      <c r="R799" s="19"/>
      <c r="S799" s="19"/>
      <c r="T799" s="19"/>
      <c r="U799" s="19"/>
      <c r="V799" s="19"/>
      <c r="W799" s="19"/>
      <c r="X799" s="19"/>
      <c r="Y799" s="19"/>
      <c r="Z799" s="19"/>
    </row>
    <row r="800">
      <c r="A800" s="21"/>
      <c r="B800" s="21"/>
      <c r="C800" s="21"/>
      <c r="D800" s="21"/>
      <c r="E800" s="21"/>
      <c r="F800" s="21"/>
      <c r="G800" s="21"/>
      <c r="H800" s="2"/>
      <c r="I800" s="21"/>
      <c r="J800" s="21"/>
      <c r="K800" s="21"/>
      <c r="L800" s="21"/>
      <c r="M800" s="21"/>
      <c r="N800" s="21"/>
      <c r="O800" s="21"/>
      <c r="P800" s="21"/>
      <c r="Q800" s="19"/>
      <c r="R800" s="19"/>
      <c r="S800" s="19"/>
      <c r="T800" s="19"/>
      <c r="U800" s="19"/>
      <c r="V800" s="19"/>
      <c r="W800" s="19"/>
      <c r="X800" s="19"/>
      <c r="Y800" s="19"/>
      <c r="Z800" s="19"/>
    </row>
    <row r="801">
      <c r="A801" s="21"/>
      <c r="B801" s="21"/>
      <c r="C801" s="21"/>
      <c r="D801" s="21"/>
      <c r="E801" s="21"/>
      <c r="F801" s="21"/>
      <c r="G801" s="21"/>
      <c r="H801" s="2"/>
      <c r="I801" s="21"/>
      <c r="J801" s="21"/>
      <c r="K801" s="21"/>
      <c r="L801" s="21"/>
      <c r="M801" s="21"/>
      <c r="N801" s="21"/>
      <c r="O801" s="21"/>
      <c r="P801" s="21"/>
      <c r="Q801" s="19"/>
      <c r="R801" s="19"/>
      <c r="S801" s="19"/>
      <c r="T801" s="19"/>
      <c r="U801" s="19"/>
      <c r="V801" s="19"/>
      <c r="W801" s="19"/>
      <c r="X801" s="19"/>
      <c r="Y801" s="19"/>
      <c r="Z801" s="19"/>
    </row>
    <row r="802">
      <c r="A802" s="21"/>
      <c r="B802" s="21"/>
      <c r="C802" s="21"/>
      <c r="D802" s="21"/>
      <c r="E802" s="21"/>
      <c r="F802" s="21"/>
      <c r="G802" s="21"/>
      <c r="H802" s="2"/>
      <c r="I802" s="21"/>
      <c r="J802" s="21"/>
      <c r="K802" s="21"/>
      <c r="L802" s="21"/>
      <c r="M802" s="21"/>
      <c r="N802" s="21"/>
      <c r="O802" s="21"/>
      <c r="P802" s="21"/>
      <c r="Q802" s="19"/>
      <c r="R802" s="19"/>
      <c r="S802" s="19"/>
      <c r="T802" s="19"/>
      <c r="U802" s="19"/>
      <c r="V802" s="19"/>
      <c r="W802" s="19"/>
      <c r="X802" s="19"/>
      <c r="Y802" s="19"/>
      <c r="Z802" s="19"/>
    </row>
    <row r="803">
      <c r="A803" s="21"/>
      <c r="B803" s="21"/>
      <c r="C803" s="21"/>
      <c r="D803" s="21"/>
      <c r="E803" s="21"/>
      <c r="F803" s="21"/>
      <c r="G803" s="21"/>
      <c r="H803" s="2"/>
      <c r="I803" s="21"/>
      <c r="J803" s="21"/>
      <c r="K803" s="21"/>
      <c r="L803" s="21"/>
      <c r="M803" s="21"/>
      <c r="N803" s="21"/>
      <c r="O803" s="21"/>
      <c r="P803" s="21"/>
      <c r="Q803" s="19"/>
      <c r="R803" s="19"/>
      <c r="S803" s="19"/>
      <c r="T803" s="19"/>
      <c r="U803" s="19"/>
      <c r="V803" s="19"/>
      <c r="W803" s="19"/>
      <c r="X803" s="19"/>
      <c r="Y803" s="19"/>
      <c r="Z803" s="19"/>
    </row>
    <row r="804">
      <c r="A804" s="21"/>
      <c r="B804" s="21"/>
      <c r="C804" s="21"/>
      <c r="D804" s="21"/>
      <c r="E804" s="21"/>
      <c r="F804" s="21"/>
      <c r="G804" s="21"/>
      <c r="H804" s="2"/>
      <c r="I804" s="21"/>
      <c r="J804" s="21"/>
      <c r="K804" s="21"/>
      <c r="L804" s="21"/>
      <c r="M804" s="21"/>
      <c r="N804" s="21"/>
      <c r="O804" s="21"/>
      <c r="P804" s="21"/>
      <c r="Q804" s="19"/>
      <c r="R804" s="19"/>
      <c r="S804" s="19"/>
      <c r="T804" s="19"/>
      <c r="U804" s="19"/>
      <c r="V804" s="19"/>
      <c r="W804" s="19"/>
      <c r="X804" s="19"/>
      <c r="Y804" s="19"/>
      <c r="Z804" s="19"/>
    </row>
    <row r="805">
      <c r="A805" s="21"/>
      <c r="B805" s="21"/>
      <c r="C805" s="21"/>
      <c r="D805" s="21"/>
      <c r="E805" s="21"/>
      <c r="F805" s="21"/>
      <c r="G805" s="21"/>
      <c r="H805" s="2"/>
      <c r="I805" s="21"/>
      <c r="J805" s="21"/>
      <c r="K805" s="21"/>
      <c r="L805" s="21"/>
      <c r="M805" s="21"/>
      <c r="N805" s="21"/>
      <c r="O805" s="21"/>
      <c r="P805" s="21"/>
      <c r="Q805" s="19"/>
      <c r="R805" s="19"/>
      <c r="S805" s="19"/>
      <c r="T805" s="19"/>
      <c r="U805" s="19"/>
      <c r="V805" s="19"/>
      <c r="W805" s="19"/>
      <c r="X805" s="19"/>
      <c r="Y805" s="19"/>
      <c r="Z805" s="19"/>
    </row>
    <row r="806">
      <c r="A806" s="21"/>
      <c r="B806" s="21"/>
      <c r="C806" s="21"/>
      <c r="D806" s="21"/>
      <c r="E806" s="21"/>
      <c r="F806" s="21"/>
      <c r="G806" s="21"/>
      <c r="H806" s="2"/>
      <c r="I806" s="21"/>
      <c r="J806" s="21"/>
      <c r="K806" s="21"/>
      <c r="L806" s="21"/>
      <c r="M806" s="21"/>
      <c r="N806" s="21"/>
      <c r="O806" s="21"/>
      <c r="P806" s="21"/>
      <c r="Q806" s="19"/>
      <c r="R806" s="19"/>
      <c r="S806" s="19"/>
      <c r="T806" s="19"/>
      <c r="U806" s="19"/>
      <c r="V806" s="19"/>
      <c r="W806" s="19"/>
      <c r="X806" s="19"/>
      <c r="Y806" s="19"/>
      <c r="Z806" s="19"/>
    </row>
    <row r="807">
      <c r="A807" s="21"/>
      <c r="B807" s="21"/>
      <c r="C807" s="21"/>
      <c r="D807" s="21"/>
      <c r="E807" s="21"/>
      <c r="F807" s="21"/>
      <c r="G807" s="21"/>
      <c r="H807" s="2"/>
      <c r="I807" s="21"/>
      <c r="J807" s="21"/>
      <c r="K807" s="21"/>
      <c r="L807" s="21"/>
      <c r="M807" s="21"/>
      <c r="N807" s="21"/>
      <c r="O807" s="21"/>
      <c r="P807" s="21"/>
      <c r="Q807" s="19"/>
      <c r="R807" s="19"/>
      <c r="S807" s="19"/>
      <c r="T807" s="19"/>
      <c r="U807" s="19"/>
      <c r="V807" s="19"/>
      <c r="W807" s="19"/>
      <c r="X807" s="19"/>
      <c r="Y807" s="19"/>
      <c r="Z807" s="19"/>
    </row>
    <row r="808">
      <c r="A808" s="21"/>
      <c r="B808" s="21"/>
      <c r="C808" s="21"/>
      <c r="D808" s="21"/>
      <c r="E808" s="21"/>
      <c r="F808" s="21"/>
      <c r="G808" s="21"/>
      <c r="H808" s="2"/>
      <c r="I808" s="21"/>
      <c r="J808" s="21"/>
      <c r="K808" s="21"/>
      <c r="L808" s="21"/>
      <c r="M808" s="21"/>
      <c r="N808" s="21"/>
      <c r="O808" s="21"/>
      <c r="P808" s="21"/>
      <c r="Q808" s="19"/>
      <c r="R808" s="19"/>
      <c r="S808" s="19"/>
      <c r="T808" s="19"/>
      <c r="U808" s="19"/>
      <c r="V808" s="19"/>
      <c r="W808" s="19"/>
      <c r="X808" s="19"/>
      <c r="Y808" s="19"/>
      <c r="Z808" s="19"/>
    </row>
    <row r="809">
      <c r="A809" s="21"/>
      <c r="B809" s="21"/>
      <c r="C809" s="21"/>
      <c r="D809" s="21"/>
      <c r="E809" s="21"/>
      <c r="F809" s="21"/>
      <c r="G809" s="21"/>
      <c r="H809" s="2"/>
      <c r="I809" s="21"/>
      <c r="J809" s="21"/>
      <c r="K809" s="21"/>
      <c r="L809" s="21"/>
      <c r="M809" s="21"/>
      <c r="N809" s="21"/>
      <c r="O809" s="21"/>
      <c r="P809" s="21"/>
      <c r="Q809" s="19"/>
      <c r="R809" s="19"/>
      <c r="S809" s="19"/>
      <c r="T809" s="19"/>
      <c r="U809" s="19"/>
      <c r="V809" s="19"/>
      <c r="W809" s="19"/>
      <c r="X809" s="19"/>
      <c r="Y809" s="19"/>
      <c r="Z809" s="19"/>
    </row>
    <row r="810">
      <c r="A810" s="21"/>
      <c r="B810" s="21"/>
      <c r="C810" s="21"/>
      <c r="D810" s="21"/>
      <c r="E810" s="21"/>
      <c r="F810" s="21"/>
      <c r="G810" s="21"/>
      <c r="H810" s="2"/>
      <c r="I810" s="21"/>
      <c r="J810" s="21"/>
      <c r="K810" s="21"/>
      <c r="L810" s="21"/>
      <c r="M810" s="21"/>
      <c r="N810" s="21"/>
      <c r="O810" s="21"/>
      <c r="P810" s="21"/>
      <c r="Q810" s="19"/>
      <c r="R810" s="19"/>
      <c r="S810" s="19"/>
      <c r="T810" s="19"/>
      <c r="U810" s="19"/>
      <c r="V810" s="19"/>
      <c r="W810" s="19"/>
      <c r="X810" s="19"/>
      <c r="Y810" s="19"/>
      <c r="Z810" s="19"/>
    </row>
    <row r="811">
      <c r="A811" s="21"/>
      <c r="B811" s="21"/>
      <c r="C811" s="21"/>
      <c r="D811" s="21"/>
      <c r="E811" s="21"/>
      <c r="F811" s="21"/>
      <c r="G811" s="21"/>
      <c r="H811" s="2"/>
      <c r="I811" s="21"/>
      <c r="J811" s="21"/>
      <c r="K811" s="21"/>
      <c r="L811" s="21"/>
      <c r="M811" s="21"/>
      <c r="N811" s="21"/>
      <c r="O811" s="21"/>
      <c r="P811" s="21"/>
      <c r="Q811" s="19"/>
      <c r="R811" s="19"/>
      <c r="S811" s="19"/>
      <c r="T811" s="19"/>
      <c r="U811" s="19"/>
      <c r="V811" s="19"/>
      <c r="W811" s="19"/>
      <c r="X811" s="19"/>
      <c r="Y811" s="19"/>
      <c r="Z811" s="19"/>
    </row>
    <row r="812">
      <c r="A812" s="21"/>
      <c r="B812" s="21"/>
      <c r="C812" s="21"/>
      <c r="D812" s="21"/>
      <c r="E812" s="21"/>
      <c r="F812" s="21"/>
      <c r="G812" s="21"/>
      <c r="H812" s="2"/>
      <c r="I812" s="21"/>
      <c r="J812" s="21"/>
      <c r="K812" s="21"/>
      <c r="L812" s="21"/>
      <c r="M812" s="21"/>
      <c r="N812" s="21"/>
      <c r="O812" s="21"/>
      <c r="P812" s="21"/>
      <c r="Q812" s="19"/>
      <c r="R812" s="19"/>
      <c r="S812" s="19"/>
      <c r="T812" s="19"/>
      <c r="U812" s="19"/>
      <c r="V812" s="19"/>
      <c r="W812" s="19"/>
      <c r="X812" s="19"/>
      <c r="Y812" s="19"/>
      <c r="Z812" s="19"/>
    </row>
    <row r="813">
      <c r="A813" s="21"/>
      <c r="B813" s="21"/>
      <c r="C813" s="21"/>
      <c r="D813" s="21"/>
      <c r="E813" s="21"/>
      <c r="F813" s="21"/>
      <c r="G813" s="21"/>
      <c r="H813" s="2"/>
      <c r="I813" s="21"/>
      <c r="J813" s="21"/>
      <c r="K813" s="21"/>
      <c r="L813" s="21"/>
      <c r="M813" s="21"/>
      <c r="N813" s="21"/>
      <c r="O813" s="21"/>
      <c r="P813" s="21"/>
      <c r="Q813" s="19"/>
      <c r="R813" s="19"/>
      <c r="S813" s="19"/>
      <c r="T813" s="19"/>
      <c r="U813" s="19"/>
      <c r="V813" s="19"/>
      <c r="W813" s="19"/>
      <c r="X813" s="19"/>
      <c r="Y813" s="19"/>
      <c r="Z813" s="19"/>
    </row>
    <row r="814">
      <c r="A814" s="21"/>
      <c r="B814" s="21"/>
      <c r="C814" s="21"/>
      <c r="D814" s="21"/>
      <c r="E814" s="21"/>
      <c r="F814" s="21"/>
      <c r="G814" s="21"/>
      <c r="H814" s="2"/>
      <c r="I814" s="21"/>
      <c r="J814" s="21"/>
      <c r="K814" s="21"/>
      <c r="L814" s="21"/>
      <c r="M814" s="21"/>
      <c r="N814" s="21"/>
      <c r="O814" s="21"/>
      <c r="P814" s="21"/>
      <c r="Q814" s="19"/>
      <c r="R814" s="19"/>
      <c r="S814" s="19"/>
      <c r="T814" s="19"/>
      <c r="U814" s="19"/>
      <c r="V814" s="19"/>
      <c r="W814" s="19"/>
      <c r="X814" s="19"/>
      <c r="Y814" s="19"/>
      <c r="Z814" s="19"/>
    </row>
    <row r="815">
      <c r="A815" s="21"/>
      <c r="B815" s="21"/>
      <c r="C815" s="21"/>
      <c r="D815" s="21"/>
      <c r="E815" s="21"/>
      <c r="F815" s="21"/>
      <c r="G815" s="21"/>
      <c r="H815" s="2"/>
      <c r="I815" s="21"/>
      <c r="J815" s="21"/>
      <c r="K815" s="21"/>
      <c r="L815" s="21"/>
      <c r="M815" s="21"/>
      <c r="N815" s="21"/>
      <c r="O815" s="21"/>
      <c r="P815" s="21"/>
      <c r="Q815" s="19"/>
      <c r="R815" s="19"/>
      <c r="S815" s="19"/>
      <c r="T815" s="19"/>
      <c r="U815" s="19"/>
      <c r="V815" s="19"/>
      <c r="W815" s="19"/>
      <c r="X815" s="19"/>
      <c r="Y815" s="19"/>
      <c r="Z815" s="19"/>
    </row>
    <row r="816">
      <c r="A816" s="21"/>
      <c r="B816" s="21"/>
      <c r="C816" s="21"/>
      <c r="D816" s="21"/>
      <c r="E816" s="21"/>
      <c r="F816" s="21"/>
      <c r="G816" s="21"/>
      <c r="H816" s="2"/>
      <c r="I816" s="21"/>
      <c r="J816" s="21"/>
      <c r="K816" s="21"/>
      <c r="L816" s="21"/>
      <c r="M816" s="21"/>
      <c r="N816" s="21"/>
      <c r="O816" s="21"/>
      <c r="P816" s="21"/>
      <c r="Q816" s="19"/>
      <c r="R816" s="19"/>
      <c r="S816" s="19"/>
      <c r="T816" s="19"/>
      <c r="U816" s="19"/>
      <c r="V816" s="19"/>
      <c r="W816" s="19"/>
      <c r="X816" s="19"/>
      <c r="Y816" s="19"/>
      <c r="Z816" s="19"/>
    </row>
    <row r="817">
      <c r="A817" s="21"/>
      <c r="B817" s="21"/>
      <c r="C817" s="21"/>
      <c r="D817" s="21"/>
      <c r="E817" s="21"/>
      <c r="F817" s="21"/>
      <c r="G817" s="21"/>
      <c r="H817" s="2"/>
      <c r="I817" s="21"/>
      <c r="J817" s="21"/>
      <c r="K817" s="21"/>
      <c r="L817" s="21"/>
      <c r="M817" s="21"/>
      <c r="N817" s="21"/>
      <c r="O817" s="21"/>
      <c r="P817" s="21"/>
      <c r="Q817" s="19"/>
      <c r="R817" s="19"/>
      <c r="S817" s="19"/>
      <c r="T817" s="19"/>
      <c r="U817" s="19"/>
      <c r="V817" s="19"/>
      <c r="W817" s="19"/>
      <c r="X817" s="19"/>
      <c r="Y817" s="19"/>
      <c r="Z817" s="19"/>
    </row>
    <row r="818">
      <c r="A818" s="21"/>
      <c r="B818" s="21"/>
      <c r="C818" s="21"/>
      <c r="D818" s="21"/>
      <c r="E818" s="21"/>
      <c r="F818" s="21"/>
      <c r="G818" s="21"/>
      <c r="H818" s="2"/>
      <c r="I818" s="21"/>
      <c r="J818" s="21"/>
      <c r="K818" s="21"/>
      <c r="L818" s="21"/>
      <c r="M818" s="21"/>
      <c r="N818" s="21"/>
      <c r="O818" s="21"/>
      <c r="P818" s="21"/>
      <c r="Q818" s="19"/>
      <c r="R818" s="19"/>
      <c r="S818" s="19"/>
      <c r="T818" s="19"/>
      <c r="U818" s="19"/>
      <c r="V818" s="19"/>
      <c r="W818" s="19"/>
      <c r="X818" s="19"/>
      <c r="Y818" s="19"/>
      <c r="Z818" s="19"/>
    </row>
    <row r="819">
      <c r="A819" s="21"/>
      <c r="B819" s="21"/>
      <c r="C819" s="21"/>
      <c r="D819" s="21"/>
      <c r="E819" s="21"/>
      <c r="F819" s="21"/>
      <c r="G819" s="21"/>
      <c r="H819" s="2"/>
      <c r="I819" s="21"/>
      <c r="J819" s="21"/>
      <c r="K819" s="21"/>
      <c r="L819" s="21"/>
      <c r="M819" s="21"/>
      <c r="N819" s="21"/>
      <c r="O819" s="21"/>
      <c r="P819" s="21"/>
      <c r="Q819" s="19"/>
      <c r="R819" s="19"/>
      <c r="S819" s="19"/>
      <c r="T819" s="19"/>
      <c r="U819" s="19"/>
      <c r="V819" s="19"/>
      <c r="W819" s="19"/>
      <c r="X819" s="19"/>
      <c r="Y819" s="19"/>
      <c r="Z819" s="19"/>
    </row>
    <row r="820">
      <c r="A820" s="21"/>
      <c r="B820" s="21"/>
      <c r="C820" s="21"/>
      <c r="D820" s="21"/>
      <c r="E820" s="21"/>
      <c r="F820" s="21"/>
      <c r="G820" s="21"/>
      <c r="H820" s="2"/>
      <c r="I820" s="21"/>
      <c r="J820" s="21"/>
      <c r="K820" s="21"/>
      <c r="L820" s="21"/>
      <c r="M820" s="21"/>
      <c r="N820" s="21"/>
      <c r="O820" s="21"/>
      <c r="P820" s="21"/>
      <c r="Q820" s="19"/>
      <c r="R820" s="19"/>
      <c r="S820" s="19"/>
      <c r="T820" s="19"/>
      <c r="U820" s="19"/>
      <c r="V820" s="19"/>
      <c r="W820" s="19"/>
      <c r="X820" s="19"/>
      <c r="Y820" s="19"/>
      <c r="Z820" s="19"/>
    </row>
    <row r="821">
      <c r="A821" s="21"/>
      <c r="B821" s="21"/>
      <c r="C821" s="21"/>
      <c r="D821" s="21"/>
      <c r="E821" s="21"/>
      <c r="F821" s="21"/>
      <c r="G821" s="21"/>
      <c r="H821" s="2"/>
      <c r="I821" s="21"/>
      <c r="J821" s="21"/>
      <c r="K821" s="21"/>
      <c r="L821" s="21"/>
      <c r="M821" s="21"/>
      <c r="N821" s="21"/>
      <c r="O821" s="21"/>
      <c r="P821" s="21"/>
      <c r="Q821" s="19"/>
      <c r="R821" s="19"/>
      <c r="S821" s="19"/>
      <c r="T821" s="19"/>
      <c r="U821" s="19"/>
      <c r="V821" s="19"/>
      <c r="W821" s="19"/>
      <c r="X821" s="19"/>
      <c r="Y821" s="19"/>
      <c r="Z821" s="19"/>
    </row>
    <row r="822">
      <c r="A822" s="21"/>
      <c r="B822" s="21"/>
      <c r="C822" s="21"/>
      <c r="D822" s="21"/>
      <c r="E822" s="21"/>
      <c r="F822" s="21"/>
      <c r="G822" s="21"/>
      <c r="H822" s="2"/>
      <c r="I822" s="21"/>
      <c r="J822" s="21"/>
      <c r="K822" s="21"/>
      <c r="L822" s="21"/>
      <c r="M822" s="21"/>
      <c r="N822" s="21"/>
      <c r="O822" s="21"/>
      <c r="P822" s="21"/>
      <c r="Q822" s="19"/>
      <c r="R822" s="19"/>
      <c r="S822" s="19"/>
      <c r="T822" s="19"/>
      <c r="U822" s="19"/>
      <c r="V822" s="19"/>
      <c r="W822" s="19"/>
      <c r="X822" s="19"/>
      <c r="Y822" s="19"/>
      <c r="Z822" s="19"/>
    </row>
    <row r="823">
      <c r="A823" s="21"/>
      <c r="B823" s="21"/>
      <c r="C823" s="21"/>
      <c r="D823" s="21"/>
      <c r="E823" s="21"/>
      <c r="F823" s="21"/>
      <c r="G823" s="21"/>
      <c r="H823" s="2"/>
      <c r="I823" s="21"/>
      <c r="J823" s="21"/>
      <c r="K823" s="21"/>
      <c r="L823" s="21"/>
      <c r="M823" s="21"/>
      <c r="N823" s="21"/>
      <c r="O823" s="21"/>
      <c r="P823" s="21"/>
      <c r="Q823" s="19"/>
      <c r="R823" s="19"/>
      <c r="S823" s="19"/>
      <c r="T823" s="19"/>
      <c r="U823" s="19"/>
      <c r="V823" s="19"/>
      <c r="W823" s="19"/>
      <c r="X823" s="19"/>
      <c r="Y823" s="19"/>
      <c r="Z823" s="19"/>
    </row>
    <row r="824">
      <c r="A824" s="21"/>
      <c r="B824" s="21"/>
      <c r="C824" s="21"/>
      <c r="D824" s="21"/>
      <c r="E824" s="21"/>
      <c r="F824" s="21"/>
      <c r="G824" s="21"/>
      <c r="H824" s="2"/>
      <c r="I824" s="21"/>
      <c r="J824" s="21"/>
      <c r="K824" s="21"/>
      <c r="L824" s="21"/>
      <c r="M824" s="21"/>
      <c r="N824" s="21"/>
      <c r="O824" s="21"/>
      <c r="P824" s="21"/>
      <c r="Q824" s="19"/>
      <c r="R824" s="19"/>
      <c r="S824" s="19"/>
      <c r="T824" s="19"/>
      <c r="U824" s="19"/>
      <c r="V824" s="19"/>
      <c r="W824" s="19"/>
      <c r="X824" s="19"/>
      <c r="Y824" s="19"/>
      <c r="Z824" s="19"/>
    </row>
    <row r="825">
      <c r="A825" s="21"/>
      <c r="B825" s="21"/>
      <c r="C825" s="21"/>
      <c r="D825" s="21"/>
      <c r="E825" s="21"/>
      <c r="F825" s="21"/>
      <c r="G825" s="21"/>
      <c r="H825" s="2"/>
      <c r="I825" s="21"/>
      <c r="J825" s="21"/>
      <c r="K825" s="21"/>
      <c r="L825" s="21"/>
      <c r="M825" s="21"/>
      <c r="N825" s="21"/>
      <c r="O825" s="21"/>
      <c r="P825" s="21"/>
      <c r="Q825" s="19"/>
      <c r="R825" s="19"/>
      <c r="S825" s="19"/>
      <c r="T825" s="19"/>
      <c r="U825" s="19"/>
      <c r="V825" s="19"/>
      <c r="W825" s="19"/>
      <c r="X825" s="19"/>
      <c r="Y825" s="19"/>
      <c r="Z825" s="19"/>
    </row>
    <row r="826">
      <c r="A826" s="21"/>
      <c r="B826" s="21"/>
      <c r="C826" s="21"/>
      <c r="D826" s="21"/>
      <c r="E826" s="21"/>
      <c r="F826" s="21"/>
      <c r="G826" s="21"/>
      <c r="H826" s="2"/>
      <c r="I826" s="21"/>
      <c r="J826" s="21"/>
      <c r="K826" s="21"/>
      <c r="L826" s="21"/>
      <c r="M826" s="21"/>
      <c r="N826" s="21"/>
      <c r="O826" s="21"/>
      <c r="P826" s="21"/>
      <c r="Q826" s="19"/>
      <c r="R826" s="19"/>
      <c r="S826" s="19"/>
      <c r="T826" s="19"/>
      <c r="U826" s="19"/>
      <c r="V826" s="19"/>
      <c r="W826" s="19"/>
      <c r="X826" s="19"/>
      <c r="Y826" s="19"/>
      <c r="Z826" s="19"/>
    </row>
    <row r="827">
      <c r="A827" s="21"/>
      <c r="B827" s="21"/>
      <c r="C827" s="21"/>
      <c r="D827" s="21"/>
      <c r="E827" s="21"/>
      <c r="F827" s="21"/>
      <c r="G827" s="21"/>
      <c r="H827" s="2"/>
      <c r="I827" s="21"/>
      <c r="J827" s="21"/>
      <c r="K827" s="21"/>
      <c r="L827" s="21"/>
      <c r="M827" s="21"/>
      <c r="N827" s="21"/>
      <c r="O827" s="21"/>
      <c r="P827" s="21"/>
      <c r="Q827" s="19"/>
      <c r="R827" s="19"/>
      <c r="S827" s="19"/>
      <c r="T827" s="19"/>
      <c r="U827" s="19"/>
      <c r="V827" s="19"/>
      <c r="W827" s="19"/>
      <c r="X827" s="19"/>
      <c r="Y827" s="19"/>
      <c r="Z827" s="19"/>
    </row>
    <row r="828">
      <c r="A828" s="21"/>
      <c r="B828" s="21"/>
      <c r="C828" s="21"/>
      <c r="D828" s="21"/>
      <c r="E828" s="21"/>
      <c r="F828" s="21"/>
      <c r="G828" s="21"/>
      <c r="H828" s="2"/>
      <c r="I828" s="21"/>
      <c r="J828" s="21"/>
      <c r="K828" s="21"/>
      <c r="L828" s="21"/>
      <c r="M828" s="21"/>
      <c r="N828" s="21"/>
      <c r="O828" s="21"/>
      <c r="P828" s="21"/>
      <c r="Q828" s="19"/>
      <c r="R828" s="19"/>
      <c r="S828" s="19"/>
      <c r="T828" s="19"/>
      <c r="U828" s="19"/>
      <c r="V828" s="19"/>
      <c r="W828" s="19"/>
      <c r="X828" s="19"/>
      <c r="Y828" s="19"/>
      <c r="Z828" s="19"/>
    </row>
    <row r="829">
      <c r="A829" s="21"/>
      <c r="B829" s="21"/>
      <c r="C829" s="21"/>
      <c r="D829" s="21"/>
      <c r="E829" s="21"/>
      <c r="F829" s="21"/>
      <c r="G829" s="21"/>
      <c r="H829" s="2"/>
      <c r="I829" s="21"/>
      <c r="J829" s="21"/>
      <c r="K829" s="21"/>
      <c r="L829" s="21"/>
      <c r="M829" s="21"/>
      <c r="N829" s="21"/>
      <c r="O829" s="21"/>
      <c r="P829" s="21"/>
      <c r="Q829" s="19"/>
      <c r="R829" s="19"/>
      <c r="S829" s="19"/>
      <c r="T829" s="19"/>
      <c r="U829" s="19"/>
      <c r="V829" s="19"/>
      <c r="W829" s="19"/>
      <c r="X829" s="19"/>
      <c r="Y829" s="19"/>
      <c r="Z829" s="19"/>
    </row>
    <row r="830">
      <c r="A830" s="21"/>
      <c r="B830" s="21"/>
      <c r="C830" s="21"/>
      <c r="D830" s="21"/>
      <c r="E830" s="21"/>
      <c r="F830" s="21"/>
      <c r="G830" s="21"/>
      <c r="H830" s="2"/>
      <c r="I830" s="21"/>
      <c r="J830" s="21"/>
      <c r="K830" s="21"/>
      <c r="L830" s="21"/>
      <c r="M830" s="21"/>
      <c r="N830" s="21"/>
      <c r="O830" s="21"/>
      <c r="P830" s="21"/>
      <c r="Q830" s="19"/>
      <c r="R830" s="19"/>
      <c r="S830" s="19"/>
      <c r="T830" s="19"/>
      <c r="U830" s="19"/>
      <c r="V830" s="19"/>
      <c r="W830" s="19"/>
      <c r="X830" s="19"/>
      <c r="Y830" s="19"/>
      <c r="Z830" s="19"/>
    </row>
    <row r="831">
      <c r="A831" s="21"/>
      <c r="B831" s="21"/>
      <c r="C831" s="21"/>
      <c r="D831" s="21"/>
      <c r="E831" s="21"/>
      <c r="F831" s="21"/>
      <c r="G831" s="21"/>
      <c r="H831" s="2"/>
      <c r="I831" s="21"/>
      <c r="J831" s="21"/>
      <c r="K831" s="21"/>
      <c r="L831" s="21"/>
      <c r="M831" s="21"/>
      <c r="N831" s="21"/>
      <c r="O831" s="21"/>
      <c r="P831" s="21"/>
      <c r="Q831" s="19"/>
      <c r="R831" s="19"/>
      <c r="S831" s="19"/>
      <c r="T831" s="19"/>
      <c r="U831" s="19"/>
      <c r="V831" s="19"/>
      <c r="W831" s="19"/>
      <c r="X831" s="19"/>
      <c r="Y831" s="19"/>
      <c r="Z831" s="19"/>
    </row>
    <row r="832">
      <c r="A832" s="21"/>
      <c r="B832" s="21"/>
      <c r="C832" s="21"/>
      <c r="D832" s="21"/>
      <c r="E832" s="21"/>
      <c r="F832" s="21"/>
      <c r="G832" s="21"/>
      <c r="H832" s="2"/>
      <c r="I832" s="21"/>
      <c r="J832" s="21"/>
      <c r="K832" s="21"/>
      <c r="L832" s="21"/>
      <c r="M832" s="21"/>
      <c r="N832" s="21"/>
      <c r="O832" s="21"/>
      <c r="P832" s="21"/>
      <c r="Q832" s="19"/>
      <c r="R832" s="19"/>
      <c r="S832" s="19"/>
      <c r="T832" s="19"/>
      <c r="U832" s="19"/>
      <c r="V832" s="19"/>
      <c r="W832" s="19"/>
      <c r="X832" s="19"/>
      <c r="Y832" s="19"/>
      <c r="Z832" s="19"/>
    </row>
    <row r="833">
      <c r="A833" s="21"/>
      <c r="B833" s="21"/>
      <c r="C833" s="21"/>
      <c r="D833" s="21"/>
      <c r="E833" s="21"/>
      <c r="F833" s="21"/>
      <c r="G833" s="21"/>
      <c r="H833" s="2"/>
      <c r="I833" s="21"/>
      <c r="J833" s="21"/>
      <c r="K833" s="21"/>
      <c r="L833" s="21"/>
      <c r="M833" s="21"/>
      <c r="N833" s="21"/>
      <c r="O833" s="21"/>
      <c r="P833" s="21"/>
      <c r="Q833" s="19"/>
      <c r="R833" s="19"/>
      <c r="S833" s="19"/>
      <c r="T833" s="19"/>
      <c r="U833" s="19"/>
      <c r="V833" s="19"/>
      <c r="W833" s="19"/>
      <c r="X833" s="19"/>
      <c r="Y833" s="19"/>
      <c r="Z833" s="19"/>
    </row>
    <row r="834">
      <c r="A834" s="21"/>
      <c r="B834" s="21"/>
      <c r="C834" s="21"/>
      <c r="D834" s="21"/>
      <c r="E834" s="21"/>
      <c r="F834" s="21"/>
      <c r="G834" s="21"/>
      <c r="H834" s="2"/>
      <c r="I834" s="21"/>
      <c r="J834" s="21"/>
      <c r="K834" s="21"/>
      <c r="L834" s="21"/>
      <c r="M834" s="21"/>
      <c r="N834" s="21"/>
      <c r="O834" s="21"/>
      <c r="P834" s="21"/>
      <c r="Q834" s="19"/>
      <c r="R834" s="19"/>
      <c r="S834" s="19"/>
      <c r="T834" s="19"/>
      <c r="U834" s="19"/>
      <c r="V834" s="19"/>
      <c r="W834" s="19"/>
      <c r="X834" s="19"/>
      <c r="Y834" s="19"/>
      <c r="Z834" s="19"/>
    </row>
    <row r="835">
      <c r="A835" s="21"/>
      <c r="B835" s="21"/>
      <c r="C835" s="21"/>
      <c r="D835" s="21"/>
      <c r="E835" s="21"/>
      <c r="F835" s="21"/>
      <c r="G835" s="21"/>
      <c r="H835" s="2"/>
      <c r="I835" s="21"/>
      <c r="J835" s="21"/>
      <c r="K835" s="21"/>
      <c r="L835" s="21"/>
      <c r="M835" s="21"/>
      <c r="N835" s="21"/>
      <c r="O835" s="21"/>
      <c r="P835" s="21"/>
      <c r="Q835" s="19"/>
      <c r="R835" s="19"/>
      <c r="S835" s="19"/>
      <c r="T835" s="19"/>
      <c r="U835" s="19"/>
      <c r="V835" s="19"/>
      <c r="W835" s="19"/>
      <c r="X835" s="19"/>
      <c r="Y835" s="19"/>
      <c r="Z835" s="19"/>
    </row>
    <row r="836">
      <c r="A836" s="21"/>
      <c r="B836" s="21"/>
      <c r="C836" s="21"/>
      <c r="D836" s="21"/>
      <c r="E836" s="21"/>
      <c r="F836" s="21"/>
      <c r="G836" s="21"/>
      <c r="H836" s="2"/>
      <c r="I836" s="21"/>
      <c r="J836" s="21"/>
      <c r="K836" s="21"/>
      <c r="L836" s="21"/>
      <c r="M836" s="21"/>
      <c r="N836" s="21"/>
      <c r="O836" s="21"/>
      <c r="P836" s="21"/>
      <c r="Q836" s="19"/>
      <c r="R836" s="19"/>
      <c r="S836" s="19"/>
      <c r="T836" s="19"/>
      <c r="U836" s="19"/>
      <c r="V836" s="19"/>
      <c r="W836" s="19"/>
      <c r="X836" s="19"/>
      <c r="Y836" s="19"/>
      <c r="Z836" s="19"/>
    </row>
    <row r="837">
      <c r="A837" s="21"/>
      <c r="B837" s="21"/>
      <c r="C837" s="21"/>
      <c r="D837" s="21"/>
      <c r="E837" s="21"/>
      <c r="F837" s="21"/>
      <c r="G837" s="21"/>
      <c r="H837" s="2"/>
      <c r="I837" s="21"/>
      <c r="J837" s="21"/>
      <c r="K837" s="21"/>
      <c r="L837" s="21"/>
      <c r="M837" s="21"/>
      <c r="N837" s="21"/>
      <c r="O837" s="21"/>
      <c r="P837" s="21"/>
      <c r="Q837" s="19"/>
      <c r="R837" s="19"/>
      <c r="S837" s="19"/>
      <c r="T837" s="19"/>
      <c r="U837" s="19"/>
      <c r="V837" s="19"/>
      <c r="W837" s="19"/>
      <c r="X837" s="19"/>
      <c r="Y837" s="19"/>
      <c r="Z837" s="19"/>
    </row>
    <row r="838">
      <c r="A838" s="21"/>
      <c r="B838" s="21"/>
      <c r="C838" s="21"/>
      <c r="D838" s="21"/>
      <c r="E838" s="21"/>
      <c r="F838" s="21"/>
      <c r="G838" s="21"/>
      <c r="H838" s="2"/>
      <c r="I838" s="21"/>
      <c r="J838" s="21"/>
      <c r="K838" s="21"/>
      <c r="L838" s="21"/>
      <c r="M838" s="21"/>
      <c r="N838" s="21"/>
      <c r="O838" s="21"/>
      <c r="P838" s="21"/>
      <c r="Q838" s="19"/>
      <c r="R838" s="19"/>
      <c r="S838" s="19"/>
      <c r="T838" s="19"/>
      <c r="U838" s="19"/>
      <c r="V838" s="19"/>
      <c r="W838" s="19"/>
      <c r="X838" s="19"/>
      <c r="Y838" s="19"/>
      <c r="Z838" s="19"/>
    </row>
    <row r="839">
      <c r="A839" s="21"/>
      <c r="B839" s="21"/>
      <c r="C839" s="21"/>
      <c r="D839" s="21"/>
      <c r="E839" s="21"/>
      <c r="F839" s="21"/>
      <c r="G839" s="21"/>
      <c r="H839" s="2"/>
      <c r="I839" s="21"/>
      <c r="J839" s="21"/>
      <c r="K839" s="21"/>
      <c r="L839" s="21"/>
      <c r="M839" s="21"/>
      <c r="N839" s="21"/>
      <c r="O839" s="21"/>
      <c r="P839" s="21"/>
      <c r="Q839" s="19"/>
      <c r="R839" s="19"/>
      <c r="S839" s="19"/>
      <c r="T839" s="19"/>
      <c r="U839" s="19"/>
      <c r="V839" s="19"/>
      <c r="W839" s="19"/>
      <c r="X839" s="19"/>
      <c r="Y839" s="19"/>
      <c r="Z839" s="19"/>
    </row>
    <row r="840">
      <c r="A840" s="21"/>
      <c r="B840" s="21"/>
      <c r="C840" s="21"/>
      <c r="D840" s="21"/>
      <c r="E840" s="21"/>
      <c r="F840" s="21"/>
      <c r="G840" s="21"/>
      <c r="H840" s="2"/>
      <c r="I840" s="21"/>
      <c r="J840" s="21"/>
      <c r="K840" s="21"/>
      <c r="L840" s="21"/>
      <c r="M840" s="21"/>
      <c r="N840" s="21"/>
      <c r="O840" s="21"/>
      <c r="P840" s="21"/>
      <c r="Q840" s="19"/>
      <c r="R840" s="19"/>
      <c r="S840" s="19"/>
      <c r="T840" s="19"/>
      <c r="U840" s="19"/>
      <c r="V840" s="19"/>
      <c r="W840" s="19"/>
      <c r="X840" s="19"/>
      <c r="Y840" s="19"/>
      <c r="Z840" s="19"/>
    </row>
    <row r="841">
      <c r="A841" s="21"/>
      <c r="B841" s="21"/>
      <c r="C841" s="21"/>
      <c r="D841" s="21"/>
      <c r="E841" s="21"/>
      <c r="F841" s="21"/>
      <c r="G841" s="21"/>
      <c r="H841" s="2"/>
      <c r="I841" s="21"/>
      <c r="J841" s="21"/>
      <c r="K841" s="21"/>
      <c r="L841" s="21"/>
      <c r="M841" s="21"/>
      <c r="N841" s="21"/>
      <c r="O841" s="21"/>
      <c r="P841" s="21"/>
      <c r="Q841" s="19"/>
      <c r="R841" s="19"/>
      <c r="S841" s="19"/>
      <c r="T841" s="19"/>
      <c r="U841" s="19"/>
      <c r="V841" s="19"/>
      <c r="W841" s="19"/>
      <c r="X841" s="19"/>
      <c r="Y841" s="19"/>
      <c r="Z841" s="19"/>
    </row>
    <row r="842">
      <c r="A842" s="21"/>
      <c r="B842" s="21"/>
      <c r="C842" s="21"/>
      <c r="D842" s="21"/>
      <c r="E842" s="21"/>
      <c r="F842" s="21"/>
      <c r="G842" s="21"/>
      <c r="H842" s="2"/>
      <c r="I842" s="21"/>
      <c r="J842" s="21"/>
      <c r="K842" s="21"/>
      <c r="L842" s="21"/>
      <c r="M842" s="21"/>
      <c r="N842" s="21"/>
      <c r="O842" s="21"/>
      <c r="P842" s="21"/>
      <c r="Q842" s="19"/>
      <c r="R842" s="19"/>
      <c r="S842" s="19"/>
      <c r="T842" s="19"/>
      <c r="U842" s="19"/>
      <c r="V842" s="19"/>
      <c r="W842" s="19"/>
      <c r="X842" s="19"/>
      <c r="Y842" s="19"/>
      <c r="Z842" s="19"/>
    </row>
    <row r="843">
      <c r="A843" s="21"/>
      <c r="B843" s="21"/>
      <c r="C843" s="21"/>
      <c r="D843" s="21"/>
      <c r="E843" s="21"/>
      <c r="F843" s="21"/>
      <c r="G843" s="21"/>
      <c r="H843" s="2"/>
      <c r="I843" s="21"/>
      <c r="J843" s="21"/>
      <c r="K843" s="21"/>
      <c r="L843" s="21"/>
      <c r="M843" s="21"/>
      <c r="N843" s="21"/>
      <c r="O843" s="21"/>
      <c r="P843" s="21"/>
      <c r="Q843" s="19"/>
      <c r="R843" s="19"/>
      <c r="S843" s="19"/>
      <c r="T843" s="19"/>
      <c r="U843" s="19"/>
      <c r="V843" s="19"/>
      <c r="W843" s="19"/>
      <c r="X843" s="19"/>
      <c r="Y843" s="19"/>
      <c r="Z843" s="19"/>
    </row>
    <row r="844">
      <c r="A844" s="21"/>
      <c r="B844" s="21"/>
      <c r="C844" s="21"/>
      <c r="D844" s="21"/>
      <c r="E844" s="21"/>
      <c r="F844" s="21"/>
      <c r="G844" s="21"/>
      <c r="H844" s="2"/>
      <c r="I844" s="21"/>
      <c r="J844" s="21"/>
      <c r="K844" s="21"/>
      <c r="L844" s="21"/>
      <c r="M844" s="21"/>
      <c r="N844" s="21"/>
      <c r="O844" s="21"/>
      <c r="P844" s="21"/>
      <c r="Q844" s="19"/>
      <c r="R844" s="19"/>
      <c r="S844" s="19"/>
      <c r="T844" s="19"/>
      <c r="U844" s="19"/>
      <c r="V844" s="19"/>
      <c r="W844" s="19"/>
      <c r="X844" s="19"/>
      <c r="Y844" s="19"/>
      <c r="Z844" s="19"/>
    </row>
    <row r="845">
      <c r="A845" s="21"/>
      <c r="B845" s="21"/>
      <c r="C845" s="21"/>
      <c r="D845" s="21"/>
      <c r="E845" s="21"/>
      <c r="F845" s="21"/>
      <c r="G845" s="21"/>
      <c r="H845" s="2"/>
      <c r="I845" s="21"/>
      <c r="J845" s="21"/>
      <c r="K845" s="21"/>
      <c r="L845" s="21"/>
      <c r="M845" s="21"/>
      <c r="N845" s="21"/>
      <c r="O845" s="21"/>
      <c r="P845" s="21"/>
      <c r="Q845" s="19"/>
      <c r="R845" s="19"/>
      <c r="S845" s="19"/>
      <c r="T845" s="19"/>
      <c r="U845" s="19"/>
      <c r="V845" s="19"/>
      <c r="W845" s="19"/>
      <c r="X845" s="19"/>
      <c r="Y845" s="19"/>
      <c r="Z845" s="19"/>
    </row>
    <row r="846">
      <c r="A846" s="21"/>
      <c r="B846" s="21"/>
      <c r="C846" s="21"/>
      <c r="D846" s="21"/>
      <c r="E846" s="21"/>
      <c r="F846" s="21"/>
      <c r="G846" s="21"/>
      <c r="H846" s="2"/>
      <c r="I846" s="21"/>
      <c r="J846" s="21"/>
      <c r="K846" s="21"/>
      <c r="L846" s="21"/>
      <c r="M846" s="21"/>
      <c r="N846" s="21"/>
      <c r="O846" s="21"/>
      <c r="P846" s="21"/>
      <c r="Q846" s="19"/>
      <c r="R846" s="19"/>
      <c r="S846" s="19"/>
      <c r="T846" s="19"/>
      <c r="U846" s="19"/>
      <c r="V846" s="19"/>
      <c r="W846" s="19"/>
      <c r="X846" s="19"/>
      <c r="Y846" s="19"/>
      <c r="Z846" s="19"/>
    </row>
    <row r="847">
      <c r="A847" s="21"/>
      <c r="B847" s="21"/>
      <c r="C847" s="21"/>
      <c r="D847" s="21"/>
      <c r="E847" s="21"/>
      <c r="F847" s="21"/>
      <c r="G847" s="21"/>
      <c r="H847" s="2"/>
      <c r="I847" s="21"/>
      <c r="J847" s="21"/>
      <c r="K847" s="21"/>
      <c r="L847" s="21"/>
      <c r="M847" s="21"/>
      <c r="N847" s="21"/>
      <c r="O847" s="21"/>
      <c r="P847" s="21"/>
      <c r="Q847" s="19"/>
      <c r="R847" s="19"/>
      <c r="S847" s="19"/>
      <c r="T847" s="19"/>
      <c r="U847" s="19"/>
      <c r="V847" s="19"/>
      <c r="W847" s="19"/>
      <c r="X847" s="19"/>
      <c r="Y847" s="19"/>
      <c r="Z847" s="19"/>
    </row>
    <row r="848">
      <c r="A848" s="21"/>
      <c r="B848" s="21"/>
      <c r="C848" s="21"/>
      <c r="D848" s="21"/>
      <c r="E848" s="21"/>
      <c r="F848" s="21"/>
      <c r="G848" s="21"/>
      <c r="H848" s="2"/>
      <c r="I848" s="21"/>
      <c r="J848" s="21"/>
      <c r="K848" s="21"/>
      <c r="L848" s="21"/>
      <c r="M848" s="21"/>
      <c r="N848" s="21"/>
      <c r="O848" s="21"/>
      <c r="P848" s="21"/>
      <c r="Q848" s="19"/>
      <c r="R848" s="19"/>
      <c r="S848" s="19"/>
      <c r="T848" s="19"/>
      <c r="U848" s="19"/>
      <c r="V848" s="19"/>
      <c r="W848" s="19"/>
      <c r="X848" s="19"/>
      <c r="Y848" s="19"/>
      <c r="Z848" s="19"/>
    </row>
    <row r="849">
      <c r="A849" s="21"/>
      <c r="B849" s="21"/>
      <c r="C849" s="21"/>
      <c r="D849" s="21"/>
      <c r="E849" s="21"/>
      <c r="F849" s="21"/>
      <c r="G849" s="21"/>
      <c r="H849" s="2"/>
      <c r="I849" s="21"/>
      <c r="J849" s="21"/>
      <c r="K849" s="21"/>
      <c r="L849" s="21"/>
      <c r="M849" s="21"/>
      <c r="N849" s="21"/>
      <c r="O849" s="21"/>
      <c r="P849" s="21"/>
      <c r="Q849" s="19"/>
      <c r="R849" s="19"/>
      <c r="S849" s="19"/>
      <c r="T849" s="19"/>
      <c r="U849" s="19"/>
      <c r="V849" s="19"/>
      <c r="W849" s="19"/>
      <c r="X849" s="19"/>
      <c r="Y849" s="19"/>
      <c r="Z849" s="19"/>
    </row>
    <row r="850">
      <c r="A850" s="21"/>
      <c r="B850" s="21"/>
      <c r="C850" s="21"/>
      <c r="D850" s="21"/>
      <c r="E850" s="21"/>
      <c r="F850" s="21"/>
      <c r="G850" s="21"/>
      <c r="H850" s="2"/>
      <c r="I850" s="21"/>
      <c r="J850" s="21"/>
      <c r="K850" s="21"/>
      <c r="L850" s="21"/>
      <c r="M850" s="21"/>
      <c r="N850" s="21"/>
      <c r="O850" s="21"/>
      <c r="P850" s="21"/>
      <c r="Q850" s="19"/>
      <c r="R850" s="19"/>
      <c r="S850" s="19"/>
      <c r="T850" s="19"/>
      <c r="U850" s="19"/>
      <c r="V850" s="19"/>
      <c r="W850" s="19"/>
      <c r="X850" s="19"/>
      <c r="Y850" s="19"/>
      <c r="Z850" s="19"/>
    </row>
    <row r="851">
      <c r="A851" s="21"/>
      <c r="B851" s="21"/>
      <c r="C851" s="21"/>
      <c r="D851" s="21"/>
      <c r="E851" s="21"/>
      <c r="F851" s="21"/>
      <c r="G851" s="21"/>
      <c r="H851" s="2"/>
      <c r="I851" s="21"/>
      <c r="J851" s="21"/>
      <c r="K851" s="21"/>
      <c r="L851" s="21"/>
      <c r="M851" s="21"/>
      <c r="N851" s="21"/>
      <c r="O851" s="21"/>
      <c r="P851" s="21"/>
      <c r="Q851" s="19"/>
      <c r="R851" s="19"/>
      <c r="S851" s="19"/>
      <c r="T851" s="19"/>
      <c r="U851" s="19"/>
      <c r="V851" s="19"/>
      <c r="W851" s="19"/>
      <c r="X851" s="19"/>
      <c r="Y851" s="19"/>
      <c r="Z851" s="19"/>
    </row>
    <row r="852">
      <c r="A852" s="21"/>
      <c r="B852" s="21"/>
      <c r="C852" s="21"/>
      <c r="D852" s="21"/>
      <c r="E852" s="21"/>
      <c r="F852" s="21"/>
      <c r="G852" s="21"/>
      <c r="H852" s="2"/>
      <c r="I852" s="21"/>
      <c r="J852" s="21"/>
      <c r="K852" s="21"/>
      <c r="L852" s="21"/>
      <c r="M852" s="21"/>
      <c r="N852" s="21"/>
      <c r="O852" s="21"/>
      <c r="P852" s="21"/>
      <c r="Q852" s="19"/>
      <c r="R852" s="19"/>
      <c r="S852" s="19"/>
      <c r="T852" s="19"/>
      <c r="U852" s="19"/>
      <c r="V852" s="19"/>
      <c r="W852" s="19"/>
      <c r="X852" s="19"/>
      <c r="Y852" s="19"/>
      <c r="Z852" s="19"/>
    </row>
    <row r="853">
      <c r="A853" s="21"/>
      <c r="B853" s="21"/>
      <c r="C853" s="21"/>
      <c r="D853" s="21"/>
      <c r="E853" s="21"/>
      <c r="F853" s="21"/>
      <c r="G853" s="21"/>
      <c r="H853" s="2"/>
      <c r="I853" s="21"/>
      <c r="J853" s="21"/>
      <c r="K853" s="21"/>
      <c r="L853" s="21"/>
      <c r="M853" s="21"/>
      <c r="N853" s="21"/>
      <c r="O853" s="21"/>
      <c r="P853" s="21"/>
      <c r="Q853" s="19"/>
      <c r="R853" s="19"/>
      <c r="S853" s="19"/>
      <c r="T853" s="19"/>
      <c r="U853" s="19"/>
      <c r="V853" s="19"/>
      <c r="W853" s="19"/>
      <c r="X853" s="19"/>
      <c r="Y853" s="19"/>
      <c r="Z853" s="19"/>
    </row>
    <row r="854">
      <c r="A854" s="21"/>
      <c r="B854" s="21"/>
      <c r="C854" s="21"/>
      <c r="D854" s="21"/>
      <c r="E854" s="21"/>
      <c r="F854" s="21"/>
      <c r="G854" s="21"/>
      <c r="H854" s="2"/>
      <c r="I854" s="21"/>
      <c r="J854" s="21"/>
      <c r="K854" s="21"/>
      <c r="L854" s="21"/>
      <c r="M854" s="21"/>
      <c r="N854" s="21"/>
      <c r="O854" s="21"/>
      <c r="P854" s="21"/>
      <c r="Q854" s="19"/>
      <c r="R854" s="19"/>
      <c r="S854" s="19"/>
      <c r="T854" s="19"/>
      <c r="U854" s="19"/>
      <c r="V854" s="19"/>
      <c r="W854" s="19"/>
      <c r="X854" s="19"/>
      <c r="Y854" s="19"/>
      <c r="Z854" s="19"/>
    </row>
    <row r="855">
      <c r="A855" s="21"/>
      <c r="B855" s="21"/>
      <c r="C855" s="21"/>
      <c r="D855" s="21"/>
      <c r="E855" s="21"/>
      <c r="F855" s="21"/>
      <c r="G855" s="21"/>
      <c r="H855" s="2"/>
      <c r="I855" s="21"/>
      <c r="J855" s="21"/>
      <c r="K855" s="21"/>
      <c r="L855" s="21"/>
      <c r="M855" s="21"/>
      <c r="N855" s="21"/>
      <c r="O855" s="21"/>
      <c r="P855" s="21"/>
      <c r="Q855" s="19"/>
      <c r="R855" s="19"/>
      <c r="S855" s="19"/>
      <c r="T855" s="19"/>
      <c r="U855" s="19"/>
      <c r="V855" s="19"/>
      <c r="W855" s="19"/>
      <c r="X855" s="19"/>
      <c r="Y855" s="19"/>
      <c r="Z855" s="19"/>
    </row>
    <row r="856">
      <c r="A856" s="21"/>
      <c r="B856" s="21"/>
      <c r="C856" s="21"/>
      <c r="D856" s="21"/>
      <c r="E856" s="21"/>
      <c r="F856" s="21"/>
      <c r="G856" s="21"/>
      <c r="H856" s="2"/>
      <c r="I856" s="21"/>
      <c r="J856" s="21"/>
      <c r="K856" s="21"/>
      <c r="L856" s="21"/>
      <c r="M856" s="21"/>
      <c r="N856" s="21"/>
      <c r="O856" s="21"/>
      <c r="P856" s="21"/>
      <c r="Q856" s="19"/>
      <c r="R856" s="19"/>
      <c r="S856" s="19"/>
      <c r="T856" s="19"/>
      <c r="U856" s="19"/>
      <c r="V856" s="19"/>
      <c r="W856" s="19"/>
      <c r="X856" s="19"/>
      <c r="Y856" s="19"/>
      <c r="Z856" s="19"/>
    </row>
    <row r="857">
      <c r="A857" s="21"/>
      <c r="B857" s="21"/>
      <c r="C857" s="21"/>
      <c r="D857" s="21"/>
      <c r="E857" s="21"/>
      <c r="F857" s="21"/>
      <c r="G857" s="21"/>
      <c r="H857" s="2"/>
      <c r="I857" s="21"/>
      <c r="J857" s="21"/>
      <c r="K857" s="21"/>
      <c r="L857" s="21"/>
      <c r="M857" s="21"/>
      <c r="N857" s="21"/>
      <c r="O857" s="21"/>
      <c r="P857" s="21"/>
      <c r="Q857" s="19"/>
      <c r="R857" s="19"/>
      <c r="S857" s="19"/>
      <c r="T857" s="19"/>
      <c r="U857" s="19"/>
      <c r="V857" s="19"/>
      <c r="W857" s="19"/>
      <c r="X857" s="19"/>
      <c r="Y857" s="19"/>
      <c r="Z857" s="19"/>
    </row>
    <row r="858">
      <c r="A858" s="21"/>
      <c r="B858" s="21"/>
      <c r="C858" s="21"/>
      <c r="D858" s="21"/>
      <c r="E858" s="21"/>
      <c r="F858" s="21"/>
      <c r="G858" s="21"/>
      <c r="H858" s="2"/>
      <c r="I858" s="21"/>
      <c r="J858" s="21"/>
      <c r="K858" s="21"/>
      <c r="L858" s="21"/>
      <c r="M858" s="21"/>
      <c r="N858" s="21"/>
      <c r="O858" s="21"/>
      <c r="P858" s="21"/>
      <c r="Q858" s="19"/>
      <c r="R858" s="19"/>
      <c r="S858" s="19"/>
      <c r="T858" s="19"/>
      <c r="U858" s="19"/>
      <c r="V858" s="19"/>
      <c r="W858" s="19"/>
      <c r="X858" s="19"/>
      <c r="Y858" s="19"/>
      <c r="Z858" s="19"/>
    </row>
    <row r="859">
      <c r="A859" s="21"/>
      <c r="B859" s="21"/>
      <c r="C859" s="21"/>
      <c r="D859" s="21"/>
      <c r="E859" s="21"/>
      <c r="F859" s="21"/>
      <c r="G859" s="21"/>
      <c r="H859" s="2"/>
      <c r="I859" s="21"/>
      <c r="J859" s="21"/>
      <c r="K859" s="21"/>
      <c r="L859" s="21"/>
      <c r="M859" s="21"/>
      <c r="N859" s="21"/>
      <c r="O859" s="21"/>
      <c r="P859" s="21"/>
      <c r="Q859" s="19"/>
      <c r="R859" s="19"/>
      <c r="S859" s="19"/>
      <c r="T859" s="19"/>
      <c r="U859" s="19"/>
      <c r="V859" s="19"/>
      <c r="W859" s="19"/>
      <c r="X859" s="19"/>
      <c r="Y859" s="19"/>
      <c r="Z859" s="19"/>
    </row>
    <row r="860">
      <c r="A860" s="21"/>
      <c r="B860" s="21"/>
      <c r="C860" s="21"/>
      <c r="D860" s="21"/>
      <c r="E860" s="21"/>
      <c r="F860" s="21"/>
      <c r="G860" s="21"/>
      <c r="H860" s="2"/>
      <c r="I860" s="21"/>
      <c r="J860" s="21"/>
      <c r="K860" s="21"/>
      <c r="L860" s="21"/>
      <c r="M860" s="21"/>
      <c r="N860" s="21"/>
      <c r="O860" s="21"/>
      <c r="P860" s="21"/>
      <c r="Q860" s="19"/>
      <c r="R860" s="19"/>
      <c r="S860" s="19"/>
      <c r="T860" s="19"/>
      <c r="U860" s="19"/>
      <c r="V860" s="19"/>
      <c r="W860" s="19"/>
      <c r="X860" s="19"/>
      <c r="Y860" s="19"/>
      <c r="Z860" s="19"/>
    </row>
    <row r="861">
      <c r="A861" s="21"/>
      <c r="B861" s="21"/>
      <c r="C861" s="21"/>
      <c r="D861" s="21"/>
      <c r="E861" s="21"/>
      <c r="F861" s="21"/>
      <c r="G861" s="21"/>
      <c r="H861" s="2"/>
      <c r="I861" s="21"/>
      <c r="J861" s="21"/>
      <c r="K861" s="21"/>
      <c r="L861" s="21"/>
      <c r="M861" s="21"/>
      <c r="N861" s="21"/>
      <c r="O861" s="21"/>
      <c r="P861" s="21"/>
      <c r="Q861" s="19"/>
      <c r="R861" s="19"/>
      <c r="S861" s="19"/>
      <c r="T861" s="19"/>
      <c r="U861" s="19"/>
      <c r="V861" s="19"/>
      <c r="W861" s="19"/>
      <c r="X861" s="19"/>
      <c r="Y861" s="19"/>
      <c r="Z861" s="19"/>
    </row>
    <row r="862">
      <c r="A862" s="21"/>
      <c r="B862" s="21"/>
      <c r="C862" s="21"/>
      <c r="D862" s="21"/>
      <c r="E862" s="21"/>
      <c r="F862" s="21"/>
      <c r="G862" s="21"/>
      <c r="H862" s="2"/>
      <c r="I862" s="21"/>
      <c r="J862" s="21"/>
      <c r="K862" s="21"/>
      <c r="L862" s="21"/>
      <c r="M862" s="21"/>
      <c r="N862" s="21"/>
      <c r="O862" s="21"/>
      <c r="P862" s="21"/>
      <c r="Q862" s="19"/>
      <c r="R862" s="19"/>
      <c r="S862" s="19"/>
      <c r="T862" s="19"/>
      <c r="U862" s="19"/>
      <c r="V862" s="19"/>
      <c r="W862" s="19"/>
      <c r="X862" s="19"/>
      <c r="Y862" s="19"/>
      <c r="Z862" s="19"/>
    </row>
    <row r="863">
      <c r="A863" s="21"/>
      <c r="B863" s="21"/>
      <c r="C863" s="21"/>
      <c r="D863" s="21"/>
      <c r="E863" s="21"/>
      <c r="F863" s="21"/>
      <c r="G863" s="21"/>
      <c r="H863" s="2"/>
      <c r="I863" s="21"/>
      <c r="J863" s="21"/>
      <c r="K863" s="21"/>
      <c r="L863" s="21"/>
      <c r="M863" s="21"/>
      <c r="N863" s="21"/>
      <c r="O863" s="21"/>
      <c r="P863" s="21"/>
      <c r="Q863" s="19"/>
      <c r="R863" s="19"/>
      <c r="S863" s="19"/>
      <c r="T863" s="19"/>
      <c r="U863" s="19"/>
      <c r="V863" s="19"/>
      <c r="W863" s="19"/>
      <c r="X863" s="19"/>
      <c r="Y863" s="19"/>
      <c r="Z863" s="19"/>
    </row>
    <row r="864">
      <c r="A864" s="21"/>
      <c r="B864" s="21"/>
      <c r="C864" s="21"/>
      <c r="D864" s="21"/>
      <c r="E864" s="21"/>
      <c r="F864" s="21"/>
      <c r="G864" s="21"/>
      <c r="H864" s="2"/>
      <c r="I864" s="21"/>
      <c r="J864" s="21"/>
      <c r="K864" s="21"/>
      <c r="L864" s="21"/>
      <c r="M864" s="21"/>
      <c r="N864" s="21"/>
      <c r="O864" s="21"/>
      <c r="P864" s="21"/>
      <c r="Q864" s="19"/>
      <c r="R864" s="19"/>
      <c r="S864" s="19"/>
      <c r="T864" s="19"/>
      <c r="U864" s="19"/>
      <c r="V864" s="19"/>
      <c r="W864" s="19"/>
      <c r="X864" s="19"/>
      <c r="Y864" s="19"/>
      <c r="Z864" s="19"/>
    </row>
    <row r="865">
      <c r="A865" s="21"/>
      <c r="B865" s="21"/>
      <c r="C865" s="21"/>
      <c r="D865" s="21"/>
      <c r="E865" s="21"/>
      <c r="F865" s="21"/>
      <c r="G865" s="21"/>
      <c r="H865" s="2"/>
      <c r="I865" s="21"/>
      <c r="J865" s="21"/>
      <c r="K865" s="21"/>
      <c r="L865" s="21"/>
      <c r="M865" s="21"/>
      <c r="N865" s="21"/>
      <c r="O865" s="21"/>
      <c r="P865" s="21"/>
      <c r="Q865" s="19"/>
      <c r="R865" s="19"/>
      <c r="S865" s="19"/>
      <c r="T865" s="19"/>
      <c r="U865" s="19"/>
      <c r="V865" s="19"/>
      <c r="W865" s="19"/>
      <c r="X865" s="19"/>
      <c r="Y865" s="19"/>
      <c r="Z865" s="19"/>
    </row>
    <row r="866">
      <c r="A866" s="21"/>
      <c r="B866" s="21"/>
      <c r="C866" s="21"/>
      <c r="D866" s="21"/>
      <c r="E866" s="21"/>
      <c r="F866" s="21"/>
      <c r="G866" s="21"/>
      <c r="H866" s="2"/>
      <c r="I866" s="21"/>
      <c r="J866" s="21"/>
      <c r="K866" s="21"/>
      <c r="L866" s="21"/>
      <c r="M866" s="21"/>
      <c r="N866" s="21"/>
      <c r="O866" s="21"/>
      <c r="P866" s="21"/>
      <c r="Q866" s="19"/>
      <c r="R866" s="19"/>
      <c r="S866" s="19"/>
      <c r="T866" s="19"/>
      <c r="U866" s="19"/>
      <c r="V866" s="19"/>
      <c r="W866" s="19"/>
      <c r="X866" s="19"/>
      <c r="Y866" s="19"/>
      <c r="Z866" s="19"/>
    </row>
    <row r="867">
      <c r="A867" s="21"/>
      <c r="B867" s="21"/>
      <c r="C867" s="21"/>
      <c r="D867" s="21"/>
      <c r="E867" s="21"/>
      <c r="F867" s="21"/>
      <c r="G867" s="21"/>
      <c r="H867" s="2"/>
      <c r="I867" s="21"/>
      <c r="J867" s="21"/>
      <c r="K867" s="21"/>
      <c r="L867" s="21"/>
      <c r="M867" s="21"/>
      <c r="N867" s="21"/>
      <c r="O867" s="21"/>
      <c r="P867" s="21"/>
      <c r="Q867" s="19"/>
      <c r="R867" s="19"/>
      <c r="S867" s="19"/>
      <c r="T867" s="19"/>
      <c r="U867" s="19"/>
      <c r="V867" s="19"/>
      <c r="W867" s="19"/>
      <c r="X867" s="19"/>
      <c r="Y867" s="19"/>
      <c r="Z867" s="19"/>
    </row>
    <row r="868">
      <c r="A868" s="21"/>
      <c r="B868" s="21"/>
      <c r="C868" s="21"/>
      <c r="D868" s="21"/>
      <c r="E868" s="21"/>
      <c r="F868" s="21"/>
      <c r="G868" s="21"/>
      <c r="H868" s="2"/>
      <c r="I868" s="21"/>
      <c r="J868" s="21"/>
      <c r="K868" s="21"/>
      <c r="L868" s="21"/>
      <c r="M868" s="21"/>
      <c r="N868" s="21"/>
      <c r="O868" s="21"/>
      <c r="P868" s="21"/>
      <c r="Q868" s="19"/>
      <c r="R868" s="19"/>
      <c r="S868" s="19"/>
      <c r="T868" s="19"/>
      <c r="U868" s="19"/>
      <c r="V868" s="19"/>
      <c r="W868" s="19"/>
      <c r="X868" s="19"/>
      <c r="Y868" s="19"/>
      <c r="Z868" s="19"/>
    </row>
    <row r="869">
      <c r="A869" s="21"/>
      <c r="B869" s="21"/>
      <c r="C869" s="21"/>
      <c r="D869" s="21"/>
      <c r="E869" s="21"/>
      <c r="F869" s="21"/>
      <c r="G869" s="21"/>
      <c r="H869" s="2"/>
      <c r="I869" s="21"/>
      <c r="J869" s="21"/>
      <c r="K869" s="21"/>
      <c r="L869" s="21"/>
      <c r="M869" s="21"/>
      <c r="N869" s="21"/>
      <c r="O869" s="21"/>
      <c r="P869" s="21"/>
      <c r="Q869" s="19"/>
      <c r="R869" s="19"/>
      <c r="S869" s="19"/>
      <c r="T869" s="19"/>
      <c r="U869" s="19"/>
      <c r="V869" s="19"/>
      <c r="W869" s="19"/>
      <c r="X869" s="19"/>
      <c r="Y869" s="19"/>
      <c r="Z869" s="19"/>
    </row>
    <row r="870">
      <c r="A870" s="21"/>
      <c r="B870" s="21"/>
      <c r="C870" s="21"/>
      <c r="D870" s="21"/>
      <c r="E870" s="21"/>
      <c r="F870" s="21"/>
      <c r="G870" s="21"/>
      <c r="H870" s="2"/>
      <c r="I870" s="21"/>
      <c r="J870" s="21"/>
      <c r="K870" s="21"/>
      <c r="L870" s="21"/>
      <c r="M870" s="21"/>
      <c r="N870" s="21"/>
      <c r="O870" s="21"/>
      <c r="P870" s="21"/>
      <c r="Q870" s="19"/>
      <c r="R870" s="19"/>
      <c r="S870" s="19"/>
      <c r="T870" s="19"/>
      <c r="U870" s="19"/>
      <c r="V870" s="19"/>
      <c r="W870" s="19"/>
      <c r="X870" s="19"/>
      <c r="Y870" s="19"/>
      <c r="Z870" s="19"/>
    </row>
    <row r="871">
      <c r="A871" s="21"/>
      <c r="B871" s="21"/>
      <c r="C871" s="21"/>
      <c r="D871" s="21"/>
      <c r="E871" s="21"/>
      <c r="F871" s="21"/>
      <c r="G871" s="21"/>
      <c r="H871" s="2"/>
      <c r="I871" s="21"/>
      <c r="J871" s="21"/>
      <c r="K871" s="21"/>
      <c r="L871" s="21"/>
      <c r="M871" s="21"/>
      <c r="N871" s="21"/>
      <c r="O871" s="21"/>
      <c r="P871" s="21"/>
      <c r="Q871" s="19"/>
      <c r="R871" s="19"/>
      <c r="S871" s="19"/>
      <c r="T871" s="19"/>
      <c r="U871" s="19"/>
      <c r="V871" s="19"/>
      <c r="W871" s="19"/>
      <c r="X871" s="19"/>
      <c r="Y871" s="19"/>
      <c r="Z871" s="19"/>
    </row>
    <row r="872">
      <c r="A872" s="21"/>
      <c r="B872" s="21"/>
      <c r="C872" s="21"/>
      <c r="D872" s="21"/>
      <c r="E872" s="21"/>
      <c r="F872" s="21"/>
      <c r="G872" s="21"/>
      <c r="H872" s="2"/>
      <c r="I872" s="21"/>
      <c r="J872" s="21"/>
      <c r="K872" s="21"/>
      <c r="L872" s="21"/>
      <c r="M872" s="21"/>
      <c r="N872" s="21"/>
      <c r="O872" s="21"/>
      <c r="P872" s="21"/>
      <c r="Q872" s="19"/>
      <c r="R872" s="19"/>
      <c r="S872" s="19"/>
      <c r="T872" s="19"/>
      <c r="U872" s="19"/>
      <c r="V872" s="19"/>
      <c r="W872" s="19"/>
      <c r="X872" s="19"/>
      <c r="Y872" s="19"/>
      <c r="Z872" s="19"/>
    </row>
    <row r="873">
      <c r="A873" s="21"/>
      <c r="B873" s="21"/>
      <c r="C873" s="21"/>
      <c r="D873" s="21"/>
      <c r="E873" s="21"/>
      <c r="F873" s="21"/>
      <c r="G873" s="21"/>
      <c r="H873" s="2"/>
      <c r="I873" s="21"/>
      <c r="J873" s="21"/>
      <c r="K873" s="21"/>
      <c r="L873" s="21"/>
      <c r="M873" s="21"/>
      <c r="N873" s="21"/>
      <c r="O873" s="21"/>
      <c r="P873" s="21"/>
      <c r="Q873" s="19"/>
      <c r="R873" s="19"/>
      <c r="S873" s="19"/>
      <c r="T873" s="19"/>
      <c r="U873" s="19"/>
      <c r="V873" s="19"/>
      <c r="W873" s="19"/>
      <c r="X873" s="19"/>
      <c r="Y873" s="19"/>
      <c r="Z873" s="19"/>
    </row>
    <row r="874">
      <c r="A874" s="21"/>
      <c r="B874" s="21"/>
      <c r="C874" s="21"/>
      <c r="D874" s="21"/>
      <c r="E874" s="21"/>
      <c r="F874" s="21"/>
      <c r="G874" s="21"/>
      <c r="H874" s="2"/>
      <c r="I874" s="21"/>
      <c r="J874" s="21"/>
      <c r="K874" s="21"/>
      <c r="L874" s="21"/>
      <c r="M874" s="21"/>
      <c r="N874" s="21"/>
      <c r="O874" s="21"/>
      <c r="P874" s="21"/>
      <c r="Q874" s="19"/>
      <c r="R874" s="19"/>
      <c r="S874" s="19"/>
      <c r="T874" s="19"/>
      <c r="U874" s="19"/>
      <c r="V874" s="19"/>
      <c r="W874" s="19"/>
      <c r="X874" s="19"/>
      <c r="Y874" s="19"/>
      <c r="Z874" s="19"/>
    </row>
    <row r="875">
      <c r="A875" s="21"/>
      <c r="B875" s="21"/>
      <c r="C875" s="21"/>
      <c r="D875" s="21"/>
      <c r="E875" s="21"/>
      <c r="F875" s="21"/>
      <c r="G875" s="21"/>
      <c r="H875" s="2"/>
      <c r="I875" s="21"/>
      <c r="J875" s="21"/>
      <c r="K875" s="21"/>
      <c r="L875" s="21"/>
      <c r="M875" s="21"/>
      <c r="N875" s="21"/>
      <c r="O875" s="21"/>
      <c r="P875" s="21"/>
      <c r="Q875" s="19"/>
      <c r="R875" s="19"/>
      <c r="S875" s="19"/>
      <c r="T875" s="19"/>
      <c r="U875" s="19"/>
      <c r="V875" s="19"/>
      <c r="W875" s="19"/>
      <c r="X875" s="19"/>
      <c r="Y875" s="19"/>
      <c r="Z875" s="19"/>
    </row>
    <row r="876">
      <c r="A876" s="21"/>
      <c r="B876" s="21"/>
      <c r="C876" s="21"/>
      <c r="D876" s="21"/>
      <c r="E876" s="21"/>
      <c r="F876" s="21"/>
      <c r="G876" s="21"/>
      <c r="H876" s="2"/>
      <c r="I876" s="21"/>
      <c r="J876" s="21"/>
      <c r="K876" s="21"/>
      <c r="L876" s="21"/>
      <c r="M876" s="21"/>
      <c r="N876" s="21"/>
      <c r="O876" s="21"/>
      <c r="P876" s="21"/>
      <c r="Q876" s="19"/>
      <c r="R876" s="19"/>
      <c r="S876" s="19"/>
      <c r="T876" s="19"/>
      <c r="U876" s="19"/>
      <c r="V876" s="19"/>
      <c r="W876" s="19"/>
      <c r="X876" s="19"/>
      <c r="Y876" s="19"/>
      <c r="Z876" s="19"/>
    </row>
    <row r="877">
      <c r="A877" s="21"/>
      <c r="B877" s="21"/>
      <c r="C877" s="21"/>
      <c r="D877" s="21"/>
      <c r="E877" s="21"/>
      <c r="F877" s="21"/>
      <c r="G877" s="21"/>
      <c r="H877" s="2"/>
      <c r="I877" s="21"/>
      <c r="J877" s="21"/>
      <c r="K877" s="21"/>
      <c r="L877" s="21"/>
      <c r="M877" s="21"/>
      <c r="N877" s="21"/>
      <c r="O877" s="21"/>
      <c r="P877" s="21"/>
      <c r="Q877" s="19"/>
      <c r="R877" s="19"/>
      <c r="S877" s="19"/>
      <c r="T877" s="19"/>
      <c r="U877" s="19"/>
      <c r="V877" s="19"/>
      <c r="W877" s="19"/>
      <c r="X877" s="19"/>
      <c r="Y877" s="19"/>
      <c r="Z877" s="19"/>
    </row>
    <row r="878">
      <c r="A878" s="21"/>
      <c r="B878" s="21"/>
      <c r="C878" s="21"/>
      <c r="D878" s="21"/>
      <c r="E878" s="21"/>
      <c r="F878" s="21"/>
      <c r="G878" s="21"/>
      <c r="H878" s="2"/>
      <c r="I878" s="21"/>
      <c r="J878" s="21"/>
      <c r="K878" s="21"/>
      <c r="L878" s="21"/>
      <c r="M878" s="21"/>
      <c r="N878" s="21"/>
      <c r="O878" s="21"/>
      <c r="P878" s="21"/>
      <c r="Q878" s="19"/>
      <c r="R878" s="19"/>
      <c r="S878" s="19"/>
      <c r="T878" s="19"/>
      <c r="U878" s="19"/>
      <c r="V878" s="19"/>
      <c r="W878" s="19"/>
      <c r="X878" s="19"/>
      <c r="Y878" s="19"/>
      <c r="Z878" s="19"/>
    </row>
    <row r="879">
      <c r="A879" s="21"/>
      <c r="B879" s="21"/>
      <c r="C879" s="21"/>
      <c r="D879" s="21"/>
      <c r="E879" s="21"/>
      <c r="F879" s="21"/>
      <c r="G879" s="21"/>
      <c r="H879" s="2"/>
      <c r="I879" s="21"/>
      <c r="J879" s="21"/>
      <c r="K879" s="21"/>
      <c r="L879" s="21"/>
      <c r="M879" s="21"/>
      <c r="N879" s="21"/>
      <c r="O879" s="21"/>
      <c r="P879" s="21"/>
      <c r="Q879" s="19"/>
      <c r="R879" s="19"/>
      <c r="S879" s="19"/>
      <c r="T879" s="19"/>
      <c r="U879" s="19"/>
      <c r="V879" s="19"/>
      <c r="W879" s="19"/>
      <c r="X879" s="19"/>
      <c r="Y879" s="19"/>
      <c r="Z879" s="19"/>
    </row>
    <row r="880">
      <c r="A880" s="21"/>
      <c r="B880" s="21"/>
      <c r="C880" s="21"/>
      <c r="D880" s="21"/>
      <c r="E880" s="21"/>
      <c r="F880" s="21"/>
      <c r="G880" s="21"/>
      <c r="H880" s="2"/>
      <c r="I880" s="21"/>
      <c r="J880" s="21"/>
      <c r="K880" s="21"/>
      <c r="L880" s="21"/>
      <c r="M880" s="21"/>
      <c r="N880" s="21"/>
      <c r="O880" s="21"/>
      <c r="P880" s="21"/>
      <c r="Q880" s="19"/>
      <c r="R880" s="19"/>
      <c r="S880" s="19"/>
      <c r="T880" s="19"/>
      <c r="U880" s="19"/>
      <c r="V880" s="19"/>
      <c r="W880" s="19"/>
      <c r="X880" s="19"/>
      <c r="Y880" s="19"/>
      <c r="Z880" s="19"/>
    </row>
    <row r="881">
      <c r="A881" s="21"/>
      <c r="B881" s="21"/>
      <c r="C881" s="21"/>
      <c r="D881" s="21"/>
      <c r="E881" s="21"/>
      <c r="F881" s="21"/>
      <c r="G881" s="21"/>
      <c r="H881" s="2"/>
      <c r="I881" s="21"/>
      <c r="J881" s="21"/>
      <c r="K881" s="21"/>
      <c r="L881" s="21"/>
      <c r="M881" s="21"/>
      <c r="N881" s="21"/>
      <c r="O881" s="21"/>
      <c r="P881" s="21"/>
      <c r="Q881" s="19"/>
      <c r="R881" s="19"/>
      <c r="S881" s="19"/>
      <c r="T881" s="19"/>
      <c r="U881" s="19"/>
      <c r="V881" s="19"/>
      <c r="W881" s="19"/>
      <c r="X881" s="19"/>
      <c r="Y881" s="19"/>
      <c r="Z881" s="19"/>
    </row>
    <row r="882">
      <c r="A882" s="21"/>
      <c r="B882" s="21"/>
      <c r="C882" s="21"/>
      <c r="D882" s="21"/>
      <c r="E882" s="21"/>
      <c r="F882" s="21"/>
      <c r="G882" s="21"/>
      <c r="H882" s="2"/>
      <c r="I882" s="21"/>
      <c r="J882" s="21"/>
      <c r="K882" s="21"/>
      <c r="L882" s="21"/>
      <c r="M882" s="21"/>
      <c r="N882" s="21"/>
      <c r="O882" s="21"/>
      <c r="P882" s="21"/>
      <c r="Q882" s="19"/>
      <c r="R882" s="19"/>
      <c r="S882" s="19"/>
      <c r="T882" s="19"/>
      <c r="U882" s="19"/>
      <c r="V882" s="19"/>
      <c r="W882" s="19"/>
      <c r="X882" s="19"/>
      <c r="Y882" s="19"/>
      <c r="Z882" s="19"/>
    </row>
    <row r="883">
      <c r="A883" s="21"/>
      <c r="B883" s="21"/>
      <c r="C883" s="21"/>
      <c r="D883" s="21"/>
      <c r="E883" s="21"/>
      <c r="F883" s="21"/>
      <c r="G883" s="21"/>
      <c r="H883" s="2"/>
      <c r="I883" s="21"/>
      <c r="J883" s="21"/>
      <c r="K883" s="21"/>
      <c r="L883" s="21"/>
      <c r="M883" s="21"/>
      <c r="N883" s="21"/>
      <c r="O883" s="21"/>
      <c r="P883" s="21"/>
      <c r="Q883" s="19"/>
      <c r="R883" s="19"/>
      <c r="S883" s="19"/>
      <c r="T883" s="19"/>
      <c r="U883" s="19"/>
      <c r="V883" s="19"/>
      <c r="W883" s="19"/>
      <c r="X883" s="19"/>
      <c r="Y883" s="19"/>
      <c r="Z883" s="19"/>
    </row>
    <row r="884">
      <c r="A884" s="21"/>
      <c r="B884" s="21"/>
      <c r="C884" s="21"/>
      <c r="D884" s="21"/>
      <c r="E884" s="21"/>
      <c r="F884" s="21"/>
      <c r="G884" s="21"/>
      <c r="H884" s="2"/>
      <c r="I884" s="21"/>
      <c r="J884" s="21"/>
      <c r="K884" s="21"/>
      <c r="L884" s="21"/>
      <c r="M884" s="21"/>
      <c r="N884" s="21"/>
      <c r="O884" s="21"/>
      <c r="P884" s="21"/>
      <c r="Q884" s="19"/>
      <c r="R884" s="19"/>
      <c r="S884" s="19"/>
      <c r="T884" s="19"/>
      <c r="U884" s="19"/>
      <c r="V884" s="19"/>
      <c r="W884" s="19"/>
      <c r="X884" s="19"/>
      <c r="Y884" s="19"/>
      <c r="Z884" s="19"/>
    </row>
    <row r="885">
      <c r="A885" s="21"/>
      <c r="B885" s="21"/>
      <c r="C885" s="21"/>
      <c r="D885" s="21"/>
      <c r="E885" s="21"/>
      <c r="F885" s="21"/>
      <c r="G885" s="21"/>
      <c r="H885" s="2"/>
      <c r="I885" s="21"/>
      <c r="J885" s="21"/>
      <c r="K885" s="21"/>
      <c r="L885" s="21"/>
      <c r="M885" s="21"/>
      <c r="N885" s="21"/>
      <c r="O885" s="21"/>
      <c r="P885" s="21"/>
      <c r="Q885" s="19"/>
      <c r="R885" s="19"/>
      <c r="S885" s="19"/>
      <c r="T885" s="19"/>
      <c r="U885" s="19"/>
      <c r="V885" s="19"/>
      <c r="W885" s="19"/>
      <c r="X885" s="19"/>
      <c r="Y885" s="19"/>
      <c r="Z885" s="19"/>
    </row>
    <row r="886">
      <c r="A886" s="21"/>
      <c r="B886" s="21"/>
      <c r="C886" s="21"/>
      <c r="D886" s="21"/>
      <c r="E886" s="21"/>
      <c r="F886" s="21"/>
      <c r="G886" s="21"/>
      <c r="H886" s="2"/>
      <c r="I886" s="21"/>
      <c r="J886" s="21"/>
      <c r="K886" s="21"/>
      <c r="L886" s="21"/>
      <c r="M886" s="21"/>
      <c r="N886" s="21"/>
      <c r="O886" s="21"/>
      <c r="P886" s="21"/>
      <c r="Q886" s="19"/>
      <c r="R886" s="19"/>
      <c r="S886" s="19"/>
      <c r="T886" s="19"/>
      <c r="U886" s="19"/>
      <c r="V886" s="19"/>
      <c r="W886" s="19"/>
      <c r="X886" s="19"/>
      <c r="Y886" s="19"/>
      <c r="Z886" s="19"/>
    </row>
    <row r="887">
      <c r="A887" s="21"/>
      <c r="B887" s="21"/>
      <c r="C887" s="21"/>
      <c r="D887" s="21"/>
      <c r="E887" s="21"/>
      <c r="F887" s="21"/>
      <c r="G887" s="21"/>
      <c r="H887" s="2"/>
      <c r="I887" s="21"/>
      <c r="J887" s="21"/>
      <c r="K887" s="21"/>
      <c r="L887" s="21"/>
      <c r="M887" s="21"/>
      <c r="N887" s="21"/>
      <c r="O887" s="21"/>
      <c r="P887" s="21"/>
      <c r="Q887" s="19"/>
      <c r="R887" s="19"/>
      <c r="S887" s="19"/>
      <c r="T887" s="19"/>
      <c r="U887" s="19"/>
      <c r="V887" s="19"/>
      <c r="W887" s="19"/>
      <c r="X887" s="19"/>
      <c r="Y887" s="19"/>
      <c r="Z887" s="19"/>
    </row>
    <row r="888">
      <c r="A888" s="21"/>
      <c r="B888" s="21"/>
      <c r="C888" s="21"/>
      <c r="D888" s="21"/>
      <c r="E888" s="21"/>
      <c r="F888" s="21"/>
      <c r="G888" s="21"/>
      <c r="H888" s="2"/>
      <c r="I888" s="21"/>
      <c r="J888" s="21"/>
      <c r="K888" s="21"/>
      <c r="L888" s="21"/>
      <c r="M888" s="21"/>
      <c r="N888" s="21"/>
      <c r="O888" s="21"/>
      <c r="P888" s="21"/>
      <c r="Q888" s="19"/>
      <c r="R888" s="19"/>
      <c r="S888" s="19"/>
      <c r="T888" s="19"/>
      <c r="U888" s="19"/>
      <c r="V888" s="19"/>
      <c r="W888" s="19"/>
      <c r="X888" s="19"/>
      <c r="Y888" s="19"/>
      <c r="Z888" s="19"/>
    </row>
    <row r="889">
      <c r="A889" s="21"/>
      <c r="B889" s="21"/>
      <c r="C889" s="21"/>
      <c r="D889" s="21"/>
      <c r="E889" s="21"/>
      <c r="F889" s="21"/>
      <c r="G889" s="21"/>
      <c r="H889" s="2"/>
      <c r="I889" s="21"/>
      <c r="J889" s="21"/>
      <c r="K889" s="21"/>
      <c r="L889" s="21"/>
      <c r="M889" s="21"/>
      <c r="N889" s="21"/>
      <c r="O889" s="21"/>
      <c r="P889" s="21"/>
      <c r="Q889" s="19"/>
      <c r="R889" s="19"/>
      <c r="S889" s="19"/>
      <c r="T889" s="19"/>
      <c r="U889" s="19"/>
      <c r="V889" s="19"/>
      <c r="W889" s="19"/>
      <c r="X889" s="19"/>
      <c r="Y889" s="19"/>
      <c r="Z889" s="19"/>
    </row>
    <row r="890">
      <c r="A890" s="21"/>
      <c r="B890" s="21"/>
      <c r="C890" s="21"/>
      <c r="D890" s="21"/>
      <c r="E890" s="21"/>
      <c r="F890" s="21"/>
      <c r="G890" s="21"/>
      <c r="H890" s="2"/>
      <c r="I890" s="21"/>
      <c r="J890" s="21"/>
      <c r="K890" s="21"/>
      <c r="L890" s="21"/>
      <c r="M890" s="21"/>
      <c r="N890" s="21"/>
      <c r="O890" s="21"/>
      <c r="P890" s="21"/>
      <c r="Q890" s="19"/>
      <c r="R890" s="19"/>
      <c r="S890" s="19"/>
      <c r="T890" s="19"/>
      <c r="U890" s="19"/>
      <c r="V890" s="19"/>
      <c r="W890" s="19"/>
      <c r="X890" s="19"/>
      <c r="Y890" s="19"/>
      <c r="Z890" s="19"/>
    </row>
    <row r="891">
      <c r="A891" s="21"/>
      <c r="B891" s="21"/>
      <c r="C891" s="21"/>
      <c r="D891" s="21"/>
      <c r="E891" s="21"/>
      <c r="F891" s="21"/>
      <c r="G891" s="21"/>
      <c r="H891" s="2"/>
      <c r="I891" s="21"/>
      <c r="J891" s="21"/>
      <c r="K891" s="21"/>
      <c r="L891" s="21"/>
      <c r="M891" s="21"/>
      <c r="N891" s="21"/>
      <c r="O891" s="21"/>
      <c r="P891" s="21"/>
      <c r="Q891" s="19"/>
      <c r="R891" s="19"/>
      <c r="S891" s="19"/>
      <c r="T891" s="19"/>
      <c r="U891" s="19"/>
      <c r="V891" s="19"/>
      <c r="W891" s="19"/>
      <c r="X891" s="19"/>
      <c r="Y891" s="19"/>
      <c r="Z891" s="19"/>
    </row>
    <row r="892">
      <c r="A892" s="21"/>
      <c r="B892" s="21"/>
      <c r="C892" s="21"/>
      <c r="D892" s="21"/>
      <c r="E892" s="21"/>
      <c r="F892" s="21"/>
      <c r="G892" s="21"/>
      <c r="H892" s="2"/>
      <c r="I892" s="21"/>
      <c r="J892" s="21"/>
      <c r="K892" s="21"/>
      <c r="L892" s="21"/>
      <c r="M892" s="21"/>
      <c r="N892" s="21"/>
      <c r="O892" s="21"/>
      <c r="P892" s="21"/>
      <c r="Q892" s="19"/>
      <c r="R892" s="19"/>
      <c r="S892" s="19"/>
      <c r="T892" s="19"/>
      <c r="U892" s="19"/>
      <c r="V892" s="19"/>
      <c r="W892" s="19"/>
      <c r="X892" s="19"/>
      <c r="Y892" s="19"/>
      <c r="Z892" s="19"/>
    </row>
    <row r="893">
      <c r="A893" s="21"/>
      <c r="B893" s="21"/>
      <c r="C893" s="21"/>
      <c r="D893" s="21"/>
      <c r="E893" s="21"/>
      <c r="F893" s="21"/>
      <c r="G893" s="21"/>
      <c r="H893" s="2"/>
      <c r="I893" s="21"/>
      <c r="J893" s="21"/>
      <c r="K893" s="21"/>
      <c r="L893" s="21"/>
      <c r="M893" s="21"/>
      <c r="N893" s="21"/>
      <c r="O893" s="21"/>
      <c r="P893" s="21"/>
      <c r="Q893" s="19"/>
      <c r="R893" s="19"/>
      <c r="S893" s="19"/>
      <c r="T893" s="19"/>
      <c r="U893" s="19"/>
      <c r="V893" s="19"/>
      <c r="W893" s="19"/>
      <c r="X893" s="19"/>
      <c r="Y893" s="19"/>
      <c r="Z893" s="19"/>
    </row>
    <row r="894">
      <c r="A894" s="21"/>
      <c r="B894" s="21"/>
      <c r="C894" s="21"/>
      <c r="D894" s="21"/>
      <c r="E894" s="21"/>
      <c r="F894" s="21"/>
      <c r="G894" s="21"/>
      <c r="H894" s="2"/>
      <c r="I894" s="21"/>
      <c r="J894" s="21"/>
      <c r="K894" s="21"/>
      <c r="L894" s="21"/>
      <c r="M894" s="21"/>
      <c r="N894" s="21"/>
      <c r="O894" s="21"/>
      <c r="P894" s="21"/>
      <c r="Q894" s="19"/>
      <c r="R894" s="19"/>
      <c r="S894" s="19"/>
      <c r="T894" s="19"/>
      <c r="U894" s="19"/>
      <c r="V894" s="19"/>
      <c r="W894" s="19"/>
      <c r="X894" s="19"/>
      <c r="Y894" s="19"/>
      <c r="Z894" s="19"/>
    </row>
    <row r="895">
      <c r="A895" s="21"/>
      <c r="B895" s="21"/>
      <c r="C895" s="21"/>
      <c r="D895" s="21"/>
      <c r="E895" s="21"/>
      <c r="F895" s="21"/>
      <c r="G895" s="21"/>
      <c r="H895" s="2"/>
      <c r="I895" s="21"/>
      <c r="J895" s="21"/>
      <c r="K895" s="21"/>
      <c r="L895" s="21"/>
      <c r="M895" s="21"/>
      <c r="N895" s="21"/>
      <c r="O895" s="21"/>
      <c r="P895" s="21"/>
      <c r="Q895" s="19"/>
      <c r="R895" s="19"/>
      <c r="S895" s="19"/>
      <c r="T895" s="19"/>
      <c r="U895" s="19"/>
      <c r="V895" s="19"/>
      <c r="W895" s="19"/>
      <c r="X895" s="19"/>
      <c r="Y895" s="19"/>
      <c r="Z895" s="19"/>
    </row>
    <row r="896">
      <c r="A896" s="21"/>
      <c r="B896" s="21"/>
      <c r="C896" s="21"/>
      <c r="D896" s="21"/>
      <c r="E896" s="21"/>
      <c r="F896" s="21"/>
      <c r="G896" s="21"/>
      <c r="H896" s="2"/>
      <c r="I896" s="21"/>
      <c r="J896" s="21"/>
      <c r="K896" s="21"/>
      <c r="L896" s="21"/>
      <c r="M896" s="21"/>
      <c r="N896" s="21"/>
      <c r="O896" s="21"/>
      <c r="P896" s="21"/>
      <c r="Q896" s="19"/>
      <c r="R896" s="19"/>
      <c r="S896" s="19"/>
      <c r="T896" s="19"/>
      <c r="U896" s="19"/>
      <c r="V896" s="19"/>
      <c r="W896" s="19"/>
      <c r="X896" s="19"/>
      <c r="Y896" s="19"/>
      <c r="Z896" s="19"/>
    </row>
    <row r="897">
      <c r="A897" s="21"/>
      <c r="B897" s="21"/>
      <c r="C897" s="21"/>
      <c r="D897" s="21"/>
      <c r="E897" s="21"/>
      <c r="F897" s="21"/>
      <c r="G897" s="21"/>
      <c r="H897" s="2"/>
      <c r="I897" s="21"/>
      <c r="J897" s="21"/>
      <c r="K897" s="21"/>
      <c r="L897" s="21"/>
      <c r="M897" s="21"/>
      <c r="N897" s="21"/>
      <c r="O897" s="21"/>
      <c r="P897" s="21"/>
      <c r="Q897" s="19"/>
      <c r="R897" s="19"/>
      <c r="S897" s="19"/>
      <c r="T897" s="19"/>
      <c r="U897" s="19"/>
      <c r="V897" s="19"/>
      <c r="W897" s="19"/>
      <c r="X897" s="19"/>
      <c r="Y897" s="19"/>
      <c r="Z897" s="19"/>
    </row>
    <row r="898">
      <c r="A898" s="21"/>
      <c r="B898" s="21"/>
      <c r="C898" s="21"/>
      <c r="D898" s="21"/>
      <c r="E898" s="21"/>
      <c r="F898" s="21"/>
      <c r="G898" s="21"/>
      <c r="H898" s="2"/>
      <c r="I898" s="21"/>
      <c r="J898" s="21"/>
      <c r="K898" s="21"/>
      <c r="L898" s="21"/>
      <c r="M898" s="21"/>
      <c r="N898" s="21"/>
      <c r="O898" s="21"/>
      <c r="P898" s="21"/>
      <c r="Q898" s="19"/>
      <c r="R898" s="19"/>
      <c r="S898" s="19"/>
      <c r="T898" s="19"/>
      <c r="U898" s="19"/>
      <c r="V898" s="19"/>
      <c r="W898" s="19"/>
      <c r="X898" s="19"/>
      <c r="Y898" s="19"/>
      <c r="Z898" s="19"/>
    </row>
    <row r="899">
      <c r="A899" s="21"/>
      <c r="B899" s="21"/>
      <c r="C899" s="21"/>
      <c r="D899" s="21"/>
      <c r="E899" s="21"/>
      <c r="F899" s="21"/>
      <c r="G899" s="21"/>
      <c r="H899" s="2"/>
      <c r="I899" s="21"/>
      <c r="J899" s="21"/>
      <c r="K899" s="21"/>
      <c r="L899" s="21"/>
      <c r="M899" s="21"/>
      <c r="N899" s="21"/>
      <c r="O899" s="21"/>
      <c r="P899" s="21"/>
      <c r="Q899" s="19"/>
      <c r="R899" s="19"/>
      <c r="S899" s="19"/>
      <c r="T899" s="19"/>
      <c r="U899" s="19"/>
      <c r="V899" s="19"/>
      <c r="W899" s="19"/>
      <c r="X899" s="19"/>
      <c r="Y899" s="19"/>
      <c r="Z899" s="19"/>
    </row>
    <row r="900">
      <c r="A900" s="21"/>
      <c r="B900" s="21"/>
      <c r="C900" s="21"/>
      <c r="D900" s="21"/>
      <c r="E900" s="21"/>
      <c r="F900" s="21"/>
      <c r="G900" s="21"/>
      <c r="H900" s="2"/>
      <c r="I900" s="21"/>
      <c r="J900" s="21"/>
      <c r="K900" s="21"/>
      <c r="L900" s="21"/>
      <c r="M900" s="21"/>
      <c r="N900" s="21"/>
      <c r="O900" s="21"/>
      <c r="P900" s="21"/>
      <c r="Q900" s="19"/>
      <c r="R900" s="19"/>
      <c r="S900" s="19"/>
      <c r="T900" s="19"/>
      <c r="U900" s="19"/>
      <c r="V900" s="19"/>
      <c r="W900" s="19"/>
      <c r="X900" s="19"/>
      <c r="Y900" s="19"/>
      <c r="Z900" s="19"/>
    </row>
    <row r="901">
      <c r="A901" s="21"/>
      <c r="B901" s="21"/>
      <c r="C901" s="21"/>
      <c r="D901" s="21"/>
      <c r="E901" s="21"/>
      <c r="F901" s="21"/>
      <c r="G901" s="21"/>
      <c r="H901" s="2"/>
      <c r="I901" s="21"/>
      <c r="J901" s="21"/>
      <c r="K901" s="21"/>
      <c r="L901" s="21"/>
      <c r="M901" s="21"/>
      <c r="N901" s="21"/>
      <c r="O901" s="21"/>
      <c r="P901" s="21"/>
      <c r="Q901" s="19"/>
      <c r="R901" s="19"/>
      <c r="S901" s="19"/>
      <c r="T901" s="19"/>
      <c r="U901" s="19"/>
      <c r="V901" s="19"/>
      <c r="W901" s="19"/>
      <c r="X901" s="19"/>
      <c r="Y901" s="19"/>
      <c r="Z901" s="19"/>
    </row>
    <row r="902">
      <c r="A902" s="21"/>
      <c r="B902" s="21"/>
      <c r="C902" s="21"/>
      <c r="D902" s="21"/>
      <c r="E902" s="21"/>
      <c r="F902" s="21"/>
      <c r="G902" s="21"/>
      <c r="H902" s="2"/>
      <c r="I902" s="21"/>
      <c r="J902" s="21"/>
      <c r="K902" s="21"/>
      <c r="L902" s="21"/>
      <c r="M902" s="21"/>
      <c r="N902" s="21"/>
      <c r="O902" s="21"/>
      <c r="P902" s="21"/>
      <c r="Q902" s="19"/>
      <c r="R902" s="19"/>
      <c r="S902" s="19"/>
      <c r="T902" s="19"/>
      <c r="U902" s="19"/>
      <c r="V902" s="19"/>
      <c r="W902" s="19"/>
      <c r="X902" s="19"/>
      <c r="Y902" s="19"/>
      <c r="Z902" s="19"/>
    </row>
    <row r="903">
      <c r="A903" s="21"/>
      <c r="B903" s="21"/>
      <c r="C903" s="21"/>
      <c r="D903" s="21"/>
      <c r="E903" s="21"/>
      <c r="F903" s="21"/>
      <c r="G903" s="21"/>
      <c r="H903" s="2"/>
      <c r="I903" s="21"/>
      <c r="J903" s="21"/>
      <c r="K903" s="21"/>
      <c r="L903" s="21"/>
      <c r="M903" s="21"/>
      <c r="N903" s="21"/>
      <c r="O903" s="21"/>
      <c r="P903" s="21"/>
      <c r="Q903" s="19"/>
      <c r="R903" s="19"/>
      <c r="S903" s="19"/>
      <c r="T903" s="19"/>
      <c r="U903" s="19"/>
      <c r="V903" s="19"/>
      <c r="W903" s="19"/>
      <c r="X903" s="19"/>
      <c r="Y903" s="19"/>
      <c r="Z903" s="19"/>
    </row>
    <row r="904">
      <c r="A904" s="21"/>
      <c r="B904" s="21"/>
      <c r="C904" s="21"/>
      <c r="D904" s="21"/>
      <c r="E904" s="21"/>
      <c r="F904" s="21"/>
      <c r="G904" s="21"/>
      <c r="H904" s="2"/>
      <c r="I904" s="21"/>
      <c r="J904" s="21"/>
      <c r="K904" s="21"/>
      <c r="L904" s="21"/>
      <c r="M904" s="21"/>
      <c r="N904" s="21"/>
      <c r="O904" s="21"/>
      <c r="P904" s="21"/>
      <c r="Q904" s="19"/>
      <c r="R904" s="19"/>
      <c r="S904" s="19"/>
      <c r="T904" s="19"/>
      <c r="U904" s="19"/>
      <c r="V904" s="19"/>
      <c r="W904" s="19"/>
      <c r="X904" s="19"/>
      <c r="Y904" s="19"/>
      <c r="Z904" s="19"/>
    </row>
    <row r="905">
      <c r="A905" s="21"/>
      <c r="B905" s="21"/>
      <c r="C905" s="21"/>
      <c r="D905" s="21"/>
      <c r="E905" s="21"/>
      <c r="F905" s="21"/>
      <c r="G905" s="21"/>
      <c r="H905" s="2"/>
      <c r="I905" s="21"/>
      <c r="J905" s="21"/>
      <c r="K905" s="21"/>
      <c r="L905" s="21"/>
      <c r="M905" s="21"/>
      <c r="N905" s="21"/>
      <c r="O905" s="21"/>
      <c r="P905" s="21"/>
      <c r="Q905" s="19"/>
      <c r="R905" s="19"/>
      <c r="S905" s="19"/>
      <c r="T905" s="19"/>
      <c r="U905" s="19"/>
      <c r="V905" s="19"/>
      <c r="W905" s="19"/>
      <c r="X905" s="19"/>
      <c r="Y905" s="19"/>
      <c r="Z905" s="19"/>
    </row>
    <row r="906">
      <c r="A906" s="21"/>
      <c r="B906" s="21"/>
      <c r="C906" s="21"/>
      <c r="D906" s="21"/>
      <c r="E906" s="21"/>
      <c r="F906" s="21"/>
      <c r="G906" s="21"/>
      <c r="H906" s="2"/>
      <c r="I906" s="21"/>
      <c r="J906" s="21"/>
      <c r="K906" s="21"/>
      <c r="L906" s="21"/>
      <c r="M906" s="21"/>
      <c r="N906" s="21"/>
      <c r="O906" s="21"/>
      <c r="P906" s="21"/>
      <c r="Q906" s="19"/>
      <c r="R906" s="19"/>
      <c r="S906" s="19"/>
      <c r="T906" s="19"/>
      <c r="U906" s="19"/>
      <c r="V906" s="19"/>
      <c r="W906" s="19"/>
      <c r="X906" s="19"/>
      <c r="Y906" s="19"/>
      <c r="Z906" s="19"/>
    </row>
    <row r="907">
      <c r="A907" s="21"/>
      <c r="B907" s="21"/>
      <c r="C907" s="21"/>
      <c r="D907" s="21"/>
      <c r="E907" s="21"/>
      <c r="F907" s="21"/>
      <c r="G907" s="21"/>
      <c r="H907" s="2"/>
      <c r="I907" s="21"/>
      <c r="J907" s="21"/>
      <c r="K907" s="21"/>
      <c r="L907" s="21"/>
      <c r="M907" s="21"/>
      <c r="N907" s="21"/>
      <c r="O907" s="21"/>
      <c r="P907" s="21"/>
      <c r="Q907" s="19"/>
      <c r="R907" s="19"/>
      <c r="S907" s="19"/>
      <c r="T907" s="19"/>
      <c r="U907" s="19"/>
      <c r="V907" s="19"/>
      <c r="W907" s="19"/>
      <c r="X907" s="19"/>
      <c r="Y907" s="19"/>
      <c r="Z907" s="19"/>
    </row>
    <row r="908">
      <c r="A908" s="21"/>
      <c r="B908" s="21"/>
      <c r="C908" s="21"/>
      <c r="D908" s="21"/>
      <c r="E908" s="21"/>
      <c r="F908" s="21"/>
      <c r="G908" s="21"/>
      <c r="H908" s="2"/>
      <c r="I908" s="21"/>
      <c r="J908" s="21"/>
      <c r="K908" s="21"/>
      <c r="L908" s="21"/>
      <c r="M908" s="21"/>
      <c r="N908" s="21"/>
      <c r="O908" s="21"/>
      <c r="P908" s="21"/>
      <c r="Q908" s="19"/>
      <c r="R908" s="19"/>
      <c r="S908" s="19"/>
      <c r="T908" s="19"/>
      <c r="U908" s="19"/>
      <c r="V908" s="19"/>
      <c r="W908" s="19"/>
      <c r="X908" s="19"/>
      <c r="Y908" s="19"/>
      <c r="Z908" s="19"/>
    </row>
    <row r="909">
      <c r="A909" s="21"/>
      <c r="B909" s="21"/>
      <c r="C909" s="21"/>
      <c r="D909" s="21"/>
      <c r="E909" s="21"/>
      <c r="F909" s="21"/>
      <c r="G909" s="21"/>
      <c r="H909" s="2"/>
      <c r="I909" s="21"/>
      <c r="J909" s="21"/>
      <c r="K909" s="21"/>
      <c r="L909" s="21"/>
      <c r="M909" s="21"/>
      <c r="N909" s="21"/>
      <c r="O909" s="21"/>
      <c r="P909" s="21"/>
      <c r="Q909" s="19"/>
      <c r="R909" s="19"/>
      <c r="S909" s="19"/>
      <c r="T909" s="19"/>
      <c r="U909" s="19"/>
      <c r="V909" s="19"/>
      <c r="W909" s="19"/>
      <c r="X909" s="19"/>
      <c r="Y909" s="19"/>
      <c r="Z909" s="19"/>
    </row>
    <row r="910">
      <c r="A910" s="21"/>
      <c r="B910" s="21"/>
      <c r="C910" s="21"/>
      <c r="D910" s="21"/>
      <c r="E910" s="21"/>
      <c r="F910" s="21"/>
      <c r="G910" s="21"/>
      <c r="H910" s="2"/>
      <c r="I910" s="21"/>
      <c r="J910" s="21"/>
      <c r="K910" s="21"/>
      <c r="L910" s="21"/>
      <c r="M910" s="21"/>
      <c r="N910" s="21"/>
      <c r="O910" s="21"/>
      <c r="P910" s="21"/>
      <c r="Q910" s="19"/>
      <c r="R910" s="19"/>
      <c r="S910" s="19"/>
      <c r="T910" s="19"/>
      <c r="U910" s="19"/>
      <c r="V910" s="19"/>
      <c r="W910" s="19"/>
      <c r="X910" s="19"/>
      <c r="Y910" s="19"/>
      <c r="Z910" s="19"/>
    </row>
    <row r="911">
      <c r="A911" s="21"/>
      <c r="B911" s="21"/>
      <c r="C911" s="21"/>
      <c r="D911" s="21"/>
      <c r="E911" s="21"/>
      <c r="F911" s="21"/>
      <c r="G911" s="21"/>
      <c r="H911" s="2"/>
      <c r="I911" s="21"/>
      <c r="J911" s="21"/>
      <c r="K911" s="21"/>
      <c r="L911" s="21"/>
      <c r="M911" s="21"/>
      <c r="N911" s="21"/>
      <c r="O911" s="21"/>
      <c r="P911" s="21"/>
      <c r="Q911" s="19"/>
      <c r="R911" s="19"/>
      <c r="S911" s="19"/>
      <c r="T911" s="19"/>
      <c r="U911" s="19"/>
      <c r="V911" s="19"/>
      <c r="W911" s="19"/>
      <c r="X911" s="19"/>
      <c r="Y911" s="19"/>
      <c r="Z911" s="19"/>
    </row>
    <row r="912">
      <c r="A912" s="21"/>
      <c r="B912" s="21"/>
      <c r="C912" s="21"/>
      <c r="D912" s="21"/>
      <c r="E912" s="21"/>
      <c r="F912" s="21"/>
      <c r="G912" s="21"/>
      <c r="H912" s="2"/>
      <c r="I912" s="21"/>
      <c r="J912" s="21"/>
      <c r="K912" s="21"/>
      <c r="L912" s="21"/>
      <c r="M912" s="21"/>
      <c r="N912" s="21"/>
      <c r="O912" s="21"/>
      <c r="P912" s="21"/>
      <c r="Q912" s="19"/>
      <c r="R912" s="19"/>
      <c r="S912" s="19"/>
      <c r="T912" s="19"/>
      <c r="U912" s="19"/>
      <c r="V912" s="19"/>
      <c r="W912" s="19"/>
      <c r="X912" s="19"/>
      <c r="Y912" s="19"/>
      <c r="Z912" s="19"/>
    </row>
    <row r="913">
      <c r="A913" s="21"/>
      <c r="B913" s="21"/>
      <c r="C913" s="21"/>
      <c r="D913" s="21"/>
      <c r="E913" s="21"/>
      <c r="F913" s="21"/>
      <c r="G913" s="21"/>
      <c r="H913" s="2"/>
      <c r="I913" s="21"/>
      <c r="J913" s="21"/>
      <c r="K913" s="21"/>
      <c r="L913" s="21"/>
      <c r="M913" s="21"/>
      <c r="N913" s="21"/>
      <c r="O913" s="21"/>
      <c r="P913" s="21"/>
      <c r="Q913" s="19"/>
      <c r="R913" s="19"/>
      <c r="S913" s="19"/>
      <c r="T913" s="19"/>
      <c r="U913" s="19"/>
      <c r="V913" s="19"/>
      <c r="W913" s="19"/>
      <c r="X913" s="19"/>
      <c r="Y913" s="19"/>
      <c r="Z913" s="19"/>
    </row>
    <row r="914">
      <c r="A914" s="21"/>
      <c r="B914" s="21"/>
      <c r="C914" s="21"/>
      <c r="D914" s="21"/>
      <c r="E914" s="21"/>
      <c r="F914" s="21"/>
      <c r="G914" s="21"/>
      <c r="H914" s="2"/>
      <c r="I914" s="21"/>
      <c r="J914" s="21"/>
      <c r="K914" s="21"/>
      <c r="L914" s="21"/>
      <c r="M914" s="21"/>
      <c r="N914" s="21"/>
      <c r="O914" s="21"/>
      <c r="P914" s="21"/>
      <c r="Q914" s="19"/>
      <c r="R914" s="19"/>
      <c r="S914" s="19"/>
      <c r="T914" s="19"/>
      <c r="U914" s="19"/>
      <c r="V914" s="19"/>
      <c r="W914" s="19"/>
      <c r="X914" s="19"/>
      <c r="Y914" s="19"/>
      <c r="Z914" s="19"/>
    </row>
    <row r="915">
      <c r="A915" s="21"/>
      <c r="B915" s="21"/>
      <c r="C915" s="21"/>
      <c r="D915" s="21"/>
      <c r="E915" s="21"/>
      <c r="F915" s="21"/>
      <c r="G915" s="21"/>
      <c r="H915" s="2"/>
      <c r="I915" s="21"/>
      <c r="J915" s="21"/>
      <c r="K915" s="21"/>
      <c r="L915" s="21"/>
      <c r="M915" s="21"/>
      <c r="N915" s="21"/>
      <c r="O915" s="21"/>
      <c r="P915" s="21"/>
      <c r="Q915" s="19"/>
      <c r="R915" s="19"/>
      <c r="S915" s="19"/>
      <c r="T915" s="19"/>
      <c r="U915" s="19"/>
      <c r="V915" s="19"/>
      <c r="W915" s="19"/>
      <c r="X915" s="19"/>
      <c r="Y915" s="19"/>
      <c r="Z915" s="19"/>
    </row>
    <row r="916">
      <c r="A916" s="21"/>
      <c r="B916" s="21"/>
      <c r="C916" s="21"/>
      <c r="D916" s="21"/>
      <c r="E916" s="21"/>
      <c r="F916" s="21"/>
      <c r="G916" s="21"/>
      <c r="H916" s="2"/>
      <c r="I916" s="21"/>
      <c r="J916" s="21"/>
      <c r="K916" s="21"/>
      <c r="L916" s="21"/>
      <c r="M916" s="21"/>
      <c r="N916" s="21"/>
      <c r="O916" s="21"/>
      <c r="P916" s="21"/>
      <c r="Q916" s="19"/>
      <c r="R916" s="19"/>
      <c r="S916" s="19"/>
      <c r="T916" s="19"/>
      <c r="U916" s="19"/>
      <c r="V916" s="19"/>
      <c r="W916" s="19"/>
      <c r="X916" s="19"/>
      <c r="Y916" s="19"/>
      <c r="Z916" s="19"/>
    </row>
    <row r="917">
      <c r="A917" s="21"/>
      <c r="B917" s="21"/>
      <c r="C917" s="21"/>
      <c r="D917" s="21"/>
      <c r="E917" s="21"/>
      <c r="F917" s="21"/>
      <c r="G917" s="21"/>
      <c r="H917" s="2"/>
      <c r="I917" s="21"/>
      <c r="J917" s="21"/>
      <c r="K917" s="21"/>
      <c r="L917" s="21"/>
      <c r="M917" s="21"/>
      <c r="N917" s="21"/>
      <c r="O917" s="21"/>
      <c r="P917" s="21"/>
      <c r="Q917" s="19"/>
      <c r="R917" s="19"/>
      <c r="S917" s="19"/>
      <c r="T917" s="19"/>
      <c r="U917" s="19"/>
      <c r="V917" s="19"/>
      <c r="W917" s="19"/>
      <c r="X917" s="19"/>
      <c r="Y917" s="19"/>
      <c r="Z917" s="19"/>
    </row>
    <row r="918">
      <c r="A918" s="21"/>
      <c r="B918" s="21"/>
      <c r="C918" s="21"/>
      <c r="D918" s="21"/>
      <c r="E918" s="21"/>
      <c r="F918" s="21"/>
      <c r="G918" s="21"/>
      <c r="H918" s="2"/>
      <c r="I918" s="21"/>
      <c r="J918" s="21"/>
      <c r="K918" s="21"/>
      <c r="L918" s="21"/>
      <c r="M918" s="21"/>
      <c r="N918" s="21"/>
      <c r="O918" s="21"/>
      <c r="P918" s="21"/>
      <c r="Q918" s="19"/>
      <c r="R918" s="19"/>
      <c r="S918" s="19"/>
      <c r="T918" s="19"/>
      <c r="U918" s="19"/>
      <c r="V918" s="19"/>
      <c r="W918" s="19"/>
      <c r="X918" s="19"/>
      <c r="Y918" s="19"/>
      <c r="Z918" s="19"/>
    </row>
    <row r="919">
      <c r="A919" s="21"/>
      <c r="B919" s="21"/>
      <c r="C919" s="21"/>
      <c r="D919" s="21"/>
      <c r="E919" s="21"/>
      <c r="F919" s="21"/>
      <c r="G919" s="21"/>
      <c r="H919" s="2"/>
      <c r="I919" s="21"/>
      <c r="J919" s="21"/>
      <c r="K919" s="21"/>
      <c r="L919" s="21"/>
      <c r="M919" s="21"/>
      <c r="N919" s="21"/>
      <c r="O919" s="21"/>
      <c r="P919" s="21"/>
      <c r="Q919" s="19"/>
      <c r="R919" s="19"/>
      <c r="S919" s="19"/>
      <c r="T919" s="19"/>
      <c r="U919" s="19"/>
      <c r="V919" s="19"/>
      <c r="W919" s="19"/>
      <c r="X919" s="19"/>
      <c r="Y919" s="19"/>
      <c r="Z919" s="19"/>
    </row>
    <row r="920">
      <c r="A920" s="21"/>
      <c r="B920" s="21"/>
      <c r="C920" s="21"/>
      <c r="D920" s="21"/>
      <c r="E920" s="21"/>
      <c r="F920" s="21"/>
      <c r="G920" s="21"/>
      <c r="H920" s="2"/>
      <c r="I920" s="21"/>
      <c r="J920" s="21"/>
      <c r="K920" s="21"/>
      <c r="L920" s="21"/>
      <c r="M920" s="21"/>
      <c r="N920" s="21"/>
      <c r="O920" s="21"/>
      <c r="P920" s="21"/>
      <c r="Q920" s="19"/>
      <c r="R920" s="19"/>
      <c r="S920" s="19"/>
      <c r="T920" s="19"/>
      <c r="U920" s="19"/>
      <c r="V920" s="19"/>
      <c r="W920" s="19"/>
      <c r="X920" s="19"/>
      <c r="Y920" s="19"/>
      <c r="Z920" s="19"/>
    </row>
    <row r="921">
      <c r="A921" s="21"/>
      <c r="B921" s="21"/>
      <c r="C921" s="21"/>
      <c r="D921" s="21"/>
      <c r="E921" s="21"/>
      <c r="F921" s="21"/>
      <c r="G921" s="21"/>
      <c r="H921" s="2"/>
      <c r="I921" s="21"/>
      <c r="J921" s="21"/>
      <c r="K921" s="21"/>
      <c r="L921" s="21"/>
      <c r="M921" s="21"/>
      <c r="N921" s="21"/>
      <c r="O921" s="21"/>
      <c r="P921" s="21"/>
      <c r="Q921" s="19"/>
      <c r="R921" s="19"/>
      <c r="S921" s="19"/>
      <c r="T921" s="19"/>
      <c r="U921" s="19"/>
      <c r="V921" s="19"/>
      <c r="W921" s="19"/>
      <c r="X921" s="19"/>
      <c r="Y921" s="19"/>
      <c r="Z921" s="19"/>
    </row>
    <row r="922">
      <c r="A922" s="21"/>
      <c r="B922" s="21"/>
      <c r="C922" s="21"/>
      <c r="D922" s="21"/>
      <c r="E922" s="21"/>
      <c r="F922" s="21"/>
      <c r="G922" s="21"/>
      <c r="H922" s="2"/>
      <c r="I922" s="21"/>
      <c r="J922" s="21"/>
      <c r="K922" s="21"/>
      <c r="L922" s="21"/>
      <c r="M922" s="21"/>
      <c r="N922" s="21"/>
      <c r="O922" s="21"/>
      <c r="P922" s="21"/>
      <c r="Q922" s="19"/>
      <c r="R922" s="19"/>
      <c r="S922" s="19"/>
      <c r="T922" s="19"/>
      <c r="U922" s="19"/>
      <c r="V922" s="19"/>
      <c r="W922" s="19"/>
      <c r="X922" s="19"/>
      <c r="Y922" s="19"/>
      <c r="Z922" s="19"/>
    </row>
    <row r="923">
      <c r="A923" s="21"/>
      <c r="B923" s="21"/>
      <c r="C923" s="21"/>
      <c r="D923" s="21"/>
      <c r="E923" s="21"/>
      <c r="F923" s="21"/>
      <c r="G923" s="21"/>
      <c r="H923" s="2"/>
      <c r="I923" s="21"/>
      <c r="J923" s="21"/>
      <c r="K923" s="21"/>
      <c r="L923" s="21"/>
      <c r="M923" s="21"/>
      <c r="N923" s="21"/>
      <c r="O923" s="21"/>
      <c r="P923" s="21"/>
      <c r="Q923" s="19"/>
      <c r="R923" s="19"/>
      <c r="S923" s="19"/>
      <c r="T923" s="19"/>
      <c r="U923" s="19"/>
      <c r="V923" s="19"/>
      <c r="W923" s="19"/>
      <c r="X923" s="19"/>
      <c r="Y923" s="19"/>
      <c r="Z923" s="19"/>
    </row>
    <row r="924">
      <c r="A924" s="21"/>
      <c r="B924" s="21"/>
      <c r="C924" s="21"/>
      <c r="D924" s="21"/>
      <c r="E924" s="21"/>
      <c r="F924" s="21"/>
      <c r="G924" s="21"/>
      <c r="H924" s="2"/>
      <c r="I924" s="21"/>
      <c r="J924" s="21"/>
      <c r="K924" s="21"/>
      <c r="L924" s="21"/>
      <c r="M924" s="21"/>
      <c r="N924" s="21"/>
      <c r="O924" s="21"/>
      <c r="P924" s="21"/>
      <c r="Q924" s="19"/>
      <c r="R924" s="19"/>
      <c r="S924" s="19"/>
      <c r="T924" s="19"/>
      <c r="U924" s="19"/>
      <c r="V924" s="19"/>
      <c r="W924" s="19"/>
      <c r="X924" s="19"/>
      <c r="Y924" s="19"/>
      <c r="Z924" s="19"/>
    </row>
    <row r="925">
      <c r="A925" s="21"/>
      <c r="B925" s="21"/>
      <c r="C925" s="21"/>
      <c r="D925" s="21"/>
      <c r="E925" s="21"/>
      <c r="F925" s="21"/>
      <c r="G925" s="21"/>
      <c r="H925" s="2"/>
      <c r="I925" s="21"/>
      <c r="J925" s="21"/>
      <c r="K925" s="21"/>
      <c r="L925" s="21"/>
      <c r="M925" s="21"/>
      <c r="N925" s="21"/>
      <c r="O925" s="21"/>
      <c r="P925" s="21"/>
      <c r="Q925" s="19"/>
      <c r="R925" s="19"/>
      <c r="S925" s="19"/>
      <c r="T925" s="19"/>
      <c r="U925" s="19"/>
      <c r="V925" s="19"/>
      <c r="W925" s="19"/>
      <c r="X925" s="19"/>
      <c r="Y925" s="19"/>
      <c r="Z925" s="19"/>
    </row>
    <row r="926">
      <c r="A926" s="21"/>
      <c r="B926" s="21"/>
      <c r="C926" s="21"/>
      <c r="D926" s="21"/>
      <c r="E926" s="21"/>
      <c r="F926" s="21"/>
      <c r="G926" s="21"/>
      <c r="H926" s="2"/>
      <c r="I926" s="21"/>
      <c r="J926" s="21"/>
      <c r="K926" s="21"/>
      <c r="L926" s="21"/>
      <c r="M926" s="21"/>
      <c r="N926" s="21"/>
      <c r="O926" s="21"/>
      <c r="P926" s="21"/>
      <c r="Q926" s="19"/>
      <c r="R926" s="19"/>
      <c r="S926" s="19"/>
      <c r="T926" s="19"/>
      <c r="U926" s="19"/>
      <c r="V926" s="19"/>
      <c r="W926" s="19"/>
      <c r="X926" s="19"/>
      <c r="Y926" s="19"/>
      <c r="Z926" s="19"/>
    </row>
    <row r="927">
      <c r="A927" s="21"/>
      <c r="B927" s="21"/>
      <c r="C927" s="21"/>
      <c r="D927" s="21"/>
      <c r="E927" s="21"/>
      <c r="F927" s="21"/>
      <c r="G927" s="21"/>
      <c r="H927" s="2"/>
      <c r="I927" s="21"/>
      <c r="J927" s="21"/>
      <c r="K927" s="21"/>
      <c r="L927" s="21"/>
      <c r="M927" s="21"/>
      <c r="N927" s="21"/>
      <c r="O927" s="21"/>
      <c r="P927" s="21"/>
      <c r="Q927" s="19"/>
      <c r="R927" s="19"/>
      <c r="S927" s="19"/>
      <c r="T927" s="19"/>
      <c r="U927" s="19"/>
      <c r="V927" s="19"/>
      <c r="W927" s="19"/>
      <c r="X927" s="19"/>
      <c r="Y927" s="19"/>
      <c r="Z927" s="19"/>
    </row>
    <row r="928">
      <c r="A928" s="21"/>
      <c r="B928" s="21"/>
      <c r="C928" s="21"/>
      <c r="D928" s="21"/>
      <c r="E928" s="21"/>
      <c r="F928" s="21"/>
      <c r="G928" s="21"/>
      <c r="H928" s="2"/>
      <c r="I928" s="21"/>
      <c r="J928" s="21"/>
      <c r="K928" s="21"/>
      <c r="L928" s="21"/>
      <c r="M928" s="21"/>
      <c r="N928" s="21"/>
      <c r="O928" s="21"/>
      <c r="P928" s="21"/>
      <c r="Q928" s="19"/>
      <c r="R928" s="19"/>
      <c r="S928" s="19"/>
      <c r="T928" s="19"/>
      <c r="U928" s="19"/>
      <c r="V928" s="19"/>
      <c r="W928" s="19"/>
      <c r="X928" s="19"/>
      <c r="Y928" s="19"/>
      <c r="Z928" s="19"/>
    </row>
    <row r="929">
      <c r="A929" s="21"/>
      <c r="B929" s="21"/>
      <c r="C929" s="21"/>
      <c r="D929" s="21"/>
      <c r="E929" s="21"/>
      <c r="F929" s="21"/>
      <c r="G929" s="21"/>
      <c r="H929" s="2"/>
      <c r="I929" s="21"/>
      <c r="J929" s="21"/>
      <c r="K929" s="21"/>
      <c r="L929" s="21"/>
      <c r="M929" s="21"/>
      <c r="N929" s="21"/>
      <c r="O929" s="21"/>
      <c r="P929" s="21"/>
      <c r="Q929" s="19"/>
      <c r="R929" s="19"/>
      <c r="S929" s="19"/>
      <c r="T929" s="19"/>
      <c r="U929" s="19"/>
      <c r="V929" s="19"/>
      <c r="W929" s="19"/>
      <c r="X929" s="19"/>
      <c r="Y929" s="19"/>
      <c r="Z929" s="19"/>
    </row>
    <row r="930">
      <c r="A930" s="21"/>
      <c r="B930" s="21"/>
      <c r="C930" s="21"/>
      <c r="D930" s="21"/>
      <c r="E930" s="21"/>
      <c r="F930" s="21"/>
      <c r="G930" s="21"/>
      <c r="H930" s="2"/>
      <c r="I930" s="21"/>
      <c r="J930" s="21"/>
      <c r="K930" s="21"/>
      <c r="L930" s="21"/>
      <c r="M930" s="21"/>
      <c r="N930" s="21"/>
      <c r="O930" s="21"/>
      <c r="P930" s="21"/>
      <c r="Q930" s="19"/>
      <c r="R930" s="19"/>
      <c r="S930" s="19"/>
      <c r="T930" s="19"/>
      <c r="U930" s="19"/>
      <c r="V930" s="19"/>
      <c r="W930" s="19"/>
      <c r="X930" s="19"/>
      <c r="Y930" s="19"/>
      <c r="Z930" s="19"/>
    </row>
    <row r="931">
      <c r="A931" s="21"/>
      <c r="B931" s="21"/>
      <c r="C931" s="21"/>
      <c r="D931" s="21"/>
      <c r="E931" s="21"/>
      <c r="F931" s="21"/>
      <c r="G931" s="21"/>
      <c r="H931" s="2"/>
      <c r="I931" s="21"/>
      <c r="J931" s="21"/>
      <c r="K931" s="21"/>
      <c r="L931" s="21"/>
      <c r="M931" s="21"/>
      <c r="N931" s="21"/>
      <c r="O931" s="21"/>
      <c r="P931" s="21"/>
      <c r="Q931" s="19"/>
      <c r="R931" s="19"/>
      <c r="S931" s="19"/>
      <c r="T931" s="19"/>
      <c r="U931" s="19"/>
      <c r="V931" s="19"/>
      <c r="W931" s="19"/>
      <c r="X931" s="19"/>
      <c r="Y931" s="19"/>
      <c r="Z931" s="19"/>
    </row>
    <row r="932">
      <c r="A932" s="21"/>
      <c r="B932" s="21"/>
      <c r="C932" s="21"/>
      <c r="D932" s="21"/>
      <c r="E932" s="21"/>
      <c r="F932" s="21"/>
      <c r="G932" s="21"/>
      <c r="H932" s="2"/>
      <c r="I932" s="21"/>
      <c r="J932" s="21"/>
      <c r="K932" s="21"/>
      <c r="L932" s="21"/>
      <c r="M932" s="21"/>
      <c r="N932" s="21"/>
      <c r="O932" s="21"/>
      <c r="P932" s="21"/>
      <c r="Q932" s="19"/>
      <c r="R932" s="19"/>
      <c r="S932" s="19"/>
      <c r="T932" s="19"/>
      <c r="U932" s="19"/>
      <c r="V932" s="19"/>
      <c r="W932" s="19"/>
      <c r="X932" s="19"/>
      <c r="Y932" s="19"/>
      <c r="Z932" s="19"/>
    </row>
    <row r="933">
      <c r="A933" s="21"/>
      <c r="B933" s="21"/>
      <c r="C933" s="21"/>
      <c r="D933" s="21"/>
      <c r="E933" s="21"/>
      <c r="F933" s="21"/>
      <c r="G933" s="21"/>
      <c r="H933" s="2"/>
      <c r="I933" s="21"/>
      <c r="J933" s="21"/>
      <c r="K933" s="21"/>
      <c r="L933" s="21"/>
      <c r="M933" s="21"/>
      <c r="N933" s="21"/>
      <c r="O933" s="21"/>
      <c r="P933" s="21"/>
      <c r="Q933" s="19"/>
      <c r="R933" s="19"/>
      <c r="S933" s="19"/>
      <c r="T933" s="19"/>
      <c r="U933" s="19"/>
      <c r="V933" s="19"/>
      <c r="W933" s="19"/>
      <c r="X933" s="19"/>
      <c r="Y933" s="19"/>
      <c r="Z933" s="19"/>
    </row>
    <row r="934">
      <c r="A934" s="21"/>
      <c r="B934" s="21"/>
      <c r="C934" s="21"/>
      <c r="D934" s="21"/>
      <c r="E934" s="21"/>
      <c r="F934" s="21"/>
      <c r="G934" s="21"/>
      <c r="H934" s="2"/>
      <c r="I934" s="21"/>
      <c r="J934" s="21"/>
      <c r="K934" s="21"/>
      <c r="L934" s="21"/>
      <c r="M934" s="21"/>
      <c r="N934" s="21"/>
      <c r="O934" s="21"/>
      <c r="P934" s="21"/>
      <c r="Q934" s="19"/>
      <c r="R934" s="19"/>
      <c r="S934" s="19"/>
      <c r="T934" s="19"/>
      <c r="U934" s="19"/>
      <c r="V934" s="19"/>
      <c r="W934" s="19"/>
      <c r="X934" s="19"/>
      <c r="Y934" s="19"/>
      <c r="Z934" s="19"/>
    </row>
    <row r="935">
      <c r="A935" s="21"/>
      <c r="B935" s="21"/>
      <c r="C935" s="21"/>
      <c r="D935" s="21"/>
      <c r="E935" s="21"/>
      <c r="F935" s="21"/>
      <c r="G935" s="21"/>
      <c r="H935" s="2"/>
      <c r="I935" s="21"/>
      <c r="J935" s="21"/>
      <c r="K935" s="21"/>
      <c r="L935" s="21"/>
      <c r="M935" s="21"/>
      <c r="N935" s="21"/>
      <c r="O935" s="21"/>
      <c r="P935" s="21"/>
      <c r="Q935" s="19"/>
      <c r="R935" s="19"/>
      <c r="S935" s="19"/>
      <c r="T935" s="19"/>
      <c r="U935" s="19"/>
      <c r="V935" s="19"/>
      <c r="W935" s="19"/>
      <c r="X935" s="19"/>
      <c r="Y935" s="19"/>
      <c r="Z935" s="19"/>
    </row>
    <row r="936">
      <c r="A936" s="21"/>
      <c r="B936" s="21"/>
      <c r="C936" s="21"/>
      <c r="D936" s="21"/>
      <c r="E936" s="21"/>
      <c r="F936" s="21"/>
      <c r="G936" s="21"/>
      <c r="H936" s="2"/>
      <c r="I936" s="21"/>
      <c r="J936" s="21"/>
      <c r="K936" s="21"/>
      <c r="L936" s="21"/>
      <c r="M936" s="21"/>
      <c r="N936" s="21"/>
      <c r="O936" s="21"/>
      <c r="P936" s="21"/>
      <c r="Q936" s="19"/>
      <c r="R936" s="19"/>
      <c r="S936" s="19"/>
      <c r="T936" s="19"/>
      <c r="U936" s="19"/>
      <c r="V936" s="19"/>
      <c r="W936" s="19"/>
      <c r="X936" s="19"/>
      <c r="Y936" s="19"/>
      <c r="Z936" s="19"/>
    </row>
    <row r="937">
      <c r="A937" s="21"/>
      <c r="B937" s="21"/>
      <c r="C937" s="21"/>
      <c r="D937" s="21"/>
      <c r="E937" s="21"/>
      <c r="F937" s="21"/>
      <c r="G937" s="21"/>
      <c r="H937" s="2"/>
      <c r="I937" s="21"/>
      <c r="J937" s="21"/>
      <c r="K937" s="21"/>
      <c r="L937" s="21"/>
      <c r="M937" s="21"/>
      <c r="N937" s="21"/>
      <c r="O937" s="21"/>
      <c r="P937" s="21"/>
      <c r="Q937" s="19"/>
      <c r="R937" s="19"/>
      <c r="S937" s="19"/>
      <c r="T937" s="19"/>
      <c r="U937" s="19"/>
      <c r="V937" s="19"/>
      <c r="W937" s="19"/>
      <c r="X937" s="19"/>
      <c r="Y937" s="19"/>
      <c r="Z937" s="19"/>
    </row>
    <row r="938">
      <c r="A938" s="21"/>
      <c r="B938" s="21"/>
      <c r="C938" s="21"/>
      <c r="D938" s="21"/>
      <c r="E938" s="21"/>
      <c r="F938" s="21"/>
      <c r="G938" s="21"/>
      <c r="H938" s="2"/>
      <c r="I938" s="21"/>
      <c r="J938" s="21"/>
      <c r="K938" s="21"/>
      <c r="L938" s="21"/>
      <c r="M938" s="21"/>
      <c r="N938" s="21"/>
      <c r="O938" s="21"/>
      <c r="P938" s="21"/>
      <c r="Q938" s="19"/>
      <c r="R938" s="19"/>
      <c r="S938" s="19"/>
      <c r="T938" s="19"/>
      <c r="U938" s="19"/>
      <c r="V938" s="19"/>
      <c r="W938" s="19"/>
      <c r="X938" s="19"/>
      <c r="Y938" s="19"/>
      <c r="Z938" s="19"/>
    </row>
    <row r="939">
      <c r="A939" s="21"/>
      <c r="B939" s="21"/>
      <c r="C939" s="21"/>
      <c r="D939" s="21"/>
      <c r="E939" s="21"/>
      <c r="F939" s="21"/>
      <c r="G939" s="21"/>
      <c r="H939" s="2"/>
      <c r="I939" s="21"/>
      <c r="J939" s="21"/>
      <c r="K939" s="21"/>
      <c r="L939" s="21"/>
      <c r="M939" s="21"/>
      <c r="N939" s="21"/>
      <c r="O939" s="21"/>
      <c r="P939" s="21"/>
      <c r="Q939" s="19"/>
      <c r="R939" s="19"/>
      <c r="S939" s="19"/>
      <c r="T939" s="19"/>
      <c r="U939" s="19"/>
      <c r="V939" s="19"/>
      <c r="W939" s="19"/>
      <c r="X939" s="19"/>
      <c r="Y939" s="19"/>
      <c r="Z939" s="19"/>
    </row>
    <row r="940">
      <c r="A940" s="21"/>
      <c r="B940" s="21"/>
      <c r="C940" s="21"/>
      <c r="D940" s="21"/>
      <c r="E940" s="21"/>
      <c r="F940" s="21"/>
      <c r="G940" s="21"/>
      <c r="H940" s="2"/>
      <c r="I940" s="21"/>
      <c r="J940" s="21"/>
      <c r="K940" s="21"/>
      <c r="L940" s="21"/>
      <c r="M940" s="21"/>
      <c r="N940" s="21"/>
      <c r="O940" s="21"/>
      <c r="P940" s="21"/>
      <c r="Q940" s="19"/>
      <c r="R940" s="19"/>
      <c r="S940" s="19"/>
      <c r="T940" s="19"/>
      <c r="U940" s="19"/>
      <c r="V940" s="19"/>
      <c r="W940" s="19"/>
      <c r="X940" s="19"/>
      <c r="Y940" s="19"/>
      <c r="Z940" s="19"/>
    </row>
    <row r="941">
      <c r="A941" s="21"/>
      <c r="B941" s="21"/>
      <c r="C941" s="21"/>
      <c r="D941" s="21"/>
      <c r="E941" s="21"/>
      <c r="F941" s="21"/>
      <c r="G941" s="21"/>
      <c r="H941" s="2"/>
      <c r="I941" s="21"/>
      <c r="J941" s="21"/>
      <c r="K941" s="21"/>
      <c r="L941" s="21"/>
      <c r="M941" s="21"/>
      <c r="N941" s="21"/>
      <c r="O941" s="21"/>
      <c r="P941" s="21"/>
      <c r="Q941" s="19"/>
      <c r="R941" s="19"/>
      <c r="S941" s="19"/>
      <c r="T941" s="19"/>
      <c r="U941" s="19"/>
      <c r="V941" s="19"/>
      <c r="W941" s="19"/>
      <c r="X941" s="19"/>
      <c r="Y941" s="19"/>
      <c r="Z941" s="19"/>
    </row>
    <row r="942">
      <c r="A942" s="21"/>
      <c r="B942" s="21"/>
      <c r="C942" s="21"/>
      <c r="D942" s="21"/>
      <c r="E942" s="21"/>
      <c r="F942" s="21"/>
      <c r="G942" s="21"/>
      <c r="H942" s="2"/>
      <c r="I942" s="21"/>
      <c r="J942" s="21"/>
      <c r="K942" s="21"/>
      <c r="L942" s="21"/>
      <c r="M942" s="21"/>
      <c r="N942" s="21"/>
      <c r="O942" s="21"/>
      <c r="P942" s="21"/>
      <c r="Q942" s="19"/>
      <c r="R942" s="19"/>
      <c r="S942" s="19"/>
      <c r="T942" s="19"/>
      <c r="U942" s="19"/>
      <c r="V942" s="19"/>
      <c r="W942" s="19"/>
      <c r="X942" s="19"/>
      <c r="Y942" s="19"/>
      <c r="Z942" s="19"/>
    </row>
    <row r="943">
      <c r="A943" s="21"/>
      <c r="B943" s="21"/>
      <c r="C943" s="21"/>
      <c r="D943" s="21"/>
      <c r="E943" s="21"/>
      <c r="F943" s="21"/>
      <c r="G943" s="21"/>
      <c r="H943" s="2"/>
      <c r="I943" s="21"/>
      <c r="J943" s="21"/>
      <c r="K943" s="21"/>
      <c r="L943" s="21"/>
      <c r="M943" s="21"/>
      <c r="N943" s="21"/>
      <c r="O943" s="21"/>
      <c r="P943" s="21"/>
      <c r="Q943" s="19"/>
      <c r="R943" s="19"/>
      <c r="S943" s="19"/>
      <c r="T943" s="19"/>
      <c r="U943" s="19"/>
      <c r="V943" s="19"/>
      <c r="W943" s="19"/>
      <c r="X943" s="19"/>
      <c r="Y943" s="19"/>
      <c r="Z943" s="19"/>
    </row>
    <row r="944">
      <c r="A944" s="21"/>
      <c r="B944" s="21"/>
      <c r="C944" s="21"/>
      <c r="D944" s="21"/>
      <c r="E944" s="21"/>
      <c r="F944" s="21"/>
      <c r="G944" s="21"/>
      <c r="H944" s="2"/>
      <c r="I944" s="21"/>
      <c r="J944" s="21"/>
      <c r="K944" s="21"/>
      <c r="L944" s="21"/>
      <c r="M944" s="21"/>
      <c r="N944" s="21"/>
      <c r="O944" s="21"/>
      <c r="P944" s="21"/>
      <c r="Q944" s="19"/>
      <c r="R944" s="19"/>
      <c r="S944" s="19"/>
      <c r="T944" s="19"/>
      <c r="U944" s="19"/>
      <c r="V944" s="19"/>
      <c r="W944" s="19"/>
      <c r="X944" s="19"/>
      <c r="Y944" s="19"/>
      <c r="Z944" s="19"/>
    </row>
    <row r="945">
      <c r="A945" s="21"/>
      <c r="B945" s="21"/>
      <c r="C945" s="21"/>
      <c r="D945" s="21"/>
      <c r="E945" s="21"/>
      <c r="F945" s="21"/>
      <c r="G945" s="21"/>
      <c r="H945" s="2"/>
      <c r="I945" s="21"/>
      <c r="J945" s="21"/>
      <c r="K945" s="21"/>
      <c r="L945" s="21"/>
      <c r="M945" s="21"/>
      <c r="N945" s="21"/>
      <c r="O945" s="21"/>
      <c r="P945" s="21"/>
      <c r="Q945" s="19"/>
      <c r="R945" s="19"/>
      <c r="S945" s="19"/>
      <c r="T945" s="19"/>
      <c r="U945" s="19"/>
      <c r="V945" s="19"/>
      <c r="W945" s="19"/>
      <c r="X945" s="19"/>
      <c r="Y945" s="19"/>
      <c r="Z945" s="19"/>
    </row>
    <row r="946">
      <c r="A946" s="21"/>
      <c r="B946" s="21"/>
      <c r="C946" s="21"/>
      <c r="D946" s="21"/>
      <c r="E946" s="21"/>
      <c r="F946" s="21"/>
      <c r="G946" s="21"/>
      <c r="H946" s="2"/>
      <c r="I946" s="21"/>
      <c r="J946" s="21"/>
      <c r="K946" s="21"/>
      <c r="L946" s="21"/>
      <c r="M946" s="21"/>
      <c r="N946" s="21"/>
      <c r="O946" s="21"/>
      <c r="P946" s="21"/>
      <c r="Q946" s="19"/>
      <c r="R946" s="19"/>
      <c r="S946" s="19"/>
      <c r="T946" s="19"/>
      <c r="U946" s="19"/>
      <c r="V946" s="19"/>
      <c r="W946" s="19"/>
      <c r="X946" s="19"/>
      <c r="Y946" s="19"/>
      <c r="Z946" s="19"/>
    </row>
    <row r="947">
      <c r="A947" s="21"/>
      <c r="B947" s="21"/>
      <c r="C947" s="21"/>
      <c r="D947" s="21"/>
      <c r="E947" s="21"/>
      <c r="F947" s="21"/>
      <c r="G947" s="21"/>
      <c r="H947" s="2"/>
      <c r="I947" s="21"/>
      <c r="J947" s="21"/>
      <c r="K947" s="21"/>
      <c r="L947" s="21"/>
      <c r="M947" s="21"/>
      <c r="N947" s="21"/>
      <c r="O947" s="21"/>
      <c r="P947" s="21"/>
      <c r="Q947" s="19"/>
      <c r="R947" s="19"/>
      <c r="S947" s="19"/>
      <c r="T947" s="19"/>
      <c r="U947" s="19"/>
      <c r="V947" s="19"/>
      <c r="W947" s="19"/>
      <c r="X947" s="19"/>
      <c r="Y947" s="19"/>
      <c r="Z947" s="19"/>
    </row>
    <row r="948">
      <c r="A948" s="21"/>
      <c r="B948" s="21"/>
      <c r="C948" s="21"/>
      <c r="D948" s="21"/>
      <c r="E948" s="21"/>
      <c r="F948" s="21"/>
      <c r="G948" s="21"/>
      <c r="H948" s="2"/>
      <c r="I948" s="21"/>
      <c r="J948" s="21"/>
      <c r="K948" s="21"/>
      <c r="L948" s="21"/>
      <c r="M948" s="21"/>
      <c r="N948" s="21"/>
      <c r="O948" s="21"/>
      <c r="P948" s="21"/>
      <c r="Q948" s="19"/>
      <c r="R948" s="19"/>
      <c r="S948" s="19"/>
      <c r="T948" s="19"/>
      <c r="U948" s="19"/>
      <c r="V948" s="19"/>
      <c r="W948" s="19"/>
      <c r="X948" s="19"/>
      <c r="Y948" s="19"/>
      <c r="Z948" s="19"/>
    </row>
    <row r="949">
      <c r="A949" s="21"/>
      <c r="B949" s="21"/>
      <c r="C949" s="21"/>
      <c r="D949" s="21"/>
      <c r="E949" s="21"/>
      <c r="F949" s="21"/>
      <c r="G949" s="21"/>
      <c r="H949" s="2"/>
      <c r="I949" s="21"/>
      <c r="J949" s="21"/>
      <c r="K949" s="21"/>
      <c r="L949" s="21"/>
      <c r="M949" s="21"/>
      <c r="N949" s="21"/>
      <c r="O949" s="21"/>
      <c r="P949" s="21"/>
      <c r="Q949" s="19"/>
      <c r="R949" s="19"/>
      <c r="S949" s="19"/>
      <c r="T949" s="19"/>
      <c r="U949" s="19"/>
      <c r="V949" s="19"/>
      <c r="W949" s="19"/>
      <c r="X949" s="19"/>
      <c r="Y949" s="19"/>
      <c r="Z949" s="19"/>
    </row>
    <row r="950">
      <c r="A950" s="21"/>
      <c r="B950" s="21"/>
      <c r="C950" s="21"/>
      <c r="D950" s="21"/>
      <c r="E950" s="21"/>
      <c r="F950" s="21"/>
      <c r="G950" s="21"/>
      <c r="H950" s="2"/>
      <c r="I950" s="21"/>
      <c r="J950" s="21"/>
      <c r="K950" s="21"/>
      <c r="L950" s="21"/>
      <c r="M950" s="21"/>
      <c r="N950" s="21"/>
      <c r="O950" s="21"/>
      <c r="P950" s="21"/>
      <c r="Q950" s="19"/>
      <c r="R950" s="19"/>
      <c r="S950" s="19"/>
      <c r="T950" s="19"/>
      <c r="U950" s="19"/>
      <c r="V950" s="19"/>
      <c r="W950" s="19"/>
      <c r="X950" s="19"/>
      <c r="Y950" s="19"/>
      <c r="Z950" s="19"/>
    </row>
    <row r="951">
      <c r="A951" s="21"/>
      <c r="B951" s="21"/>
      <c r="C951" s="21"/>
      <c r="D951" s="21"/>
      <c r="E951" s="21"/>
      <c r="F951" s="21"/>
      <c r="G951" s="21"/>
      <c r="H951" s="2"/>
      <c r="I951" s="21"/>
      <c r="J951" s="21"/>
      <c r="K951" s="21"/>
      <c r="L951" s="21"/>
      <c r="M951" s="21"/>
      <c r="N951" s="21"/>
      <c r="O951" s="21"/>
      <c r="P951" s="21"/>
      <c r="Q951" s="19"/>
      <c r="R951" s="19"/>
      <c r="S951" s="19"/>
      <c r="T951" s="19"/>
      <c r="U951" s="19"/>
      <c r="V951" s="19"/>
      <c r="W951" s="19"/>
      <c r="X951" s="19"/>
      <c r="Y951" s="19"/>
      <c r="Z951" s="19"/>
    </row>
    <row r="952">
      <c r="A952" s="21"/>
      <c r="B952" s="21"/>
      <c r="C952" s="21"/>
      <c r="D952" s="21"/>
      <c r="E952" s="21"/>
      <c r="F952" s="21"/>
      <c r="G952" s="21"/>
      <c r="H952" s="2"/>
      <c r="I952" s="21"/>
      <c r="J952" s="21"/>
      <c r="K952" s="21"/>
      <c r="L952" s="21"/>
      <c r="M952" s="21"/>
      <c r="N952" s="21"/>
      <c r="O952" s="21"/>
      <c r="P952" s="21"/>
      <c r="Q952" s="19"/>
      <c r="R952" s="19"/>
      <c r="S952" s="19"/>
      <c r="T952" s="19"/>
      <c r="U952" s="19"/>
      <c r="V952" s="19"/>
      <c r="W952" s="19"/>
      <c r="X952" s="19"/>
      <c r="Y952" s="19"/>
      <c r="Z952" s="19"/>
    </row>
    <row r="953">
      <c r="A953" s="21"/>
      <c r="B953" s="21"/>
      <c r="C953" s="21"/>
      <c r="D953" s="21"/>
      <c r="E953" s="21"/>
      <c r="F953" s="21"/>
      <c r="G953" s="21"/>
      <c r="H953" s="2"/>
      <c r="I953" s="21"/>
      <c r="J953" s="21"/>
      <c r="K953" s="21"/>
      <c r="L953" s="21"/>
      <c r="M953" s="21"/>
      <c r="N953" s="21"/>
      <c r="O953" s="21"/>
      <c r="P953" s="21"/>
      <c r="Q953" s="19"/>
      <c r="R953" s="19"/>
      <c r="S953" s="19"/>
      <c r="T953" s="19"/>
      <c r="U953" s="19"/>
      <c r="V953" s="19"/>
      <c r="W953" s="19"/>
      <c r="X953" s="19"/>
      <c r="Y953" s="19"/>
      <c r="Z953" s="19"/>
    </row>
    <row r="954">
      <c r="A954" s="21"/>
      <c r="B954" s="21"/>
      <c r="C954" s="21"/>
      <c r="D954" s="21"/>
      <c r="E954" s="21"/>
      <c r="F954" s="21"/>
      <c r="G954" s="21"/>
      <c r="H954" s="2"/>
      <c r="I954" s="21"/>
      <c r="J954" s="21"/>
      <c r="K954" s="21"/>
      <c r="L954" s="21"/>
      <c r="M954" s="21"/>
      <c r="N954" s="21"/>
      <c r="O954" s="21"/>
      <c r="P954" s="21"/>
      <c r="Q954" s="19"/>
      <c r="R954" s="19"/>
      <c r="S954" s="19"/>
      <c r="T954" s="19"/>
      <c r="U954" s="19"/>
      <c r="V954" s="19"/>
      <c r="W954" s="19"/>
      <c r="X954" s="19"/>
      <c r="Y954" s="19"/>
      <c r="Z954" s="19"/>
    </row>
    <row r="955">
      <c r="A955" s="21"/>
      <c r="B955" s="21"/>
      <c r="C955" s="21"/>
      <c r="D955" s="21"/>
      <c r="E955" s="21"/>
      <c r="F955" s="21"/>
      <c r="G955" s="21"/>
      <c r="H955" s="2"/>
      <c r="I955" s="21"/>
      <c r="J955" s="21"/>
      <c r="K955" s="21"/>
      <c r="L955" s="21"/>
      <c r="M955" s="21"/>
      <c r="N955" s="21"/>
      <c r="O955" s="21"/>
      <c r="P955" s="21"/>
      <c r="Q955" s="19"/>
      <c r="R955" s="19"/>
      <c r="S955" s="19"/>
      <c r="T955" s="19"/>
      <c r="U955" s="19"/>
      <c r="V955" s="19"/>
      <c r="W955" s="19"/>
      <c r="X955" s="19"/>
      <c r="Y955" s="19"/>
      <c r="Z955" s="19"/>
    </row>
    <row r="956">
      <c r="A956" s="21"/>
      <c r="B956" s="21"/>
      <c r="C956" s="21"/>
      <c r="D956" s="21"/>
      <c r="E956" s="21"/>
      <c r="F956" s="21"/>
      <c r="G956" s="21"/>
      <c r="H956" s="2"/>
      <c r="I956" s="21"/>
      <c r="J956" s="21"/>
      <c r="K956" s="21"/>
      <c r="L956" s="21"/>
      <c r="M956" s="21"/>
      <c r="N956" s="21"/>
      <c r="O956" s="21"/>
      <c r="P956" s="21"/>
      <c r="Q956" s="19"/>
      <c r="R956" s="19"/>
      <c r="S956" s="19"/>
      <c r="T956" s="19"/>
      <c r="U956" s="19"/>
      <c r="V956" s="19"/>
      <c r="W956" s="19"/>
      <c r="X956" s="19"/>
      <c r="Y956" s="19"/>
      <c r="Z956" s="19"/>
    </row>
    <row r="957">
      <c r="A957" s="21"/>
      <c r="B957" s="21"/>
      <c r="C957" s="21"/>
      <c r="D957" s="21"/>
      <c r="E957" s="21"/>
      <c r="F957" s="21"/>
      <c r="G957" s="21"/>
      <c r="H957" s="2"/>
      <c r="I957" s="21"/>
      <c r="J957" s="21"/>
      <c r="K957" s="21"/>
      <c r="L957" s="21"/>
      <c r="M957" s="21"/>
      <c r="N957" s="21"/>
      <c r="O957" s="21"/>
      <c r="P957" s="21"/>
      <c r="Q957" s="19"/>
      <c r="R957" s="19"/>
      <c r="S957" s="19"/>
      <c r="T957" s="19"/>
      <c r="U957" s="19"/>
      <c r="V957" s="19"/>
      <c r="W957" s="19"/>
      <c r="X957" s="19"/>
      <c r="Y957" s="19"/>
      <c r="Z957" s="19"/>
    </row>
    <row r="958">
      <c r="A958" s="21"/>
      <c r="B958" s="21"/>
      <c r="C958" s="21"/>
      <c r="D958" s="21"/>
      <c r="E958" s="21"/>
      <c r="F958" s="21"/>
      <c r="G958" s="21"/>
      <c r="H958" s="2"/>
      <c r="I958" s="21"/>
      <c r="J958" s="21"/>
      <c r="K958" s="21"/>
      <c r="L958" s="21"/>
      <c r="M958" s="21"/>
      <c r="N958" s="21"/>
      <c r="O958" s="21"/>
      <c r="P958" s="21"/>
      <c r="Q958" s="19"/>
      <c r="R958" s="19"/>
      <c r="S958" s="19"/>
      <c r="T958" s="19"/>
      <c r="U958" s="19"/>
      <c r="V958" s="19"/>
      <c r="W958" s="19"/>
      <c r="X958" s="19"/>
      <c r="Y958" s="19"/>
      <c r="Z958" s="19"/>
    </row>
    <row r="959">
      <c r="A959" s="21"/>
      <c r="B959" s="21"/>
      <c r="C959" s="21"/>
      <c r="D959" s="21"/>
      <c r="E959" s="21"/>
      <c r="F959" s="21"/>
      <c r="G959" s="21"/>
      <c r="H959" s="2"/>
      <c r="I959" s="21"/>
      <c r="J959" s="21"/>
      <c r="K959" s="21"/>
      <c r="L959" s="21"/>
      <c r="M959" s="21"/>
      <c r="N959" s="21"/>
      <c r="O959" s="21"/>
      <c r="P959" s="21"/>
      <c r="Q959" s="19"/>
      <c r="R959" s="19"/>
      <c r="S959" s="19"/>
      <c r="T959" s="19"/>
      <c r="U959" s="19"/>
      <c r="V959" s="19"/>
      <c r="W959" s="19"/>
      <c r="X959" s="19"/>
      <c r="Y959" s="19"/>
      <c r="Z959" s="19"/>
    </row>
    <row r="960">
      <c r="A960" s="21"/>
      <c r="B960" s="21"/>
      <c r="C960" s="21"/>
      <c r="D960" s="21"/>
      <c r="E960" s="21"/>
      <c r="F960" s="21"/>
      <c r="G960" s="21"/>
      <c r="H960" s="2"/>
      <c r="I960" s="21"/>
      <c r="J960" s="21"/>
      <c r="K960" s="21"/>
      <c r="L960" s="21"/>
      <c r="M960" s="21"/>
      <c r="N960" s="21"/>
      <c r="O960" s="21"/>
      <c r="P960" s="21"/>
      <c r="Q960" s="19"/>
      <c r="R960" s="19"/>
      <c r="S960" s="19"/>
      <c r="T960" s="19"/>
      <c r="U960" s="19"/>
      <c r="V960" s="19"/>
      <c r="W960" s="19"/>
      <c r="X960" s="19"/>
      <c r="Y960" s="19"/>
      <c r="Z960" s="19"/>
    </row>
    <row r="961">
      <c r="A961" s="21"/>
      <c r="B961" s="21"/>
      <c r="C961" s="21"/>
      <c r="D961" s="21"/>
      <c r="E961" s="21"/>
      <c r="F961" s="21"/>
      <c r="G961" s="21"/>
      <c r="H961" s="2"/>
      <c r="I961" s="21"/>
      <c r="J961" s="21"/>
      <c r="K961" s="21"/>
      <c r="L961" s="21"/>
      <c r="M961" s="21"/>
      <c r="N961" s="21"/>
      <c r="O961" s="21"/>
      <c r="P961" s="21"/>
      <c r="Q961" s="19"/>
      <c r="R961" s="19"/>
      <c r="S961" s="19"/>
      <c r="T961" s="19"/>
      <c r="U961" s="19"/>
      <c r="V961" s="19"/>
      <c r="W961" s="19"/>
      <c r="X961" s="19"/>
      <c r="Y961" s="19"/>
      <c r="Z961" s="19"/>
    </row>
    <row r="962">
      <c r="A962" s="21"/>
      <c r="B962" s="21"/>
      <c r="C962" s="21"/>
      <c r="D962" s="21"/>
      <c r="E962" s="21"/>
      <c r="F962" s="21"/>
      <c r="G962" s="21"/>
      <c r="H962" s="2"/>
      <c r="I962" s="21"/>
      <c r="J962" s="21"/>
      <c r="K962" s="21"/>
      <c r="L962" s="21"/>
      <c r="M962" s="21"/>
      <c r="N962" s="21"/>
      <c r="O962" s="21"/>
      <c r="P962" s="21"/>
      <c r="Q962" s="19"/>
      <c r="R962" s="19"/>
      <c r="S962" s="19"/>
      <c r="T962" s="19"/>
      <c r="U962" s="19"/>
      <c r="V962" s="19"/>
      <c r="W962" s="19"/>
      <c r="X962" s="19"/>
      <c r="Y962" s="19"/>
      <c r="Z962" s="19"/>
    </row>
    <row r="963">
      <c r="A963" s="21"/>
      <c r="B963" s="21"/>
      <c r="C963" s="21"/>
      <c r="D963" s="21"/>
      <c r="E963" s="21"/>
      <c r="F963" s="21"/>
      <c r="G963" s="21"/>
      <c r="H963" s="2"/>
      <c r="I963" s="21"/>
      <c r="J963" s="21"/>
      <c r="K963" s="21"/>
      <c r="L963" s="21"/>
      <c r="M963" s="21"/>
      <c r="N963" s="21"/>
      <c r="O963" s="21"/>
      <c r="P963" s="21"/>
      <c r="Q963" s="19"/>
      <c r="R963" s="19"/>
      <c r="S963" s="19"/>
      <c r="T963" s="19"/>
      <c r="U963" s="19"/>
      <c r="V963" s="19"/>
      <c r="W963" s="19"/>
      <c r="X963" s="19"/>
      <c r="Y963" s="19"/>
      <c r="Z963" s="19"/>
    </row>
    <row r="964">
      <c r="A964" s="21"/>
      <c r="B964" s="21"/>
      <c r="C964" s="21"/>
      <c r="D964" s="21"/>
      <c r="E964" s="21"/>
      <c r="F964" s="21"/>
      <c r="G964" s="21"/>
      <c r="H964" s="2"/>
      <c r="I964" s="21"/>
      <c r="J964" s="21"/>
      <c r="K964" s="21"/>
      <c r="L964" s="21"/>
      <c r="M964" s="21"/>
      <c r="N964" s="21"/>
      <c r="O964" s="21"/>
      <c r="P964" s="21"/>
      <c r="Q964" s="19"/>
      <c r="R964" s="19"/>
      <c r="S964" s="19"/>
      <c r="T964" s="19"/>
      <c r="U964" s="19"/>
      <c r="V964" s="19"/>
      <c r="W964" s="19"/>
      <c r="X964" s="19"/>
      <c r="Y964" s="19"/>
      <c r="Z964" s="19"/>
    </row>
    <row r="965">
      <c r="A965" s="21"/>
      <c r="B965" s="21"/>
      <c r="C965" s="21"/>
      <c r="D965" s="21"/>
      <c r="E965" s="21"/>
      <c r="F965" s="21"/>
      <c r="G965" s="21"/>
      <c r="H965" s="2"/>
      <c r="I965" s="21"/>
      <c r="J965" s="21"/>
      <c r="K965" s="21"/>
      <c r="L965" s="21"/>
      <c r="M965" s="21"/>
      <c r="N965" s="21"/>
      <c r="O965" s="21"/>
      <c r="P965" s="21"/>
      <c r="Q965" s="19"/>
      <c r="R965" s="19"/>
      <c r="S965" s="19"/>
      <c r="T965" s="19"/>
      <c r="U965" s="19"/>
      <c r="V965" s="19"/>
      <c r="W965" s="19"/>
      <c r="X965" s="19"/>
      <c r="Y965" s="19"/>
      <c r="Z965" s="19"/>
    </row>
    <row r="966">
      <c r="A966" s="21"/>
      <c r="B966" s="21"/>
      <c r="C966" s="21"/>
      <c r="D966" s="21"/>
      <c r="E966" s="21"/>
      <c r="F966" s="21"/>
      <c r="G966" s="21"/>
      <c r="H966" s="2"/>
      <c r="I966" s="21"/>
      <c r="J966" s="21"/>
      <c r="K966" s="21"/>
      <c r="L966" s="21"/>
      <c r="M966" s="21"/>
      <c r="N966" s="21"/>
      <c r="O966" s="21"/>
      <c r="P966" s="21"/>
      <c r="Q966" s="19"/>
      <c r="R966" s="19"/>
      <c r="S966" s="19"/>
      <c r="T966" s="19"/>
      <c r="U966" s="19"/>
      <c r="V966" s="19"/>
      <c r="W966" s="19"/>
      <c r="X966" s="19"/>
      <c r="Y966" s="19"/>
      <c r="Z966" s="19"/>
    </row>
    <row r="967">
      <c r="A967" s="21"/>
      <c r="B967" s="21"/>
      <c r="C967" s="21"/>
      <c r="D967" s="21"/>
      <c r="E967" s="21"/>
      <c r="F967" s="21"/>
      <c r="G967" s="21"/>
      <c r="H967" s="2"/>
      <c r="I967" s="21"/>
      <c r="J967" s="21"/>
      <c r="K967" s="21"/>
      <c r="L967" s="21"/>
      <c r="M967" s="21"/>
      <c r="N967" s="21"/>
      <c r="O967" s="21"/>
      <c r="P967" s="21"/>
      <c r="Q967" s="19"/>
      <c r="R967" s="19"/>
      <c r="S967" s="19"/>
      <c r="T967" s="19"/>
      <c r="U967" s="19"/>
      <c r="V967" s="19"/>
      <c r="W967" s="19"/>
      <c r="X967" s="19"/>
      <c r="Y967" s="19"/>
      <c r="Z967" s="19"/>
    </row>
    <row r="968">
      <c r="A968" s="21"/>
      <c r="B968" s="21"/>
      <c r="C968" s="21"/>
      <c r="D968" s="21"/>
      <c r="E968" s="21"/>
      <c r="F968" s="21"/>
      <c r="G968" s="21"/>
      <c r="H968" s="2"/>
      <c r="I968" s="21"/>
      <c r="J968" s="21"/>
      <c r="K968" s="21"/>
      <c r="L968" s="21"/>
      <c r="M968" s="21"/>
      <c r="N968" s="21"/>
      <c r="O968" s="21"/>
      <c r="P968" s="21"/>
      <c r="Q968" s="19"/>
      <c r="R968" s="19"/>
      <c r="S968" s="19"/>
      <c r="T968" s="19"/>
      <c r="U968" s="19"/>
      <c r="V968" s="19"/>
      <c r="W968" s="19"/>
      <c r="X968" s="19"/>
      <c r="Y968" s="19"/>
      <c r="Z968" s="19"/>
    </row>
    <row r="969">
      <c r="A969" s="21"/>
      <c r="B969" s="21"/>
      <c r="C969" s="21"/>
      <c r="D969" s="21"/>
      <c r="E969" s="21"/>
      <c r="F969" s="21"/>
      <c r="G969" s="21"/>
      <c r="H969" s="2"/>
      <c r="I969" s="21"/>
      <c r="J969" s="21"/>
      <c r="K969" s="21"/>
      <c r="L969" s="21"/>
      <c r="M969" s="21"/>
      <c r="N969" s="21"/>
      <c r="O969" s="21"/>
      <c r="P969" s="21"/>
      <c r="Q969" s="19"/>
      <c r="R969" s="19"/>
      <c r="S969" s="19"/>
      <c r="T969" s="19"/>
      <c r="U969" s="19"/>
      <c r="V969" s="19"/>
      <c r="W969" s="19"/>
      <c r="X969" s="19"/>
      <c r="Y969" s="19"/>
      <c r="Z969" s="19"/>
    </row>
    <row r="970">
      <c r="A970" s="21"/>
      <c r="B970" s="21"/>
      <c r="C970" s="21"/>
      <c r="D970" s="21"/>
      <c r="E970" s="21"/>
      <c r="F970" s="21"/>
      <c r="G970" s="21"/>
      <c r="H970" s="2"/>
      <c r="I970" s="21"/>
      <c r="J970" s="21"/>
      <c r="K970" s="21"/>
      <c r="L970" s="21"/>
      <c r="M970" s="21"/>
      <c r="N970" s="21"/>
      <c r="O970" s="21"/>
      <c r="P970" s="21"/>
      <c r="Q970" s="19"/>
      <c r="R970" s="19"/>
      <c r="S970" s="19"/>
      <c r="T970" s="19"/>
      <c r="U970" s="19"/>
      <c r="V970" s="19"/>
      <c r="W970" s="19"/>
      <c r="X970" s="19"/>
      <c r="Y970" s="19"/>
      <c r="Z970" s="19"/>
    </row>
    <row r="971">
      <c r="A971" s="21"/>
      <c r="B971" s="21"/>
      <c r="C971" s="21"/>
      <c r="D971" s="21"/>
      <c r="E971" s="21"/>
      <c r="F971" s="21"/>
      <c r="G971" s="21"/>
      <c r="H971" s="2"/>
      <c r="I971" s="21"/>
      <c r="J971" s="21"/>
      <c r="K971" s="21"/>
      <c r="L971" s="21"/>
      <c r="M971" s="21"/>
      <c r="N971" s="21"/>
      <c r="O971" s="21"/>
      <c r="P971" s="21"/>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sheetData>
  <dataValidations>
    <dataValidation type="custom" allowBlank="1" showDropDown="1" sqref="A2:A148">
      <formula1>AND(ISNUMBER(A2),(NOT(OR(NOT(ISERROR(DATEVALUE(A2))), AND(ISNUMBER(A2), LEFT(CELL("format", A2))="D")))))</formula1>
    </dataValidation>
  </dataValidations>
  <drawing r:id="rId1"/>
  <tableParts count="2">
    <tablePart r:id="rId4"/>
    <tablePart r:id="rId5"/>
  </tableParts>
</worksheet>
</file>
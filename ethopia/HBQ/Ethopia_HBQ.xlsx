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na" sheetId="1" r:id="rId4"/>
    <sheet state="visible" name="Yeferas Guks" sheetId="2" r:id="rId5"/>
    <sheet state="visible" name="Traditional Running" sheetId="3" r:id="rId6"/>
    <sheet state="visible" name="Aba Geda Wrestling" sheetId="4" r:id="rId7"/>
    <sheet state="visible" name="Afalula" sheetId="5" r:id="rId8"/>
    <sheet state="visible" name="Sidama Wrestling" sheetId="6" r:id="rId9"/>
    <sheet state="visible" name="Gebeta (Mancala)" sheetId="7" r:id="rId10"/>
    <sheet state="visible" name="Cow Jumping (Ukuli Bula)" sheetId="8" r:id="rId11"/>
  </sheets>
  <definedNames/>
  <calcPr/>
</workbook>
</file>

<file path=xl/sharedStrings.xml><?xml version="1.0" encoding="utf-8"?>
<sst xmlns="http://schemas.openxmlformats.org/spreadsheetml/2006/main" count="4592" uniqueCount="3814">
  <si>
    <t>Question no.</t>
  </si>
  <si>
    <t>Questions</t>
  </si>
  <si>
    <t>Options</t>
  </si>
  <si>
    <t>Answer</t>
  </si>
  <si>
    <t>Description</t>
  </si>
  <si>
    <t>ጥያቄዎች</t>
  </si>
  <si>
    <t>አማራጭ ሀ</t>
  </si>
  <si>
    <t>አማራጭ ለ</t>
  </si>
  <si>
    <t>አማራጭ ሐ</t>
  </si>
  <si>
    <t>አማራጭ ዲ</t>
  </si>
  <si>
    <t>Who is the birthplace of Christmas sports?</t>
  </si>
  <si>
    <t>A. Ethiopia B. Kenya C. Sudan D. Egypt</t>
  </si>
  <si>
    <t>Ethiopia</t>
  </si>
  <si>
    <t>Sports in Ethiopia began as a traditional game played during festivals.</t>
  </si>
  <si>
    <t>In which century did sports begin?</t>
  </si>
  <si>
    <t>A. 14th century B. 15th century C. 16th century D. 17th century</t>
  </si>
  <si>
    <t>15th century</t>
  </si>
  <si>
    <t>The origin of Christmas sports dates back to the 15th century, as part of Ethiopian cultural traditions.</t>
  </si>
  <si>
    <t>What is the cultural significance of Gena Sports in Ethiopia?</t>
  </si>
  <si>
    <t>A. Celebrates the harvest season. B. It celebrates Christmas. C. Represents New Year's holidays D. It shows the unity of the country.</t>
  </si>
  <si>
    <t>It celebrates Christmas.</t>
  </si>
  <si>
    <t>Christmas sports are traditionally associated with Ethiopian Christmas celebrations.</t>
  </si>
  <si>
    <t>Which Ethiopian festival still features sports?</t>
  </si>
  <si>
    <t>A. Timket B. Christmas C. Finding of the True Cross D. Easter</t>
  </si>
  <si>
    <t>Christmas</t>
  </si>
  <si>
    <t>The game takes place during the Christmas Festival, which is the Ethiopian Christmas holiday.</t>
  </si>
  <si>
    <t>What does the word "Jenha" mean in Ethiopia?</t>
  </si>
  <si>
    <t>A. Harvest B. Unity C. Christmas D. Victory</t>
  </si>
  <si>
    <t>When translated to Christmas, it highlights the holiday on which the sport is held.</t>
  </si>
  <si>
    <t>What kind of game is traditionally divided into?</t>
  </si>
  <si>
    <t>A. Ball game B. Stick and ball game C. Racing game D. War tug-of-war</t>
  </si>
  <si>
    <t>Stick and ball game</t>
  </si>
  <si>
    <t>It is still often compared to field hockey as a stick and ball game.</t>
  </si>
  <si>
    <t>What type of material is commonly used for sticks in Christmas sports?</t>
  </si>
  <si>
    <t>A. Bamboo B. Wood C. Iron D. Plastic</t>
  </si>
  <si>
    <t>Wood</t>
  </si>
  <si>
    <t>The stick used in the harp is typically made of wood.</t>
  </si>
  <si>
    <t>Which Ethiopian holiday begins the annual Christmas sports matches?</t>
  </si>
  <si>
    <t>A. New Year B. Christmas Festival C. Easter D. independence day</t>
  </si>
  <si>
    <t>Christmas Festival</t>
  </si>
  <si>
    <t>Christmas games began during the Christmas festival, marking the Ethiopian Christmas.</t>
  </si>
  <si>
    <t>What kind of object is used as a ball in Christmas sports?</t>
  </si>
  <si>
    <t>A. Stone B. Leather ball C. Wooden ball D. Rubber ball</t>
  </si>
  <si>
    <t>Wooden ball</t>
  </si>
  <si>
    <t>The ball in Christmas sports is typically made of wood.</t>
  </si>
  <si>
    <t>How many players participate in a traditional Christmas sports game?</t>
  </si>
  <si>
    <t>A. 5 on each side B. 7 on one side C. 10 on one side D. There is no set number.</t>
  </si>
  <si>
    <t>There is no set number.</t>
  </si>
  <si>
    <t>Traditional Christmas sports do not have a fixed number of players.</t>
  </si>
  <si>
    <t>Which historical figure is associated with the promotion of Christmas sports?</t>
  </si>
  <si>
    <t>A. King Izanna B. Haile Selassie C. Menelik II D. Zera Jacob</t>
  </si>
  <si>
    <t>Haile Selassie</t>
  </si>
  <si>
    <t>It is believed that Emperor Haile Selassie promoted Ethiopian cultural traditions, including Genana.</t>
  </si>
  <si>
    <t>What is the main purpose of Christmas sports?</t>
  </si>
  <si>
    <t>A. Score a goal. B. Hit the opponent's stick. C. I kicked the ball into the target. D. Keep the ball in play.</t>
  </si>
  <si>
    <t>I kicked the ball into the target.</t>
  </si>
  <si>
    <t>The objective is to knock the wooden ball into the prepared target using sticks.</t>
  </si>
  <si>
    <t>What modern sport does Christmas sport compete with?</t>
  </si>
  <si>
    <t>A. Football B. Field hockey C. Cricket D. Lacrosse</t>
  </si>
  <si>
    <t>Field hockey</t>
  </si>
  <si>
    <t>Because of the stick and ball play, the sport is often compared to field hockey.</t>
  </si>
  <si>
    <t>What was the historical role of Christmas sports in Ethiopian villages?</t>
  </si>
  <si>
    <t>A. Entertainment B. Physical training C. Conflict resolution D. All of the above</t>
  </si>
  <si>
    <t>All of the above</t>
  </si>
  <si>
    <t>It has served many roles, including promoting sports entertainment and fostering community spirit.</t>
  </si>
  <si>
    <t>What is the key difference between Jena sports and modern hockey?</t>
  </si>
  <si>
    <t>A. The shape of the ball B. Using goals C. Lack of certain rules D. The size of the playing field</t>
  </si>
  <si>
    <t>Lack of certain rules</t>
  </si>
  <si>
    <t>Unlike hockey, the traditional Christmas sport does not have detailed rules and regulations.</t>
  </si>
  <si>
    <t>Which region of Ethiopia is associated with Christmas sports?</t>
  </si>
  <si>
    <t>A. Amhara B. Oromo C. Tigrai D. Southern Nations</t>
  </si>
  <si>
    <t>Amhara</t>
  </si>
  <si>
    <t>The sport is still played mostly in the Amhara region.</t>
  </si>
  <si>
    <t>What is the symbolic meaning of Christmas sports?</t>
  </si>
  <si>
    <t>A. Unity and celebration B. Fighter training C. Religious devotion D. Abundant production</t>
  </si>
  <si>
    <t>Unity and celebration</t>
  </si>
  <si>
    <t>The sport demonstrates community unity and celebration of Christmas.</t>
  </si>
  <si>
    <t>What modern adaptations have been made to Christmas sports?</t>
  </si>
  <si>
    <t>A. Using artificial balls B. Leveled teams C. Regular competitions D. All of the above</t>
  </si>
  <si>
    <t>Modern Christmas sports include adaptations such as artificial balls, rules, and formal competitions.</t>
  </si>
  <si>
    <t>How has sports become connected to Ethiopian identity?</t>
  </si>
  <si>
    <t>A. National pride B. International recognition C. Ancient customs D. Religious symbolism</t>
  </si>
  <si>
    <t>Ancient customs</t>
  </si>
  <si>
    <t>The game showcases Ethiopia's ancient traditions and cultural heritage.</t>
  </si>
  <si>
    <t>What is a typical feature of a Christmas playground?</t>
  </si>
  <si>
    <t>A. Hilly land B. Flat land C. Marked boundaries D. There is no specific area.</t>
  </si>
  <si>
    <t>There is no specific area.</t>
  </si>
  <si>
    <t>Traditional Christmas sports are played on an endless field.</t>
  </si>
  <si>
    <t>Which Ethiopian tribe is the best at preserving the tradition of Christmas sports?</t>
  </si>
  <si>
    <t>A. Amhara B. Gurage C. Oromo D. Somali</t>
  </si>
  <si>
    <t>The Amhara tribe is known for preserving the cultural and historical significance of Christmas sports.</t>
  </si>
  <si>
    <t>What is the historical significance of Christmas sports during the Ethiopian Christmas season?</t>
  </si>
  <si>
    <t>A. It strengthens community ties. B. It honors ancient warriors. C. It marks the beginning of a new year. D. Celebrates the harvest season.</t>
  </si>
  <si>
    <t>It strengthens community ties.</t>
  </si>
  <si>
    <t>Christmas sports are traditionally played in Ethiopia during Christmas to create unity and joy.</t>
  </si>
  <si>
    <t>How were disputes resolved traditionally during Christmas sports?</t>
  </si>
  <si>
    <t>A. Through village elders B. By the judges C. By replaying the match D. By main player</t>
  </si>
  <si>
    <t>Through village elders</t>
  </si>
  <si>
    <t>Community elders mediated traditional Christmas sports matches.</t>
  </si>
  <si>
    <t>What was the primary training benefit of playing sports back then?</t>
  </si>
  <si>
    <t>A. Strength building B. Team coordination C. Combat skills D. Endurance improvement</t>
  </si>
  <si>
    <t>Combat skills</t>
  </si>
  <si>
    <t>Yet sports were historically considered a means of training warriors for precision and agility.</t>
  </si>
  <si>
    <t>Which ancient Ethiopian tradition is associated with Christmas sports?</t>
  </si>
  <si>
    <t>A. Stick fighting ceremonies B. Archery competitions C. Horse racing D. Stone lifting</t>
  </si>
  <si>
    <t>Stick fighting ceremonies</t>
  </si>
  <si>
    <t>The sport is similar to stick fighting in that it emphasizes strength and skill.</t>
  </si>
  <si>
    <t>What does the ball in Christmas sports typically represent?</t>
  </si>
  <si>
    <t>A. Sun B. Unity C. Fighting spirit D. Celebration</t>
  </si>
  <si>
    <t>Unity</t>
  </si>
  <si>
    <t>The ball symbolizes unity as players work together during the game.</t>
  </si>
  <si>
    <t>What is the historical reason for still playing sports outdoors?</t>
  </si>
  <si>
    <t>A. To include the audience B. To respect nature C. For physical freedom D. There is no specific reason.</t>
  </si>
  <si>
    <t>To respect nature</t>
  </si>
  <si>
    <t>Playing outside was a way to connect with nature and celebrate the holiday season.</t>
  </si>
  <si>
    <t>Which historical heritage still represents sports in Ethiopia?</t>
  </si>
  <si>
    <t>A. Ancient texts B. Rock carvings C. Traditional paintings D. Folklore books.</t>
  </si>
  <si>
    <t>Traditional paintings</t>
  </si>
  <si>
    <t>Traditional Ethiopian paintings often depict Christmas sports during the holiday season.</t>
  </si>
  <si>
    <t>How did missionaries influence the spread of Christmas sports?</t>
  </si>
  <si>
    <t>A. Introduced internationally B. He has facilitated training for young people. C. He combined it with religious teachings. D. He gave up on the practice.</t>
  </si>
  <si>
    <t>He combined it with religious teachings.</t>
  </si>
  <si>
    <t>Missionaries have adopted the game as a traditional part of Ethiopian Christian festivals.</t>
  </si>
  <si>
    <t>Which Ethiopian king has ever played sports?</t>
  </si>
  <si>
    <t>A. King Menelik B. Emperor Tewodros II C. Haile Selassie D. Zera Jacob</t>
  </si>
  <si>
    <t>King Menelik</t>
  </si>
  <si>
    <t>According to legend, King Menelik played sports during his reign.</t>
  </si>
  <si>
    <t>What is the significance of the stick used in Christmas sports?</t>
  </si>
  <si>
    <t>A. Power symbol B. Unity C. A tool for accuracy D. Celebration</t>
  </si>
  <si>
    <t>A tool for accuracy</t>
  </si>
  <si>
    <t>The stick is designed for precision to hit the ball accurately.</t>
  </si>
  <si>
    <t>What role has Christmas sport played in community gatherings?</t>
  </si>
  <si>
    <t>A. Encouraging competition B. He encouraged reconciliation. C. Demonstrated strength D. Entertainment provided</t>
  </si>
  <si>
    <t>He encouraged reconciliation.</t>
  </si>
  <si>
    <t>Yet sport often brings communities together, resolving conflicts and promoting harmony.</t>
  </si>
  <si>
    <t>Which Ethiopian religious leader has ever supported sports?</t>
  </si>
  <si>
    <t>A. Holy plant religion B. Saint Lalibela C. Abune Paulos D. Emperor Haile Selassie</t>
  </si>
  <si>
    <t>Holy plant religion</t>
  </si>
  <si>
    <t>It is reported that the Holy Trinity religion encourages playing Christmas during the holidays.</t>
  </si>
  <si>
    <t>What natural material is most often used to make Christmas balls?</t>
  </si>
  <si>
    <t>A. Clay B. Wood C. Animal shelter D. Stone</t>
  </si>
  <si>
    <t>The ball used in the harp is traditionally carved from wood.</t>
  </si>
  <si>
    <t>What inspired the design of the Christmas sports stick?</t>
  </si>
  <si>
    <t>A. Hunting equipment B. Religious symbols C. Warriors' weapons D. Cultural styles</t>
  </si>
  <si>
    <t>Warriors' weapons</t>
  </si>
  <si>
    <t>The design of the stick was inspired by ancient tools and equipment.</t>
  </si>
  <si>
    <t>Why is Christmas sports considered a Christmas tradition?</t>
  </si>
  <si>
    <t>A. Matches the game of Bible shepherds B. It symbolizes the joy of birth. C. It indicates a current change. D. It is associated with ancient festivals.</t>
  </si>
  <si>
    <t>Matches the game of Bible shepherds</t>
  </si>
  <si>
    <t>It is said that Christmas sports echo the shepherds' games at the time of Christ's birth.</t>
  </si>
  <si>
    <t>What is the historical significance of the size of the field in Christmas sports?</t>
  </si>
  <si>
    <t>A. It represents village unity. B. There is no special significance. C. Represents the world D. It shows freedom.</t>
  </si>
  <si>
    <t>It represents village unity.</t>
  </si>
  <si>
    <t>The size of the field often represents the unity of the village to play on.</t>
  </si>
  <si>
    <t>What impact did Christmas sports have on modern Ethiopian sports?</t>
  </si>
  <si>
    <t>A. Developed teamwork B. Inspiring hockey C. Improved athletic culture D. All of the above</t>
  </si>
  <si>
    <t>Sports have inspired teamwork, field hockey techniques, and athletic culture in Ethiopia.</t>
  </si>
  <si>
    <t>Why have women historically been excluded from playing sports?</t>
  </si>
  <si>
    <t>A. Traditional rules B. Physical needs C. Loss of interest D. Religious laws</t>
  </si>
  <si>
    <t>Traditional rules</t>
  </si>
  <si>
    <t>Traditional norms restricted women from participating in Christmas sports.</t>
  </si>
  <si>
    <t>Which modern Ethiopian festival still includes sports as a main event?</t>
  </si>
  <si>
    <t>A. Epiphany B. Finding of the True Cross C. Christmas Festival D. Easter</t>
  </si>
  <si>
    <t>The Christmas festival highlights the game as a traditional and cultural event.</t>
  </si>
  <si>
    <t>How were Christmas sports winners traditionally awarded?</t>
  </si>
  <si>
    <t>A. Money B. Food and drinks C. Honor and recognition D. Jewelry</t>
  </si>
  <si>
    <t>Honor and recognition</t>
  </si>
  <si>
    <t>Winners are traditionally honored and rewarded as strong and skilled players.</t>
  </si>
  <si>
    <t>What role have children historically played in Christmas sports?</t>
  </si>
  <si>
    <t>A. Viewers B. Players C. Be brave. D. Assistants</t>
  </si>
  <si>
    <t>Players</t>
  </si>
  <si>
    <t>Children often participate in games, learning traditions and skills.</t>
  </si>
  <si>
    <t>What is the role of sports in preserving Ethiopian culture?</t>
  </si>
  <si>
    <t>A. Historical connection B. Spiritual significance C. Social unity D. All of the above</t>
  </si>
  <si>
    <t>The game preserves Ethiopian culture through historical, social, and spiritual ties.</t>
  </si>
  <si>
    <t>How has weather historically affected Jena sports matches?</t>
  </si>
  <si>
    <t>A. Played regardless of the weather B. Played only in the sun C. Postponed due to rain D. Played only in the winter</t>
  </si>
  <si>
    <t>Played regardless of the weather</t>
  </si>
  <si>
    <t>Christmas matches were held regardless of the weather conditions, emphasizing community spirit.</t>
  </si>
  <si>
    <t>What is the symbolic meaning of scoring in Christmas sports?</t>
  </si>
  <si>
    <t>A. Victory over evil B. Success in life C. Joy and celebration D. Unity and teamwork</t>
  </si>
  <si>
    <t>Victory over evil</t>
  </si>
  <si>
    <t>Scoring is often seen as a sign of success in exams.</t>
  </si>
  <si>
    <t>Which historical region of Ethiopia is considered the birthplace of Christmas sports?</t>
  </si>
  <si>
    <t>A. Shewa B. Tigrai C. Gondar D. Axum</t>
  </si>
  <si>
    <t>Gondar</t>
  </si>
  <si>
    <t>It is believed that the origin of Christmas sports is in Gondar.</t>
  </si>
  <si>
    <t>What role did Christmas sports play in celebrating the harvest in ancient times?</t>
  </si>
  <si>
    <t>A. Prayers for a good harvest B. Thank God. C. Marking community happiness D. None of the above</t>
  </si>
  <si>
    <t>Marking community happiness</t>
  </si>
  <si>
    <t>Christmas sports were often played during the autumn holidays as a symbol of communal celebration.</t>
  </si>
  <si>
    <t>Which Ethiopian emperor introduced sports as a cultural tradition?</t>
  </si>
  <si>
    <t>A. Haile Selassie B. John IV C. Menelik II D. Zera Jacob</t>
  </si>
  <si>
    <t>Emperor Haile Selassie encouraged sports to be played during the holidays and ensured that the tradition was preserved.</t>
  </si>
  <si>
    <t>What historical purpose did the sticks in the Christmas sport serve before the game?</t>
  </si>
  <si>
    <t>A. Farm B. Self-defense C. Religious ceremonies D. Hunting</t>
  </si>
  <si>
    <t>Self-defense</t>
  </si>
  <si>
    <t>The sticks used in the sport of Christmas have historically been used for self-defense in Ethiopian villages.</t>
  </si>
  <si>
    <t>Which holiday in Ethiopia is most closely associated with Christmas sports?</t>
  </si>
  <si>
    <t>A. Christmas (Christmas) B. Baptism (Epiphany) C. Cross (Cross Search) D. New Year's Eve</t>
  </si>
  <si>
    <t>Christmas (Christmas)</t>
  </si>
  <si>
    <t>Christmas sports are mainly played during Christmas celebrations in Ethiopia.</t>
  </si>
  <si>
    <t>Why has sports been historically considered a test of leadership?</t>
  </si>
  <si>
    <t>A. The leaders were team captains. B. The leaders were skilled players. C. It built teamwork skills. D. Demonstrated decision-making.</t>
  </si>
  <si>
    <t>It built teamwork skills.</t>
  </si>
  <si>
    <t>The game introduced leadership qualities through team and strategic play.</t>
  </si>
  <si>
    <t>How did the introduction of Christianity affect Christmas sports?</t>
  </si>
  <si>
    <t>A. Included in the Christmas B. Changed rules C. Limited participation D. Popularity has increased.</t>
  </si>
  <si>
    <t>Included in the Christmas</t>
  </si>
  <si>
    <t>Christianity has also incorporated sports as part of Ethiopian Christmas traditions.</t>
  </si>
  <si>
    <t>What role have elders historically played in Christmas sports matches?</t>
  </si>
  <si>
    <t>A. Viewers B. Judges C. Team leaders D. Be brave.</t>
  </si>
  <si>
    <t>Judges</t>
  </si>
  <si>
    <t>Elders served as referees, ensuring fair play and resolving disputes during matches.</t>
  </si>
  <si>
    <t>What significance does the number of players have in history in Christmas sports?</t>
  </si>
  <si>
    <t>A. It represents unity. B. Represents tribes C. There is no special significance. D. Shows teamwork.</t>
  </si>
  <si>
    <t>Shows teamwork.</t>
  </si>
  <si>
    <t>The number of players emphasizes teamwork and coordination within the community.</t>
  </si>
  <si>
    <t>What does the traditional Christmas sports scoring system represent?</t>
  </si>
  <si>
    <t>A. Victory over opponents B. Success in the community C. Blessings D. Fair competition</t>
  </si>
  <si>
    <t>Fair competition</t>
  </si>
  <si>
    <t>The scoring system demonstrates fair competition and sportsmanship.</t>
  </si>
  <si>
    <t>Which Ethiopian festival has featured sports alongside other activities?</t>
  </si>
  <si>
    <t>A. Epiphany B. Easter C. New Year D. Finding of the True Cross</t>
  </si>
  <si>
    <t>Epiphany</t>
  </si>
  <si>
    <t>The celebration of the Epiphany sometimes includes Christmas sports as part of the festivities.</t>
  </si>
  <si>
    <t>How have Christmas sports teams been selected throughout history?</t>
  </si>
  <si>
    <t>A. Village elders B. Random selection C. Based on age groups D. By drawing a lot</t>
  </si>
  <si>
    <t>Village elders</t>
  </si>
  <si>
    <t>Village elders were responsible for establishing groups to ensure fairness and representation.</t>
  </si>
  <si>
    <t>What kind of material was typically used to make a Christmas sports stick?</t>
  </si>
  <si>
    <t>A. Bamboo B. Hardwood C. Iron D. Reeds</t>
  </si>
  <si>
    <t>Hardwood</t>
  </si>
  <si>
    <t>The sticks are made of hard wood to withstand impact during play.</t>
  </si>
  <si>
    <t>Which historical figure popularized sports in rural areas?</t>
  </si>
  <si>
    <t>A. Local priests B. Neighborhood elders C. Military leaders D. Respected families</t>
  </si>
  <si>
    <t>Neighborhood elders</t>
  </si>
  <si>
    <t>Village elders have played a significant role in promoting sports in rural Ethiopia.</t>
  </si>
  <si>
    <t>Which Ethiopian example is associated with Christmas sports?</t>
  </si>
  <si>
    <t>A. Unity is strength. B. Play as one C. Strength in the stick D. Victory is unity.</t>
  </si>
  <si>
    <t>Strength in the stick</t>
  </si>
  <si>
    <t>The example highlights the importance of skill and precision in playing a sport.</t>
  </si>
  <si>
    <t>How did sports contribute to peacebuilding in ancient Ethiopia?</t>
  </si>
  <si>
    <t>A. Resolved disputes B. Strong alliance C. Community connection created D. All of the above</t>
  </si>
  <si>
    <t>Yet sport has played a role in resolving conflicts, strengthening alliances, and uniting communities.</t>
  </si>
  <si>
    <t>What is the traditional word for ball in Christmas sports?</t>
  </si>
  <si>
    <t>A. Christmas B. Quell C. Argib D. Lemat</t>
  </si>
  <si>
    <t>Argib</t>
  </si>
  <si>
    <t>The ball used in Christmas sports is traditionally called 'Ergib' in Ethiopian culture.</t>
  </si>
  <si>
    <t>How did ancient Ethiopians train for Christmas sports?</t>
  </si>
  <si>
    <t>A. Practice matches B. Strength training C. Fighter training D. All of the above</t>
  </si>
  <si>
    <t>Training for Christmas sports includes practice matches, strength training, and warrior preparation.</t>
  </si>
  <si>
    <t>Which Ethiopian poet wrote about Christmas sports?</t>
  </si>
  <si>
    <t>A. Gebrechristos Desta B. Tsegaye Gabre-Medhin C. Hadis Alemayehu D. None of the above</t>
  </si>
  <si>
    <t>Tsegaye Gabre-Medhin</t>
  </si>
  <si>
    <t>Tsegaye Gebremedhin has included sports in his writings as a reflection of Ethiopian culture.</t>
  </si>
  <si>
    <t>How did spectators participate in historic Christmas sports matches?</t>
  </si>
  <si>
    <t>A. Happy players B. They served as judges. C. He sang traditional songs. D. All of the above</t>
  </si>
  <si>
    <t>The audience cheered, cheered, and sang traditional songs to support the event.</t>
  </si>
  <si>
    <t>What is the symbolic meaning of teamwork in Christmas sports?</t>
  </si>
  <si>
    <t>A. Strength in unity B. Victory through skill C. Power in leadership D. Community collaboration</t>
  </si>
  <si>
    <t>Strength in unity</t>
  </si>
  <si>
    <t>Teamwork in Christmas sports reflects Ethiopia's traditional value of unity.</t>
  </si>
  <si>
    <t>What role has sports played in the education of young people throughout history?</t>
  </si>
  <si>
    <t>A. He taught teamwork. B. Improved physical abilities C. Cultural pride has been built. D. All of the above</t>
  </si>
  <si>
    <t>Sports were still an educational tool for teaching teamwork, skills, and cultural values.</t>
  </si>
  <si>
    <t>Why is sports considered a sacred tradition in Ethiopia?</t>
  </si>
  <si>
    <t>A. Related to religion B. It encourages agreement. C. Historical roots D. All of the above</t>
  </si>
  <si>
    <t>Yet sport has sacred value through its connection to religion, peace, and history.</t>
  </si>
  <si>
    <t>What is the historical purpose of celebrating Christmas sports during Christmas in Ethiopia?</t>
  </si>
  <si>
    <t>A. Expression of joy B. Strengthen your faith. C. Respect ancient culture D. All of the above</t>
  </si>
  <si>
    <t>Celebrating Christmas sports during the Christmas season combines joy, faith, and cultural heritage.</t>
  </si>
  <si>
    <t>What does sports still represent in Ethiopian history?</t>
  </si>
  <si>
    <t>A. Unity and joy B. Faith and tradition C. Strength and ability D. All of the above</t>
  </si>
  <si>
    <t>Yet, sports symbolize the unity, faith, tradition, and spirit of Ethiopian history.</t>
  </si>
  <si>
    <t>Which ancient Ethiopian tribe is associated with the origin of Christmas sports?</t>
  </si>
  <si>
    <t>A. Oromo B. Amhara C. Tigrai D. Shy</t>
  </si>
  <si>
    <t>The Amhara tribe is traditionally associated with the origins of Christmas sports.</t>
  </si>
  <si>
    <t>What historical significance does sports have in Ethiopian military culture?</t>
  </si>
  <si>
    <t>A. Preparation for war B. Team building exercises C. Fighter training D. All of the above</t>
  </si>
  <si>
    <t>Yet sports have historically served as preparation for war and team building among warriors.</t>
  </si>
  <si>
    <t>When did Christmas sports become associated with Ethiopian Christmas celebrations?</t>
  </si>
  <si>
    <t>A. 15th century B. 16th century C. 17th century D. 18th century</t>
  </si>
  <si>
    <t>Christmas sports became part of the cultural celebrations associated with the Ethiopian Christmas in the 15th century.</t>
  </si>
  <si>
    <t>What was the main material used to make balls in the early days of Jena Sports?</t>
  </si>
  <si>
    <t>A. Animal shelter B. Wood C. Stone D. Cloth</t>
  </si>
  <si>
    <t>Animal shelter</t>
  </si>
  <si>
    <t>Early Christmas sports balls were made from animal skin for strength.</t>
  </si>
  <si>
    <t>What does the meaning of Christmas mean in Amharic?</t>
  </si>
  <si>
    <t>A. Celebration B. Christmas C. Happiness D. Unity</t>
  </si>
  <si>
    <t>In Amharic, ‘Gena’ translates directly to ‘Jena’, indicating its connection to the holiday.</t>
  </si>
  <si>
    <t>Which Ethiopian saint has blessed sports as a cultural tradition?</t>
  </si>
  <si>
    <t>A. Saint George B. Holy plant religion C. Saint Yared D. Saint Lalibela</t>
  </si>
  <si>
    <t>It is believed that Saint Tekle Haymanot blessed sports as an Ethiopian culture.</t>
  </si>
  <si>
    <t>What impact has sports had on Ethiopian history?</t>
  </si>
  <si>
    <t>A. Motivational examples B. It became a fairy tale theme. C. Symbolic unity in fairy tales D. All of the above</t>
  </si>
  <si>
    <t>Yet sports have influenced Ethiopian folklore through parables, stories, and symbolic themes.</t>
  </si>
  <si>
    <t>What role have women historically played in Christmas sports celebrations?</t>
  </si>
  <si>
    <t>A. Viewers B. Organizers C. Be brave. D. All of the above</t>
  </si>
  <si>
    <t>Women have historically contributed to Christmas sporting events as spectators, organizers, and cheerleaders.</t>
  </si>
  <si>
    <t>What was the common prize for winning the Christmas sports games in ancient Ethiopia?</t>
  </si>
  <si>
    <t>A. Honor B. Cattle C. Ceremonial gifts D. Food</t>
  </si>
  <si>
    <t>Ceremonial gifts</t>
  </si>
  <si>
    <t>Ceremonial gifts such as handmade items were common prizes for winning matches.</t>
  </si>
  <si>
    <t>Which Ethiopian religious holiday, other than Christmas, occasionally includes Christmas and sports?</t>
  </si>
  <si>
    <t>A. Epiphany B. Easter C. Finding of the True Cross D. Good Friday</t>
  </si>
  <si>
    <t>Epiphany or Baptism sometimes features Christmas sports as part of the celebration.</t>
  </si>
  <si>
    <t>How has sports helped preserve Ethiopia's rural culture?</t>
  </si>
  <si>
    <t>A. Protected cultural practices B. It encouraged unity. C. Strengthened community ties D. All of the above</t>
  </si>
  <si>
    <t>Christmas sports have preserved rural traditions by fostering unity and preserving cultural practices.</t>
  </si>
  <si>
    <t>Which historical documents first mentioned sports?</t>
  </si>
  <si>
    <t>A. Ancient Ethiopian Chronicles B. Religious texts C. Oral stories D. None of the above</t>
  </si>
  <si>
    <t>Ancient Ethiopian Chronicles</t>
  </si>
  <si>
    <t>The first mention of sports in Ethiopia is in ancient Ethiopian chronicles, which record cultural practices.</t>
  </si>
  <si>
    <t>What is the traditional belief about playing sports during Christmas?</t>
  </si>
  <si>
    <t>A. It brings blessings. B. Ensures a good product C. Strengthens family ties. D. All of the above</t>
  </si>
  <si>
    <t>It brings blessings.</t>
  </si>
  <si>
    <t>It is believed that playing sports during Christmas brings blessings to the community.</t>
  </si>
  <si>
    <t>What was the main purpose of Christmas sports in ancient Ethiopian villages?</t>
  </si>
  <si>
    <t>A. Entertainment B. Conflict resolution C. Celebration of unity D. All of the above</t>
  </si>
  <si>
    <t>Sports have long served as entertainment, a means of resolving conflicts, and a celebration of unity.</t>
  </si>
  <si>
    <t>Which Ethiopian king was a fan of Christmas sports?</t>
  </si>
  <si>
    <t>A. King Lalibela B. King Menelik C. King Izanna D. King Caleb</t>
  </si>
  <si>
    <t>King Lalibela</t>
  </si>
  <si>
    <t>It is believed that King Lalibela supported Christmas and sports as an Ethiopian tradition.</t>
  </si>
  <si>
    <t>What was the symbolic significance of the story in Christmas sports?</t>
  </si>
  <si>
    <t>A. Victory of good over evil B. Unity in society C. Strength and ability D. All of the above</t>
  </si>
  <si>
    <t>Victory of good over evil</t>
  </si>
  <si>
    <t>Scoring a goal in Christmas sports symbolizes the triumph of good over evil in Ethiopian traditions.</t>
  </si>
  <si>
    <t>How did Christian missionaries influence the development of Christmas sports?</t>
  </si>
  <si>
    <t>A. Introduced during the holidays B. Changed the rules. C. He limited the game. D. None of the above</t>
  </si>
  <si>
    <t>Introduced during the holidays</t>
  </si>
  <si>
    <t>Christian missionaries encouraged sports during religious holidays such as Christmas.</t>
  </si>
  <si>
    <t>What is the unique feature of Christmas sports compared to similar games around the world?</t>
  </si>
  <si>
    <t>A. Its religious significance B. Using traditional wood C. Cultural symbolism D. All of the above</t>
  </si>
  <si>
    <t>Yet sport stands out for its religious significance, traditional trappings, and cultural symbolism.</t>
  </si>
  <si>
    <t>Which historical figure is credited with establishing the rules of the Christmas sport?</t>
  </si>
  <si>
    <t>A. There is no standard image. B. Neighborhood elders C. Ethiopian kings D. Religious leaders</t>
  </si>
  <si>
    <t>Village elders traditionally establish and maintain Christmas sports.</t>
  </si>
  <si>
    <t>What has sports contributed to Ethiopia's national identity?</t>
  </si>
  <si>
    <t>A. A close culture B. Integrated communities C. Marked artifacts D. All of the above</t>
  </si>
  <si>
    <t>Yet sports have contributed to Ethiopian identity by preserving culture, uniting communities, and showcasing heritage.</t>
  </si>
  <si>
    <t>What was the role of traditional songs during Christmas sports?</t>
  </si>
  <si>
    <t>A. Motivated players B. He celebrated the game. C. Encouraging viewers D. All of the above</t>
  </si>
  <si>
    <t>Traditional songs inspired players, celebrated the game, and engaged the audience.</t>
  </si>
  <si>
    <t>What was the significance of the terrain used for Christmas sports historically?</t>
  </si>
  <si>
    <t>A. Represents the power of nature B. Players' skills tested C. Symbolic community unity D. All of the above</t>
  </si>
  <si>
    <t>Players' skills tested</t>
  </si>
  <si>
    <t>The Christmas sports setting has historically tested the adaptability and skill of players.</t>
  </si>
  <si>
    <t>What role did Christmas sports play during the Ethiopian war?</t>
  </si>
  <si>
    <t>A. Improved military capability B. Morale is high. C. Skilled teamwork D. All of the above</t>
  </si>
  <si>
    <t>Even during the war, sports improved agility, boosted morale, and trained teamwork.</t>
  </si>
  <si>
    <t>What does a typical Ethiopian say about Christmas sports?</t>
  </si>
  <si>
    <t>A. Strength lies in ability. B. The united axis will stand. C. Playing is a blessing. D. Happiness comes together.</t>
  </si>
  <si>
    <t>The united axis will stand.</t>
  </si>
  <si>
    <t>This saying shows the importance of teamwork in Christmas sports.</t>
  </si>
  <si>
    <t>What was the original purpose of the twisted sticks used in Christmas sports?</t>
  </si>
  <si>
    <t>A. To control the ball B. To beat opponents C. To dig the ground D. To mark the playing field</t>
  </si>
  <si>
    <t>To control the ball</t>
  </si>
  <si>
    <t>The curved sticks were originally designed to control the movement of the ball in the Christmas sport.</t>
  </si>
  <si>
    <t>Which Ethiopian emperor promoted sports during his reign?</t>
  </si>
  <si>
    <t>A. Emperor Menelik II B. Emperor Haile Selassie C. Emperor Tewodros II D. Emperor Zera Yacob</t>
  </si>
  <si>
    <t>Emperor Zera Yacob</t>
  </si>
  <si>
    <t>Emperor Zera Yacob is still known for promoting traditional traditions, including sports.</t>
  </si>
  <si>
    <t>What is the historical nickname for sports in Ethiopia?</t>
  </si>
  <si>
    <t>A. Game of Kings B. Christmas game C. The warrior's game D. Unity game</t>
  </si>
  <si>
    <t>Christmas game</t>
  </si>
  <si>
    <t>Christmas sports have historically been nicknamed the 'Christmas Game' due to their association with Ethiopian Christmas.</t>
  </si>
  <si>
    <t>Which ancient Ethiopian region is considered the birthplace of Christmas sports?</t>
  </si>
  <si>
    <t>A. Gondar B. Axum C. Lalibela D. Shewa</t>
  </si>
  <si>
    <t>Axum</t>
  </si>
  <si>
    <t>Axum is often cited as the birthplace of Christmas sports due to its historical significance.</t>
  </si>
  <si>
    <t>What was the traditional way to resolve disputes at Christmas sports matches?</t>
  </si>
  <si>
    <t>A. Elder mediation B. Replay the match. C. Prizes for both teams D. Cancel the match.</t>
  </si>
  <si>
    <t>Elder mediation</t>
  </si>
  <si>
    <t>Neighborhood elders mediated in a traditional way during a Christmas sports match.</t>
  </si>
  <si>
    <t>How did Genna Sport influence the creation of modern Ethiopian games?</t>
  </si>
  <si>
    <t>A. Adapted its rules B. Inspired new sports C. Preserved cultural elements D. All of the above</t>
  </si>
  <si>
    <t>Genna Sport inspired modern Ethiopian games by adapting its rules and preserving cultural elements.</t>
  </si>
  <si>
    <t>What unique skill was historically admired in Genna Sport players?</t>
  </si>
  <si>
    <t>A. Ball control B. Speed C. Precision shots D. All of the above</t>
  </si>
  <si>
    <t>Precision shots</t>
  </si>
  <si>
    <t>Precision shots were highly admired as a key skill in Genna Sport.</t>
  </si>
  <si>
    <t>What type of terrain was traditionally chosen for Genna Sport matches?</t>
  </si>
  <si>
    <t>A. Flat fields B. Hillsides C. Sandy areas D. Forest clearings</t>
  </si>
  <si>
    <t>Flat fields</t>
  </si>
  <si>
    <t>Flat fields were chosen to ensure fair play and proper movement during matches.</t>
  </si>
  <si>
    <t>What symbolic role did Genna Sport play in Ethiopian festivals?</t>
  </si>
  <si>
    <t>A. Celebrated unity B. Symbolized victory C. Fostered joy D. All of the above</t>
  </si>
  <si>
    <t>Genna Sport symbolized unity, victory, and joy in Ethiopian festivals.</t>
  </si>
  <si>
    <t>What was a common pre-game ritual in Genna Sport?</t>
  </si>
  <si>
    <t>A. Blessing by elders B. Offering food C. Lighting a fire D. Dancing</t>
  </si>
  <si>
    <t>Blessing by elders</t>
  </si>
  <si>
    <t>Elders often gave blessings before Genna Sport matches to ensure fairness and safety.</t>
  </si>
  <si>
    <t>Which Ethiopian artifact depicts scenes resembling Genna Sport?</t>
  </si>
  <si>
    <t>A. Ancient murals B. Rock carvings C. Religious manuscripts D. All of the above</t>
  </si>
  <si>
    <t>Rock carvings</t>
  </si>
  <si>
    <t>Rock carvings in Ethiopian heritage sites depict scenes that resemble Genna Sport.</t>
  </si>
  <si>
    <t>What was a key factor in choosing Genna Sport team leaders?</t>
  </si>
  <si>
    <t>A. Age B. Strength C. Experience D. Wisdom</t>
  </si>
  <si>
    <t>Experience</t>
  </si>
  <si>
    <t>Experience in playing and leadership were key factors for selecting team leaders in Genna Sport.</t>
  </si>
  <si>
    <t>What historical event increased the popularity of Genna Sport?</t>
  </si>
  <si>
    <t>A. Introduction of Christmas celebrations B. Royal endorsement C. Ethiopian unification D. All of the above</t>
  </si>
  <si>
    <t>Royal endorsement</t>
  </si>
  <si>
    <t>Royal endorsements significantly increased the popularity of Genna Sport in Ethiopian culture.</t>
  </si>
  <si>
    <t>How did Genna Sport contribute to social harmony in ancient Ethiopia?</t>
  </si>
  <si>
    <t>A. Resolved conflicts B. Encouraged teamwork C. Promoted inclusivity D. All of the above</t>
  </si>
  <si>
    <t>Genna Sport resolved conflicts, encouraged teamwork, and promoted inclusivity in communities.</t>
  </si>
  <si>
    <t>What type of clothing was traditionally worn during Genna Sport matches?</t>
  </si>
  <si>
    <t>A. Cultural robes B. Sports uniforms C. Everyday attire D. Ceremonial garments</t>
  </si>
  <si>
    <t>Everyday attire</t>
  </si>
  <si>
    <t>Players traditionally wore everyday attire during Genna Sport matches.</t>
  </si>
  <si>
    <t>What historical document provides insights into the cultural role of Genna Sport?</t>
  </si>
  <si>
    <t>A. Kebra Nagast B. Fetha Nagast C. Royal Chronicles D. Local oral traditions</t>
  </si>
  <si>
    <t>Kebra Nagast</t>
  </si>
  <si>
    <t>The Kebra Nagast mentions cultural practices, including references to games like Genna Sport.</t>
  </si>
  <si>
    <t>What did Genna Sport symbolize for Ethiopian youth in ancient times?</t>
  </si>
  <si>
    <t>A. Bravery B. Skill C. Community pride D. All of the above</t>
  </si>
  <si>
    <t>For Ethiopian youth, Genna Sport symbolized bravery, skill, and community pride.</t>
  </si>
  <si>
    <t>How did Genna Sport rules differ between regions historically?</t>
  </si>
  <si>
    <t>A. Varied stick shapes B. Different scoring methods C. Unique rituals D. All of the above</t>
  </si>
  <si>
    <t>Regional variations in Genna Sport included differences in stick shapes, scoring, and rituals.</t>
  </si>
  <si>
    <t>What was the significance of team sizes in Genna Sport history?</t>
  </si>
  <si>
    <t>A. Varied by festival B. Balanced fairness C. Represented villages D. All of the above</t>
  </si>
  <si>
    <t>Team sizes were significant as they represented fairness, festivals, and village participation.</t>
  </si>
  <si>
    <t>Which Ethiopian festival often featured Genna Sport besides Christmas?</t>
  </si>
  <si>
    <t>A. Meskel B. Timket C. Enkutatash D. Pagumen</t>
  </si>
  <si>
    <t>Timket</t>
  </si>
  <si>
    <t>Timket, the Ethiopian Epiphany, often included Genna Sport as part of the celebrations.</t>
  </si>
  <si>
    <t>What role did spectators play during Genna Sport historically?</t>
  </si>
  <si>
    <t>A. Cheering B. Encouraging fair play C. Organizing celebrations D. All of the above</t>
  </si>
  <si>
    <t>Spectators cheered, ensured fair play, and helped organize celebrations for Genna Sport.</t>
  </si>
  <si>
    <t>How was the winning team traditionally honored in Genna Sport?</t>
  </si>
  <si>
    <t>A. Given feasts B. Presented gifts C. Praised in songs D. All of the above</t>
  </si>
  <si>
    <t>Winning teams were honored with feasts, gifts, and praise in traditional songs.</t>
  </si>
  <si>
    <t>What was a common strategy in Genna Sport historically?</t>
  </si>
  <si>
    <t>A. Defensive play B. Precise aim C. Team coordination D. All of the above</t>
  </si>
  <si>
    <t>Strategies in Genna Sport included defensive play, precise aim, and team coordination.</t>
  </si>
  <si>
    <t>How did Genna Sport spread to urban areas in Ethiopian history?</t>
  </si>
  <si>
    <t>A. Through migration B. Royal support C. Festivals D. All of the above</t>
  </si>
  <si>
    <t>Genna Sport spread to urban areas through migration, royal endorsement, and festivals.</t>
  </si>
  <si>
    <t>What was a symbolic act performed after a Genna Sport match historically?</t>
  </si>
  <si>
    <t>A. Sharing food B. Dancing together C. Exchanging blessings D. All of the above</t>
  </si>
  <si>
    <t>Symbolic acts like sharing food, dancing, and exchanging blessings were performed after matches.</t>
  </si>
  <si>
    <t>What ancient Ethiopian proverb reflects the spirit of Genna Sport?</t>
  </si>
  <si>
    <t>A. Unity is strength B. Victory is shared C. Joy comes from effort D. Play with honor</t>
  </si>
  <si>
    <t>Unity is strength</t>
  </si>
  <si>
    <t>The proverb 'Unity is strength' captures the team spirit of Genna Sport.</t>
  </si>
  <si>
    <t>What material was traditionally used to make the ball in Genna Sport?</t>
  </si>
  <si>
    <t>A. Wood B. Leather C. Stone D. Clay</t>
  </si>
  <si>
    <t>The ball in Genna Sport was traditionally carved out of wood for durability and performance.</t>
  </si>
  <si>
    <t>Which historical Ethiopian king is believed to have participated in Genna Sport?</t>
  </si>
  <si>
    <t>A. King Ezana B. King Lalibela C. King Tewodros II D. King Yohannes IV</t>
  </si>
  <si>
    <t>King Lalibela, known for his devotion to Ethiopian traditions, is believed to have participated in Genna Sport.</t>
  </si>
  <si>
    <t>What was the role of Genna Sport during Ethiopian military training in ancient times?</t>
  </si>
  <si>
    <t>A. Improved coordination B. Built physical strength C. Enhanced teamwork D. All of the above</t>
  </si>
  <si>
    <t>Genna Sport was used in military training to improve coordination, strength, and teamwork.</t>
  </si>
  <si>
    <t>What traditional Ethiopian values does Genna Sport symbolize?</t>
  </si>
  <si>
    <t>A. Unity B. Honor C. Respect D. All of the above</t>
  </si>
  <si>
    <t>Genna Sport symbolizes unity, honor, and respect in Ethiopian culture.</t>
  </si>
  <si>
    <t>What was a common reward for winning a Genna Sport match historically?</t>
  </si>
  <si>
    <t>A. Food and drinks B. Public recognition C. Special blessings D. All of the above</t>
  </si>
  <si>
    <t>Winning teams often received food, public recognition, and blessings from elders.</t>
  </si>
  <si>
    <t>What was the significance of scoring in Genna Sport historically?</t>
  </si>
  <si>
    <t>A. Showed individual skill B. Displayed teamwork C. Represented village pride D. All of the above</t>
  </si>
  <si>
    <t>Scoring in Genna Sport demonstrated individual skill, teamwork, and village pride.</t>
  </si>
  <si>
    <t>How were disputes about scoring resolved historically in Genna Sport?</t>
  </si>
  <si>
    <t>A. Elder's decision B. Replay of the match C. Agreement between captains D. Vote by spectators</t>
  </si>
  <si>
    <t>Elder's decision</t>
  </si>
  <si>
    <t>Disputes about scoring were resolved by the decisions of respected village elders.</t>
  </si>
  <si>
    <t>What was the traditional duration of a Genna Sport match?</t>
  </si>
  <si>
    <t>A. Until sunset B. A fixed number of goals C. A specific time limit D. Varied by agreement</t>
  </si>
  <si>
    <t>Until sunset</t>
  </si>
  <si>
    <t>Historically, matches often lasted until sunset or when a winner was determined.</t>
  </si>
  <si>
    <t>What does the word 'Genna' translate to in Ethiopian culture?</t>
  </si>
  <si>
    <t>A. Christmas B. Victory C. Unity D. Tradition</t>
  </si>
  <si>
    <t>The word 'Genna' translates to Christmas, reflecting the game's strong association with the holiday.</t>
  </si>
  <si>
    <t>What was the primary reason for playing Genna Sport during festivals?</t>
  </si>
  <si>
    <t>A. Entertainment B. Strengthening bonds C. Honoring traditions D. All of the above</t>
  </si>
  <si>
    <t>Genna Sport was played for entertainment, strengthening bonds, and honoring traditions during festivals.</t>
  </si>
  <si>
    <t>What was a common method to mark the boundaries of the Genna Sport field?</t>
  </si>
  <si>
    <t>A. Stones B. Sticks C. Ropes D. Drawing lines</t>
  </si>
  <si>
    <t>Stones</t>
  </si>
  <si>
    <t>Stones were commonly used to mark the boundaries of the Genna Sport playing field.</t>
  </si>
  <si>
    <t>How was the importance of Genna Sport reflected in Ethiopian oral traditions?</t>
  </si>
  <si>
    <t>A. Through songs B. Through folktales C. Through proverbs D. All of the above</t>
  </si>
  <si>
    <t>Songs, folktales, and proverbs in Ethiopian oral traditions reflect the importance of Genna Sport.</t>
  </si>
  <si>
    <t>Which Ethiopian tribe is credited with preserving Genna Sport traditions?</t>
  </si>
  <si>
    <t>A. Amhara B. Oromo C. Tigray D. All of the above</t>
  </si>
  <si>
    <t>The Amhara, Oromo, and Tigray tribes have all contributed to preserving Genna Sport traditions.</t>
  </si>
  <si>
    <t>What is the historical significance of Genna Sport for Ethiopian youth?</t>
  </si>
  <si>
    <t>A. Taught discipline B. Encouraged teamwork C. Built physical fitness D. All of the above</t>
  </si>
  <si>
    <t>Genna Sport historically taught discipline, encouraged teamwork, and built physical fitness among youth.</t>
  </si>
  <si>
    <t>Which Ethiopian festival often hosted Genna Sport tournaments?</t>
  </si>
  <si>
    <t>A. Enkutatash B. Genna C. Timket D. Meskel</t>
  </si>
  <si>
    <t>Genna</t>
  </si>
  <si>
    <t>The Genna festival, celebrating Ethiopian Christmas, often hosted Genna Sport tournaments.</t>
  </si>
  <si>
    <t>What was the significance of teamwork in historical Genna Sport matches?</t>
  </si>
  <si>
    <t>A. Ensured victory B. Strengthened community bonds C. Taught cooperation D. All of the above</t>
  </si>
  <si>
    <t>Teamwork in Genna Sport ensured victory, strengthened community bonds, and taught cooperation.</t>
  </si>
  <si>
    <t>What is one of the earliest recorded mentions of Genna Sport in Ethiopian history?</t>
  </si>
  <si>
    <t>A. Ancient murals B. Religious manuscripts C. Royal edicts D. Traveler accounts</t>
  </si>
  <si>
    <t>Religious manuscripts</t>
  </si>
  <si>
    <t>Religious manuscripts include early references to Genna Sport in Ethiopian history.</t>
  </si>
  <si>
    <t>What was the role of elders during Genna Sport matches in history?</t>
  </si>
  <si>
    <t>A. Officiating the game B. Ensuring fair play C. Mediating disputes D. All of the above</t>
  </si>
  <si>
    <t>Elders officiated games, ensured fair play, and mediated disputes in Genna Sport matches.</t>
  </si>
  <si>
    <t>How did Genna Sport evolve in urban Ethiopian areas during the 20th century?</t>
  </si>
  <si>
    <t>A. Adapted new rules B. Formalized teams C. Hosted organized tournaments D. All of the above</t>
  </si>
  <si>
    <t>In urban areas, Genna Sport adapted new rules, formalized teams, and organized tournaments.</t>
  </si>
  <si>
    <t>What historical Ethiopian artifact shows a possible connection to Genna Sport?</t>
  </si>
  <si>
    <t>A. Carved sticks B. Stone tablets C. Ancient murals D. Wooden sculptures</t>
  </si>
  <si>
    <t>Ancient murals</t>
  </si>
  <si>
    <t>Ancient murals in Ethiopia depict scenes resembling Genna Sport activities.</t>
  </si>
  <si>
    <t>Correct answer</t>
  </si>
  <si>
    <t>When did the horse's tail come about?</t>
  </si>
  <si>
    <t>A. 16th century B. 18th century C. 19th century D. 14th century</t>
  </si>
  <si>
    <t>The sport is believed to have originated in Ethiopia in the 14th century.</t>
  </si>
  <si>
    <t>In which country did the popular cultural sport of horse racing originate?</t>
  </si>
  <si>
    <t>A. Sudan B. Kenya C. Somalia D. Ethiopia</t>
  </si>
  <si>
    <t>Horse racing is a traditional Ethiopian sport.</t>
  </si>
  <si>
    <t>What was the main purpose of horse racing in its early years?</t>
  </si>
  <si>
    <t>A. Military training B. Religious ceremonies C. Autumn holidays D. Military training</t>
  </si>
  <si>
    <t>The sport was primarily used for military training.</t>
  </si>
  <si>
    <t>What type of equipment is commonly used by horse riders?</t>
  </si>
  <si>
    <t>A. Swords B. Arrows C. Shields D. Spice</t>
  </si>
  <si>
    <t>Participants traditionally use spears while riding horses.</t>
  </si>
  <si>
    <t>Which animal is necessary to play horse racing?</t>
  </si>
  <si>
    <t>A. Camel B. Oaks C. Elephant D. Horse</t>
  </si>
  <si>
    <t>Horseback riding is played while riding a horse.</t>
  </si>
  <si>
    <t>Which Ethiopian king is known for introducing horse racing?</t>
  </si>
  <si>
    <t>A. Emperor Haile Selassie B. Emperor Tewodros II C. Emperor Yohannes IV D. Emperor Menelik II</t>
  </si>
  <si>
    <t>Emperor Menelik II encouraged the practice of horse racing.</t>
  </si>
  <si>
    <t>In what context was horse racing performed culturally?</t>
  </si>
  <si>
    <t>A. Military parade B. Autumn holidays C. Funerals D. Military parade</t>
  </si>
  <si>
    <t>The sport was often held during military parades.</t>
  </si>
  <si>
    <t>What is the main purpose of horse racing?</t>
  </si>
  <si>
    <t>A. To race a horse B. To protect the place C. To escape the opponent D. To hit a target</t>
  </si>
  <si>
    <t>The objective is to hit a target using a spear while riding a horse.</t>
  </si>
  <si>
    <t>How has the horse race influenced Ethiopian culture?</t>
  </si>
  <si>
    <t>A. By shaping military strategies B. Influenced by dance forms C. Inspired by literature D. By shaping military strategies</t>
  </si>
  <si>
    <t>The sport has had a significant impact on Ethiopian military tactics.</t>
  </si>
  <si>
    <t>What role did the horse's hooves play in the Ethiopian nobility?</t>
  </si>
  <si>
    <t>A. A tool for taxation B. A method for religious sacrifices C. Type of entertainment D. A display of skill and bravery</t>
  </si>
  <si>
    <t>The sport was a display of skill and bravery among Ethiopian nobles.</t>
  </si>
  <si>
    <t>Which region in Ethiopia is most associated with horse racing?</t>
  </si>
  <si>
    <t>A. Oromo B. Tigrai C. Somali D. Amhara</t>
  </si>
  <si>
    <t>The sport is closely associated with the Amhara region.</t>
  </si>
  <si>
    <t>What was the traditional attire of horse troupe players?</t>
  </si>
  <si>
    <t>A. Leather armor B. Animal skins C. Military uniform D. White dresses</t>
  </si>
  <si>
    <t>Participants traditionally wore white clothes.</t>
  </si>
  <si>
    <t>How has Yeferas Guks evolved over the years?</t>
  </si>
  <si>
    <t>A. From dance to sport B. From ritual to competition C. From history to game D. From war training to sport</t>
  </si>
  <si>
    <t>It transformed from combat training into a competitive sport.</t>
  </si>
  <si>
    <t>What is the modern significance of horse racing?</t>
  </si>
  <si>
    <t>A. Economic development B. Tourism promotion C. Sports Diplomacy D. Cultural preservation</t>
  </si>
  <si>
    <t>Sport is a way to preserve Ethiopian culture.</t>
  </si>
  <si>
    <t>What kind of equipment is commonly used in horse riding?</t>
  </si>
  <si>
    <t>What was the traditional attire of the Yefera Gux players?</t>
  </si>
  <si>
    <t>How has horse racing evolved over the years?</t>
  </si>
  <si>
    <t>Which event marked the revival of horse racing in modern times?</t>
  </si>
  <si>
    <t>A. National Sports Day B. Millennium Celebration C. African Union Summit D. Ethiopian Cultural Festival</t>
  </si>
  <si>
    <t>The Ethiopian Cultural Festival has played a key role in the revival of the sport.</t>
  </si>
  <si>
    <t>What was the role of women in traditional horse riding?</t>
  </si>
  <si>
    <t>A. Participants B. Organizers C. Judges D. Viewers</t>
  </si>
  <si>
    <t>Women have traditionally played the role of spectators at horse shows.</t>
  </si>
  <si>
    <t>What does the name 'horse's hooves' translate to in English?</t>
  </si>
  <si>
    <t>A. Horse riding test B. Hitting the target C. A noble combat sport D. Throwing spears</t>
  </si>
  <si>
    <t>The name translates into English as 'throwing spears'.</t>
  </si>
  <si>
    <t>How are the winners of each horse race determined?</t>
  </si>
  <si>
    <t>A. Number of targets attacked B. Time to complete the course C. Style and technique D. Accuracy and speed</t>
  </si>
  <si>
    <t>Winners are determined by accuracy and speed in hitting targets.</t>
  </si>
  <si>
    <t>Which Ethiopian festival includes horse racing as a major attraction?</t>
  </si>
  <si>
    <t>A. Finding of the True Cross B. Sand C. New Year D. Timcat</t>
  </si>
  <si>
    <t>The Timkat Festival has made horse racing a key attraction.</t>
  </si>
  <si>
    <t>What types of targets are used in modern horse racing?</t>
  </si>
  <si>
    <t>A. Metal rings B. Pottery C. Hanging bags D. Wooden poles</t>
  </si>
  <si>
    <t>Modern competitions use wooden poles as targets.</t>
  </si>
  <si>
    <t>How did the influence of colonialism affect the horse's gait?</t>
  </si>
  <si>
    <t>A. Introduced new laws B. He was banned from the sport. C. Modern devices D. He stopped practicing.</t>
  </si>
  <si>
    <t>Colonial influences suppressed the practice of horse riding.</t>
  </si>
  <si>
    <t>What are the key skills needed to play horse racing?</t>
  </si>
  <si>
    <t>A. Sword fighting B. Archery C. Balance D. Horseback riding</t>
  </si>
  <si>
    <t>Horse riding skills are essential to the sport.</t>
  </si>
  <si>
    <t>What role do elders play in every horse race?</t>
  </si>
  <si>
    <t>A. Participants B. Viewers C. Organizers D. Judges and coaches</t>
  </si>
  <si>
    <t>At horse shows, elders often serve as judges and trainers.</t>
  </si>
  <si>
    <t>How does a horse-drawn carriage work in a traditional way?</t>
  </si>
  <si>
    <t>A. From metal B. From bamboo C. From the bone D. From wood</t>
  </si>
  <si>
    <t>Traditional spears for the sport are made of wood.</t>
  </si>
  <si>
    <t>What is the cultural significance of horse racing today?</t>
  </si>
  <si>
    <t>A. Economic tool B. Political symbol C. Tourist attraction D. Heritage symbol</t>
  </si>
  <si>
    <t>Sport is a symbol of Ethiopian cultural heritage.</t>
  </si>
  <si>
    <t>When was the sport of horse racing first played?</t>
  </si>
  <si>
    <t>A. 1925 B. 1950 C. 1880 D. 1900</t>
  </si>
  <si>
    <t>1900</t>
  </si>
  <si>
    <t>Who is the founder of the sport of horse racing?</t>
  </si>
  <si>
    <t>A. Ahmed Al-Karim B. George Smith C. Ali Hassan D. John Doe</t>
  </si>
  <si>
    <t>John Doe is said to have founded the sport of horse racing in the early 20th century.</t>
  </si>
  <si>
    <t>Which country has organized an official horse racing championship?</t>
  </si>
  <si>
    <t>A. Sudan B. Ethiopia C. Algeria D. Ethiopia</t>
  </si>
  <si>
    <t>Ethiopia was the first country to host an official horse racing championship.</t>
  </si>
  <si>
    <t>In what year was the first international horse racing game held?</t>
  </si>
  <si>
    <t>A. 1935 B. 1940 C. 1955 D. 1955</t>
  </si>
  <si>
    <t>1955</t>
  </si>
  <si>
    <t>What was the initial impetus for the creation of the sport of horse racing?</t>
  </si>
  <si>
    <t>A. Military training B. Entertainment C. Sportsmanship D. Cultural exchange</t>
  </si>
  <si>
    <t>The sport of horse racing was created for entertainment and cultural exchange between different communities.</t>
  </si>
  <si>
    <t>What major historical event helped popularize the sport of horse racing?</t>
  </si>
  <si>
    <t>A. Colonial activities B. Sudanese independence C. The Cold War D. Sudanese independence</t>
  </si>
  <si>
    <t>Sudan's independence has boosted the popularity of horse racing.</t>
  </si>
  <si>
    <t>Who was the first world champion in horse racing?</t>
  </si>
  <si>
    <t>A. Amin Tarek B. Yusuf Mohammed C. Abdullah Omar D. Amin Tarek</t>
  </si>
  <si>
    <t>Amin Tarek was the first world champion, winning the inaugural championship in 1925.</t>
  </si>
  <si>
    <t>What was the stadium that hosted the first World Horse Racing Championship?</t>
  </si>
  <si>
    <t>A. Addis Ababa Sports Complex B. Cairo International Stadium C. Algiers Olympic Stadium D. Khartoum National Stadium</t>
  </si>
  <si>
    <t>Khartoum's National Stadium hosted the first World Championship in 1925.</t>
  </si>
  <si>
    <t>What role did the sport of horse racing play in post-colonial African society?</t>
  </si>
  <si>
    <t>A. Boosting the economy B. Social integration C. Cultural preservation D. Social integration</t>
  </si>
  <si>
    <t>The sport of horse racing has played a significant role in social cohesion since colonial times.</t>
  </si>
  <si>
    <t>In which decade did the sport of horse racing gain international recognition?</t>
  </si>
  <si>
    <t>A. 1930s B. 1940s C. 1950s D. 1930s</t>
  </si>
  <si>
    <t>The sport of horse racing gained international recognition in the 1930s after the first world championship.</t>
  </si>
  <si>
    <t>What significant change occurred in the rules of horse racing in the 1940s?</t>
  </si>
  <si>
    <t>A. Standard ball size B. Team-based format C. Adding a scoring system D. Team-based format</t>
  </si>
  <si>
    <t>In the 1940s, a team-based format was introduced in horse racing.</t>
  </si>
  <si>
    <t>Which historical figure is associated with the introduction of the sport of horse racing?</t>
  </si>
  <si>
    <t>A. King Solomon B. Emperor Haile Selassie C. Nasser Abdel Karim D. Emperor Haile Selassie</t>
  </si>
  <si>
    <t>Emperor Haile Selassie played a major role in promoting the sport in the mid-20th century.</t>
  </si>
  <si>
    <t>What historical event inspired the formation of the first horse racing league?</t>
  </si>
  <si>
    <t>A. The spread of modern education B. Independence after colonialism C. The development of modern technology D. Independence after colonialism</t>
  </si>
  <si>
    <t>The post-colonial period of independence prompted the formation of the first league in 1950.</t>
  </si>
  <si>
    <t>In which year did horse racing enter the Olympic Games?</t>
  </si>
  <si>
    <t>A. 1980 B. 2000 C. 1900 D. 1900</t>
  </si>
  <si>
    <t>What major changes were made to the structure of the game in the 1980s?</t>
  </si>
  <si>
    <t>A. Scoring system changes B. The development of junior leagues C. Standardized international regulations D. International team competitions</t>
  </si>
  <si>
    <t>The 1980s saw the growth of international team competitions and junior leagues.</t>
  </si>
  <si>
    <t>What technological advancements helped the sport of horse racing evolve in the 1990s?</t>
  </si>
  <si>
    <t>A. Video analysis tools B. Computer-generated results C. International fan clubs D. Computer-generated results</t>
  </si>
  <si>
    <t>The introduction of computerized scoring systems in the 1990s helped the sport develop.</t>
  </si>
  <si>
    <t>Which African country introduced the sport of horse racing to schools?</t>
  </si>
  <si>
    <t>A. Nigeria B. Ghana C. Ethiopia D. Kenya</t>
  </si>
  <si>
    <t>Kenya was the first African country to introduce the sport of horse racing into schools.</t>
  </si>
  <si>
    <t>In which major international competition did horse racing first take part?</t>
  </si>
  <si>
    <t>A. African Cup B. World Championship C. Continental Cup D. World Cup</t>
  </si>
  <si>
    <t>The horse racing sport has participated in its first major international competition, the World Championship.</t>
  </si>
  <si>
    <t>Who was the first female champion in horse racing?</t>
  </si>
  <si>
    <t>A. Sarah Omar B. Nadia Hassan C. Maryam Moses D. Leila Ahmed</t>
  </si>
  <si>
    <t>Laila Ahmed became the first female equestrian champion in 1975.</t>
  </si>
  <si>
    <t>What year was the first international team competition for horse racing?</t>
  </si>
  <si>
    <t>A. 1930 B. 1940 C. 1950 D. 1920</t>
  </si>
  <si>
    <t>1920</t>
  </si>
  <si>
    <t>How did media coverage of horse racing change in the 1990s?</t>
  </si>
  <si>
    <t>A. More newspapers covering sports B. Online streaming became popular C. Covers in fashion magazines D. Increasing television broadcasts</t>
  </si>
  <si>
    <t>Television broadcasts in the 1990s and later online streaming helped expand its reach.</t>
  </si>
  <si>
    <t>Which cultural event held in the early 20th century helped popularize the sport of horse racing?</t>
  </si>
  <si>
    <t>A. World Fairs B. Berlin Olympics C. Independence Day D. Independence Day</t>
  </si>
  <si>
    <t>World's Fairs, especially the 1904 event in St. Louis, helped popularize the sport of horse racing.</t>
  </si>
  <si>
    <t>Which country introduced horse racing to the Olympics?</t>
  </si>
  <si>
    <t>A. Egypt B. Ethiopia C. Somalia D. Egypt</t>
  </si>
  <si>
    <t>Egypt was the first country to introduce the sport of horse racing into the Olympic Games.</t>
  </si>
  <si>
    <t>In which city was the first World Cup of Horse Racing held?</t>
  </si>
  <si>
    <t>A. Khartoum B. Addis Ababa C. Nairobi D. Khartoum</t>
  </si>
  <si>
    <t>The first Horse Racing Cup was held in Khartoum in 1955.</t>
  </si>
  <si>
    <t>Who were the first international sponsors of horse racing?</t>
  </si>
  <si>
    <t>A. Adidas B. Puma C. Reebok D. Nike</t>
  </si>
  <si>
    <t>Nike was the first global sponsor of horse racing in the late 1980s.</t>
  </si>
  <si>
    <t>When did the sport of horse racing become popular outside of Africa?</t>
  </si>
  <si>
    <t>A. 1970s B. 1980s C. 1990s D. 1970s</t>
  </si>
  <si>
    <t>The sport of horse racing began to gain popularity outside of Africa in the 1970s.</t>
  </si>
  <si>
    <t>Which famous historical figure played a role in establishing international rules for the sport of horse racing?</t>
  </si>
  <si>
    <t>A. Haile Selassie B. Nelson Mandela C. Mahatma Gandhi D. Haile Selassie</t>
  </si>
  <si>
    <t>Haile Selassie played a major role in establishing international rules for the sport of horse racing.</t>
  </si>
  <si>
    <t>When was the first women's equestrian competition held?</t>
  </si>
  <si>
    <t>A. 1975 B. 1985 C. 1995 D. 1960</t>
  </si>
  <si>
    <t>1960</t>
  </si>
  <si>
    <t>What was the significance of the 1980s for horse racing?</t>
  </si>
  <si>
    <t>A. Establishment of the World Federation B. The first television competition C. Professional leagues were established. D. International expansion</t>
  </si>
  <si>
    <t>The 1980s saw the formation of the World Horse Racing Federation.</t>
  </si>
  <si>
    <t>What was the first international trophy won by a country outside of Africa?</t>
  </si>
  <si>
    <t>A. Sudan B. Ethiopia C. Kenya D. Kenya</t>
  </si>
  <si>
    <t>Kenya won its first international championship in 1980, marking its presence on the international stage.</t>
  </si>
  <si>
    <t>How many years ago was horse racing first shown on television?</t>
  </si>
  <si>
    <t>A. 1970 B. 1980 C. 1990 D. 1931</t>
  </si>
  <si>
    <t>1931</t>
  </si>
  <si>
    <t>Which continent was the first to officially recognize horse racing as a sport?</t>
  </si>
  <si>
    <t>A. Asia B. Europe C. North America D. Africa</t>
  </si>
  <si>
    <t>Horse racing has been recognized as an official sport in Africa for the first time.</t>
  </si>
  <si>
    <t>In which decade did the sport of horse racing experience its first international expansion?</t>
  </si>
  <si>
    <t>A. 1940s B. 1950s C. 1960s D. 1950s</t>
  </si>
  <si>
    <t>The sport of horse racing experienced a major international expansion in the 1950s.</t>
  </si>
  <si>
    <t>Which country was the first to introduce the sport of horse racing outside of Africa?</t>
  </si>
  <si>
    <t>A. Brazil B. France C. India D. France</t>
  </si>
  <si>
    <t>France was the first country outside Africa to officially adopt the sport of horse racing.</t>
  </si>
  <si>
    <t>Who was the first non-African world champion in horse racing?</t>
  </si>
  <si>
    <t>A. Pierre Dupont B. Luis Rivera C. John Smith D. Pierre Dupont</t>
  </si>
  <si>
    <t>Pierre Dupont was the first non-African world champion, winning in 1960.</t>
  </si>
  <si>
    <t>What significant change took place in 1950?</t>
  </si>
  <si>
    <t>A. Introduction to timed matches B. Team game formation C. Women's competition entry D. Introduction to the two-point system</t>
  </si>
  <si>
    <t>The introduction of the two-point scoring system in 1950 was a key change.</t>
  </si>
  <si>
    <t>What was the first historical event that showcased the sport of horse racing on a global scale?</t>
  </si>
  <si>
    <t>A. Pan African Games B. Commonwealth Games C. African Cup D. Pan African Games</t>
  </si>
  <si>
    <t>Horse racing was first seen at the Pan African Games in the 1960s.</t>
  </si>
  <si>
    <t>Which country hosted the first official World Championship in 1960?</t>
  </si>
  <si>
    <t>A. Sudan B. Ethiopia C. Algeria D. Sudan</t>
  </si>
  <si>
    <t>The first official World Championship was held in Sudan in 1960.</t>
  </si>
  <si>
    <t>When was the first youth league for horse racing created?</t>
  </si>
  <si>
    <t>A. 1945 B. 1955 C. 1929 D. 1929</t>
  </si>
  <si>
    <t>1929</t>
  </si>
  <si>
    <t>In what year did horse racing become part of the World Athletics Federation?</t>
  </si>
  <si>
    <t>A. 1960 B. 1970 C. 1921 D. 1921</t>
  </si>
  <si>
    <t>1921</t>
  </si>
  <si>
    <t>Which iconic historical figure popularized the sport in the 1970s?</t>
  </si>
  <si>
    <t>A. Haile Selassie B. Kwame Nkrumah C. Jomo Kenyatta D. Haile Selassie</t>
  </si>
  <si>
    <t>Haile Selassie played a major role in promoting the sport of horse racing internationally in the 1970s.</t>
  </si>
  <si>
    <t>What was the main goal of the Horse Racing Sports Association when it was founded?</t>
  </si>
  <si>
    <t>A. Cultural preservation B. Political unity C. Economic growth D. Cultural preservation</t>
  </si>
  <si>
    <t>The main objective was cultural preservation and uniting diverse communities through sports.</t>
  </si>
  <si>
    <t>Which country won the Horse Racing World Cup?</t>
  </si>
  <si>
    <t>A. Sudan B. Kenya C. Egypt D. Ethiopia</t>
  </si>
  <si>
    <t>Ethiopia was the first country to win the World Equestrian Championship in 1965.</t>
  </si>
  <si>
    <t>In what year was the first Women's World Championship held?</t>
  </si>
  <si>
    <t>A. 1980 B. 1990 C. 2000 D. 2000</t>
  </si>
  <si>
    <t>2000</t>
  </si>
  <si>
    <t>Which country hosted the first international competition for horse racing in the 1990s?</t>
  </si>
  <si>
    <t>A. Morocco B. Nigeria C. Kenya D. South Africa</t>
  </si>
  <si>
    <t>South Africa first introduced the sport of horse racing in 1990.</t>
  </si>
  <si>
    <t>What was the historical moment when the Professional Horse Racing Sports League was established?</t>
  </si>
  <si>
    <t>A. 1960s B. 1970s C. 1980s D. 1970s</t>
  </si>
  <si>
    <t>The Professional Horse Racing League was established in the 1970s.</t>
  </si>
  <si>
    <t>Who became the first female world champion in horse racing?</t>
  </si>
  <si>
    <t>A. Sarah Kamis B. Leila Ali C. Maryam Fadil D. Amina Zahra</t>
  </si>
  <si>
    <t>Amina Zahra became the first female world champion in 1985.</t>
  </si>
  <si>
    <t>Which team won the first ever horse racing championship held outside of Africa?</t>
  </si>
  <si>
    <t>A. Germany B. France C. America D. Brazil</t>
  </si>
  <si>
    <t>In 2004, Brazil won the first equestrian sports championship held outside of Africa.</t>
  </si>
  <si>
    <t>What is the significance of the 1980s in the history of the sports of the Persian Gulf?</t>
  </si>
  <si>
    <t>A. Introduction to professional leagues B. Media coverage has increased. C. First World Championship outside Africa D. Establishment of international competitions</t>
  </si>
  <si>
    <t>The 1980s saw the establishment of international tournaments and the introduction of professional leagues.</t>
  </si>
  <si>
    <t>Which African country hosted the first Pan-African equestrian sports competition?</t>
  </si>
  <si>
    <t>A. Kenya B. Uganda C. Ghana D. Kenya</t>
  </si>
  <si>
    <t>Kenya hosted the first Pan-African equestrian sports competition in 1980.</t>
  </si>
  <si>
    <t>What impact did the 1965 World Championship have on the sport?</t>
  </si>
  <si>
    <t>A. International participation has increased. B. Game Levels Rule C. Formation of professional groups D. International popularity</t>
  </si>
  <si>
    <t>The 1965 World Championship significantly increased international participation.</t>
  </si>
  <si>
    <t>Which historical figure helped establish horse racing as a competitive sport?</t>
  </si>
  <si>
    <t>A. Kwame Nkrumah B. Julius Nyerere C. Mahatma Gandhi D. Haile Selassie</t>
  </si>
  <si>
    <t>Haile Selassie played a crucial role in establishing the sport as a competitive sport in the 1960s.</t>
  </si>
  <si>
    <t>What significant event in 1985 helped the sport of horse racing spread outside of Africa?</t>
  </si>
  <si>
    <t>A. The first international competition B. World Championship in France C. World Cup TV broadcast D. World Championship in France</t>
  </si>
  <si>
    <t>The 1985 World Championships in France helped promote the sport of horse racing outside of Africa.</t>
  </si>
  <si>
    <t>Which country hosted the first equestrian sports championship in the 21st century?</t>
  </si>
  <si>
    <t>A. Nigeria B. Kenya C. Morocco D. South Africa</t>
  </si>
  <si>
    <t>South Africa hosted the first World Cup of the 21st century in 2002.</t>
  </si>
  <si>
    <t>What significant event occurred in 1995 for horse racing?</t>
  </si>
  <si>
    <t>A. The first women's league was founded B. Distribution rights were sold internationally. C. First World Championship outside Africa D. Introduction to International Sponsorship</t>
  </si>
  <si>
    <t>The 1995 World Championship was the first to be held outside of Africa.</t>
  </si>
  <si>
    <t>What important role did the 1980s play in the history of horse racing?</t>
  </si>
  <si>
    <t>A. Global media coverage B. Introduction to youth training programs C. The beginning of television events D. Global media coverage</t>
  </si>
  <si>
    <t>The 1980s were crucial for the introduction of youth training programs and increased media coverage.</t>
  </si>
  <si>
    <t>Which country hosted the first ever women's world championship in equestrian sports?</t>
  </si>
  <si>
    <t>A. Egypt B. Sudan C. Morocco D. Kenya</t>
  </si>
  <si>
    <t>Kenya hosted the first Women's World Championship in 1990.</t>
  </si>
  <si>
    <t>What key event occurred in 1960 regarding the international participation of horse racing?</t>
  </si>
  <si>
    <t>A. The first world championship B. Media coverage has increased. C. Introduction of professional players D. Establishment of the World Federation</t>
  </si>
  <si>
    <t>The formation of the World Federation in 1960 was a significant event in the international participation of equestrian sports.</t>
  </si>
  <si>
    <t>Which country is the first to host the National Championship for Horse Racing?</t>
  </si>
  <si>
    <t>A. Ethiopia B. Sudan C. Kenya D. Sudan</t>
  </si>
  <si>
    <t>Sudan was the first country to establish a national championship for equestrian sports in the 1950s.</t>
  </si>
  <si>
    <t>Which country introduced the first professional league for horse racing?</t>
  </si>
  <si>
    <t>A. Morocco B. Kenya C. South Africa D. South Africa</t>
  </si>
  <si>
    <t>South Africa introduced its first professional league in the 1980s.</t>
  </si>
  <si>
    <t>Which historical figure contributed greatly to the creation of the first International Horse Racing Federation?</t>
  </si>
  <si>
    <t>A. Haile Selassie B. Jomo Kenyatta C. Nelson Mandela D. Haile Selassie</t>
  </si>
  <si>
    <t>Haile Selassie played a key role in the establishment of the first international federation in 1960.</t>
  </si>
  <si>
    <t>Which city hosted the first World Cup outside of Africa?</t>
  </si>
  <si>
    <t>A. new york B. London C. Sydney D. Paris</t>
  </si>
  <si>
    <t>Paris hosted the first World Cup outside of Africa in 1975.</t>
  </si>
  <si>
    <t>A. Uganda B. Morocco C. South Africa D. Kenya</t>
  </si>
  <si>
    <t>Kenya hosted the first international competition for equestrian sports in 1991.</t>
  </si>
  <si>
    <t>Which country introduced gender equality in equestrian sports?</t>
  </si>
  <si>
    <t>A. Kenya B. South Africa C. Egypt D. Kenya</t>
  </si>
  <si>
    <t>Kenya was the first country to introduce gender equality in equestrian sports in 1990.</t>
  </si>
  <si>
    <t>What was the significance of the 1965 World Championship in the history of equestrian sports?</t>
  </si>
  <si>
    <t>A. For the first time, the sport was broadcast internationally. B. Introduction to group events C. This is the first time a country outside of Africa has participated. D. It was the first official world championship.</t>
  </si>
  <si>
    <t>The 1965 World Championships were the first official world championships for equestrian sports.</t>
  </si>
  <si>
    <t>Which country was the first to win the World Championship in equestrian sports?</t>
  </si>
  <si>
    <t>A. Brazil B. Germany C. India D. France</t>
  </si>
  <si>
    <t>In 1975, France became the first World Cup winner outside of Africa.</t>
  </si>
  <si>
    <t>Which African country won the first World Cup in 1960?</t>
  </si>
  <si>
    <t>A. Sudan B. Nigeria C. Kenya D. Egypt</t>
  </si>
  <si>
    <t>Egypt won its first world championship in 1960, a major achievement for the sport.</t>
  </si>
  <si>
    <t>Which country hosted the first international women's equestrian competition?</t>
  </si>
  <si>
    <t>A. Nigeria B. Egypt C. South Africa D. Kenya</t>
  </si>
  <si>
    <t>Kenya hosted its first international women's competition in 1990.</t>
  </si>
  <si>
    <t>Which country established the National Federation of Horse Racing?</t>
  </si>
  <si>
    <t>A. Sudan B. Egypt C. Kenya D. Sudan</t>
  </si>
  <si>
    <t>Sudan established its first national federation for equestrian sports in 1952.</t>
  </si>
  <si>
    <t>What major international event helped elevate the reputation of Ferras Gux Sports in 2005?</t>
  </si>
  <si>
    <t>A. Introduction to international distribution B. The first Olympic appearance C. The start of a professional league in Europe D. World Championship in France</t>
  </si>
  <si>
    <t>The 2005 World Championships in France helped elevate the sport of horse racing to the international level.</t>
  </si>
  <si>
    <t>Which organization created the first international guidebook for horse racing?</t>
  </si>
  <si>
    <t>A. African Sports Union B. International Olympic Committee C. United Nations Sports Organization D. World Federation of Horse Racing</t>
  </si>
  <si>
    <t>The World Horse Racing Federation created the first international handbook in 1965.</t>
  </si>
  <si>
    <t>Which country was the first to introduce the sport of horse racing to schools?</t>
  </si>
  <si>
    <t>A. Kenya B. Morocco C. South Africa D. Kenya</t>
  </si>
  <si>
    <t>Kenya introduced the sport of Feras Gux to schools in 1965 as part of the development of the sport.</t>
  </si>
  <si>
    <t>Which country is the first to hold the Women's World Championship in equestrian sports?</t>
  </si>
  <si>
    <t>A. Sudan B. South Africa C. Morocco D. Kenya</t>
  </si>
  <si>
    <t>Kenya for Horse Gugs Sports in 1995.</t>
  </si>
  <si>
    <t>Which region hosted the first continental equestrian sports competition?</t>
  </si>
  <si>
    <t>A. East Africa B. West Africa C. South Africa D. West Africa</t>
  </si>
  <si>
    <t>West Africa was the first region to host a continental competition for equestrian sports in the 1960s.</t>
  </si>
  <si>
    <t>Who was the first coach to coach a non-African national team in equestrian sports?</t>
  </si>
  <si>
    <t>A. Marcello Lippi B. Pierre Dupont C. Chris Turner D. Pierre Dupont</t>
  </si>
  <si>
    <t>Pierre Dupont was the first coach to coach a non-African national team in equestrian sports in 1970.</t>
  </si>
  <si>
    <t>Which country hosted the first World Youth Championship in the world?</t>
  </si>
  <si>
    <t>A. Kenya B. Nigeria C. Egypt D. Kenya</t>
  </si>
  <si>
    <t>Kenya hosted the first World Youth Championship in 1985.</t>
  </si>
  <si>
    <t>Which decade saw the first international competition for horse racing?</t>
  </si>
  <si>
    <t>A. 1960s B. 1970s C. 1980s D. 1960s</t>
  </si>
  <si>
    <t>The first international competition was held in the 1960s.</t>
  </si>
  <si>
    <t>When was horse racing first broadcast on television?</t>
  </si>
  <si>
    <t>A. 1980s B. 1990s C. 2000s D. 1980s</t>
  </si>
  <si>
    <t>Horse racing was first shown on television in the 1980s.</t>
  </si>
  <si>
    <t>Which historical event marked the international expansion of the sport of horse racing in 1992?</t>
  </si>
  <si>
    <t>A. World Championship in Japan B. The first Olympic exhibition match C. Introduction of professional leagues in Europe D. World Championship in Japan</t>
  </si>
  <si>
    <t>The 1992 World Championships held in Japan were a milestone in the international expansion of equestrian sports.</t>
  </si>
  <si>
    <t>Who was the first player in the sport of horse racing?</t>
  </si>
  <si>
    <t>A. Muhammad Ali B. Abdel Fattah C. Solomon Wanyama D. Abdel Fattah</t>
  </si>
  <si>
    <t>Abdel Fattah scored the first perfect game in 1963, setting a new standard for players.</t>
  </si>
  <si>
    <t>Which country has implemented a national ranking system for horse racing?</t>
  </si>
  <si>
    <t>A. Kenya B. Egypt C. Morocco D. Egypt</t>
  </si>
  <si>
    <t>Egypt was the first country to implement a national ranking system for equestrian sports in 1965.</t>
  </si>
  <si>
    <t>What major event helped boost the popularity of horse racing in the 1980s?</t>
  </si>
  <si>
    <t>A. International League Introduction B. The first women's international competition C. Introduction to mixed gender competitions D. The first international television broadcast</t>
  </si>
  <si>
    <t>The first international television broadcast in 1980 helped popularize the sport of horse racing.</t>
  </si>
  <si>
    <t>Which African country hosted the first ever World Championship for Horse Racing?</t>
  </si>
  <si>
    <t>A. Morocco B. South Africa C. Nigeria D. Kenya</t>
  </si>
  <si>
    <t>Kenya was the first African country to host the World Championship in 1967.</t>
  </si>
  <si>
    <t>Who was the first African player to sign a contract with a European club to play for the sport of horse racing?</t>
  </si>
  <si>
    <t>A. Samir Ibrahim B. Mahmoud Nasser C. Amir Oudrago D. Tariq Al Hassan</t>
  </si>
  <si>
    <t>Tariq Al-Hassan was the first African player to sign for a European club in 1982.</t>
  </si>
  <si>
    <t>Which country introduced the sport of horse racing as part of the national education curriculum?</t>
  </si>
  <si>
    <t>A. Ethiopia B. Sudan C. South Africa D. Kenya</t>
  </si>
  <si>
    <t>Kenya introduced the sport of Feras Gux in schools as part of the curriculum in 1975.</t>
  </si>
  <si>
    <t>What was the historical development that led to the international expansion of the sport of horse racing in the 1980s?</t>
  </si>
  <si>
    <t>A. The first international competition to be televised B. The formation of a professional league in Europe C. Introduction to International Player Exchange Programs D. Establishment of the World Federation</t>
  </si>
  <si>
    <t>The formation of the World Federation in the 1980s facilitated international expansion.</t>
  </si>
  <si>
    <t>Which country won the first ever Women's World Championship in equestrian sports?</t>
  </si>
  <si>
    <t>A. Kenya B. Egypt C. Morocco D. South Africa</t>
  </si>
  <si>
    <t>South Africa won the first Women's World Cup in 1990.</t>
  </si>
  <si>
    <t>What significant event occurred in 1997 for horse racing?</t>
  </si>
  <si>
    <t>A. The first international professional league B. First team competition C. The first international television broadcast D. The first European Championship</t>
  </si>
  <si>
    <t>In 1997, the first European Championship for equestrian sports was launched.</t>
  </si>
  <si>
    <t>In which year was the first national federation of horse racing outside of Africa established?</t>
  </si>
  <si>
    <t>A. 1990 B. 1995 C. 2000 D. 1985</t>
  </si>
  <si>
    <t>1985</t>
  </si>
  <si>
    <t>Which player is known for recording the longest winning streak in the history of horse racing?</t>
  </si>
  <si>
    <t>A. Salim Bakir B. Moussa Toure C. Khalid Omar D. Moussa Toure</t>
  </si>
  <si>
    <t>Moussa Toure won 18 consecutive races from 1983 to 1985, setting the longest winning streak in the history of horse racing.</t>
  </si>
  <si>
    <t>Which country organized the Continental Championship for equestrian sports?</t>
  </si>
  <si>
    <t>A. Egypt B. South Africa C. Nigeria D. Kenya</t>
  </si>
  <si>
    <t>Kenya hosted the first continental championship for equestrian sports in 1970.</t>
  </si>
  <si>
    <t>Which African country introduced horse racing as a professional sport?</t>
  </si>
  <si>
    <t>A. Kenya B. Egypt C. South Africa D. Sudan</t>
  </si>
  <si>
    <t>Sudan was the first African country to professionalize the sport of football in 1965.</t>
  </si>
  <si>
    <t>What significant event occurred in the sport of horse racing in the 1990s?</t>
  </si>
  <si>
    <t>A. Promoting gender-based competitions B. The first international league outside Africa C. The establishment of the World Cup D. Establishment of the World Federation</t>
  </si>
  <si>
    <t>The establishment of the World Federation in the 1990s helped organize international competitions.</t>
  </si>
  <si>
    <t>Which country first implemented a youth development program for equestrian sports?</t>
  </si>
  <si>
    <t>A. South Africa B. Egypt C. Sudan D. Kenya</t>
  </si>
  <si>
    <t>Kenya implemented a youth development program in 1970 to develop new talents in sports.</t>
  </si>
  <si>
    <t>When was the sport of horse racing recognized by the International Olympic Committee?</t>
  </si>
  <si>
    <t>A. 1992 B. 2000 C. 2004 D. 1990</t>
  </si>
  <si>
    <t>1990</t>
  </si>
  <si>
    <t>Which country hosted the first ever International Horse Racing League?</t>
  </si>
  <si>
    <t>A. Kenya B. Morocco C. Nigeria D. South Africa</t>
  </si>
  <si>
    <t>South Africa hosted the International League for the first time in 1987.</t>
  </si>
  <si>
    <t>Which decade saw the sport of horse racing introduced as a competitive event in schools worldwide?</t>
  </si>
  <si>
    <t>Horse racing began in schools worldwide in the 1980s.</t>
  </si>
  <si>
    <t>In which year was the first professional player contract signed in horse racing?</t>
  </si>
  <si>
    <t>A. 1980 B. 1985 C. 1990 D. 1975</t>
  </si>
  <si>
    <t>1975</t>
  </si>
  <si>
    <t>Which country was the first to have a women's national team for horse racing?</t>
  </si>
  <si>
    <t>A. South Africa B. Morocco C. Egypt D. Kenya</t>
  </si>
  <si>
    <t>Kenya formed its first women's national team in 1985.</t>
  </si>
  <si>
    <t>When was the first International Youth Championship for Horseback Riding held?</t>
  </si>
  <si>
    <t>A. 1985 B. 1990 C. 1995 D. 1985</t>
  </si>
  <si>
    <t>Which event in 1988 significantly increased the visibility of the sport of horse racing internationally?</t>
  </si>
  <si>
    <t>A. Inclusion in the World Games B. The first international championship in Europe C. First televised match in America D. Inclusion in the World Games</t>
  </si>
  <si>
    <t>Its inclusion in the World Games in 1988 significantly increased the international visibility of the sport of horse racing.</t>
  </si>
  <si>
    <t>In which decade did the International Professional Horse Racing League begin?</t>
  </si>
  <si>
    <t>A. 1980s B. 1990s C. 2000s D. 1990s</t>
  </si>
  <si>
    <t>International professional leagues for horse racing began in the 1990s.</t>
  </si>
  <si>
    <t>What year was the first international player transfer in the history of football?</t>
  </si>
  <si>
    <t>A. 1990 B. 1995 C. 2000 D. 1995</t>
  </si>
  <si>
    <t>1995</t>
  </si>
  <si>
    <t>Question</t>
  </si>
  <si>
    <t>Who is the father of modern athletics?</t>
  </si>
  <si>
    <t>A. James Cleveland Owens B. Carl Lewis C. Usain Bolt D. Pierre de Coubertin</t>
  </si>
  <si>
    <t>Pierre de Coubertin</t>
  </si>
  <si>
    <t>Pierre de Coubertin is credited with founding the modern Olympic Games in 1896.</t>
  </si>
  <si>
    <t>Which ancient civilization is known for the first recorded running competitions?</t>
  </si>
  <si>
    <t>A. Ancient Greece B. Ancient Rome C. Maya civilization D. Ancient Greece</t>
  </si>
  <si>
    <t>Ancient Greece</t>
  </si>
  <si>
    <t>The ancient Greeks are famous for holding the first Olympic Games in 776 BC, which featured running competitions.</t>
  </si>
  <si>
    <t>Who was the first person to run the first modern marathon in 1896?</t>
  </si>
  <si>
    <t>A. Usain Bolt B. Carl Lewis C. Jim Thorpe D. Spyridon Louis</t>
  </si>
  <si>
    <t>Spyridon Louis</t>
  </si>
  <si>
    <t>Spyridon Louis of Greece won the first modern Olympic marathon in 1896.</t>
  </si>
  <si>
    <t>Which country hosted the first World Athletics Championships in 1983?</t>
  </si>
  <si>
    <t>A. Germany B. France C. Japan D. America</t>
  </si>
  <si>
    <t>America</t>
  </si>
  <si>
    <t>The first World Athletics Championships were held in Helsinki, Finland, in 1983.</t>
  </si>
  <si>
    <t>Who set the first 100m world record?</t>
  </si>
  <si>
    <t>A. Jesse Owens B. Donovan Bailey C. Tyson Gay D. Donovan Bailey</t>
  </si>
  <si>
    <t>Donovan Bailey</t>
  </si>
  <si>
    <t>Donovan Bailey set the 100-meter world record in 1996 with a time of 9.84 seconds.</t>
  </si>
  <si>
    <t>Which country did the marathon race originate from?</t>
  </si>
  <si>
    <t>A. Ethiopia B. Kenya C. Roman Empire D. Greece</t>
  </si>
  <si>
    <t>Greece</t>
  </si>
  <si>
    <t>The marathon race originated from the Battle of Marathon, where Pheidippides ran from Marathon to Athens.</t>
  </si>
  <si>
    <t>Who was the first woman to run the Boston Marathon?</t>
  </si>
  <si>
    <t>A. Griet Weitz B. Jean Benoit Samuelson C. Bertie L. Stevens D. Catherine Switzerland</t>
  </si>
  <si>
    <t>Catherine Switzerland</t>
  </si>
  <si>
    <t>Katherine Switzer was the first woman to break the barrier for female athletes by running the Boston Marathon in 1967.</t>
  </si>
  <si>
    <t>What was the first stage of the ancient Greek Olympics?</t>
  </si>
  <si>
    <t>A. Chariot race B. to run C. Boxing D. to run</t>
  </si>
  <si>
    <t>to run</t>
  </si>
  <si>
    <t>Running events, especially the stadion (foot race), were the main event in the ancient Olympics.</t>
  </si>
  <si>
    <t>Who was the first person to break the 10-second barrier in the 100m?</t>
  </si>
  <si>
    <t>A. Usain Bolt B. Florence Griffith Joyner C. Jim Hines D. Jim Hines</t>
  </si>
  <si>
    <t>Jim Hines</t>
  </si>
  <si>
    <t>Jim Hines became the first man to break the 10-second barrier in the 100m in 1968.</t>
  </si>
  <si>
    <t>Which city hosted the 1960 Summer Olympics, where Wilma Rudolph won three gold medals?</t>
  </si>
  <si>
    <t>A. Tokyo B. los angeles C. London D. Rome</t>
  </si>
  <si>
    <t>Rome</t>
  </si>
  <si>
    <t>Wilma Rudolph became the world's fastest woman by winning three gold medals at the 1960 Rome Olympics.</t>
  </si>
  <si>
    <t>Who was the first African American to win an Olympic gold medal in track and field?</t>
  </si>
  <si>
    <t>A. Jesse Owens B. Carl Lewis C. Jackie Joyner Kersey D. DeHart Hubbard</t>
  </si>
  <si>
    <t>DeHart Hubbard</t>
  </si>
  <si>
    <t>DeHart Hubbard in 1911.</t>
  </si>
  <si>
    <t>Which country is the birthplace of the marathon?</t>
  </si>
  <si>
    <t>A. Ethiopia B. Greece C. America D. Greece</t>
  </si>
  <si>
    <t>The marathon race began in ancient Greece during the Battle of Marathon.</t>
  </si>
  <si>
    <t>Who was the first person to win the Olympic marathon twice?</t>
  </si>
  <si>
    <t>A. Abebe Bikila B. Haile Gebrselassie C. Frank Short D. Abebe Bikila</t>
  </si>
  <si>
    <t>Abebe Bikila</t>
  </si>
  <si>
    <t>Ethiopian Abebe Bikila became the first person to win two Olympic marathons, in 1960 and 1964.</t>
  </si>
  <si>
    <t>What was the name of the running event that was part of the ancient Olympic Games?</t>
  </si>
  <si>
    <t>A. Triathlon B. Pantalone C. Heptathlon D. The stadium</t>
  </si>
  <si>
    <t>The stadium</t>
  </si>
  <si>
    <t>The stadium was a competition venue measuring one length of the Olympic Stadium, approximately 192 meters.</t>
  </si>
  <si>
    <t>What event did Jim Thorpe win at the 1912 Olympics in Stockholm?</t>
  </si>
  <si>
    <t>A. Long jump B. Shot Put C. 100m D. Decathlon</t>
  </si>
  <si>
    <t>Decathlon</t>
  </si>
  <si>
    <t>Jim Thorpe won the decathlon at the 1912 Stockholm Olympics, and his achievements are legendary.</t>
  </si>
  <si>
    <t>Which athlete was banned from the Olympics in 1999 for cheating in the 100m race?</t>
  </si>
  <si>
    <t>A. Linford Christie B. Marion Jones C. Leroy Burrell D. Linford Christie</t>
  </si>
  <si>
    <t>Linford Christie</t>
  </si>
  <si>
    <t>Linford Christie won the 100m at the 1999 World Championships.</t>
  </si>
  <si>
    <t>Who was the first Olympic athlete to break the 4-minute mile?</t>
  </si>
  <si>
    <t>A. Roger Bannister B. Jim Ryun C. Steve Prefontaine D. Roger Bannister</t>
  </si>
  <si>
    <t>Roger Bannister</t>
  </si>
  <si>
    <t>Roger Bannister became the first man to break the 4-minute mile barrier on May 6, 1954.</t>
  </si>
  <si>
    <t>Which country dominated the marathon at the Olympic Games?</t>
  </si>
  <si>
    <t>A. Ethiopia B. America C. Japan D. Kenya</t>
  </si>
  <si>
    <t>Kenya</t>
  </si>
  <si>
    <t>Kenya has dominated the Olympic marathon, especially in men's and women's events.</t>
  </si>
  <si>
    <t>Who is the first woman to run the Olympic marathon?</t>
  </si>
  <si>
    <t>A. Griet Weitz B. Catherine Switzerland C. Nina Kusic D. Nina Kusic</t>
  </si>
  <si>
    <t>Nina Kusic</t>
  </si>
  <si>
    <t>Nina Kusic became the first woman to officially run the Olympic marathon in 1984.</t>
  </si>
  <si>
    <t>Which city hosted the 1992 Summer Olympics?</t>
  </si>
  <si>
    <t>A. Barcelona B. Atlanta C. Sydney D. Barcelona</t>
  </si>
  <si>
    <t>Barcelona</t>
  </si>
  <si>
    <t>Barcelona hosted the 1992 Summer Olympics, where Carl Lewis and other legends competed.</t>
  </si>
  <si>
    <t>Which country won the most gold medals in track and field at the 1936 Berlin Olympics?</t>
  </si>
  <si>
    <t>A. Germany B. Canada C. Australia D. America</t>
  </si>
  <si>
    <t>Under the leadership of Jesse Owens, the USA won multiple gold medals in track and field at the 1936 Berlin Olympics.</t>
  </si>
  <si>
    <t>Who was the first runner to break 9.6 seconds in the 100m race?</t>
  </si>
  <si>
    <t>A. Usain Bolt B. Florence Griffith Joyner C. Tyson Gay D. Asafa Powell</t>
  </si>
  <si>
    <t>Asafa Powell</t>
  </si>
  <si>
    <t>Asafa Powell became the first to break the 9.6-second barrier in the 100m race in 2007.</t>
  </si>
  <si>
    <t>Which event did Paavo Nurmi dominate at the 1924 Olympics?</t>
  </si>
  <si>
    <t>A. 10,000m B. Obstacle C. 5,000m D. 10,000m</t>
  </si>
  <si>
    <t>10,000m</t>
  </si>
  <si>
    <t>Paavo Nurmi dominated the 10,000m race and won multiple gold medals at the 1924 Paris Olympics.</t>
  </si>
  <si>
    <t>Who was the first Olympic athlete to win gold in both the 100m and 200m races at the same Olympics?</t>
  </si>
  <si>
    <t>A. Jesse Owens B. Usain Bolt C. Florence Griffith Joyner D. Carl Lewis</t>
  </si>
  <si>
    <t>Carl Lewis</t>
  </si>
  <si>
    <t>Carl Lewis achieved this feat at the 1984 Los Angeles Olympics.</t>
  </si>
  <si>
    <t>Who set the 200m world record in 1996?</t>
  </si>
  <si>
    <t>A. Michael Johnson B. Carl Lewis C. Frankie Fredericks D. Michael Johnson</t>
  </si>
  <si>
    <t>Michael Johnson</t>
  </si>
  <si>
    <t>Michael Johnson set the 200-meter world record of 19.32 seconds at the 1996 Atlanta Olympics.</t>
  </si>
  <si>
    <t>Which country's athletes dominate the sport of long-distance running, especially the marathon?</t>
  </si>
  <si>
    <t>A. Japan B. Ethiopia C. Germany D. Kenya</t>
  </si>
  <si>
    <t>Kenya has historically produced many Olympic and world marathon champions.</t>
  </si>
  <si>
    <t>Which country won the most medals in athletics at the 2008 Beijing Olympics?</t>
  </si>
  <si>
    <t>A. America B. Russia C. China D. America</t>
  </si>
  <si>
    <t>The United States won many medals in athletics at the 2008 Beijing Olympics.</t>
  </si>
  <si>
    <t>Who is known for the famous 'Miracle Mile' in the 1954 race?</t>
  </si>
  <si>
    <t>A. Roger Bannister B. John Landy C. Steve Prefontaine D. Roger Bannister</t>
  </si>
  <si>
    <t>In 1954, Roger Bannister's 'Miracle Mile' with John Landy was a historic race, breaking barriers.</t>
  </si>
  <si>
    <t>Who holds the longest record in the 100m at the Olympics?</t>
  </si>
  <si>
    <t>A. Florence Griffith Joyner B. Carl Lewis C. Jesse Owens D. Usain Bolt</t>
  </si>
  <si>
    <t>Usain Bolt</t>
  </si>
  <si>
    <t>Usain Bolt set the current Olympic 100m record of 9.63 seconds at the 2012 London Olympics.</t>
  </si>
  <si>
    <t>Who won the 1960 Olympic marathon, a major achievement in African athletics?</t>
  </si>
  <si>
    <t>A. Emil Zatopek B. Jim Thorpe C. Haile Gebrselassie D. Abebe Bikila</t>
  </si>
  <si>
    <t>Abebe Bikila won the 1960 Rome Olympic marathon barefoot.</t>
  </si>
  <si>
    <t>Who was the first athlete to win gold medals in the 100m, 200m, and 4x100m relay at the same Olympics?</t>
  </si>
  <si>
    <t>A. Usain Bolt B. Michael Johnson C. Jesse Owens D. Carl Lewis</t>
  </si>
  <si>
    <t>Carl Lewis won gold in the 100m, 200m, and 4x100m at the 1984 Los Angeles Olympics.</t>
  </si>
  <si>
    <t>Which country hosted the 1960 Rome Olympics, where Abebe Bikila won the marathon?</t>
  </si>
  <si>
    <t>A. France B. America C. Italy D. Italy</t>
  </si>
  <si>
    <t>Italy</t>
  </si>
  <si>
    <t>The 1960 Rome Olympics produced the first African marathon gold medal, won by Abebe Bikila.</t>
  </si>
  <si>
    <t>Who won the women's Olympic marathon in 1984?</t>
  </si>
  <si>
    <t>A. Jean Benoit Samuelson B. Catherine Switzerland C. Nina Kusic D. Jean Benoit Samuelson</t>
  </si>
  <si>
    <t>Jean Benoit Samuelson</t>
  </si>
  <si>
    <t>Joan Benoit Samuelson won the first official women's Olympic marathon in 1984.</t>
  </si>
  <si>
    <t>Which city hosted the first World Athletics Championships in 1983?</t>
  </si>
  <si>
    <t>A. los angeles B. Berlin C. Helsinki D. Helsinki</t>
  </si>
  <si>
    <t>Helsinki</t>
  </si>
  <si>
    <t>Helsinki hosted the first World Athletics Championships in 1983.</t>
  </si>
  <si>
    <t>Which country won the most gold medals at the 2008 Beijing Olympics?</t>
  </si>
  <si>
    <t>A. China B. Russia C. Jamaica D. America</t>
  </si>
  <si>
    <t>The United States topped the medal count at the 2008 Beijing Olympics with 36 gold medals.</t>
  </si>
  <si>
    <t>Which famous Jamaican runner broke many records at the 2008 Beijing Olympics?</t>
  </si>
  <si>
    <t>A. Shelley-Anne Fraser-Pryce B. Asafa Powell C. Tyson Gay D. Usain Bolt</t>
  </si>
  <si>
    <t>Usain Bolt broke several running records at the 2008 Beijing Olympics, including the 100m and 200m.</t>
  </si>
  <si>
    <t>Who won the gold medal in the 400m at the 2012 London Olympics?</t>
  </si>
  <si>
    <t>A. David Rudisha B. Kirani James C. The leader of Lashaun D. The leader of Lashaun</t>
  </si>
  <si>
    <t>The leader of Lashaun</t>
  </si>
  <si>
    <t>He won the 400-meter gold medal at the 2012 London Olympics, beating Lashawn Merritt in 43.01 seconds.</t>
  </si>
  <si>
    <t>Which country holds the record for the men's 4x100m?</t>
  </si>
  <si>
    <t>A. Jamaica B. Great Britain C. Russia D. America</t>
  </si>
  <si>
    <t>The USA holds the world record in the 4x100m relay, clocking 37.04 seconds in 2012.</t>
  </si>
  <si>
    <t>Which athlete is known by the nickname 'Flying Finn'?</t>
  </si>
  <si>
    <t>A. Lasse Viren B. Jari Litmanen C. Timo Selane D. Paavo Nurmi</t>
  </si>
  <si>
    <t>Paavo Nurmi</t>
  </si>
  <si>
    <t>Paavo Nurmi, known as the 'Flying Finn', was one of the greatest distance runners of all time.</t>
  </si>
  <si>
    <t>Who set the 100-meter world record in 2009?</t>
  </si>
  <si>
    <t>A. Tyson Gay B. Asafa Powell C. John Blake D. Usain Bolt</t>
  </si>
  <si>
    <t>At the 2009 Berlin World Championships, Usain Bolt set a 100-meter world record of 9.58 seconds.</t>
  </si>
  <si>
    <t>Who was the first African athlete to win the Olympic marathon?</t>
  </si>
  <si>
    <t>A. Haile Gebrselassie B. Emil Zatopek C. Feysa Lilesa D. Abebe Bikila</t>
  </si>
  <si>
    <t>Abebe Bikila became the first African athlete to win the Olympic marathon at the 1960 Rome Olympics.</t>
  </si>
  <si>
    <t>Which female athlete won the 100m, 200m, and 4x100m relay at the 1988 Seoul Olympics?</t>
  </si>
  <si>
    <t>A. Carl Lewis B. Shelley-Anne Fraser-Pryce C. Marion Jones D. Florence Griffiths Joyner</t>
  </si>
  <si>
    <t>Florence Griffiths Joyner</t>
  </si>
  <si>
    <t>Florence Griffiths Joyner won three gold medals at the 1988 Seoul Olympics in the 100m, 200m and 4x100m.</t>
  </si>
  <si>
    <t>Which country won the most Olympic medals in athletics in 2020?</t>
  </si>
  <si>
    <t>A. Jamaica B. Kenya C. China D. America</t>
  </si>
  <si>
    <t>The United States won the most Olympic medals in athletics at the 2020 Tokyo Olympics, with 26 medals.</t>
  </si>
  <si>
    <t>Who set the men's 1500m world record in 1998?</t>
  </si>
  <si>
    <t>A. Kenenisa Bekele B. Noah Njeni C. Asbel Kiprop D. Hicham El Guerrouj</t>
  </si>
  <si>
    <t>Hicham El Guerrouj</t>
  </si>
  <si>
    <t>Hicham El Guerrouj set the 1500m world record in 1998 with a time of 3:26:00.</t>
  </si>
  <si>
    <t>Who is the first woman to run the 100m in under 10.7 seconds?</t>
  </si>
  <si>
    <t>A. Marion Jones B. Shelley-Anne Fraser-Pryce C. Evelyn Ashford D. Florence Griffiths Joyner</t>
  </si>
  <si>
    <t>Florence Griffith Joyner broke the 100m record in 10.7 seconds, setting a new record of 10.49 seconds in 1988.</t>
  </si>
  <si>
    <t>Who is known as the 'King of the Silent'?</t>
  </si>
  <si>
    <t>A. Roger Bannister B. John Landy C. Sebastian Coe D. Sebastian Coe</t>
  </si>
  <si>
    <t>Sebastian Coe</t>
  </si>
  <si>
    <t>Sebastian Coe is often referred to as the 'King of the Mile' due to his dominance of the event in the 1980s.</t>
  </si>
  <si>
    <t>Who holds the Olympic record in the men's 200m?</t>
  </si>
  <si>
    <t>A. Usain Bolt B. Michael Johnson C. Frankie Fredericks D. Usain Bolt</t>
  </si>
  <si>
    <t>Usain Bolt set an Olympic record of 19.30 seconds in the men's 200m at the 2008 Beijing Olympics.</t>
  </si>
  <si>
    <t>In which year did the 400m hurdles race begin at the Olympic Games?</t>
  </si>
  <si>
    <t>A. 1904 B. 1912 C. 1924 D. 1900</t>
  </si>
  <si>
    <t>Who was the first woman to run the Olympic marathon?</t>
  </si>
  <si>
    <t>A. Catherine Switzerland B. Griet Weitz C. Nina Kusic D. Catherine Switzerland</t>
  </si>
  <si>
    <t>Katherine Sweiger became the first woman to run the Olympic marathon in 1967, even though women were officially banned from participating.</t>
  </si>
  <si>
    <t>Which country's men won the 4x100m relay at the 2020 Tokyo Olympics?</t>
  </si>
  <si>
    <t>A. Jamaica B. Great Britain C. Italy D. Italy</t>
  </si>
  <si>
    <t>At the 2020 Tokyo Olympics, Italy won gold in the men's 4x100m, marking its first victory in the competition.</t>
  </si>
  <si>
    <t>Who set the 10,000-meter world record in 2005?</t>
  </si>
  <si>
    <t>A. Haile Gebrselassie B. Wilson Kipketer C. Mo Farah D. Kenenisa Bekele</t>
  </si>
  <si>
    <t>Kenenisa Bekele</t>
  </si>
  <si>
    <t>Kenenisa Bekele set a world record in the 10,000m in 2005 with a time of 26:17:53.</t>
  </si>
  <si>
    <t>Who was the first athlete to win back-to-back Olympic gold in the men's 100m?</t>
  </si>
  <si>
    <t>A. Usain Bolt B. Tyson Gay C. Asafa Powell D. Usain Bolt</t>
  </si>
  <si>
    <t>Usain Bolt won back-to-back Olympic gold medals in the 100 meters at the 2008 and 2012 Olympics.</t>
  </si>
  <si>
    <t>Which country has won the most Olympic gold medals in athletics?</t>
  </si>
  <si>
    <t>A. Russia B. Kenya C. Jamaica D. America</t>
  </si>
  <si>
    <t>The USA has won many Olympic gold medals in athletics, and has won over 400 gold medals in various competitions.</t>
  </si>
  <si>
    <t>Who ran the 100m in under 9.8 seconds?</t>
  </si>
  <si>
    <t>A. Tyson Gay B. Asafa Powell C. Frankie Fredericks D. Asafa Powell</t>
  </si>
  <si>
    <t>Asafa Powell is the first to run the 100m in under 9.8 seconds, with a time of 9.77 seconds in 2005.</t>
  </si>
  <si>
    <t>Who is the women's world record holder in the 5000m?</t>
  </si>
  <si>
    <t>A. Besed Dafar B. Genzebe Dibaba C. Sifan Hassan D. Tirunesh Dibaba</t>
  </si>
  <si>
    <t>Tirunesh Dibaba</t>
  </si>
  <si>
    <t>Tirunesh Dibaba set the women's 5000 meter world record of 14:11:15 in 2008.</t>
  </si>
  <si>
    <t>Which athlete is known for his dominance in the pole vault in the 2000s?</t>
  </si>
  <si>
    <t>A. Terry Adam B. Renaud Lavillenie C. Eugene Delacroix D. Sergey Bubka</t>
  </si>
  <si>
    <t>Sergey Bubka</t>
  </si>
  <si>
    <t>Sergey Bubka is famous for his pole vault victories and his world record in the competition.</t>
  </si>
  <si>
    <t>Who won the women's 100m at the 2016 Rio Olympics?</t>
  </si>
  <si>
    <t>A. Shelley-Anne Fraser-Pryce B. Tori Bowie C. Carmelita Jeter D. Elaine Thompson</t>
  </si>
  <si>
    <t>Elaine Thompson</t>
  </si>
  <si>
    <t>She became the first Jamaican woman to win the women's 100m at the 2016 Rio Olympics, defeating Elaine Thompson.</t>
  </si>
  <si>
    <t>Which city hosted the 2004 Summer Olympics, where the men's decathlon was won by Roman Sebrel?</t>
  </si>
  <si>
    <t>A. London B. Beijing C. Sydney D. Athens</t>
  </si>
  <si>
    <t>Athens</t>
  </si>
  <si>
    <t>At the 2004 Summer Olympics, hosted by Athens, Roman Sebrel was the winner of the decathlon.</t>
  </si>
  <si>
    <t>Who is the first woman to run the 100m in under 10.8 seconds?</t>
  </si>
  <si>
    <t>A. Evelyn Ashford B. Jackie Joyner Kersey C. Shelley-Anne Fraser-Pryce D. Evelyn Ashford</t>
  </si>
  <si>
    <t>Evelyn Ashford</t>
  </si>
  <si>
    <t>In 1984, Evelyn Ashford became the first woman to run the 100m in under 10.8 seconds.</t>
  </si>
  <si>
    <t>What is the current Olympic record in the men's 100-meter race?</t>
  </si>
  <si>
    <t>A. 9.69 seconds B. 9.72 seconds C. 9.76 seconds D. 9.58 seconds</t>
  </si>
  <si>
    <t>9.58 seconds</t>
  </si>
  <si>
    <t>The Olympic record set by Usain Bolt in the men's 100m at the 2008 Beijing Olympics is 9.58 seconds.</t>
  </si>
  <si>
    <t>Who was the first woman to win an Olympic medal in high jump?</t>
  </si>
  <si>
    <t>A. Marie-José Perec B. Jesse Owens C. Diana Taurasi D. Yolanda Ballas</t>
  </si>
  <si>
    <t>Yolanda Ballas</t>
  </si>
  <si>
    <t>Yolanda Balas won the first Olympic medal in the women's high jump at the 1960 Rome Olympics.</t>
  </si>
  <si>
    <t>Which country has won the most Olympic gold medals in the men's 100m?</t>
  </si>
  <si>
    <t>A. Jamaica B. Russia C. Kenya D. America</t>
  </si>
  <si>
    <t>The USA achieved its highest gold medal tally at the Olympics by winning the men's 100m.</t>
  </si>
  <si>
    <t>Who won the gold medal in the men's 200m at the 2008 Beijing Olympics?</t>
  </si>
  <si>
    <t>A. Tyson Gay B. Walter Dix C. Asafa Powell D. Usain Bolt</t>
  </si>
  <si>
    <t>At the 2008 Beijing Olympics, Usain Bolt won gold in the men's 200 meters, setting a world record of 19.30 seconds.</t>
  </si>
  <si>
    <t>Which female athlete has won the most Olympic gold medals in athletics?</t>
  </si>
  <si>
    <t>A. Shelley-Anne Fraser-Pryce B. Tirunesh Dibaba C. Marion Jones D. Paavo Nurmi</t>
  </si>
  <si>
    <t>Paavo Nurmi holds the record for winning 9 gold medals in athletics.</t>
  </si>
  <si>
    <t>Who set the men's 800m world record in 2012?</t>
  </si>
  <si>
    <t>A. Wilson Kipketer B. Alfred Kirwa C. Michael Johnson D. David Rudisha</t>
  </si>
  <si>
    <t>David Rudisha</t>
  </si>
  <si>
    <t>David Rudisha won the men's 800m at the 2012 London Olympics.</t>
  </si>
  <si>
    <t>Who won the women's 1500m at the 2020 Tokyo Olympics?</t>
  </si>
  <si>
    <t>A. Helen Aubrey B. Sifan Hassan C. Genzebe Dibaba D. Faith Kipyegon</t>
  </si>
  <si>
    <t>Faith Kipyegon</t>
  </si>
  <si>
    <t>Faith Kipyego won gold in the women's 1500m at the 2020 Tokyo Olympics.</t>
  </si>
  <si>
    <t>Who holds the world record in the men's 110m hurdles?</t>
  </si>
  <si>
    <t>A. Aries Merritt. B. Usain Bolt C. David Oliver D. Aries Merritt.</t>
  </si>
  <si>
    <t>Aries Merritt.</t>
  </si>
  <si>
    <t>Aries Merritt set a world record in the 110-meter hurdles with a time of 12.80 seconds.</t>
  </si>
  <si>
    <t>Who is the first female athlete to win Olympic gold in the 800m?</t>
  </si>
  <si>
    <t>A. Marie-José Perec B. Nadia Comaneci C. Catherine Nderba D. Marie-José Perec</t>
  </si>
  <si>
    <t>Marie-José Perec</t>
  </si>
  <si>
    <t>Marie-Josée Perec became the first female athlete to win gold in the 800m at the 1996 Atlanta Olympics.</t>
  </si>
  <si>
    <t>Who is the fastest female runner in Olympic history?</t>
  </si>
  <si>
    <t>A. Evelyn Ashford B. Marion Jones C. Jackie Joyner Kersey D. Florence Griffiths Joyner</t>
  </si>
  <si>
    <t>Florence Griffiths Joyner set an Olympic record of 10.49 seconds.</t>
  </si>
  <si>
    <t>Which athlete holds the current women's pole vault world record?</t>
  </si>
  <si>
    <t>A. Nadine Debois B. Svetlana Feofanova C. Jennifer Sur D. Yelena Isinbayeva</t>
  </si>
  <si>
    <t>Yelena Isinbayeva</t>
  </si>
  <si>
    <t>Yelena Isinbayeva set a women's pole vault record with a jump of 5.06 meters.</t>
  </si>
  <si>
    <t>Which female athlete won the gold medal in the 800m at the 2016 Rio Olympics?</t>
  </si>
  <si>
    <t>A. Maria Mutola B. Wilson Kipketer C. Helen Aubrey D. Caster Semenya</t>
  </si>
  <si>
    <t>Caster Semenya</t>
  </si>
  <si>
    <t>Caster Semenya won gold in the women's 800 meters at the 2016 Rio Olympics.</t>
  </si>
  <si>
    <t>Who set the women's 100m world record in 1988?</t>
  </si>
  <si>
    <t>A. Marion Jones B. Evelyn Ashford C. Jackie Joyner Kersey D. Florence Griffiths Joyner</t>
  </si>
  <si>
    <t>Florence Griffith Joyner set the 100-meter world record of 10.49 seconds at the 1988 Seoul Olympics.</t>
  </si>
  <si>
    <t>Who was the first athlete to win gold in both the 100m and 200m at the same Olympics?</t>
  </si>
  <si>
    <t>A. Carl Lewis B. Michael Johnson C. Tyson Gay D. Carl Lewis</t>
  </si>
  <si>
    <t>Carl Lewis was the first athlete to win both the 100m and 200m gold medals at the same Olympics (1984).</t>
  </si>
  <si>
    <t>Who won the men's 110m hurdles at the 2020 Tokyo Olympics?</t>
  </si>
  <si>
    <t>A. Aries Merritt. B. Omar MacLeod C. David Oliver D. Grant Holloway</t>
  </si>
  <si>
    <t>Grant Holloway</t>
  </si>
  <si>
    <t>Grant Holloway won gold in the men's 110m hurdles at the 2020 Tokyo Olympics.</t>
  </si>
  <si>
    <t>Who is considered a long-distance runner?</t>
  </si>
  <si>
    <t>A. Kenenisa Bekele B. Tsegaye Kebede C. About you, my dear. D. Haile Gebrselassie</t>
  </si>
  <si>
    <t>Haile Gebrselassie</t>
  </si>
  <si>
    <t>Haile Gebrselassie is considered the greatest Ethiopian long-distance runner, having won two Olympic gold medals and numerous world championships.</t>
  </si>
  <si>
    <t>In which year did Haile Gebrselassie break the 10,000 meter world record for the first time?</t>
  </si>
  <si>
    <t>A. 2000 B. 1997 C. 2002 D. 1998</t>
  </si>
  <si>
    <t>1998</t>
  </si>
  <si>
    <t>Which Ethiopian runner won the Olympic gold medal in the men's 10,000m in 2008?</t>
  </si>
  <si>
    <t>A. Haile Gebrselassie B. Tsegaye Kebede C. About you, my dear. D. Kenenisa Bekele</t>
  </si>
  <si>
    <t>Kenenisa Bekele won the Olympic gold medal in the men's 10,000 meters at the 2008 Beijing Olympics.</t>
  </si>
  <si>
    <t>Who is the first Ethiopian to win an Olympic gold medal in athletics?</t>
  </si>
  <si>
    <t>A. Tirunesh Dibaba B. Derartu Tulu C. Besed Dafar D. Derartu Tulu</t>
  </si>
  <si>
    <t>Derartu Tulu</t>
  </si>
  <si>
    <t>Derartu Tulu became the first Ethiopian to win an Olympic gold medal in the 10,000 meters at the 1992 Barcelona Olympics.</t>
  </si>
  <si>
    <t>Which Ethiopian athlete won the 5000m in 2004?</t>
  </si>
  <si>
    <t>A. Besed Dafar B. Kenenisa Bekele C. Haile Gebrselassie D. Kenenisa Bekele</t>
  </si>
  <si>
    <t>Kenenisa Bekele won the 5,000m in Berlin in 2004.</t>
  </si>
  <si>
    <t>What is the name of the famous Ethiopian running school known for producing world-class long-distance runners?</t>
  </si>
  <si>
    <t>A. Addis Ababa Running School B. Dera Running Academy C. Nairobi Running Academy D. Bekoji Running School</t>
  </si>
  <si>
    <t>Bekoji Running School</t>
  </si>
  <si>
    <t>Bekoji, a small town in Ethiopia, is known for producing world-class long-distance runners.</t>
  </si>
  <si>
    <t>Which Ethiopian athlete is famous for winning the marathon gold medal at the 2004 Athens Olympics?</t>
  </si>
  <si>
    <t>A. Haile Gebrselassie B. Besed Dafar C. Fatuma Roba D. Fatuma Roba</t>
  </si>
  <si>
    <t>Fatuma Roba</t>
  </si>
  <si>
    <t>Fatuma Roba won the Olympic marathon gold medal at the 2004 Athens Olympics.</t>
  </si>
  <si>
    <t>Who won the gold medal in the women's marathon at the 2012 London Olympics?</t>
  </si>
  <si>
    <t>A. It seems good. B. Prisca Jeptoo C. Tirunesh Dibaba D. Tirunesh Dibaba won a gold medal in the women's marathon at the 2012 London Olympics.</t>
  </si>
  <si>
    <t>Tirunesh Dibaba won a gold medal in the women's marathon at the 2012 London Olympics.</t>
  </si>
  <si>
    <t>Which Ethiopian athlete won two gold medals in the 5,000 and 10,000 meters at the 2008 Beijing Olympics?</t>
  </si>
  <si>
    <t>Kenenisa Bekele won gold medals in both the 5,000 and 10,000 meters at the 2008 Beijing Olympics.</t>
  </si>
  <si>
    <t>Which Ethiopian runner is famous for winning the marathon gold medal at the 2016 Rio Olympics?</t>
  </si>
  <si>
    <t>A. Mare Dibaba B. Tirunesh Dibaba C. Genzebe Dibaba D. Mare Dibaba</t>
  </si>
  <si>
    <t>Mare Dibaba</t>
  </si>
  <si>
    <t>Mare Dibaba won the gold medal in the women's marathon at the 2016 Rio Olympics.</t>
  </si>
  <si>
    <t>What is the most common distance race in traditional Ethiopian running?</t>
  </si>
  <si>
    <t>A. 5,000m B. 10,000m C. Half-marathon D. Marathon</t>
  </si>
  <si>
    <t>Marathon</t>
  </si>
  <si>
    <t>The marathon is the most common distance race in traditional Ethiopian running.</t>
  </si>
  <si>
    <t>Which Ethiopian athlete set a new course record at the 2015 Berlin Marathon?</t>
  </si>
  <si>
    <t>A. Haile Gebrselassie B. Wilson Kipchoge C. Dennis Kipruto D. Kenenisa Bekele</t>
  </si>
  <si>
    <t>Kenenisa Bekele set a new course record by winning the 2015 Berlin Marathon.</t>
  </si>
  <si>
    <t>Who is the first Ethiopian to run the Boston Marathon?</t>
  </si>
  <si>
    <t>A. It seems good. B. Fatuma Roba C. Dibaba Tirunesh D. Fatuma Roba</t>
  </si>
  <si>
    <t>Fatuma Roba was the first Ethiopian to win the Boston Marathon in 1996.</t>
  </si>
  <si>
    <t>Which Ethiopian runner set the world record in the marathon in 2018?</t>
  </si>
  <si>
    <t>A. Kenenisa Bekele B. Dennis Kipruto C. Eliud Kipchoge D. Dennis Kipruto</t>
  </si>
  <si>
    <t>Dennis Kipruto</t>
  </si>
  <si>
    <t>Dennis Kipruto set a world record in the marathon in 2018.</t>
  </si>
  <si>
    <t>Who was the first Ethiopian athlete to win a World Championship in athletics?</t>
  </si>
  <si>
    <t>A. Haile Gebrselassie B. Derartu Tulu C. Sileshi Sihine D. Kenenisa Bekele</t>
  </si>
  <si>
    <t>Haile Gebrselassie was the first Ethiopian athlete to win a World Championship in athletics.</t>
  </si>
  <si>
    <t>Which athlete is known as the 'Cheetah of Ethiopia' for his incredible sprinting skills?</t>
  </si>
  <si>
    <t>A. Haile Gebrselassie B. Kenenisa Bekele C. Zerihun Wubneh D. Feysel Ali</t>
  </si>
  <si>
    <t>Zerihun Wubneh</t>
  </si>
  <si>
    <t>Zerihun Wubneh is known as the 'Cheetah of Ethiopia' for his sprinting abilities.</t>
  </si>
  <si>
    <t>Which Ethiopian athlete won the 2015 London Marathon in a women's world record?</t>
  </si>
  <si>
    <t>A. Tirunesh Dibaba B. Meselech Melkamu C. Tsegaye Kebede D. Fatuma Roba</t>
  </si>
  <si>
    <t>Tirunesh Dibaba won the 2015 London Marathon with a world record for women.</t>
  </si>
  <si>
    <t>What is the name of the Ethiopian running legend who set the world record in the men's marathon in 2003?</t>
  </si>
  <si>
    <t>A. Haile Gebrselassie B. Kenenisa Bekele C. Dennis Kipruto D. Wilson Kipchoge</t>
  </si>
  <si>
    <t>Haile Gebrselassie set the world record for the marathon in 2003.</t>
  </si>
  <si>
    <t>In which Ethiopian city is the National Athletics Federation based?</t>
  </si>
  <si>
    <t>A. Addis Ababa B. Bekoji C. Gondar D. Hawassa</t>
  </si>
  <si>
    <t>Addis Ababa</t>
  </si>
  <si>
    <t>The National Athletics Federation of Ethiopia is based in Addis Ababa.</t>
  </si>
  <si>
    <t>Which Ethiopian athlete broke the 5,000m and 10,000m world records in 2004?</t>
  </si>
  <si>
    <t>A. Haile Gebrselassie B. Kenenisa Bekele C. Tsegaye Kebede D. Wilson Kipchoge</t>
  </si>
  <si>
    <t>Kenenisa Bekele broke the 5,000m and 10,000m world records in 2004.</t>
  </si>
  <si>
    <t>Which Ethiopian runner became the first to win the New York City Marathon in 2009?</t>
  </si>
  <si>
    <t>A. Tsegaye Kebede B. Wilson Kipchoge C. Meselech Melkamu D. Mare Dibaba</t>
  </si>
  <si>
    <t>Tsegaye Kebede</t>
  </si>
  <si>
    <t>Tsegaye Kebede became the first Ethiopian runner to win the New York City Marathon in 2009.</t>
  </si>
  <si>
    <t>What is the Ethiopian tradition of running known for?</t>
  </si>
  <si>
    <t>A. Running barefoot B. Running with shoes C. Training on tracks D. Running with weights</t>
  </si>
  <si>
    <t>Running barefoot</t>
  </si>
  <si>
    <t>Many Ethiopian runners are known for their tradition of running barefoot during training and races.</t>
  </si>
  <si>
    <t>Who won the 2010 Chicago Marathon from Ethiopia?</t>
  </si>
  <si>
    <t>A. Haile Gebrselassie B. Tsegaye Kebede C. Meselech Melkamu D. Tirunesh Dibaba</t>
  </si>
  <si>
    <t>Tsegaye Kebede won the 2010 Chicago Marathon.</t>
  </si>
  <si>
    <t>Which Ethiopian athlete won the 2021 Tokyo Olympic Marathon?</t>
  </si>
  <si>
    <t>A. Mare Dibaba B. Sifan Hassan C. Peres Jepchirchir D. Tirunesh Dibaba</t>
  </si>
  <si>
    <t>Peres Jepchirchir</t>
  </si>
  <si>
    <t>Peres Jepchirchir won the 2021 Tokyo Olympic Marathon.</t>
  </si>
  <si>
    <t>Which country is Ethiopia often compared to due to its strong athleticism in distance running?</t>
  </si>
  <si>
    <t>A. Kenya B. Uganda C. Tanzania D. South Africa</t>
  </si>
  <si>
    <t>Kenya is often compared to Ethiopia due to its strong distance running tradition.</t>
  </si>
  <si>
    <t>Which city is known for producing some of the fastest runners in Ethiopia?</t>
  </si>
  <si>
    <t>A. Addis Ababa B. Bekoji C. Gondar D. Mekele</t>
  </si>
  <si>
    <t>Bekoji</t>
  </si>
  <si>
    <t>Bekoji is known for producing some of the fastest and most successful runners in Ethiopia.</t>
  </si>
  <si>
    <t>In which event did Kenenisa Bekele break the Olympic 10,000m record in 2008?</t>
  </si>
  <si>
    <t>A. Berlin B. Beijing C. London D. Athens</t>
  </si>
  <si>
    <t>Beijing</t>
  </si>
  <si>
    <t>Kenenisa Bekele broke the Olympic 10,000m record in Beijing during the 2008 Summer Olympics.</t>
  </si>
  <si>
    <t>Which marathon did Haile Gebrselassie win in 2007, setting a new course record?</t>
  </si>
  <si>
    <t>A. Berlin Marathon B. London Marathon C. Boston Marathon D. Chicago Marathon</t>
  </si>
  <si>
    <t>Berlin Marathon</t>
  </si>
  <si>
    <t>Haile Gebrselassie won the 2007 Berlin Marathon, setting a new course record.</t>
  </si>
  <si>
    <t>What is the Ethiopian running culture often known for?</t>
  </si>
  <si>
    <t>A. Speed and endurance B. Strength C. Flexibility D. Agility</t>
  </si>
  <si>
    <t>Speed and endurance</t>
  </si>
  <si>
    <t>Ethiopian running culture is often known for its emphasis on speed and endurance.</t>
  </si>
  <si>
    <t>Which Ethiopian runner became the first to run a marathon under 2 hours in 2019?</t>
  </si>
  <si>
    <t>A. Dennis Kipruto B. Haile Gebrselassie C. Kenenisa Bekele D. Wilson Kipchoge</t>
  </si>
  <si>
    <t>Wilson Kipchoge</t>
  </si>
  <si>
    <t>Wilson Kipchoge became the first to run a marathon under 2 hours in 2019.</t>
  </si>
  <si>
    <t>Which legendary Ethiopian runner is famous for breaking the marathon world record twice?</t>
  </si>
  <si>
    <t>A. Dennis Kipruto B. Kenenisa Bekele C. Haile Gebrselassie D. Wilson Kipchoge</t>
  </si>
  <si>
    <t>Haile Gebrselassie broke the marathon world record twice during his career.</t>
  </si>
  <si>
    <t>Which town in Ethiopia is regarded as the training ground for top long-distance runners?</t>
  </si>
  <si>
    <t>A. Addis Ababa B. Bekoji C. Mekele D. Gondar</t>
  </si>
  <si>
    <t>Bekoji is regarded as the training ground for many top Ethiopian long-distance runners.</t>
  </si>
  <si>
    <t>Who won the men's marathon gold medal at the 2020 Tokyo Olympics?</t>
  </si>
  <si>
    <t>A. Eliud Kipchoge B. Mare Dibaba C. Kenenisa Bekele D. Tirunesh Dibaba</t>
  </si>
  <si>
    <t>Eliud Kipchoge</t>
  </si>
  <si>
    <t>Eliud Kipchoge won the men's marathon gold medal at the 2020 Tokyo Olympics.</t>
  </si>
  <si>
    <t>Which long-distance race is a traditional event held every year in Ethiopia?</t>
  </si>
  <si>
    <t>A. Addis Ababa 5K B. Gondar Half Marathon C. Bekoji Marathon D. Great Ethiopian Run</t>
  </si>
  <si>
    <t>Great Ethiopian Run</t>
  </si>
  <si>
    <t>The Great Ethiopian Run is a major annual running event held in Addis Ababa.</t>
  </si>
  <si>
    <t>Which race is considered a prestigious annual race in Ethiopia, featuring long-distance running?</t>
  </si>
  <si>
    <t>A. Addis Ababa Marathon B. Great Ethiopian Run C. Bekoji 10K D. Mekele City Run</t>
  </si>
  <si>
    <t>The Great Ethiopian Run is one of the prestigious annual long-distance running races in Ethiopia.</t>
  </si>
  <si>
    <t>What major challenge is often faced by Ethiopian runners during international competitions?</t>
  </si>
  <si>
    <t>A. Altitude B. Heat C. Humidity D. Wind</t>
  </si>
  <si>
    <t>Altitude</t>
  </si>
  <si>
    <t>Ethiopian runners often face altitude challenges during international competitions.</t>
  </si>
  <si>
    <t>Who is the Ethiopian female marathon runner who won the 2019 Berlin Marathon?</t>
  </si>
  <si>
    <t>A. Fatuma Roba B. Mare Dibaba C. Tirunesh Dibaba D. Tsegaye Kebede</t>
  </si>
  <si>
    <t>Tirunesh Dibaba won the 2019 Berlin Marathon.</t>
  </si>
  <si>
    <t>Which sport is closely associated with Ethiopia's national pride and is deeply embedded in their culture?</t>
  </si>
  <si>
    <t>A. Football B. Running C. Cycling D. Basketball</t>
  </si>
  <si>
    <t>Running</t>
  </si>
  <si>
    <t>Running is deeply embedded in Ethiopia's national pride and culture.</t>
  </si>
  <si>
    <t>What altitude is the town of Bekoji located at, which is known for producing top athletes?</t>
  </si>
  <si>
    <t>A. 1,800 meters B. 2,500 meters C. 3,200 meters D. 4,000 meters</t>
  </si>
  <si>
    <t>2,500 meters</t>
  </si>
  <si>
    <t>Bekoji is located at an altitude of around 2,500 meters above sea level.</t>
  </si>
  <si>
    <t>Who became the first Ethiopian woman to run a marathon under 2:20?</t>
  </si>
  <si>
    <t>A. Tirunesh Dibaba B. Mare Dibaba C. Tsegaye Kebede D. Meselech Melkamu</t>
  </si>
  <si>
    <t>Tsegaye Kebede was the first Ethiopian woman to run a marathon under 2:20.</t>
  </si>
  <si>
    <t>Which Ethiopian marathon runner won the 2019 Tokyo Marathon?</t>
  </si>
  <si>
    <t>A. Tsegaye Kebede B. Mare Dibaba C. Haile Gebrselassie D. Tirunesh Dibaba</t>
  </si>
  <si>
    <t>Tsegaye Kebede won the 2019 Tokyo Marathon.</t>
  </si>
  <si>
    <t>Which Ethiopian female runner won the 2021 Chicago Marathon?</t>
  </si>
  <si>
    <t>A. Mare Dibaba B. Tsegaye Kebede C. Brigid Kosgei D. Sifan Hassan</t>
  </si>
  <si>
    <t>Brigid Kosgei</t>
  </si>
  <si>
    <t>Brigid Kosgei won the 2021 Chicago Marathon.</t>
  </si>
  <si>
    <t>Who is the current world record holder in the men's marathon?</t>
  </si>
  <si>
    <t>A. Wilson Kipchoge B. Haile Gebrselassie C. Kenenisa Bekele D. Dennis Kipruto</t>
  </si>
  <si>
    <t>Wilson Kipchoge holds the current world record for the marathon.</t>
  </si>
  <si>
    <t>Which city is home to the prestigious Great Ethiopian Run marathon?</t>
  </si>
  <si>
    <t>A. Addis Ababa B. Mekele C. Bekoji D. Gondar</t>
  </si>
  <si>
    <t>Addis Ababa hosts the prestigious Great Ethiopian Run.</t>
  </si>
  <si>
    <t>Who became the first Ethiopian woman to win the Boston Marathon?</t>
  </si>
  <si>
    <t>A. Mare Dibaba B. Tirunesh Dibaba C. Fatuma Roba D. Meselech Melkamu</t>
  </si>
  <si>
    <t>Fatuma Roba was the first Ethiopian woman to win the Boston Marathon.</t>
  </si>
  <si>
    <t>Which marathon did Kenenisa Bekele win in 2014?</t>
  </si>
  <si>
    <t>A. London Marathon B. Berlin Marathon C. Boston Marathon D. Chicago Marathon</t>
  </si>
  <si>
    <t>Kenenisa Bekele won the 2014 Berlin Marathon.</t>
  </si>
  <si>
    <t>Who was the first Ethiopian runner to win a gold medal in the 10,000 meters at the Olympics?</t>
  </si>
  <si>
    <t>A. Haile Gebrselassie B. Kenenisa Bekele C. Mamo Wolde D. Tirunesh Dibaba</t>
  </si>
  <si>
    <t>Mamo Wolde</t>
  </si>
  <si>
    <t>Mamo Wolde was the first Ethiopian to win a gold in the Olympic 10,000 meters.</t>
  </si>
  <si>
    <t>Which marathon did Haile Gebrselassie win in 2008, breaking the course record?</t>
  </si>
  <si>
    <t>Haile Gebrselassie won the 2008 Berlin Marathon and set a course record.</t>
  </si>
  <si>
    <t>Which Ethiopian athlete holds the world record for the men's 5,000 meters?</t>
  </si>
  <si>
    <t>A. Kenenisa Bekele B. Haile Gebrselassie C. Eliud Kipchoge D. Dennis Kipruto</t>
  </si>
  <si>
    <t>Kenenisa Bekele holds the world record for the men's 5,000 meters.</t>
  </si>
  <si>
    <t>Which Ethiopian marathoner won the 2017 Berlin Marathon?</t>
  </si>
  <si>
    <t>A. Kenenisa Bekele B. Wilson Kipchoge C. Haile Gebrselassie D. Tsegaye Kebede</t>
  </si>
  <si>
    <t>Kenenisa Bekele won the 2017 Berlin Marathon.</t>
  </si>
  <si>
    <t>Who is the Ethiopian runner that broke the 5,000-meter world record in 2004?</t>
  </si>
  <si>
    <t>A. Haile Gebrselassie B. Kenenisa Bekele C. Sileshi Sihine D. Mamo Wolde</t>
  </si>
  <si>
    <t>Kenenisa Bekele broke the 5,000-meter world record in 2004.</t>
  </si>
  <si>
    <t>What is the primary reason for Ethiopia's dominance in long-distance running?</t>
  </si>
  <si>
    <t>A. Altitude and genetics B. Training methods C. Nutrition D. Climate</t>
  </si>
  <si>
    <t>Altitude and genetics</t>
  </si>
  <si>
    <t>Altitude and genetics contribute to Ethiopia's dominance in long-distance running.</t>
  </si>
  <si>
    <t>Which athlete became the first Ethiopian to win a marathon in less than 2 hours and 5 minutes?</t>
  </si>
  <si>
    <t>A. Wilson Kipchoge B. Kenenisa Bekele C. Haile Gebrselassie D. Dennis Kipruto</t>
  </si>
  <si>
    <t>Haile Gebrselassie was the first Ethiopian to run a marathon under 2:05.</t>
  </si>
  <si>
    <t>Which Ethiopian city is known as the birthplace of marathon champion Haile Gebrselassie?</t>
  </si>
  <si>
    <t>A. Bekoji B. Mekele C. Addis Ababa D. Asmara</t>
  </si>
  <si>
    <t>Asella</t>
  </si>
  <si>
    <t>Haile Gebrselassie was born in Asella, Ethiopia.</t>
  </si>
  <si>
    <t>Who won the men's marathon at the 2012 London Olympics?</t>
  </si>
  <si>
    <t>A. Wilson Kipchoge B. Mare Dibaba C. Stephen Kiprotich D. Sisay Lemma</t>
  </si>
  <si>
    <t>Stephen Kiprotich</t>
  </si>
  <si>
    <t>Stephen Kiprotich won the men's marathon gold medal at the 2012 London Olympics.</t>
  </si>
  <si>
    <t>What is the most famous marathon in Ethiopia known for?</t>
  </si>
  <si>
    <t>A. Great Ethiopian Run B. Bekoji Marathon C. Addis Ababa Marathon D. Gondar Half Marathon</t>
  </si>
  <si>
    <t>The Great Ethiopian Run is the most famous marathon in Ethiopia.</t>
  </si>
  <si>
    <t>Which Ethiopian athlete won the 2004 Olympic marathon gold medal?</t>
  </si>
  <si>
    <t>A. Meselech Melkamu B. Tirunesh Dibaba C. Mare Dibaba D. Fatuma Roba</t>
  </si>
  <si>
    <t>Fatuma Roba won the 2004 Olympic marathon gold medal.</t>
  </si>
  <si>
    <t>Which Ethiopian athlete is known for his world record-breaking feats in both the 5,000m and 10,000m races?</t>
  </si>
  <si>
    <t>A. Haile Gebrselassie B. Kenenisa Bekele C. Wilson Kipchoge D. Dennis Kipruto</t>
  </si>
  <si>
    <t>Kenenisa Bekele is known for breaking both the 5,000m and 10,000m world records.</t>
  </si>
  <si>
    <t>Which Ethiopian marathon runner won the 2018 New York City Marathon?</t>
  </si>
  <si>
    <t>A. Mare Dibaba B. Tirunesh Dibaba C. Shalane Flanagan D. Sifan Hassan</t>
  </si>
  <si>
    <t>Shalane Flanagan</t>
  </si>
  <si>
    <t>Shalane Flanagan won the 2018 New York City Marathon.</t>
  </si>
  <si>
    <t>Which marathon did Haile Gebrselassie win in 2006, setting the world record?</t>
  </si>
  <si>
    <t>Haile Gebrselassie set a world record in the 2006 Berlin Marathon.</t>
  </si>
  <si>
    <t>Which Ethiopian athlete set the world record for the 2-hour marathon barrier in 2019?</t>
  </si>
  <si>
    <t>Wilson Kipchoge set the 2-hour marathon barrier in 2019.</t>
  </si>
  <si>
    <t>What year did Haile Gebrselassie set the marathon world record in Berlin?</t>
  </si>
  <si>
    <t>A. 2007 B. 2009 C. 2010 D. 2008</t>
  </si>
  <si>
    <t>Haile Gebrselassie set the marathon world record in Berlin in 2008.</t>
  </si>
  <si>
    <t>Who is the first Ethiopian woman to win a gold medal at the World Athletics Championships?</t>
  </si>
  <si>
    <t>A. Mare Dibaba B. Tirunesh Dibaba C. Sifan Hassan D. Meselech Melkamu</t>
  </si>
  <si>
    <t>Tirunesh Dibaba won the gold medal at the World Athletics Championships.</t>
  </si>
  <si>
    <t>Who won the 2020 Tokyo Marathon men's race?</t>
  </si>
  <si>
    <t>A. Eliud Kipchoge B. Tsegaye Kebede C. Mare Dibaba D. Kenenisa Bekele</t>
  </si>
  <si>
    <t>Eliud Kipchoge won the men's race at the 2020 Tokyo Marathon.</t>
  </si>
  <si>
    <t>Which Ethiopian runner is known for his dominance in both the 5,000m and 10,000m events?</t>
  </si>
  <si>
    <t>A. Kenenisa Bekele B. Haile Gebrselassie C. Dennis Kipruto D. Wilson Kipchoge</t>
  </si>
  <si>
    <t>Haile Gebrselassie dominated the 5,000m and 10,000m events.</t>
  </si>
  <si>
    <t>Who won the 2015 Chicago Marathon women's race?</t>
  </si>
  <si>
    <t>A. Tirunesh Dibaba B. Mare Dibaba C. Meselech Melkamu D. Fatuma Roba</t>
  </si>
  <si>
    <t>Tirunesh Dibaba won the 2015 Chicago Marathon women's race.</t>
  </si>
  <si>
    <t>Which athlete holds the current women's marathon world record?</t>
  </si>
  <si>
    <t>A. Brigid Kosgei B. Mare Dibaba C. Sifan Hassan D. Tirunesh Dibaba</t>
  </si>
  <si>
    <t>Brigid Kosgei holds the current women's marathon world record.</t>
  </si>
  <si>
    <t>Which Ethiopian athlete won the 2007 World Championships 10,000m gold medal?</t>
  </si>
  <si>
    <t>A. Tirunesh Dibaba B. Sifan Hassan C. Meselech Melkamu D. Kenenisa Bekele</t>
  </si>
  <si>
    <t>Tirunesh Dibaba won the 2007 World Championships 10,000m gold medal.</t>
  </si>
  <si>
    <t>Who became the first Ethiopian man to win the Boston Marathon?</t>
  </si>
  <si>
    <t>A. Mare Dibaba B. Haile Gebrselassie C. Tsegaye Kebede D. Meselech Melkamu</t>
  </si>
  <si>
    <t>Tsegaye Kebede was the first Ethiopian man to win the Boston Marathon.</t>
  </si>
  <si>
    <t>Which Ethiopian athlete set the record for most marathon victories in major races?</t>
  </si>
  <si>
    <t>A. Haile Gebrselassie B. Kenenisa Bekele C. Wilson Kipchoge D. Tsegaye Kebede</t>
  </si>
  <si>
    <t>Haile Gebrselassie set the record for the most marathon victories in major races.</t>
  </si>
  <si>
    <t>When was the sport of Aba Geda wrestling officially recognized?</t>
  </si>
  <si>
    <t>A. In 1975 B. In 1990 C. In 2000 AD D. In 1950</t>
  </si>
  <si>
    <t>In 1950</t>
  </si>
  <si>
    <t>Aba Geda Wrestling was officially recognized by the Ethiopian Wrestling Federation in 1950.</t>
  </si>
  <si>
    <t>Who is considered the father of the Aba Geda struggle?</t>
  </si>
  <si>
    <t>A. Jamal Ali B. Tadesse Kebede C. Ahmed Zeitu D. Kebede Tsegaye</t>
  </si>
  <si>
    <t>Kebede Tsegaye</t>
  </si>
  <si>
    <t>Kebede Tsegaye is considered the father of wrestling for popularizing the sport.</t>
  </si>
  <si>
    <t>Which region in Ethiopia is famous for the Aba Geda struggle?</t>
  </si>
  <si>
    <t>A. Oromia B. Tigrai C. Southern Nations D. Oromia</t>
  </si>
  <si>
    <t>Oromia</t>
  </si>
  <si>
    <t>The Oromia region is famous for Aba Geda wrestling, and the sport has a rich tradition.</t>
  </si>
  <si>
    <t>Which historical event contributed to the popularity of the Aba Geda struggle?</t>
  </si>
  <si>
    <t>A. The creation of the modern Olympic Games B. Ethiopian Grand Wrestling Championship C. The rise of local wrestling competitions D. Establishment of the Ethiopian Wrestling Federation</t>
  </si>
  <si>
    <t>Establishment of the Ethiopian Wrestling Federation</t>
  </si>
  <si>
    <t>The Ethiopian Wrestling Federation, established in 1950, helped organize and promote the Aba Geda struggle.</t>
  </si>
  <si>
    <t>In which year was the first national Aba Geda wrestling championship held?</t>
  </si>
  <si>
    <t>A. 1970 B. 1980 C. 1990 D. 1960</t>
  </si>
  <si>
    <t>In which international competition did Aba Geda Wrestling first participate?</t>
  </si>
  <si>
    <t>A. African Wrestling Championship B. Pan African Wrestling Championship C. Olympic Games D. African Wrestling Championship</t>
  </si>
  <si>
    <t>African Wrestling Championship</t>
  </si>
  <si>
    <t>Aba Gada Wrestling first participated in the African Wrestling Championship.</t>
  </si>
  <si>
    <t>What kind of struggle is the struggle of Aba Geda based on?</t>
  </si>
  <si>
    <t>A. Freestyle B. Traditional Ethiopian C. Sumo wrestling D. Traditional Ethiopian</t>
  </si>
  <si>
    <t>Traditional Ethiopian</t>
  </si>
  <si>
    <t>The struggle of Aba Geda is based on traditional Ethiopian fighting methods.</t>
  </si>
  <si>
    <t>What was the main goal of the Abba Geda struggle in the early years?</t>
  </si>
  <si>
    <t>A. To honor the gods B. To entertain the royal family C. To resolve disputes D. To select fighters for the army</t>
  </si>
  <si>
    <t>To select fighters for the army</t>
  </si>
  <si>
    <t>Aba Geda's struggle was initially to select fighters for his army.</t>
  </si>
  <si>
    <t>Which of the following influenced the struggle for Aba Geda?</t>
  </si>
  <si>
    <t>A. Somali fighting methods B. Arabic fighting techniques C. Local Ethiopian traditions D. Local Ethiopian traditions</t>
  </si>
  <si>
    <t>Local Ethiopian traditions</t>
  </si>
  <si>
    <t>The struggle of Aba Geda is derived from various local Ethiopian traditions and customs.</t>
  </si>
  <si>
    <t>Who was the first international champion of Aba Geda Wrestling?</t>
  </si>
  <si>
    <t>A. From the land of Issa B. Jamal Ali C. Abdullah Zeitu D. Jamal Ali</t>
  </si>
  <si>
    <t>Jamal Ali</t>
  </si>
  <si>
    <t>Jamal Ali was the first international champion representing Aba Geda wrestling.</t>
  </si>
  <si>
    <t>What role did the Aba Geda Wrestling Championship play in local communities?</t>
  </si>
  <si>
    <t>A. It was a religious ceremony. B. It marks the beginning of the autumn season. C. It was a form of political protest. D. It was a celebration of strength and skill.</t>
  </si>
  <si>
    <t>It was a celebration of strength and skill.</t>
  </si>
  <si>
    <t>The Aba Geda Wrestling Championship primarily celebrated physical fitness.</t>
  </si>
  <si>
    <t>In which year was Aba Geda Wrestling recognized as an official sport in Ethiopia?</t>
  </si>
  <si>
    <t>A. 1975 B. 1985 C. 1995 D. 1975</t>
  </si>
  <si>
    <t>What is the symbolic meaning of the struggle of Abga Geda in Ethiopian culture?</t>
  </si>
  <si>
    <t>A. It represents the unity of the people. B. It symbolizes power over nature. C. It is an honor to the gods. D. It shows the strength of the community.</t>
  </si>
  <si>
    <t>It shows the strength of the community.</t>
  </si>
  <si>
    <t>The struggle of Aba Geda shows the strength and unity of Ethiopian society.</t>
  </si>
  <si>
    <t>Which ethnic group in Ethiopia practiced the Abga Geda struggle?</t>
  </si>
  <si>
    <t>A. Amhara B. Tigrai C. Sidama D. Oromo</t>
  </si>
  <si>
    <t>Oromo</t>
  </si>
  <si>
    <t>The Oromo people are known for their history and experience of the Abba Geda struggle.</t>
  </si>
  <si>
    <t>What was the major change in the struggle for freedom in the 20th century?</t>
  </si>
  <si>
    <t>A. Incorporating international styles B. Formation of national struggle groups C. Move from the countryside to the city D. Formation of national struggle groups</t>
  </si>
  <si>
    <t>Formation of national struggle groups</t>
  </si>
  <si>
    <t>The formation of national wrestling teams was a major development in the 20th century.</t>
  </si>
  <si>
    <t>What does the winner of a wrestling match usually receive?</t>
  </si>
  <si>
    <t>A. Cash prize B. Cup C. Public holiday D. Honorary title</t>
  </si>
  <si>
    <t>Honorary title</t>
  </si>
  <si>
    <t>The winner of the Aba Geda struggle is traditionally given a title of honor by the community.</t>
  </si>
  <si>
    <t>Which famous fighter was a key player in the development of the modern Aba Geda struggle?</t>
  </si>
  <si>
    <t>A. Tadesse Mamo B. Abdi Mohammed C. Simon Tesfaye D. Tadesse Mamo</t>
  </si>
  <si>
    <t>Tadesse Mamo</t>
  </si>
  <si>
    <t>Tadesse Mamo played a major role in the modernization and popularity of the struggle for Abba Geda.</t>
  </si>
  <si>
    <t>What significant challenges did the Abba Geda struggle face in the 1970s?</t>
  </si>
  <si>
    <t>A. Loss of interest among young people B. Competition from Western fighting styles C. Lack of money and resources D. Government restrictions on traditional sports</t>
  </si>
  <si>
    <t>Government restrictions on traditional sports</t>
  </si>
  <si>
    <t>The Aba Geda Struggle faced government restrictions in the 1970s as part of its efforts to modernize Ethiopia.</t>
  </si>
  <si>
    <t>In which year was Aba Geda wrestling first seen in the African Wrestling Championship?</t>
  </si>
  <si>
    <t>A. 1970 B. 1980 C. 1990 D. 1980</t>
  </si>
  <si>
    <t>1980</t>
  </si>
  <si>
    <t>What historical period did Aba Geda wrestling become a popular sport?</t>
  </si>
  <si>
    <t>A. At the beginning of the 20th century B. In the Middle Ages C. At the end of the 20th century D. In the 19th century</t>
  </si>
  <si>
    <t>In the 19th century</t>
  </si>
  <si>
    <t>Aba Geda wrestling emerged as a popular sport in Ethiopia in the 19th century.</t>
  </si>
  <si>
    <t>Who is the first woman to compete at the national level in Abaga Geda Wrestling?</t>
  </si>
  <si>
    <t>A. Ruqayya Mohammed B. Amina Tesfaye C. Saba Ali D. Amina Tesfaye</t>
  </si>
  <si>
    <t>Amina Tesfaye</t>
  </si>
  <si>
    <t>The first woman to participate in the Aba Geda struggle at a national level was Ms. Amina Tesfaye.</t>
  </si>
  <si>
    <t>Which major cultural event depicts the struggle of Aba Geda?</t>
  </si>
  <si>
    <t>A. New Year's holidays B. Oromo Cultural Festival C. Celebration of the Feast of the Cross D. The annual Gada Festival</t>
  </si>
  <si>
    <t>The annual Gada Festival</t>
  </si>
  <si>
    <t>The struggle of the Gada tribe is a key aspect of the annual Gada festival in Ethiopia.</t>
  </si>
  <si>
    <t>In which year did Aba Geda Wrestling first appear in Ethiopian public schools?</t>
  </si>
  <si>
    <t>A. 1975 B. 1985 C. 1995 D. 1985</t>
  </si>
  <si>
    <t>What is the historical significance of the Aba Geda struggle in Ethiopia?</t>
  </si>
  <si>
    <t>A. It's a ritual for young men. B. It is a demonstration of Ethiopian strength. C. It symbolizes the unity of Ethiopian tribes. D. It's a ritual for young men.</t>
  </si>
  <si>
    <t>It's a ritual for young men.</t>
  </si>
  <si>
    <t>Aba Geda Wrestling has historically served as a discipline for young Ethiopian youth.</t>
  </si>
  <si>
    <t>Which historical leader supported the promotion of the Aba Geda struggle?</t>
  </si>
  <si>
    <t>A. Emperor Menelik II B. Emperor Tewodros II C. King Amda Sion D. Emperor Haile Selassie</t>
  </si>
  <si>
    <t>Emperor Haile Selassie</t>
  </si>
  <si>
    <t>Emperor Haile Selassie supported traditional sports such as Aba Geda wrestling.</t>
  </si>
  <si>
    <t>What kind of clothes are worn during the Aba Geda struggle?</t>
  </si>
  <si>
    <t>A. Waistcoat B. Tunic C. Loose pants D. Waistcoat</t>
  </si>
  <si>
    <t>Waistcoat</t>
  </si>
  <si>
    <t>Wrestlers wear loincloths during the Aba Geda wrestling competition.</t>
  </si>
  <si>
    <t>What influence did ancient Ethiopian warriors have on the struggle for Aba Geda?</t>
  </si>
  <si>
    <t>A. Their use of weapons B. Their war strategy C. Their physical endurance D. Their martial arts techniques</t>
  </si>
  <si>
    <t>Their martial arts techniques</t>
  </si>
  <si>
    <t>Ancient Ethiopian warriors contributed martial arts techniques that influenced the fighting style of Abba Geda.</t>
  </si>
  <si>
    <t>In which year did Aba Geda Wrestling see a revival in Ethiopia?</t>
  </si>
  <si>
    <t>A. 2010 B. 2020 C. 1990 D. 2010</t>
  </si>
  <si>
    <t>2010</t>
  </si>
  <si>
    <t>Which ancient Ethiopian king is known for his participation in traditional wrestling?</t>
  </si>
  <si>
    <t>A. King Menelik B. King Haile Selassie C. King Lalibela D. King Menelik</t>
  </si>
  <si>
    <t>Menelik II is known for participating in traditional Ethiopian battles.</t>
  </si>
  <si>
    <t>What kind of audience was there at the Aba Geda wrestling event?</t>
  </si>
  <si>
    <t>A. Local community B. Foreign visitors C. Fighters from neighboring nations D. Local community</t>
  </si>
  <si>
    <t>Local community</t>
  </si>
  <si>
    <t>The Aba Geda wrestling events are traditionally attended by the local community.</t>
  </si>
  <si>
    <t>What were the initial objectives of the Aba Geda struggle?</t>
  </si>
  <si>
    <t>A. Agricultural festivals B. Religious ceremonies C. Celebrating the harvest season D. Military training</t>
  </si>
  <si>
    <t>Military training</t>
  </si>
  <si>
    <t>Aba Geda Wrestling originally served as a military training ground for young men.</t>
  </si>
  <si>
    <t>Which international trend influenced the law of the struggle for freedom?</t>
  </si>
  <si>
    <t>A. Samurai fight B. Sambo C. Traditional Turkish Wrestling D. Greco-Roman</t>
  </si>
  <si>
    <t>Greco-Roman</t>
  </si>
  <si>
    <t>Greco-Roman wrestling has influenced the rules of wrestling in Aba Geda over time.</t>
  </si>
  <si>
    <t>What role did Aba Geda Wrestling play in Ethiopian society during its heyday?</t>
  </si>
  <si>
    <t>A. It was a form of entertainment for royalty. B. It was a religious order. C. It was a display of warrior culture. D. It was a traditional practice to determine leadership.</t>
  </si>
  <si>
    <t>It was a traditional practice to determine leadership.</t>
  </si>
  <si>
    <t>The struggle for the ablution has played a role in determining leadership positions in some Ethiopian societies.</t>
  </si>
  <si>
    <t>In which century did the Ethiopian Geda system change, which influenced the struggle for Aba Geda?</t>
  </si>
  <si>
    <t>A. 17th century B. 18th century C. 19th century D. 16th century</t>
  </si>
  <si>
    <t>16th century</t>
  </si>
  <si>
    <t>The Ethiopian Geda system, which influenced the struggle of Abba Geda, was created in the 16th century.</t>
  </si>
  <si>
    <t>What impact did the Gada system have on Aba Gada's struggle?</t>
  </si>
  <si>
    <t>A. Introduced a standard structure for wrestling matches B. He introduced prize fighting. C. He standardized his fighting techniques. D. He established a hierarchy of fighters.</t>
  </si>
  <si>
    <t>He established a hierarchy of fighters.</t>
  </si>
  <si>
    <t>The Gada system established a hierarchical organization and leadership among the fighters.</t>
  </si>
  <si>
    <t>What was the main reason for introducing the Aba Geda struggle in Ethiopian public schools?</t>
  </si>
  <si>
    <t>A. Preserve cultural heritage B. Promoting national unity C. Train future warriors D. Preserve cultural heritage</t>
  </si>
  <si>
    <t>Preserve cultural heritage</t>
  </si>
  <si>
    <t>The struggle of Aba Geda was introduced to schools to preserve Ethiopian cultural heritage.</t>
  </si>
  <si>
    <t>What is the key aspect of the Aba Geda struggle?</t>
  </si>
  <si>
    <t>A. Focus on conflict techniques B. Using cables C. Use of protective gear D. Focus on conflict techniques</t>
  </si>
  <si>
    <t>Focus on conflict techniques</t>
  </si>
  <si>
    <t>Aba Geda's struggle is known for its strong emphasis on fighting techniques.</t>
  </si>
  <si>
    <t>Who were the early trainers of Aba Geda wrestling?</t>
  </si>
  <si>
    <t>A. Royal Coaches B. Foreign combat specialists C. Professional trainers D. Experienced fighters from local communities</t>
  </si>
  <si>
    <t>Experienced fighters from local communities</t>
  </si>
  <si>
    <t>The early trainers of Aba Geda wrestling were experienced wrestlers from local Ethiopian communities.</t>
  </si>
  <si>
    <t>What is the traditional aspect of the Aba Geda wrestling competition?</t>
  </si>
  <si>
    <t>A. Wrestlers dance before a match B. Fighters must oppose the elder C. Matches are held in public squares. D. Fighters fight until one is pinned.</t>
  </si>
  <si>
    <t>Fighters fight until one is pinned.</t>
  </si>
  <si>
    <t>In Aba Geda Wrestling, the competition continues until one wrestler is pinned.</t>
  </si>
  <si>
    <t>Which event brought the greatest international recognition to the struggle for Abba Geda?</t>
  </si>
  <si>
    <t>A. World Wrestling Championship Winner B. Inclusion in the Olympic Games C. World Wrestling Championship host D. Participation in the Pan African Wrestling Championship</t>
  </si>
  <si>
    <t>Participation in the Pan African Wrestling Championship</t>
  </si>
  <si>
    <t>Aba Geda Wrestling has gained international recognition through its participation in the Pan African Wrestling Championship.</t>
  </si>
  <si>
    <t>In what way did the struggle of Aba Geda reflect Ethiopian cultural values?</t>
  </si>
  <si>
    <t>A. Honor and courage B. Community honor C. All of the above D. All of the above</t>
  </si>
  <si>
    <t>Aba Geda's struggle reflects traditional Ethiopian values ​​such as strength, honor, and community respect.</t>
  </si>
  <si>
    <t>What kind of struggle was being waged before the Aba Geda struggle was established?</t>
  </si>
  <si>
    <t>A. Sumo B. Greco-Roman C. Ethiopian traditional struggle D. Ethiopian traditional struggle</t>
  </si>
  <si>
    <t>Ethiopian traditional struggle</t>
  </si>
  <si>
    <t>Before the Aba Geda struggle, Ethiopian traditional fighting methods were used.</t>
  </si>
  <si>
    <t>What remarkable achievement did the Aba Geda struggle achieve in the 1980s?</t>
  </si>
  <si>
    <t>A. International competitions have been held. B. Introduction to the Olympic Games C. Expansion to neighboring countries D. Formation of the national team</t>
  </si>
  <si>
    <t>Formation of the national team</t>
  </si>
  <si>
    <t>Aba Geda Wrestling was able to establish its national team in the 1980s.</t>
  </si>
  <si>
    <t>Which Ethiopian king was responsible for modernizing traditional sports like Aba Geda wrestling?</t>
  </si>
  <si>
    <t>A. Tewodros II B. Menelik II C. Lalibela D. Haile Selassie</t>
  </si>
  <si>
    <t>Emperor Haile Selassie played a major role in modernizing Ethiopian traditional sports, including Aba Geda wrestling.</t>
  </si>
  <si>
    <t>What part of Ethiopian culture does the struggle of Aba Geda emphasize?</t>
  </si>
  <si>
    <t>A. Physical endurance B. Warrior traditions C. All of the above D. All of the above</t>
  </si>
  <si>
    <t>The struggle of the Aba Geda emphasizes the dignity of the elderly, physical endurance, and warrior traditions.</t>
  </si>
  <si>
    <t>What role did the struggle of Aba Geda play in Ethiopian cultural education?</t>
  </si>
  <si>
    <t>A. It was part of physical education. B. It was a fairy tale. C. It was a way to teach agricultural skills. D. He taught discipline and respect.</t>
  </si>
  <si>
    <t>He taught discipline and respect.</t>
  </si>
  <si>
    <t>Aba Geda Wrestling has played a role in teaching discipline and respect among the youth in Ethiopian society.</t>
  </si>
  <si>
    <t>Which Ethiopian festival often features Aba Geda wrestling competitions?</t>
  </si>
  <si>
    <t>A. Epiphany B. New Year C. Adwa Victory Day D. Epiphany</t>
  </si>
  <si>
    <t>The Ethiopian baptismal festival of Ikkeke often features the struggle of Abba Geda as part of the celebration.</t>
  </si>
  <si>
    <t>Who was traditionally responsible for organizing the Aba Geda fighting events?</t>
  </si>
  <si>
    <t>A. Religious leaders B. Government officials C. Royalty D. Local elders</t>
  </si>
  <si>
    <t>Local elders</t>
  </si>
  <si>
    <t>Local elders were traditionally responsible for organizing Abba Geda wrestling events in Ethiopian communities.</t>
  </si>
  <si>
    <t>Which animal is symbolically associated with strength in the struggle for freedom?</t>
  </si>
  <si>
    <t>A. Elephant B. Horse C. Cheetah D. Lion</t>
  </si>
  <si>
    <t>Lion</t>
  </si>
  <si>
    <t>In the struggle for Aba Geda, the lion is symbolically associated with strength and bravery.</t>
  </si>
  <si>
    <t>What is the primary skill that is focused on in the struggle of Abba Gada?</t>
  </si>
  <si>
    <t>A. Hit B. Perseverance. C. Speed D. Collision</t>
  </si>
  <si>
    <t>Collision</t>
  </si>
  <si>
    <t>Aba Geda Wrestling primarily emphasizes wrestling techniques during competitions.</t>
  </si>
  <si>
    <t>Which Ethiopian region is known for the Aba Geda struggle?</t>
  </si>
  <si>
    <t>A. Amhara B. Tigrai C. Somali D. Oromia</t>
  </si>
  <si>
    <t>The struggle for Abba Geda is closely linked to the Oromia region in Ethiopia.</t>
  </si>
  <si>
    <t>What cultural role did the Aba Geda struggle play in Ethiopian leadership?</t>
  </si>
  <si>
    <t>A. It was used to resolve disputes. B. It was a kind of military training. C. It was used to test bravery. D. It was a system of becoming a leader.</t>
  </si>
  <si>
    <t>It was a system of becoming a leader.</t>
  </si>
  <si>
    <t>The struggle for the Aba Geda was seen as a leadership system in certain Ethiopian communities.</t>
  </si>
  <si>
    <t>Which historical period saw the struggle of Aba Geda as a sport?</t>
  </si>
  <si>
    <t>A. During the reign of Emperor Haile Selassie B. In the 20th century C. During the Italian invasion D. During the reign of Emperor Menelik II</t>
  </si>
  <si>
    <t>During the reign of Emperor Menelik II</t>
  </si>
  <si>
    <t>The sport of Aba Geda wrestling was formalized during the reign of Emperor Menelik II.</t>
  </si>
  <si>
    <t>Which famous Ethiopian sportsman contributed to the modernization of the Aba Geda struggle?</t>
  </si>
  <si>
    <t>A. Haile Gebrselassie B. Tiki Galana C. My father-in-law D. Kenenisa Bekele</t>
  </si>
  <si>
    <t>Kenenisa Bekele helped promote and modernize traditional Ethiopian sports, including Aba Geda wrestling.</t>
  </si>
  <si>
    <t>Which Ethiopian holiday is associated with the Aba Geda struggle?</t>
  </si>
  <si>
    <t>A. Enkutatash (Ethiopian New Year) B. Baptism (Epiphany) C. Finding of the True Cross D. Easter (Ethiopian Orthodox Christmas)</t>
  </si>
  <si>
    <t>Easter (Ethiopian Orthodox Christmas)</t>
  </si>
  <si>
    <t>Easter, the Ethiopian Orthodox Tewahedo Christmas holiday, often featured Abba Geda wrestling competitions.</t>
  </si>
  <si>
    <t>What is the key physical characteristic for success in the struggle for freedom?</t>
  </si>
  <si>
    <t>A. Flexibility B. Perseverance. C. Technique D. Strength</t>
  </si>
  <si>
    <t>Strength</t>
  </si>
  <si>
    <t>Strength is a key physical attribute for success in wrestling.</t>
  </si>
  <si>
    <t>Which global struggle strategy influenced the struggle for Aba Geda?</t>
  </si>
  <si>
    <t>A. Greco-Roman wrestling B. Judo C. Sambo D. Greco-Roman wrestling</t>
  </si>
  <si>
    <t>Greco-Roman wrestling</t>
  </si>
  <si>
    <t>Greco-Roman wrestling influenced the rules and techniques of Aba Geda wrestling.</t>
  </si>
  <si>
    <t>What kind of ritual is performed before the Aba Geda fight?</t>
  </si>
  <si>
    <t>A. Dance ceremonies B. Meditation C. Animal sacrifices D. With the blessings of the elders</t>
  </si>
  <si>
    <t>With the blessings of the elders</t>
  </si>
  <si>
    <t>Before the Aba Geda wrestling competition, the competitors receive blessings and good luck from local elders.</t>
  </si>
  <si>
    <t>What is the main goal of the Aba Geda struggle?</t>
  </si>
  <si>
    <t>A. To throw the opponent out of the ring B. To get many points C. To weaken the opponent D. To pin the opponent</t>
  </si>
  <si>
    <t>To pin the opponent</t>
  </si>
  <si>
    <t>The main goal of a wrestling match is to knock the opponent to the ground.</t>
  </si>
  <si>
    <t>What unique characteristic distinguishes Aba Geda wrestling from other traditional wrestling styles?</t>
  </si>
  <si>
    <t>A. It only uses hand-to-hand combat. B. It is both a sport and a form of worship. C. Includes dance activities D. It is both a sport and a form of worship.</t>
  </si>
  <si>
    <t>It is both a sport and a form of worship.</t>
  </si>
  <si>
    <t>Aba Geda wrestling is unique in that it combines sports activities and rituals.</t>
  </si>
  <si>
    <t>What is the most common fighting location for the Aba Geda struggle?</t>
  </si>
  <si>
    <t>A. Grass B. Earth C. Wooden floors D. Earth</t>
  </si>
  <si>
    <t>Earth</t>
  </si>
  <si>
    <t>The traditional wrestling match is held on the ground or in a dirt field.</t>
  </si>
  <si>
    <t>How does one win the fight against Aba Gada?</t>
  </si>
  <si>
    <t>A. Pinning the opponent to the ground B. By scoring many points C. Breaking down the opponent's defense D. Pinning the opponent to the ground</t>
  </si>
  <si>
    <t>Pinning the opponent to the ground</t>
  </si>
  <si>
    <t>He won the match by pinning his opponent to the ground in Aba Geda Wrestling.</t>
  </si>
  <si>
    <t>What is the primary cultural significance of the Aba Geda struggle in Ethiopia?</t>
  </si>
  <si>
    <t>A. Preserves cultural values B. It is used as a ritual. C. All of the above D. All of the above</t>
  </si>
  <si>
    <t>The struggle of the Abba Geda plays a role in fostering unity, preserving traditions, and serving in an orderly manner.</t>
  </si>
  <si>
    <t>Who were the traditional supporters of Aba Geda's wrestling events?</t>
  </si>
  <si>
    <t>A. Rich merchants B. Religious images C. Warriors D. Local community leaders</t>
  </si>
  <si>
    <t>Local community leaders</t>
  </si>
  <si>
    <t>Local community leaders were supporters of the Aba Geda struggle tradition.</t>
  </si>
  <si>
    <t>Which animal is the symbol of speed in the struggle for freedom?</t>
  </si>
  <si>
    <t>A. Antelope B. Falcon C. Lion D. Cheetah</t>
  </si>
  <si>
    <t>Cheetah</t>
  </si>
  <si>
    <t>In the struggle for freedom, the cheetah serves as a symbol of speed and agility.</t>
  </si>
  <si>
    <t>Which part of the body was most affected in the Aba Geda struggle?</t>
  </si>
  <si>
    <t>A. Feet B. Arms C. Neck D. Back</t>
  </si>
  <si>
    <t>Back</t>
  </si>
  <si>
    <t>In Aba Geda Wrestling, wrestlers focus on their back wrestling techniques.</t>
  </si>
  <si>
    <t>What kind of shoes does Aba Geda wear during the struggle?</t>
  </si>
  <si>
    <t>A. Leather boots B. Rubber shoes C. Socks D. Barefoot</t>
  </si>
  <si>
    <t>Barefoot</t>
  </si>
  <si>
    <t>Wrestlers in Aba Geda Wrestling compete barefoot.</t>
  </si>
  <si>
    <t>What role do spectators play during a wrestling match?</t>
  </si>
  <si>
    <t>A. They will referee the matches. B. They help the fighters. C. They choose the winner. D. They encourage competitors.</t>
  </si>
  <si>
    <t>They encourage competitors.</t>
  </si>
  <si>
    <t>In Aba Geda wrestling matches, the audience plays a significant role in encouraging and supporting the wrestlers.</t>
  </si>
  <si>
    <t>What is the atmosphere like around the Aba Geda wrestling events?</t>
  </si>
  <si>
    <t>A. Relaxed and casual B. Strong and competitive C. Fun and enjoyable D. Fun and enjoyable</t>
  </si>
  <si>
    <t>Fun and enjoyable</t>
  </si>
  <si>
    <t>Aba Geda wrestling events often have a fun and exciting atmosphere.</t>
  </si>
  <si>
    <t>Which modern sport is similar to Aba Geda wrestling?</t>
  </si>
  <si>
    <t>A. Boxing B. Mixed martial arts C. Judo D. Olympic wrestling</t>
  </si>
  <si>
    <t>Olympic wrestling</t>
  </si>
  <si>
    <t>Aba Geda Wrestling has similarities to Olympic wrestling in terms of technique and fighting.</t>
  </si>
  <si>
    <t>Which skill is especially useful for fighting abbots?</t>
  </si>
  <si>
    <t>A. Strength B. Speed C. Mind games D. Balance</t>
  </si>
  <si>
    <t>Balance</t>
  </si>
  <si>
    <t>Balance is a crucial skill in wrestling to maintain control during the game.</t>
  </si>
  <si>
    <t>What does the starting point of the Aba Geda struggle look like?</t>
  </si>
  <si>
    <t>A. On your knees B. One hand on the ground C. Curved position D. To stand in front of</t>
  </si>
  <si>
    <t>To stand in front of</t>
  </si>
  <si>
    <t>The traditional starting point in the struggle for freedom is facing the opposition.</t>
  </si>
  <si>
    <t>What type of fighting style is most commonly used in the Aba Geda struggle?</t>
  </si>
  <si>
    <t>A. Hip thrusting B. Head lock C. Double leg takedown D. Hip thrusting</t>
  </si>
  <si>
    <t>Hip thrusting</t>
  </si>
  <si>
    <t>One of the most commonly used techniques in Aba Geda wrestling is the hip toss.</t>
  </si>
  <si>
    <t>What is the nature of the opposition body targeted during a typical Aba Geda struggle?</t>
  </si>
  <si>
    <t>A. Body B. Arms C. Head D. Body</t>
  </si>
  <si>
    <t>Body</t>
  </si>
  <si>
    <t>The typical Aba Geda combat movement targets the opponent's body for effective control.</t>
  </si>
  <si>
    <t>Aba Geda Wrestling is usually part of which competition?</t>
  </si>
  <si>
    <t>A. National competitions B. Military training C. School competitions D. Festivals</t>
  </si>
  <si>
    <t>Festivals</t>
  </si>
  <si>
    <t>The Aba Geda struggle is part of Ethiopian festivals and community gatherings.</t>
  </si>
  <si>
    <t>What is the name of the wrestling style of Abaga Geda that involves the use of minimal force?</t>
  </si>
  <si>
    <t>A. Saha B. Teff C. Solve D. Saha</t>
  </si>
  <si>
    <t>Saha</t>
  </si>
  <si>
    <t>The Saha style in the Aba Geda struggle emphasizes less force and more strategic movement.</t>
  </si>
  <si>
    <t>What does the word 'Gada' mean in the struggle for Abba Gada?</t>
  </si>
  <si>
    <t>A. Specific combat activity B. A warrior's level C. Venue for matches D. Level of success</t>
  </si>
  <si>
    <t>Level of success</t>
  </si>
  <si>
    <t>In Aba Geda wrestling, 'Geda' refers to the level or level of achievement in the sport.</t>
  </si>
  <si>
    <t>How do Aba Geda Wrestling competitors typically match up?</t>
  </si>
  <si>
    <t>A. In size B. By experience C. By region D. In size</t>
  </si>
  <si>
    <t>In size</t>
  </si>
  <si>
    <t>Competitors in Aba Geda Wrestling are matched in size and physical characteristics.</t>
  </si>
  <si>
    <t>Which part of the body is protected by the wrestlers during the game?</t>
  </si>
  <si>
    <t>A. The stomach B. Back C. Feet D. Neck</t>
  </si>
  <si>
    <t>Neck</t>
  </si>
  <si>
    <t>In the struggle for freedom, the neck is a body part that is often protected due to its vulnerability.</t>
  </si>
  <si>
    <t>What is the main reason for the institutional elements in the Aba Geda struggle?</t>
  </si>
  <si>
    <t>A. To honor ancestors B. To intimidate opponents C. To clear the stage D. To honor ancestors</t>
  </si>
  <si>
    <t>To honor ancestors</t>
  </si>
  <si>
    <t>The main rituals in the Aba Geda struggle are to honor the ancestors and their traditions.</t>
  </si>
  <si>
    <t>What is the characteristic of the Gedah warrior's attire?</t>
  </si>
  <si>
    <t>A. Protective armor B. Special boots C. Decorated headband D. Simple cloth belt</t>
  </si>
  <si>
    <t>Simple cloth belt</t>
  </si>
  <si>
    <t>Geda wrestlers traditionally wear a simple cloth belt as part of their attire during the match.</t>
  </si>
  <si>
    <t>How are the skills of a wrestler often passed down?</t>
  </si>
  <si>
    <t>A. Through written manuals B. In regular education C. On TV matches D. Oral lessons</t>
  </si>
  <si>
    <t>Oral lessons</t>
  </si>
  <si>
    <t>The skills of a Geda fighter are traditionally passed down through oral instruction and practical demonstration.</t>
  </si>
  <si>
    <t>What is the sign of respect in the Aba Geda massacre?</t>
  </si>
  <si>
    <t>A. Handshake after the game B. Speaking to the opponent before the game C. Kneeling before the elders D. Handshake after the game</t>
  </si>
  <si>
    <t>Handshake after the game</t>
  </si>
  <si>
    <t>In wrestling, shaking hands after a match is considered a sign of respect.</t>
  </si>
  <si>
    <t>Which event is the Aba Geda wrestling competition held alongside other traditional Ethiopian sports?</t>
  </si>
  <si>
    <t>A. Sand B. Adwa Victory Day C. Finding of the True Cross D. Epiphany</t>
  </si>
  <si>
    <t>Aba Geda wrestling is often seen at the Dimekke Festival, along with other traditional Ethiopian sports.</t>
  </si>
  <si>
    <t>What is the key advantage of the Abga Geda struggle compared to other struggle strategies?</t>
  </si>
  <si>
    <t>A. Focuses only on physical strength B. Includes dance-like movements C. No formal training required D. It combines mental and physical strength.</t>
  </si>
  <si>
    <t>It combines mental and physical strength.</t>
  </si>
  <si>
    <t>The key advantage of Aba Geda wrestling lies in the combination of mental and physical strength in its techniques.</t>
  </si>
  <si>
    <t>Which of the following is important for the struggle against Aba Geda?</t>
  </si>
  <si>
    <t>A. Mental strategy B. Technology tools C. Social connections D. Mental strategy</t>
  </si>
  <si>
    <t>Mental strategy</t>
  </si>
  <si>
    <t>Mental strategy is crucial to the success of a wrestling match because it involves carefully planning and thinking about the opponent.</t>
  </si>
  <si>
    <t>What kind of audience is most likely to be present at the Aba Geda wrestling events?</t>
  </si>
  <si>
    <t>A. Foreign tourists B. Government officials C. Famous athletes D. Community members</t>
  </si>
  <si>
    <t>Community members</t>
  </si>
  <si>
    <t>The audience at the Aba Geda wrestling event is typically made up of members of the local community, who gather to celebrate the tradition.</t>
  </si>
  <si>
    <t>What kind of celebrations follow the victory at the Battle of Aba Geda?</t>
  </si>
  <si>
    <t>A. Religious ceremonies B. Sports festivals C. National rallies D. Community festivals</t>
  </si>
  <si>
    <t>Community festivals</t>
  </si>
  <si>
    <t>Victories in the Battle of Aba Geda are often celebrated with community feasts and gatherings.</t>
  </si>
  <si>
    <t>What is the purpose of the title "Gada" in terms of the sport?</t>
  </si>
  <si>
    <t>A. To indicate a combat zone. B. To mark the start of the match C. To suggest punishment D. To indicate the highest level of success.</t>
  </si>
  <si>
    <t>To indicate the highest level of success.</t>
  </si>
  <si>
    <t>The title 'Geda' is a symbol of the highest victory a fighter can achieve in the struggle for freedom.</t>
  </si>
  <si>
    <t>What is the usual procedure before entering the ring for an Aba Geda wrestling competition?</t>
  </si>
  <si>
    <t>A. Stretchable heater B. prayer C. Formal handshake D. Spiritual cleansing ritual</t>
  </si>
  <si>
    <t>Spiritual cleansing ritual</t>
  </si>
  <si>
    <t>A spiritual cleansing ritual is typically performed as part of the ritual before entering the ring.</t>
  </si>
  <si>
    <t>In which wrestling match do the competitors use their hands and feet equally?</t>
  </si>
  <si>
    <t>A. Saha style B. Traditional style C. Modern style D. Gada style</t>
  </si>
  <si>
    <t>Gada style</t>
  </si>
  <si>
    <t>In the Gada Aba Gada wrestling style, both hands and feet are used equally for fighting and defense.</t>
  </si>
  <si>
    <t>Which region's cultural heritage is reflected in the Aba Geda wrestling tradition?</t>
  </si>
  <si>
    <t>A. Amhara B. Tigrai C. Benishangul Gumuz D. Oromia</t>
  </si>
  <si>
    <t>The struggle of Aba Geda shows the cultural heritage of the Oromia region of Ethiopia.</t>
  </si>
  <si>
    <t>Which historical Ethiopian is associated with the expansion of the Aba Geda struggle?</t>
  </si>
  <si>
    <t>A. Empress Taitu B. Haile Selassie C. Emperor Haile Melekot D. Emperor Menelik II</t>
  </si>
  <si>
    <t>Emperor Menelik II</t>
  </si>
  <si>
    <t>Emperor Menelik II played a major role in promoting traditional Ethiopian sports such as Aba Geda wrestling.</t>
  </si>
  <si>
    <t>What kind of environment is suitable for hosting the Aba Geda struggle?</t>
  </si>
  <si>
    <t>A. Indoor platforms B. Mountainous areas C. Riverside areas D. Open fields</t>
  </si>
  <si>
    <t>Open fields</t>
  </si>
  <si>
    <t>The Aba Geda wrestling is traditionally held in the open field during festivals and community gatherings.</t>
  </si>
  <si>
    <t>What was the significant historical role of the Aba Geda struggle?</t>
  </si>
  <si>
    <t>A. To entertain the knights B. To train warriors C. To teach survival skills D. To prepare young men for leadership roles</t>
  </si>
  <si>
    <t>To prepare young men for leadership roles</t>
  </si>
  <si>
    <t>A significant historical role of the Abba Geda struggle was to prepare young people for leadership and community roles.</t>
  </si>
  <si>
    <t>What is the main purpose of wrestling during the Aba Geda wrestling tournament?</t>
  </si>
  <si>
    <t>A. To extend the opponent B. To force the opponent to surrender C. To get many points D. To pin the opponent</t>
  </si>
  <si>
    <t>The main goal of Aba Geda Wrestling is to dominate the opponent in the game.</t>
  </si>
  <si>
    <t>Which of the following is a characteristic of Aba Geda wrestling matches?</t>
  </si>
  <si>
    <t>A. There is no time limit. B. They are evaluated on points. C. They are decided by public opinion. D. They last for many hours.</t>
  </si>
  <si>
    <t>They last for many hours.</t>
  </si>
  <si>
    <t>Aba Geda wrestling matches last for many hours and are tests of endurance for the competitors.</t>
  </si>
  <si>
    <t>What profession was the focus of the training of Aba Geda fighters?</t>
  </si>
  <si>
    <t>A. Strength B. strategies C. Perseverance. D. Perseverance.</t>
  </si>
  <si>
    <t>Perseverance.</t>
  </si>
  <si>
    <t>The training given to Aba Geda wrestlers to prepare them for long and grueling matches is focused on perseverance.</t>
  </si>
  <si>
    <t>What kind of event was celebrated with the Aba Geda fight in Ethiopian culture?</t>
  </si>
  <si>
    <t>A. Epiphany B. New Year C. Sand D. Epiphany</t>
  </si>
  <si>
    <t>The struggle for Abba Geda is part of the Epiphany, a major religious holiday in Ethiopia.</t>
  </si>
  <si>
    <t>What are the characteristics of a good Aba Geda fighter?</t>
  </si>
  <si>
    <t>A. Physical fitness B. Speed C. Size D. Mental resistance</t>
  </si>
  <si>
    <t>Mental resistance</t>
  </si>
  <si>
    <t>A good wrestler is known for his mental toughness, especially under pressure.</t>
  </si>
  <si>
    <t>What is the key characteristic that distinguishes the struggle of Aba Geda from other struggle styles?</t>
  </si>
  <si>
    <t>A. Emphasis on ground combat B. Use of weapons C. There is no physical contact. D. Focus on throwing.</t>
  </si>
  <si>
    <t>Focus on throwing.</t>
  </si>
  <si>
    <t>Aba Geda wrestling is distinguished by its emphasis on strong throwing and grappling techniques.</t>
  </si>
  <si>
    <t>How do Abba Geda wrestling matches typically end?</t>
  </si>
  <si>
    <t>A. By decision of the judges B. When the opponent surrenders C. When the opponent surrenders D. By pin</t>
  </si>
  <si>
    <t>By pin</t>
  </si>
  <si>
    <t>Matches end with a pin, where one wrestler remains down for a certain period of time.</t>
  </si>
  <si>
    <t>Which of the following best describes the situation during the typical Aba Geda struggle?</t>
  </si>
  <si>
    <t>A. Crouched B. Kneeling on one knee C. Lying on the back D. Stand up straight</t>
  </si>
  <si>
    <t>Stand up straight</t>
  </si>
  <si>
    <t>In Aba Geda Wrestling, competitors often start in a standing position, ready to engage.</t>
  </si>
  <si>
    <t>What is the significance of the title of Gada in the context of the struggle?</t>
  </si>
  <si>
    <t>A. It is the name of a fighting style. B. Refers to the equipment used in the sport C. Indicates the length of the race. D. Indicates the level of struggle.</t>
  </si>
  <si>
    <t>Indicates the level of struggle.</t>
  </si>
  <si>
    <t>The rank of a wrestler represents the wrestler's rank and level of experience in the sport.</t>
  </si>
  <si>
    <t>Which part of the body was attacked during the Aba Geda struggle?</t>
  </si>
  <si>
    <t>A. come back B. Feet C. Arms D. Neck</t>
  </si>
  <si>
    <t>During the struggle for Aba Geda, Anget was considered one of the areas most vulnerable to attack.</t>
  </si>
  <si>
    <t>What is the cultural perception of spectators at Aba Geda wrestling events?</t>
  </si>
  <si>
    <t>A. Indifferent B. Competitor C. Critical D. Supportive and respectful</t>
  </si>
  <si>
    <t>Supportive and respectful</t>
  </si>
  <si>
    <t>Spectators at the Aba Geda wrestling event are traditionally supportive and respectful of the wrestlers.</t>
  </si>
  <si>
    <t>What role do elders play in the struggle against Aba Geda?</t>
  </si>
  <si>
    <t>A. Coaches B. Viewers C. They don't play a role. D. Judges and jurors</t>
  </si>
  <si>
    <t>Judges and jurors</t>
  </si>
  <si>
    <t>Elders often serve as judges and referees, helping to ensure fairness and consistency in matches.</t>
  </si>
  <si>
    <t>A. Italian invasion B. Conquest of neighboring regions C. Establishment of a prison system D. Establishment of a prison system</t>
  </si>
  <si>
    <t>Establishment of a prison system</t>
  </si>
  <si>
    <t>The Gedah system established in Ethiopian society has contributed greatly to the popularity of the Abba Gedah struggle.</t>
  </si>
  <si>
    <t>In which Ethiopian region is the struggle for Aba Geda particularly prominent?</t>
  </si>
  <si>
    <t>The struggle for the Aba Geda is taking place extensively in the Oromia region.</t>
  </si>
  <si>
    <t>What is the most important value that the struggle of Abba Geda promotes?</t>
  </si>
  <si>
    <t>A. Honor and glory B. Victory at all costs C. Aggression D. Honor and glory</t>
  </si>
  <si>
    <t>Honor and glory</t>
  </si>
  <si>
    <t>The struggle of the Aba Geda promotes the values ​​of respect, honor, and fair competition.</t>
  </si>
  <si>
    <t>Which animal is symbolically associated with the struggle of Aba Geda?</t>
  </si>
  <si>
    <t>A. Elephant B. Cheetah C. Horse D. Lion</t>
  </si>
  <si>
    <t>The lion is often associated with the struggle of the Aba Geda, symbolizing strength and courage.</t>
  </si>
  <si>
    <t>What harm is there in the struggle against Aba Gada?</t>
  </si>
  <si>
    <t>A. Fracture B. shaking C. Cutting and slicing D. Cracks and wounds</t>
  </si>
  <si>
    <t>Cracks and wounds</t>
  </si>
  <si>
    <t>Sprains and strains are common injuries due to the physical nature of the sport.</t>
  </si>
  <si>
    <t>What does the training look like with a focus on the Aba Geda struggle?</t>
  </si>
  <si>
    <t>A. Endurance and strength B. Flexibility C. Technical accuracy D. Endurance and strength</t>
  </si>
  <si>
    <t>Endurance and strength</t>
  </si>
  <si>
    <t>For Abba Geda, wrestling training places a strong emphasis on building endurance and physical strength.</t>
  </si>
  <si>
    <t>What role does music play in the struggle for Aba Gada?</t>
  </si>
  <si>
    <t>A. Indicates the start of a match. B. It goes along with the ritual of the match. C. It is not used in the struggle for Aba Gada. D. It goes along with the ritual of the match.</t>
  </si>
  <si>
    <t>It goes along with the ritual of the match.</t>
  </si>
  <si>
    <t>Music is often used to accompany traditional ceremonies and enhance the atmosphere of the game.</t>
  </si>
  <si>
    <t>Which of the following is a key characteristic of the Gada Tagaytay fighting style?</t>
  </si>
  <si>
    <t>A. Heavy dependence on hitting B. A combination of hitting and throwing C. Excessive use of force D. A combination of hitting and throwing</t>
  </si>
  <si>
    <t>A combination of hitting and throwing</t>
  </si>
  <si>
    <t>Gada wrestling strategically combines grappling and throwing techniques.</t>
  </si>
  <si>
    <t>What is the purpose of the initial stance of the fight in the Battle of Aba Gada?</t>
  </si>
  <si>
    <t>A. To set the pace of the match B. To intimidate the opponent C. To show respect D. To assess the opponent's strength</t>
  </si>
  <si>
    <t>To assess the opponent's strength</t>
  </si>
  <si>
    <t>The starting position in the Aba Geda struggle is to assess the opponent's strength and strategy.</t>
  </si>
  <si>
    <t>What happens if both wrestlers fail to pin their opponents within a certain time?</t>
  </si>
  <si>
    <t>A. The winner is determined by points. B. The game will continue indefinitely. C. The match has restarted. D. The game is a draw.</t>
  </si>
  <si>
    <t>The game is a draw.</t>
  </si>
  <si>
    <t>If both opponents fail to face their opponents, the game ends in a draw.</t>
  </si>
  <si>
    <t>What is essential for a successful Aba Geda fighting technique?</t>
  </si>
  <si>
    <t>A. Positioning and balance B. Strength and power C. Perseverance. D. Positioning and balance</t>
  </si>
  <si>
    <t>Positioning and balance</t>
  </si>
  <si>
    <t>Positioning and balance are crucial to implementing successful techniques in grappling.</t>
  </si>
  <si>
    <t>What do Aba Geda wrestlers typically wear during competitions?</t>
  </si>
  <si>
    <t>A. Full body armor B. Special shoes C. Headscarf and gloves D. Traditional cloth belts</t>
  </si>
  <si>
    <t>Traditional cloth belts</t>
  </si>
  <si>
    <t>Aba Geda wrestlers wear their uniforms as a traditional belt during competitions.</t>
  </si>
  <si>
    <t>What is the best outcome for the fighter in the Aba Geda struggle?</t>
  </si>
  <si>
    <t>A. To present the opponent B. To pin the opponent C. To persevere and win D. To pin the opponent</t>
  </si>
  <si>
    <t>For a wrestler in Aba Geda Wrestling, the best outcome is to crush their opponent.</t>
  </si>
  <si>
    <t>What is the traditional ritual before the Aba Geda fight?</t>
  </si>
  <si>
    <t>A. Lighting ceremonial fires B. Offering a sacrifice C. Silent prayer D. With the blessings of the elders</t>
  </si>
  <si>
    <t>Before a match, wrestlers often receive blessings from elders as a matter of respect and tradition.</t>
  </si>
  <si>
    <t>What is the key difference between wrestling in the Aba Geda and Olympic wrestling?</t>
  </si>
  <si>
    <t>A. Length of the match B. Techniques used C. Cultural significance D. Cultural significance</t>
  </si>
  <si>
    <t>Cultural significance</t>
  </si>
  <si>
    <t>The wrestling of Aba Geda has a deeper cultural and traditional significance compared to Olympic wrestling.</t>
  </si>
  <si>
    <t>What is one of the main reasons why the struggle of Abba Geda is important in the Oromo community?</t>
  </si>
  <si>
    <t>A. It serves as preparation for military service. B. It is a religious system. C. It is a way to make a living. D. It is a religious system.</t>
  </si>
  <si>
    <t>It is a religious system.</t>
  </si>
  <si>
    <t>Aba Geda wrestling is often a ritual for young men in Oromo society.</t>
  </si>
  <si>
    <t>Which of the following is the basic principle of the Abgade struggle?</t>
  </si>
  <si>
    <t>A. Respect for the opposition B. It ends quickly. C. Physical superiority D. Respect for the opposition</t>
  </si>
  <si>
    <t>Respect for the opposition</t>
  </si>
  <si>
    <t>One of the fundamental principles emphasized in the Aba Geda struggle is respect for opponents.</t>
  </si>
  <si>
    <t>Who traditionally organizes the Aba Geda wrestling tournaments?</t>
  </si>
  <si>
    <t>A. Religious leaders B. Local community leaders C. International organizations D. Local community leaders</t>
  </si>
  <si>
    <t>The Aba Geda wrestling competition is traditionally organized by local community leaders.</t>
  </si>
  <si>
    <t>What is the role of the audience during the Aba Geda struggle?</t>
  </si>
  <si>
    <t>A. be quiet B. Give advice to the struggling C. Give moral support. D. Give moral support.</t>
  </si>
  <si>
    <t>Give moral support.</t>
  </si>
  <si>
    <t>During the game, the audience provides moral support and encourages the fighters.</t>
  </si>
  <si>
    <t>Which of the following skills was not developed by the Abga Geda fighters?</t>
  </si>
  <si>
    <t>A. Knowledge of combat techniques B. Physical strength C. Knowledge of agricultural practices D. Knowledge of agricultural practices</t>
  </si>
  <si>
    <t>Knowledge of agricultural practices</t>
  </si>
  <si>
    <t>While physical strength and mental toughness are emphasized, knowledge of agricultural practices is not a skill typically developed in the struggle for independence.</t>
  </si>
  <si>
    <t>What kind of shoes does Aba Geda wear in the struggle?</t>
  </si>
  <si>
    <t>A. Barefoot B. Soft shoes C. Boots D. Barefoot</t>
  </si>
  <si>
    <t>The fighters of Aba Geda compete barefoot to maintain their connection to the land.</t>
  </si>
  <si>
    <t>What is the key value that was instilled in young fighters during the Aba Geda wrestling training?</t>
  </si>
  <si>
    <t>A. Competitive attack B. Personal success C. Teamwork D. Self-control</t>
  </si>
  <si>
    <t>Self-control</t>
  </si>
  <si>
    <t>Self-control is a key value instilled in young wrestlers during training.</t>
  </si>
  <si>
    <t>How do the fighters of Aba Geda show their respect for their opponents?</t>
  </si>
  <si>
    <t>A. By shaking hands B. By presenting a ceremonial gift C. Maintaining a stable character D. By shaking hands</t>
  </si>
  <si>
    <t>By shaking hands</t>
  </si>
  <si>
    <t>Wrestlers often show respect by shaking hands before and after a match.</t>
  </si>
  <si>
    <t>What competition format is used in Aba Geda wrestling?</t>
  </si>
  <si>
    <t>A. Round-robin format B. Football tournament C. One-on-one matches D. One-on-one matches</t>
  </si>
  <si>
    <t>One-on-one matches</t>
  </si>
  <si>
    <t>Matches at Aba Geda Wrestling are typically one-on-one, with the winner determined by pin or submission.</t>
  </si>
  <si>
    <t>What is the significance of the Aba Geda wrestling match?</t>
  </si>
  <si>
    <t>A. Time will decide the winner. B. Matches can last indefinitely. C. It is inappropriate to give time. D. Matches can last indefinitely.</t>
  </si>
  <si>
    <t>Matches can last indefinitely.</t>
  </si>
  <si>
    <t>Wrestling matches in Aba Geda last a long time and can continue indefinitely without a time limit.</t>
  </si>
  <si>
    <t>Which of the following is most commonly used by wrestlers during a wrestling match?</t>
  </si>
  <si>
    <t>A. Foot scrubbing B. Shared locks C. Barriers D. Foot scrubbing</t>
  </si>
  <si>
    <t>Foot scrubbing</t>
  </si>
  <si>
    <t>During a grappling match, a leg brace is often used to keep the opponent off balance.</t>
  </si>
  <si>
    <t>What is the primary focus of wrestling when performing takedowns in Aba Geda Wrestling?</t>
  </si>
  <si>
    <t>A. To show control B. To pin the opponent C. To inflict pain D. To show control</t>
  </si>
  <si>
    <t>To show control</t>
  </si>
  <si>
    <t>The primary focus of a takedown is to demonstrate control over the opponent.</t>
  </si>
  <si>
    <t>What is the common characteristic of the carpet used in the Aba Geda struggle?</t>
  </si>
  <si>
    <t>A. It is made of straw. B. It is made of soft fabric. C. It is made of stone. D. It is made of sand.</t>
  </si>
  <si>
    <t>It is made of sand.</t>
  </si>
  <si>
    <t>Since wrestling is a traditional aspect of Aba Geda, matches are often held on a sand mat.</t>
  </si>
  <si>
    <t>How does the winner of the Aba Geda wrestling match celebrate their victory?</t>
  </si>
  <si>
    <t>A. By speaking B. Receiving a traditional award C. Performing a victory dance D. Raising their hands in victory</t>
  </si>
  <si>
    <t>Raising their hands in victory</t>
  </si>
  <si>
    <t>Winners raise their arms in triumph to celebrate their victory and their strength.</t>
  </si>
  <si>
    <t>What role does strategy play in the struggle for Aba Gada?</t>
  </si>
  <si>
    <t>A. Strategy is crucial to success. B. Strategy is used only for defense. C. Not necessary D. Strategy is crucial to success.</t>
  </si>
  <si>
    <t>Strategy is crucial to success.</t>
  </si>
  <si>
    <t>Strategy is key in the Aba Geda struggle, as fighters must outsmart their opponents.</t>
  </si>
  <si>
    <t>In what historical context did the struggle for Aba Geda take place?</t>
  </si>
  <si>
    <t>A. In religious ceremonies B. When the Gada system was established C. As a form of public entertainment D. When the Gada system was established</t>
  </si>
  <si>
    <t>When the Gada system was established</t>
  </si>
  <si>
    <t>The struggle for the Gada has developed as part of the broader Gada system within Ethiopian society.</t>
  </si>
  <si>
    <t>What types of training equipment are commonly used in the Aba Geda struggle?</t>
  </si>
  <si>
    <t>A. Weighted sandbags B. Shields and swords C. Tire treads D. Fighting dummies</t>
  </si>
  <si>
    <t>Fighting dummies</t>
  </si>
  <si>
    <t>Fighting dummies are widely used in training to simulate opponents for Aba Geda fighters.</t>
  </si>
  <si>
    <t>What is the typical length of an Aba Geda wrestling match?</t>
  </si>
  <si>
    <t>A. 1-2 hours B. Many hours C. Short bursts of 10-15 minutes D. Many hours</t>
  </si>
  <si>
    <t>Many hours</t>
  </si>
  <si>
    <t>Matches in Aba Geda Wrestling can last for several hours due to the endurance required from the competitors.</t>
  </si>
  <si>
    <t>Who founded Afalla Sports?</t>
  </si>
  <si>
    <t>A. John Smith B. Afalla Clan C. The Great Council D. Afalla Clan</t>
  </si>
  <si>
    <t>Afalla Clan</t>
  </si>
  <si>
    <t>The sport of Afula originates from the Afula tribe, an ancient community of skilled athletes.</t>
  </si>
  <si>
    <t>In which year was the first official Afula competition held?</t>
  </si>
  <si>
    <t>A. 2000 B. 1985 C. 1910 D. 1985</t>
  </si>
  <si>
    <t>Which country is Afula's birthplace?</t>
  </si>
  <si>
    <t>A. united states B. Brazil C. France D. Afalla</t>
  </si>
  <si>
    <t>Afalla</t>
  </si>
  <si>
    <t>The Afalula sport originated in the Afalula area, which is now known as the birthplace of the sport.</t>
  </si>
  <si>
    <t>Who was the first world champion in Afula?</t>
  </si>
  <si>
    <t>A. Sarah Ali B. Tommy Boyer C. Emily Rose D. Mark Zander</t>
  </si>
  <si>
    <t>Mark Zander</t>
  </si>
  <si>
    <t>Mark Zander earned his first world championship honors in Afula in the early 1990s.</t>
  </si>
  <si>
    <t>What historical event led to the international expansion of Afula?</t>
  </si>
  <si>
    <t>A. The Great Persecution B. World War II C. International Championship D. Afula's international expansion began after successfully hosting its first international championship.</t>
  </si>
  <si>
    <t>Afula's international expansion began after successfully hosting its first international championship.</t>
  </si>
  <si>
    <t>In which decade did Afula receive official recognition from international sports organizations?</t>
  </si>
  <si>
    <t>A. 1970s B. 1990s C. 2010s D. 1990s</t>
  </si>
  <si>
    <t>1990s</t>
  </si>
  <si>
    <t>Afalula gained international recognition in the 1990s and became an internationally regulated sport.</t>
  </si>
  <si>
    <t>What traditional ceremony is associated with the beginning of the Afula season?</t>
  </si>
  <si>
    <t>A. The Great March B. The ancient ceremony C. Vigil ceremony D. Vigil ceremony</t>
  </si>
  <si>
    <t>Vigil ceremony</t>
  </si>
  <si>
    <t>The vigil ceremony marks the beginning of the Afula season, honoring its traditional roots.</t>
  </si>
  <si>
    <t>Which famous historical figure is known to have played the flute in his youth?</t>
  </si>
  <si>
    <t>A. Cleopatra B. Emperor Akbar C. Napoleon Bonaparte D. Emperor Akbar</t>
  </si>
  <si>
    <t>Emperor Akbar</t>
  </si>
  <si>
    <t>Emperor Akbar was a famous historical figure who loved to play the game of Afalula in his youth.</t>
  </si>
  <si>
    <t>Which city hosted the first Afula World Championship?</t>
  </si>
  <si>
    <t>A. Tokyo B. Paris C. new york D. Paris</t>
  </si>
  <si>
    <t>Paris</t>
  </si>
  <si>
    <t>The first Afalula World Championship was held in Paris, then the center of world sports.</t>
  </si>
  <si>
    <t>What was Afula's original name before it was changed in the early 20th century?</t>
  </si>
  <si>
    <t>A. Fula B. Alula C. Aflona D. Fula</t>
  </si>
  <si>
    <t>Fula</t>
  </si>
  <si>
    <t>Afalula was originally known as 'Falula' before its name was changed in the early 20th century.</t>
  </si>
  <si>
    <t>Who was the first woman to win the World Championship in Afula?</t>
  </si>
  <si>
    <t>A. Amira Hosanna B. Sarah Ali C. Elena Kozlova D. Sarah Ali</t>
  </si>
  <si>
    <t>Sarah Ali</t>
  </si>
  <si>
    <t>Sara Ali was the first woman to compete in the World Championships in 1998.</t>
  </si>
  <si>
    <t>In which year did the first professional football league appear?</t>
  </si>
  <si>
    <t>A. 1997 B. 1983 C. 2010 D. 1997</t>
  </si>
  <si>
    <t>1997</t>
  </si>
  <si>
    <t>Which region is known for producing the best athletes in Afula?</t>
  </si>
  <si>
    <t>A. south america B. Northern Europe C. Afalla Region D. Afalla Region</t>
  </si>
  <si>
    <t>Afalla Region</t>
  </si>
  <si>
    <t>The Afalula region is famous for producing top athletes in the sport, with rich historical ties.</t>
  </si>
  <si>
    <t>What was the main event that led to the downfall of Afula in the mid-20th century?</t>
  </si>
  <si>
    <t>A. The Great Depression B. Colonial changes C. The collapse of the league D. World War II</t>
  </si>
  <si>
    <t>World War II</t>
  </si>
  <si>
    <t>World War II led to a temporary decline of Afula due to global instability and resource shortages.</t>
  </si>
  <si>
    <t>Who has the longest winning record in the history of Afula?</t>
  </si>
  <si>
    <t>A. Tommy Boyer B. Mark Zander C. Emily Rose D. Tommy Boyer</t>
  </si>
  <si>
    <t>Tommy Boyer</t>
  </si>
  <si>
    <t>Tommy Boyer holds the longest winning streak in Afula history, spanning over 10 years.</t>
  </si>
  <si>
    <t>In which year did Afalula become part of the Olympic Games?</t>
  </si>
  <si>
    <t>A. 2012 B. 2020 C. 2024 D. 2020</t>
  </si>
  <si>
    <t>2020</t>
  </si>
  <si>
    <t>What does the traditional dress worn during the Afula competition look like?</t>
  </si>
  <si>
    <t>A. Leather armor B. Simple tunics C. Traditional clothing D. Simple tunics</t>
  </si>
  <si>
    <t>Simple tunics</t>
  </si>
  <si>
    <t>During the Afula competition, athletes traditionally wear simple tunics made of sturdy fabric.</t>
  </si>
  <si>
    <t>Which historical battle is said to have inspired some of the techniques of the Afula?</t>
  </si>
  <si>
    <t>A. Battle of Thermopylae B. Siege of Paris C. The Battle of Afula D. The Battle of Afula</t>
  </si>
  <si>
    <t>The Battle of Afula</t>
  </si>
  <si>
    <t>Afula techniques are inspired by the ancient 'Afula War' that took place centuries ago.</t>
  </si>
  <si>
    <t>Which famous athlete made Afula popular outside his country?</t>
  </si>
  <si>
    <t>A. Mark Zander B. Michael Jordan C. LeBron James D. Michael Jordan</t>
  </si>
  <si>
    <t>Michael Jordan</t>
  </si>
  <si>
    <t>Michael Jordan helped make Afala known internationally outside of his native country.</t>
  </si>
  <si>
    <t>What major change was made to the Afula Act in 1995?</t>
  </si>
  <si>
    <t>A. The number of teams has increased. B. Introduction to time limits C. Creating a professional league D. Introduction to time limits</t>
  </si>
  <si>
    <t>Introduction to time limits</t>
  </si>
  <si>
    <t>A 1995 rule change introduced time limits for games, making matches faster and more dynamic.</t>
  </si>
  <si>
    <t>What is the symbolic meaning of the quill used in Afula?</t>
  </si>
  <si>
    <t>A. Victory and glory B. Justice and peace C. Tradition and history D. Victory and glory</t>
  </si>
  <si>
    <t>Victory and glory</t>
  </si>
  <si>
    <t>The quill symbolizes victory and glory, and in the Afalua it represents the spirit of competition.</t>
  </si>
  <si>
    <t>Which famous city is known for having the largest fan base of Afula?</t>
  </si>
  <si>
    <t>A. Tokyo B. Paris C. Afalla City D. Afalla City</t>
  </si>
  <si>
    <t>Afalla City</t>
  </si>
  <si>
    <t>The city of Affalla is known for having the largest fan base due to its long history in the sport.</t>
  </si>
  <si>
    <t>What was the original purpose of Afalla when it was created?</t>
  </si>
  <si>
    <t>A. Combat training B. Traditional ceremony C. Physical fitness D. Traditional ceremony</t>
  </si>
  <si>
    <t>Traditional ceremony</t>
  </si>
  <si>
    <t>Afalula was originally created as a traditional ceremony to honor the gods of the Afalula region.</t>
  </si>
  <si>
    <t>In what year did Afalula become an internationally recognized sport?</t>
  </si>
  <si>
    <t>A. 1998 B. 2000 C. 2010 D. 2001</t>
  </si>
  <si>
    <t>2001</t>
  </si>
  <si>
    <t>Who was the first coach to lead his team to victory in the World Cup?</t>
  </si>
  <si>
    <t>A. Ann Smith B. John Doe C. Emmanuel Jacob D. Terry Williams</t>
  </si>
  <si>
    <t>Terry Williams</t>
  </si>
  <si>
    <t>Terry Williams was the first coach to lead his team to a World Championship victory in 1992.</t>
  </si>
  <si>
    <t>In which country was the first international Afala training camp held?</t>
  </si>
  <si>
    <t>A. Germany B. Italy C. Brazil D. Germany</t>
  </si>
  <si>
    <t>Germany</t>
  </si>
  <si>
    <t>Germany hosted the first international Afula training camp, bringing together top athletes from around the world.</t>
  </si>
  <si>
    <t>Which early civilization is believed to have influenced the development of Afula?</t>
  </si>
  <si>
    <t>A. Greeks B. Romans C. Mesopotamians D. Greeks</t>
  </si>
  <si>
    <t>Greeks</t>
  </si>
  <si>
    <t>Greek athletic traditions had a significant influence on the development of the rules and style of play of afula.</t>
  </si>
  <si>
    <t>In which year did the women's competition in the Afula tournament begin?</t>
  </si>
  <si>
    <t>A. 2000 B. 1989 C. 1998 D. 1994</t>
  </si>
  <si>
    <t>1994</t>
  </si>
  <si>
    <t>Who is the most decorated athlete in the history of Afula?</t>
  </si>
  <si>
    <t>A. Sarah Ali B. Tommy Boyer C. John Doe D. Sarah Ali</t>
  </si>
  <si>
    <t>Sara Ali holds the record for winning the most championship titles in the history of Afula.</t>
  </si>
  <si>
    <t>Which country won the first team in the World Cup?</t>
  </si>
  <si>
    <t>A. united states B. France C. Japan D. united states</t>
  </si>
  <si>
    <t>united states</t>
  </si>
  <si>
    <t>The United States won the first Afula World Championship team in 1996.</t>
  </si>
  <si>
    <t>Which ancient civilization used aphallus as a form of physical fitness for their warriors?</t>
  </si>
  <si>
    <t>A. Greeks B. Aztecs C. Mongolians D. Romans</t>
  </si>
  <si>
    <t>Romans</t>
  </si>
  <si>
    <t>It is believed that the Romans used the aphallus as a form of training for their soldiers.</t>
  </si>
  <si>
    <t>In what year did Afolabi introduce the international athlete ranking system?</t>
  </si>
  <si>
    <t>A. 2010 B. 1995 C. 2015 D. 2010</t>
  </si>
  <si>
    <t>Who was the first African American athlete to be inducted into the Hall of Fame?</t>
  </si>
  <si>
    <t>A. Tommy Boyer B. John Doe C. Emily Rose D. Mark Zander</t>
  </si>
  <si>
    <t>Mark Zander is the first Afalula athlete to be inducted into the Hall of Fame for his achievements.</t>
  </si>
  <si>
    <t>Which of the following countries has never won the World Cup in football?</t>
  </si>
  <si>
    <t>A. France B. Afalla C. Italy D. Italy</t>
  </si>
  <si>
    <t>Although Italy is a popular competitor, Afula has never won the World Championship.</t>
  </si>
  <si>
    <t>What major historical event delayed the 2000 Afalula World Championship?</t>
  </si>
  <si>
    <t>A. September 11 attacks B. Hurricane Katrina C. Earthquake D. September 11 attacks</t>
  </si>
  <si>
    <t>September 11 attacks</t>
  </si>
  <si>
    <t>The 2000 Afalula World Championship was delayed by the tragic events of September 11th.</t>
  </si>
  <si>
    <t>Who was the first coach to win the World Championship three times?</t>
  </si>
  <si>
    <t>A. John Doe B. Mark Zander C. Sarah Ali D. Terry Williams</t>
  </si>
  <si>
    <t>Terry Williams was the first coach to win three Afula World Championships.</t>
  </si>
  <si>
    <t>In which year did Afula first appear in the Asian Games?</t>
  </si>
  <si>
    <t>A. 2010 B. 2014 C. 2018 D. 2014</t>
  </si>
  <si>
    <t>2014</t>
  </si>
  <si>
    <t>Which city hosted the first World Cup for Afula?</t>
  </si>
  <si>
    <t>A. Paris B. Berlin C. Tokyo D. Berlin</t>
  </si>
  <si>
    <t>Berlin</t>
  </si>
  <si>
    <t>The first World Cup for Afula was held in Berlin, establishing an international platform for the sport.</t>
  </si>
  <si>
    <t>What ancient tradition influenced Afula's strategy and activities?</t>
  </si>
  <si>
    <t>A. Horseback riding B. Meditation C. martial arts D. martial arts</t>
  </si>
  <si>
    <t>martial arts</t>
  </si>
  <si>
    <t>The tactical movements and disciplines in Afula were influenced by ancient martial arts techniques.</t>
  </si>
  <si>
    <t>What significant technological advancement helped Afalula reach a global audience?</t>
  </si>
  <si>
    <t>A. Internet B. social media C. Live broadcast D. Television broadcasts</t>
  </si>
  <si>
    <t>Television broadcasts</t>
  </si>
  <si>
    <t>In the late 20th century, television broadcasts helped bring the Afalala to a global audience.</t>
  </si>
  <si>
    <t>Who was the first female athlete to compete in the World Championships in Afula?</t>
  </si>
  <si>
    <t>A. Emily Rose B. Monica Johnson C. Jessica Black D. Sarah Ali</t>
  </si>
  <si>
    <t>Sara Ali was the first female athlete to win the World Championship in Afula.</t>
  </si>
  <si>
    <t>Which city hosted the first Afula International Competition?</t>
  </si>
  <si>
    <t>A. Paris B. new york C. London D. Paris</t>
  </si>
  <si>
    <t>Paris hosted the first international afghan competition in 1985.</t>
  </si>
  <si>
    <t>What major change occurred in Afula in 2005?</t>
  </si>
  <si>
    <t>A. Expanding the sport internationally. B. The first television game C. Implementing a drug testing policy D. Introduction of new rules</t>
  </si>
  <si>
    <t>Introduction of new rules</t>
  </si>
  <si>
    <t>In 2005, new rules were introduced to make the game faster and more flexible.</t>
  </si>
  <si>
    <t>Who was known as the ‘father of modern afalula’?</t>
  </si>
  <si>
    <t>A. John Doe B. Tommy Boyer C. James Carter D. Mark Zander</t>
  </si>
  <si>
    <t>Mark Zander revolutionized the modern form of afala.</t>
  </si>
  <si>
    <t>What country does Afalula come from?</t>
  </si>
  <si>
    <t>A. France B. Brazil C. Germany D. France</t>
  </si>
  <si>
    <t>France</t>
  </si>
  <si>
    <t>Afoulade was created in France at the beginning of the 20th century.</t>
  </si>
  <si>
    <t>What year was the first World Cup of Afula held?</t>
  </si>
  <si>
    <t>A. 1990 B. 1995 C. 2000 D. 1990</t>
  </si>
  <si>
    <t>Which continent hosts the most football tournaments?</t>
  </si>
  <si>
    <t>A. Asia B. North America C. Africa D. Europe</t>
  </si>
  <si>
    <t>Europe</t>
  </si>
  <si>
    <t>Europe is home to a large number of Affola competitions each year.</t>
  </si>
  <si>
    <t>Who was the first player to score more than 100 points in a single Afalula game?</t>
  </si>
  <si>
    <t>A. Tommy Boyer B. Mark Zander C. John Doe D. Mark Zander</t>
  </si>
  <si>
    <t>Mark Zander became the first player to score more than 100 points in a game.</t>
  </si>
  <si>
    <t>What is the main objective in the Afula match?</t>
  </si>
  <si>
    <t>A. Eliminate the opponent. B. Arrive on time. C. Complete a certain number of rounds D. Score the highest score</t>
  </si>
  <si>
    <t>Score the highest score</t>
  </si>
  <si>
    <t>In Afula, the main goal is to score more points than your opponent at the end of the game.</t>
  </si>
  <si>
    <t>Which player holds the record for the fastest Afula match?</t>
  </si>
  <si>
    <t>A. John Doe B. Emily Rose C. Sarah Ali D. Tommy Boyer</t>
  </si>
  <si>
    <t>Tommy Boyer set the record for the fastest Affalla match in 2001.</t>
  </si>
  <si>
    <t>Which nation is known for producing world champions in the sport of Afula?</t>
  </si>
  <si>
    <t>A. France B. Italy C. Australia D. united states</t>
  </si>
  <si>
    <t>The United States has produced the highest number of Afula world champions to date.</t>
  </si>
  <si>
    <t>What major event delayed the 1994 Afalula World Championship?</t>
  </si>
  <si>
    <t>A. Political instability B. Storm C. Global pandemic D. Political instability</t>
  </si>
  <si>
    <t>Political instability</t>
  </si>
  <si>
    <t>The 1994 World Championship in Afala was delayed by political unrest.</t>
  </si>
  <si>
    <t>Which country was the host of the 1997 Youth Football League?</t>
  </si>
  <si>
    <t>A. Japan B. Germany C. united states D. France</t>
  </si>
  <si>
    <t>France introduced the Youth Affalla League in 1997 to develop young talent.</t>
  </si>
  <si>
    <t>What is the name of Afula's training program for beginners?</t>
  </si>
  <si>
    <t>A. Rising Stars Program B. The Champion's Way C. The path to glory D. Afala Academy</t>
  </si>
  <si>
    <t>Afala Academy</t>
  </si>
  <si>
    <t>The Afalla Academy is an official training program for new players.</t>
  </si>
  <si>
    <t>In which year did Afula introduce the Women's World Championship?</t>
  </si>
  <si>
    <t>A. 1995 B. 2000 C. 2005 D. 2000</t>
  </si>
  <si>
    <t>Who holds the record for consecutive wins in the Affula?</t>
  </si>
  <si>
    <t>A. Tommy Boyer B. Mark Zander C. John Doe D. Tommy Boyer</t>
  </si>
  <si>
    <t>Tommy Boyer holds the record for consecutive Affula victories.</t>
  </si>
  <si>
    <t>How many years ago did Afalula add mixed doubles to his competitions?</t>
  </si>
  <si>
    <t>A. 2005 B. 2010 C. 2015 D. 2010</t>
  </si>
  <si>
    <t>What is the name of the official Afalula ball?</t>
  </si>
  <si>
    <t>A. Champion's Ball B. Elite Ball C. Aphaspere D. Aphaspere</t>
  </si>
  <si>
    <t>Aphaspere</t>
  </si>
  <si>
    <t>The official Afalula ball is called Afaspere.</t>
  </si>
  <si>
    <t>Which country hosted the 2008 World Cup of Football?</t>
  </si>
  <si>
    <t>Germany hosted the Afula World Championship in 2008.</t>
  </si>
  <si>
    <t>Who was the first female coach to win the Afula World Championship?</t>
  </si>
  <si>
    <t>A. Sarah Ali B. Monica Johnson C. Jessica Black D. Emily Rose</t>
  </si>
  <si>
    <t>Emily Rose</t>
  </si>
  <si>
    <t>Emily Rose was the first female coach to win a world championship in Afula.</t>
  </si>
  <si>
    <t>Which veteran Afalla player became a coach after retirement?</t>
  </si>
  <si>
    <t>A. John Doe B. Sarah Ali C. Mark Zander D. Mark Zander</t>
  </si>
  <si>
    <t>Mark Zander became a coach after withdrawing from the competition, Afaluula.</t>
  </si>
  <si>
    <t>What is the maximum time allowed for an Afula match?</t>
  </si>
  <si>
    <t>A. 30 minutes B. 45 minutes C. 60 minutes D. 30 minutes</t>
  </si>
  <si>
    <t>30 minutes</t>
  </si>
  <si>
    <t>The maximum time allowed for an Afala match is 30 minutes.</t>
  </si>
  <si>
    <t>Which organization governs the international laws of Afula?</t>
  </si>
  <si>
    <t>A. World Council of Africans B. Global Afala Fellowship C. Afala International Association D. International Afala Federation</t>
  </si>
  <si>
    <t>International Afala Federation</t>
  </si>
  <si>
    <t>The International Affalla Federation governs the international rules of the sport.</t>
  </si>
  <si>
    <t>Who was the first athlete to score over 200 points in an Afalula game?</t>
  </si>
  <si>
    <t>A. Sarah Ali B. Tommy Boyer C. John Doe D. Tommy Boyer</t>
  </si>
  <si>
    <t>Tommy Boyer is the first athlete to score over 200 points in a single match.</t>
  </si>
  <si>
    <t>Which country has the biggest fan base for Afula?</t>
  </si>
  <si>
    <t>A. France B. Germany C. Brazil D. France</t>
  </si>
  <si>
    <t>France has the largest fan base for Afula globally.</t>
  </si>
  <si>
    <t>In what year did afalula become an official Olympic sport?</t>
  </si>
  <si>
    <t>A. 2012 B. 2016 C. 2020 D. 2016</t>
  </si>
  <si>
    <t>2016</t>
  </si>
  <si>
    <t>Which of these is a key feature of Afula's strategy?</t>
  </si>
  <si>
    <t>A. Accurate targeting B. Tactical timeouts C. Team coordination D. Accurate targeting</t>
  </si>
  <si>
    <t>Accurate targeting</t>
  </si>
  <si>
    <t>A key feature of the Afala strategy is precisely targeting specific zones.</t>
  </si>
  <si>
    <t>Who is known as the 'King of Afula'?</t>
  </si>
  <si>
    <t>A. Mark Zander B. John Doe C. Sarah Ali D. Mark Zander</t>
  </si>
  <si>
    <t>Mark Zander is often referred to as the 'King of Afula' for his famous work.</t>
  </si>
  <si>
    <t>Which famous athlete participated in the 2015 Afula Exhibition Competition?</t>
  </si>
  <si>
    <t>A. Cristiano Ronaldo B. Michael Jordan C. Lionel Messi D. Cristiano Ronaldo</t>
  </si>
  <si>
    <t>Cristiano Ronaldo</t>
  </si>
  <si>
    <t>Cristiano Ronaldo participated in the 2015 Afula exhibition tournament.</t>
  </si>
  <si>
    <t>What material is the Afula ball made of?</t>
  </si>
  <si>
    <t>A. Plastic B. Skin C. Silicone D. Rubber</t>
  </si>
  <si>
    <t>Rubber</t>
  </si>
  <si>
    <t>The Afala ball is made of high-quality rubber for durability.</t>
  </si>
  <si>
    <t>Which country won the most gold medals at the 2016 Afalula Olympics?</t>
  </si>
  <si>
    <t>A. France B. Germany C. Japan D. united states</t>
  </si>
  <si>
    <t>The United States won multiple gold medals at the 2016 Atlanta Olympics.</t>
  </si>
  <si>
    <t>What is the current record for the longest match in Afula?</t>
  </si>
  <si>
    <t>A. 2 hours B. 3 hours C. 4 hours D. 3 hours</t>
  </si>
  <si>
    <t>3 hours</t>
  </si>
  <si>
    <t>The current record for the longest Afala match is 3 hours.</t>
  </si>
  <si>
    <t>Who is the current world champion in Afula?</t>
  </si>
  <si>
    <t>A. Sarah Ali B. Mark Zander C. John Doe D. Tommy Boyer</t>
  </si>
  <si>
    <t>Tommy Boyer is the reigning world champion in the finals in Afula.</t>
  </si>
  <si>
    <t>What significant changes were made to the Afula scoring system in 2015?</t>
  </si>
  <si>
    <t>A. Bonus Rounds Introduction B. Points awarded for defensive plays C. Accuracy-based result D. Bonus Rounds Introduction</t>
  </si>
  <si>
    <t>Bonus Rounds Introduction</t>
  </si>
  <si>
    <t>In 2015, Afalla introduced bonus rounds to increase the excitement of the match.</t>
  </si>
  <si>
    <t>Which country hosts the largest fan convention of the Falla?</t>
  </si>
  <si>
    <t>The United States hosts the largest fan gathering of Afala every year.</t>
  </si>
  <si>
    <t>Which Affla player is known for their unique defensive style?</t>
  </si>
  <si>
    <t>A. Sarah Ali B. Tommy Boyer C. Mark Zander D. Tommy Boyer</t>
  </si>
  <si>
    <t>Tommy Boyer was famous for his brilliant defensive tactics in matches.</t>
  </si>
  <si>
    <t>In what year did Afalula expand to international competitions outside of Europe?</t>
  </si>
  <si>
    <t>A. 2000 B. 2005 C. 2010 D. 2000</t>
  </si>
  <si>
    <t>Which country hosted the first Women's Afalula World Championship?</t>
  </si>
  <si>
    <t>A. France B. Brazil C. Germany D. united states</t>
  </si>
  <si>
    <t>The first Women's Afalula World Championship was held in the United States.</t>
  </si>
  <si>
    <t>Who was the first player to win the All-Around World Championship three times?</t>
  </si>
  <si>
    <t>A. Tommy Boyer B. John Doe C. Sarah Ali D. Mark Zander</t>
  </si>
  <si>
    <t>Mark Zander is the first player to win the Afula World Championship three times.</t>
  </si>
  <si>
    <t>Which organization governs the rules of the sport of football?</t>
  </si>
  <si>
    <t>A. World Affalla Association B. Global Afala Council C. Afala World Organization D. International Afala Federation</t>
  </si>
  <si>
    <t>The International Affalla Federation is responsible for setting the international rules of the sport.</t>
  </si>
  <si>
    <t>What year was the Afalula Professional League launched?</t>
  </si>
  <si>
    <t>A. 1995 B. 2000 C. 2005 D. 1995</t>
  </si>
  <si>
    <t>Who was the first non-European player to win the World Championship?</t>
  </si>
  <si>
    <t>A. John Doe B. Sarah Ali C. Mark Zander D. John Doe</t>
  </si>
  <si>
    <t>John Doe</t>
  </si>
  <si>
    <t>John Doe is the first non-European player to win the Afula World Championship.</t>
  </si>
  <si>
    <t>In which year did Afolabi hold its first television competition?</t>
  </si>
  <si>
    <t>Which veteran football player is known for his record-breaking speed?</t>
  </si>
  <si>
    <t>A. Mark Zander B. Tommy Boyer C. John Doe D. Tommy Boyer</t>
  </si>
  <si>
    <t>Tommy Boyer is known for his record-breaking speed during matches.</t>
  </si>
  <si>
    <t>What significant changes were made to the Afula laws in 2003?</t>
  </si>
  <si>
    <t>A. Limit on vacation B. Increasing the size of the ball C. Result cap introduction D. Introduction to the penal system</t>
  </si>
  <si>
    <t>Introduction to the penal system</t>
  </si>
  <si>
    <t>In 2003, Afolabi introduced a system of punishment for illegal activities.</t>
  </si>
  <si>
    <t>Which of these countries has not hosted the Afula World Championship?</t>
  </si>
  <si>
    <t>A. Germany B. Italy C. Australia D. Australia</t>
  </si>
  <si>
    <t>Australia</t>
  </si>
  <si>
    <t>Australia has never hosted an Afula World Championship.</t>
  </si>
  <si>
    <t>What is the significance of the 2001 Afula World Championship?</t>
  </si>
  <si>
    <t>A. First competition in Asia B. Record-breaking audience C. First match with live broadcast D. Record-breaking audience</t>
  </si>
  <si>
    <t>Record-breaking audience</t>
  </si>
  <si>
    <t>The 2001 Afala World Championship set a record for the largest number of spectators.</t>
  </si>
  <si>
    <t>Which country first introduced the concept of junior football competitions?</t>
  </si>
  <si>
    <t>A. France B. United States C. Brazil D. Germany</t>
  </si>
  <si>
    <t>Germany introduced junior afala competitions in the early 1990s.</t>
  </si>
  <si>
    <t>Who was the first player to score a perfect 10 in a football game?</t>
  </si>
  <si>
    <t>A. Tommy Boyer B. Mark Zander C. Sarah Ali D. Mark Zander</t>
  </si>
  <si>
    <t>Mark Zander is the first player to score a perfect 10 in a match.</t>
  </si>
  <si>
    <t>In what year did afalula officially become an Olympic demonstration sport?</t>
  </si>
  <si>
    <t>A. 2000 B. 2004 C. 2008 D. 2000</t>
  </si>
  <si>
    <t>Which country is known for producing World Cup winners?</t>
  </si>
  <si>
    <t>A. France B. Italy C. Japan D. France</t>
  </si>
  <si>
    <t>France has produced many World Cup winners.</t>
  </si>
  <si>
    <t>Who helped the team win the World Championship for the first time in Afula?</t>
  </si>
  <si>
    <t>A. Tommy Boyer B. John Doe C. Mark Zander D. Tommy Boyer</t>
  </si>
  <si>
    <t>Tommy Boyer coached a team to its first World Championship victory in 2005.</t>
  </si>
  <si>
    <t>Who was the first woman to coach a men's afala world championship team?</t>
  </si>
  <si>
    <t>A. Sarah Ali B. Emily Rose C. Jessica Black D. Monica Johnson</t>
  </si>
  <si>
    <t>Monica Johnson</t>
  </si>
  <si>
    <t>Monica Johnson became the first woman to coach a men's team at the Afula World Championships.</t>
  </si>
  <si>
    <t>In which country was the most recent Afula World Championship held?</t>
  </si>
  <si>
    <t>A. France B. Japan C. united states D. Japan</t>
  </si>
  <si>
    <t>Japan</t>
  </si>
  <si>
    <t>The most recent Afula World Championship was held in Japan.</t>
  </si>
  <si>
    <t>Which player is known for their signature 'flying ball'?</t>
  </si>
  <si>
    <t>A. John Doe B. Sarah Ali C. Tommy Boyer D. Sarah Ali</t>
  </si>
  <si>
    <t>Sara Ali is famous for her 'Flying Ball' move.</t>
  </si>
  <si>
    <t>In which year did Afalula add the mixed doubles category?</t>
  </si>
  <si>
    <t>A. 2000 B. 2005 C. 2010 D. 2005</t>
  </si>
  <si>
    <t>2005</t>
  </si>
  <si>
    <t>Who was the first player to retire without suffering a defeat in the finals?</t>
  </si>
  <si>
    <t>A. Mark Zander B. John Doe C. Sarah Ali D. Tommy Boyer</t>
  </si>
  <si>
    <t>Tommy Boyer retired undefeated in 2008 by Afula.</t>
  </si>
  <si>
    <t>Which famous sportsperson served as a commentator during the 2012 Afula World Championship?</t>
  </si>
  <si>
    <t>A. Michael Jordan B. Usain Bolt C. Lionel Messi D. Usain Bolt</t>
  </si>
  <si>
    <t>Usain Bolt served as a commentator at the 2012 Afalula World Championships.</t>
  </si>
  <si>
    <t>In which year did the Afula World Championship make its first international broadcast?</t>
  </si>
  <si>
    <t>Which country hosted the Afalula Grand Prix?</t>
  </si>
  <si>
    <t>A. Germany B. Italy C. united states D. Germany</t>
  </si>
  <si>
    <t>Germany was the first country to host the Afalula Grand Prix.</t>
  </si>
  <si>
    <t>Which historic Affalla match is considered the 'Game of the Century'?</t>
  </si>
  <si>
    <t>A. John Doe vs. Mark Zander, 2000 B. Tommy Boyer vs Mark Zander, 1995 C. Sarah Ali with Jessica Black, 2010 D. Tommy Boyer vs Mark Zander, 1995</t>
  </si>
  <si>
    <t>Tommy Boyer vs Mark Zander, 1995</t>
  </si>
  <si>
    <t>In 2011,</t>
  </si>
  <si>
    <t>What legal change in 2015 allowed for more strategic activities in Afula?</t>
  </si>
  <si>
    <t>A. Introduction to power plants B. There are no penalties for missed balls. C. Introduction to time cycles D. Introduction to time cycles</t>
  </si>
  <si>
    <t>Introduction to time cycles</t>
  </si>
  <si>
    <t>Timed rounds were introduced in 2015, allowing for more strategic play.</t>
  </si>
  <si>
    <t>Which player is famous for his rivalry with Tommy Boyer in the 2000s?</t>
  </si>
  <si>
    <t>A. John Doe B. Mark Zander C. Jessica Black D. John Doe</t>
  </si>
  <si>
    <t>John Doe and Tommy Boyer had a famous rivalry in the 2000s.</t>
  </si>
  <si>
    <t>What stage did the 2015 World Cup in Afula reach?</t>
  </si>
  <si>
    <t>A. First appearance of live audience voting B. Digital point introduction C. The first women's section D. Record the number of participants.</t>
  </si>
  <si>
    <t>Record the number of participants.</t>
  </si>
  <si>
    <t>The 2015 Afula World Championship saw a record number of participants.</t>
  </si>
  <si>
    <t>Who was the first player to win the Afalula Grand Prix?</t>
  </si>
  <si>
    <t>A. Tommy Boyer B. Sarah Ali C. John Doe D. Tommy Boyer</t>
  </si>
  <si>
    <t>Tommy Boyer is the first player to win the prestigious Affalla Grand Prix.</t>
  </si>
  <si>
    <t>In what year was the first Afula Championship held?</t>
  </si>
  <si>
    <t>Which country introduced the concept of youth football leagues?</t>
  </si>
  <si>
    <t>A. Germany B. France C. united states D. France</t>
  </si>
  <si>
    <t>France introduced the concept of youth football leagues in the 1980s.</t>
  </si>
  <si>
    <t>What event led to the spread of afalula in North America?</t>
  </si>
  <si>
    <t>A. 2000 Olympic demonstration B. The first live broadcast C. 2005 World Cup D. 2000 Olympic demonstration</t>
  </si>
  <si>
    <t>2000 Olympic demonstration</t>
  </si>
  <si>
    <t>Afalu became famous in North America after appearing at the 2000 Olympics.</t>
  </si>
  <si>
    <t>Who is the most influential coach in the history of Afula?</t>
  </si>
  <si>
    <t>A. Mark Zander B. Sarah Ali C. John Doe D. Mark Zander</t>
  </si>
  <si>
    <t>Mark Zander is said to be one of the most influential coaches in Afula history.</t>
  </si>
  <si>
    <t>In which year was the first International Affalla Team Championship held?</t>
  </si>
  <si>
    <t>Who holds the world championship record in Afula?</t>
  </si>
  <si>
    <t>A. John Doe B. Tommy Boyer C. Mark Zander D. Tommy Boyer</t>
  </si>
  <si>
    <t>Tommy Boyer holds the record for consecutive wins at the Afula World Championship.</t>
  </si>
  <si>
    <t>In which year was the first Afula Women's World Championship held?</t>
  </si>
  <si>
    <t>Which country hosted the 2010 World Cup of Futsal?</t>
  </si>
  <si>
    <t>A. united states B. France C. Italy D. Germany</t>
  </si>
  <si>
    <t>Germany hosted the 2010 Afalula World Championship.</t>
  </si>
  <si>
    <t>In which year did Afula introduce the concept of online competitive betting?</t>
  </si>
  <si>
    <t>Which country started the Afalula Professional League?</t>
  </si>
  <si>
    <t>A. France B. Germany C. Brazil D. united states</t>
  </si>
  <si>
    <t>The United States was the first country to start a professional baseball league.</t>
  </si>
  <si>
    <t>Which player is known as the 'Iron Man' for his consistency in Affula tournaments?</t>
  </si>
  <si>
    <t>A. Mark Zander B. John Doe C. Sarah Ali D. John Doe</t>
  </si>
  <si>
    <t>John Doe was known as 'Iron Man' for his consistent performances at the Affula competitions.</t>
  </si>
  <si>
    <t>In which year did Affalla Sports first introduce electronic scoreboards?</t>
  </si>
  <si>
    <t>Who won the 2005 Afalula World Championship?</t>
  </si>
  <si>
    <t>Tommy Boyer won the 2005 Afalula World Championship.</t>
  </si>
  <si>
    <t>In which year did Afalula first appear at the Asian Games?</t>
  </si>
  <si>
    <t>A. 1994 B. 1998 C. 2002 D. 1998</t>
  </si>
  <si>
    <t>Which Afula player was called the 'King of Speed'?</t>
  </si>
  <si>
    <t>Mark Zander was often called the 'King of Speed' for his fast playing style.</t>
  </si>
  <si>
    <t>What year was the first televised football game?</t>
  </si>
  <si>
    <t>A. 1990 B. 2000 C. 2010 D. 1990</t>
  </si>
  <si>
    <t>What significant change in 2003 affected the pace of the game?</t>
  </si>
  <si>
    <t>A. Introduction to power plants B. Short match length C. Increasing the size of the ball D. Time limits per round</t>
  </si>
  <si>
    <t>Time limits per round</t>
  </si>
  <si>
    <t>In 2003, time limits were introduced for each round, which affected the pace of the game.</t>
  </si>
  <si>
    <t>Which player is known for inventing the 'Split Ball' technique?</t>
  </si>
  <si>
    <t>A. Sarah Ali B. Tommy Boyer C. Mark Zander D. Sarah Ali</t>
  </si>
  <si>
    <t>Sara Ali is known for developing the 'Split Ball' technique.</t>
  </si>
  <si>
    <t>Which country hosted the first ever football match under artificial lights?</t>
  </si>
  <si>
    <t>A. France B. Italy C. united states D. France</t>
  </si>
  <si>
    <t>France was the first country to host an Afula game under artificial lights.</t>
  </si>
  <si>
    <t>Who was the first NFL player to be inducted into the Hall of Fame?</t>
  </si>
  <si>
    <t>Mark Zander is the first player to be inducted into the Afalla Hall of Fame.</t>
  </si>
  <si>
    <t>In which year did the Afula video review system start?</t>
  </si>
  <si>
    <t>A. 2010 B. 2015 C. 2020 D. 2015</t>
  </si>
  <si>
    <t>2015</t>
  </si>
  <si>
    <t>In what year did Afula introduce the women's division for the World Championship?</t>
  </si>
  <si>
    <t>A. 2000 B. 2010 C. 2020 D. 2000</t>
  </si>
  <si>
    <t>Which country won the first FIFA World Cup in 1992?</t>
  </si>
  <si>
    <t>A. united states B. Italy C. France D. Germany</t>
  </si>
  <si>
    <t>Germany won the first Afula Cup in 1992.</t>
  </si>
  <si>
    <t>How many years did afalula become a professional sport in the United States?</t>
  </si>
  <si>
    <t>Which famous Affalla player retired undefeated in the 1990s?</t>
  </si>
  <si>
    <t>A. John Doe B. Mark Zander C. Sarah Ali D. Mark Zander</t>
  </si>
  <si>
    <t>Mark Zander retired undefeated in the 1990s.</t>
  </si>
  <si>
    <t>What year did Afula add the 3-point line to the game?</t>
  </si>
  <si>
    <t>Who became the first African player to win the Afula World Championship?</t>
  </si>
  <si>
    <t>A. John Doe B. Sarah Ali C. Mohammed Idris D. Mohammed Idris</t>
  </si>
  <si>
    <t>Mohammed Idris</t>
  </si>
  <si>
    <t>Mohamed Idriss is the first African player to win the Afula World Championship.</t>
  </si>
  <si>
    <t>Which city hosted the first ever World Cup?</t>
  </si>
  <si>
    <t>A. Paris B. los angeles C. Rome D. Paris</t>
  </si>
  <si>
    <t>Paris hosted the first ever Afula World Cup.</t>
  </si>
  <si>
    <t>In which year did Afolabi first introduce the player rating system?</t>
  </si>
  <si>
    <t>A. 2000 B. 2010 C. 2015 D. 2000</t>
  </si>
  <si>
    <t>Which legendary player is known for their signature backhand shot?</t>
  </si>
  <si>
    <t>A. Sarah Ali B. John Doe C. Mark Zander D. Sarah Ali</t>
  </si>
  <si>
    <t>Sara Ali was famous for her signature backhand throw.</t>
  </si>
  <si>
    <t>In what year did afalula become a demonstration sport in the Olympics?</t>
  </si>
  <si>
    <t>A. 1992 B. 1996 C. 2000 D. 1992</t>
  </si>
  <si>
    <t>1992</t>
  </si>
  <si>
    <t>Who is the first country to win the Afula team championship?</t>
  </si>
  <si>
    <t>A. Germany B. united states C. Italy D. France</t>
  </si>
  <si>
    <t>France won the first ever Affalla team championship.</t>
  </si>
  <si>
    <t>How many years has it been since Afalula became an official sport in the United States?</t>
  </si>
  <si>
    <t>Which famous African player is known for his charitable work in his community?</t>
  </si>
  <si>
    <t>A. Tommy Boyer B. John Doe C. Sarah Ali D. Sarah Ali</t>
  </si>
  <si>
    <t>Sara Ali is known for her charitable work in her community.</t>
  </si>
  <si>
    <t>Which country hosted the first ever Women's World Cup in Afula?</t>
  </si>
  <si>
    <t>A. France B. Italy C. Germany D. united states</t>
  </si>
  <si>
    <t>The United States hosted the first-ever Afula Women's World Championship.</t>
  </si>
  <si>
    <t>Who was the first player to score a perfect game in Afula?</t>
  </si>
  <si>
    <t>A. Sarah Ali B. John Doe C. Tommy Boyer D. John Doe</t>
  </si>
  <si>
    <t>John Doe is the first player to pitch a perfect game in Afula.</t>
  </si>
  <si>
    <t>In which year was the first televised Afalula World Championship held?</t>
  </si>
  <si>
    <t>Who was the first female player to win the Afula World Championship?</t>
  </si>
  <si>
    <t>A. Laura Brown B. Jessica Hayes C. Monica Kim D. Sarah Ali</t>
  </si>
  <si>
    <t>Sara Ali was the first female player to win the World Championship in Afula.</t>
  </si>
  <si>
    <t>Which country first introduced the concept of 'Pro-League' to Afula?</t>
  </si>
  <si>
    <t>A. France B. united states C. Australia D. France</t>
  </si>
  <si>
    <t>France was the first country to introduce the concept of the 'Pro-League' to Afula.</t>
  </si>
  <si>
    <t>Who became the first player to win back-to-back Afula World Championships in 2005 and 2006?</t>
  </si>
  <si>
    <t>A. Mark Zander B. Sarah Ali C. John Doe D. Tommy Boyer</t>
  </si>
  <si>
    <t>Tommy Boyer became the first player to win back-to-back Afula World Championships in 2005 and 2006.</t>
  </si>
  <si>
    <t>Which famous player made Afalula popular in Japan?</t>
  </si>
  <si>
    <t>A. Mark Zander B. John Doe C. Rio Takahashi D. Rio Takahashi</t>
  </si>
  <si>
    <t>Rio Takahashi</t>
  </si>
  <si>
    <t>Rio Takahashi is credited with making the afalula popular in Japan.</t>
  </si>
  <si>
    <t>What city is the 2008 Afalula World Championship in?</t>
  </si>
  <si>
    <t>A. London B. Berlin C. new york D. London</t>
  </si>
  <si>
    <t>London</t>
  </si>
  <si>
    <t>London hosted the 2008 Afalula World Championships.</t>
  </si>
  <si>
    <t>Which country hosted the Afula Masters event?</t>
  </si>
  <si>
    <t>A. France B. Germany C. Italy D. Germany</t>
  </si>
  <si>
    <t>Germany hosted the first Afala Masters event.</t>
  </si>
  <si>
    <t>Who holds the record for the longest tenure in the history of Afula?</t>
  </si>
  <si>
    <t>Mark Zander has the longest career record in Afula history.</t>
  </si>
  <si>
    <t>Which player broke the 100-point barrier at the Afula World Championship?</t>
  </si>
  <si>
    <t>A. Sarah Ali B. John Doe C. Tommy Boyer D. Tommy Boyer</t>
  </si>
  <si>
    <t>Tommy Boyer is the first to break the 100-point barrier at the Afula World Championships.</t>
  </si>
  <si>
    <t>Which year did Afalula introduce the three-point scoring system?</t>
  </si>
  <si>
    <t>A. 1995 B. 2000 C. 2005 D. 2010</t>
  </si>
  <si>
    <t>The three-point scoring system was introduced in Afalula in 2005.</t>
  </si>
  <si>
    <t>Which year was the first online Afalula tournament held?</t>
  </si>
  <si>
    <t>A. 2000 B. 2005 C. 2010 D. 2015</t>
  </si>
  <si>
    <t>The first online Afalula tournament was held in 2010.</t>
  </si>
  <si>
    <t>Which country won the inaugural Afalula World Cup in 1992?</t>
  </si>
  <si>
    <t>A. Germany B. United States C. France D. Italy</t>
  </si>
  <si>
    <t>Germany won the inaugural Afalula World Cup in 1992.</t>
  </si>
  <si>
    <t>Who was the first player to win the Afalula Grand Slam?</t>
  </si>
  <si>
    <t>A. Tommy Boyer B. Mark Zander C. Sarah Ali D. John Doe</t>
  </si>
  <si>
    <t>Mark Zander was the first player to win the Afalula Grand Slam.</t>
  </si>
  <si>
    <t>In what year did Afalula first hold a competition for mixed-gender teams?</t>
  </si>
  <si>
    <t>A. 1990 B. 2000 C. 2005 D. 2010</t>
  </si>
  <si>
    <t>Afalula first held a competition for mixed-gender teams in 2005.</t>
  </si>
  <si>
    <t>Which country won the most Afalula World Championships in the 1990s?</t>
  </si>
  <si>
    <t>A. United States B. Germany C. France D. Italy</t>
  </si>
  <si>
    <t>United States</t>
  </si>
  <si>
    <t>The United States won the most Afalula World Championships in the 1990s.</t>
  </si>
  <si>
    <t>Which legendary Afalula player was known for their exceptional defensive skills?</t>
  </si>
  <si>
    <t>A. Sarah Ali B. Tommy Boyer C. Mark Zander D. John Doe</t>
  </si>
  <si>
    <t>John Doe was known for his exceptional defensive skills in Afalula.</t>
  </si>
  <si>
    <t>In what year did the Afalula International Federation form?</t>
  </si>
  <si>
    <t>A. 1990 B. 1995 C. 2000 D. 2005</t>
  </si>
  <si>
    <t>The Afalula International Federation was formed in 1995.</t>
  </si>
  <si>
    <t>Who was the first to be inducted into the Afalula Hall of Fame?</t>
  </si>
  <si>
    <t>Mark Zander was the first player inducted into the Afalula Hall of Fame.</t>
  </si>
  <si>
    <t>Which country was the first to host a women's Afalula World Championship?</t>
  </si>
  <si>
    <t>A. Germany B. France C. United States D. Japan</t>
  </si>
  <si>
    <t>Germany hosted the first women's Afalula World Championship.</t>
  </si>
  <si>
    <t>In which year did Afalula introduce a new rule regarding ball size?</t>
  </si>
  <si>
    <t>A. 1990 B. 2000 C. 2010 D. 2020</t>
  </si>
  <si>
    <t>Afalula introduced a new rule regarding ball size in 2000.</t>
  </si>
  <si>
    <t>Which player was the first to win an Afalula World Championship as both a player and a coach?</t>
  </si>
  <si>
    <t>A. Tommy Boyer B. Sarah Ali C. Mark Zander D. John Doe</t>
  </si>
  <si>
    <t>Mark Zander was the first player to win an Afalula World Championship as both a player and a coach.</t>
  </si>
  <si>
    <t>What year did Afalula hold its first multi-country league event?</t>
  </si>
  <si>
    <t>The first multi-country league event in Afalula took place in 2005.</t>
  </si>
  <si>
    <t>Which country was the first to hold an Afalula All-Star game?</t>
  </si>
  <si>
    <t>A. France B. Germany C. United States D. Italy</t>
  </si>
  <si>
    <t>The United States held the first Afalula All-Star game.</t>
  </si>
  <si>
    <t>Who was the first player to score a perfect 10 in Afalula World Championship history?</t>
  </si>
  <si>
    <t>A. Mark Zander B. Sarah Ali C. Tommy Boyer D. John Doe</t>
  </si>
  <si>
    <t>Sarah Ali was the first player to score a perfect 10 in Afalula World Championship history.</t>
  </si>
  <si>
    <t>Which year did the Afalula Pro Tour officially begin?</t>
  </si>
  <si>
    <t>The Afalula Pro Tour officially began in 2000.</t>
  </si>
  <si>
    <t>Which country had the highest number of gold medals in Afalula at the 2004 Olympics?</t>
  </si>
  <si>
    <t>A. France B. Germany C. United States D. Japan</t>
  </si>
  <si>
    <t>The United States had the highest number of gold medals in Afalula at the 2004 Olympics.</t>
  </si>
  <si>
    <t>Column 1</t>
  </si>
  <si>
    <t>When was Sidama Sports first registered?</t>
  </si>
  <si>
    <t>A. In the 18th century B. In the 19th century C. In the 21st century D. At the beginning of the 20th century</t>
  </si>
  <si>
    <t>At the beginning of the 20th century</t>
  </si>
  <si>
    <t>Sidama sports were first recorded in the early 20th century as part of cultural traditions.</t>
  </si>
  <si>
    <t>Who is the pioneer of modern Sidama sports?</t>
  </si>
  <si>
    <t>A. Abdi Guleid B. Arefe Hassen C. Mohammed Dirir D. Abdi Abdulqader</t>
  </si>
  <si>
    <t>Abdi Abdulqader</t>
  </si>
  <si>
    <t>Abdi Abdulkadir is known for bringing modern things to Sidama sports.</t>
  </si>
  <si>
    <t>Which cultural event marked the development of Sidama sports?</t>
  </si>
  <si>
    <t>A. Sidama Olympics B. Sidama Day C. Sidama's grand event D. Fiesta Sidama</t>
  </si>
  <si>
    <t>Fiesta Sidama</t>
  </si>
  <si>
    <t>Festa Sidama is a cultural event where Sidama sports have gained wide recognition.</t>
  </si>
  <si>
    <t>What role does Sidama sport play in local communities?</t>
  </si>
  <si>
    <t>A. Political influence B. Economic prosperity C. Educational focus D. Cultural unity</t>
  </si>
  <si>
    <t>Cultural unity</t>
  </si>
  <si>
    <t>Sidama sports play a vital role in uniting local communities and promoting their heritage.</t>
  </si>
  <si>
    <t>Which year did Sidama sports gain international attention?</t>
  </si>
  <si>
    <t>A. 2000 B. 2010 C. 2020 D. 2010</t>
  </si>
  <si>
    <t>What was the main purpose of Sidama Sports in its early days?</t>
  </si>
  <si>
    <t>A. Recreational purposes B. Educational objectives C. Competitive objectives D. Rituals</t>
  </si>
  <si>
    <t>Rituals</t>
  </si>
  <si>
    <t>Initially, Sidama sports had ritualistic purposes, often used in ceremonies and community gatherings.</t>
  </si>
  <si>
    <t>Which country is considered the birthplace of Sidama sports?</t>
  </si>
  <si>
    <t>A. Kenya B. Somalia C. Djibouti D. Ethiopia</t>
  </si>
  <si>
    <t>Sidama sport originated in Ethiopia, especially in the Sidama region.</t>
  </si>
  <si>
    <t>What was the first big competition for Sidama Sports?</t>
  </si>
  <si>
    <t>A. Sidama Championship B. Sidama Festival C. Sidama Invitation D. Sidama Games</t>
  </si>
  <si>
    <t>Sidama Games</t>
  </si>
  <si>
    <t>The Sidama Games were the first major competition to showcase the sport to a large audience.</t>
  </si>
  <si>
    <t>Who was the first champion of Sidama Sports?</t>
  </si>
  <si>
    <t>A. Abdirahman Ali B. Muhammad Ali Dirar C. Bekele Gebre D. Tsegaye Berhanu</t>
  </si>
  <si>
    <t>Tsegaye Berhanu</t>
  </si>
  <si>
    <t>In the opening Sidama game, Tsegaye Berhanu became the first champion.</t>
  </si>
  <si>
    <t>What major changes occurred in Sidama sports in the 1990s?</t>
  </si>
  <si>
    <t>A. Standardize the rules B. International distribution rights C. Professional sponsorship D. Standardize the rules</t>
  </si>
  <si>
    <t>Standardize the rules</t>
  </si>
  <si>
    <t>In the 1990s, Sidama Sports established standardized rules for competitions.</t>
  </si>
  <si>
    <t>Which Sidama sporting event is considered the most popular?</t>
  </si>
  <si>
    <t>A. Sidama Elite Competition B. Sidama International C. Sidama World Cup D. Sidama Championship</t>
  </si>
  <si>
    <t>Sidama Championship</t>
  </si>
  <si>
    <t>The Sidama Championship is considered an event that gives the highest honor to Sidama athletes.</t>
  </si>
  <si>
    <t>What are the traditional costumes worn during Sidama sports competitions?</t>
  </si>
  <si>
    <t>A. Sidama traditional dress B. Sportswear C. Casual wear D. Sidama traditional dress</t>
  </si>
  <si>
    <t>Sidama traditional dress</t>
  </si>
  <si>
    <t>Athletes in Sidama sports typically wear Sidama clothing, which is made from natural materials.</t>
  </si>
  <si>
    <t>In which year was Sidama declared the national sport in Ethiopia?</t>
  </si>
  <si>
    <t>A. 2010 B. 1998 C. 2015 D. 2010</t>
  </si>
  <si>
    <t>What is the traditional training method of Sidama athletes like?</t>
  </si>
  <si>
    <t>A. Mindfulness practices B. Combat training C. Team-based sports D. Physical endurance exercises</t>
  </si>
  <si>
    <t>Physical endurance exercises</t>
  </si>
  <si>
    <t>The traditional training provided to Sidama athletes focuses on physical endurance and agility.</t>
  </si>
  <si>
    <t>What was the main reason for the expansion of Sidama sports outside Ethiopia?</t>
  </si>
  <si>
    <t>A. Media coverage B. Cultural festivals C. International competitions D. Immigration</t>
  </si>
  <si>
    <t>Immigration</t>
  </si>
  <si>
    <t>Sidama sports have spread internationally through the diaspora community, especially through immigration.</t>
  </si>
  <si>
    <t>Which capital city in Ethiopia is the center of Sidama sports?</t>
  </si>
  <si>
    <t>A. Addis Ababa B. Mekele C. Gondar D. Hawassa</t>
  </si>
  <si>
    <t>Hawassa</t>
  </si>
  <si>
    <t>Hawassa, located in the Sidama region, is the main center of sports and culture in Sidama.</t>
  </si>
  <si>
    <t>Which Sidama athlete competed internationally for the first time in 1998?</t>
  </si>
  <si>
    <t>A. Faisal Abdulqader B. Gada Sira C. Abdi Guleid D. Aman Zeleke</t>
  </si>
  <si>
    <t>Aman Zeleke</t>
  </si>
  <si>
    <t>Aman Zeleke was the first Sidama athlete to compete at the international level in 1998.</t>
  </si>
  <si>
    <t>Which country organized the first international Sidama sports event?</t>
  </si>
  <si>
    <t>A. Kenya B. south africa C. Djibouti D. Ethiopia</t>
  </si>
  <si>
    <t>Ethiopia hosted the first international Sidama Sports Competition to showcase the sport on a global scale.</t>
  </si>
  <si>
    <t>How did Sidama sports develop in the 2000s?</t>
  </si>
  <si>
    <t>A. Increasing international competition B. Popularity in the media C. Technology introduction D. Increasing international competition</t>
  </si>
  <si>
    <t>Increasing international competition</t>
  </si>
  <si>
    <t>Sidama Sports saw an increase in international competitions in the 2000s, increasing its global participation.</t>
  </si>
  <si>
    <t>What role have Sidama women played in the development of the sport?</t>
  </si>
  <si>
    <t>A. Training athletes B. Enhancing cultural practices C. Actively competing D. Actively competing</t>
  </si>
  <si>
    <t>Actively competing</t>
  </si>
  <si>
    <t>Sidama women have played a vital role in the development of the sport by actively competing and promoting it.</t>
  </si>
  <si>
    <t>What is one of the influences of Sidama sports on Ethiopian culture?</t>
  </si>
  <si>
    <t>A. Political stability B. Technological advances C. Educational reforms D. Cultural pride</t>
  </si>
  <si>
    <t>Cultural pride</t>
  </si>
  <si>
    <t>Sidama sports have influenced Ethiopian culture by fostering cultural pride and community unity.</t>
  </si>
  <si>
    <t>When did Sidama Sports start receiving media coverage?</t>
  </si>
  <si>
    <t>A. In the 1990s B. In the 2000s C. In 2010 D. In the 1990s</t>
  </si>
  <si>
    <t>In the 1990s</t>
  </si>
  <si>
    <t>Sidama sports began to gain popularity in Ethiopia in the 1990s and began to receive media coverage.</t>
  </si>
  <si>
    <t>What is the main purpose of the Sidama Sports Competition?</t>
  </si>
  <si>
    <t>A. To maintain endurance B. To extend the opponent C. To perform traditionally significant rituals D. To get high points</t>
  </si>
  <si>
    <t>To get high points</t>
  </si>
  <si>
    <t>The main goal of the Sidama Coffee Competition is to score high points in various athletic competitions.</t>
  </si>
  <si>
    <t>In what year did Sidama Sports enter the official Olympic debate?</t>
  </si>
  <si>
    <t>A. 2012 B. 2016 C. 2020 D. 2012</t>
  </si>
  <si>
    <t>2012</t>
  </si>
  <si>
    <t>Which Sidama athlete broke the Sidama Coffee national record in 2015?</t>
  </si>
  <si>
    <t>A. Abdi Suleiman B. David Tesfaye C. Bekele Dida D. Jamal Dinku</t>
  </si>
  <si>
    <t>Jamal Dinku</t>
  </si>
  <si>
    <t>Jamal Dinku broke several national records at the 2015 Sidama Games.</t>
  </si>
  <si>
    <t>Which organization is responsible for the administration of Sidama Sports?</t>
  </si>
  <si>
    <t>A. Ethiopian National Sports Organization B. International Sidama Union C. African Sports Council D. Sidama Sports Federation</t>
  </si>
  <si>
    <t>Sidama Sports Federation</t>
  </si>
  <si>
    <t>The Sidama Sports Federation is responsible for the administration and development of Sidama sports.</t>
  </si>
  <si>
    <t>Which historical event influenced the development of sports in Sidama in the 20th century?</t>
  </si>
  <si>
    <t>A. World War II B. Civil Rights Movement C. Establishment of the Republic of Ethiopia D. Establishment of the Republic of Ethiopia</t>
  </si>
  <si>
    <t>Establishment of the Republic of Ethiopia</t>
  </si>
  <si>
    <t>The establishment of the Ethiopian Republic in the mid-20th century helped create national pride and support for domestic sports.</t>
  </si>
  <si>
    <t>Which Sidama sports competition started in 2005?</t>
  </si>
  <si>
    <t>A. Sidama Classic B. Sidama Invitation C. Sidama World Challenge D. Sidama Open Championship</t>
  </si>
  <si>
    <t>Sidama Open Championship</t>
  </si>
  <si>
    <t>The Sidama Open Championship was launched in 2005. This has created a platform for international athletes.</t>
  </si>
  <si>
    <t>How many Sidama athletes participated in the 2008 World Games?</t>
  </si>
  <si>
    <t>A. 12 B. 8 C. 15 D. 12</t>
  </si>
  <si>
    <t>12</t>
  </si>
  <si>
    <t>What was the first Sidama sports culture recognized by UNESCO?</t>
  </si>
  <si>
    <t>A. Sidama Running Race B. Sidama Archery C. Sidama Football D. Sidama struggle</t>
  </si>
  <si>
    <t>Sidama struggle</t>
  </si>
  <si>
    <t>Sidama wrestling is the first tradition to be recognized by UNESCO for its cultural significance.</t>
  </si>
  <si>
    <t>In which era did Sidama introduce sports to a professional level?</t>
  </si>
  <si>
    <t>A. In the early 2000s B. In the late 2000s C. 2010s D. In the early 2000s</t>
  </si>
  <si>
    <t>In the early 2000s</t>
  </si>
  <si>
    <t>In the early 2000s, Sidama Sports became professional, leading to increased sponsorship and competition.</t>
  </si>
  <si>
    <t>What major development occurred in Sidama sports in the 1990s?</t>
  </si>
  <si>
    <t>A. Government sponsorship B. Expansion into schools C. International cooperation D. Women's competition entry</t>
  </si>
  <si>
    <t>Women's competition entry</t>
  </si>
  <si>
    <t>When women's competitions were introduced in Sidama Sports in the 1990s, it provided equal opportunities.</t>
  </si>
  <si>
    <t>What role did the 2004 Sidama game play in the history of the sport?</t>
  </si>
  <si>
    <t>A. It has shown international involvement. B. It was the first competition to be broadcast on television. C. New sports category introduced D. It has shown international involvement.</t>
  </si>
  <si>
    <t>It has shown international involvement.</t>
  </si>
  <si>
    <t>The 2004 Sidama Games were noted for attracting international participants and increasing the international presence of the sport.</t>
  </si>
  <si>
    <t>Who is the first Sidama sports coach to gain international fame?</t>
  </si>
  <si>
    <t>A. Suleiman Tsegaye B. Abdi Farah C. Muhammad Ibrahim D. Mohammed Guleid</t>
  </si>
  <si>
    <t>Mohammed Guleid</t>
  </si>
  <si>
    <t>Mohamed Guleid is the first Sidama sports coach to gain international fame for his training methods.</t>
  </si>
  <si>
    <t>Which Sidama athlete won the gold medal at the 2010 Sidama World Cup?</t>
  </si>
  <si>
    <t>A. It's gone. B. Tsegaye Berhanu C. Abdi Abdulqader D. Jamal Ali</t>
  </si>
  <si>
    <t>Jamal Ali set a record by winning a gold medal at the 2010 Sidama Cup.</t>
  </si>
  <si>
    <t>In which year did Sidama Sports become an official event at the African Games?</t>
  </si>
  <si>
    <t>A. 2013 B. 2015 C. 2017 D. 2015</t>
  </si>
  <si>
    <t>What was the main reason for the growth of Sidama sports in the 1990s?</t>
  </si>
  <si>
    <t>A. Cultural inspiration B. Media coverage C. International relations D. Government support</t>
  </si>
  <si>
    <t>Government support</t>
  </si>
  <si>
    <t>Government support played a major role in the development of Sidama sports in the 1990s.</t>
  </si>
  <si>
    <t>Which Sidama competition was established in 1999?</t>
  </si>
  <si>
    <t>A. Sidama Classic B. Sidama World Cup C. Sidama Winter Games D. Sidama Sports Festival</t>
  </si>
  <si>
    <t>Sidama Sports Festival</t>
  </si>
  <si>
    <t>The Sidama Sports Festival, founded in 1999, became the premier competition in Sidama sports.</t>
  </si>
  <si>
    <t>What impact did the 2014 Sidama Championship have on the sport?</t>
  </si>
  <si>
    <t>A. Introduction to new sports B. Media coverage has increased. C. Introduction to youth categories D. Increased international recognition</t>
  </si>
  <si>
    <t>Increased international recognition</t>
  </si>
  <si>
    <t>The 2014 Sidama Championship added international recognition to Sidama sports.</t>
  </si>
  <si>
    <t>Which city hosted the first Sidama International Games?</t>
  </si>
  <si>
    <t>Hawassa city has opened a new chapter for the sport by hosting the first Sidama International Games.</t>
  </si>
  <si>
    <t>What is the culture in Sidama sports?</t>
  </si>
  <si>
    <t>A. Warrior initiation ceremonies B. Family ties C. Prayers of religious ceremonies D. Celebrating the harvest season</t>
  </si>
  <si>
    <t>Celebrating the harvest season</t>
  </si>
  <si>
    <t>Sidama sports are deeply rooted in the celebration of the harvest season and community gatherings.</t>
  </si>
  <si>
    <t>When did Sidama Sports introduce its first national team?</t>
  </si>
  <si>
    <t>Which Sidama athlete was the first to enter the Hall of Fame?</t>
  </si>
  <si>
    <t>A. Jamal Zeleke B. Bekele Dida C. Abdi Abdulqader D. Muhammad Ibrahim</t>
  </si>
  <si>
    <t>Muhammad Ibrahim</t>
  </si>
  <si>
    <t>Mohamed Ibrahim is the first Sidama athlete to achieve this success.</t>
  </si>
  <si>
    <t>In which year did Sidama Sports begin collaborating with the Ethiopian government to gain national recognition?</t>
  </si>
  <si>
    <t>A. 2005 B. 2010 C. 2015 D. 2005</t>
  </si>
  <si>
    <t>What major milestone happened for Sidama sports in 2020?</t>
  </si>
  <si>
    <t>A. Inclusion in the African Games B. Introduction to virtual events C. The first international competition was held D. Inclusion in the African Games</t>
  </si>
  <si>
    <t>Inclusion in the African Games</t>
  </si>
  <si>
    <t>Sidama Sports has been officially included in the 2020 African Games.</t>
  </si>
  <si>
    <t>Who was the first Sidama athlete to compete in the World Games?</t>
  </si>
  <si>
    <t>A. Abdi Guleid B. Faisal Abdulqader C. Mohammed Dirir D. Tsegaye Berhanu</t>
  </si>
  <si>
    <t>Tsegaye Berhanu is the first Sidama athlete to participate in the World Games.</t>
  </si>
  <si>
    <t>What new things happened in Sidama Sports in 2015?</t>
  </si>
  <si>
    <t>A. Establishing a Junior League B. Expanding trainer certifications C. Hosting the first international competition D. Introduction to domestic competitions</t>
  </si>
  <si>
    <t>Introduction to domestic competitions</t>
  </si>
  <si>
    <t>In 2015, Sidama Sports introduced indoor competitions to attract more athletes.</t>
  </si>
  <si>
    <t>Which technology was introduced to boost Sidama sports in 2016?</t>
  </si>
  <si>
    <t>A. Augmented reality B. Virtual reality C. Smart uniform D. Video analysis</t>
  </si>
  <si>
    <t>Video analysis</t>
  </si>
  <si>
    <t>Video analysis was introduced in 2016 to enhance coaching and performance evaluation.</t>
  </si>
  <si>
    <t>What is the purpose of the Sidama Games?</t>
  </si>
  <si>
    <t>A. It emphasizes cultural traditions. B. It encourages tourism. C. Helps unite local communities D. It celebrates athletic achievements.</t>
  </si>
  <si>
    <t>It celebrates athletic achievements.</t>
  </si>
  <si>
    <t>The Sidama Games celebrated athletic victories while preserving cultural traditions.</t>
  </si>
  <si>
    <t>When did Sidama Sports gain international recognition?</t>
  </si>
  <si>
    <t>A. In 2005 B. In 2015 C. In 2020 D. In 2015</t>
  </si>
  <si>
    <t>In 2015</t>
  </si>
  <si>
    <t>Sidama sports gained international recognition when they were included in the 2015 African Games.</t>
  </si>
  <si>
    <t>In what year was Sidama Sports founded?</t>
  </si>
  <si>
    <t>A. 1950 B. 1960 C. 1970 D. 1960</t>
  </si>
  <si>
    <t>Which Sidama sport gained international popularity in the 1980s?</t>
  </si>
  <si>
    <t>A. Sidama Football B. Sidama struggle C. Sidama is running. D. Sidama struggle</t>
  </si>
  <si>
    <t>Sidama wrestling gained international popularity in the 1980s due to its cultural significance.</t>
  </si>
  <si>
    <t>Who was the first Sidama athlete to win a gold medal at the World Championships?</t>
  </si>
  <si>
    <t>A. Abdi Abdulqader B. Bekele Dida C. Tsegaye Berhanu D. Jamal Ali</t>
  </si>
  <si>
    <t>Jamal Ali won Sidama's first gold medal at the 2005 World Championships.</t>
  </si>
  <si>
    <t>Which country invited Sidama athletes to compete internationally?</t>
  </si>
  <si>
    <t>A. Kenya B. Egypt C. south africa D. Kenya</t>
  </si>
  <si>
    <t>Kenya is the first country to invite Sidama athletes to participate in international competitions.</t>
  </si>
  <si>
    <t>What was the main reason for the growth of Sidama sports in the 1980s?</t>
  </si>
  <si>
    <t>A. Government funding B. Media exposure C. Community support D. Government funding</t>
  </si>
  <si>
    <t>Government funding</t>
  </si>
  <si>
    <t>Government funding and initiatives helped Sidama sports grow in the 1980s.</t>
  </si>
  <si>
    <t>Which Sidama sport is historically associated with traditional rituals?</t>
  </si>
  <si>
    <t>A. Sidama struggle B. Sidama Football C. Sidama Run D. Sidama struggle</t>
  </si>
  <si>
    <t>Sidama wrestling is traditionally associated with rituals and ceremonies.</t>
  </si>
  <si>
    <t>Which Sidama athlete broke the world record?</t>
  </si>
  <si>
    <t>A. Muhammad Ibrahim B. Jamal Ali C. Tsegaye Berhanu D. It's gone.</t>
  </si>
  <si>
    <t>It's gone.</t>
  </si>
  <si>
    <t>Keder Zeleke is the first Sidama athlete to break a world record in 2008.</t>
  </si>
  <si>
    <t>In which decade did Sidama Sports receive government recognition?</t>
  </si>
  <si>
    <t>A. 1970s B. 1980s C. 1990s D. 1980s</t>
  </si>
  <si>
    <t>1980s</t>
  </si>
  <si>
    <t>Sidama Sports received government recognition in the 1980s.</t>
  </si>
  <si>
    <t>Which event marked the first time that Sidama sports were featured in the Olympic Games?</t>
  </si>
  <si>
    <t>A. 2000 B. 2004 C. 2008 D. 2004</t>
  </si>
  <si>
    <t>2004</t>
  </si>
  <si>
    <t>Which Sidama athlete is the first to receive the National Sportsmanship Award?</t>
  </si>
  <si>
    <t>A. Muhammad Ibrahim B. Abdi Abdulqader C. Bekele Dida D. Jamal Ali</t>
  </si>
  <si>
    <t>Jamal Ali has become the first Sidama athlete to receive a national award for sportsmanship.</t>
  </si>
  <si>
    <t>How many years have passed since Sidama Sports was officially recognized by the International Olympic Committee?</t>
  </si>
  <si>
    <t>Which Sidama sporting event received the most media coverage in the early 2000s?</t>
  </si>
  <si>
    <t>A. Sidama Sports Festival B. Sidama World Cup C. Sidama Invitation D. Sidama Classic</t>
  </si>
  <si>
    <t>Sidama Classic</t>
  </si>
  <si>
    <t>The Sidama Classic received significant media attention in the early 2000s.</t>
  </si>
  <si>
    <t>Which organization established the Sidama National Games in 1995?</t>
  </si>
  <si>
    <t>A. Ethiopian Sports Commission B. Sidama Olympic Committee C. Sidama Regional Government D. Sidama Sports Federation</t>
  </si>
  <si>
    <t>The Sidama Sports Federation organized the Sidama National Games in 1995.</t>
  </si>
  <si>
    <t>In which year was the first Sidama Cup held?</t>
  </si>
  <si>
    <t>Which Sidama sport is based on ancient hunting techniques?</t>
  </si>
  <si>
    <t>A. Sidama Archery B. Sidama Football C. Sidama is running. D. Sidama Archery</t>
  </si>
  <si>
    <t>Sidama Archery</t>
  </si>
  <si>
    <t>Sidama archery has its origins in the ancient hunting customs of the Sidama people.</t>
  </si>
  <si>
    <t>Which region organized the first Sidama Youth Championship?</t>
  </si>
  <si>
    <t>A. Shashemane B. Mekele C. Addis Ababa D. Hawassa</t>
  </si>
  <si>
    <t>Hawassa hosted the first Sidama Youth Championship in 1998.</t>
  </si>
  <si>
    <t>What role did you play in the 2000 Sidama Games?</t>
  </si>
  <si>
    <t>A. The first international event B. The first women's event C. First broadcast event D. The first event broadcast on television</t>
  </si>
  <si>
    <t>The first event broadcast on television</t>
  </si>
  <si>
    <t>The Sidama game, held in 2000, was the first to be televised and exposed the sport to a large audience.</t>
  </si>
  <si>
    <t>Who is credited with modernizing Sidama sports training in the 1990s?</t>
  </si>
  <si>
    <t>A. Suleiman Tsegaye B. Abdi Farah C. Bekele Dida D. Mohammed Guleid</t>
  </si>
  <si>
    <t>Mohamed Guled is credited with modernizing Sidama sports training in the 1990s.</t>
  </si>
  <si>
    <t>Which Sidama athlete participated in the African Championship for the first time?</t>
  </si>
  <si>
    <t>A. Bekele Dida B. It's gone. C. Abdi Abdulqader D. Jamal Ali</t>
  </si>
  <si>
    <t>Jamal Ali is the first Sidama athlete to participate in the African Championship.</t>
  </si>
  <si>
    <t>What was the impact of the 2012 Sidama Games?</t>
  </si>
  <si>
    <t>A. Sponsorship has increased. B. High media attention C. New international teams D. Widespread participation</t>
  </si>
  <si>
    <t>Widespread participation</t>
  </si>
  <si>
    <t>The 2012 Sidama Games saw wide participation with athletes from many countries.</t>
  </si>
  <si>
    <t>What major event occurred in Sidama's history in 2015?</t>
  </si>
  <si>
    <t>A. The first female champion B. Inclusion in the African Games C. The first televised World Cup D. Inclusion in the African Games</t>
  </si>
  <si>
    <t>Sidama Sports was included in the 2015 African Games, which is a major milestone.</t>
  </si>
  <si>
    <t>Which Sidama traditional sport is associated with the harvest festival?</t>
  </si>
  <si>
    <t>A. Sidama Archery B. Sidama is running. C. Sidama Football D. Sidama struggle</t>
  </si>
  <si>
    <t>The Sidama struggle is linked to the Sidama people's traditional harvest celebrations.</t>
  </si>
  <si>
    <t>Which Sidama competition started in 1996?</t>
  </si>
  <si>
    <t>A. Sidama Invitation B. Sidama World Championship C. Sidama Games D. Sidama Classic</t>
  </si>
  <si>
    <t>The Sidama Classic was introduced in 1996 as a premier event for local athletes.</t>
  </si>
  <si>
    <t>Which historical event influenced the formation of the Sidama Sports Federation?</t>
  </si>
  <si>
    <t>A. The rise of nationalism B. Ethiopian Revolution. C. Colonial influence D. The rise of nationalism</t>
  </si>
  <si>
    <t>The rise of nationalism</t>
  </si>
  <si>
    <t>The formation of the Sidama Sports Federation was influenced by the rise of nationalism in Ethiopia.</t>
  </si>
  <si>
    <t>What year was Sidama Sports first shown on Ethiopian national television?</t>
  </si>
  <si>
    <t>Which Sidama athlete won the 2008 World Championship?</t>
  </si>
  <si>
    <t>A. It's gone. B. Jamal Ali C. Abdi Abdulqader D. It's gone.</t>
  </si>
  <si>
    <t>Keder Zeleke won the first Sidama World Championship in 2008.</t>
  </si>
  <si>
    <t>Which Sidama sports event used electronic timing systems?</t>
  </si>
  <si>
    <t>A. Sidama Classic B. Sidama National Games C. Sidama Invitation D. Sidama World Cup</t>
  </si>
  <si>
    <t>Sidama World Cup</t>
  </si>
  <si>
    <t>The Sidama World Cup is the first to use electronic timing to record results.</t>
  </si>
  <si>
    <t>What was the significance of the Sidama Sports Festival in 1992?</t>
  </si>
  <si>
    <t>A. First female athletes B. First appearance of national athletes C. The first event broadcast on television D. First international participation</t>
  </si>
  <si>
    <t>First international participation</t>
  </si>
  <si>
    <t>The Sidama Sports Festival in 1992 was the first to feature the participation of world-class athletes.</t>
  </si>
  <si>
    <t>Which Sidama sport is said to be a mix of traditional dance and athletics?</t>
  </si>
  <si>
    <t>A. Sidama Football B. Sidama Archery C. Sidama Run D. Sidama struggle</t>
  </si>
  <si>
    <t>Sidama wrestling is a cultural dance and athletic competition based on Sidama traditions.</t>
  </si>
  <si>
    <t>What was Sidama Sports' main achievement in 2010?</t>
  </si>
  <si>
    <t>A. First appearance at the Olympics B. First appearance at the African Games C. The First National Sports Academy D. First appearance at the Olympics</t>
  </si>
  <si>
    <t>First appearance at the Olympics</t>
  </si>
  <si>
    <t>Sidama sports made their debut at the 2010 Olympics.</t>
  </si>
  <si>
    <t>How many years ago did Sidama Sports first receive national recognition in Ethiopia?</t>
  </si>
  <si>
    <t>Which Sidama athlete participated in the Commonwealth Games for the first time?</t>
  </si>
  <si>
    <t>A. Abdi Abdulqader B. Bekele Dida C. Muhammad Ibrahim D. Bekele Dida</t>
  </si>
  <si>
    <t>Bekele Dida</t>
  </si>
  <si>
    <t>Bekele Dida is the first Sidama athlete to compete in the Commonwealth Games.</t>
  </si>
  <si>
    <t>In which year was the Sidama National Sports Federation established?</t>
  </si>
  <si>
    <t>A. 1980 B. 1985 C. 1990 D. 1985</t>
  </si>
  <si>
    <t>Which event was the first time that Sidama athletes were recognized internationally for their sportsmanship?</t>
  </si>
  <si>
    <t>A. Sidama Games 2005 B. Ethiopian Sports Festival 2003 C. African Games 2007 D. World Athletics Championships 2000</t>
  </si>
  <si>
    <t>World Athletics Championships 2000</t>
  </si>
  <si>
    <t>Sidama athletes were recognized internationally for their sportsmanship in 2000.</t>
  </si>
  <si>
    <t>Who was the first Sidama athlete to win an Olympic medal?</t>
  </si>
  <si>
    <t>A. Bekele Dida B. Jamal Ali C. Muhammad Ibrahim D. Abdi Abdulqader</t>
  </si>
  <si>
    <t>Abdi Abdulkadir is the first Sidama athlete to win an Olympic medal in 2008.</t>
  </si>
  <si>
    <t>Which Sidama sport is considered a traditional system?</t>
  </si>
  <si>
    <t>A. Sidama Archery B. Sidama Football C. Sidama Run D. Sidama struggle</t>
  </si>
  <si>
    <t>Sidama wrestling is a traditional practice in Sidama culture.</t>
  </si>
  <si>
    <t>When did Sidama sports first appear in the All-Africa Games?</t>
  </si>
  <si>
    <t>A. 1995 B. 2005 C. 2010 D. 1995</t>
  </si>
  <si>
    <t>Which Sidama athlete won multiple gold medals in 2007?</t>
  </si>
  <si>
    <t>A. Bekele Dida B. Jamal Ali C. It's gone. D. Muhammad Ibrahim</t>
  </si>
  <si>
    <t>Mohamed Ibrahim became a national hero in 2007 after winning multiple gold medals.</t>
  </si>
  <si>
    <t>What was the significance of the 2012 Sidama World Championship?</t>
  </si>
  <si>
    <t>A. The first female athlete to win B. The first event broadcast on television C. First gold medal in archery D. First international championship</t>
  </si>
  <si>
    <t>First international championship</t>
  </si>
  <si>
    <t>The 2012 Sidama World Championship was the first international championship for Sidama Sports.</t>
  </si>
  <si>
    <t>Which Sidama competition started as a local event before gaining national attention?</t>
  </si>
  <si>
    <t>A. Sidama National Games B. Sidama Classic C. Sidama World Cup D. Sidama National Games</t>
  </si>
  <si>
    <t>Sidama National Games</t>
  </si>
  <si>
    <t>The Sidama National Game began as a local event before evolving into a national competition.</t>
  </si>
  <si>
    <t>Which Sidama sport has influenced the development of athletics in Ethiopia?</t>
  </si>
  <si>
    <t>A. Sidama Archery B. Sidama Football C. Sidama is running. D. Sidama is running.</t>
  </si>
  <si>
    <t>Sidama is running.</t>
  </si>
  <si>
    <t>The Sidama Run has influenced the development of long-distance running in Ethiopia.</t>
  </si>
  <si>
    <t>Who was the first Sidama athlete to break a national record?</t>
  </si>
  <si>
    <t>A. Jamal Ali B. Muhammad Ibrahim C. Abdi Abdulqader D. Jamal Ali</t>
  </si>
  <si>
    <t>Jamal Ali is the first Sidama athlete to break a national record in athletics.</t>
  </si>
  <si>
    <t>Which Sidama sport is practiced by young people in rural areas?</t>
  </si>
  <si>
    <t>The Sidama struggle was first waged by young people in the rural Sidama community.</t>
  </si>
  <si>
    <t>Which Sidama Sports Festival received international recognition in 2006?</t>
  </si>
  <si>
    <t>A. Sidama Sports Festival B. Sidama Classic C. Sidama Invitation D. Sidama Sports Festival</t>
  </si>
  <si>
    <t>The Sidama Sports Festival gained international recognition in 2006 through various events.</t>
  </si>
  <si>
    <t>What year was Sidama sports first seen at the World Games?</t>
  </si>
  <si>
    <t>Which Sidama athlete was the first to represent his country at the 2010 World Cup?</t>
  </si>
  <si>
    <t>A. Bekele Dida B. Jamal Ali C. It's gone. D. Abdi Abdulqader</t>
  </si>
  <si>
    <t>Abdi Abdulkadir is the first Sidama athlete to represent Ethiopia at the 2010 World Cup.</t>
  </si>
  <si>
    <t>Which Sidama sporting event gained international recognition for its innovative broadcasting in 2000?</t>
  </si>
  <si>
    <t>A. Sidama Invitation B. Sidama National Games C. Sidama World Cup D. Sidama World Cup</t>
  </si>
  <si>
    <t>The Sidama World Cup has gained international recognition through innovative broadcasting techniques.</t>
  </si>
  <si>
    <t>What was the main impact of the establishment of the Sidama Sports Academy in 2002?</t>
  </si>
  <si>
    <t>A. Government support B. International recognition C. National pride D. Government support</t>
  </si>
  <si>
    <t>The establishment of the Sidama Sports Academy was primarily influenced by government support.</t>
  </si>
  <si>
    <t>Which Sidama sport was introduced at the 2007 African Games?</t>
  </si>
  <si>
    <t>A. Sidama struggle B. Sidama Football C. Sidama is running. D. Sidama struggle</t>
  </si>
  <si>
    <t>Sidama wrestling was introduced to the African Games in 2007.</t>
  </si>
  <si>
    <t>In which decade did Sidama athletes first compete at the World Championships?</t>
  </si>
  <si>
    <t>A. 1990s B. 2000s C. 2010s D. 1980s</t>
  </si>
  <si>
    <t>2000s</t>
  </si>
  <si>
    <t>Sidama athletes first competed at the World Championships in the 2000s.</t>
  </si>
  <si>
    <t>Who was the first Sidama athlete to win a medal at the African Championships?</t>
  </si>
  <si>
    <t>A. Bekele Dida B. Jemal Ali C. Abdi Abdulkadir D. Kedir Zeleke</t>
  </si>
  <si>
    <t>Bekele Dida was the first Sidama athlete to win a medal at the African Championships.</t>
  </si>
  <si>
    <t>What year did Sidama sport first appear at the All Africa Games?</t>
  </si>
  <si>
    <t>A. 1999 B. 2003 C. 2007 D. 2011</t>
  </si>
  <si>
    <t>Sidama sport first appeared at the All Africa Games in 2003.</t>
  </si>
  <si>
    <t>Which Sidama athlete was recognized for their contribution to athletics in 2012?</t>
  </si>
  <si>
    <t>A. Bekele Dida B. Abdi Abdulkadir C. Kedir Zeleke D. Jemal Ali</t>
  </si>
  <si>
    <t>Abdi Abdulkadir</t>
  </si>
  <si>
    <t>Abdi Abdulkadir was recognized for his contribution to athletics in 2012.</t>
  </si>
  <si>
    <t>Which Sidama competition was first held in Addis Ababa in 1995?</t>
  </si>
  <si>
    <t>A. Sidama National Games B. Sidama World Cup C. Sidama Classic D. Sidama Invitational</t>
  </si>
  <si>
    <t>The Sidama National Games were first held in Addis Ababa in 1995.</t>
  </si>
  <si>
    <t>Which Sidama sport has its origins in ancient hunting rituals?</t>
  </si>
  <si>
    <t>A. Sidama wrestling B. Sidama archery C. Sidama football D. Sidama sprinting</t>
  </si>
  <si>
    <t>Sidama archery</t>
  </si>
  <si>
    <t>Sidama archery has its origins in the ancient hunting rituals of the Sidama people.</t>
  </si>
  <si>
    <t>Who was the first Sidama female athlete to win a medal at the African Games?</t>
  </si>
  <si>
    <t>A. Fatuma Ibrahim B. Sofia Zeleke C. Amina Ali D. Ruth Ibrahim</t>
  </si>
  <si>
    <t>Fatuma Ibrahim</t>
  </si>
  <si>
    <t>Fatuma Ibrahim was the first Sidama female athlete to win a medal at the African Games.</t>
  </si>
  <si>
    <t>Which Sidama sports figure was the first to become a member of the International Olympic Committee?</t>
  </si>
  <si>
    <t>A. Kedir Zeleke B. Mohammed Ibrahim C. Abdi Abdulkadir D. Bekele Dida</t>
  </si>
  <si>
    <t>Mohammed Ibrahim</t>
  </si>
  <si>
    <t>Mohammed Ibrahim was the first Sidama sports figure to become a member of the International Olympic Committee.</t>
  </si>
  <si>
    <t>Which Sidama sport is known for its spectacular opening ceremonies during the national championships?</t>
  </si>
  <si>
    <t>A. Sidama football B. Sidama wrestling C. Sidama archery D. Sidama sprinting</t>
  </si>
  <si>
    <t>Sidama football</t>
  </si>
  <si>
    <t>Sidama football is known for its spectacular opening ceremonies during the national championships.</t>
  </si>
  <si>
    <t>Which Sidama athlete was the first to break an international 100m sprint record?</t>
  </si>
  <si>
    <t>A. Abdi Abdulkadir B. Jemal Ali C. Bekele Dida D. Mohammed Ibrahim</t>
  </si>
  <si>
    <t>Abdi Abdulkadir was the first Sidama athlete to break an international 100m sprint record.</t>
  </si>
  <si>
    <t>What was the main reason for the establishment of the Sidama National Sports Academy?</t>
  </si>
  <si>
    <t>A. Improving youth participation B. Hosting international events C. Building athletic facilities D. Training elite athletes</t>
  </si>
  <si>
    <t>Training elite athletes</t>
  </si>
  <si>
    <t>The main reason for the establishment of the Sidama National Sports Academy was to train elite athletes.</t>
  </si>
  <si>
    <t>Which Sidama athlete first competed in the World Athletics Championships?</t>
  </si>
  <si>
    <t>A. Abdi Abdulkadir B. Bekele Dida C. Jemal Ali D. Kedir Zeleke</t>
  </si>
  <si>
    <t>Jemal Ali</t>
  </si>
  <si>
    <t>Jemal Ali was the first Sidama athlete to compete in the World Athletics Championships.</t>
  </si>
  <si>
    <t>What year did the Sidama Sports Federation become an official member of the International Athletics Association?</t>
  </si>
  <si>
    <t>A. 1990 B. 2000 C. 2010 D. 1985</t>
  </si>
  <si>
    <t>The Sidama Sports Federation became an official member of the International Athletics Association in 1990.</t>
  </si>
  <si>
    <t>Which Sidama athlete was the first to compete in the World Cup in football?</t>
  </si>
  <si>
    <t>A. Abdi Abdulkadir B. Mohammed Ibrahim C. Bekele Dida D. Jemal Ali</t>
  </si>
  <si>
    <t>Mohammed Ibrahim was the first Sidama athlete to compete in the World Cup in football.</t>
  </si>
  <si>
    <t>Which Sidama sport became the most popular in the country after the 2000s?</t>
  </si>
  <si>
    <t>A. Sidama wrestling B. Sidama archery C. Sidama football D. Sidama running</t>
  </si>
  <si>
    <t>Sidama football became the most popular sport in the country after the 2000s.</t>
  </si>
  <si>
    <t>Who was the first Sidama athlete to win a silver medal at the World Championships?</t>
  </si>
  <si>
    <t>A. Bekele Dida B. Jemal Ali C. Mohammed Ibrahim D. Abdi Abdulkadir</t>
  </si>
  <si>
    <t>Bekele Dida was the first Sidama athlete to win a silver medal at the World Championships.</t>
  </si>
  <si>
    <t>What year did Sidama wrestling gain national recognition?</t>
  </si>
  <si>
    <t>A. 1975 B. 1980 C. 1990 D. 2000</t>
  </si>
  <si>
    <t>Sidama wrestling gained national recognition in Ethiopia in 1980.</t>
  </si>
  <si>
    <t>Which event is considered the most prestigious Sidama athletic competition?</t>
  </si>
  <si>
    <t>The Sidama National Games are considered the most prestigious Sidama athletic competition.</t>
  </si>
  <si>
    <t>Which Sidama athlete won a gold medal at the African Athletics Championship in 2009?</t>
  </si>
  <si>
    <t>A. Bekele Dida B. Mohammed Ibrahim C. Abdi Abdulkadir D. Jemal Ali</t>
  </si>
  <si>
    <t>Bekele Dida won a gold medal at the African Athletics Championship in 2009.</t>
  </si>
  <si>
    <t>Who was the first Sidama athlete to break the Ethiopian 400m record?</t>
  </si>
  <si>
    <t>A. Jemal Ali B. Bekele Dida C. Abdi Abdulkadir D. Mohammed Ibrahim</t>
  </si>
  <si>
    <t>Abdi Abdulkadir was the first Sidama athlete to break the Ethiopian 400m record.</t>
  </si>
  <si>
    <t>What year did Sidama sport first appear in the African Athletics Championships?</t>
  </si>
  <si>
    <t>Sidama sport first appeared in the African Athletics Championships in 1995.</t>
  </si>
  <si>
    <t>Which Sidama sport is most famous for its cultural rituals and performances?</t>
  </si>
  <si>
    <t>Sidama wrestling</t>
  </si>
  <si>
    <t>Sidama wrestling is most famous for its cultural rituals and performances.</t>
  </si>
  <si>
    <t>What year did Sidama sport first appear in the East African Games?</t>
  </si>
  <si>
    <t>A. 1980 B. 1990 C. 2000 D. 2010</t>
  </si>
  <si>
    <t>Sidama sport first appeared in the East African Games in 1990.</t>
  </si>
  <si>
    <t>Which Sidama athlete was the first to win an Olympic bronze medal?</t>
  </si>
  <si>
    <t>A. Abdi Abdulkadir B. Bekele Dida C. Jemal Ali D. Mohammed Ibrahim</t>
  </si>
  <si>
    <t>Abdi Abdulkadir was the first Sidama athlete to win an Olympic bronze medal.</t>
  </si>
  <si>
    <t>What year did Sidama archery become an officially recognized sport?</t>
  </si>
  <si>
    <t>Sidama archery became an officially recognized sport in 1990.</t>
  </si>
  <si>
    <t>Who was the first Sidama athlete to win an international gold medal?</t>
  </si>
  <si>
    <t>A. Bekele Dida B. Abdi Abdulkadir C. Jemal Ali D. Mohammed Ibrahim</t>
  </si>
  <si>
    <t>Bekele Dida was the first Sidama athlete to win an international gold medal.</t>
  </si>
  <si>
    <t>Which Sidama event was first broadcasted live on national television in 2002?</t>
  </si>
  <si>
    <t>A. Sidama National Games B. Sidama Invitational C. Sidama World Cup D. Sidama Classic</t>
  </si>
  <si>
    <t>The Sidama National Games were first broadcasted live on national television in 2002.</t>
  </si>
  <si>
    <t>What year did Sidama first compete at the World Cross Country Championships?</t>
  </si>
  <si>
    <t>Sidama first competed at the World Cross Country Championships in 2000.</t>
  </si>
  <si>
    <t>Which Sidama athlete was the first to participate in the Paralympic Games?</t>
  </si>
  <si>
    <t>A. Abdi Abdulkadir B. Bekele Dida C. Mohammed Ibrahim D. Jemal Ali</t>
  </si>
  <si>
    <t>Bekele Dida was the first Sidama athlete to participate in the Paralympic Games.</t>
  </si>
  <si>
    <t>What year did Sidama football first play in an international match?</t>
  </si>
  <si>
    <t>A. 1985 B. 1990 C. 1995 D. 2000</t>
  </si>
  <si>
    <t>Sidama football first played in an international match in 1995.</t>
  </si>
  <si>
    <t>Which Sidama athlete was the first to win a national title in 100m sprint?</t>
  </si>
  <si>
    <t>A. Bekele Dida B. Abdi Abdulkadir C. Mohammed Ibrahim D. Jemal Ali</t>
  </si>
  <si>
    <t>Jemal Ali was the first Sidama athlete to win a national title in 100m sprint.</t>
  </si>
  <si>
    <t>Which Sidama sports team won the first national championship in 1985?</t>
  </si>
  <si>
    <t>A. Sidama football team B. Sidama basketball team C. Sidama volleyball team D. Sidama wrestling team</t>
  </si>
  <si>
    <t>Sidama football team</t>
  </si>
  <si>
    <t>The Sidama football team won the first national championship in 1985.</t>
  </si>
  <si>
    <t>In which year did Sidama win its first international football tournament?</t>
  </si>
  <si>
    <t>Sidama won its first international football tournament in 2000.</t>
  </si>
  <si>
    <t>Who was the first Sidama female athlete to participate in the World Cup?</t>
  </si>
  <si>
    <t>Fatuma Ibrahim was the first Sidama female athlete to participate in the World Cup.</t>
  </si>
  <si>
    <t>Which Sidama event is considered the starting point for modern Sidama athletics?</t>
  </si>
  <si>
    <t>A. Sidama Invitational B. Sidama National Games C. Sidama Classic D. Sidama World Cup</t>
  </si>
  <si>
    <t>The Sidama National Games are considered the starting point for modern Sidama athletics.</t>
  </si>
  <si>
    <t>Which Sidama sport was first introduced to schools in 1990?</t>
  </si>
  <si>
    <t>A. Sidama football B. Sidama wrestling C. Sidama running D. Sidama archery</t>
  </si>
  <si>
    <t>Sidama football was first introduced to schools in 1990.</t>
  </si>
  <si>
    <t>Which Sidama athlete became the first to win a gold medal at the Pan-African Games?</t>
  </si>
  <si>
    <t>Jemal Ali became the first Sidama athlete to win a gold medal at the Pan-African Games.</t>
  </si>
  <si>
    <t>What was the first Sidama team sport to gain international recognition?</t>
  </si>
  <si>
    <t>A. Sidama football B. Sidama basketball C. Sidama volleyball D. Sidama rugby</t>
  </si>
  <si>
    <t>Sidama football was the first Sidama team sport to gain international recognition.</t>
  </si>
  <si>
    <t>Which Sidama athlete won a bronze medal in the 1500m at the World Championships?</t>
  </si>
  <si>
    <t>Bekele Dida won a bronze medal in the 1500m at the World Championships.</t>
  </si>
  <si>
    <t>Which Sidama sport has the highest participation rate in schools?</t>
  </si>
  <si>
    <t>Sidama football has the highest participation rate in schools.</t>
  </si>
  <si>
    <t>Which Sidama athlete was the first to win a national 200m title?</t>
  </si>
  <si>
    <t>Abdi Abdulkadir was the first Sidama athlete to win a national 200m title.</t>
  </si>
  <si>
    <t>Where is the table believed to have come from?</t>
  </si>
  <si>
    <t>A. Asia B. Europe C. south america D. Africa</t>
  </si>
  <si>
    <t>Africa</t>
  </si>
  <si>
    <t>It is believed that the table originated in Africa, especially Ethiopia and other East African regions.</t>
  </si>
  <si>
    <t>What is the earliest archaeological evidence of Mancala?</t>
  </si>
  <si>
    <t>A. Stone inscriptions in Greece B. Wooden boards in China C. Pottery in Mesopotamia D. Inscribed tablets in ancient Egypt</t>
  </si>
  <si>
    <t>Inscribed tablets in ancient Egypt</t>
  </si>
  <si>
    <t>Carved Mancala boards have been found in ancient Egyptian temples, dating back to 1400 BC.</t>
  </si>
  <si>
    <t>What does the word 'mancala' mean in Arabic?</t>
  </si>
  <si>
    <t>A. To count B. to play C. To collect D. To move</t>
  </si>
  <si>
    <t>To move</t>
  </si>
  <si>
    <t>The word 'mancala' comes from the Arabic word 'naqala', which means 'to move'.</t>
  </si>
  <si>
    <t>Which ancient culture is known for the Mancala boards carved into the stone floor of the temple?</t>
  </si>
  <si>
    <t>A. Romans B. Indians C. Greeks D. Egyptians</t>
  </si>
  <si>
    <t>Egyptians</t>
  </si>
  <si>
    <t>The ancient Egyptians carved Mancala boards into the stone floors of their temples, demonstrating its cultural significance.</t>
  </si>
  <si>
    <t>In which century did the game of Mancala spread to the Middle East?</t>
  </si>
  <si>
    <t>A. 8th century B. 10th century C. 12th century D. 8th century</t>
  </si>
  <si>
    <t>8th century</t>
  </si>
  <si>
    <t>Mancala games spread to the Middle East through trade routes in the 8th century.</t>
  </si>
  <si>
    <t>Which African ethnic group is closely associated with the origin of the map?</t>
  </si>
  <si>
    <t>A. Zulu B. Berber C. Swahili D. Oromo</t>
  </si>
  <si>
    <t>The Oromo people of East Africa are closely linked to the Gebeta origin.</t>
  </si>
  <si>
    <t>Which region is it when the chart becomes associated with festivals and turns into a social activity?</t>
  </si>
  <si>
    <t>A. East Africa B. South Africa C. North Africa D. East Africa</t>
  </si>
  <si>
    <t>East Africa</t>
  </si>
  <si>
    <t>In East Africa, it evolved into a game played at festivals and community gatherings.</t>
  </si>
  <si>
    <t>What role did Mancala play in ancient African societies?</t>
  </si>
  <si>
    <t>A. Promoting diplomacy B. Religious ceremonies C. Children's education D. Promoting diplomacy</t>
  </si>
  <si>
    <t>Promoting diplomacy</t>
  </si>
  <si>
    <t>Mancala was often used as a diplomatic tool to resolve disputes between tribes.</t>
  </si>
  <si>
    <t>What material were the first Mancala boards made of?</t>
  </si>
  <si>
    <t>A. Wood B. Iron C. Clay D. Stone</t>
  </si>
  <si>
    <t>Stone</t>
  </si>
  <si>
    <t>The first Mancala boards were carved from stone, especially in ancient African and Middle Eastern cultures.</t>
  </si>
  <si>
    <t>What was the purpose of playing Mancala in ancient Egypt?</t>
  </si>
  <si>
    <t>A. Entertainment B. Business negotiations C. Teaching children D. Religious ceremonies</t>
  </si>
  <si>
    <t>Religious ceremonies</t>
  </si>
  <si>
    <t>Mancala was played in ancient Egypt as part of religious rituals and social bonding.</t>
  </si>
  <si>
    <t>Which colonial power helped bring Mancala to the Caribbean?</t>
  </si>
  <si>
    <t>A. Dutch B. French C. Portuguese D. Dutch</t>
  </si>
  <si>
    <t>Dutch</t>
  </si>
  <si>
    <t>The Dutch helped spread Mancala to the Caribbean during the colonial era.</t>
  </si>
  <si>
    <t>What is the name of Gebeta known in the Philippines?</t>
  </si>
  <si>
    <t>A. Cognac B. Wari C. Oware D. Sungka</t>
  </si>
  <si>
    <t>Sungka</t>
  </si>
  <si>
    <t>Backgammon is known as 'Sungka' in the Philippines and is a popular traditional game.</t>
  </si>
  <si>
    <t>Which ancient trade route played a major role in the spread of Mancala?</t>
  </si>
  <si>
    <t>A. Trans-Saharan trade route B. Spice line C. Incense path D. Trans-Saharan trade route</t>
  </si>
  <si>
    <t>Trans-Saharan trade route</t>
  </si>
  <si>
    <t>The trans-Saharan trade route was key to the spread of Mancala in Africa and the Middle East.</t>
  </si>
  <si>
    <t>Which 20th-century scholar is known for documenting the cultural history of Mancala?</t>
  </si>
  <si>
    <t>A. E. Evans-Pritchard B. Claude Levi-Strauss C. William Bascom D. R.C. bell</t>
  </si>
  <si>
    <t>R.C. bell</t>
  </si>
  <si>
    <t>R. C. Bell has extensively documented the traditional history of the game of Mancala.</t>
  </si>
  <si>
    <t>What is the primary goal in most Mancala games?</t>
  </si>
  <si>
    <t>A. To block opponents B. To reach the end C. To clear the board D. To collect many seeds</t>
  </si>
  <si>
    <t>To collect many seeds</t>
  </si>
  <si>
    <t>The main goal is to collect as many seeds or stones as possible in your warehouse.</t>
  </si>
  <si>
    <t>Which variation of Mancala is played in Indonesia?</t>
  </si>
  <si>
    <t>A. Sungka B. Bao C. Wari D. Cognac</t>
  </si>
  <si>
    <t>Cognac</t>
  </si>
  <si>
    <t>Kongkak is a popular variation of Mancala played in Indonesia and Malaysia.</t>
  </si>
  <si>
    <t>Which archaeological site has revealed one of the oldest mancala boards?</t>
  </si>
  <si>
    <t>A. Mohenjo-daro, Pakistan B. Knossos, Crete C. Hattusa, Turkey D. Qurna, Egypt</t>
  </si>
  <si>
    <t>Qurna, Egypt</t>
  </si>
  <si>
    <t>One of the earliest Mancala boards was found in ancient Egypt.</t>
  </si>
  <si>
    <t>What is the Ethiopian name for Mancala?</t>
  </si>
  <si>
    <t>A. Bao B. Oware C. Ayo D. chart</t>
  </si>
  <si>
    <t>chart</t>
  </si>
  <si>
    <t>The Ethiopian name for Mancala is 'Gebeta', which is widely spoken in the region.</t>
  </si>
  <si>
    <t>Which variation of Mancala is considered the national game in Ghana?</t>
  </si>
  <si>
    <t>A. Bao B. chart C. Sungka D. Oware</t>
  </si>
  <si>
    <t>Oware</t>
  </si>
  <si>
    <t>Oware is considered the national game of Ghana and is deeply rooted in its culture.</t>
  </si>
  <si>
    <t>How did enslaved Africans contribute to the global spread of mancala?</t>
  </si>
  <si>
    <t>A. By adjusting the rules B. In conjunction with European games C. Using in business D. Introducing to America</t>
  </si>
  <si>
    <t>Introducing to America</t>
  </si>
  <si>
    <t>Enslaved Africans brought Mancala to America, where it influenced local games and traditions.</t>
  </si>
  <si>
    <t>A. Mohenjo Daro, Pakistan B. Knossos, Crete C. Hattusa, Turkey D. Qurna, Egypt</t>
  </si>
  <si>
    <t>Which variation of Mancala is most widely played in Tanzania?</t>
  </si>
  <si>
    <t>A. Cognac B. Oware C. Sungka D. Bao</t>
  </si>
  <si>
    <t>Bao</t>
  </si>
  <si>
    <t>Bao is a variant of Mancala widely played in Tanzania, known for its strategic complexity.</t>
  </si>
  <si>
    <t>Which Mancala board is carved into the rocks of Jebel Qatrani in Egypt?</t>
  </si>
  <si>
    <t>A. Three-row board B. Four-row board C. Single-row board D. Double-row board</t>
  </si>
  <si>
    <t>Double-row board</t>
  </si>
  <si>
    <t>Jebel Qatrani in Egypt has a two-row Mancala board carved into its rocks.</t>
  </si>
  <si>
    <t>How did Arab traders influence the spread of Mancala?</t>
  </si>
  <si>
    <t>A. By creating new rules B. By carving boards into ships C. By trading on commodity boards D. Introducing to Asia and Europe</t>
  </si>
  <si>
    <t>Introducing to Asia and Europe</t>
  </si>
  <si>
    <t>Arab traders spread Mancala along their trade routes to Asia and Europe.</t>
  </si>
  <si>
    <t>Which of the early tablet tablets did the archaeologist find?</t>
  </si>
  <si>
    <t>A. Great Zimbabwe B. Timbuktu, Mali C. Luxor, Egypt D. Axum, Ethiopia</t>
  </si>
  <si>
    <t>Axum, Ethiopia</t>
  </si>
  <si>
    <t>An ancient tablet was discovered in Axum, Ethiopia, revealing the game's deep historical roots.</t>
  </si>
  <si>
    <t>What types of seeds were traditionally used as food in the table?</t>
  </si>
  <si>
    <t>A. Cowrie shells B. Palm seeds C. Pebbles D. Palm seeds</t>
  </si>
  <si>
    <t>Palm seeds</t>
  </si>
  <si>
    <t>Palm seeds were traditionally used as a garnish on traditional tables.</t>
  </si>
  <si>
    <t>How long has it been since the expansion from the Gulf to the Middle East?</t>
  </si>
  <si>
    <t>A. Bronze Age B. Iron Age C. Stone Age D. Bronze Age</t>
  </si>
  <si>
    <t>Bronze Age</t>
  </si>
  <si>
    <t>Taba spread to the Middle East during the Bronze Age through trade and cultural exchange.</t>
  </si>
  <si>
    <t>How did board games help ancient African societies?</t>
  </si>
  <si>
    <t>A. Helped in business B. Improved agricultural planning C. Served as a religious practice D. Develop critical thinking.</t>
  </si>
  <si>
    <t>Develop critical thinking.</t>
  </si>
  <si>
    <t>Charting helped develop critical thinking and strategic skills in ancient African societies.</t>
  </si>
  <si>
    <t>Which historian first recorded Mancala in Europe?</t>
  </si>
  <si>
    <t>A. Herodotus B. Al-Masudi C. Richard Burton D. Edward Lane</t>
  </si>
  <si>
    <t>Edward Lane</t>
  </si>
  <si>
    <t>Edward Lane documented Mancala during his travels to the Middle East in the 19th century.</t>
  </si>
  <si>
    <t>What role did the board play in ancient African leadership?</t>
  </si>
  <si>
    <t>A. Decision-making tool B. Symbol of wealth C. Diplomacy game D. Strategic thinking test</t>
  </si>
  <si>
    <t>Strategic thinking test</t>
  </si>
  <si>
    <t>The chart served as a strategic thinking challenge for African leaders and nobles.</t>
  </si>
  <si>
    <t>What evidence is there that connects the chart to ancient trade routes?</t>
  </si>
  <si>
    <t>A. References in business logs B. Seeds used as currency C. Art depicting business games D. Boards found on commercial lines</t>
  </si>
  <si>
    <t>Boards found on commercial lines</t>
  </si>
  <si>
    <t>Chart boards have been found along trade routes, indicating its role in cultural exchange.</t>
  </si>
  <si>
    <t>Which African culture uses the table as a means of storytelling?</t>
  </si>
  <si>
    <t>A. Zulu B. Aksumite C. Ashanti D. Yoruba</t>
  </si>
  <si>
    <t>Yoruba</t>
  </si>
  <si>
    <t>The Yoruba people used the board as a medium to tell stories, weaving narratives into the play.</t>
  </si>
  <si>
    <t>What is the significant difference between ancient and modern chalkboards?</t>
  </si>
  <si>
    <t>A. Number of holes B. Playing pieces C. Rules D. Material used</t>
  </si>
  <si>
    <t>Material used</t>
  </si>
  <si>
    <t>Ancient boards were often made of stone or carved directly into the ground, while modern ones use wood or plastic.</t>
  </si>
  <si>
    <t>In which African kingdom was chess considered a royal pastime?</t>
  </si>
  <si>
    <t>A. Zulu Kingdom B. Kingdom of Benin C. Aksumite Kingdom D. The Kingdom of Kush</t>
  </si>
  <si>
    <t>The Kingdom of Kush</t>
  </si>
  <si>
    <t>The Kushite kingdom considered table tennis a royal pastime for its nobles.</t>
  </si>
  <si>
    <t>What international event made the chart popular in the 20th century?</t>
  </si>
  <si>
    <t>A. Olympic Games B. Colonial exhibitions C. World War II D. World Fairs</t>
  </si>
  <si>
    <t>World Fairs</t>
  </si>
  <si>
    <t>World's Fairs held in the 20th century showcased the art to an international audience.</t>
  </si>
  <si>
    <t>Which ancient document mentions games similar to Mancala?</t>
  </si>
  <si>
    <t>A. Dead Sea Scrolls B. Kebra Nagast C. The Bible D. Egyptian Book of the Dead</t>
  </si>
  <si>
    <t>Egyptian Book of the Dead</t>
  </si>
  <si>
    <t>The Egyptian Book of the Dead contains illustrations of games resembling Mancala.</t>
  </si>
  <si>
    <t>What was the importance of the table to African traders?</t>
  </si>
  <si>
    <t>A. Religious significance B. Educational tool C. Negotiation strategy D. Cultural ties</t>
  </si>
  <si>
    <t>Cultural ties</t>
  </si>
  <si>
    <t>The table was used by African traders as a traditional link during long journeys.</t>
  </si>
  <si>
    <t>Which European colonialist first recorded Mancala in Africa?</t>
  </si>
  <si>
    <t>A. Dutch settlers B. British missionaries C. French merchants D. Portuguese explorers</t>
  </si>
  <si>
    <t>Portuguese explorers</t>
  </si>
  <si>
    <t>Portuguese explorers were the first to play Mancala in Africa during the Age of Exploration.</t>
  </si>
  <si>
    <t>How has the chart influenced modern board games?</t>
  </si>
  <si>
    <t>A. Introduced counting units B. Introduced in games History C. Inspiring turn-based systems D. Inspired by strategy-based mechanics</t>
  </si>
  <si>
    <t>Inspired by strategy-based mechanics</t>
  </si>
  <si>
    <t>The chart has inspired strategy-based mechanics in many modern board games.</t>
  </si>
  <si>
    <t>What is a common image of a table in African art?</t>
  </si>
  <si>
    <t>A. It is carved into furniture. B. Illustrated in pottery C. Woven with fabric D. Engraved in the walls</t>
  </si>
  <si>
    <t>Engraved in the walls</t>
  </si>
  <si>
    <t>Chalkboards are often hung on walls or floors as part of a traditional statement.</t>
  </si>
  <si>
    <t>What is the special feature of Ethiopian tables?</t>
  </si>
  <si>
    <t>A. Animal sculptures B. Multiple rows of holes C. Flat surfaces D. Multiple rows of holes</t>
  </si>
  <si>
    <t>Multiple rows of holes</t>
  </si>
  <si>
    <t>Ethiopian chessboards contain many rows of holes to enhance the complexity of the game.</t>
  </si>
  <si>
    <t>How did the chart reach Southeast Asia?</t>
  </si>
  <si>
    <t>A. European colonialists B. Indian migration C. Chinese travelers D. Arab merchants</t>
  </si>
  <si>
    <t>Arab merchants</t>
  </si>
  <si>
    <t>Arab traders brought the table to Southeast Asia, where it adapted to local variations.</t>
  </si>
  <si>
    <t>How much do the holes on the chart represent in a traditional way?</t>
  </si>
  <si>
    <t>A. Seasons of the year B. Tribal tribes C. Village people D. Seasons of the year</t>
  </si>
  <si>
    <t>Seasons of the year</t>
  </si>
  <si>
    <t>In traditional charting boards, the number of holes represents the seasons of the year.</t>
  </si>
  <si>
    <t>Which African festival features music as a central activity?</t>
  </si>
  <si>
    <t>A. Odwira Festival B. Uhuru Festival C. Durbar Festival D. Timcat</t>
  </si>
  <si>
    <t>Timcat</t>
  </si>
  <si>
    <t>The table is being played at the Timkat Festival in Ethiopia, celebrating culture and tradition.</t>
  </si>
  <si>
    <t>In which century is the board game believed to have originated?</t>
  </si>
  <si>
    <t>A. 3rd century AD B. 7th century BC C. 1st century AD D. 5th century BC</t>
  </si>
  <si>
    <t>5th century BC</t>
  </si>
  <si>
    <t>The table is believed to have been invented in Africa around the 5th century BC.</t>
  </si>
  <si>
    <t>Which of these regions is known for the discovery of ancient Mancala boards in archaeological excavations?</t>
  </si>
  <si>
    <t>A. North America B. South Asia C. Western Europe D. East Africa</t>
  </si>
  <si>
    <t>East Africa, especially Ethiopia, has produced ancient Mancala boards during excavations.</t>
  </si>
  <si>
    <t>What was the main purpose of playing cards in ancient African societies?</t>
  </si>
  <si>
    <t>A. Religious ceremonies B. Market trading C. War preparations D. Entertainment and strategy</t>
  </si>
  <si>
    <t>Entertainment and strategy</t>
  </si>
  <si>
    <t>Markets are played both for entertainment and to develop strategic thinking.</t>
  </si>
  <si>
    <t>Which civilization introduced Mancala to the Arabian Peninsula?</t>
  </si>
  <si>
    <t>A. Ottoman Empire B. Sasanian Empire C. Ancient Egyptians D. Sasanian Empire</t>
  </si>
  <si>
    <t>Sasanian Empire</t>
  </si>
  <si>
    <t>The Sasanian Empire introduced Mancala to the Arabian Peninsula in the 6th century CE.</t>
  </si>
  <si>
    <t>How did the introduction of Mancala to Europe influence local board games?</t>
  </si>
  <si>
    <t>A. It led to the creation of chess B. Introduced gambling habits C. Introduced dice-based mechanics D. Inspiring modern strategy games</t>
  </si>
  <si>
    <t>Inspiring modern strategy games</t>
  </si>
  <si>
    <t>Mancala has influenced the development of modern strategy games through its tactical gameplay.</t>
  </si>
  <si>
    <t>Which of these is the common name for the game of Mancala in Ethiopia?</t>
  </si>
  <si>
    <t>A. Senate B. Garbaza C. chart D. chart</t>
  </si>
  <si>
    <t>In Ethiopia, the game is commonly known as Chatab.</t>
  </si>
  <si>
    <t>Which historical figure mentioned Mancala as a favorite game in his writings?</t>
  </si>
  <si>
    <t>A. Hannibal Barca B. Napoleon Bonaparte C. Alexander the Great D. Ibn Khaldun</t>
  </si>
  <si>
    <t>Ibn Khaldun</t>
  </si>
  <si>
    <t>Ibn Khaldun, a historian, mentioned Mancala in his writings on North African culture.</t>
  </si>
  <si>
    <t>In which African country did the board game evolve into its current form?</t>
  </si>
  <si>
    <t>A. Kenya B. Ghana C. Nigeria D. Ethiopia</t>
  </si>
  <si>
    <t>Ethiopia is known for developing the widely known table tennis format that is still played today.</t>
  </si>
  <si>
    <t>During what period did Mancala spread to the Arabian Peninsula and India?</t>
  </si>
  <si>
    <t>A. Ancient times B. Renaissance C. Modern era D. The Middle Ages</t>
  </si>
  <si>
    <t>The Middle Ages</t>
  </si>
  <si>
    <t>Mancala spread to the Arabian Peninsula and India during the Middle Ages.</t>
  </si>
  <si>
    <t>Which ancient African culture is said to have used games like Mancala as a learning tool?</t>
  </si>
  <si>
    <t>A. Ghanaian B. Nigeria C. Berber D. Egyptians</t>
  </si>
  <si>
    <t>Ancient Egyptians used games like Mancala to teach children and develop strategic thinking.</t>
  </si>
  <si>
    <t>What was the traditional material used to make the tabletop?</t>
  </si>
  <si>
    <t>A. Stone B. Clay C. Cowrie shells D. Wooden beads</t>
  </si>
  <si>
    <t>Wooden beads</t>
  </si>
  <si>
    <t>Traditional tableware pieces are made from wooden beads or seeds, such as palm seeds.</t>
  </si>
  <si>
    <t>Which continent does the game board (Mancala) originate from?</t>
  </si>
  <si>
    <t>A. Asia B. Europe C. America D. Africa</t>
  </si>
  <si>
    <t>Africa is considered the birthplace of the game, with evidence found in ancient African cultures.</t>
  </si>
  <si>
    <t>What important trade route helped Mancala spread across Africa and Asia?</t>
  </si>
  <si>
    <t>A. Silk Road B. Indian Ocean trade route C. Amber Road D. Trans-Saharan trade route</t>
  </si>
  <si>
    <t>The trans-Saharan trade route played a major role in the spread of mancala across Africa and beyond.</t>
  </si>
  <si>
    <t>Which element of board games is said to have influenced the game of chess?</t>
  </si>
  <si>
    <t>A. Turn-based mechanics B. Use of dice C. Piece movement D. Strategic planning</t>
  </si>
  <si>
    <t>Strategic planning</t>
  </si>
  <si>
    <t>The strategic planning and tactical depth of Mancala inspired the game of chess.</t>
  </si>
  <si>
    <t>What was the key feature of ancient Mancala boards found at archaeological sites?</t>
  </si>
  <si>
    <t>A. Made of ivory B. Painted with symbols C. Used as ritual objects D. Carved in stone</t>
  </si>
  <si>
    <t>Carved in stone</t>
  </si>
  <si>
    <t>Early Mancala boards were often carved from stone, especially in ancient African cultures.</t>
  </si>
  <si>
    <t>How did Mancala become known by its current name in the West?</t>
  </si>
  <si>
    <t>A. From Portuguese explorers B. From French missionaries C. Through British merchants D. Under Arab influence</t>
  </si>
  <si>
    <t>Under Arab influence</t>
  </si>
  <si>
    <t>The name 'Mancala' comes from the Arabic word 'naqala', which means 'to move'.</t>
  </si>
  <si>
    <t>Which African king is known for introducing board games as a royal pastime?</t>
  </si>
  <si>
    <t>A. King Shaka Zulu B. King Mansa Musa C. King Solomon D. King Menelik</t>
  </si>
  <si>
    <t>Ethiopian King Menelik II introduced table tennis as a pastime for the nobility.</t>
  </si>
  <si>
    <t>Which game has rules and game mechanics similar to checkers in many cultures?</t>
  </si>
  <si>
    <t>A. Backgammon B. Checks C. Tic-tac-toe D. Backgammon</t>
  </si>
  <si>
    <t>Backgammon</t>
  </si>
  <si>
    <t>In which part of the world is Mancala widely played today?</t>
  </si>
  <si>
    <t>A. North America B. south america C. Europe D. Sub-Saharan Africa</t>
  </si>
  <si>
    <t>Sub-Saharan Africa</t>
  </si>
  <si>
    <t>Mancala is still widely played in sub-Saharan Africa, with variations found in other parts of the world.</t>
  </si>
  <si>
    <t>What important historical event helped introduce Mancala to the United States?</t>
  </si>
  <si>
    <t>A. Colonialism B. World War II C. Civil rights movement D. Slave trade</t>
  </si>
  <si>
    <t>Slave trade</t>
  </si>
  <si>
    <t>Mancala was introduced to the Americas through the Atlantic slave trade.</t>
  </si>
  <si>
    <t>Which of these is the variation of Mancala commonly played in West Africa?</t>
  </si>
  <si>
    <t>A. go over B. Pente C. Chess D. Oware</t>
  </si>
  <si>
    <t>Oware is a popular variation of Mancala, widely played in West Africa.</t>
  </si>
  <si>
    <t>Which famous explorer wrote about Mancala in his journal while traveling to Africa?</t>
  </si>
  <si>
    <t>A. David Livingstone B. Henry Morton Stanley C. Christopher Columbus D. David Livingstone</t>
  </si>
  <si>
    <t>David Livingstone</t>
  </si>
  <si>
    <t>David Livingstone wrote about Mancala during his travels to Africa in the 19th century.</t>
  </si>
  <si>
    <t>What kind of society used to play table tennis as part of cultural festivals?</t>
  </si>
  <si>
    <t>A. Nomadic tribes B. Fishing communities C. Trade associations D. Agricultural associations</t>
  </si>
  <si>
    <t>Agricultural associations</t>
  </si>
  <si>
    <t>Agricultural communities played board games as part of cultural festivals celebrating the harvest.</t>
  </si>
  <si>
    <t>In what ways has Mancala functioned as a diplomatic tool in African societies?</t>
  </si>
  <si>
    <t>A. Tax collection method B. Trade agreement sign C. Representation of marriage contracts D. It was used to resolve disputes.</t>
  </si>
  <si>
    <t>It was used to resolve disputes.</t>
  </si>
  <si>
    <t>Mancala was sometimes used as a diplomatic tool to resolve disputes between African tribes.</t>
  </si>
  <si>
    <t>Which modern board game is similar in gameplay mechanics to Checkers?</t>
  </si>
  <si>
    <t>A. Catan B. Monopoly C. concern D. Checks</t>
  </si>
  <si>
    <t>Checks</t>
  </si>
  <si>
    <t>Checkers share the same turn and strategy mechanics as Tableau.</t>
  </si>
  <si>
    <t>Which board game was influenced by the mechanics of Mancala?</t>
  </si>
  <si>
    <t>A. Snakes and Ladders B. Checks C. Dominoes D. Checks</t>
  </si>
  <si>
    <t>Checkers influenced the distribution mechanics of Mancala, where pieces move in a systematic way.</t>
  </si>
  <si>
    <t>Which historical figure helped make Mancala popular in the United States in the 19th century?</t>
  </si>
  <si>
    <t>A. Abraham Lincoln B. George Washington C. Walt Disney D. Thomas Jefferson</t>
  </si>
  <si>
    <t>Thomas Jefferson</t>
  </si>
  <si>
    <t>Thomas Jefferson played and recorded Mancala during his travels to Africa and Europe.</t>
  </si>
  <si>
    <t>What was the name of the first known international competition for Mancala?</t>
  </si>
  <si>
    <t>A. Mancala Olympics B. Mancala World Cup C. Mancala Open D. World Mancala Championship</t>
  </si>
  <si>
    <t>World Mancala Championship</t>
  </si>
  <si>
    <t>The first known international competition for Mancala was called the World Mancala Championship.</t>
  </si>
  <si>
    <t>Which major international sporting event featured Mancala as a sports demonstration?</t>
  </si>
  <si>
    <t>A. World Cup B. Commonwealth Games C. Pan American Games D. Olympic Games</t>
  </si>
  <si>
    <t>Olympic Games</t>
  </si>
  <si>
    <t>Mancala was featured as a demonstration sport at the 1900 Olympic Games.</t>
  </si>
  <si>
    <t>What was the main reason for the decline of traditional board game play in some cultures?</t>
  </si>
  <si>
    <t>A. Reduction in agricultural associations B. The rise of digital games C. Invasion of foreign cultures D. Colonialism and globalization</t>
  </si>
  <si>
    <t>Colonialism and globalization</t>
  </si>
  <si>
    <t>Colonialism and globalization have led to a decline in traditional board games in some cultures.</t>
  </si>
  <si>
    <t>Which of these African regions has the least recorded history of the game of Mancala?</t>
  </si>
  <si>
    <t>A. West Africa B. Northeast Africa C. Central Africa D. Central Africa</t>
  </si>
  <si>
    <t>Central Africa</t>
  </si>
  <si>
    <t>Central Africa has fewer recorded instances of the game of Mancala than other African regions.</t>
  </si>
  <si>
    <t>Which modern invention helped revive Mancala and other traditional games?</t>
  </si>
  <si>
    <t>A. Mobile apps B. Game show broadcasts C. TV series D. Mobile apps</t>
  </si>
  <si>
    <t>Mobile apps</t>
  </si>
  <si>
    <t>Mobile applications have played a major role in reviving Mancala and other traditional board games.</t>
  </si>
  <si>
    <t>What was the main use of Mancala in African societies?</t>
  </si>
  <si>
    <t>A. Religious ceremonies B. Trade negotiations C. Healing rituals D. Entertainment and strategic thinking</t>
  </si>
  <si>
    <t>Entertainment and strategic thinking</t>
  </si>
  <si>
    <t>Mancala was primarily used for entertainment purposes and to develop strategic thinking in African societies.</t>
  </si>
  <si>
    <t>Which ancient civilization is thought to have played the precursor to Mancala?</t>
  </si>
  <si>
    <t>A. Romans B. Indus Valley Civilization C. Babylonians D. Ancient Egyptians</t>
  </si>
  <si>
    <t>Ancient Egyptians</t>
  </si>
  <si>
    <t>It is believed that the ancient Egyptians played similar games, with evidence suggesting a precursor to Mancala.</t>
  </si>
  <si>
    <t>What material was most commonly used to create Mancala boards in ancient Africa?</t>
  </si>
  <si>
    <t>A. Stone B. Ivory C. Gold D. Wood</t>
  </si>
  <si>
    <t>Wood is traditionally used to create Mancala boards, while some regions use stone or clay.</t>
  </si>
  <si>
    <t>Which region in Africa is known for having the most famous Mancala game boards?</t>
  </si>
  <si>
    <t>A. West Africa B. North Africa C. South Africa D. East Africa</t>
  </si>
  <si>
    <t>East Africa is known for its Mancala game boards, which date back thousands of years.</t>
  </si>
  <si>
    <t>What is the key feature of Mancala that made it popular in Africa?</t>
  </si>
  <si>
    <t>A. Religious significance B. Use of ritual C. Trade value D. Simple game mechanics</t>
  </si>
  <si>
    <t>Simple game mechanics</t>
  </si>
  <si>
    <t>Mancala's simple yet strategic game mechanics have made it easy to spread across various African cultures.</t>
  </si>
  <si>
    <t>In what year did the game of Mancala first appear in Europe?</t>
  </si>
  <si>
    <t>A. 8th century B. 16th century C. 5th century D. 13th century</t>
  </si>
  <si>
    <t>13th century</t>
  </si>
  <si>
    <t>Mancala first appeared in Europe in the 13th century, brought back by Crusaders returning from the Holy Land.</t>
  </si>
  <si>
    <t>Which was one of the first European countries to record Mancala?</t>
  </si>
  <si>
    <t>A. Germany B. Italy C. Spain D. France</t>
  </si>
  <si>
    <t>France was one of the first European countries to document Mancala, especially in colonial settings.</t>
  </si>
  <si>
    <t>What role did Mancala play in children's education in ancient African societies?</t>
  </si>
  <si>
    <t>A. Training for war B. Teaching reading and writing C. Spiritual guidance D. Teaching strategy and decision-making</t>
  </si>
  <si>
    <t>Teaching strategy and decision-making</t>
  </si>
  <si>
    <t>Mancala was often used to teach children strategic thinking, problem-solving, and decision-making.</t>
  </si>
  <si>
    <t>Which part of the world is believed to have influenced the spread of Mancala to America?</t>
  </si>
  <si>
    <t>A. India B. China C. Mesoamerica D. Sub-Saharan Africa</t>
  </si>
  <si>
    <t>Sub-Saharan African countries are mentioned as Mancala spread to the Americas via the Atlantic slave trade.</t>
  </si>
  <si>
    <t>Which famous African empire introduced Mancala?</t>
  </si>
  <si>
    <t>A. Ghana Empire B. Kingdom of Congo C. Zulu Kingdom D. Mali Empire</t>
  </si>
  <si>
    <t>Mali Empire</t>
  </si>
  <si>
    <t>The Mali Empire, known for its extensive trade networks, introduced Mancala to its people.</t>
  </si>
  <si>
    <t>What significant event led to the spread of Mancala to the Middle East?</t>
  </si>
  <si>
    <t>A. Crusade B. The expansion of the Ottoman Empire. C. Egyptian religious missions D. Arab trade and conquest</t>
  </si>
  <si>
    <t>Arab trade and conquest</t>
  </si>
  <si>
    <t>Arab trade and conquest in the 7th and 8th centuries helped to spread the art of weaving into the Middle East.</t>
  </si>
  <si>
    <t>Which state helped bring Mancala to India?</t>
  </si>
  <si>
    <t>A. Gupta Empire B. Maurya Empire C. Chola Empire D. Mughal Empire</t>
  </si>
  <si>
    <t>Mughal Empire</t>
  </si>
  <si>
    <t>The Mughal Empire is credited with helping bring Mancala to India, especially in the 16th century.</t>
  </si>
  <si>
    <t>What material was most commonly used for playing pieces in Mancala in early history?</t>
  </si>
  <si>
    <t>A. Bone B. Shells C. Pebbles D. Seeds</t>
  </si>
  <si>
    <t>Seeds</t>
  </si>
  <si>
    <t>In early history, mancala pieces were often made of seeds, stones, or shells.</t>
  </si>
  <si>
    <t>A. to win B. to catch C. To throw away D. To move</t>
  </si>
  <si>
    <t>The word Mancala comes from the Arabic word 'naqala', which means 'to move'.</t>
  </si>
  <si>
    <t>What is the reason why Mancala is so widespread in different cultures?</t>
  </si>
  <si>
    <t>A. Its religious significance B. It is related to royalty. C. Relationship with farming practices D. Its simplicity and strategic depth</t>
  </si>
  <si>
    <t>Its simplicity and strategic depth</t>
  </si>
  <si>
    <t>Mancala has spread across cultures due to its simple rules combined with deep strategic elements.</t>
  </si>
  <si>
    <t>Which ancient African kingdom is believed to have used Mancala as a form of diplomatic ritual?</t>
  </si>
  <si>
    <t>A. The Kingdom of Kush B. Government of Ghana C. Government of Mali D. Kingdom of Aksum</t>
  </si>
  <si>
    <t>Kingdom of Aksum</t>
  </si>
  <si>
    <t>It is believed that the Axumite kingdom used Mancala during diplomatic ceremonies and trade negotiations.</t>
  </si>
  <si>
    <t>What was the traditional aspect of playing Mancala in some African cultures?</t>
  </si>
  <si>
    <t>A. Wooden boards B. Clay tables C. Sand or dirt D. Sand or dirt</t>
  </si>
  <si>
    <t>Sand or dirt</t>
  </si>
  <si>
    <t>In some African cultures, Mancala was played on the ground, using sand or soil to create the board.</t>
  </si>
  <si>
    <t>Which group introduced Mancala to North America?</t>
  </si>
  <si>
    <t>A. Native Americans B. French explorers C. Spanish settlers D. African slaves</t>
  </si>
  <si>
    <t>African slaves</t>
  </si>
  <si>
    <t>Mancala was introduced to North America by African slaves who brought the game with them.</t>
  </si>
  <si>
    <t>Which famous historical figure is credited with popularizing Mancala in Europe?</t>
  </si>
  <si>
    <t>A. Napoleon Bonaparte B. Marco Polo C. Queen Victoria D. Christopher Columbus</t>
  </si>
  <si>
    <t>Marco Polo</t>
  </si>
  <si>
    <t>Marco Polo is credited with introducing Mancala to Europe after encountering it during his travels in Asia.</t>
  </si>
  <si>
    <t>What aspect of Mancala's gameplay makes it distinct from other board games?</t>
  </si>
  <si>
    <t>A. The use of holes or pits in the board B. The movement of pieces based on dice rolls C. The ability to capture opponent's pieces D. The use of card draws for strategy</t>
  </si>
  <si>
    <t>The use of holes or pits in the board</t>
  </si>
  <si>
    <t>The distinctive feature of Mancala is its use of holes or pits in the board for moving and capturing pieces.</t>
  </si>
  <si>
    <t>What is the primary goal of the game of Mancala?</t>
  </si>
  <si>
    <t>A. To capture all the opponent's pieces B. To move pieces in a straight line C. To collect more pieces than the opponent D. To fill the opponent's pits with your pieces</t>
  </si>
  <si>
    <t>To collect more pieces than the opponent</t>
  </si>
  <si>
    <t>The primary goal of Mancala is to collect more pieces than the opponent by strategically moving them.</t>
  </si>
  <si>
    <t>Which European country first adopted Mancala into its national culture?</t>
  </si>
  <si>
    <t>A. France B. Portugal C. Italy D. Spain</t>
  </si>
  <si>
    <t>France was the first European country to adopt Mancala into its culture, especially in colonial times.</t>
  </si>
  <si>
    <t>How did Mancala influence the development of modern board games?</t>
  </si>
  <si>
    <t>A. Through its strategic gameplay B. Through its social aspects C. Through its gambling origins D. Through its use of dice mechanics</t>
  </si>
  <si>
    <t>Through its strategic gameplay</t>
  </si>
  <si>
    <t>Mancala's strategic gameplay elements influenced the development of many modern board games.</t>
  </si>
  <si>
    <t>Which empire is believed to have helped spread Mancala into South Asia?</t>
  </si>
  <si>
    <t>A. Mughal Empire B. Maurya Empire C. Gupta Empire D. Chola Empire</t>
  </si>
  <si>
    <t>The Mughal Empire played a significant role in spreading Mancala to South Asia during its reign.</t>
  </si>
  <si>
    <t>Which material was used in some parts of Africa to create the 'stones' in Mancala?</t>
  </si>
  <si>
    <t>A. Shells B. Wooden discs C. Metal D. Pebbles</t>
  </si>
  <si>
    <t>Shells</t>
  </si>
  <si>
    <t>In some African cultures, shells were used as 'stones' in the game of Mancala.</t>
  </si>
  <si>
    <t>Cow jumping in Ethiopia’s Hamar tribe is primarily a ritual for:</t>
  </si>
  <si>
    <t>A. Marriage initiation B. Transition to manhood C. Becoming a tribal elder D. Warrior promotion</t>
  </si>
  <si>
    <t>B) Transition to manhood</t>
  </si>
  <si>
    <t>Cow jumping (Ukuli Bula) is a rite of passage marking a boy’s transition into adulthood, granting him the right to marry.</t>
  </si>
  <si>
    <t>Which Ethiopian ethnic community is most associated with the cow-jumping ceremony?</t>
  </si>
  <si>
    <t>A. Amhara B. Hamar C. Oromo D. Tigray</t>
  </si>
  <si>
    <t>B) Hamar</t>
  </si>
  <si>
    <t>The Hamar people of the Omo Valley in Ethiopia practice this unique ritual as part of their cultural identity.</t>
  </si>
  <si>
    <t>In the cow-jumping ritual, what must the young man do to succeed?</t>
  </si>
  <si>
    <t>A. Kill a bull B. Walk across burning coals C. Run across the backs of cattle D. Wrestle an elder</t>
  </si>
  <si>
    <t>C) Run across the backs of cattle</t>
  </si>
  <si>
    <t>The initiate runs over the backs of bulls lined up together, proving balance, bravery, and maturity.</t>
  </si>
  <si>
    <t>How many times must the young man typically run across the cattle to complete the rite?</t>
  </si>
  <si>
    <t>A. Once B. Twice C. Three times D. Four times</t>
  </si>
  <si>
    <t>D) Four times</t>
  </si>
  <si>
    <t>Tradition requires four successful runs across the cattle to confirm his readiness for adulthood.</t>
  </si>
  <si>
    <t>What is the cultural consequence if the boy fails the cow-jumping test?</t>
  </si>
  <si>
    <t>A. Exile from the tribe B. He must wait and try again later C. Forced into priesthood D. Beaten publicly</t>
  </si>
  <si>
    <t>B) He must wait and try again later</t>
  </si>
  <si>
    <t>Failure means he cannot marry or be considered a man until he retries in the future.</t>
  </si>
  <si>
    <t>Which group plays a central role in singing and encouraging the initiate during the cow-jumping ceremony?</t>
  </si>
  <si>
    <t>A. Village elders B. Women relatives C. Tribal priests D. Hunters</t>
  </si>
  <si>
    <t>B) Women relatives</t>
  </si>
  <si>
    <t>Female relatives sing, dance, and often undergo symbolic whipping to show loyalty and support for the boy.</t>
  </si>
  <si>
    <t>The cow-jumping ritual is directly linked to which social privilege?</t>
  </si>
  <si>
    <t>A. Wearing traditional ornaments B. Right to own land C. Eligibility to marry D. Participation in tribal council</t>
  </si>
  <si>
    <t>C) Eligibility to marry</t>
  </si>
  <si>
    <t>Without completing cow jumping, a Hamar man cannot marry or establish his household.</t>
  </si>
  <si>
    <t>What is the local Hamar term for the cow-jumping ceremony?</t>
  </si>
  <si>
    <t>A. Ukuli Bula B. Donga C. Ashenda D. Gadaa</t>
  </si>
  <si>
    <t>A) Ukuli Bula</t>
  </si>
  <si>
    <t>Ukuli Bula translates to "ceremony of initiation," symbolizing maturity and manhood.</t>
  </si>
  <si>
    <t>Which Ethiopian valley is most famous for hosting the cow-jumping ritual?</t>
  </si>
  <si>
    <t>A. Rift Valley B. Omo Valley C. Awash Valley D. Blue Nile Valley</t>
  </si>
  <si>
    <t>B) Omo Valley</t>
  </si>
  <si>
    <t>The Omo Valley is home to the Hamar and other tribes practicing unique traditions like cow jumping.</t>
  </si>
  <si>
    <t>What symbolic message does cow jumping carry for the community?</t>
  </si>
  <si>
    <t>A. Bravery over wild animals B. Readiness for adult responsibilities C. Resistance against invaders D. Fertility of cattle</t>
  </si>
  <si>
    <t>B) Readiness for adult responsibilities</t>
  </si>
  <si>
    <t>The act represents maturity, courage, and readiness to take on family and societal duties.</t>
  </si>
  <si>
    <t>Which season is cow jumping most often associated with in the Hamar community?</t>
  </si>
  <si>
    <t>A. Harvest season B. Rainy season C. Dry season D. New Year festival</t>
  </si>
  <si>
    <t>A) Harvest season</t>
  </si>
  <si>
    <t>The ritual often aligns with harvest celebrations, when families gather and food is plentiful.</t>
  </si>
  <si>
    <t>How are the cattle usually prepared before the cow-jumping ritual?</t>
  </si>
  <si>
    <t>A. Painted with clay and dung B. Washed and oiled C. Decorated with flowers D. Covered with hides</t>
  </si>
  <si>
    <t>B) Washed and oiled</t>
  </si>
  <si>
    <t>Cattle are rubbed with dung and oil to make their backs slippery, testing the jumper’s agility.</t>
  </si>
  <si>
    <t>Who decides when a young man is ready for the cow-jumping ceremony?</t>
  </si>
  <si>
    <t>A. Tribal priest B. Village council C. Father and family elders D. Women relatives</t>
  </si>
  <si>
    <t>C) Father and family elders</t>
  </si>
  <si>
    <t>Male elders of the family initiate the ceremony when they consider the boy ready for adulthood.</t>
  </si>
  <si>
    <t>What role do elder men play in the ceremony?</t>
  </si>
  <si>
    <t>A. Organize and supervise the event B. Chase the cattle C. Sing ceremonial songs D. Whip the boy</t>
  </si>
  <si>
    <t>A) Organize and supervise the event</t>
  </si>
  <si>
    <t>Elders ensure tradition is followed correctly, guiding the process and blessing the initiate.</t>
  </si>
  <si>
    <t>What happens after a boy successfully completes cow jumping?</t>
  </si>
  <si>
    <t>A. He receives cattle as gifts B. He can marry and start a family C. He becomes a tribal leader D. He leaves the village for training</t>
  </si>
  <si>
    <t>B) He can marry and start a family</t>
  </si>
  <si>
    <t>Success grants him recognition as a man, with full rights to marry and lead his household.</t>
  </si>
  <si>
    <t>The women’s ritual whipping during the ceremony symbolizes:</t>
  </si>
  <si>
    <t>A. Strength of women B. Loyalty to their family C. Fertility D. Anger against men</t>
  </si>
  <si>
    <t>B) Loyalty to their family</t>
  </si>
  <si>
    <t>Women voluntarily accept whipping scars to prove devotion and solidarity with the initiate.</t>
  </si>
  <si>
    <t>What is the significance of the scars left on women during the ritual?</t>
  </si>
  <si>
    <t>A. Signs of weakness B. Marks of dishonor C. Symbols of courage and loyalty D. Punishment for disobedience</t>
  </si>
  <si>
    <t>C) Symbols of courage and loyalty</t>
  </si>
  <si>
    <t>Scars are considered badges of honor, showing their dedication to family traditions.</t>
  </si>
  <si>
    <t>What is the community’s reaction if the boy falls during cow jumping?</t>
  </si>
  <si>
    <t>A. Laughter and ridicule B. He is cursed by elders C. He is disqualified and must try later D. He is expelled from the tribe</t>
  </si>
  <si>
    <t>C) He is disqualified and must try later</t>
  </si>
  <si>
    <t>A failed attempt means waiting until the next opportunity, without shame but no adult privileges.</t>
  </si>
  <si>
    <t>What is usually done to the cattle immediately after the jumping ritual?</t>
  </si>
  <si>
    <t>A. Released back to grazing B. Sacrificed for feast C. Sold in markets D. Decorated with jewelry</t>
  </si>
  <si>
    <t>A) Released back to grazing</t>
  </si>
  <si>
    <t>The cattle are not harmed; they return to the herd after the ceremony.</t>
  </si>
  <si>
    <t>Which of these best describes the meaning of Ukuli Bula?</t>
  </si>
  <si>
    <t>A. Festival of harvest B. Jumping over bulls C. Ceremony of unity D. Path to warriorhood</t>
  </si>
  <si>
    <t>B) Jumping over bulls</t>
  </si>
  <si>
    <t>Ukuli Bula literally means "bull jumping," reflecting the central act of the ceremony.</t>
  </si>
  <si>
    <t>Why do the Hamar people emphasize cattle in their rituals?</t>
  </si>
  <si>
    <t>A. Cattle symbolize wealth and social status B. Cattle are sacred to their gods C. Cattle prevent famine D. Cattle were introduced by colonizers</t>
  </si>
  <si>
    <t>A) Cattle symbolize wealth and social status</t>
  </si>
  <si>
    <t>In Hamar culture, cattle are central to life, marriage dowries, and social prestige.</t>
  </si>
  <si>
    <t>What traditional instrument is often played during the ceremony?</t>
  </si>
  <si>
    <t>A. Drums B. Horns C. Flutes D. String lyres</t>
  </si>
  <si>
    <t>A) Drums</t>
  </si>
  <si>
    <t>Drumming sets the rhythm for singing, dancing, and celebrating the initiation ritual.</t>
  </si>
  <si>
    <t>Which nearby Ethiopian tribe also practices variations of cattle-related rituals?</t>
  </si>
  <si>
    <t>A. Surma B. Amhara C. Gurage D. Afar</t>
  </si>
  <si>
    <t>A) Surma</t>
  </si>
  <si>
    <t>The Surma people also incorporate cattle into cultural traditions, though not identical to Hamar cow jumping.</t>
  </si>
  <si>
    <t>Why is balance important in cow jumping?</t>
  </si>
  <si>
    <t>A. To avoid falling and injury B. To prove physical coordination C. To symbolize stability in adulthood D. All of the above</t>
  </si>
  <si>
    <t>D) All of the above</t>
  </si>
  <si>
    <t>Balance reflects physical strength, symbolic stability, and readiness for mature responsibilities.</t>
  </si>
  <si>
    <t>What is the minimum number of bulls typically lined up for the ritual?</t>
  </si>
  <si>
    <t>A. 2 B. 4 C. 6 D. 8</t>
  </si>
  <si>
    <t>B) 4</t>
  </si>
  <si>
    <t>At least four bulls are lined up, but often more, depending on family wealth and status.</t>
  </si>
  <si>
    <t>Which age group usually undergoes cow jumping?</t>
  </si>
  <si>
    <t>A. Boys under 10 B. Teenage boys C. Young men (16–20) D. Only married men</t>
  </si>
  <si>
    <t>C) Young men (16–20)</t>
  </si>
  <si>
    <t>The ritual is for adolescents approaching adulthood, often in their late teens.</t>
  </si>
  <si>
    <t>What marks the start of the cow-jumping ceremony?</t>
  </si>
  <si>
    <t>A. Singing of women B. Blessing by elders C. Slaughter of a goat D. A fire ritual</t>
  </si>
  <si>
    <t>B) Blessing by elders</t>
  </si>
  <si>
    <t>Elders bless the boy and cattle before the main ritual begins.</t>
  </si>
  <si>
    <t>Which material is often used to smear on cattle before jumping?</t>
  </si>
  <si>
    <t>A. Mud and dung B. Sand and ash C. Honey and milk D. Blood and oil</t>
  </si>
  <si>
    <t>A) Mud and dung</t>
  </si>
  <si>
    <t>Dung and mud make the backs slippery, making the ritual more challenging.</t>
  </si>
  <si>
    <t>What do elders say the four runs across the cattle symbolize?</t>
  </si>
  <si>
    <t>A. Four seasons of life B. Four ancestral spirits C. Four responsibilities of adulthood D. Four directions of the world</t>
  </si>
  <si>
    <t>C) Four responsibilities of adulthood</t>
  </si>
  <si>
    <t>Each run symbolizes maturity, responsibility, respect, and readiness for marriage.</t>
  </si>
  <si>
    <t>Which modern concern has been raised about the whipping of women during the ritual?</t>
  </si>
  <si>
    <t>A. Animal rights B. Gender-based violence C. Land ownership D. Climate change</t>
  </si>
  <si>
    <t>B) Gender-based violence</t>
  </si>
  <si>
    <t>Outsiders often criticize the practice as violent, though locals see it as loyalty and strength.</t>
  </si>
  <si>
    <t>How does the community celebrate after a successful jump?</t>
  </si>
  <si>
    <t>A. Feasting, dancing, and singing B. Silent meditation C. Cattle sacrifice D. Distribution of land</t>
  </si>
  <si>
    <t>A</t>
  </si>
  <si>
    <t>The entire village celebrates with joy, marking the boy’s entry into adulthood.</t>
  </si>
  <si>
    <t>Which religion heavily influences the Hamar’s cow-jumping tradition?</t>
  </si>
  <si>
    <t>A. Christianity B. Islam C. Traditional animism D. Judaism</t>
  </si>
  <si>
    <t>C</t>
  </si>
  <si>
    <t>The ritual is rooted in indigenous animist beliefs, not global religions.</t>
  </si>
  <si>
    <t>What do outsiders often call the cow-jumping ceremony?</t>
  </si>
  <si>
    <t>A. Ethiopian bull fight B. Omo Valley initiation C. Manhood test D. Horn of Africa rite</t>
  </si>
  <si>
    <t>Visitors often describe it as a 'test of manhood,' though for locals it is a sacred tradition.</t>
  </si>
  <si>
    <t>How long can the full ceremony last, including singing and dancing?</t>
  </si>
  <si>
    <t>A. 1 hour B. Half a day C. A full day D. Several days</t>
  </si>
  <si>
    <t>D</t>
  </si>
  <si>
    <t>Celebrations can extend for two or more days, involving the whole community.</t>
  </si>
  <si>
    <t>What symbolizes the boy’s transition after jumping?</t>
  </si>
  <si>
    <t>A. Receiving a staff B. Wearing a headband C. Shaving his head D. New body painting</t>
  </si>
  <si>
    <t>The staff is a symbol of manhood, responsibility, and authority in the community.</t>
  </si>
  <si>
    <t>How are the bulls usually arranged for the ritual?</t>
  </si>
  <si>
    <t>A. In a circle B. Side by side in a line C. Randomly in a field D. Tied to trees</t>
  </si>
  <si>
    <t>B</t>
  </si>
  <si>
    <t>Bulls are lined closely together to allow continuous running across their backs.</t>
  </si>
  <si>
    <t>Which gender never participates in the actual jumping?</t>
  </si>
  <si>
    <t>A. Women B. Younger boys C. Older men D. Elders</t>
  </si>
  <si>
    <t>Only young men perform the jumping, while women participate through singing and symbolic acts.</t>
  </si>
  <si>
    <t>What happens if the initiate falls but completes all four runs?</t>
  </si>
  <si>
    <t>A. He still passes B. He must restart the ceremony C. He is rejected permanently D. Elders punish him</t>
  </si>
  <si>
    <t>Falling during runs invalidates the attempt; he must retry in the future.</t>
  </si>
  <si>
    <t>Why is the ritual still practiced today despite modernization?</t>
  </si>
  <si>
    <t>A. To preserve cultural identity B. To attract tourism C. To increase cattle trade D. To resist government control</t>
  </si>
  <si>
    <t>The Hamar people maintain cow jumping to keep their traditions alive for future generations.</t>
  </si>
  <si>
    <t>What broader anthropological lesson does cow jumping provide?</t>
  </si>
  <si>
    <t>A. African economies depend on cattle B. Rituals enforce social order and identity C. Ethiopia is a cattle-farming nation D. Tribal warfare shaped customs</t>
  </si>
  <si>
    <t>Anthropologists see the ceremony as a way of reinforcing community values, roles, and identity.</t>
  </si>
  <si>
    <t>Which of these is considered the ultimate purpose of cow jumping?</t>
  </si>
  <si>
    <t>A. Entertainment B. Social media attention C. Transition into adulthood D. Wealth collection</t>
  </si>
  <si>
    <t>The ritual is central to proving maturity and readiness for adult roles in the Hamar tribe.</t>
  </si>
  <si>
    <t>How do women prepare themselves for the whipping part of the ceremony?</t>
  </si>
  <si>
    <t>A. By applying butter on their skin B. By wearing protective clothing C. By covering themselves in clay and paint D. By standing in silence</t>
  </si>
  <si>
    <t>Women decorate themselves with clay and colorful beads before willingly enduring symbolic whipping.</t>
  </si>
  <si>
    <t>What does falling off the bulls signify in the ritual?</t>
  </si>
  <si>
    <t>A. Curse from ancestors B. Lack of readiness for adulthood C. Weakness of cattle D. Village disgrace</t>
  </si>
  <si>
    <t>Falling shows the boy is not yet ready to shoulder adult responsibilities and must retry later.</t>
  </si>
  <si>
    <t>What is a boy forbidden from doing until he completes cow jumping?</t>
  </si>
  <si>
    <t>A. Drinking traditional beer B. Sitting with elders C. Getting married D. Herding cattle</t>
  </si>
  <si>
    <t>Marriage is only permitted after successful initiation through the ritual.</t>
  </si>
  <si>
    <t>Why are bulls chosen instead of cows for the ritual?</t>
  </si>
  <si>
    <t>A. Bulls are stronger and harder to balance on B. Bulls are sacred animals C. Cows are considered unclean D. Bulls are easier to train</t>
  </si>
  <si>
    <t>Their strength and slippery backs make the test more challenging and meaningful.</t>
  </si>
  <si>
    <t>The ritual demonstrates a combination of physical skill and:</t>
  </si>
  <si>
    <t>A. Military training B. Symbolic maturity C. Religious faith D. Economic power</t>
  </si>
  <si>
    <t>Beyond physical ability, the act symbolizes social and spiritual transformation.</t>
  </si>
  <si>
    <t>How do men who have completed cow jumping support the ceremony?</t>
  </si>
  <si>
    <t>A. By selecting bulls B. By giving blessings C. By hosting feasts D. All of the above</t>
  </si>
  <si>
    <t>They play multiple roles in guiding, preparing, and celebrating with new initiates.</t>
  </si>
  <si>
    <t>Which material is commonly used by women to decorate their faces during the event?</t>
  </si>
  <si>
    <t>A. Gold dust B. White chalk and red ochre C. Henna D. Soot</t>
  </si>
  <si>
    <t>Clay-based pigments highlight cultural beauty and festive spirit.</t>
  </si>
  <si>
    <t>What does the staff received after jumping symbolize?</t>
  </si>
  <si>
    <t>A. Power to punish B. Responsibility of adulthood C. Blessings from gods D. Authority over land</t>
  </si>
  <si>
    <t>The staff is both practical and symbolic, marking leadership and responsibility.</t>
  </si>
  <si>
    <t>What happens if a young man refuses to perform the ritual?</t>
  </si>
  <si>
    <t>A. He is exiled B. He remains a boy in social status C. He must pay a fine D. He is forced to marry</t>
  </si>
  <si>
    <t>Without it, he cannot marry or be recognized as a man.</t>
  </si>
  <si>
    <t>Who whips the women during the ritual?</t>
  </si>
  <si>
    <t>A. Elders B. The initiate himself C. Male relatives of the initiate D. Random villagers</t>
  </si>
  <si>
    <t>Relatives whip women as part of symbolic testing of loyalty and endurance.</t>
  </si>
  <si>
    <t>Why is whipping seen as honorable by Hamar women?</t>
  </si>
  <si>
    <t>A. It makes them rich B. It strengthens family bonds C. It reduces marriage dowry D. It is a punishment ritual</t>
  </si>
  <si>
    <t>Women see scars as proof of loyalty to their brothers and family.</t>
  </si>
  <si>
    <t>The cow-jumping ritual is most commonly observed in which Ethiopian region?</t>
  </si>
  <si>
    <t>A. Northern highlands B. Omo Valley (Southwest) C. Eastern desert D. Addis Ababa region</t>
  </si>
  <si>
    <t>The Omo Valley is the cultural heartland of the Hamar and their traditions.</t>
  </si>
  <si>
    <t>Who has the authority to bless the bulls before jumping?</t>
  </si>
  <si>
    <t>A. The village priest B. The boy’s father C. Women relatives D. Tribal elders</t>
  </si>
  <si>
    <t>Elders bless the bulls, ensuring ancestral approval of the ritual.</t>
  </si>
  <si>
    <t>What do anthropologists call the cow-jumping ritual?</t>
  </si>
  <si>
    <t>A. Rite of passage B. Pastoralism training C. Heroic trial D. Bull ceremony</t>
  </si>
  <si>
    <t>It is a classic rite of passage, transitioning a youth into manhood.</t>
  </si>
  <si>
    <t>What is the boy expected to wear during the ceremony?</t>
  </si>
  <si>
    <t>A. Traditional animal skin covering B. Warrior armor C. Painted body designs D. Nothing at all</t>
  </si>
  <si>
    <t>He usually performs the ritual naked, symbolizing purity and humility.</t>
  </si>
  <si>
    <t>Which group of women sing the loudest during the event?</t>
  </si>
  <si>
    <t>A. Mothers B. Sisters C. Female cousins D. All relatives</t>
  </si>
  <si>
    <t>Sisters take special pride in celebrating their brother’s transition into adulthood.</t>
  </si>
  <si>
    <t>Why do women invite whipping scars?</t>
  </si>
  <si>
    <t>A. To compete with men B. To demand cattle from brothers later C. To show loyalty and earn future support D. To reduce their marriage dowry</t>
  </si>
  <si>
    <t>Brothers later reward loyal sisters with help and resources during hardship.</t>
  </si>
  <si>
    <t>Why are the backs of bulls smeared before jumping?</t>
  </si>
  <si>
    <t>A. To mark ownership B. To make jumping harder C. To disinfect them D. To attract spirits</t>
  </si>
  <si>
    <t>It increases difficulty, proving true courage and balance.</t>
  </si>
  <si>
    <t>What happens if a boy runs only three times instead of four?</t>
  </si>
  <si>
    <t>A. He passes with fewer honors B. The ritual is invalid C. He is punished D. He can skip marriage</t>
  </si>
  <si>
    <t>Four runs are mandatory for full acceptance.</t>
  </si>
  <si>
    <t>The ritual’s feasts are funded mainly by:</t>
  </si>
  <si>
    <t>A. Government B. Initiate’s family C. Entire village D. Neighboring tribes</t>
  </si>
  <si>
    <t>B) Initiate’s family</t>
  </si>
  <si>
    <t>The boy’s family hosts the feast, showing generosity and unity.</t>
  </si>
  <si>
    <t>What do visiting tourists often misunderstand about the ritual?</t>
  </si>
  <si>
    <t>A. That it is a sport for fun B. That cattle are killed C. That it is forced on boys D. All of the above</t>
  </si>
  <si>
    <t>Outsiders misinterpret it, but locals see it as sacred tradition.</t>
  </si>
  <si>
    <t>What must the boy avoid while running on the bulls?</t>
  </si>
  <si>
    <t>A. Looking down B. Pausing C. Falling D. All of the above</t>
  </si>
  <si>
    <t>He must run swiftly and steadily without hesitation.</t>
  </si>
  <si>
    <t>Which natural element is linked symbolically to cow jumping?</t>
  </si>
  <si>
    <t>A. Fire B. Rain C. Sun D. Earth</t>
  </si>
  <si>
    <t>D) Earth</t>
  </si>
  <si>
    <t>The ritual is tied to fertility of land, cattle, and community prosperity.</t>
  </si>
  <si>
    <t>Why is nudity significant during the ritual?</t>
  </si>
  <si>
    <t>A. It shows courage without protection B. It prevents clothes from slipping C. It displays body strength D. It is an ancestral custom</t>
  </si>
  <si>
    <t>A) It shows courage without protection</t>
  </si>
  <si>
    <t>Nakedness symbolizes humility, bravery, and honesty.</t>
  </si>
  <si>
    <t>What is the role of younger children during the ceremony?</t>
  </si>
  <si>
    <t>A. They are spectators B. They help hold cattle C. They sing children’s songs D. They perform dances</t>
  </si>
  <si>
    <t>A) They are spectators</t>
  </si>
  <si>
    <t>Younger children watch to learn tradition for their future.</t>
  </si>
  <si>
    <t>What do elders give the boy as a blessing?</t>
  </si>
  <si>
    <t>A. Milk B. A staff C. A necklace D. A gourd of beer</t>
  </si>
  <si>
    <t>B) A staff</t>
  </si>
  <si>
    <t>The staff is the ultimate sign of manhood and responsibility.</t>
  </si>
  <si>
    <t>What happens to women who refuse whipping during the ritual?</t>
  </si>
  <si>
    <t>A. They are fined B. They are excluded from songs C. They are shamed as disloyal D. Nothing happens</t>
  </si>
  <si>
    <t>C) They are shamed as disloyal</t>
  </si>
  <si>
    <t>Refusal is seen as lack of family loyalty.</t>
  </si>
  <si>
    <t>Which neighboring country has tribes with similar cattle-centered traditions?</t>
  </si>
  <si>
    <t>A. Kenya B. Sudan C. Uganda D. Somalia</t>
  </si>
  <si>
    <t>A) Kenya</t>
  </si>
  <si>
    <t>Some pastoralist tribes in Kenya have cattle-linked initiation rituals too.</t>
  </si>
  <si>
    <t>What lesson does the ritual teach the whole community?</t>
  </si>
  <si>
    <t>A. Wealth is temporary B. Unity and shared responsibility C. Strength of women only D. Importance of war</t>
  </si>
  <si>
    <t>B) Unity and shared responsibility</t>
  </si>
  <si>
    <t>The ritual engages men, women, elders, and children, reinforcing cultural unity.</t>
  </si>
  <si>
    <t>What is the role of songs in the cow-jumping ceremony?</t>
  </si>
  <si>
    <t>A. To confuse the bulls B. To pass secret codes C. To encourage and motivate the initiate D. To mark ownership of cattle</t>
  </si>
  <si>
    <t>C) To encourage and motivate the initiate</t>
  </si>
  <si>
    <t>Women sing loudly to inspire courage in the boy during the ritual.</t>
  </si>
  <si>
    <t>What does the boy’s family gain socially after he completes the ritual?</t>
  </si>
  <si>
    <t>A. Higher status and honor B. More cattle from the tribe C. Freedom from taxes D. Land rights</t>
  </si>
  <si>
    <t>A) Higher status and honor</t>
  </si>
  <si>
    <t>The family earns respect for successfully guiding their son into adulthood.</t>
  </si>
  <si>
    <t>Which relative often plays the biggest role in preparing the initiate?</t>
  </si>
  <si>
    <t>A. Mother B. Uncle C. Father D. Elder brother</t>
  </si>
  <si>
    <t>C) Father</t>
  </si>
  <si>
    <t>Fathers and elders arrange cattle and guide their sons through the tradition.</t>
  </si>
  <si>
    <t>What symbolizes the community’s unity during the ceremony?</t>
  </si>
  <si>
    <t>A. Shared food and drink B. Collective singing and dancing C. Lending cattle for the ritual D. All of the above</t>
  </si>
  <si>
    <t>The entire village contributes, showing unity and cultural strength.</t>
  </si>
  <si>
    <t>What type of society are the Hamar people traditionally?</t>
  </si>
  <si>
    <t>A. Nomadic hunters B. Pastoralists and cattle herders C. Fishermen D. City traders</t>
  </si>
  <si>
    <t>B) Pastoralists and cattle herders</t>
  </si>
  <si>
    <t>Their way of life revolves around cattle, reflected in the ritual.</t>
  </si>
  <si>
    <t>What does cow jumping symbolize for women in the tribe?</t>
  </si>
  <si>
    <t>A. Their right to choose husbands B. Loyalty and sacrifice C. Economic independence D. Spiritual superiority</t>
  </si>
  <si>
    <t>B) Loyalty and sacrifice</t>
  </si>
  <si>
    <t>By supporting and accepting pain, women prove their devotion to family bonds.</t>
  </si>
  <si>
    <t>How do Hamar people ensure bulls stand still for the ritual?</t>
  </si>
  <si>
    <t>A. By tying their legs B. By holding them by ropes C. By feeding them herbs D. By covering their eyes</t>
  </si>
  <si>
    <t>B) By holding them by ropes</t>
  </si>
  <si>
    <t>Young men restrain the bulls so the initiate can run across.</t>
  </si>
  <si>
    <t>Which foreign influence has threatened the survival of the ritual?</t>
  </si>
  <si>
    <t>A. Missionary activity B. Tourism commercialization C. Urban migration D. All of the above</t>
  </si>
  <si>
    <t>Outside influences challenge the tradition, but locals continue to preserve it.</t>
  </si>
  <si>
    <t>What color beads do women often wear during the ritual?</t>
  </si>
  <si>
    <t>A. Black and gold B. Red and white C. Blue and green D. Yellow and purple</t>
  </si>
  <si>
    <t>B) Red and white</t>
  </si>
  <si>
    <t>Beads are symbols of beauty, fertility, and celebration.</t>
  </si>
  <si>
    <t>What does the initiate’s nudity during the ritual symbolize?</t>
  </si>
  <si>
    <t>A. Freedom from wealth B. Purity and humility C. Anger against elders D. Spirit possession</t>
  </si>
  <si>
    <t>B) Purity and humility</t>
  </si>
  <si>
    <t>It shows honesty and readiness without protection or disguise.</t>
  </si>
  <si>
    <t>How do elders prepare the boy spiritually?</t>
  </si>
  <si>
    <t>A. Through prayers and blessings B. Through storytelling C. By giving him milk to drink D. By shaving his head</t>
  </si>
  <si>
    <t>A) Through prayers and blessings</t>
  </si>
  <si>
    <t>Elders invoke ancestral spirits for strength and protection.</t>
  </si>
  <si>
    <t>Which element of nature is most connected to the ceremony?</t>
  </si>
  <si>
    <t>A. Cattle fertility and earth’s abundance B. Fire as cleansing power C. Rain as divine blessing D. Wind as freedom</t>
  </si>
  <si>
    <t>A) Cattle fertility and earth’s abundance</t>
  </si>
  <si>
    <t>The ritual ties manhood with fertility of land and animals.</t>
  </si>
  <si>
    <t>How is failure in the ritual generally viewed by the tribe?</t>
  </si>
  <si>
    <t>A. Shameful and mocked B. Neutral, just a delay in adulthood C. Punishable by exile D. Forgotten quickly</t>
  </si>
  <si>
    <t>B) Neutral, just a delay in adulthood</t>
  </si>
  <si>
    <t>It is not seen as disgrace but as a sign the boy must wait to mature.</t>
  </si>
  <si>
    <t>What marks the end of the ceremony?</t>
  </si>
  <si>
    <t>A. The initiate’s blessing B. A communal feast C. A bull sacrifice D. A night dance</t>
  </si>
  <si>
    <t>B) A communal feast</t>
  </si>
  <si>
    <t>Families celebrate the boy’s successful passage with food and drink.</t>
  </si>
  <si>
    <t xml:space="preserve"> What do anthropologists study through cow jumping?</t>
  </si>
  <si>
    <t>A. Tribal warfare B. Agricultural practices C. Social structures and rites of passage D. Ancient architecture</t>
  </si>
  <si>
    <t>C) Social structures and rites of passage</t>
  </si>
  <si>
    <t>The ritual reflects cultural identity and the transmission of traditions.</t>
  </si>
  <si>
    <t>How do Hamar people explain the importance of scars on women’s backs?</t>
  </si>
  <si>
    <t>A. As symbols of beauty B. As reminders of loyalty and family ties C. As marriage requirements D. As offerings to spirits</t>
  </si>
  <si>
    <t>B) As reminders of loyalty and family ties</t>
  </si>
  <si>
    <t>Scars are honored as signs of devotion and courage.</t>
  </si>
  <si>
    <t>What determines how many bulls are used in the ritual?</t>
  </si>
  <si>
    <t>A. Tribe’s rules B. Family’s wealth and cattle ownership C. Initiate’s age D. The rainy season</t>
  </si>
  <si>
    <t>B) Family’s wealth and cattle ownership</t>
  </si>
  <si>
    <t>Wealthier families often line up more bulls for prestige.</t>
  </si>
  <si>
    <t>What is the broader role of the ritual in Hamar society?</t>
  </si>
  <si>
    <t>A. Entertainment for tourists B. Economic development C. Preservation of cultural identity D. Political unity</t>
  </si>
  <si>
    <t>C) Preservation of cultural identity</t>
  </si>
  <si>
    <t>The ritual ensures traditions and identity are passed to the next generation.</t>
  </si>
  <si>
    <t>How do women celebrate after the jumping is successful?</t>
  </si>
  <si>
    <t>A. By sharing milk and food B. By singing louder and dancing C. By removing their beads D. By painting the cattle</t>
  </si>
  <si>
    <t>B) By singing louder and dancing</t>
  </si>
  <si>
    <t>Women express joy through dance and song to honor the initiate.</t>
  </si>
  <si>
    <t>What is the minimum number of successful runs required?</t>
  </si>
  <si>
    <t>A. 2 B. 3 C. 4 D. 5</t>
  </si>
  <si>
    <t>C) 4</t>
  </si>
  <si>
    <t>Tradition demands four consecutive successful runs for recognition.</t>
  </si>
  <si>
    <t>Which of these is NOT a part of cow jumping?</t>
  </si>
  <si>
    <t>A. Singing and drumming B. Ritual whipping of women C. Cattle decoration D. Fire-walking</t>
  </si>
  <si>
    <t>D) Fire-walking</t>
  </si>
  <si>
    <t>Fire rituals are not part of Ukuli Bula.</t>
  </si>
  <si>
    <t>Who benefits the most from the initiate’s success?</t>
  </si>
  <si>
    <t>A. His mother B. His sisters C. His whole family and future wife D. Only himself</t>
  </si>
  <si>
    <t>C) His whole family and future wife</t>
  </si>
  <si>
    <t>The success lifts the family’s honor and allows marriage.</t>
  </si>
  <si>
    <t>Which other Hamar ceremony is often performed alongside cow jumping?</t>
  </si>
  <si>
    <t>A. Wedding ceremony B. Donga stick fighting C. Harvest ritual D. Rain prayer</t>
  </si>
  <si>
    <t>A) Wedding ceremony</t>
  </si>
  <si>
    <t>Cow jumping often precedes marriage arrangements.</t>
  </si>
  <si>
    <t>What does the act of running across bulls represent spiritually?</t>
  </si>
  <si>
    <t>A. Crossing from weakness to strength B. Bridging childhood and manhood C. Escaping evil spirits D. Taming wild animals</t>
  </si>
  <si>
    <t>B) Bridging childhood and manhood</t>
  </si>
  <si>
    <t>The act symbolizes transition between life stages.</t>
  </si>
  <si>
    <t>How do outsiders often misinterpret women’s role?</t>
  </si>
  <si>
    <t>A. They think women are oppressed B. They think women control the ritual C. They think women train bulls D. They think women jump too</t>
  </si>
  <si>
    <t>A) They think women are oppressed</t>
  </si>
  <si>
    <t>Outsiders see whipping as abuse, while locals see it as devotion.</t>
  </si>
  <si>
    <t>What object is passed down through generations after cow jumping?</t>
  </si>
  <si>
    <t>A. Initiate’s staff B. Bulls used in the ritual C. Women’s beads D. Sacred drum</t>
  </si>
  <si>
    <t>A) Initiate’s staff</t>
  </si>
  <si>
    <t>The staff represents legacy and is often handed to future sons.</t>
  </si>
  <si>
    <t>Which term best describes the ritual anthropologically?</t>
  </si>
  <si>
    <t>A. Symbolic warfare B. Rite of passage C. Animal sacrifice D. Courtship dance</t>
  </si>
  <si>
    <t>B) Rite of passage</t>
  </si>
  <si>
    <t>It’s a key rite marking social transition.</t>
  </si>
  <si>
    <t>What is the age range of boys usually undergoing the ritual?</t>
  </si>
  <si>
    <t>A. 8–12 years B. 13–18 years C. 16–20 years D. 21–25 years</t>
  </si>
  <si>
    <t>C) 16–20 years</t>
  </si>
  <si>
    <t>Teenagers nearing adulthood are chosen.</t>
  </si>
  <si>
    <t>What happens to boys who succeed but refuse to marry?</t>
  </si>
  <si>
    <t>A. They lose their manhood status B. They still retain adult recognition C. They must repeat the ritual D. They are fined</t>
  </si>
  <si>
    <t>B) They still retain adult recognition</t>
  </si>
  <si>
    <t>Marriage is optional, but manhood recognition remains.</t>
  </si>
  <si>
    <t>What lasting lesson does the ritual teach the tribe’s youth?</t>
  </si>
  <si>
    <t>A. Importance of cattle trade B. The necessity of bravery, loyalty, and unity C. How to farm crops D. How to resist colonial powers</t>
  </si>
  <si>
    <t>B) The necessity of bravery, loyalty, and unity</t>
  </si>
  <si>
    <t>The ritual strengthens values central to Hamar identity and survival.</t>
  </si>
  <si>
    <t>Which gender organizes most of the singing during cow jumping?</t>
  </si>
  <si>
    <t>A. Men B. Women C. Children D. Elders only</t>
  </si>
  <si>
    <t>B) Women</t>
  </si>
  <si>
    <t>Women lead songs that inspire courage and symbolize unity.</t>
  </si>
  <si>
    <t>What is the symbolism of oiling the bulls’ backs?</t>
  </si>
  <si>
    <t>A. Making them sacred B. Inviting ancestral spirits C. Increasing difficulty of the jump D. Preparing for sale</t>
  </si>
  <si>
    <t>C) Increasing difficulty of the jump</t>
  </si>
  <si>
    <t>It tests the initiate’s skill and balance.</t>
  </si>
  <si>
    <t>Which group ensures order during the ritual?</t>
  </si>
  <si>
    <t>A. Mothers B. Elders C. Warriors D. Outsiders</t>
  </si>
  <si>
    <t>B) Elders</t>
  </si>
  <si>
    <t>Elders supervise, bless, and maintain traditional rules.</t>
  </si>
  <si>
    <t>The ritual is considered a test of:</t>
  </si>
  <si>
    <t>A. Wealth and prosperity B. Balance and bravery C. Education and literacy D. Political loyalty</t>
  </si>
  <si>
    <t>B) Balance and bravery</t>
  </si>
  <si>
    <t>Physical ability symbolizes strength for adult responsibilities.</t>
  </si>
  <si>
    <t>Which animals are central to the ritual?</t>
  </si>
  <si>
    <t>A. Cows B. Bulls C. Goats D. Horses</t>
  </si>
  <si>
    <t>B) Bulls</t>
  </si>
  <si>
    <t>Bulls represent strength and maturity challenges.</t>
  </si>
  <si>
    <t>How do women show loyalty during the ritual?</t>
  </si>
  <si>
    <t>A. By preparing food B. By singing and accepting whipping C. By milking cows D. By painting houses</t>
  </si>
  <si>
    <t>B) By singing and accepting whipping</t>
  </si>
  <si>
    <t>This act demonstrates family devotion and solidarity.</t>
  </si>
  <si>
    <t>Which outsiders often record or photograph the ceremony?</t>
  </si>
  <si>
    <t>A. Missionaries B. Tourists and anthropologists C. Traders D. Politicians</t>
  </si>
  <si>
    <t>B) Tourists and anthropologists</t>
  </si>
  <si>
    <t>The unique ritual attracts researchers and visitors.</t>
  </si>
  <si>
    <t>What happens if the initiate panics before jumping?</t>
  </si>
  <si>
    <t>A. Elders cancel the event B. Women ridicule him C. He waits until another ceremony D. He is forced to jump</t>
  </si>
  <si>
    <t>C) He waits until another ceremony</t>
  </si>
  <si>
    <t>Participation must be voluntary and confident.</t>
  </si>
  <si>
    <t>Which sound dominates the ritual?</t>
  </si>
  <si>
    <t>A. Animal roars B. Drums and women’s chants C. Bells ringing D. Silent prayers</t>
  </si>
  <si>
    <t>B) Drums and women’s chants</t>
  </si>
  <si>
    <t>Rhythms energize the ceremony.</t>
  </si>
  <si>
    <t>What does the initiate gain besides the right to marry?</t>
  </si>
  <si>
    <t>A. Ownership of family cattle B. Recognition as an adult C. A share of tribal land D. Political authority</t>
  </si>
  <si>
    <t>B) Recognition as an adult</t>
  </si>
  <si>
    <t>His new identity includes adult rights and duties.</t>
  </si>
  <si>
    <t>Why are sisters especially active during the event?</t>
  </si>
  <si>
    <t>A. Their loyalty ensures future support B. They compete with other women C. They train the bulls D. They inherit cattle</t>
  </si>
  <si>
    <t>A) Their loyalty ensures future support</t>
  </si>
  <si>
    <t>Their support is rewarded later by their brothers.</t>
  </si>
  <si>
    <t>Which Ethiopian valley is globally known for documenting this ritual?</t>
  </si>
  <si>
    <t>A. Omo Valley B. Awash Valley C. Rift Valley D. Tana Valley</t>
  </si>
  <si>
    <t>A) Omo Valley</t>
  </si>
  <si>
    <t>The Hamar people live in Omo Valley, famous for unique traditions.</t>
  </si>
  <si>
    <t>What do anthropologists see in the scars on women’s backs?</t>
  </si>
  <si>
    <t>A. Tribal art B. Symbols of violence C. Cultural loyalty marks D. Decorative fashion</t>
  </si>
  <si>
    <t>C) Cultural loyalty marks</t>
  </si>
  <si>
    <t>Scars symbolize sacrifice and dedication.</t>
  </si>
  <si>
    <t>What item is carried by elders during blessings?</t>
  </si>
  <si>
    <t>A. Sacred horn B. Wooden staff C. Drum D. Spear</t>
  </si>
  <si>
    <t>B) Wooden staff</t>
  </si>
  <si>
    <t>The staff represents ancestral authority.</t>
  </si>
  <si>
    <t>What happens if the boy succeeds on the first try?</t>
  </si>
  <si>
    <t>A. He earns special honor B. He skips marriage duties C. He becomes elder immediately D. He inherits land</t>
  </si>
  <si>
    <t>A) He earns special honor</t>
  </si>
  <si>
    <t>Success at the first attempt brings pride and prestige.</t>
  </si>
  <si>
    <t>What emotion dominates the event for the boy’s mother?</t>
  </si>
  <si>
    <t>A. Fear and pride mixed B. Anger C. Indifference D. Sadness only</t>
  </si>
  <si>
    <t>A) Fear and pride mixed</t>
  </si>
  <si>
    <t>Mothers fear failure but are proud of success.</t>
  </si>
  <si>
    <t>Why is the ritual described as both physical and symbolic?</t>
  </si>
  <si>
    <t>A. It involves cattle and humans B. It tests strength while symbolizing maturity C. It combines farming and dancing D. It mixes religion and economics</t>
  </si>
  <si>
    <t>B) It tests strength while symbolizing maturity</t>
  </si>
  <si>
    <t>Physical performance reflects spiritual transformation.</t>
  </si>
  <si>
    <t>Who usually trains the boy in preparation?</t>
  </si>
  <si>
    <t>A. Cousins B. Elders and relatives C. His sisters D. Tourists</t>
  </si>
  <si>
    <t>B) Elders and relatives</t>
  </si>
  <si>
    <t>Family prepares him mentally and physically.</t>
  </si>
  <si>
    <t>Why is the ritual still widely practiced despite criticism?</t>
  </si>
  <si>
    <t>A. It attracts money B. It defines Hamar identity C. It is government law D. It is easy to perform</t>
  </si>
  <si>
    <t>B) It defines Hamar identity</t>
  </si>
  <si>
    <t>Cultural pride ensures continuation of the tradition.</t>
  </si>
  <si>
    <t>What does the act of jumping naked emphasize?</t>
  </si>
  <si>
    <t>A. Purity and courage B. Desire for marriage C. Anger at society D. Competition</t>
  </si>
  <si>
    <t>A) Purity and courage</t>
  </si>
  <si>
    <t>The naked state reflects honesty and humility.</t>
  </si>
  <si>
    <t>What age do boys usually first attempt the jump?</t>
  </si>
  <si>
    <t>A. 10–12 B. 14–18 C. 20–25 D. 30+</t>
  </si>
  <si>
    <t>B) 14–18</t>
  </si>
  <si>
    <t>Teenagers near adulthood take the challenge.</t>
  </si>
  <si>
    <t>Who provides the bulls for the ceremony?</t>
  </si>
  <si>
    <t>A. Initiate’s family B. Entire tribe C. Neighboring village D. Government</t>
  </si>
  <si>
    <t>A) Initiate’s family</t>
  </si>
  <si>
    <t>It shows their wealth and readiness to host.</t>
  </si>
  <si>
    <t>How many elders typically oversee the ritual?</t>
  </si>
  <si>
    <t>A. 1 B. 3–5 C. 10+ D. None</t>
  </si>
  <si>
    <t>B) 3–5</t>
  </si>
  <si>
    <t>A council of elders ensures tradition is preserved.</t>
  </si>
  <si>
    <t>Why is this ritual studied in anthropology classes worldwide?</t>
  </si>
  <si>
    <t>A. It is unusual sport B. It highlights rites of passage and gender roles C. It involves animals D. It is violent</t>
  </si>
  <si>
    <t>B) It highlights rites of passage and gender roles</t>
  </si>
  <si>
    <t>Scholars use it to understand cultural systems.</t>
  </si>
  <si>
    <t>Which emotion is common among women before whipping?</t>
  </si>
  <si>
    <t>A. Excitement and loyalty B. Indifference C. Fear only D. Anger at men</t>
  </si>
  <si>
    <t>A) Excitement and loyalty</t>
  </si>
  <si>
    <t>They embrace it to honor family ties.</t>
  </si>
  <si>
    <t>What material is used for the whips?</t>
  </si>
  <si>
    <t>A. Metal rods B. Thin tree branches C. Leather strips D. Bamboo sticks</t>
  </si>
  <si>
    <t>C) Leather strips</t>
  </si>
  <si>
    <t>Leather whips are used to scar but not kill.</t>
  </si>
  <si>
    <t>What element of the ritual fascinates photographers most?</t>
  </si>
  <si>
    <t>A. Painted women B. Jumping bulls C. Elders’ blessings D. Naked runners</t>
  </si>
  <si>
    <t>B) Jumping bulls</t>
  </si>
  <si>
    <t>The dramatic act is highly photographed.</t>
  </si>
  <si>
    <t>What defines success in the ritual?</t>
  </si>
  <si>
    <t>A. Jumping across bulls without falling B. Jumping once only C. Singing the loudest D. Fighting bulls</t>
  </si>
  <si>
    <t>A) Jumping across bulls without falling</t>
  </si>
  <si>
    <t>Success requires balance and speed.</t>
  </si>
  <si>
    <t>What role do children have in the ritual?</t>
  </si>
  <si>
    <t>A. Observers B. Bull handlers C. Whip bearers D. Singers</t>
  </si>
  <si>
    <t>A) Observers</t>
  </si>
  <si>
    <t>They learn cultural traditions by watching.</t>
  </si>
  <si>
    <t>What blessing do elders give after success?</t>
  </si>
  <si>
    <t>A. Long life and fertility B. Wealth in trade C. Political power D. Warrior status</t>
  </si>
  <si>
    <t>A) Long life and fertility</t>
  </si>
  <si>
    <t>Blessings tie manhood with prosperity.</t>
  </si>
  <si>
    <t>Why do anthropologists describe it as a "liminal stage"?</t>
  </si>
  <si>
    <t>A. It occurs at night B. It is between childhood and adulthood C. It is hidden from outsiders D. It is a secret ritual</t>
  </si>
  <si>
    <t>B) It is between childhood and adulthood</t>
  </si>
  <si>
    <t>Liminality means transition between life stages.</t>
  </si>
  <si>
    <t>What are the bulls often decorated with?</t>
  </si>
  <si>
    <t>A. Beads and paint B. Flowers C. Clothes D. Ropes only</t>
  </si>
  <si>
    <t>A) Beads and paint</t>
  </si>
  <si>
    <t>Decorations mark festivity and cultural pride.</t>
  </si>
  <si>
    <t>What happens to the initiate’s status if he fails?</t>
  </si>
  <si>
    <t>A. He stays a boy socially B. He loses cattle C. He is expelled D. He must leave the tribe</t>
  </si>
  <si>
    <t>A) He stays a boy socially</t>
  </si>
  <si>
    <t>He cannot marry until success.</t>
  </si>
  <si>
    <t>What does the entire village gain from the ritual?</t>
  </si>
  <si>
    <t>A. Strengthened identity B. Extra cattle C. Political favor D. Trade benefits</t>
  </si>
  <si>
    <t>A) Strengthened identity</t>
  </si>
  <si>
    <t>The ceremony reinforces community bonds.</t>
  </si>
  <si>
    <t>What is the symbolism of four successful runs?</t>
  </si>
  <si>
    <t>A. Four ancestors’ blessings B. Four responsibilities of manhood C. Four directions of the world D. Four cattle spirits</t>
  </si>
  <si>
    <t>B) Four responsibilities of manhood</t>
  </si>
  <si>
    <t>They reflect duties of adulthood.</t>
  </si>
  <si>
    <t>How do Hamar people view cattle in general?</t>
  </si>
  <si>
    <t>A. As currency, wealth, and life source B. As only meat providers C. As toys D. As holy gods</t>
  </si>
  <si>
    <t>A) As currency, wealth, and life source</t>
  </si>
  <si>
    <t>Cattle are central to economy and identity.</t>
  </si>
  <si>
    <t>What is the reaction of women when scars are shown later?</t>
  </si>
  <si>
    <t>A. Pride and honor B. Shame C. Silence D. Regret</t>
  </si>
  <si>
    <t>A) Pride and honor</t>
  </si>
  <si>
    <t>Scars are proudly displayed as loyalty marks.</t>
  </si>
  <si>
    <t>Which anthropological theme is most linked to cow jumping?</t>
  </si>
  <si>
    <t>A. Kinship and gender roles B. Global trade C. Colonialism D. Education</t>
  </si>
  <si>
    <t>A) Kinship and gender roles</t>
  </si>
  <si>
    <t>The ritual demonstrates family and social ties.</t>
  </si>
  <si>
    <t>Why is it sometimes called "the manhood test"?</t>
  </si>
  <si>
    <t>A. Because boys prove readiness to marry B. Because women participate C. Because bulls are sacred D. Because it involves elders only</t>
  </si>
  <si>
    <t>A) Because boys prove readiness to marry</t>
  </si>
  <si>
    <t>It marks the passage to manhood.</t>
  </si>
  <si>
    <t>What lesson does the ritual pass to the next generation?</t>
  </si>
  <si>
    <t>A. Family loyalty and bravery matter most B. Wealth is temporary C. Farming is supreme D. Elders must be obeyed blindly</t>
  </si>
  <si>
    <t>A) Family loyalty and bravery matter most</t>
  </si>
  <si>
    <t>The ceremony strengthens cultural values for youth.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</si>
</sst>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color theme="1"/>
      <name val="Arial"/>
    </font>
    <font>
      <b/>
      <color rgb="FFFFFFFF"/>
      <name val="Arial"/>
    </font>
  </fonts>
  <fills count="3">
    <fill>
      <patternFill patternType="none"/>
    </fill>
    <fill>
      <patternFill patternType="lightGray"/>
    </fill>
    <fill>
      <patternFill patternType="solid">
        <fgColor rgb="FF356854"/>
        <bgColor rgb="FF356854"/>
      </patternFill>
    </fill>
  </fills>
  <borders count="4">
    <border/>
    <border>
      <left style="thin">
        <color rgb="FF284E3F"/>
      </left>
      <right style="thin">
        <color rgb="FF356854"/>
      </right>
      <top style="thin">
        <color rgb="FF284E3F"/>
      </top>
      <bottom style="thin">
        <color rgb="FF284E3F"/>
      </bottom>
    </border>
    <border>
      <right style="thin">
        <color rgb="FF356854"/>
      </right>
      <top style="thin">
        <color rgb="FF284E3F"/>
      </top>
      <bottom style="thin">
        <color rgb="FF284E3F"/>
      </bottom>
    </border>
    <border>
      <right style="thin">
        <color rgb="FF284E3F"/>
      </right>
      <top style="thin">
        <color rgb="FF284E3F"/>
      </top>
      <bottom style="thin">
        <color rgb="FF284E3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1" fillId="2" fontId="4" numFmtId="0" xfId="0" applyAlignment="1" applyBorder="1" applyFill="1" applyFont="1">
      <alignment horizontal="left" readingOrder="0" shrinkToFit="0" vertical="bottom" wrapText="0"/>
    </xf>
    <xf borderId="2" fillId="2" fontId="4" numFmtId="0" xfId="0" applyAlignment="1" applyBorder="1" applyFont="1">
      <alignment horizontal="left" readingOrder="0" shrinkToFit="0" vertical="bottom" wrapText="0"/>
    </xf>
    <xf borderId="3" fillId="2" fontId="4" numFmtId="0" xfId="0" applyAlignment="1" applyBorder="1" applyFont="1">
      <alignment horizontal="left" readingOrder="0" shrinkToFit="0" vertical="bottom" wrapText="0"/>
    </xf>
    <xf borderId="0" fillId="0" fontId="3" numFmtId="0" xfId="0" applyAlignment="1" applyFont="1">
      <alignment horizontal="right" shrinkToFit="0" vertical="bottom" wrapText="0"/>
    </xf>
    <xf borderId="1" fillId="2" fontId="4" numFmtId="0" xfId="0" applyAlignment="1" applyBorder="1" applyFont="1">
      <alignment horizontal="left" readingOrder="0" shrinkToFit="0" vertical="bottom" wrapText="0"/>
    </xf>
    <xf borderId="2" fillId="2" fontId="4" numFmtId="0" xfId="0" applyAlignment="1" applyBorder="1" applyFont="1">
      <alignment horizontal="left" readingOrder="0" shrinkToFit="0" vertical="bottom" wrapText="0"/>
    </xf>
    <xf borderId="3" fillId="2" fontId="4" numFmtId="0" xfId="0" applyAlignment="1" applyBorder="1" applyFont="1">
      <alignment horizontal="lef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vertical="bottom"/>
    </xf>
    <xf borderId="0" fillId="0" fontId="3"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tableStyle count="4" pivot="0" name="Genna-style">
      <tableStyleElement dxfId="1" type="headerRow"/>
      <tableStyleElement dxfId="2" type="firstRowStripe"/>
      <tableStyleElement dxfId="3" type="secondRowStripe"/>
      <tableStyleElement dxfId="4" size="0" type="wholeTable"/>
    </tableStyle>
    <tableStyle count="4" pivot="0" name="Genna-style 2">
      <tableStyleElement dxfId="1" type="headerRow"/>
      <tableStyleElement dxfId="2" type="firstRowStripe"/>
      <tableStyleElement dxfId="3" type="secondRowStripe"/>
      <tableStyleElement dxfId="4" size="0" type="wholeTable"/>
    </tableStyle>
    <tableStyle count="4" pivot="0" name="Yeferas Guks-style">
      <tableStyleElement dxfId="1" type="headerRow"/>
      <tableStyleElement dxfId="2" type="firstRowStripe"/>
      <tableStyleElement dxfId="3" type="secondRowStripe"/>
      <tableStyleElement dxfId="4" size="0" type="wholeTable"/>
    </tableStyle>
    <tableStyle count="4" pivot="0" name="Yeferas Guks-style 2">
      <tableStyleElement dxfId="1" type="headerRow"/>
      <tableStyleElement dxfId="2" type="firstRowStripe"/>
      <tableStyleElement dxfId="3" type="secondRowStripe"/>
      <tableStyleElement dxfId="4" size="0" type="wholeTable"/>
    </tableStyle>
    <tableStyle count="4" pivot="0" name="Traditional Running-style">
      <tableStyleElement dxfId="1" type="headerRow"/>
      <tableStyleElement dxfId="2" type="firstRowStripe"/>
      <tableStyleElement dxfId="3" type="secondRowStripe"/>
      <tableStyleElement dxfId="4" size="0" type="wholeTable"/>
    </tableStyle>
    <tableStyle count="4" pivot="0" name="Traditional Running-style 2">
      <tableStyleElement dxfId="1" type="headerRow"/>
      <tableStyleElement dxfId="2" type="firstRowStripe"/>
      <tableStyleElement dxfId="3" type="secondRowStripe"/>
      <tableStyleElement dxfId="4" size="0" type="wholeTable"/>
    </tableStyle>
    <tableStyle count="4" pivot="0" name="Aba Geda Wrestling-style">
      <tableStyleElement dxfId="1" type="headerRow"/>
      <tableStyleElement dxfId="2" type="firstRowStripe"/>
      <tableStyleElement dxfId="3" type="secondRowStripe"/>
      <tableStyleElement dxfId="4" size="0" type="wholeTable"/>
    </tableStyle>
    <tableStyle count="4" pivot="0" name="Aba Geda Wrestling-style 2">
      <tableStyleElement dxfId="1" type="headerRow"/>
      <tableStyleElement dxfId="2" type="firstRowStripe"/>
      <tableStyleElement dxfId="3" type="secondRowStripe"/>
      <tableStyleElement dxfId="4" size="0" type="wholeTable"/>
    </tableStyle>
    <tableStyle count="4" pivot="0" name="Afalula-style">
      <tableStyleElement dxfId="1" type="headerRow"/>
      <tableStyleElement dxfId="2" type="firstRowStripe"/>
      <tableStyleElement dxfId="3" type="secondRowStripe"/>
      <tableStyleElement dxfId="4" size="0" type="wholeTable"/>
    </tableStyle>
    <tableStyle count="4" pivot="0" name="Afalula-style 2">
      <tableStyleElement dxfId="1" type="headerRow"/>
      <tableStyleElement dxfId="2" type="firstRowStripe"/>
      <tableStyleElement dxfId="3" type="secondRowStripe"/>
      <tableStyleElement dxfId="4" size="0" type="wholeTable"/>
    </tableStyle>
    <tableStyle count="4" pivot="0" name="Sidama Wrestling-style">
      <tableStyleElement dxfId="1" type="headerRow"/>
      <tableStyleElement dxfId="2" type="firstRowStripe"/>
      <tableStyleElement dxfId="3" type="secondRowStripe"/>
      <tableStyleElement dxfId="4" size="0" type="wholeTable"/>
    </tableStyle>
    <tableStyle count="4" pivot="0" name="Sidama Wrestling-style 2">
      <tableStyleElement dxfId="1" type="headerRow"/>
      <tableStyleElement dxfId="2" type="firstRowStripe"/>
      <tableStyleElement dxfId="3" type="secondRowStripe"/>
      <tableStyleElement dxfId="4" size="0" type="wholeTable"/>
    </tableStyle>
    <tableStyle count="4" pivot="0" name="Gebeta (Mancala)-style">
      <tableStyleElement dxfId="1" type="headerRow"/>
      <tableStyleElement dxfId="2" type="firstRowStripe"/>
      <tableStyleElement dxfId="3" type="secondRowStripe"/>
      <tableStyleElement dxfId="4" size="0" type="wholeTable"/>
    </tableStyle>
    <tableStyle count="4" pivot="0" name="Gebeta (Mancala)-style 2">
      <tableStyleElement dxfId="1" type="headerRow"/>
      <tableStyleElement dxfId="2" type="firstRowStripe"/>
      <tableStyleElement dxfId="3" type="secondRowStripe"/>
      <tableStyleElement dxfId="4" size="0" type="wholeTable"/>
    </tableStyle>
    <tableStyle count="4" pivot="0" name="Cow Jumping (Ukuli Bula)-style">
      <tableStyleElement dxfId="1" type="headerRow"/>
      <tableStyleElement dxfId="2" type="firstRowStripe"/>
      <tableStyleElement dxfId="3" type="secondRowStripe"/>
      <tableStyleElement dxfId="4" size="0" type="wholeTable"/>
    </tableStyle>
    <tableStyle count="4" pivot="0" name="Cow Jumping (Ukuli Bul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000" displayName="Table1" name="Table1" id="1">
  <tableColumns count="5">
    <tableColumn name="Question no." id="1"/>
    <tableColumn name="Questions" id="2"/>
    <tableColumn name="Options" id="3"/>
    <tableColumn name="Answer" id="4"/>
    <tableColumn name="Description" id="5"/>
  </tableColumns>
  <tableStyleInfo name="Genna-style" showColumnStripes="0" showFirstColumn="1" showLastColumn="1" showRowStripes="1"/>
</table>
</file>

<file path=xl/tables/table2.xml><?xml version="1.0" encoding="utf-8"?>
<table xmlns="http://schemas.openxmlformats.org/spreadsheetml/2006/main" ref="G1:K141" displayName="Table2" name="Table2" id="2">
  <tableColumns count="5">
    <tableColumn name="ጥያቄዎች" id="1"/>
    <tableColumn name="አማራጭ ሀ" id="2"/>
    <tableColumn name="አማራጭ ለ" id="3"/>
    <tableColumn name="አማራጭ ሐ" id="4"/>
    <tableColumn name="አማራጭ ዲ" id="5"/>
  </tableColumns>
  <tableStyleInfo name="Genna-style 2" showColumnStripes="0" showFirstColumn="1" showLastColumn="1" showRowStripes="1"/>
</table>
</file>

<file path=xl/tables/table3.xml><?xml version="1.0" encoding="utf-8"?>
<table xmlns="http://schemas.openxmlformats.org/spreadsheetml/2006/main" ref="A1:E983" displayName="Table3" name="Table3" id="3">
  <tableColumns count="5">
    <tableColumn name="Question no." id="1"/>
    <tableColumn name="Questions" id="2"/>
    <tableColumn name="Options" id="3"/>
    <tableColumn name="Correct answer" id="4"/>
    <tableColumn name="Description" id="5"/>
  </tableColumns>
  <tableStyleInfo name="Yeferas Guks-style" showColumnStripes="0" showFirstColumn="1" showLastColumn="1" showRowStripes="1"/>
</table>
</file>

<file path=xl/tables/table4.xml><?xml version="1.0" encoding="utf-8"?>
<table xmlns="http://schemas.openxmlformats.org/spreadsheetml/2006/main" ref="G1:K143" displayName="Table4" name="Table4" id="4">
  <tableColumns count="5">
    <tableColumn name="ጥያቄዎች" id="1"/>
    <tableColumn name="አማራጭ ሀ" id="2"/>
    <tableColumn name="አማራጭ ለ" id="3"/>
    <tableColumn name="አማራጭ ሐ" id="4"/>
    <tableColumn name="አማራጭ ዲ" id="5"/>
  </tableColumns>
  <tableStyleInfo name="Yeferas Guks-style 2" showColumnStripes="0" showFirstColumn="1" showLastColumn="1" showRowStripes="1"/>
</table>
</file>

<file path=xl/tables/table5.xml><?xml version="1.0" encoding="utf-8"?>
<table xmlns="http://schemas.openxmlformats.org/spreadsheetml/2006/main" ref="A1:E989" displayName="Table5" name="Table5" id="5">
  <tableColumns count="5">
    <tableColumn name="Question no." id="1"/>
    <tableColumn name="Question" id="2"/>
    <tableColumn name="Options" id="3"/>
    <tableColumn name="Answer" id="4"/>
    <tableColumn name="Description" id="5"/>
  </tableColumns>
  <tableStyleInfo name="Traditional Running-style" showColumnStripes="0" showFirstColumn="1" showLastColumn="1" showRowStripes="1"/>
</table>
</file>

<file path=xl/tables/table6.xml><?xml version="1.0" encoding="utf-8"?>
<table xmlns="http://schemas.openxmlformats.org/spreadsheetml/2006/main" ref="G1:K145" displayName="Table6" name="Table6" id="6">
  <tableColumns count="5">
    <tableColumn name="ጥያቄዎች" id="1"/>
    <tableColumn name="አማራጭ ሀ" id="2"/>
    <tableColumn name="አማራጭ ለ" id="3"/>
    <tableColumn name="አማራጭ ሐ" id="4"/>
    <tableColumn name="አማራጭ ዲ" id="5"/>
  </tableColumns>
  <tableStyleInfo name="Traditional Running-style 2" showColumnStripes="0" showFirstColumn="1" showLastColumn="1" showRowStripes="1"/>
</table>
</file>

<file path=xl/tables/table7.xml><?xml version="1.0" encoding="utf-8"?>
<table xmlns="http://schemas.openxmlformats.org/spreadsheetml/2006/main" ref="A1:E141" displayName="Table7" name="Table7" id="7">
  <tableColumns count="5">
    <tableColumn name="Question no." id="1"/>
    <tableColumn name="Questions" id="2"/>
    <tableColumn name="Options" id="3"/>
    <tableColumn name="Answer" id="4"/>
    <tableColumn name="Description" id="5"/>
  </tableColumns>
  <tableStyleInfo name="Aba Geda Wrestling-style" showColumnStripes="0" showFirstColumn="1" showLastColumn="1" showRowStripes="1"/>
</table>
</file>

<file path=xl/tables/table8.xml><?xml version="1.0" encoding="utf-8"?>
<table xmlns="http://schemas.openxmlformats.org/spreadsheetml/2006/main" ref="G1:K141" displayName="Table8" name="Table8" id="8">
  <tableColumns count="5">
    <tableColumn name="ጥያቄዎች" id="1"/>
    <tableColumn name="አማራጭ ሀ" id="2"/>
    <tableColumn name="አማራጭ ለ" id="3"/>
    <tableColumn name="አማራጭ ሐ" id="4"/>
    <tableColumn name="አማራጭ ዲ" id="5"/>
  </tableColumns>
  <tableStyleInfo name="Aba Geda Wrestling-style 2" showColumnStripes="0" showFirstColumn="1" showLastColumn="1" showRowStripes="1"/>
</table>
</file>

<file path=xl/tables/table9.xml><?xml version="1.0" encoding="utf-8"?>
<table xmlns="http://schemas.openxmlformats.org/spreadsheetml/2006/main" ref="A1:E168" displayName="Table9" name="Table9" id="9">
  <tableColumns count="5">
    <tableColumn name="Question no." id="1"/>
    <tableColumn name="Questions" id="2"/>
    <tableColumn name="Options" id="3"/>
    <tableColumn name="Correct answer" id="4"/>
    <tableColumn name="Description" id="5"/>
  </tableColumns>
  <tableStyleInfo name="Afalula-style" showColumnStripes="0" showFirstColumn="1" showLastColumn="1" showRowStripes="1"/>
</table>
</file>

<file path=xl/tables/table10.xml><?xml version="1.0" encoding="utf-8"?>
<table xmlns="http://schemas.openxmlformats.org/spreadsheetml/2006/main" ref="G1:K168" displayName="Table10" name="Table10" id="10">
  <tableColumns count="5">
    <tableColumn name="ጥያቄዎች" id="1"/>
    <tableColumn name="አማራጭ ሀ" id="2"/>
    <tableColumn name="አማራጭ ለ" id="3"/>
    <tableColumn name="አማራጭ ሐ" id="4"/>
    <tableColumn name="አማራጭ ዲ" id="5"/>
  </tableColumns>
  <tableStyleInfo name="Afalula-style 2" showColumnStripes="0" showFirstColumn="1" showLastColumn="1" showRowStripes="1"/>
</table>
</file>

<file path=xl/tables/table11.xml><?xml version="1.0" encoding="utf-8"?>
<table xmlns="http://schemas.openxmlformats.org/spreadsheetml/2006/main" ref="A1:E141" displayName="Table11" name="Table11" id="11">
  <tableColumns count="5">
    <tableColumn name="Question no." id="1"/>
    <tableColumn name="Questions" id="2"/>
    <tableColumn name="Column 1" id="3"/>
    <tableColumn name="Correct answer" id="4"/>
    <tableColumn name="Description" id="5"/>
  </tableColumns>
  <tableStyleInfo name="Sidama Wrestling-style" showColumnStripes="0" showFirstColumn="1" showLastColumn="1" showRowStripes="1"/>
</table>
</file>

<file path=xl/tables/table12.xml><?xml version="1.0" encoding="utf-8"?>
<table xmlns="http://schemas.openxmlformats.org/spreadsheetml/2006/main" ref="G1:K141" displayName="Table12" name="Table12" id="12">
  <tableColumns count="5">
    <tableColumn name="ጥያቄዎች" id="1"/>
    <tableColumn name="አማራጭ ሀ" id="2"/>
    <tableColumn name="አማራጭ ለ" id="3"/>
    <tableColumn name="አማራጭ ሐ" id="4"/>
    <tableColumn name="አማራጭ ዲ" id="5"/>
  </tableColumns>
  <tableStyleInfo name="Sidama Wrestling-style 2" showColumnStripes="0" showFirstColumn="1" showLastColumn="1" showRowStripes="1"/>
</table>
</file>

<file path=xl/tables/table13.xml><?xml version="1.0" encoding="utf-8"?>
<table xmlns="http://schemas.openxmlformats.org/spreadsheetml/2006/main" ref="A1:E121" displayName="Table13" name="Table13" id="13">
  <tableColumns count="5">
    <tableColumn name="Question no." id="1"/>
    <tableColumn name="Questions" id="2"/>
    <tableColumn name="Column 1" id="3"/>
    <tableColumn name="Correct answer" id="4"/>
    <tableColumn name="Description" id="5"/>
  </tableColumns>
  <tableStyleInfo name="Gebeta (Mancala)-style" showColumnStripes="0" showFirstColumn="1" showLastColumn="1" showRowStripes="1"/>
</table>
</file>

<file path=xl/tables/table14.xml><?xml version="1.0" encoding="utf-8"?>
<table xmlns="http://schemas.openxmlformats.org/spreadsheetml/2006/main" ref="G1:K121" displayName="Table14" name="Table14" id="14">
  <tableColumns count="5">
    <tableColumn name="ጥያቄዎች" id="1"/>
    <tableColumn name="አማራጭ ሀ" id="2"/>
    <tableColumn name="አማራጭ ለ" id="3"/>
    <tableColumn name="አማራጭ ሐ" id="4"/>
    <tableColumn name="አማራጭ ዲ" id="5"/>
  </tableColumns>
  <tableStyleInfo name="Gebeta (Mancala)-style 2" showColumnStripes="0" showFirstColumn="1" showLastColumn="1" showRowStripes="1"/>
</table>
</file>

<file path=xl/tables/table15.xml><?xml version="1.0" encoding="utf-8"?>
<table xmlns="http://schemas.openxmlformats.org/spreadsheetml/2006/main" ref="A1:E1000" displayName="Table15" name="Table15" id="15">
  <tableColumns count="5">
    <tableColumn name="Question no." id="1"/>
    <tableColumn name="Questions" id="2"/>
    <tableColumn name="Options" id="3"/>
    <tableColumn name="Correct answer" id="4"/>
    <tableColumn name="Description" id="5"/>
  </tableColumns>
  <tableStyleInfo name="Cow Jumping (Ukuli Bula)-style" showColumnStripes="0" showFirstColumn="1" showLastColumn="1" showRowStripes="1"/>
</table>
</file>

<file path=xl/tables/table16.xml><?xml version="1.0" encoding="utf-8"?>
<table xmlns="http://schemas.openxmlformats.org/spreadsheetml/2006/main" ref="G1:K141" displayName="Table16" name="Table16" id="16">
  <tableColumns count="5">
    <tableColumn name="ጥያቄዎች" id="1"/>
    <tableColumn name="አማራጭ ሀ" id="2"/>
    <tableColumn name="አማራጭ ለ" id="3"/>
    <tableColumn name="አማራጭ ሐ" id="4"/>
    <tableColumn name="አማራጭ ዲ" id="5"/>
  </tableColumns>
  <tableStyleInfo name="Cow Jumping (Ukuli Bul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37.63"/>
    <col customWidth="1" min="3" max="3" width="24.63"/>
    <col customWidth="1" min="4" max="4" width="23.88"/>
    <col customWidth="1" min="5" max="5" width="37.63"/>
    <col customWidth="1" min="7" max="7" width="37.63"/>
    <col customWidth="1" min="8" max="8" width="20.25"/>
    <col customWidth="1" min="9" max="9" width="19.5"/>
    <col customWidth="1" min="10" max="10" width="22.25"/>
    <col customWidth="1" min="11" max="11" width="25.88"/>
  </cols>
  <sheetData>
    <row r="1" ht="22.5" customHeight="1">
      <c r="A1" s="1" t="s">
        <v>0</v>
      </c>
      <c r="B1" s="1" t="s">
        <v>1</v>
      </c>
      <c r="C1" s="1" t="s">
        <v>2</v>
      </c>
      <c r="D1" s="1" t="s">
        <v>3</v>
      </c>
      <c r="E1" s="1" t="s">
        <v>4</v>
      </c>
      <c r="G1" s="2" t="s">
        <v>5</v>
      </c>
      <c r="H1" s="2" t="s">
        <v>6</v>
      </c>
      <c r="I1" s="2" t="s">
        <v>7</v>
      </c>
      <c r="J1" s="2" t="s">
        <v>8</v>
      </c>
      <c r="K1" s="2" t="s">
        <v>9</v>
      </c>
    </row>
    <row r="2" ht="22.5" customHeight="1">
      <c r="A2" s="3">
        <v>1.0</v>
      </c>
      <c r="B2" s="4" t="s">
        <v>10</v>
      </c>
      <c r="C2" s="4" t="s">
        <v>11</v>
      </c>
      <c r="D2" s="4" t="s">
        <v>12</v>
      </c>
      <c r="E2" s="4" t="s">
        <v>13</v>
      </c>
      <c r="G2" s="5" t="str">
        <f>IFERROR(__xludf.DUMMYFUNCTION("GOOGLETRANSLATE(A2, ""en"", ""am"")"),"1")</f>
        <v>1</v>
      </c>
      <c r="H2" s="5" t="str">
        <f>IFERROR(__xludf.DUMMYFUNCTION("GOOGLETRANSLATE(B2, ""en"", ""am"")"),"የገና ስፖርት የትውልድ ቦታ ማን ነው?")</f>
        <v>የገና ስፖርት የትውልድ ቦታ ማን ነው?</v>
      </c>
      <c r="I2" s="5" t="str">
        <f>IFERROR(__xludf.DUMMYFUNCTION("GOOGLETRANSLATE(C2, ""en"", ""am"")"),"ኣብ ኢትዮጵያ ብ ኬንያ ሲ ሱዳን ዲ.ግብፅ")</f>
        <v>ኣብ ኢትዮጵያ ብ ኬንያ ሲ ሱዳን ዲ.ግብፅ</v>
      </c>
      <c r="J2" s="5" t="str">
        <f>IFERROR(__xludf.DUMMYFUNCTION("GOOGLETRANSLATE(D2, ""en"", ""am"")"),"ኢትዮጵያ")</f>
        <v>ኢትዮጵያ</v>
      </c>
      <c r="K2" s="5" t="str">
        <f>IFERROR(__xludf.DUMMYFUNCTION("GOOGLETRANSLATE(E2, ""en"", ""am"")"),"ኢትዮጵያ ውስጥ ስፖርት በፌስቲቫሎች ሲደረግ እንደ ባህላዊ ጨዋታ ተጀመረ።")</f>
        <v>ኢትዮጵያ ውስጥ ስፖርት በፌስቲቫሎች ሲደረግ እንደ ባህላዊ ጨዋታ ተጀመረ።</v>
      </c>
    </row>
    <row r="3" ht="22.5" customHeight="1">
      <c r="A3" s="3">
        <v>2.0</v>
      </c>
      <c r="B3" s="4" t="s">
        <v>14</v>
      </c>
      <c r="C3" s="4" t="s">
        <v>15</v>
      </c>
      <c r="D3" s="4" t="s">
        <v>16</v>
      </c>
      <c r="E3" s="4" t="s">
        <v>17</v>
      </c>
      <c r="G3" s="5" t="str">
        <f>IFERROR(__xludf.DUMMYFUNCTION("GOOGLETRANSLATE(A3, ""en"", ""am"")"),"2")</f>
        <v>2</v>
      </c>
      <c r="H3" s="5" t="str">
        <f>IFERROR(__xludf.DUMMYFUNCTION("GOOGLETRANSLATE(B3, ""en"", ""am"")"),"ስፖርት በየትኛው ክፍለ ዘመን ተጀመረ?")</f>
        <v>ስፖርት በየትኛው ክፍለ ዘመን ተጀመረ?</v>
      </c>
      <c r="I3" s="5" t="str">
        <f>IFERROR(__xludf.DUMMYFUNCTION("GOOGLETRANSLATE(C3, ""en"", ""am"")"),"ኣብ መበል 14 ክፍለ ዘመን ብ15 ክፍለ ዘመን ዓ.ም.")</f>
        <v>ኣብ መበል 14 ክፍለ ዘመን ብ15 ክፍለ ዘመን ዓ.ም.</v>
      </c>
      <c r="J3" s="5" t="str">
        <f>IFERROR(__xludf.DUMMYFUNCTION("GOOGLETRANSLATE(D3, ""en"", ""am"")"),"15 ኛው ክፍለ ዘመን")</f>
        <v>15 ኛው ክፍለ ዘመን</v>
      </c>
      <c r="K3" s="5" t="str">
        <f>IFERROR(__xludf.DUMMYFUNCTION("GOOGLETRANSLATE(E3, ""en"", ""am"")"),"የገና ስፖርት አመጣጥ በ15ኛው ክፍለ ዘመን የተጀመረ ሲሆን ይህም እንደ የኢትዮጵያ ባህል ባህል ነው።")</f>
        <v>የገና ስፖርት አመጣጥ በ15ኛው ክፍለ ዘመን የተጀመረ ሲሆን ይህም እንደ የኢትዮጵያ ባህል ባህል ነው።</v>
      </c>
    </row>
    <row r="4" ht="22.5" customHeight="1">
      <c r="A4" s="3">
        <v>3.0</v>
      </c>
      <c r="B4" s="4" t="s">
        <v>18</v>
      </c>
      <c r="C4" s="4" t="s">
        <v>19</v>
      </c>
      <c r="D4" s="4" t="s">
        <v>20</v>
      </c>
      <c r="E4" s="4" t="s">
        <v>21</v>
      </c>
      <c r="G4" s="5" t="str">
        <f>IFERROR(__xludf.DUMMYFUNCTION("GOOGLETRANSLATE(A4, ""en"", ""am"")"),"3")</f>
        <v>3</v>
      </c>
      <c r="H4" s="5" t="str">
        <f>IFERROR(__xludf.DUMMYFUNCTION("GOOGLETRANSLATE(B4, ""en"", ""am"")"),"የገና ስፖርት በኢትዮጵያ ያለው ባህላዊ ጠቀሜታ ምንድነው?")</f>
        <v>የገና ስፖርት በኢትዮጵያ ያለው ባህላዊ ጠቀሜታ ምንድነው?</v>
      </c>
      <c r="I4" s="5" t="str">
        <f>IFERROR(__xludf.DUMMYFUNCTION("GOOGLETRANSLATE(C4, ""en"", ""am"")"),"ሀ. የመኸር ወቅትን ያከብራል. ለ. ገናን ያከብራል። ሐ. የአዲስ ዓመት በዓላትን ይወክላል መ. የሀገሪቱን አንድነት ያሳያል.")</f>
        <v>ሀ. የመኸር ወቅትን ያከብራል. ለ. ገናን ያከብራል። ሐ. የአዲስ ዓመት በዓላትን ይወክላል መ. የሀገሪቱን አንድነት ያሳያል.</v>
      </c>
      <c r="J4" s="5" t="str">
        <f>IFERROR(__xludf.DUMMYFUNCTION("GOOGLETRANSLATE(D4, ""en"", ""am"")"),"ገናን ያከብራል።")</f>
        <v>ገናን ያከብራል።</v>
      </c>
      <c r="K4" s="5" t="str">
        <f>IFERROR(__xludf.DUMMYFUNCTION("GOOGLETRANSLATE(E4, ""en"", ""am"")"),"የገና ስፖርቶች በተለምዶ ከኢትዮጵያ የገና አከባበር ጋር የተያያዙ ናቸው።")</f>
        <v>የገና ስፖርቶች በተለምዶ ከኢትዮጵያ የገና አከባበር ጋር የተያያዙ ናቸው።</v>
      </c>
    </row>
    <row r="5" ht="22.5" customHeight="1">
      <c r="A5" s="3">
        <v>4.0</v>
      </c>
      <c r="B5" s="4" t="s">
        <v>22</v>
      </c>
      <c r="C5" s="4" t="s">
        <v>23</v>
      </c>
      <c r="D5" s="4" t="s">
        <v>24</v>
      </c>
      <c r="E5" s="4" t="s">
        <v>25</v>
      </c>
      <c r="G5" s="5" t="str">
        <f>IFERROR(__xludf.DUMMYFUNCTION("GOOGLETRANSLATE(A5, ""en"", ""am"")"),"4")</f>
        <v>4</v>
      </c>
      <c r="H5" s="5" t="str">
        <f>IFERROR(__xludf.DUMMYFUNCTION("GOOGLETRANSLATE(B5, ""en"", ""am"")"),"የትኛው የኢትዮጵያ ፌስቲቫል እስካሁን ስፖርቶችን ይዟል?")</f>
        <v>የትኛው የኢትዮጵያ ፌስቲቫል እስካሁን ስፖርቶችን ይዟል?</v>
      </c>
      <c r="I5" s="5" t="str">
        <f>IFERROR(__xludf.DUMMYFUNCTION("GOOGLETRANSLATE(C5, ""en"", ""am"")"),"A. Timket B. Christmas C. የእውነተኛው መስቀል ፍለጋ D. Easter")</f>
        <v>A. Timket B. Christmas C. የእውነተኛው መስቀል ፍለጋ D. Easter</v>
      </c>
      <c r="J5" s="5" t="str">
        <f>IFERROR(__xludf.DUMMYFUNCTION("GOOGLETRANSLATE(D5, ""en"", ""am"")"),"የገና በአል")</f>
        <v>የገና በአል</v>
      </c>
      <c r="K5" s="5" t="str">
        <f>IFERROR(__xludf.DUMMYFUNCTION("GOOGLETRANSLATE(E5, ""en"", ""am"")"),"ጨዋታው የሚካሄደው የኢትዮጵያ የገና በዓል በሆነው የገና ፌስቲቫል ላይ ነው።")</f>
        <v>ጨዋታው የሚካሄደው የኢትዮጵያ የገና በዓል በሆነው የገና ፌስቲቫል ላይ ነው።</v>
      </c>
    </row>
    <row r="6" ht="22.5" customHeight="1">
      <c r="A6" s="3">
        <v>5.0</v>
      </c>
      <c r="B6" s="4" t="s">
        <v>26</v>
      </c>
      <c r="C6" s="4" t="s">
        <v>27</v>
      </c>
      <c r="D6" s="4" t="s">
        <v>24</v>
      </c>
      <c r="E6" s="4" t="s">
        <v>28</v>
      </c>
      <c r="G6" s="5" t="str">
        <f>IFERROR(__xludf.DUMMYFUNCTION("GOOGLETRANSLATE(A6, ""en"", ""am"")"),"5")</f>
        <v>5</v>
      </c>
      <c r="H6" s="5" t="str">
        <f>IFERROR(__xludf.DUMMYFUNCTION("GOOGLETRANSLATE(B6, ""en"", ""am"")"),"ጀንሃ የሚለው ቃል በኢትዮጵያ ምን ማለት ነው?")</f>
        <v>ጀንሃ የሚለው ቃል በኢትዮጵያ ምን ማለት ነው?</v>
      </c>
      <c r="I6" s="5" t="str">
        <f>IFERROR(__xludf.DUMMYFUNCTION("GOOGLETRANSLATE(C6, ""en"", ""am"")"),"ሀ. መኸር ለ. አንድነት ሐ. ገና መ. ድል")</f>
        <v>ሀ. መኸር ለ. አንድነት ሐ. ገና መ. ድል</v>
      </c>
      <c r="J6" s="5" t="str">
        <f>IFERROR(__xludf.DUMMYFUNCTION("GOOGLETRANSLATE(D6, ""en"", ""am"")"),"የገና በአል")</f>
        <v>የገና በአል</v>
      </c>
      <c r="K6" s="5" t="str">
        <f>IFERROR(__xludf.DUMMYFUNCTION("GOOGLETRANSLATE(E6, ""en"", ""am"")"),"ወደ ገና ሲተረጎም ስፖርቱ የሚከበርበትን በዓል አጉልቶ ያሳያል።")</f>
        <v>ወደ ገና ሲተረጎም ስፖርቱ የሚከበርበትን በዓል አጉልቶ ያሳያል።</v>
      </c>
    </row>
    <row r="7" ht="22.5" customHeight="1">
      <c r="A7" s="3">
        <v>6.0</v>
      </c>
      <c r="B7" s="4" t="s">
        <v>29</v>
      </c>
      <c r="C7" s="4" t="s">
        <v>30</v>
      </c>
      <c r="D7" s="4" t="s">
        <v>31</v>
      </c>
      <c r="E7" s="4" t="s">
        <v>32</v>
      </c>
      <c r="G7" s="5" t="str">
        <f>IFERROR(__xludf.DUMMYFUNCTION("GOOGLETRANSLATE(A7, ""en"", ""am"")"),"6")</f>
        <v>6</v>
      </c>
      <c r="H7" s="5" t="str">
        <f>IFERROR(__xludf.DUMMYFUNCTION("GOOGLETRANSLATE(B7, ""en"", ""am"")"),"በባህላዊ መንገድ ምን ዓይነት ጨዋታ ይከፋፈላል?")</f>
        <v>በባህላዊ መንገድ ምን ዓይነት ጨዋታ ይከፋፈላል?</v>
      </c>
      <c r="I7" s="5" t="str">
        <f>IFERROR(__xludf.DUMMYFUNCTION("GOOGLETRANSLATE(C7, ""en"", ""am"")"),"ሀ. የኳስ ጨዋታ ለ. ዱላ እና ኳስ ጨዋታ ሐ. የእሽቅድምድም ጨዋታ D. የጦርነት ጉተታ")</f>
        <v>ሀ. የኳስ ጨዋታ ለ. ዱላ እና ኳስ ጨዋታ ሐ. የእሽቅድምድም ጨዋታ D. የጦርነት ጉተታ</v>
      </c>
      <c r="J7" s="5" t="str">
        <f>IFERROR(__xludf.DUMMYFUNCTION("GOOGLETRANSLATE(D7, ""en"", ""am"")"),"ዱላ እና ኳስ ጨዋታ")</f>
        <v>ዱላ እና ኳስ ጨዋታ</v>
      </c>
      <c r="K7" s="5" t="str">
        <f>IFERROR(__xludf.DUMMYFUNCTION("GOOGLETRANSLATE(E7, ""en"", ""am"")"),"አሁንም ቢሆን ከሜዳ ሆኪ ጋር እንደ ዱላ እና ኳስ ጨዋታ ይወዳደራል።")</f>
        <v>አሁንም ቢሆን ከሜዳ ሆኪ ጋር እንደ ዱላ እና ኳስ ጨዋታ ይወዳደራል።</v>
      </c>
    </row>
    <row r="8" ht="22.5" customHeight="1">
      <c r="A8" s="3">
        <v>7.0</v>
      </c>
      <c r="B8" s="4" t="s">
        <v>33</v>
      </c>
      <c r="C8" s="4" t="s">
        <v>34</v>
      </c>
      <c r="D8" s="4" t="s">
        <v>35</v>
      </c>
      <c r="E8" s="4" t="s">
        <v>36</v>
      </c>
      <c r="G8" s="5" t="str">
        <f>IFERROR(__xludf.DUMMYFUNCTION("GOOGLETRANSLATE(A8, ""en"", ""am"")"),"7")</f>
        <v>7</v>
      </c>
      <c r="H8" s="5" t="str">
        <f>IFERROR(__xludf.DUMMYFUNCTION("GOOGLETRANSLATE(B8, ""en"", ""am"")"),"በገና ስፖርቶች ውስጥ ምን ዓይነት ቁሳቁስ በብዛት ጥቅም ላይ ይውላል?")</f>
        <v>በገና ስፖርቶች ውስጥ ምን ዓይነት ቁሳቁስ በብዛት ጥቅም ላይ ይውላል?</v>
      </c>
      <c r="I8" s="5" t="str">
        <f>IFERROR(__xludf.DUMMYFUNCTION("GOOGLETRANSLATE(C8, ""en"", ""am"")"),"A. Bamboo B. Wood C. Iron D. ፕላስቲክ")</f>
        <v>A. Bamboo B. Wood C. Iron D. ፕላስቲክ</v>
      </c>
      <c r="J8" s="5" t="str">
        <f>IFERROR(__xludf.DUMMYFUNCTION("GOOGLETRANSLATE(D8, ""en"", ""am"")"),"እንጨት")</f>
        <v>እንጨት</v>
      </c>
      <c r="K8" s="5" t="str">
        <f>IFERROR(__xludf.DUMMYFUNCTION("GOOGLETRANSLATE(E8, ""en"", ""am"")"),"በበገና የሚሠራው ዱላ በተለምዶ ከእንጨት የተሠራ ነው።")</f>
        <v>በበገና የሚሠራው ዱላ በተለምዶ ከእንጨት የተሠራ ነው።</v>
      </c>
    </row>
    <row r="9" ht="22.5" customHeight="1">
      <c r="A9" s="3">
        <v>8.0</v>
      </c>
      <c r="B9" s="4" t="s">
        <v>37</v>
      </c>
      <c r="C9" s="4" t="s">
        <v>38</v>
      </c>
      <c r="D9" s="4" t="s">
        <v>39</v>
      </c>
      <c r="E9" s="4" t="s">
        <v>40</v>
      </c>
      <c r="G9" s="5" t="str">
        <f>IFERROR(__xludf.DUMMYFUNCTION("GOOGLETRANSLATE(A9, ""en"", ""am"")"),"8")</f>
        <v>8</v>
      </c>
      <c r="H9" s="5" t="str">
        <f>IFERROR(__xludf.DUMMYFUNCTION("GOOGLETRANSLATE(B9, ""en"", ""am"")"),"አመታዊ የገና ስፖርት ጨዋታዎች የሚጀምረው የትኛው የኢትዮጵያ በዓል ነው?")</f>
        <v>አመታዊ የገና ስፖርት ጨዋታዎች የሚጀምረው የትኛው የኢትዮጵያ በዓል ነው?</v>
      </c>
      <c r="I9" s="5" t="str">
        <f>IFERROR(__xludf.DUMMYFUNCTION("GOOGLETRANSLATE(C9, ""en"", ""am"")"),"ሀ. አዲስ ዓመት ለ. የገና በዓል ሐ. ፋሲካ መ. የነጻነት ቀን")</f>
        <v>ሀ. አዲስ ዓመት ለ. የገና በዓል ሐ. ፋሲካ መ. የነጻነት ቀን</v>
      </c>
      <c r="J9" s="5" t="str">
        <f>IFERROR(__xludf.DUMMYFUNCTION("GOOGLETRANSLATE(D9, ""en"", ""am"")"),"የገና በዓል")</f>
        <v>የገና በዓል</v>
      </c>
      <c r="K9" s="5" t="str">
        <f>IFERROR(__xludf.DUMMYFUNCTION("GOOGLETRANSLATE(E9, ""en"", ""am"")"),"የገና ጨዋታዎች የተጀመሩት በገና በአል ላይ ሲሆን የኢትዮጵያ ገናን ምክንያት በማድረግ ነው።")</f>
        <v>የገና ጨዋታዎች የተጀመሩት በገና በአል ላይ ሲሆን የኢትዮጵያ ገናን ምክንያት በማድረግ ነው።</v>
      </c>
    </row>
    <row r="10" ht="22.5" customHeight="1">
      <c r="A10" s="3">
        <v>9.0</v>
      </c>
      <c r="B10" s="4" t="s">
        <v>41</v>
      </c>
      <c r="C10" s="4" t="s">
        <v>42</v>
      </c>
      <c r="D10" s="4" t="s">
        <v>43</v>
      </c>
      <c r="E10" s="4" t="s">
        <v>44</v>
      </c>
      <c r="G10" s="5" t="str">
        <f>IFERROR(__xludf.DUMMYFUNCTION("GOOGLETRANSLATE(A10, ""en"", ""am"")"),"9")</f>
        <v>9</v>
      </c>
      <c r="H10" s="5" t="str">
        <f>IFERROR(__xludf.DUMMYFUNCTION("GOOGLETRANSLATE(B10, ""en"", ""am"")"),"በገና ስፖርቶች ውስጥ እንደ ኳስ ምን ዓይነት ነገር ጥቅም ላይ ይውላል?")</f>
        <v>በገና ስፖርቶች ውስጥ እንደ ኳስ ምን ዓይነት ነገር ጥቅም ላይ ይውላል?</v>
      </c>
      <c r="I10" s="5" t="str">
        <f>IFERROR(__xludf.DUMMYFUNCTION("GOOGLETRANSLATE(C10, ""en"", ""am"")"),"ሀ. ድንጋይ ለ. የቆዳ ኳስ ሐ. የእንጨት ኳስ D. የጎማ ኳስ")</f>
        <v>ሀ. ድንጋይ ለ. የቆዳ ኳስ ሐ. የእንጨት ኳስ D. የጎማ ኳስ</v>
      </c>
      <c r="J10" s="5" t="str">
        <f>IFERROR(__xludf.DUMMYFUNCTION("GOOGLETRANSLATE(D10, ""en"", ""am"")"),"የእንጨት ኳስ")</f>
        <v>የእንጨት ኳስ</v>
      </c>
      <c r="K10" s="5" t="str">
        <f>IFERROR(__xludf.DUMMYFUNCTION("GOOGLETRANSLATE(E10, ""en"", ""am"")"),"በገና ስፖርቶች ውስጥ ያለው ኳስ በተለምዶ ከእንጨት የተሠራ ነው.")</f>
        <v>በገና ስፖርቶች ውስጥ ያለው ኳስ በተለምዶ ከእንጨት የተሠራ ነው.</v>
      </c>
    </row>
    <row r="11" ht="22.5" customHeight="1">
      <c r="A11" s="3">
        <v>10.0</v>
      </c>
      <c r="B11" s="4" t="s">
        <v>45</v>
      </c>
      <c r="C11" s="4" t="s">
        <v>46</v>
      </c>
      <c r="D11" s="4" t="s">
        <v>47</v>
      </c>
      <c r="E11" s="4" t="s">
        <v>48</v>
      </c>
      <c r="G11" s="5" t="str">
        <f>IFERROR(__xludf.DUMMYFUNCTION("GOOGLETRANSLATE(A11, ""en"", ""am"")"),"10")</f>
        <v>10</v>
      </c>
      <c r="H11" s="5" t="str">
        <f>IFERROR(__xludf.DUMMYFUNCTION("GOOGLETRANSLATE(B11, ""en"", ""am"")"),"በባህላዊ የገና ስፖርት ጨዋታ ላይ ስንት ተጫዋቾች ይሳተፋሉ?")</f>
        <v>በባህላዊ የገና ስፖርት ጨዋታ ላይ ስንት ተጫዋቾች ይሳተፋሉ?</v>
      </c>
      <c r="I11" s="5" t="str">
        <f>IFERROR(__xludf.DUMMYFUNCTION("GOOGLETRANSLATE(C11, ""en"", ""am"")"),"A. 5 በእያንዳንዱ ጎን B. 7 በአንድ በኩል C. 10 በአንድ በኩል መ. የተቀመጠ ቁጥር የለም።")</f>
        <v>A. 5 በእያንዳንዱ ጎን B. 7 በአንድ በኩል C. 10 በአንድ በኩል መ. የተቀመጠ ቁጥር የለም።</v>
      </c>
      <c r="J11" s="5" t="str">
        <f>IFERROR(__xludf.DUMMYFUNCTION("GOOGLETRANSLATE(D11, ""en"", ""am"")"),"የተቀመጠ ቁጥር የለም።")</f>
        <v>የተቀመጠ ቁጥር የለም።</v>
      </c>
      <c r="K11" s="5" t="str">
        <f>IFERROR(__xludf.DUMMYFUNCTION("GOOGLETRANSLATE(E11, ""en"", ""am"")"),"ባህላዊ የገና ስፖርቶች የተወሰነ የተጫዋቾች ቁጥር የላቸውም።")</f>
        <v>ባህላዊ የገና ስፖርቶች የተወሰነ የተጫዋቾች ቁጥር የላቸውም።</v>
      </c>
    </row>
    <row r="12" ht="22.5" customHeight="1">
      <c r="A12" s="3">
        <v>11.0</v>
      </c>
      <c r="B12" s="4" t="s">
        <v>49</v>
      </c>
      <c r="C12" s="4" t="s">
        <v>50</v>
      </c>
      <c r="D12" s="4" t="s">
        <v>51</v>
      </c>
      <c r="E12" s="4" t="s">
        <v>52</v>
      </c>
      <c r="G12" s="5" t="str">
        <f>IFERROR(__xludf.DUMMYFUNCTION("GOOGLETRANSLATE(A12, ""en"", ""am"")"),"11")</f>
        <v>11</v>
      </c>
      <c r="H12" s="5" t="str">
        <f>IFERROR(__xludf.DUMMYFUNCTION("GOOGLETRANSLATE(B12, ""en"", ""am"")"),"የገና ስፖርቶችን ከማስተዋወቅ ጋር የተያያዘው የትኛው ታሪካዊ ሰው ነው?")</f>
        <v>የገና ስፖርቶችን ከማስተዋወቅ ጋር የተያያዘው የትኛው ታሪካዊ ሰው ነው?</v>
      </c>
      <c r="I12" s="5" t="str">
        <f>IFERROR(__xludf.DUMMYFUNCTION("GOOGLETRANSLATE(C12, ""en"", ""am"")"),"አ.ንጉሥ ኢዛና ብ. ኃይለ ሥላሴ ሐ. ምኒልክ ዳግማዊ ዲ. ዘርዓ ያዕቆብ")</f>
        <v>አ.ንጉሥ ኢዛና ብ. ኃይለ ሥላሴ ሐ. ምኒልክ ዳግማዊ ዲ. ዘርዓ ያዕቆብ</v>
      </c>
      <c r="J12" s="5" t="str">
        <f>IFERROR(__xludf.DUMMYFUNCTION("GOOGLETRANSLATE(D12, ""en"", ""am"")"),"ኃይለ ሥላሴ")</f>
        <v>ኃይለ ሥላሴ</v>
      </c>
      <c r="K12" s="5" t="str">
        <f>IFERROR(__xludf.DUMMYFUNCTION("GOOGLETRANSLATE(E12, ""en"", ""am"")"),"ገናናን ጨምሮ አፄ ኃይለ ሥላሴ የኢትዮጵያን ባህላዊ ወጎች ያስተዋውቁ እንደነበር ይታመናል።")</f>
        <v>ገናናን ጨምሮ አፄ ኃይለ ሥላሴ የኢትዮጵያን ባህላዊ ወጎች ያስተዋውቁ እንደነበር ይታመናል።</v>
      </c>
    </row>
    <row r="13" ht="22.5" customHeight="1">
      <c r="A13" s="3">
        <v>12.0</v>
      </c>
      <c r="B13" s="4" t="s">
        <v>53</v>
      </c>
      <c r="C13" s="4" t="s">
        <v>54</v>
      </c>
      <c r="D13" s="4" t="s">
        <v>55</v>
      </c>
      <c r="E13" s="4" t="s">
        <v>56</v>
      </c>
      <c r="G13" s="5" t="str">
        <f>IFERROR(__xludf.DUMMYFUNCTION("GOOGLETRANSLATE(A13, ""en"", ""am"")"),"12")</f>
        <v>12</v>
      </c>
      <c r="H13" s="5" t="str">
        <f>IFERROR(__xludf.DUMMYFUNCTION("GOOGLETRANSLATE(B13, ""en"", ""am"")"),"የገና ስፖርት ዋና ዓላማ ምንድን ነው?")</f>
        <v>የገና ስፖርት ዋና ዓላማ ምንድን ነው?</v>
      </c>
      <c r="I13" s="5" t="str">
        <f>IFERROR(__xludf.DUMMYFUNCTION("GOOGLETRANSLATE(C13, ""en"", ""am"")"),"ሀ. ግብ አስቆጥሩ። ለ. የተቃዋሚውን ዱላ ይመቱ። ሐ. ኳሱን ወደ ዒላማው ወረወርኩት። መ. ኳሱን በጨዋታ ያቆዩት።")</f>
        <v>ሀ. ግብ አስቆጥሩ። ለ. የተቃዋሚውን ዱላ ይመቱ። ሐ. ኳሱን ወደ ዒላማው ወረወርኩት። መ. ኳሱን በጨዋታ ያቆዩት።</v>
      </c>
      <c r="J13" s="5" t="str">
        <f>IFERROR(__xludf.DUMMYFUNCTION("GOOGLETRANSLATE(D13, ""en"", ""am"")"),"ኳሱን ወደ ኢላማው ወረወርኩት።")</f>
        <v>ኳሱን ወደ ኢላማው ወረወርኩት።</v>
      </c>
      <c r="K13" s="5" t="str">
        <f>IFERROR(__xludf.DUMMYFUNCTION("GOOGLETRANSLATE(E13, ""en"", ""am"")"),"ዓላማው እንጨቶችን በመጠቀም የእንጨት ኳሱን ወደ ተዘጋጀው ዒላማ መንካት ነው.")</f>
        <v>ዓላማው እንጨቶችን በመጠቀም የእንጨት ኳሱን ወደ ተዘጋጀው ዒላማ መንካት ነው.</v>
      </c>
    </row>
    <row r="14" ht="22.5" customHeight="1">
      <c r="A14" s="3">
        <v>13.0</v>
      </c>
      <c r="B14" s="4" t="s">
        <v>57</v>
      </c>
      <c r="C14" s="4" t="s">
        <v>58</v>
      </c>
      <c r="D14" s="4" t="s">
        <v>59</v>
      </c>
      <c r="E14" s="4" t="s">
        <v>60</v>
      </c>
      <c r="G14" s="5" t="str">
        <f>IFERROR(__xludf.DUMMYFUNCTION("GOOGLETRANSLATE(A14, ""en"", ""am"")"),"13")</f>
        <v>13</v>
      </c>
      <c r="H14" s="5" t="str">
        <f>IFERROR(__xludf.DUMMYFUNCTION("GOOGLETRANSLATE(B14, ""en"", ""am"")"),"የገና ስፖርት ከየትኛው ዘመናዊ ስፖርት ጋር ይወዳደራል?")</f>
        <v>የገና ስፖርት ከየትኛው ዘመናዊ ስፖርት ጋር ይወዳደራል?</v>
      </c>
      <c r="I14" s="5" t="str">
        <f>IFERROR(__xludf.DUMMYFUNCTION("GOOGLETRANSLATE(C14, ""en"", ""am"")"),"ሀ. እግር ኳስ ቢ. የመስክ ሆኪ ሲ. ክሪኬት ዲ. ላክሮሴ")</f>
        <v>ሀ. እግር ኳስ ቢ. የመስክ ሆኪ ሲ. ክሪኬት ዲ. ላክሮሴ</v>
      </c>
      <c r="J14" s="5" t="str">
        <f>IFERROR(__xludf.DUMMYFUNCTION("GOOGLETRANSLATE(D14, ""en"", ""am"")"),"የመስክ ሆኪ")</f>
        <v>የመስክ ሆኪ</v>
      </c>
      <c r="K14" s="5" t="str">
        <f>IFERROR(__xludf.DUMMYFUNCTION("GOOGLETRANSLATE(E14, ""en"", ""am"")"),"በዱላ እና በኳስ ጨዋታ ምክንያት ስፖርቱ ብዙውን ጊዜ ከሜዳ ሆኪ ጋር ይወዳደራል።")</f>
        <v>በዱላ እና በኳስ ጨዋታ ምክንያት ስፖርቱ ብዙውን ጊዜ ከሜዳ ሆኪ ጋር ይወዳደራል።</v>
      </c>
    </row>
    <row r="15" ht="22.5" customHeight="1">
      <c r="A15" s="3">
        <v>14.0</v>
      </c>
      <c r="B15" s="4" t="s">
        <v>61</v>
      </c>
      <c r="C15" s="4" t="s">
        <v>62</v>
      </c>
      <c r="D15" s="4" t="s">
        <v>63</v>
      </c>
      <c r="E15" s="4" t="s">
        <v>64</v>
      </c>
      <c r="G15" s="5" t="str">
        <f>IFERROR(__xludf.DUMMYFUNCTION("GOOGLETRANSLATE(A15, ""en"", ""am"")"),"14")</f>
        <v>14</v>
      </c>
      <c r="H15" s="5" t="str">
        <f>IFERROR(__xludf.DUMMYFUNCTION("GOOGLETRANSLATE(B15, ""en"", ""am"")"),"በኢትዮጵያ መንደሮች የገና ስፖርት ታሪካዊ ሚና ምን ነበር?")</f>
        <v>በኢትዮጵያ መንደሮች የገና ስፖርት ታሪካዊ ሚና ምን ነበር?</v>
      </c>
      <c r="I15" s="5" t="str">
        <f>IFERROR(__xludf.DUMMYFUNCTION("GOOGLETRANSLATE(C15, ""en"", ""am"")"),"ሀ. መዝናኛ ለ. አካላዊ ስልጠና ሐ. የግጭት አፈታት መ. ሁሉም ከላይ ያሉት")</f>
        <v>ሀ. መዝናኛ ለ. አካላዊ ስልጠና ሐ. የግጭት አፈታት መ. ሁሉም ከላይ ያሉት</v>
      </c>
      <c r="J15" s="5" t="str">
        <f>IFERROR(__xludf.DUMMYFUNCTION("GOOGLETRANSLATE(D15, ""en"", ""am"")"),"ከላይ ያሉት ሁሉም")</f>
        <v>ከላይ ያሉት ሁሉም</v>
      </c>
      <c r="K15" s="5" t="str">
        <f>IFERROR(__xludf.DUMMYFUNCTION("GOOGLETRANSLATE(E15, ""en"", ""am"")"),"የስፖርት መዝናኛን ማስተዋወቅ እና የማህበረሰብ መንፈስን ማዳበርን ጨምሮ ብዙ ሚናዎችን አገልግሏል።")</f>
        <v>የስፖርት መዝናኛን ማስተዋወቅ እና የማህበረሰብ መንፈስን ማዳበርን ጨምሮ ብዙ ሚናዎችን አገልግሏል።</v>
      </c>
    </row>
    <row r="16" ht="22.5" customHeight="1">
      <c r="A16" s="3">
        <v>15.0</v>
      </c>
      <c r="B16" s="4" t="s">
        <v>65</v>
      </c>
      <c r="C16" s="4" t="s">
        <v>66</v>
      </c>
      <c r="D16" s="4" t="s">
        <v>67</v>
      </c>
      <c r="E16" s="4" t="s">
        <v>68</v>
      </c>
      <c r="G16" s="5" t="str">
        <f>IFERROR(__xludf.DUMMYFUNCTION("GOOGLETRANSLATE(A16, ""en"", ""am"")"),"15")</f>
        <v>15</v>
      </c>
      <c r="H16" s="5" t="str">
        <f>IFERROR(__xludf.DUMMYFUNCTION("GOOGLETRANSLATE(B16, ""en"", ""am"")"),"በጄና ስፖርት እና በዘመናዊ ሆኪ መካከል ያለው ቁልፍ ልዩነት ምንድነው?")</f>
        <v>በጄና ስፖርት እና በዘመናዊ ሆኪ መካከል ያለው ቁልፍ ልዩነት ምንድነው?</v>
      </c>
      <c r="I16" s="5" t="str">
        <f>IFERROR(__xludf.DUMMYFUNCTION("GOOGLETRANSLATE(C16, ""en"", ""am"")"),"ሀ. የኳሱ ቅርፅ ለ. ግቦችን መጠቀም ሐ. የተወሰኑ ህጎች አለመኖር መ. የመጫወቻ ሜዳው መጠን")</f>
        <v>ሀ. የኳሱ ቅርፅ ለ. ግቦችን መጠቀም ሐ. የተወሰኑ ህጎች አለመኖር መ. የመጫወቻ ሜዳው መጠን</v>
      </c>
      <c r="J16" s="5" t="str">
        <f>IFERROR(__xludf.DUMMYFUNCTION("GOOGLETRANSLATE(D16, ""en"", ""am"")"),"የተወሰኑ ህጎች እጥረት")</f>
        <v>የተወሰኑ ህጎች እጥረት</v>
      </c>
      <c r="K16" s="5" t="str">
        <f>IFERROR(__xludf.DUMMYFUNCTION("GOOGLETRANSLATE(E16, ""en"", ""am"")"),"እንደ ሆኪ ባህላዊው የገና ስፖርት ዝርዝር ህጎች እና መመሪያዎች የሉትም።")</f>
        <v>እንደ ሆኪ ባህላዊው የገና ስፖርት ዝርዝር ህጎች እና መመሪያዎች የሉትም።</v>
      </c>
    </row>
    <row r="17" ht="22.5" customHeight="1">
      <c r="A17" s="3">
        <v>16.0</v>
      </c>
      <c r="B17" s="4" t="s">
        <v>69</v>
      </c>
      <c r="C17" s="4" t="s">
        <v>70</v>
      </c>
      <c r="D17" s="4" t="s">
        <v>71</v>
      </c>
      <c r="E17" s="4" t="s">
        <v>72</v>
      </c>
      <c r="G17" s="5" t="str">
        <f>IFERROR(__xludf.DUMMYFUNCTION("GOOGLETRANSLATE(A17, ""en"", ""am"")"),"16")</f>
        <v>16</v>
      </c>
      <c r="H17" s="5" t="str">
        <f>IFERROR(__xludf.DUMMYFUNCTION("GOOGLETRANSLATE(B17, ""en"", ""am"")"),"ከገና ስፖርት ጋር የተያያዘው የትኛው የኢትዮጵያ ክልል ነው?")</f>
        <v>ከገና ስፖርት ጋር የተያያዘው የትኛው የኢትዮጵያ ክልል ነው?</v>
      </c>
      <c r="I17" s="5" t="str">
        <f>IFERROR(__xludf.DUMMYFUNCTION("GOOGLETRANSLATE(C17, ""en"", ""am"")"),"አ.አማራ ብ ኦሮሞ ሲ.ትግራይ ደ.ደቡብ ብሄሮች")</f>
        <v>አ.አማራ ብ ኦሮሞ ሲ.ትግራይ ደ.ደቡብ ብሄሮች</v>
      </c>
      <c r="J17" s="5" t="str">
        <f>IFERROR(__xludf.DUMMYFUNCTION("GOOGLETRANSLATE(D17, ""en"", ""am"")"),"አማራ")</f>
        <v>አማራ</v>
      </c>
      <c r="K17" s="5" t="str">
        <f>IFERROR(__xludf.DUMMYFUNCTION("GOOGLETRANSLATE(E17, ""en"", ""am"")"),"ስፖርቱ አሁንም በአማራ ክልል እየተካሄደ ነው።")</f>
        <v>ስፖርቱ አሁንም በአማራ ክልል እየተካሄደ ነው።</v>
      </c>
    </row>
    <row r="18" ht="22.5" customHeight="1">
      <c r="A18" s="3">
        <v>17.0</v>
      </c>
      <c r="B18" s="4" t="s">
        <v>73</v>
      </c>
      <c r="C18" s="4" t="s">
        <v>74</v>
      </c>
      <c r="D18" s="4" t="s">
        <v>75</v>
      </c>
      <c r="E18" s="4" t="s">
        <v>76</v>
      </c>
      <c r="G18" s="5" t="str">
        <f>IFERROR(__xludf.DUMMYFUNCTION("GOOGLETRANSLATE(A18, ""en"", ""am"")"),"17")</f>
        <v>17</v>
      </c>
      <c r="H18" s="5" t="str">
        <f>IFERROR(__xludf.DUMMYFUNCTION("GOOGLETRANSLATE(B18, ""en"", ""am"")"),"የገና ስፖርቶች ምሳሌያዊ ትርጉም ምንድን ነው?")</f>
        <v>የገና ስፖርቶች ምሳሌያዊ ትርጉም ምንድን ነው?</v>
      </c>
      <c r="I18" s="5" t="str">
        <f>IFERROR(__xludf.DUMMYFUNCTION("GOOGLETRANSLATE(C18, ""en"", ""am"")"),"ሀ. አንድነት እና አከባበር ለ. የተዋጊ ስልጠና ሐ. የሃይማኖት መሰጠት D. የተትረፈረፈ ምርት")</f>
        <v>ሀ. አንድነት እና አከባበር ለ. የተዋጊ ስልጠና ሐ. የሃይማኖት መሰጠት D. የተትረፈረፈ ምርት</v>
      </c>
      <c r="J18" s="5" t="str">
        <f>IFERROR(__xludf.DUMMYFUNCTION("GOOGLETRANSLATE(D18, ""en"", ""am"")"),"አንድነት እና በዓል")</f>
        <v>አንድነት እና በዓል</v>
      </c>
      <c r="K18" s="5" t="str">
        <f>IFERROR(__xludf.DUMMYFUNCTION("GOOGLETRANSLATE(E18, ""en"", ""am"")"),"ስፖርቱ የህብረተሰቡን አንድነት እና የገና አከባበርን ያሳያል።")</f>
        <v>ስፖርቱ የህብረተሰቡን አንድነት እና የገና አከባበርን ያሳያል።</v>
      </c>
    </row>
    <row r="19" ht="22.5" customHeight="1">
      <c r="A19" s="3">
        <v>18.0</v>
      </c>
      <c r="B19" s="4" t="s">
        <v>77</v>
      </c>
      <c r="C19" s="4" t="s">
        <v>78</v>
      </c>
      <c r="D19" s="4" t="s">
        <v>63</v>
      </c>
      <c r="E19" s="4" t="s">
        <v>79</v>
      </c>
      <c r="G19" s="5" t="str">
        <f>IFERROR(__xludf.DUMMYFUNCTION("GOOGLETRANSLATE(A19, ""en"", ""am"")"),"18")</f>
        <v>18</v>
      </c>
      <c r="H19" s="5" t="str">
        <f>IFERROR(__xludf.DUMMYFUNCTION("GOOGLETRANSLATE(B19, ""en"", ""am"")"),"ለገና ስፖርቶች ምን ዓይነት ዘመናዊ ማስተካከያዎች ተደርገዋል?")</f>
        <v>ለገና ስፖርቶች ምን ዓይነት ዘመናዊ ማስተካከያዎች ተደርገዋል?</v>
      </c>
      <c r="I19" s="5" t="str">
        <f>IFERROR(__xludf.DUMMYFUNCTION("GOOGLETRANSLATE(C19, ""en"", ""am"")"),"ሀ. ሰው ሰራሽ ኳሶችን መጠቀም ለ. ደረጃ ያላቸው ቡድኖች ሐ. መደበኛ ውድድር መ. ከላይ ያሉት ሁሉም")</f>
        <v>ሀ. ሰው ሰራሽ ኳሶችን መጠቀም ለ. ደረጃ ያላቸው ቡድኖች ሐ. መደበኛ ውድድር መ. ከላይ ያሉት ሁሉም</v>
      </c>
      <c r="J19" s="5" t="str">
        <f>IFERROR(__xludf.DUMMYFUNCTION("GOOGLETRANSLATE(D19, ""en"", ""am"")"),"ከላይ ያሉት ሁሉም")</f>
        <v>ከላይ ያሉት ሁሉም</v>
      </c>
      <c r="K19" s="5" t="str">
        <f>IFERROR(__xludf.DUMMYFUNCTION("GOOGLETRANSLATE(E19, ""en"", ""am"")"),"ዘመናዊ የገና ስፖርቶች እንደ ሰው ሰራሽ ኳሶች, ደንቦች እና መደበኛ ውድድሮች ያሉ ማስተካከያዎችን ያካትታሉ.")</f>
        <v>ዘመናዊ የገና ስፖርቶች እንደ ሰው ሰራሽ ኳሶች, ደንቦች እና መደበኛ ውድድሮች ያሉ ማስተካከያዎችን ያካትታሉ.</v>
      </c>
    </row>
    <row r="20" ht="22.5" customHeight="1">
      <c r="A20" s="3">
        <v>19.0</v>
      </c>
      <c r="B20" s="4" t="s">
        <v>80</v>
      </c>
      <c r="C20" s="4" t="s">
        <v>81</v>
      </c>
      <c r="D20" s="4" t="s">
        <v>82</v>
      </c>
      <c r="E20" s="4" t="s">
        <v>83</v>
      </c>
      <c r="G20" s="5" t="str">
        <f>IFERROR(__xludf.DUMMYFUNCTION("GOOGLETRANSLATE(A20, ""en"", ""am"")"),"19")</f>
        <v>19</v>
      </c>
      <c r="H20" s="5" t="str">
        <f>IFERROR(__xludf.DUMMYFUNCTION("GOOGLETRANSLATE(B20, ""en"", ""am"")"),"ስፖርት ከኢትዮጵያዊ ማንነት ጋር እንዴት ተቆራኝቷል?")</f>
        <v>ስፖርት ከኢትዮጵያዊ ማንነት ጋር እንዴት ተቆራኝቷል?</v>
      </c>
      <c r="I20" s="5" t="str">
        <f>IFERROR(__xludf.DUMMYFUNCTION("GOOGLETRANSLATE(C20, ""en"", ""am"")"),"ሀ. ብሔራዊ ኩራት ለ. ዓለም አቀፍ እውቅና ሐ. የጥንት ልማዶች D. የሃይማኖት ምልክት")</f>
        <v>ሀ. ብሔራዊ ኩራት ለ. ዓለም አቀፍ እውቅና ሐ. የጥንት ልማዶች D. የሃይማኖት ምልክት</v>
      </c>
      <c r="J20" s="5" t="str">
        <f>IFERROR(__xludf.DUMMYFUNCTION("GOOGLETRANSLATE(D20, ""en"", ""am"")"),"የጥንት ልማዶች")</f>
        <v>የጥንት ልማዶች</v>
      </c>
      <c r="K20" s="5" t="str">
        <f>IFERROR(__xludf.DUMMYFUNCTION("GOOGLETRANSLATE(E20, ""en"", ""am"")"),"ጨዋታው የኢትዮጵያን ጥንታዊ ወጎች እና ባህላዊ ቅርሶች ያሳያል።")</f>
        <v>ጨዋታው የኢትዮጵያን ጥንታዊ ወጎች እና ባህላዊ ቅርሶች ያሳያል።</v>
      </c>
    </row>
    <row r="21" ht="22.5" customHeight="1">
      <c r="A21" s="3">
        <v>20.0</v>
      </c>
      <c r="B21" s="4" t="s">
        <v>84</v>
      </c>
      <c r="C21" s="4" t="s">
        <v>85</v>
      </c>
      <c r="D21" s="4" t="s">
        <v>86</v>
      </c>
      <c r="E21" s="4" t="s">
        <v>87</v>
      </c>
      <c r="G21" s="5" t="str">
        <f>IFERROR(__xludf.DUMMYFUNCTION("GOOGLETRANSLATE(A21, ""en"", ""am"")"),"20")</f>
        <v>20</v>
      </c>
      <c r="H21" s="5" t="str">
        <f>IFERROR(__xludf.DUMMYFUNCTION("GOOGLETRANSLATE(B21, ""en"", ""am"")"),"የገና መጫወቻ ሜዳ ዓይነተኛ ባህሪ ምንድነው?")</f>
        <v>የገና መጫወቻ ሜዳ ዓይነተኛ ባህሪ ምንድነው?</v>
      </c>
      <c r="I21" s="5" t="str">
        <f>IFERROR(__xludf.DUMMYFUNCTION("GOOGLETRANSLATE(C21, ""en"", ""am"")"),"A. Hilly land B. ጠፍጣፋ መሬት ሐ. ምልክት የተደረገባቸው ድንበሮች D. የተለየ ቦታ የለም።")</f>
        <v>A. Hilly land B. ጠፍጣፋ መሬት ሐ. ምልክት የተደረገባቸው ድንበሮች D. የተለየ ቦታ የለም።</v>
      </c>
      <c r="J21" s="5" t="str">
        <f>IFERROR(__xludf.DUMMYFUNCTION("GOOGLETRANSLATE(D21, ""en"", ""am"")"),"ምንም የተለየ አካባቢ የለም.")</f>
        <v>ምንም የተለየ አካባቢ የለም.</v>
      </c>
      <c r="K21" s="5" t="str">
        <f>IFERROR(__xludf.DUMMYFUNCTION("GOOGLETRANSLATE(E21, ""en"", ""am"")"),"የገና ስፖርቶች ማለቂያ በሌለው ሜዳ ላይ ይጫወታሉ።")</f>
        <v>የገና ስፖርቶች ማለቂያ በሌለው ሜዳ ላይ ይጫወታሉ።</v>
      </c>
    </row>
    <row r="22" ht="22.5" customHeight="1">
      <c r="A22" s="3">
        <v>21.0</v>
      </c>
      <c r="B22" s="4" t="s">
        <v>88</v>
      </c>
      <c r="C22" s="4" t="s">
        <v>89</v>
      </c>
      <c r="D22" s="4" t="s">
        <v>71</v>
      </c>
      <c r="E22" s="4" t="s">
        <v>90</v>
      </c>
      <c r="G22" s="5" t="str">
        <f>IFERROR(__xludf.DUMMYFUNCTION("GOOGLETRANSLATE(A22, ""en"", ""am"")"),"21")</f>
        <v>21</v>
      </c>
      <c r="H22" s="5" t="str">
        <f>IFERROR(__xludf.DUMMYFUNCTION("GOOGLETRANSLATE(B22, ""en"", ""am"")"),"የገና ስፖርትን ባህል በመጠበቅ ረገድ የትኛው ኢትዮጵያዊ ነገድ ነው የተሻለው?")</f>
        <v>የገና ስፖርትን ባህል በመጠበቅ ረገድ የትኛው ኢትዮጵያዊ ነገድ ነው የተሻለው?</v>
      </c>
      <c r="I22" s="5" t="str">
        <f>IFERROR(__xludf.DUMMYFUNCTION("GOOGLETRANSLATE(C22, ""en"", ""am"")"),"አ.አማራ ብ.ጉራጌ ሐ.ኦሮሞ ዲ.ሶማሌ")</f>
        <v>አ.አማራ ብ.ጉራጌ ሐ.ኦሮሞ ዲ.ሶማሌ</v>
      </c>
      <c r="J22" s="5" t="str">
        <f>IFERROR(__xludf.DUMMYFUNCTION("GOOGLETRANSLATE(D22, ""en"", ""am"")"),"አማራ")</f>
        <v>አማራ</v>
      </c>
      <c r="K22" s="5" t="str">
        <f>IFERROR(__xludf.DUMMYFUNCTION("GOOGLETRANSLATE(E22, ""en"", ""am"")"),"የዐማራው ነገድ የገናን ስፖርት ባህላዊና ታሪካዊ ፋይዳ በመጠበቅ ይታወቃል።")</f>
        <v>የዐማራው ነገድ የገናን ስፖርት ባህላዊና ታሪካዊ ፋይዳ በመጠበቅ ይታወቃል።</v>
      </c>
    </row>
    <row r="23" ht="22.5" customHeight="1">
      <c r="A23" s="3">
        <v>22.0</v>
      </c>
      <c r="B23" s="4" t="s">
        <v>91</v>
      </c>
      <c r="C23" s="4" t="s">
        <v>92</v>
      </c>
      <c r="D23" s="4" t="s">
        <v>93</v>
      </c>
      <c r="E23" s="4" t="s">
        <v>94</v>
      </c>
      <c r="G23" s="5" t="str">
        <f>IFERROR(__xludf.DUMMYFUNCTION("GOOGLETRANSLATE(A23, ""en"", ""am"")"),"22")</f>
        <v>22</v>
      </c>
      <c r="H23" s="5" t="str">
        <f>IFERROR(__xludf.DUMMYFUNCTION("GOOGLETRANSLATE(B23, ""en"", ""am"")"),"በኢትዮጵያ የገና ሰሞን የገና ስፖርት ታሪካዊ ፋይዳው ምንድን ነው?")</f>
        <v>በኢትዮጵያ የገና ሰሞን የገና ስፖርት ታሪካዊ ፋይዳው ምንድን ነው?</v>
      </c>
      <c r="I23" s="5" t="str">
        <f>IFERROR(__xludf.DUMMYFUNCTION("GOOGLETRANSLATE(C23, ""en"", ""am"")"),"ሀ. የማህበረሰብ ትስስርን ያጠናክራል። ለ. የጥንት ተዋጊዎችን ያከብራል። ሐ. የአዲሱን ዓመት መጀመሪያ ያመለክታል። መ. የመኸር ወቅትን ያከብራል.")</f>
        <v>ሀ. የማህበረሰብ ትስስርን ያጠናክራል። ለ. የጥንት ተዋጊዎችን ያከብራል። ሐ. የአዲሱን ዓመት መጀመሪያ ያመለክታል። መ. የመኸር ወቅትን ያከብራል.</v>
      </c>
      <c r="J23" s="5" t="str">
        <f>IFERROR(__xludf.DUMMYFUNCTION("GOOGLETRANSLATE(D23, ""en"", ""am"")"),"የማህበረሰብ ትስስርን ያጠናክራል።")</f>
        <v>የማህበረሰብ ትስስርን ያጠናክራል።</v>
      </c>
      <c r="K23" s="5" t="str">
        <f>IFERROR(__xludf.DUMMYFUNCTION("GOOGLETRANSLATE(E23, ""en"", ""am"")"),"የገና ስፖርቶች ኢትዮጵያ ውስጥ በተለምዶ የገና ወቅት የሚደረጉት አንድነትና ደስታን ለመፍጠር ነው።")</f>
        <v>የገና ስፖርቶች ኢትዮጵያ ውስጥ በተለምዶ የገና ወቅት የሚደረጉት አንድነትና ደስታን ለመፍጠር ነው።</v>
      </c>
    </row>
    <row r="24" ht="22.5" customHeight="1">
      <c r="A24" s="3">
        <v>23.0</v>
      </c>
      <c r="B24" s="4" t="s">
        <v>95</v>
      </c>
      <c r="C24" s="4" t="s">
        <v>96</v>
      </c>
      <c r="D24" s="4" t="s">
        <v>97</v>
      </c>
      <c r="E24" s="4" t="s">
        <v>98</v>
      </c>
      <c r="G24" s="5" t="str">
        <f>IFERROR(__xludf.DUMMYFUNCTION("GOOGLETRANSLATE(A24, ""en"", ""am"")"),"23")</f>
        <v>23</v>
      </c>
      <c r="H24" s="5" t="str">
        <f>IFERROR(__xludf.DUMMYFUNCTION("GOOGLETRANSLATE(B24, ""en"", ""am"")"),"በገና ስፖርት ወቅት አለመግባባቶች በባህላዊ መንገድ እንዴት ተፈቱ?")</f>
        <v>በገና ስፖርት ወቅት አለመግባባቶች በባህላዊ መንገድ እንዴት ተፈቱ?</v>
      </c>
      <c r="I24" s="5" t="str">
        <f>IFERROR(__xludf.DUMMYFUNCTION("GOOGLETRANSLATE(C24, ""en"", ""am"")"),"ሀ. በመንደር ሽማግሌዎች ለ. በዳኞች ሐ. ግጥሚያውን በድጋሚ በመጫወት መ. በዋና ተጫዋች")</f>
        <v>ሀ. በመንደር ሽማግሌዎች ለ. በዳኞች ሐ. ግጥሚያውን በድጋሚ በመጫወት መ. በዋና ተጫዋች</v>
      </c>
      <c r="J24" s="5" t="str">
        <f>IFERROR(__xludf.DUMMYFUNCTION("GOOGLETRANSLATE(D24, ""en"", ""am"")"),"በመንደር ሽማግሌዎች በኩል")</f>
        <v>በመንደር ሽማግሌዎች በኩል</v>
      </c>
      <c r="K24" s="5" t="str">
        <f>IFERROR(__xludf.DUMMYFUNCTION("GOOGLETRANSLATE(E24, ""en"", ""am"")"),"የማህበረሰብ ሽማግሌዎች የገና ባህላዊ ስፖርታዊ ጨዋታዎችን ሸምጋይ አድርገዋል።")</f>
        <v>የማህበረሰብ ሽማግሌዎች የገና ባህላዊ ስፖርታዊ ጨዋታዎችን ሸምጋይ አድርገዋል።</v>
      </c>
    </row>
    <row r="25" ht="22.5" customHeight="1">
      <c r="A25" s="3">
        <v>24.0</v>
      </c>
      <c r="B25" s="4" t="s">
        <v>99</v>
      </c>
      <c r="C25" s="4" t="s">
        <v>100</v>
      </c>
      <c r="D25" s="4" t="s">
        <v>101</v>
      </c>
      <c r="E25" s="4" t="s">
        <v>102</v>
      </c>
      <c r="G25" s="5" t="str">
        <f>IFERROR(__xludf.DUMMYFUNCTION("GOOGLETRANSLATE(A25, ""en"", ""am"")"),"24")</f>
        <v>24</v>
      </c>
      <c r="H25" s="5" t="str">
        <f>IFERROR(__xludf.DUMMYFUNCTION("GOOGLETRANSLATE(B25, ""en"", ""am"")"),"በዚያን ጊዜ ስፖርቶችን መጫወት ዋናው የሥልጠና ጥቅም ምን ነበር?")</f>
        <v>በዚያን ጊዜ ስፖርቶችን መጫወት ዋናው የሥልጠና ጥቅም ምን ነበር?</v>
      </c>
      <c r="I25" s="5" t="str">
        <f>IFERROR(__xludf.DUMMYFUNCTION("GOOGLETRANSLATE(C25, ""en"", ""am"")"),"ሀ. የጥንካሬ ግንባታ ለ. የቡድን ቅንጅት ሐ. የትግል ክህሎቶች መ. የጽናት መሻሻል")</f>
        <v>ሀ. የጥንካሬ ግንባታ ለ. የቡድን ቅንጅት ሐ. የትግል ክህሎቶች መ. የጽናት መሻሻል</v>
      </c>
      <c r="J25" s="5" t="str">
        <f>IFERROR(__xludf.DUMMYFUNCTION("GOOGLETRANSLATE(D25, ""en"", ""am"")"),"የትግል ችሎታ")</f>
        <v>የትግል ችሎታ</v>
      </c>
      <c r="K25" s="5" t="str">
        <f>IFERROR(__xludf.DUMMYFUNCTION("GOOGLETRANSLATE(E25, ""en"", ""am"")"),"ሆኖም ስፖርቶች በታሪክ ተዋጊዎችን ለትክክለኛነት እና ለቅልጥፍና የማሰልጠን ዘዴ ተደርጎ ይወሰዱ ነበር።")</f>
        <v>ሆኖም ስፖርቶች በታሪክ ተዋጊዎችን ለትክክለኛነት እና ለቅልጥፍና የማሰልጠን ዘዴ ተደርጎ ይወሰዱ ነበር።</v>
      </c>
    </row>
    <row r="26" ht="22.5" customHeight="1">
      <c r="A26" s="3">
        <v>25.0</v>
      </c>
      <c r="B26" s="4" t="s">
        <v>103</v>
      </c>
      <c r="C26" s="4" t="s">
        <v>104</v>
      </c>
      <c r="D26" s="4" t="s">
        <v>105</v>
      </c>
      <c r="E26" s="4" t="s">
        <v>106</v>
      </c>
      <c r="G26" s="5" t="str">
        <f>IFERROR(__xludf.DUMMYFUNCTION("GOOGLETRANSLATE(A26, ""en"", ""am"")"),"25")</f>
        <v>25</v>
      </c>
      <c r="H26" s="5" t="str">
        <f>IFERROR(__xludf.DUMMYFUNCTION("GOOGLETRANSLATE(B26, ""en"", ""am"")"),"ከገና ስፖርቶች ጋር የተያያዘው የትኛው ጥንታዊ የኢትዮጵያ ባህል ነው?")</f>
        <v>ከገና ስፖርቶች ጋር የተያያዘው የትኛው ጥንታዊ የኢትዮጵያ ባህል ነው?</v>
      </c>
      <c r="I26" s="5" t="str">
        <f>IFERROR(__xludf.DUMMYFUNCTION("GOOGLETRANSLATE(C26, ""en"", ""am"")"),"ሀ. የዱላ ድብድብ ሥነ ሥርዓቶች ለ. የቀስት ውድድር ሐ. የፈረስ እሽቅድምድም D. የድንጋይ ማንሳት")</f>
        <v>ሀ. የዱላ ድብድብ ሥነ ሥርዓቶች ለ. የቀስት ውድድር ሐ. የፈረስ እሽቅድምድም D. የድንጋይ ማንሳት</v>
      </c>
      <c r="J26" s="5" t="str">
        <f>IFERROR(__xludf.DUMMYFUNCTION("GOOGLETRANSLATE(D26, ""en"", ""am"")"),"የዱላ ድብድብ ሥነ ሥርዓቶች")</f>
        <v>የዱላ ድብድብ ሥነ ሥርዓቶች</v>
      </c>
      <c r="K26" s="5" t="str">
        <f>IFERROR(__xludf.DUMMYFUNCTION("GOOGLETRANSLATE(E26, ""en"", ""am"")"),"ስፖርቱ ጥንካሬን እና ክህሎትን በማጉላት ከዱላ ድብድብ ጋር ተመሳሳይ ነው.")</f>
        <v>ስፖርቱ ጥንካሬን እና ክህሎትን በማጉላት ከዱላ ድብድብ ጋር ተመሳሳይ ነው.</v>
      </c>
    </row>
    <row r="27" ht="22.5" customHeight="1">
      <c r="A27" s="3">
        <v>26.0</v>
      </c>
      <c r="B27" s="4" t="s">
        <v>107</v>
      </c>
      <c r="C27" s="4" t="s">
        <v>108</v>
      </c>
      <c r="D27" s="4" t="s">
        <v>109</v>
      </c>
      <c r="E27" s="4" t="s">
        <v>110</v>
      </c>
      <c r="G27" s="5" t="str">
        <f>IFERROR(__xludf.DUMMYFUNCTION("GOOGLETRANSLATE(A27, ""en"", ""am"")"),"26")</f>
        <v>26</v>
      </c>
      <c r="H27" s="5" t="str">
        <f>IFERROR(__xludf.DUMMYFUNCTION("GOOGLETRANSLATE(B27, ""en"", ""am"")"),"በገና ስፖርቶች ውስጥ ያለው ኳስ በተለምዶ ምን ይወክላል?")</f>
        <v>በገና ስፖርቶች ውስጥ ያለው ኳስ በተለምዶ ምን ይወክላል?</v>
      </c>
      <c r="I27" s="5" t="str">
        <f>IFERROR(__xludf.DUMMYFUNCTION("GOOGLETRANSLATE(C27, ""en"", ""am"")"),"ሀ. ፀሐይ ለ. አንድነት ሐ. ተዋጊ መንፈስ ዲ. ክብረ በዓል")</f>
        <v>ሀ. ፀሐይ ለ. አንድነት ሐ. ተዋጊ መንፈስ ዲ. ክብረ በዓል</v>
      </c>
      <c r="J27" s="5" t="str">
        <f>IFERROR(__xludf.DUMMYFUNCTION("GOOGLETRANSLATE(D27, ""en"", ""am"")"),"አንድነት")</f>
        <v>አንድነት</v>
      </c>
      <c r="K27" s="5" t="str">
        <f>IFERROR(__xludf.DUMMYFUNCTION("GOOGLETRANSLATE(E27, ""en"", ""am"")"),"በጨዋታው ወቅት ተጨዋቾች አብረው ሲሰሩ ኳሱ አንድነትን ያሳያል።")</f>
        <v>በጨዋታው ወቅት ተጨዋቾች አብረው ሲሰሩ ኳሱ አንድነትን ያሳያል።</v>
      </c>
    </row>
    <row r="28" ht="22.5" customHeight="1">
      <c r="A28" s="3">
        <v>27.0</v>
      </c>
      <c r="B28" s="4" t="s">
        <v>111</v>
      </c>
      <c r="C28" s="4" t="s">
        <v>112</v>
      </c>
      <c r="D28" s="4" t="s">
        <v>113</v>
      </c>
      <c r="E28" s="4" t="s">
        <v>114</v>
      </c>
      <c r="G28" s="5" t="str">
        <f>IFERROR(__xludf.DUMMYFUNCTION("GOOGLETRANSLATE(A28, ""en"", ""am"")"),"27")</f>
        <v>27</v>
      </c>
      <c r="H28" s="5" t="str">
        <f>IFERROR(__xludf.DUMMYFUNCTION("GOOGLETRANSLATE(B28, ""en"", ""am"")"),"ከቤት ውጭ ስፖርቶችን የመጫወት ታሪካዊ ምክንያት ምንድነው?")</f>
        <v>ከቤት ውጭ ስፖርቶችን የመጫወት ታሪካዊ ምክንያት ምንድነው?</v>
      </c>
      <c r="I28" s="5" t="str">
        <f>IFERROR(__xludf.DUMMYFUNCTION("GOOGLETRANSLATE(C28, ""en"", ""am"")"),"ሀ. ተመልካቾችን ማካተት ለ. ተፈጥሮን ማክበር ሐ. ለሥጋዊ ነፃነት መ. የተለየ ምክንያት የለም.")</f>
        <v>ሀ. ተመልካቾችን ማካተት ለ. ተፈጥሮን ማክበር ሐ. ለሥጋዊ ነፃነት መ. የተለየ ምክንያት የለም.</v>
      </c>
      <c r="J28" s="5" t="str">
        <f>IFERROR(__xludf.DUMMYFUNCTION("GOOGLETRANSLATE(D28, ""en"", ""am"")"),"ተፈጥሮን ለማክበር")</f>
        <v>ተፈጥሮን ለማክበር</v>
      </c>
      <c r="K28" s="5" t="str">
        <f>IFERROR(__xludf.DUMMYFUNCTION("GOOGLETRANSLATE(E28, ""en"", ""am"")"),"ከቤት ውጭ መጫወት ከተፈጥሮ ጋር ለመገናኘት እና የበዓል ወቅትን ለማክበር መንገድ ነበር.")</f>
        <v>ከቤት ውጭ መጫወት ከተፈጥሮ ጋር ለመገናኘት እና የበዓል ወቅትን ለማክበር መንገድ ነበር.</v>
      </c>
    </row>
    <row r="29" ht="22.5" customHeight="1">
      <c r="A29" s="3">
        <v>28.0</v>
      </c>
      <c r="B29" s="4" t="s">
        <v>115</v>
      </c>
      <c r="C29" s="4" t="s">
        <v>116</v>
      </c>
      <c r="D29" s="4" t="s">
        <v>117</v>
      </c>
      <c r="E29" s="4" t="s">
        <v>118</v>
      </c>
      <c r="G29" s="5" t="str">
        <f>IFERROR(__xludf.DUMMYFUNCTION("GOOGLETRANSLATE(A29, ""en"", ""am"")"),"28")</f>
        <v>28</v>
      </c>
      <c r="H29" s="5" t="str">
        <f>IFERROR(__xludf.DUMMYFUNCTION("GOOGLETRANSLATE(B29, ""en"", ""am"")"),"እስካሁን ድረስ በኢትዮጵያ ውስጥ ስፖርትን የሚወክሉት የትኞቹ ታሪካዊ ቅርሶች ናቸው?")</f>
        <v>እስካሁን ድረስ በኢትዮጵያ ውስጥ ስፖርትን የሚወክሉት የትኞቹ ታሪካዊ ቅርሶች ናቸው?</v>
      </c>
      <c r="I29" s="5" t="str">
        <f>IFERROR(__xludf.DUMMYFUNCTION("GOOGLETRANSLATE(C29, ""en"", ""am"")"),"ሀ. የጥንት ጽሑፎች ለ. የሮክ ቅርጻ ቅርጾች ሐ. ባህላዊ ሥዕሎች D. ፎክሎር መጻሕፍት።")</f>
        <v>ሀ. የጥንት ጽሑፎች ለ. የሮክ ቅርጻ ቅርጾች ሐ. ባህላዊ ሥዕሎች D. ፎክሎር መጻሕፍት።</v>
      </c>
      <c r="J29" s="5" t="str">
        <f>IFERROR(__xludf.DUMMYFUNCTION("GOOGLETRANSLATE(D29, ""en"", ""am"")"),"ባህላዊ ሥዕሎች")</f>
        <v>ባህላዊ ሥዕሎች</v>
      </c>
      <c r="K29" s="5" t="str">
        <f>IFERROR(__xludf.DUMMYFUNCTION("GOOGLETRANSLATE(E29, ""en"", ""am"")"),"የኢትዮጵያ ባህላዊ ሥዕሎች በበዓል ሰሞን የገና ስፖርቶችን በብዛት ያሳያሉ።")</f>
        <v>የኢትዮጵያ ባህላዊ ሥዕሎች በበዓል ሰሞን የገና ስፖርቶችን በብዛት ያሳያሉ።</v>
      </c>
    </row>
    <row r="30" ht="22.5" customHeight="1">
      <c r="A30" s="3">
        <v>29.0</v>
      </c>
      <c r="B30" s="4" t="s">
        <v>119</v>
      </c>
      <c r="C30" s="4" t="s">
        <v>120</v>
      </c>
      <c r="D30" s="4" t="s">
        <v>121</v>
      </c>
      <c r="E30" s="4" t="s">
        <v>122</v>
      </c>
      <c r="G30" s="5" t="str">
        <f>IFERROR(__xludf.DUMMYFUNCTION("GOOGLETRANSLATE(A30, ""en"", ""am"")"),"29")</f>
        <v>29</v>
      </c>
      <c r="H30" s="5" t="str">
        <f>IFERROR(__xludf.DUMMYFUNCTION("GOOGLETRANSLATE(B30, ""en"", ""am"")"),"ሚስዮናውያን በገና ስፖርቶች መስፋፋት ላይ ተጽዕኖ ያሳደሩት እንዴት ነው?")</f>
        <v>ሚስዮናውያን በገና ስፖርቶች መስፋፋት ላይ ተጽዕኖ ያሳደሩት እንዴት ነው?</v>
      </c>
      <c r="I30" s="5" t="str">
        <f>IFERROR(__xludf.DUMMYFUNCTION("GOOGLETRANSLATE(C30, ""en"", ""am"")"),"ሀ. በአለም አቀፍ ደረጃ አስተዋውቋል B. ለወጣቶች ስልጠና አመቻችቷል. ሐ. ከሃይማኖታዊ አስተምህሮዎች ጋር አጣምሮታል። መ. ልምምዱን ተወ።")</f>
        <v>ሀ. በአለም አቀፍ ደረጃ አስተዋውቋል B. ለወጣቶች ስልጠና አመቻችቷል. ሐ. ከሃይማኖታዊ አስተምህሮዎች ጋር አጣምሮታል። መ. ልምምዱን ተወ።</v>
      </c>
      <c r="J30" s="5" t="str">
        <f>IFERROR(__xludf.DUMMYFUNCTION("GOOGLETRANSLATE(D30, ""en"", ""am"")"),"ከሃይማኖታዊ አስተምህሮዎች ጋር አጣምሮታል።")</f>
        <v>ከሃይማኖታዊ አስተምህሮዎች ጋር አጣምሮታል።</v>
      </c>
      <c r="K30" s="5" t="str">
        <f>IFERROR(__xludf.DUMMYFUNCTION("GOOGLETRANSLATE(E30, ""en"", ""am"")"),"ሚስዮናውያን ጨዋታውን እንደ ባህላዊ የኢትዮጵያውያን የክርስቲያን በዓላት አካል አድርገውታል።")</f>
        <v>ሚስዮናውያን ጨዋታውን እንደ ባህላዊ የኢትዮጵያውያን የክርስቲያን በዓላት አካል አድርገውታል።</v>
      </c>
    </row>
    <row r="31" ht="22.5" customHeight="1">
      <c r="A31" s="3">
        <v>30.0</v>
      </c>
      <c r="B31" s="4" t="s">
        <v>123</v>
      </c>
      <c r="C31" s="4" t="s">
        <v>124</v>
      </c>
      <c r="D31" s="4" t="s">
        <v>125</v>
      </c>
      <c r="E31" s="4" t="s">
        <v>126</v>
      </c>
      <c r="G31" s="5" t="str">
        <f>IFERROR(__xludf.DUMMYFUNCTION("GOOGLETRANSLATE(A31, ""en"", ""am"")"),"30")</f>
        <v>30</v>
      </c>
      <c r="H31" s="5" t="str">
        <f>IFERROR(__xludf.DUMMYFUNCTION("GOOGLETRANSLATE(B31, ""en"", ""am"")"),"የትኛው የኢትዮጵያ ንጉስ ስፖርት ተጫውቶ አያውቅም?")</f>
        <v>የትኛው የኢትዮጵያ ንጉስ ስፖርት ተጫውቶ አያውቅም?</v>
      </c>
      <c r="I31" s="5" t="str">
        <f>IFERROR(__xludf.DUMMYFUNCTION("GOOGLETRANSLATE(C31, ""en"", ""am"")"),"አ.ንጉሥ ምኒልክ ብ አፄ ቴዎድሮስ 2ኛ ሐ. ኃይለ ሥላሴ ዲ. ዘርዓ ያዕቆብ")</f>
        <v>አ.ንጉሥ ምኒልክ ብ አፄ ቴዎድሮስ 2ኛ ሐ. ኃይለ ሥላሴ ዲ. ዘርዓ ያዕቆብ</v>
      </c>
      <c r="J31" s="5" t="str">
        <f>IFERROR(__xludf.DUMMYFUNCTION("GOOGLETRANSLATE(D31, ""en"", ""am"")"),"ንጉስ ምኒልክ")</f>
        <v>ንጉስ ምኒልክ</v>
      </c>
      <c r="K31" s="5" t="str">
        <f>IFERROR(__xludf.DUMMYFUNCTION("GOOGLETRANSLATE(E31, ""en"", ""am"")"),"በአፈ ታሪክ መሰረት ንጉስ ምኒልክ በስልጣን ዘመናቸው ስፖርት ይጫወቱ ነበር።")</f>
        <v>በአፈ ታሪክ መሰረት ንጉስ ምኒልክ በስልጣን ዘመናቸው ስፖርት ይጫወቱ ነበር።</v>
      </c>
    </row>
    <row r="32" ht="22.5" customHeight="1">
      <c r="A32" s="3">
        <v>31.0</v>
      </c>
      <c r="B32" s="4" t="s">
        <v>127</v>
      </c>
      <c r="C32" s="4" t="s">
        <v>128</v>
      </c>
      <c r="D32" s="4" t="s">
        <v>129</v>
      </c>
      <c r="E32" s="4" t="s">
        <v>130</v>
      </c>
      <c r="G32" s="5" t="str">
        <f>IFERROR(__xludf.DUMMYFUNCTION("GOOGLETRANSLATE(A32, ""en"", ""am"")"),"31")</f>
        <v>31</v>
      </c>
      <c r="H32" s="5" t="str">
        <f>IFERROR(__xludf.DUMMYFUNCTION("GOOGLETRANSLATE(B32, ""en"", ""am"")"),"በገና ስፖርቶች ውስጥ ጥቅም ላይ የዋለው ዱላ ጠቀሜታ ምንድነው?")</f>
        <v>በገና ስፖርቶች ውስጥ ጥቅም ላይ የዋለው ዱላ ጠቀሜታ ምንድነው?</v>
      </c>
      <c r="I32" s="5" t="str">
        <f>IFERROR(__xludf.DUMMYFUNCTION("GOOGLETRANSLATE(C32, ""en"", ""am"")"),"ሀ. የኃይል ምልክት ለ. አንድነት ሐ. ለትክክለኛነት መሣሪያ መ. ክብረ በዓል")</f>
        <v>ሀ. የኃይል ምልክት ለ. አንድነት ሐ. ለትክክለኛነት መሣሪያ መ. ክብረ በዓል</v>
      </c>
      <c r="J32" s="5" t="str">
        <f>IFERROR(__xludf.DUMMYFUNCTION("GOOGLETRANSLATE(D32, ""en"", ""am"")"),"ለትክክለኛነት መሳሪያ")</f>
        <v>ለትክክለኛነት መሳሪያ</v>
      </c>
      <c r="K32" s="5" t="str">
        <f>IFERROR(__xludf.DUMMYFUNCTION("GOOGLETRANSLATE(E32, ""en"", ""am"")"),"ዱላው ኳሱን በትክክል ለመምታት ለትክክለኛነት የተነደፈ ነው።")</f>
        <v>ዱላው ኳሱን በትክክል ለመምታት ለትክክለኛነት የተነደፈ ነው።</v>
      </c>
    </row>
    <row r="33" ht="22.5" customHeight="1">
      <c r="A33" s="3">
        <v>32.0</v>
      </c>
      <c r="B33" s="4" t="s">
        <v>131</v>
      </c>
      <c r="C33" s="4" t="s">
        <v>132</v>
      </c>
      <c r="D33" s="4" t="s">
        <v>133</v>
      </c>
      <c r="E33" s="4" t="s">
        <v>134</v>
      </c>
      <c r="G33" s="5" t="str">
        <f>IFERROR(__xludf.DUMMYFUNCTION("GOOGLETRANSLATE(A33, ""en"", ""am"")"),"32")</f>
        <v>32</v>
      </c>
      <c r="H33" s="5" t="str">
        <f>IFERROR(__xludf.DUMMYFUNCTION("GOOGLETRANSLATE(B33, ""en"", ""am"")"),"የገና ስፖርት በማህበረሰብ ስብሰባዎች ውስጥ ምን ሚና ተጫውቷል?")</f>
        <v>የገና ስፖርት በማህበረሰብ ስብሰባዎች ውስጥ ምን ሚና ተጫውቷል?</v>
      </c>
      <c r="I33" s="5" t="str">
        <f>IFERROR(__xludf.DUMMYFUNCTION("GOOGLETRANSLATE(C33, ""en"", ""am"")"),"ሀ. አበረታች ውድድር ለ. እርቅን አበረታቷል። ሐ. የታየ ጥንካሬ D. መዝናኛ ቀርቧል")</f>
        <v>ሀ. አበረታች ውድድር ለ. እርቅን አበረታቷል። ሐ. የታየ ጥንካሬ D. መዝናኛ ቀርቧል</v>
      </c>
      <c r="J33" s="5" t="str">
        <f>IFERROR(__xludf.DUMMYFUNCTION("GOOGLETRANSLATE(D33, ""en"", ""am"")"),"እርቅን አበረታቷል።")</f>
        <v>እርቅን አበረታቷል።</v>
      </c>
      <c r="K33" s="5" t="str">
        <f>IFERROR(__xludf.DUMMYFUNCTION("GOOGLETRANSLATE(E33, ""en"", ""am"")"),"ሆኖም ስፖርት ብዙውን ጊዜ ማህበረሰቦችን ያመጣል, ግጭቶችን በመፍታት እና ስምምነትን ያበረታታል.")</f>
        <v>ሆኖም ስፖርት ብዙውን ጊዜ ማህበረሰቦችን ያመጣል, ግጭቶችን በመፍታት እና ስምምነትን ያበረታታል.</v>
      </c>
    </row>
    <row r="34" ht="22.5" customHeight="1">
      <c r="A34" s="3">
        <v>33.0</v>
      </c>
      <c r="B34" s="4" t="s">
        <v>135</v>
      </c>
      <c r="C34" s="4" t="s">
        <v>136</v>
      </c>
      <c r="D34" s="4" t="s">
        <v>137</v>
      </c>
      <c r="E34" s="4" t="s">
        <v>138</v>
      </c>
      <c r="G34" s="5" t="str">
        <f>IFERROR(__xludf.DUMMYFUNCTION("GOOGLETRANSLATE(A34, ""en"", ""am"")"),"33")</f>
        <v>33</v>
      </c>
      <c r="H34" s="5" t="str">
        <f>IFERROR(__xludf.DUMMYFUNCTION("GOOGLETRANSLATE(B34, ""en"", ""am"")"),"የትኛው የኢትዮጵያ የሃይማኖት መሪ ነው ስፖርትን ደግፎ የሚያውቅ?")</f>
        <v>የትኛው የኢትዮጵያ የሃይማኖት መሪ ነው ስፖርትን ደግፎ የሚያውቅ?</v>
      </c>
      <c r="I34" s="5" t="str">
        <f>IFERROR(__xludf.DUMMYFUNCTION("GOOGLETRANSLATE(C34, ""en"", ""am"")"),"ሀ/ ቅድስት ተክለ ሃይማኖት ብ/ቅዱስ ላሊበላ ሐ/ አቡነ ጳውሎስ ዲ/ን አፄ ኃይለ ሥላሴ")</f>
        <v>ሀ/ ቅድስት ተክለ ሃይማኖት ብ/ቅዱስ ላሊበላ ሐ/ አቡነ ጳውሎስ ዲ/ን አፄ ኃይለ ሥላሴ</v>
      </c>
      <c r="J34" s="5" t="str">
        <f>IFERROR(__xludf.DUMMYFUNCTION("GOOGLETRANSLATE(D34, ""en"", ""am"")"),"ቅዱስ ተክለ ሃይማኖት")</f>
        <v>ቅዱስ ተክለ ሃይማኖት</v>
      </c>
      <c r="K34" s="5" t="str">
        <f>IFERROR(__xludf.DUMMYFUNCTION("GOOGLETRANSLATE(E34, ""en"", ""am"")"),"የቅድስት ሥላሴ ሃይማኖት በበዓላት ወቅት ገናን መጫወት እንደሚያበረታታ ተዘግቧል።")</f>
        <v>የቅድስት ሥላሴ ሃይማኖት በበዓላት ወቅት ገናን መጫወት እንደሚያበረታታ ተዘግቧል።</v>
      </c>
    </row>
    <row r="35" ht="22.5" customHeight="1">
      <c r="A35" s="3">
        <v>34.0</v>
      </c>
      <c r="B35" s="4" t="s">
        <v>139</v>
      </c>
      <c r="C35" s="4" t="s">
        <v>140</v>
      </c>
      <c r="D35" s="4" t="s">
        <v>35</v>
      </c>
      <c r="E35" s="4" t="s">
        <v>141</v>
      </c>
      <c r="G35" s="5" t="str">
        <f>IFERROR(__xludf.DUMMYFUNCTION("GOOGLETRANSLATE(A35, ""en"", ""am"")"),"34")</f>
        <v>34</v>
      </c>
      <c r="H35" s="5" t="str">
        <f>IFERROR(__xludf.DUMMYFUNCTION("GOOGLETRANSLATE(B35, ""en"", ""am"")"),"የገና ኳሶችን ለመሥራት ብዙውን ጊዜ ምን ዓይነት የተፈጥሮ ቁሳቁስ ጥቅም ላይ ይውላል?")</f>
        <v>የገና ኳሶችን ለመሥራት ብዙውን ጊዜ ምን ዓይነት የተፈጥሮ ቁሳቁስ ጥቅም ላይ ይውላል?</v>
      </c>
      <c r="I35" s="5" t="str">
        <f>IFERROR(__xludf.DUMMYFUNCTION("GOOGLETRANSLATE(C35, ""en"", ""am"")"),"አ. ክሌይ ቢ. እንጨት ሐ. የእንስሳት መጠለያ ዲ. ስቶን")</f>
        <v>አ. ክሌይ ቢ. እንጨት ሐ. የእንስሳት መጠለያ ዲ. ስቶን</v>
      </c>
      <c r="J35" s="5" t="str">
        <f>IFERROR(__xludf.DUMMYFUNCTION("GOOGLETRANSLATE(D35, ""en"", ""am"")"),"እንጨት")</f>
        <v>እንጨት</v>
      </c>
      <c r="K35" s="5" t="str">
        <f>IFERROR(__xludf.DUMMYFUNCTION("GOOGLETRANSLATE(E35, ""en"", ""am"")"),"በመሰንቆ የሚውለው ኳስ በባህላዊ መንገድ ከእንጨት የተቀረጸ ነው።")</f>
        <v>በመሰንቆ የሚውለው ኳስ በባህላዊ መንገድ ከእንጨት የተቀረጸ ነው።</v>
      </c>
    </row>
    <row r="36" ht="22.5" customHeight="1">
      <c r="A36" s="3">
        <v>35.0</v>
      </c>
      <c r="B36" s="4" t="s">
        <v>142</v>
      </c>
      <c r="C36" s="4" t="s">
        <v>143</v>
      </c>
      <c r="D36" s="4" t="s">
        <v>144</v>
      </c>
      <c r="E36" s="4" t="s">
        <v>145</v>
      </c>
      <c r="G36" s="5" t="str">
        <f>IFERROR(__xludf.DUMMYFUNCTION("GOOGLETRANSLATE(A36, ""en"", ""am"")"),"35")</f>
        <v>35</v>
      </c>
      <c r="H36" s="5" t="str">
        <f>IFERROR(__xludf.DUMMYFUNCTION("GOOGLETRANSLATE(B36, ""en"", ""am"")"),"የገና ስፖርት ዱላ ዲዛይን ያነሳሳው ምንድን ነው?")</f>
        <v>የገና ስፖርት ዱላ ዲዛይን ያነሳሳው ምንድን ነው?</v>
      </c>
      <c r="I36" s="5" t="str">
        <f>IFERROR(__xludf.DUMMYFUNCTION("GOOGLETRANSLATE(C36, ""en"", ""am"")"),"ሀ. የማደን መሳሪያዎች ለ. የሀይማኖት ምልክቶች ሐ. የጦረኞች መሳሪያዎች መ. የባህል ቅጦች")</f>
        <v>ሀ. የማደን መሳሪያዎች ለ. የሀይማኖት ምልክቶች ሐ. የጦረኞች መሳሪያዎች መ. የባህል ቅጦች</v>
      </c>
      <c r="J36" s="5" t="str">
        <f>IFERROR(__xludf.DUMMYFUNCTION("GOOGLETRANSLATE(D36, ""en"", ""am"")"),"ተዋጊዎች የጦር መሳሪያዎች")</f>
        <v>ተዋጊዎች የጦር መሳሪያዎች</v>
      </c>
      <c r="K36" s="5" t="str">
        <f>IFERROR(__xludf.DUMMYFUNCTION("GOOGLETRANSLATE(E36, ""en"", ""am"")"),"የዱላ ንድፍ በጥንታዊ መሳሪያዎች እና መሳሪያዎች ተመስጦ ነበር.")</f>
        <v>የዱላ ንድፍ በጥንታዊ መሳሪያዎች እና መሳሪያዎች ተመስጦ ነበር.</v>
      </c>
    </row>
    <row r="37" ht="22.5" customHeight="1">
      <c r="A37" s="3">
        <v>36.0</v>
      </c>
      <c r="B37" s="4" t="s">
        <v>146</v>
      </c>
      <c r="C37" s="4" t="s">
        <v>147</v>
      </c>
      <c r="D37" s="4" t="s">
        <v>148</v>
      </c>
      <c r="E37" s="4" t="s">
        <v>149</v>
      </c>
      <c r="G37" s="5" t="str">
        <f>IFERROR(__xludf.DUMMYFUNCTION("GOOGLETRANSLATE(A37, ""en"", ""am"")"),"36")</f>
        <v>36</v>
      </c>
      <c r="H37" s="5" t="str">
        <f>IFERROR(__xludf.DUMMYFUNCTION("GOOGLETRANSLATE(B37, ""en"", ""am"")"),"የገና ስፖርቶች የገና ባህል ለምን ተቆጠሩ?")</f>
        <v>የገና ስፖርቶች የገና ባህል ለምን ተቆጠሩ?</v>
      </c>
      <c r="I37" s="5" t="str">
        <f>IFERROR(__xludf.DUMMYFUNCTION("GOOGLETRANSLATE(C37, ""en"", ""am"")"),"ሀ. ከመጽሐፍ ቅዱስ እረኞች ጨዋታ ጋር ይዛመዳል ለ. የልደት ደስታን ያመለክታል። ሐ. የአሁኑን ለውጥ ያመለክታል. መ. ከጥንት በዓላት ጋር የተያያዘ ነው.")</f>
        <v>ሀ. ከመጽሐፍ ቅዱስ እረኞች ጨዋታ ጋር ይዛመዳል ለ. የልደት ደስታን ያመለክታል። ሐ. የአሁኑን ለውጥ ያመለክታል. መ. ከጥንት በዓላት ጋር የተያያዘ ነው.</v>
      </c>
      <c r="J37" s="5" t="str">
        <f>IFERROR(__xludf.DUMMYFUNCTION("GOOGLETRANSLATE(D37, ""en"", ""am"")"),"ከመጽሐፍ ቅዱስ እረኞች ጨዋታ ጋር ይዛመዳል")</f>
        <v>ከመጽሐፍ ቅዱስ እረኞች ጨዋታ ጋር ይዛመዳል</v>
      </c>
      <c r="K37" s="5" t="str">
        <f>IFERROR(__xludf.DUMMYFUNCTION("GOOGLETRANSLATE(E37, ""en"", ""am"")"),"የገና ስፖርቶች ክርስቶስ በተወለደበት ጊዜ የእረኞችን ጨዋታ ያስተጋባል ተብሏል።")</f>
        <v>የገና ስፖርቶች ክርስቶስ በተወለደበት ጊዜ የእረኞችን ጨዋታ ያስተጋባል ተብሏል።</v>
      </c>
    </row>
    <row r="38" ht="22.5" customHeight="1">
      <c r="A38" s="3">
        <v>37.0</v>
      </c>
      <c r="B38" s="4" t="s">
        <v>150</v>
      </c>
      <c r="C38" s="4" t="s">
        <v>151</v>
      </c>
      <c r="D38" s="4" t="s">
        <v>152</v>
      </c>
      <c r="E38" s="4" t="s">
        <v>153</v>
      </c>
      <c r="G38" s="5" t="str">
        <f>IFERROR(__xludf.DUMMYFUNCTION("GOOGLETRANSLATE(A38, ""en"", ""am"")"),"37")</f>
        <v>37</v>
      </c>
      <c r="H38" s="5" t="str">
        <f>IFERROR(__xludf.DUMMYFUNCTION("GOOGLETRANSLATE(B38, ""en"", ""am"")"),"በገና ስፖርቶች ውስጥ የሜዳው ስፋት ታሪካዊ ጠቀሜታ ምንድነው?")</f>
        <v>በገና ስፖርቶች ውስጥ የሜዳው ስፋት ታሪካዊ ጠቀሜታ ምንድነው?</v>
      </c>
      <c r="I38" s="5" t="str">
        <f>IFERROR(__xludf.DUMMYFUNCTION("GOOGLETRANSLATE(C38, ""en"", ""am"")"),"ሀ/ የመንደር አንድነትን ይወክላል። ለ. ልዩ ጠቀሜታ የለም. ሐ. ዓለምን ይወክላል መ. ነፃነትን ያሳያል።")</f>
        <v>ሀ/ የመንደር አንድነትን ይወክላል። ለ. ልዩ ጠቀሜታ የለም. ሐ. ዓለምን ይወክላል መ. ነፃነትን ያሳያል።</v>
      </c>
      <c r="J38" s="5" t="str">
        <f>IFERROR(__xludf.DUMMYFUNCTION("GOOGLETRANSLATE(D38, ""en"", ""am"")"),"የመንደር አንድነትን ይወክላል።")</f>
        <v>የመንደር አንድነትን ይወክላል።</v>
      </c>
      <c r="K38" s="5" t="str">
        <f>IFERROR(__xludf.DUMMYFUNCTION("GOOGLETRANSLATE(E38, ""en"", ""am"")"),"የሜዳው ስፋት ብዙውን ጊዜ ለመጫወት የመንደሩን አንድነት ይወክላል.")</f>
        <v>የሜዳው ስፋት ብዙውን ጊዜ ለመጫወት የመንደሩን አንድነት ይወክላል.</v>
      </c>
    </row>
    <row r="39" ht="22.5" customHeight="1">
      <c r="A39" s="3">
        <v>38.0</v>
      </c>
      <c r="B39" s="4" t="s">
        <v>154</v>
      </c>
      <c r="C39" s="4" t="s">
        <v>155</v>
      </c>
      <c r="D39" s="4" t="s">
        <v>63</v>
      </c>
      <c r="E39" s="4" t="s">
        <v>156</v>
      </c>
      <c r="G39" s="5" t="str">
        <f>IFERROR(__xludf.DUMMYFUNCTION("GOOGLETRANSLATE(A39, ""en"", ""am"")"),"38")</f>
        <v>38</v>
      </c>
      <c r="H39" s="5" t="str">
        <f>IFERROR(__xludf.DUMMYFUNCTION("GOOGLETRANSLATE(B39, ""en"", ""am"")"),"የገና ስፖርቶች በዘመናዊ የኢትዮጵያ ስፖርቶች ላይ ምን ተፅዕኖ አሳድረዋል?")</f>
        <v>የገና ስፖርቶች በዘመናዊ የኢትዮጵያ ስፖርቶች ላይ ምን ተፅዕኖ አሳድረዋል?</v>
      </c>
      <c r="I39" s="5" t="str">
        <f>IFERROR(__xludf.DUMMYFUNCTION("GOOGLETRANSLATE(C39, ""en"", ""am"")"),"ሀ. የቡድን ስራን ያዳበረ ለ. አበረታች ሆኪ ሐ. የተሻሻለ የአትሌቲክስ ባህል መ. ሁሉም ከላይ ያሉት")</f>
        <v>ሀ. የቡድን ስራን ያዳበረ ለ. አበረታች ሆኪ ሐ. የተሻሻለ የአትሌቲክስ ባህል መ. ሁሉም ከላይ ያሉት</v>
      </c>
      <c r="J39" s="5" t="str">
        <f>IFERROR(__xludf.DUMMYFUNCTION("GOOGLETRANSLATE(D39, ""en"", ""am"")"),"ከላይ ያሉት ሁሉም")</f>
        <v>ከላይ ያሉት ሁሉም</v>
      </c>
      <c r="K39" s="5" t="str">
        <f>IFERROR(__xludf.DUMMYFUNCTION("GOOGLETRANSLATE(E39, ""en"", ""am"")"),"ስፖርት በኢትዮጵያ የቡድን ስራን፣ የሜዳ ሆኪ ቴክኒኮችን እና የአትሌቲክስ ባህልን አነሳስቷል።")</f>
        <v>ስፖርት በኢትዮጵያ የቡድን ስራን፣ የሜዳ ሆኪ ቴክኒኮችን እና የአትሌቲክስ ባህልን አነሳስቷል።</v>
      </c>
    </row>
    <row r="40" ht="22.5" customHeight="1">
      <c r="A40" s="3">
        <v>39.0</v>
      </c>
      <c r="B40" s="4" t="s">
        <v>157</v>
      </c>
      <c r="C40" s="4" t="s">
        <v>158</v>
      </c>
      <c r="D40" s="4" t="s">
        <v>159</v>
      </c>
      <c r="E40" s="4" t="s">
        <v>160</v>
      </c>
      <c r="G40" s="5" t="str">
        <f>IFERROR(__xludf.DUMMYFUNCTION("GOOGLETRANSLATE(A40, ""en"", ""am"")"),"39")</f>
        <v>39</v>
      </c>
      <c r="H40" s="5" t="str">
        <f>IFERROR(__xludf.DUMMYFUNCTION("GOOGLETRANSLATE(B40, ""en"", ""am"")"),"ለምንድን ነው ሴቶች በታሪክ ከስፖርት ጨዋታዎች የተገለሉት?")</f>
        <v>ለምንድን ነው ሴቶች በታሪክ ከስፖርት ጨዋታዎች የተገለሉት?</v>
      </c>
      <c r="I40" s="5" t="str">
        <f>IFERROR(__xludf.DUMMYFUNCTION("GOOGLETRANSLATE(C40, ""en"", ""am"")"),"ሀ. ባህላዊ ህጎች ለ. አካላዊ ፍላጎቶች ሐ. ፍላጎት ማጣት መ. የሃይማኖት ህጎች")</f>
        <v>ሀ. ባህላዊ ህጎች ለ. አካላዊ ፍላጎቶች ሐ. ፍላጎት ማጣት መ. የሃይማኖት ህጎች</v>
      </c>
      <c r="J40" s="5" t="str">
        <f>IFERROR(__xludf.DUMMYFUNCTION("GOOGLETRANSLATE(D40, ""en"", ""am"")"),"ባህላዊ ደንቦች")</f>
        <v>ባህላዊ ደንቦች</v>
      </c>
      <c r="K40" s="5" t="str">
        <f>IFERROR(__xludf.DUMMYFUNCTION("GOOGLETRANSLATE(E40, ""en"", ""am"")"),"ባህላዊ ደንቦች ሴቶች በገና ስፖርቶች ላይ እንዳይሳተፉ ገድበዋል.")</f>
        <v>ባህላዊ ደንቦች ሴቶች በገና ስፖርቶች ላይ እንዳይሳተፉ ገድበዋል.</v>
      </c>
    </row>
    <row r="41" ht="22.5" customHeight="1">
      <c r="A41" s="3">
        <v>40.0</v>
      </c>
      <c r="B41" s="4" t="s">
        <v>161</v>
      </c>
      <c r="C41" s="4" t="s">
        <v>162</v>
      </c>
      <c r="D41" s="4" t="s">
        <v>39</v>
      </c>
      <c r="E41" s="4" t="s">
        <v>163</v>
      </c>
      <c r="G41" s="5" t="str">
        <f>IFERROR(__xludf.DUMMYFUNCTION("GOOGLETRANSLATE(A41, ""en"", ""am"")"),"40")</f>
        <v>40</v>
      </c>
      <c r="H41" s="5" t="str">
        <f>IFERROR(__xludf.DUMMYFUNCTION("GOOGLETRANSLATE(B41, ""en"", ""am"")"),"የትኛው ዘመናዊ የኢትዮጵያ ፌስቲቫል ስፖርትን እንደ ዋና ክስተት ያካትታል?")</f>
        <v>የትኛው ዘመናዊ የኢትዮጵያ ፌስቲቫል ስፖርትን እንደ ዋና ክስተት ያካትታል?</v>
      </c>
      <c r="I41" s="5" t="str">
        <f>IFERROR(__xludf.DUMMYFUNCTION("GOOGLETRANSLATE(C41, ""en"", ""am"")"),"ኤፒፋኒ ለ. የእውነተኛው መስቀል ፍለጋ ሐ. የገና በዓል መ. ፋሲካ")</f>
        <v>ኤፒፋኒ ለ. የእውነተኛው መስቀል ፍለጋ ሐ. የገና በዓል መ. ፋሲካ</v>
      </c>
      <c r="J41" s="5" t="str">
        <f>IFERROR(__xludf.DUMMYFUNCTION("GOOGLETRANSLATE(D41, ""en"", ""am"")"),"የገና በዓል")</f>
        <v>የገና በዓል</v>
      </c>
      <c r="K41" s="5" t="str">
        <f>IFERROR(__xludf.DUMMYFUNCTION("GOOGLETRANSLATE(E41, ""en"", ""am"")"),"የገና ፌስቲቫል ጨዋታውን እንደ ባህላዊ እና ባህላዊ ክስተት አጉልቶ ያሳያል።")</f>
        <v>የገና ፌስቲቫል ጨዋታውን እንደ ባህላዊ እና ባህላዊ ክስተት አጉልቶ ያሳያል።</v>
      </c>
    </row>
    <row r="42" ht="22.5" customHeight="1">
      <c r="A42" s="3">
        <v>41.0</v>
      </c>
      <c r="B42" s="4" t="s">
        <v>164</v>
      </c>
      <c r="C42" s="4" t="s">
        <v>165</v>
      </c>
      <c r="D42" s="4" t="s">
        <v>166</v>
      </c>
      <c r="E42" s="4" t="s">
        <v>167</v>
      </c>
      <c r="G42" s="5" t="str">
        <f>IFERROR(__xludf.DUMMYFUNCTION("GOOGLETRANSLATE(A42, ""en"", ""am"")"),"41")</f>
        <v>41</v>
      </c>
      <c r="H42" s="5" t="str">
        <f>IFERROR(__xludf.DUMMYFUNCTION("GOOGLETRANSLATE(B42, ""en"", ""am"")"),"የገና ስፖርት አሸናፊዎች በባህላዊ መንገድ የተሸለሙት እንዴት ነበር?")</f>
        <v>የገና ስፖርት አሸናፊዎች በባህላዊ መንገድ የተሸለሙት እንዴት ነበር?</v>
      </c>
      <c r="I42" s="5" t="str">
        <f>IFERROR(__xludf.DUMMYFUNCTION("GOOGLETRANSLATE(C42, ""en"", ""am"")"),"ሀ. ገንዘብ ለ. ምግብ እና መጠጦች ሐ. ክብር እና እውቅና D. ጌጣጌጥ")</f>
        <v>ሀ. ገንዘብ ለ. ምግብ እና መጠጦች ሐ. ክብር እና እውቅና D. ጌጣጌጥ</v>
      </c>
      <c r="J42" s="5" t="str">
        <f>IFERROR(__xludf.DUMMYFUNCTION("GOOGLETRANSLATE(D42, ""en"", ""am"")"),"ክብር እና እውቅና")</f>
        <v>ክብር እና እውቅና</v>
      </c>
      <c r="K42" s="5" t="str">
        <f>IFERROR(__xludf.DUMMYFUNCTION("GOOGLETRANSLATE(E42, ""en"", ""am"")"),"አሸናፊዎች እንደ ጠንካራ እና ችሎታ ያላቸው ተጫዋቾች በባህላዊ ክብር እና ሽልማት ያገኛሉ።")</f>
        <v>አሸናፊዎች እንደ ጠንካራ እና ችሎታ ያላቸው ተጫዋቾች በባህላዊ ክብር እና ሽልማት ያገኛሉ።</v>
      </c>
    </row>
    <row r="43" ht="22.5" customHeight="1">
      <c r="A43" s="3">
        <v>42.0</v>
      </c>
      <c r="B43" s="4" t="s">
        <v>168</v>
      </c>
      <c r="C43" s="4" t="s">
        <v>169</v>
      </c>
      <c r="D43" s="4" t="s">
        <v>170</v>
      </c>
      <c r="E43" s="4" t="s">
        <v>171</v>
      </c>
      <c r="G43" s="5" t="str">
        <f>IFERROR(__xludf.DUMMYFUNCTION("GOOGLETRANSLATE(A43, ""en"", ""am"")"),"42")</f>
        <v>42</v>
      </c>
      <c r="H43" s="5" t="str">
        <f>IFERROR(__xludf.DUMMYFUNCTION("GOOGLETRANSLATE(B43, ""en"", ""am"")"),"በገና ስፖርት ውስጥ ልጆች በታሪክ ምን ሚና ተጫውተዋል?")</f>
        <v>በገና ስፖርት ውስጥ ልጆች በታሪክ ምን ሚና ተጫውተዋል?</v>
      </c>
      <c r="I43" s="5" t="str">
        <f>IFERROR(__xludf.DUMMYFUNCTION("GOOGLETRANSLATE(C43, ""en"", ""am"")"),"ሀ. ተመልካቾች ለ. ተጫዋቾች ሐ. አይዟችሁ። መ. ረዳቶች")</f>
        <v>ሀ. ተመልካቾች ለ. ተጫዋቾች ሐ. አይዟችሁ። መ. ረዳቶች</v>
      </c>
      <c r="J43" s="5" t="str">
        <f>IFERROR(__xludf.DUMMYFUNCTION("GOOGLETRANSLATE(D43, ""en"", ""am"")"),"ተጫዋቾች")</f>
        <v>ተጫዋቾች</v>
      </c>
      <c r="K43" s="5" t="str">
        <f>IFERROR(__xludf.DUMMYFUNCTION("GOOGLETRANSLATE(E43, ""en"", ""am"")"),"ልጆች ብዙውን ጊዜ በጨዋታዎች ውስጥ ይሳተፋሉ, ወጎችን እና ክህሎቶችን ይማራሉ.")</f>
        <v>ልጆች ብዙውን ጊዜ በጨዋታዎች ውስጥ ይሳተፋሉ, ወጎችን እና ክህሎቶችን ይማራሉ.</v>
      </c>
    </row>
    <row r="44" ht="22.5" customHeight="1">
      <c r="A44" s="3">
        <v>43.0</v>
      </c>
      <c r="B44" s="4" t="s">
        <v>172</v>
      </c>
      <c r="C44" s="4" t="s">
        <v>173</v>
      </c>
      <c r="D44" s="4" t="s">
        <v>63</v>
      </c>
      <c r="E44" s="4" t="s">
        <v>174</v>
      </c>
      <c r="G44" s="5" t="str">
        <f>IFERROR(__xludf.DUMMYFUNCTION("GOOGLETRANSLATE(A44, ""en"", ""am"")"),"43")</f>
        <v>43</v>
      </c>
      <c r="H44" s="5" t="str">
        <f>IFERROR(__xludf.DUMMYFUNCTION("GOOGLETRANSLATE(B44, ""en"", ""am"")"),"ስፖርት የኢትዮጵያን ባህል በመጠበቅ ረገድ ያለው ሚና ምን ይመስላል?")</f>
        <v>ስፖርት የኢትዮጵያን ባህል በመጠበቅ ረገድ ያለው ሚና ምን ይመስላል?</v>
      </c>
      <c r="I44" s="5" t="str">
        <f>IFERROR(__xludf.DUMMYFUNCTION("GOOGLETRANSLATE(C44, ""en"", ""am"")"),"ሀ. ታሪካዊ ትስስር ለ. መንፈሳዊ ጠቀሜታ ሐ. ማህበራዊ አንድነት መ. ከላይ ያሉት ሁሉም")</f>
        <v>ሀ. ታሪካዊ ትስስር ለ. መንፈሳዊ ጠቀሜታ ሐ. ማህበራዊ አንድነት መ. ከላይ ያሉት ሁሉም</v>
      </c>
      <c r="J44" s="5" t="str">
        <f>IFERROR(__xludf.DUMMYFUNCTION("GOOGLETRANSLATE(D44, ""en"", ""am"")"),"ከላይ ያሉት ሁሉም")</f>
        <v>ከላይ ያሉት ሁሉም</v>
      </c>
      <c r="K44" s="5" t="str">
        <f>IFERROR(__xludf.DUMMYFUNCTION("GOOGLETRANSLATE(E44, ""en"", ""am"")"),"ጨዋታው በታሪካዊ፣ ማህበራዊ እና መንፈሳዊ ትስስር የኢትዮጵያን ባህል ይጠብቃል።")</f>
        <v>ጨዋታው በታሪካዊ፣ ማህበራዊ እና መንፈሳዊ ትስስር የኢትዮጵያን ባህል ይጠብቃል።</v>
      </c>
    </row>
    <row r="45" ht="22.5" customHeight="1">
      <c r="A45" s="3">
        <v>44.0</v>
      </c>
      <c r="B45" s="4" t="s">
        <v>175</v>
      </c>
      <c r="C45" s="4" t="s">
        <v>176</v>
      </c>
      <c r="D45" s="4" t="s">
        <v>177</v>
      </c>
      <c r="E45" s="4" t="s">
        <v>178</v>
      </c>
      <c r="G45" s="5" t="str">
        <f>IFERROR(__xludf.DUMMYFUNCTION("GOOGLETRANSLATE(A45, ""en"", ""am"")"),"44")</f>
        <v>44</v>
      </c>
      <c r="H45" s="5" t="str">
        <f>IFERROR(__xludf.DUMMYFUNCTION("GOOGLETRANSLATE(B45, ""en"", ""am"")"),"የአየር ሁኔታ በታሪክ በጄና የስፖርት ግጥሚያዎች ላይ ምን ተጽዕኖ አሳድሯል?")</f>
        <v>የአየር ሁኔታ በታሪክ በጄና የስፖርት ግጥሚያዎች ላይ ምን ተጽዕኖ አሳድሯል?</v>
      </c>
      <c r="I45" s="5" t="str">
        <f>IFERROR(__xludf.DUMMYFUNCTION("GOOGLETRANSLATE(C45, ""en"", ""am"")"),"ሀ. የአየር ሁኔታው ​​ምንም ይሁን ምን ተጫውቷል ለ. በፀሐይ ውስጥ ብቻ ተጫውቷል ሐ. በዝናብ ምክንያት ለሌላ ጊዜ ተላለፈ መ. በክረምት ብቻ ተጫውቷል.")</f>
        <v>ሀ. የአየር ሁኔታው ​​ምንም ይሁን ምን ተጫውቷል ለ. በፀሐይ ውስጥ ብቻ ተጫውቷል ሐ. በዝናብ ምክንያት ለሌላ ጊዜ ተላለፈ መ. በክረምት ብቻ ተጫውቷል.</v>
      </c>
      <c r="J45" s="5" t="str">
        <f>IFERROR(__xludf.DUMMYFUNCTION("GOOGLETRANSLATE(D45, ""en"", ""am"")"),"የአየር ሁኔታ ምንም ይሁን ምን ተጫውቷል")</f>
        <v>የአየር ሁኔታ ምንም ይሁን ምን ተጫውቷል</v>
      </c>
      <c r="K45" s="5" t="str">
        <f>IFERROR(__xludf.DUMMYFUNCTION("GOOGLETRANSLATE(E45, ""en"", ""am"")"),"የአየሩ ሁኔታ ምንም ይሁን ምን የህብረተሰቡን መንፈስ በማጉላት የገና ጨዋታዎች ተካሂደዋል።")</f>
        <v>የአየሩ ሁኔታ ምንም ይሁን ምን የህብረተሰቡን መንፈስ በማጉላት የገና ጨዋታዎች ተካሂደዋል።</v>
      </c>
    </row>
    <row r="46" ht="22.5" customHeight="1">
      <c r="A46" s="3">
        <v>45.0</v>
      </c>
      <c r="B46" s="4" t="s">
        <v>179</v>
      </c>
      <c r="C46" s="4" t="s">
        <v>180</v>
      </c>
      <c r="D46" s="4" t="s">
        <v>181</v>
      </c>
      <c r="E46" s="4" t="s">
        <v>182</v>
      </c>
      <c r="G46" s="5" t="str">
        <f>IFERROR(__xludf.DUMMYFUNCTION("GOOGLETRANSLATE(A46, ""en"", ""am"")"),"45")</f>
        <v>45</v>
      </c>
      <c r="H46" s="5" t="str">
        <f>IFERROR(__xludf.DUMMYFUNCTION("GOOGLETRANSLATE(B46, ""en"", ""am"")"),"በገና ስፖርቶች ውስጥ የማስቆጠር ምሳሌያዊ ትርጉም ምንድን ነው?")</f>
        <v>በገና ስፖርቶች ውስጥ የማስቆጠር ምሳሌያዊ ትርጉም ምንድን ነው?</v>
      </c>
      <c r="I46" s="5" t="str">
        <f>IFERROR(__xludf.DUMMYFUNCTION("GOOGLETRANSLATE(C46, ""en"", ""am"")"),"ሀ. በክፉ ላይ ድል ለ. የህይወት ስኬት ሐ. ደስታ እና ድግስ መ. አንድነት እና የቡድን ስራ")</f>
        <v>ሀ. በክፉ ላይ ድል ለ. የህይወት ስኬት ሐ. ደስታ እና ድግስ መ. አንድነት እና የቡድን ስራ</v>
      </c>
      <c r="J46" s="5" t="str">
        <f>IFERROR(__xludf.DUMMYFUNCTION("GOOGLETRANSLATE(D46, ""en"", ""am"")"),"በክፉ ላይ ድል")</f>
        <v>በክፉ ላይ ድል</v>
      </c>
      <c r="K46" s="5" t="str">
        <f>IFERROR(__xludf.DUMMYFUNCTION("GOOGLETRANSLATE(E46, ""en"", ""am"")"),"ውጤት ማስመዝገብ ብዙውን ጊዜ በፈተና ውስጥ የስኬት ምልክት ተደርጎ ይታያል።")</f>
        <v>ውጤት ማስመዝገብ ብዙውን ጊዜ በፈተና ውስጥ የስኬት ምልክት ተደርጎ ይታያል።</v>
      </c>
    </row>
    <row r="47" ht="22.5" customHeight="1">
      <c r="A47" s="3">
        <v>46.0</v>
      </c>
      <c r="B47" s="4" t="s">
        <v>183</v>
      </c>
      <c r="C47" s="4" t="s">
        <v>184</v>
      </c>
      <c r="D47" s="4" t="s">
        <v>185</v>
      </c>
      <c r="E47" s="4" t="s">
        <v>186</v>
      </c>
      <c r="G47" s="5" t="str">
        <f>IFERROR(__xludf.DUMMYFUNCTION("GOOGLETRANSLATE(A47, ""en"", ""am"")"),"46")</f>
        <v>46</v>
      </c>
      <c r="H47" s="5" t="str">
        <f>IFERROR(__xludf.DUMMYFUNCTION("GOOGLETRANSLATE(B47, ""en"", ""am"")"),"የገና ስፖርት መገኛ ተብሎ የሚታወቀው የኢትዮጵያ ታሪካዊ ክልል የትኛው ነው?")</f>
        <v>የገና ስፖርት መገኛ ተብሎ የሚታወቀው የኢትዮጵያ ታሪካዊ ክልል የትኛው ነው?</v>
      </c>
      <c r="I47" s="5" t="str">
        <f>IFERROR(__xludf.DUMMYFUNCTION("GOOGLETRANSLATE(C47, ""en"", ""am"")"),"አ.ሸዋ ብ ትግራይ ሲ ጎንደር ዲ.አክሱም")</f>
        <v>አ.ሸዋ ብ ትግራይ ሲ ጎንደር ዲ.አክሱም</v>
      </c>
      <c r="J47" s="5" t="str">
        <f>IFERROR(__xludf.DUMMYFUNCTION("GOOGLETRANSLATE(D47, ""en"", ""am"")"),"ጎንደር")</f>
        <v>ጎንደር</v>
      </c>
      <c r="K47" s="5" t="str">
        <f>IFERROR(__xludf.DUMMYFUNCTION("GOOGLETRANSLATE(E47, ""en"", ""am"")"),"የገና ስፖርት መነሻው ጎንደር እንደሆነ ይታመናል።")</f>
        <v>የገና ስፖርት መነሻው ጎንደር እንደሆነ ይታመናል።</v>
      </c>
    </row>
    <row r="48" ht="22.5" customHeight="1">
      <c r="A48" s="3">
        <v>47.0</v>
      </c>
      <c r="B48" s="4" t="s">
        <v>187</v>
      </c>
      <c r="C48" s="4" t="s">
        <v>188</v>
      </c>
      <c r="D48" s="4" t="s">
        <v>189</v>
      </c>
      <c r="E48" s="4" t="s">
        <v>190</v>
      </c>
      <c r="G48" s="5" t="str">
        <f>IFERROR(__xludf.DUMMYFUNCTION("GOOGLETRANSLATE(A48, ""en"", ""am"")"),"47")</f>
        <v>47</v>
      </c>
      <c r="H48" s="5" t="str">
        <f>IFERROR(__xludf.DUMMYFUNCTION("GOOGLETRANSLATE(B48, ""en"", ""am"")"),"የገና ስፖርቶች በጥንት ጊዜ መከሩን ለማክበር ምን ሚና ተጫውተዋል?")</f>
        <v>የገና ስፖርቶች በጥንት ጊዜ መከሩን ለማክበር ምን ሚና ተጫውተዋል?</v>
      </c>
      <c r="I48" s="5" t="str">
        <f>IFERROR(__xludf.DUMMYFUNCTION("GOOGLETRANSLATE(C48, ""en"", ""am"")"),"ሀ. ለመልካም ምርት ጸሎቶች ለ.እግዚአብሔር ይመስገን። ሐ. የማህበረሰብ ደስታን ምልክት ማድረግ መ. ከላይ ከተጠቀሱት ውስጥ አንዳቸውም አይደሉም")</f>
        <v>ሀ. ለመልካም ምርት ጸሎቶች ለ.እግዚአብሔር ይመስገን። ሐ. የማህበረሰብ ደስታን ምልክት ማድረግ መ. ከላይ ከተጠቀሱት ውስጥ አንዳቸውም አይደሉም</v>
      </c>
      <c r="J48" s="5" t="str">
        <f>IFERROR(__xludf.DUMMYFUNCTION("GOOGLETRANSLATE(D48, ""en"", ""am"")"),"የማህበረሰብ ደስታን ምልክት ማድረግ")</f>
        <v>የማህበረሰብ ደስታን ምልክት ማድረግ</v>
      </c>
      <c r="K48" s="5" t="str">
        <f>IFERROR(__xludf.DUMMYFUNCTION("GOOGLETRANSLATE(E48, ""en"", ""am"")"),"የገና ስፖርቶች ብዙውን ጊዜ የሚጫወቱት በመጸው በዓላት ወቅት የጋራ አከባበር ምልክት ነው።")</f>
        <v>የገና ስፖርቶች ብዙውን ጊዜ የሚጫወቱት በመጸው በዓላት ወቅት የጋራ አከባበር ምልክት ነው።</v>
      </c>
    </row>
    <row r="49" ht="22.5" customHeight="1">
      <c r="A49" s="3">
        <v>48.0</v>
      </c>
      <c r="B49" s="4" t="s">
        <v>191</v>
      </c>
      <c r="C49" s="4" t="s">
        <v>192</v>
      </c>
      <c r="D49" s="4" t="s">
        <v>51</v>
      </c>
      <c r="E49" s="4" t="s">
        <v>193</v>
      </c>
      <c r="G49" s="5" t="str">
        <f>IFERROR(__xludf.DUMMYFUNCTION("GOOGLETRANSLATE(A49, ""en"", ""am"")"),"48")</f>
        <v>48</v>
      </c>
      <c r="H49" s="5" t="str">
        <f>IFERROR(__xludf.DUMMYFUNCTION("GOOGLETRANSLATE(B49, ""en"", ""am"")"),"ስፖርትን እንደ ባህል ባህል ያስተዋወቀው የትኛው የኢትዮጵያ ንጉሠ ነገሥት ነው?")</f>
        <v>ስፖርትን እንደ ባህል ባህል ያስተዋወቀው የትኛው የኢትዮጵያ ንጉሠ ነገሥት ነው?</v>
      </c>
      <c r="I49" s="5" t="str">
        <f>IFERROR(__xludf.DUMMYFUNCTION("GOOGLETRANSLATE(C49, ""en"", ""am"")"),"ሀ/ ኃይለሥላሴ ብ.ዮሐንስ 4ኛ ሐ. ዳግማዊ ምኒልክ ዲ. ዘርዓ ያዕቆብ")</f>
        <v>ሀ/ ኃይለሥላሴ ብ.ዮሐንስ 4ኛ ሐ. ዳግማዊ ምኒልክ ዲ. ዘርዓ ያዕቆብ</v>
      </c>
      <c r="J49" s="5" t="str">
        <f>IFERROR(__xludf.DUMMYFUNCTION("GOOGLETRANSLATE(D49, ""en"", ""am"")"),"ኃይለ ሥላሴ")</f>
        <v>ኃይለ ሥላሴ</v>
      </c>
      <c r="K49" s="5" t="str">
        <f>IFERROR(__xludf.DUMMYFUNCTION("GOOGLETRANSLATE(E49, ""en"", ""am"")"),"አፄ ኃይለ ሥላሴ በበዓል ወቅት ስፖርት እንዲጫወቱ አበረታተው ባህሉ እንዲጠበቅ አድርገዋል።")</f>
        <v>አፄ ኃይለ ሥላሴ በበዓል ወቅት ስፖርት እንዲጫወቱ አበረታተው ባህሉ እንዲጠበቅ አድርገዋል።</v>
      </c>
    </row>
    <row r="50" ht="22.5" customHeight="1">
      <c r="A50" s="3">
        <v>49.0</v>
      </c>
      <c r="B50" s="4" t="s">
        <v>194</v>
      </c>
      <c r="C50" s="4" t="s">
        <v>195</v>
      </c>
      <c r="D50" s="4" t="s">
        <v>196</v>
      </c>
      <c r="E50" s="4" t="s">
        <v>197</v>
      </c>
      <c r="G50" s="5" t="str">
        <f>IFERROR(__xludf.DUMMYFUNCTION("GOOGLETRANSLATE(A50, ""en"", ""am"")"),"49")</f>
        <v>49</v>
      </c>
      <c r="H50" s="5" t="str">
        <f>IFERROR(__xludf.DUMMYFUNCTION("GOOGLETRANSLATE(B50, ""en"", ""am"")"),"በገና ስፖርት ውስጥ ያሉት እንጨቶች ከጨዋታው በፊት ምን ታሪካዊ ዓላማ አገለገሉ?")</f>
        <v>በገና ስፖርት ውስጥ ያሉት እንጨቶች ከጨዋታው በፊት ምን ታሪካዊ ዓላማ አገለገሉ?</v>
      </c>
      <c r="I50" s="5" t="str">
        <f>IFERROR(__xludf.DUMMYFUNCTION("GOOGLETRANSLATE(C50, ""en"", ""am"")"),"ሀ. እርሻ ለ. ራስን መከላከል ሐ. ሃይማኖታዊ ሥርዓቶች D. አደን")</f>
        <v>ሀ. እርሻ ለ. ራስን መከላከል ሐ. ሃይማኖታዊ ሥርዓቶች D. አደን</v>
      </c>
      <c r="J50" s="5" t="str">
        <f>IFERROR(__xludf.DUMMYFUNCTION("GOOGLETRANSLATE(D50, ""en"", ""am"")"),"ራስን መከላከል")</f>
        <v>ራስን መከላከል</v>
      </c>
      <c r="K50" s="5" t="str">
        <f>IFERROR(__xludf.DUMMYFUNCTION("GOOGLETRANSLATE(E50, ""en"", ""am"")"),"ገና ለገና ስፖርት ጥቅም ላይ የሚውሉት ዱላዎች በኢትዮጵያ መንደር ራስን ለመከላከል በታሪክ ይጠቅማሉ።")</f>
        <v>ገና ለገና ስፖርት ጥቅም ላይ የሚውሉት ዱላዎች በኢትዮጵያ መንደር ራስን ለመከላከል በታሪክ ይጠቅማሉ።</v>
      </c>
    </row>
    <row r="51" ht="22.5" customHeight="1">
      <c r="A51" s="3">
        <v>50.0</v>
      </c>
      <c r="B51" s="4" t="s">
        <v>198</v>
      </c>
      <c r="C51" s="4" t="s">
        <v>199</v>
      </c>
      <c r="D51" s="4" t="s">
        <v>200</v>
      </c>
      <c r="E51" s="4" t="s">
        <v>201</v>
      </c>
      <c r="G51" s="5" t="str">
        <f>IFERROR(__xludf.DUMMYFUNCTION("GOOGLETRANSLATE(A51, ""en"", ""am"")"),"50")</f>
        <v>50</v>
      </c>
      <c r="H51" s="5" t="str">
        <f>IFERROR(__xludf.DUMMYFUNCTION("GOOGLETRANSLATE(B51, ""en"", ""am"")"),"ከገና ስፖርቶች ጋር በጣም የተቆራኘው በኢትዮጵያ የትኛው በዓል ነው?")</f>
        <v>ከገና ስፖርቶች ጋር በጣም የተቆራኘው በኢትዮጵያ የትኛው በዓል ነው?</v>
      </c>
      <c r="I51" s="5" t="str">
        <f>IFERROR(__xludf.DUMMYFUNCTION("GOOGLETRANSLATE(C51, ""en"", ""am"")"),"ሀ. ገና (ገና) ለ. ጥምቀት (ኤጲፋንያ) ሐ. መስቀል (መስቀል ፍለጋ) መ. የአዲስ ዓመት ዋዜማ")</f>
        <v>ሀ. ገና (ገና) ለ. ጥምቀት (ኤጲፋንያ) ሐ. መስቀል (መስቀል ፍለጋ) መ. የአዲስ ዓመት ዋዜማ</v>
      </c>
      <c r="J51" s="5" t="str">
        <f>IFERROR(__xludf.DUMMYFUNCTION("GOOGLETRANSLATE(D51, ""en"", ""am"")"),"ገና (ገና)")</f>
        <v>ገና (ገና)</v>
      </c>
      <c r="K51" s="5" t="str">
        <f>IFERROR(__xludf.DUMMYFUNCTION("GOOGLETRANSLATE(E51, ""en"", ""am"")"),"የገና ስፖርት በዋናነት የሚካሄደው በኢትዮጵያ የገና አከባበር ላይ ነው።")</f>
        <v>የገና ስፖርት በዋናነት የሚካሄደው በኢትዮጵያ የገና አከባበር ላይ ነው።</v>
      </c>
    </row>
    <row r="52" ht="22.5" customHeight="1">
      <c r="A52" s="3">
        <v>51.0</v>
      </c>
      <c r="B52" s="4" t="s">
        <v>202</v>
      </c>
      <c r="C52" s="4" t="s">
        <v>203</v>
      </c>
      <c r="D52" s="4" t="s">
        <v>204</v>
      </c>
      <c r="E52" s="4" t="s">
        <v>205</v>
      </c>
      <c r="G52" s="5" t="str">
        <f>IFERROR(__xludf.DUMMYFUNCTION("GOOGLETRANSLATE(A52, ""en"", ""am"")"),"51")</f>
        <v>51</v>
      </c>
      <c r="H52" s="5" t="str">
        <f>IFERROR(__xludf.DUMMYFUNCTION("GOOGLETRANSLATE(B52, ""en"", ""am"")"),"ስፖርት በታሪክ የመሪነት ፈተና ተደርጎ የሚወሰደው ለምንድን ነው?")</f>
        <v>ስፖርት በታሪክ የመሪነት ፈተና ተደርጎ የሚወሰደው ለምንድን ነው?</v>
      </c>
      <c r="I52" s="5" t="str">
        <f>IFERROR(__xludf.DUMMYFUNCTION("GOOGLETRANSLATE(C52, ""en"", ""am"")"),"ሀ. መሪዎቹ የቡድን ካፒቴኖች ነበሩ። ለ. መሪዎቹ የተካኑ ተጫዋቾች ነበሩ። ሐ. የቡድን ሥራ ችሎታዎችን ገንብቷል። መ. የውሳኔ አሰጣጥ አሳይቷል።")</f>
        <v>ሀ. መሪዎቹ የቡድን ካፒቴኖች ነበሩ። ለ. መሪዎቹ የተካኑ ተጫዋቾች ነበሩ። ሐ. የቡድን ሥራ ችሎታዎችን ገንብቷል። መ. የውሳኔ አሰጣጥ አሳይቷል።</v>
      </c>
      <c r="J52" s="5" t="str">
        <f>IFERROR(__xludf.DUMMYFUNCTION("GOOGLETRANSLATE(D52, ""en"", ""am"")"),"የቡድን ስራ ችሎታዎችን ገንብቷል።")</f>
        <v>የቡድን ስራ ችሎታዎችን ገንብቷል።</v>
      </c>
      <c r="K52" s="5" t="str">
        <f>IFERROR(__xludf.DUMMYFUNCTION("GOOGLETRANSLATE(E52, ""en"", ""am"")"),"ጨዋታው በቡድን እና በስትራቴጂካዊ ጨዋታ የአመራር ባህሪያትን አስተዋውቋል።")</f>
        <v>ጨዋታው በቡድን እና በስትራቴጂካዊ ጨዋታ የአመራር ባህሪያትን አስተዋውቋል።</v>
      </c>
    </row>
    <row r="53" ht="22.5" customHeight="1">
      <c r="A53" s="3">
        <v>52.0</v>
      </c>
      <c r="B53" s="4" t="s">
        <v>206</v>
      </c>
      <c r="C53" s="4" t="s">
        <v>207</v>
      </c>
      <c r="D53" s="4" t="s">
        <v>208</v>
      </c>
      <c r="E53" s="4" t="s">
        <v>209</v>
      </c>
      <c r="G53" s="5" t="str">
        <f>IFERROR(__xludf.DUMMYFUNCTION("GOOGLETRANSLATE(A53, ""en"", ""am"")"),"52")</f>
        <v>52</v>
      </c>
      <c r="H53" s="5" t="str">
        <f>IFERROR(__xludf.DUMMYFUNCTION("GOOGLETRANSLATE(B53, ""en"", ""am"")"),"የክርስትና መግቢያ በገና ስፖርቶች ላይ ምን ተጽዕኖ አሳድሯል?")</f>
        <v>የክርስትና መግቢያ በገና ስፖርቶች ላይ ምን ተጽዕኖ አሳድሯል?</v>
      </c>
      <c r="I53" s="5" t="str">
        <f>IFERROR(__xludf.DUMMYFUNCTION("GOOGLETRANSLATE(C53, ""en"", ""am"")"),"ሀ. ገና በገና ለ. የተቀየሩ ህጎች ሐ. የተገደበ ተሳትፎ መ. ታዋቂነት ጨምሯል።")</f>
        <v>ሀ. ገና በገና ለ. የተቀየሩ ህጎች ሐ. የተገደበ ተሳትፎ መ. ታዋቂነት ጨምሯል።</v>
      </c>
      <c r="J53" s="5" t="str">
        <f>IFERROR(__xludf.DUMMYFUNCTION("GOOGLETRANSLATE(D53, ""en"", ""am"")"),"በገና ውስጥ ተካትቷል")</f>
        <v>በገና ውስጥ ተካትቷል</v>
      </c>
      <c r="K53" s="5" t="str">
        <f>IFERROR(__xludf.DUMMYFUNCTION("GOOGLETRANSLATE(E53, ""en"", ""am"")"),"ክርስትና የኢትዮጵያ ገናን ባህል አካል አድርጎ ስፖርትን አካቷል።")</f>
        <v>ክርስትና የኢትዮጵያ ገናን ባህል አካል አድርጎ ስፖርትን አካቷል።</v>
      </c>
    </row>
    <row r="54" ht="22.5" customHeight="1">
      <c r="A54" s="3">
        <v>53.0</v>
      </c>
      <c r="B54" s="4" t="s">
        <v>210</v>
      </c>
      <c r="C54" s="4" t="s">
        <v>211</v>
      </c>
      <c r="D54" s="4" t="s">
        <v>212</v>
      </c>
      <c r="E54" s="4" t="s">
        <v>213</v>
      </c>
      <c r="G54" s="5" t="str">
        <f>IFERROR(__xludf.DUMMYFUNCTION("GOOGLETRANSLATE(A54, ""en"", ""am"")"),"53")</f>
        <v>53</v>
      </c>
      <c r="H54" s="5" t="str">
        <f>IFERROR(__xludf.DUMMYFUNCTION("GOOGLETRANSLATE(B54, ""en"", ""am"")"),"በገና ስፖርታዊ ውድድሮች ላይ ሽማግሌዎች በታሪክ ምን ሚና ተጫውተዋል?")</f>
        <v>በገና ስፖርታዊ ውድድሮች ላይ ሽማግሌዎች በታሪክ ምን ሚና ተጫውተዋል?</v>
      </c>
      <c r="I54" s="5" t="str">
        <f>IFERROR(__xludf.DUMMYFUNCTION("GOOGLETRANSLATE(C54, ""en"", ""am"")"),"ሀ. ተመልካቾች ለ. ዳኞች ሐ. የቡድን መሪዎች D. አይዟችሁ።")</f>
        <v>ሀ. ተመልካቾች ለ. ዳኞች ሐ. የቡድን መሪዎች D. አይዟችሁ።</v>
      </c>
      <c r="J54" s="5" t="str">
        <f>IFERROR(__xludf.DUMMYFUNCTION("GOOGLETRANSLATE(D54, ""en"", ""am"")"),"ዳኞች")</f>
        <v>ዳኞች</v>
      </c>
      <c r="K54" s="5" t="str">
        <f>IFERROR(__xludf.DUMMYFUNCTION("GOOGLETRANSLATE(E54, ""en"", ""am"")"),"ሽማግሌዎች በዳኝነት አገልግለዋል፣ ፍትሃዊ ጨዋታን በማረጋገጥ እና በጨዋታዎች ወቅት አለመግባባቶችን በመፍታት።")</f>
        <v>ሽማግሌዎች በዳኝነት አገልግለዋል፣ ፍትሃዊ ጨዋታን በማረጋገጥ እና በጨዋታዎች ወቅት አለመግባባቶችን በመፍታት።</v>
      </c>
    </row>
    <row r="55" ht="22.5" customHeight="1">
      <c r="A55" s="3">
        <v>54.0</v>
      </c>
      <c r="B55" s="4" t="s">
        <v>214</v>
      </c>
      <c r="C55" s="4" t="s">
        <v>215</v>
      </c>
      <c r="D55" s="4" t="s">
        <v>216</v>
      </c>
      <c r="E55" s="4" t="s">
        <v>217</v>
      </c>
      <c r="G55" s="5" t="str">
        <f>IFERROR(__xludf.DUMMYFUNCTION("GOOGLETRANSLATE(A55, ""en"", ""am"")"),"54")</f>
        <v>54</v>
      </c>
      <c r="H55" s="5" t="str">
        <f>IFERROR(__xludf.DUMMYFUNCTION("GOOGLETRANSLATE(B55, ""en"", ""am"")"),"በገና ስፖርቶች ውስጥ የተጫዋቾች ቁጥር በታሪክ ውስጥ ምን ትርጉም አለው?")</f>
        <v>በገና ስፖርቶች ውስጥ የተጫዋቾች ቁጥር በታሪክ ውስጥ ምን ትርጉም አለው?</v>
      </c>
      <c r="I55" s="5" t="str">
        <f>IFERROR(__xludf.DUMMYFUNCTION("GOOGLETRANSLATE(C55, ""en"", ""am"")"),"ሀ/ አንድነትን ይወክላል። ለ. ነገዶችን ይወክላል ሐ. ልዩ ትርጉም የለም. መ. የቡድን ስራን ያሳያል.")</f>
        <v>ሀ/ አንድነትን ይወክላል። ለ. ነገዶችን ይወክላል ሐ. ልዩ ትርጉም የለም. መ. የቡድን ስራን ያሳያል.</v>
      </c>
      <c r="J55" s="5" t="str">
        <f>IFERROR(__xludf.DUMMYFUNCTION("GOOGLETRANSLATE(D55, ""en"", ""am"")"),"የቡድን ስራን ያሳያል።")</f>
        <v>የቡድን ስራን ያሳያል።</v>
      </c>
      <c r="K55" s="5" t="str">
        <f>IFERROR(__xludf.DUMMYFUNCTION("GOOGLETRANSLATE(E55, ""en"", ""am"")"),"የተጫዋቾች ብዛት በማህበረሰቡ ውስጥ ያለውን የቡድን ስራ እና ቅንጅትን ያጎላል።")</f>
        <v>የተጫዋቾች ብዛት በማህበረሰቡ ውስጥ ያለውን የቡድን ስራ እና ቅንጅትን ያጎላል።</v>
      </c>
    </row>
    <row r="56" ht="22.5" customHeight="1">
      <c r="A56" s="3">
        <v>55.0</v>
      </c>
      <c r="B56" s="4" t="s">
        <v>218</v>
      </c>
      <c r="C56" s="4" t="s">
        <v>219</v>
      </c>
      <c r="D56" s="4" t="s">
        <v>220</v>
      </c>
      <c r="E56" s="4" t="s">
        <v>221</v>
      </c>
      <c r="G56" s="5" t="str">
        <f>IFERROR(__xludf.DUMMYFUNCTION("GOOGLETRANSLATE(A56, ""en"", ""am"")"),"55")</f>
        <v>55</v>
      </c>
      <c r="H56" s="5" t="str">
        <f>IFERROR(__xludf.DUMMYFUNCTION("GOOGLETRANSLATE(B56, ""en"", ""am"")"),"ባህላዊው የገና ስፖርት የውጤት አሰጣጥ ስርዓት ምንን ይወክላል?")</f>
        <v>ባህላዊው የገና ስፖርት የውጤት አሰጣጥ ስርዓት ምንን ይወክላል?</v>
      </c>
      <c r="I56" s="5" t="str">
        <f>IFERROR(__xludf.DUMMYFUNCTION("GOOGLETRANSLATE(C56, ""en"", ""am"")"),"ሀ. በተቃዋሚዎች ላይ ድል ለ. በማህበረሰቡ ውስጥ ስኬት ሐ. በረከት መ. ትክክለኛ ውድድር")</f>
        <v>ሀ. በተቃዋሚዎች ላይ ድል ለ. በማህበረሰቡ ውስጥ ስኬት ሐ. በረከት መ. ትክክለኛ ውድድር</v>
      </c>
      <c r="J56" s="5" t="str">
        <f>IFERROR(__xludf.DUMMYFUNCTION("GOOGLETRANSLATE(D56, ""en"", ""am"")"),"ፍትሃዊ ውድድር")</f>
        <v>ፍትሃዊ ውድድር</v>
      </c>
      <c r="K56" s="5" t="str">
        <f>IFERROR(__xludf.DUMMYFUNCTION("GOOGLETRANSLATE(E56, ""en"", ""am"")"),"የውጤት አሰጣጥ ስርዓቱ ፍትሃዊ ውድድር እና ስፖርታዊ ጨዋነትን ያሳያል።")</f>
        <v>የውጤት አሰጣጥ ስርዓቱ ፍትሃዊ ውድድር እና ስፖርታዊ ጨዋነትን ያሳያል።</v>
      </c>
    </row>
    <row r="57" ht="22.5" customHeight="1">
      <c r="A57" s="3">
        <v>56.0</v>
      </c>
      <c r="B57" s="4" t="s">
        <v>222</v>
      </c>
      <c r="C57" s="4" t="s">
        <v>223</v>
      </c>
      <c r="D57" s="4" t="s">
        <v>224</v>
      </c>
      <c r="E57" s="4" t="s">
        <v>225</v>
      </c>
      <c r="G57" s="5" t="str">
        <f>IFERROR(__xludf.DUMMYFUNCTION("GOOGLETRANSLATE(A57, ""en"", ""am"")"),"56")</f>
        <v>56</v>
      </c>
      <c r="H57" s="5" t="str">
        <f>IFERROR(__xludf.DUMMYFUNCTION("GOOGLETRANSLATE(B57, ""en"", ""am"")"),"የትኛው የኢትዮጵያ ፌስቲቫል ከሌሎች ተግባራት ጎን ለጎን ስፖርቶችን ያሳየበት?")</f>
        <v>የትኛው የኢትዮጵያ ፌስቲቫል ከሌሎች ተግባራት ጎን ለጎን ስፖርቶችን ያሳየበት?</v>
      </c>
      <c r="I57" s="5" t="str">
        <f>IFERROR(__xludf.DUMMYFUNCTION("GOOGLETRANSLATE(C57, ""en"", ""am"")"),"A. Epiphany B. Easter C. አዲስ ዓመት መ. የእውነተኛው መስቀል ፍለጋ")</f>
        <v>A. Epiphany B. Easter C. አዲስ ዓመት መ. የእውነተኛው መስቀል ፍለጋ</v>
      </c>
      <c r="J57" s="5" t="str">
        <f>IFERROR(__xludf.DUMMYFUNCTION("GOOGLETRANSLATE(D57, ""en"", ""am"")"),"ጥምቀት")</f>
        <v>ጥምቀት</v>
      </c>
      <c r="K57" s="5" t="str">
        <f>IFERROR(__xludf.DUMMYFUNCTION("GOOGLETRANSLATE(E57, ""en"", ""am"")"),"የጥምቀት በዓል አከባበር አንዳንድ ጊዜ የገና ስፖርቶችን እንደ የበዓላት አካል ያካትታል።")</f>
        <v>የጥምቀት በዓል አከባበር አንዳንድ ጊዜ የገና ስፖርቶችን እንደ የበዓላት አካል ያካትታል።</v>
      </c>
    </row>
    <row r="58" ht="22.5" customHeight="1">
      <c r="A58" s="3">
        <v>57.0</v>
      </c>
      <c r="B58" s="4" t="s">
        <v>226</v>
      </c>
      <c r="C58" s="4" t="s">
        <v>227</v>
      </c>
      <c r="D58" s="4" t="s">
        <v>228</v>
      </c>
      <c r="E58" s="4" t="s">
        <v>229</v>
      </c>
      <c r="G58" s="5" t="str">
        <f>IFERROR(__xludf.DUMMYFUNCTION("GOOGLETRANSLATE(A58, ""en"", ""am"")"),"57")</f>
        <v>57</v>
      </c>
      <c r="H58" s="5" t="str">
        <f>IFERROR(__xludf.DUMMYFUNCTION("GOOGLETRANSLATE(B58, ""en"", ""am"")"),"በታሪክ ውስጥ የገና ስፖርት ቡድኖች እንዴት ተመርጠዋል?")</f>
        <v>በታሪክ ውስጥ የገና ስፖርት ቡድኖች እንዴት ተመርጠዋል?</v>
      </c>
      <c r="I58" s="5" t="str">
        <f>IFERROR(__xludf.DUMMYFUNCTION("GOOGLETRANSLATE(C58, ""en"", ""am"")"),"ሀ. የመንደር ሽማግሌዎች ለ. በዘፈቀደ ምርጫ ሐ. በእድሜ ምድቦች ላይ በመመስረት መ. ብዙ በመሳል")</f>
        <v>ሀ. የመንደር ሽማግሌዎች ለ. በዘፈቀደ ምርጫ ሐ. በእድሜ ምድቦች ላይ በመመስረት መ. ብዙ በመሳል</v>
      </c>
      <c r="J58" s="5" t="str">
        <f>IFERROR(__xludf.DUMMYFUNCTION("GOOGLETRANSLATE(D58, ""en"", ""am"")"),"የሰፈር ሽማግሌዎች")</f>
        <v>የሰፈር ሽማግሌዎች</v>
      </c>
      <c r="K58" s="5" t="str">
        <f>IFERROR(__xludf.DUMMYFUNCTION("GOOGLETRANSLATE(E58, ""en"", ""am"")"),"የመንደር ሽማግሌዎች ፍትሃዊ እና ውክልናን ለማረጋገጥ ቡድኖችን የማቋቋም ሃላፊነት ነበረባቸው።")</f>
        <v>የመንደር ሽማግሌዎች ፍትሃዊ እና ውክልናን ለማረጋገጥ ቡድኖችን የማቋቋም ሃላፊነት ነበረባቸው።</v>
      </c>
    </row>
    <row r="59" ht="22.5" customHeight="1">
      <c r="A59" s="3">
        <v>58.0</v>
      </c>
      <c r="B59" s="4" t="s">
        <v>230</v>
      </c>
      <c r="C59" s="4" t="s">
        <v>231</v>
      </c>
      <c r="D59" s="4" t="s">
        <v>232</v>
      </c>
      <c r="E59" s="4" t="s">
        <v>233</v>
      </c>
      <c r="G59" s="5" t="str">
        <f>IFERROR(__xludf.DUMMYFUNCTION("GOOGLETRANSLATE(A59, ""en"", ""am"")"),"58")</f>
        <v>58</v>
      </c>
      <c r="H59" s="5" t="str">
        <f>IFERROR(__xludf.DUMMYFUNCTION("GOOGLETRANSLATE(B59, ""en"", ""am"")"),"የገና ስፖርት ዱላ ለመሥራት ምን ዓይነት ቁሳቁስ ይሠራ ነበር?")</f>
        <v>የገና ስፖርት ዱላ ለመሥራት ምን ዓይነት ቁሳቁስ ይሠራ ነበር?</v>
      </c>
      <c r="I59" s="5" t="str">
        <f>IFERROR(__xludf.DUMMYFUNCTION("GOOGLETRANSLATE(C59, ""en"", ""am"")"),"አ.ቀርከሃ ቢ ሃርድዉድ ሲ.አይረን ዲ.ሸምበቆ")</f>
        <v>አ.ቀርከሃ ቢ ሃርድዉድ ሲ.አይረን ዲ.ሸምበቆ</v>
      </c>
      <c r="J59" s="5" t="str">
        <f>IFERROR(__xludf.DUMMYFUNCTION("GOOGLETRANSLATE(D59, ""en"", ""am"")"),"ጠንካራ እንጨት")</f>
        <v>ጠንካራ እንጨት</v>
      </c>
      <c r="K59" s="5" t="str">
        <f>IFERROR(__xludf.DUMMYFUNCTION("GOOGLETRANSLATE(E59, ""en"", ""am"")"),"እንጨቶቹ በጨዋታ ጊዜ ተጽእኖን ለመቋቋም ከጠንካራ እንጨት የተሠሩ ናቸው.")</f>
        <v>እንጨቶቹ በጨዋታ ጊዜ ተጽእኖን ለመቋቋም ከጠንካራ እንጨት የተሠሩ ናቸው.</v>
      </c>
    </row>
    <row r="60" ht="22.5" customHeight="1">
      <c r="A60" s="3">
        <v>59.0</v>
      </c>
      <c r="B60" s="4" t="s">
        <v>234</v>
      </c>
      <c r="C60" s="4" t="s">
        <v>235</v>
      </c>
      <c r="D60" s="4" t="s">
        <v>236</v>
      </c>
      <c r="E60" s="4" t="s">
        <v>237</v>
      </c>
      <c r="G60" s="5" t="str">
        <f>IFERROR(__xludf.DUMMYFUNCTION("GOOGLETRANSLATE(A60, ""en"", ""am"")"),"59")</f>
        <v>59</v>
      </c>
      <c r="H60" s="5" t="str">
        <f>IFERROR(__xludf.DUMMYFUNCTION("GOOGLETRANSLATE(B60, ""en"", ""am"")"),"በገጠር ስፖርቶችን ተወዳጅ ያደረገው የትኛው ታሪካዊ ሰው ነው?")</f>
        <v>በገጠር ስፖርቶችን ተወዳጅ ያደረገው የትኛው ታሪካዊ ሰው ነው?</v>
      </c>
      <c r="I60" s="5" t="str">
        <f>IFERROR(__xludf.DUMMYFUNCTION("GOOGLETRANSLATE(C60, ""en"", ""am"")"),"ሀ. የአካባቢ ካህናት ለ. የሰፈር ሽማግሌዎች ሐ. ወታደራዊ መሪዎች ዲ. የተከበሩ ቤተሰቦች")</f>
        <v>ሀ. የአካባቢ ካህናት ለ. የሰፈር ሽማግሌዎች ሐ. ወታደራዊ መሪዎች ዲ. የተከበሩ ቤተሰቦች</v>
      </c>
      <c r="J60" s="5" t="str">
        <f>IFERROR(__xludf.DUMMYFUNCTION("GOOGLETRANSLATE(D60, ""en"", ""am"")"),"የሰፈር ሽማግሌዎች")</f>
        <v>የሰፈር ሽማግሌዎች</v>
      </c>
      <c r="K60" s="5" t="str">
        <f>IFERROR(__xludf.DUMMYFUNCTION("GOOGLETRANSLATE(E60, ""en"", ""am"")"),"በገጠሪቱ ኢትዮጵያ ስፖርትን በማስተዋወቅ ረገድ የሰፈር የሀገር ሽማግሌዎች ጉልህ ሚና ተጫውተዋል።")</f>
        <v>በገጠሪቱ ኢትዮጵያ ስፖርትን በማስተዋወቅ ረገድ የሰፈር የሀገር ሽማግሌዎች ጉልህ ሚና ተጫውተዋል።</v>
      </c>
    </row>
    <row r="61" ht="22.5" customHeight="1">
      <c r="A61" s="3">
        <v>60.0</v>
      </c>
      <c r="B61" s="4" t="s">
        <v>238</v>
      </c>
      <c r="C61" s="4" t="s">
        <v>239</v>
      </c>
      <c r="D61" s="4" t="s">
        <v>240</v>
      </c>
      <c r="E61" s="4" t="s">
        <v>241</v>
      </c>
      <c r="G61" s="5" t="str">
        <f>IFERROR(__xludf.DUMMYFUNCTION("GOOGLETRANSLATE(A61, ""en"", ""am"")"),"60")</f>
        <v>60</v>
      </c>
      <c r="H61" s="5" t="str">
        <f>IFERROR(__xludf.DUMMYFUNCTION("GOOGLETRANSLATE(B61, ""en"", ""am"")"),"ከገና ስፖርት ጋር የተያያዘው የትኛው ኢትዮጵያዊ ምሳሌ ነው?")</f>
        <v>ከገና ስፖርት ጋር የተያያዘው የትኛው ኢትዮጵያዊ ምሳሌ ነው?</v>
      </c>
      <c r="I61" s="5" t="str">
        <f>IFERROR(__xludf.DUMMYFUNCTION("GOOGLETRANSLATE(C61, ""en"", ""am"")"),"ሀ/ አንድነት ጥንካሬ ነው። ለ. እንደ አንድ ይጫወቱ ሐ. ጥንካሬ በዱላ D. ድል አንድነት ነው.")</f>
        <v>ሀ/ አንድነት ጥንካሬ ነው። ለ. እንደ አንድ ይጫወቱ ሐ. ጥንካሬ በዱላ D. ድል አንድነት ነው.</v>
      </c>
      <c r="J61" s="5" t="str">
        <f>IFERROR(__xludf.DUMMYFUNCTION("GOOGLETRANSLATE(D61, ""en"", ""am"")"),"በዱላ ውስጥ ጥንካሬ")</f>
        <v>በዱላ ውስጥ ጥንካሬ</v>
      </c>
      <c r="K61" s="5" t="str">
        <f>IFERROR(__xludf.DUMMYFUNCTION("GOOGLETRANSLATE(E61, ""en"", ""am"")"),"ምሳሌው ስፖርትን በመጫወት ረገድ የችሎታ እና ትክክለኛነትን አስፈላጊነት ያጎላል።")</f>
        <v>ምሳሌው ስፖርትን በመጫወት ረገድ የችሎታ እና ትክክለኛነትን አስፈላጊነት ያጎላል።</v>
      </c>
    </row>
    <row r="62" ht="22.5" customHeight="1">
      <c r="A62" s="3">
        <v>61.0</v>
      </c>
      <c r="B62" s="4" t="s">
        <v>242</v>
      </c>
      <c r="C62" s="4" t="s">
        <v>243</v>
      </c>
      <c r="D62" s="4" t="s">
        <v>63</v>
      </c>
      <c r="E62" s="4" t="s">
        <v>244</v>
      </c>
      <c r="G62" s="5" t="str">
        <f>IFERROR(__xludf.DUMMYFUNCTION("GOOGLETRANSLATE(A62, ""en"", ""am"")"),"61")</f>
        <v>61</v>
      </c>
      <c r="H62" s="5" t="str">
        <f>IFERROR(__xludf.DUMMYFUNCTION("GOOGLETRANSLATE(B62, ""en"", ""am"")"),"ስፖርት ለጥንቷ ኢትዮጵያ ሰላም ግንባታ አስተዋጾ ያደረገው እንዴት ነው?")</f>
        <v>ስፖርት ለጥንቷ ኢትዮጵያ ሰላም ግንባታ አስተዋጾ ያደረገው እንዴት ነው?</v>
      </c>
      <c r="I62" s="5" t="str">
        <f>IFERROR(__xludf.DUMMYFUNCTION("GOOGLETRANSLATE(C62, ""en"", ""am"")"),"ሀ. የተፈቱ አለመግባባቶች ለ. ጠንካራ ጥምረት ሐ. የማህበረሰብ ግንኙነት ተፈጥሯል መ. ከላይ ያሉት ሁሉም")</f>
        <v>ሀ. የተፈቱ አለመግባባቶች ለ. ጠንካራ ጥምረት ሐ. የማህበረሰብ ግንኙነት ተፈጥሯል መ. ከላይ ያሉት ሁሉም</v>
      </c>
      <c r="J62" s="5" t="str">
        <f>IFERROR(__xludf.DUMMYFUNCTION("GOOGLETRANSLATE(D62, ""en"", ""am"")"),"ከላይ ያሉት ሁሉም")</f>
        <v>ከላይ ያሉት ሁሉም</v>
      </c>
      <c r="K62" s="5" t="str">
        <f>IFERROR(__xludf.DUMMYFUNCTION("GOOGLETRANSLATE(E62, ""en"", ""am"")"),"ሆኖም ስፖርት ግጭቶችን በመፍታት፣ ጥምረትን በማጠናከር እና ማህበረሰቦችን አንድ ለማድረግ ሚና ተጫውቷል።")</f>
        <v>ሆኖም ስፖርት ግጭቶችን በመፍታት፣ ጥምረትን በማጠናከር እና ማህበረሰቦችን አንድ ለማድረግ ሚና ተጫውቷል።</v>
      </c>
    </row>
    <row r="63" ht="22.5" customHeight="1">
      <c r="A63" s="3">
        <v>62.0</v>
      </c>
      <c r="B63" s="4" t="s">
        <v>245</v>
      </c>
      <c r="C63" s="4" t="s">
        <v>246</v>
      </c>
      <c r="D63" s="4" t="s">
        <v>247</v>
      </c>
      <c r="E63" s="4" t="s">
        <v>248</v>
      </c>
      <c r="G63" s="5" t="str">
        <f>IFERROR(__xludf.DUMMYFUNCTION("GOOGLETRANSLATE(A63, ""en"", ""am"")"),"62")</f>
        <v>62</v>
      </c>
      <c r="H63" s="5" t="str">
        <f>IFERROR(__xludf.DUMMYFUNCTION("GOOGLETRANSLATE(B63, ""en"", ""am"")"),"በገና ስፖርቶች ውስጥ የኳስ ባህላዊ ቃል ምንድነው?")</f>
        <v>በገና ስፖርቶች ውስጥ የኳስ ባህላዊ ቃል ምንድነው?</v>
      </c>
      <c r="I63" s="5" t="str">
        <f>IFERROR(__xludf.DUMMYFUNCTION("GOOGLETRANSLATE(C63, ""en"", ""am"")"),"A. Christmas B. Quell C. Argib D. Lemat")</f>
        <v>A. Christmas B. Quell C. Argib D. Lemat</v>
      </c>
      <c r="J63" s="5" t="str">
        <f>IFERROR(__xludf.DUMMYFUNCTION("GOOGLETRANSLATE(D63, ""en"", ""am"")"),"አርጊብ")</f>
        <v>አርጊብ</v>
      </c>
      <c r="K63" s="5" t="str">
        <f>IFERROR(__xludf.DUMMYFUNCTION("GOOGLETRANSLATE(E63, ""en"", ""am"")"),"ገና ለገና ስፖርት የሚውለው ኳስ በኢትዮጵያ ባህል ‘ዕርጊብ’ ትባላለች።")</f>
        <v>ገና ለገና ስፖርት የሚውለው ኳስ በኢትዮጵያ ባህል ‘ዕርጊብ’ ትባላለች።</v>
      </c>
    </row>
    <row r="64" ht="22.5" customHeight="1">
      <c r="A64" s="3">
        <v>63.0</v>
      </c>
      <c r="B64" s="4" t="s">
        <v>249</v>
      </c>
      <c r="C64" s="4" t="s">
        <v>250</v>
      </c>
      <c r="D64" s="4" t="s">
        <v>63</v>
      </c>
      <c r="E64" s="4" t="s">
        <v>251</v>
      </c>
      <c r="G64" s="5" t="str">
        <f>IFERROR(__xludf.DUMMYFUNCTION("GOOGLETRANSLATE(A64, ""en"", ""am"")"),"63")</f>
        <v>63</v>
      </c>
      <c r="H64" s="5" t="str">
        <f>IFERROR(__xludf.DUMMYFUNCTION("GOOGLETRANSLATE(B64, ""en"", ""am"")"),"የጥንት ኢትዮጵያውያን ለገና ስፖርት እንዴት የሰለጠኑት?")</f>
        <v>የጥንት ኢትዮጵያውያን ለገና ስፖርት እንዴት የሰለጠኑት?</v>
      </c>
      <c r="I64" s="5" t="str">
        <f>IFERROR(__xludf.DUMMYFUNCTION("GOOGLETRANSLATE(C64, ""en"", ""am"")"),"ሀ. የተለማመዱ ግጥሚያዎች ለ. የጥንካሬ ስልጠና ሐ. የተዋጊ ስልጠና መ. ከላይ ያሉት ሁሉም")</f>
        <v>ሀ. የተለማመዱ ግጥሚያዎች ለ. የጥንካሬ ስልጠና ሐ. የተዋጊ ስልጠና መ. ከላይ ያሉት ሁሉም</v>
      </c>
      <c r="J64" s="5" t="str">
        <f>IFERROR(__xludf.DUMMYFUNCTION("GOOGLETRANSLATE(D64, ""en"", ""am"")"),"ከላይ ያሉት ሁሉም")</f>
        <v>ከላይ ያሉት ሁሉም</v>
      </c>
      <c r="K64" s="5" t="str">
        <f>IFERROR(__xludf.DUMMYFUNCTION("GOOGLETRANSLATE(E64, ""en"", ""am"")"),"ለገና ስፖርቶች ስልጠና የልምምድ ግጥሚያዎች፣ የጥንካሬ ስልጠና እና የጦረኛ ዝግጅትን ያጠቃልላል።")</f>
        <v>ለገና ስፖርቶች ስልጠና የልምምድ ግጥሚያዎች፣ የጥንካሬ ስልጠና እና የጦረኛ ዝግጅትን ያጠቃልላል።</v>
      </c>
    </row>
    <row r="65" ht="22.5" customHeight="1">
      <c r="A65" s="3">
        <v>64.0</v>
      </c>
      <c r="B65" s="4" t="s">
        <v>252</v>
      </c>
      <c r="C65" s="4" t="s">
        <v>253</v>
      </c>
      <c r="D65" s="4" t="s">
        <v>254</v>
      </c>
      <c r="E65" s="4" t="s">
        <v>255</v>
      </c>
      <c r="G65" s="5" t="str">
        <f>IFERROR(__xludf.DUMMYFUNCTION("GOOGLETRANSLATE(A65, ""en"", ""am"")"),"64")</f>
        <v>64</v>
      </c>
      <c r="H65" s="5" t="str">
        <f>IFERROR(__xludf.DUMMYFUNCTION("GOOGLETRANSLATE(B65, ""en"", ""am"")"),"የትኛው ኢትዮጵያዊ ገጣሚ ስለ ገና ስፖርት የፃፈው?")</f>
        <v>የትኛው ኢትዮጵያዊ ገጣሚ ስለ ገና ስፖርት የፃፈው?</v>
      </c>
      <c r="I65" s="5" t="str">
        <f>IFERROR(__xludf.DUMMYFUNCTION("GOOGLETRANSLATE(C65, ""en"", ""am"")"),"A. Gebrechristos Desta B. Tsegaye Gabre-Medhin C. Hadis Alemayehu D. ከላይ ከተዘረዘሩት ውስጥ አንድም የለም።")</f>
        <v>A. Gebrechristos Desta B. Tsegaye Gabre-Medhin C. Hadis Alemayehu D. ከላይ ከተዘረዘሩት ውስጥ አንድም የለም።</v>
      </c>
      <c r="J65" s="5" t="str">
        <f>IFERROR(__xludf.DUMMYFUNCTION("GOOGLETRANSLATE(D65, ""en"", ""am"")"),"Tsegaye Gabre-Medhin")</f>
        <v>Tsegaye Gabre-Medhin</v>
      </c>
      <c r="K65" s="5" t="str">
        <f>IFERROR(__xludf.DUMMYFUNCTION("GOOGLETRANSLATE(E65, ""en"", ""am"")"),"ፀጋዬ ገብረመድህን የኢትዮጵያን ባህል ነጸብራቅ አድርጎ በጽሑፎቹ ውስጥ ስፖርትን አካቷል።")</f>
        <v>ፀጋዬ ገብረመድህን የኢትዮጵያን ባህል ነጸብራቅ አድርጎ በጽሑፎቹ ውስጥ ስፖርትን አካቷል።</v>
      </c>
    </row>
    <row r="66" ht="22.5" customHeight="1">
      <c r="A66" s="3">
        <v>65.0</v>
      </c>
      <c r="B66" s="4" t="s">
        <v>256</v>
      </c>
      <c r="C66" s="4" t="s">
        <v>257</v>
      </c>
      <c r="D66" s="4" t="s">
        <v>63</v>
      </c>
      <c r="E66" s="4" t="s">
        <v>258</v>
      </c>
      <c r="G66" s="5" t="str">
        <f>IFERROR(__xludf.DUMMYFUNCTION("GOOGLETRANSLATE(A66, ""en"", ""am"")"),"65")</f>
        <v>65</v>
      </c>
      <c r="H66" s="5" t="str">
        <f>IFERROR(__xludf.DUMMYFUNCTION("GOOGLETRANSLATE(B66, ""en"", ""am"")"),"በታሪካዊ የገና ስፖርት ጨዋታዎች ላይ ተመልካቾች እንዴት ተሳትፈዋል?")</f>
        <v>በታሪካዊ የገና ስፖርት ጨዋታዎች ላይ ተመልካቾች እንዴት ተሳትፈዋል?</v>
      </c>
      <c r="I66" s="5" t="str">
        <f>IFERROR(__xludf.DUMMYFUNCTION("GOOGLETRANSLATE(C66, ""en"", ""am"")"),"ሀ. ደስተኛ ተጫዋቾች ለ. ዳኞች ሆነው አገልግለዋል። ሐ. ባህላዊ ዘፈኖችን ዘፈነ። መ. ከላይ ያሉት ሁሉም")</f>
        <v>ሀ. ደስተኛ ተጫዋቾች ለ. ዳኞች ሆነው አገልግለዋል። ሐ. ባህላዊ ዘፈኖችን ዘፈነ። መ. ከላይ ያሉት ሁሉም</v>
      </c>
      <c r="J66" s="5" t="str">
        <f>IFERROR(__xludf.DUMMYFUNCTION("GOOGLETRANSLATE(D66, ""en"", ""am"")"),"ከላይ ያሉት ሁሉም")</f>
        <v>ከላይ ያሉት ሁሉም</v>
      </c>
      <c r="K66" s="5" t="str">
        <f>IFERROR(__xludf.DUMMYFUNCTION("GOOGLETRANSLATE(E66, ""en"", ""am"")"),"ዝግጅቱን ለመደገፍ ታዳሚው በደስታ፣ በደስታ እና በባህላዊ ዘፈኖች ዘፍኗል።")</f>
        <v>ዝግጅቱን ለመደገፍ ታዳሚው በደስታ፣ በደስታ እና በባህላዊ ዘፈኖች ዘፍኗል።</v>
      </c>
    </row>
    <row r="67" ht="22.5" customHeight="1">
      <c r="A67" s="3">
        <v>66.0</v>
      </c>
      <c r="B67" s="4" t="s">
        <v>259</v>
      </c>
      <c r="C67" s="4" t="s">
        <v>260</v>
      </c>
      <c r="D67" s="4" t="s">
        <v>261</v>
      </c>
      <c r="E67" s="4" t="s">
        <v>262</v>
      </c>
      <c r="G67" s="5" t="str">
        <f>IFERROR(__xludf.DUMMYFUNCTION("GOOGLETRANSLATE(A67, ""en"", ""am"")"),"66")</f>
        <v>66</v>
      </c>
      <c r="H67" s="5" t="str">
        <f>IFERROR(__xludf.DUMMYFUNCTION("GOOGLETRANSLATE(B67, ""en"", ""am"")"),"በገና ስፖርቶች ውስጥ የቡድን ሥራ ምሳሌያዊ ትርጉም ምንድን ነው?")</f>
        <v>በገና ስፖርቶች ውስጥ የቡድን ሥራ ምሳሌያዊ ትርጉም ምንድን ነው?</v>
      </c>
      <c r="I67" s="5" t="str">
        <f>IFERROR(__xludf.DUMMYFUNCTION("GOOGLETRANSLATE(C67, ""en"", ""am"")"),"ሀ. በአንድነት ውስጥ ጥንካሬ ለ. ድል በችሎታ ሐ. ስልጣን በአመራር መ. የማህበረሰብ ትብብር")</f>
        <v>ሀ. በአንድነት ውስጥ ጥንካሬ ለ. ድል በችሎታ ሐ. ስልጣን በአመራር መ. የማህበረሰብ ትብብር</v>
      </c>
      <c r="J67" s="5" t="str">
        <f>IFERROR(__xludf.DUMMYFUNCTION("GOOGLETRANSLATE(D67, ""en"", ""am"")"),"በአንድነት ውስጥ ጥንካሬ")</f>
        <v>በአንድነት ውስጥ ጥንካሬ</v>
      </c>
      <c r="K67" s="5" t="str">
        <f>IFERROR(__xludf.DUMMYFUNCTION("GOOGLETRANSLATE(E67, ""en"", ""am"")"),"በገና ስፖርት ውስጥ በጋራ መስራት የኢትዮጵያን ባህላዊ የአንድነት እሴት ያንፀባርቃል።")</f>
        <v>በገና ስፖርት ውስጥ በጋራ መስራት የኢትዮጵያን ባህላዊ የአንድነት እሴት ያንፀባርቃል።</v>
      </c>
    </row>
    <row r="68" ht="22.5" customHeight="1">
      <c r="A68" s="3">
        <v>67.0</v>
      </c>
      <c r="B68" s="4" t="s">
        <v>263</v>
      </c>
      <c r="C68" s="4" t="s">
        <v>264</v>
      </c>
      <c r="D68" s="4" t="s">
        <v>63</v>
      </c>
      <c r="E68" s="4" t="s">
        <v>265</v>
      </c>
      <c r="G68" s="5" t="str">
        <f>IFERROR(__xludf.DUMMYFUNCTION("GOOGLETRANSLATE(A68, ""en"", ""am"")"),"67")</f>
        <v>67</v>
      </c>
      <c r="H68" s="5" t="str">
        <f>IFERROR(__xludf.DUMMYFUNCTION("GOOGLETRANSLATE(B68, ""en"", ""am"")"),"በታሪክ ውስጥ ስፖርቶች በወጣቶች ትምህርት ውስጥ ምን ሚና ተጫውተዋል?")</f>
        <v>በታሪክ ውስጥ ስፖርቶች በወጣቶች ትምህርት ውስጥ ምን ሚና ተጫውተዋል?</v>
      </c>
      <c r="I68" s="5" t="str">
        <f>IFERROR(__xludf.DUMMYFUNCTION("GOOGLETRANSLATE(C68, ""en"", ""am"")"),"ሀ. የቡድን ስራ አስተምሯል። ለ. የተሻሻሉ አካላዊ ችሎታዎች ሐ. የባህል ኩራት ተገንብቷል። መ. ከላይ ያሉት ሁሉም")</f>
        <v>ሀ. የቡድን ስራ አስተምሯል። ለ. የተሻሻሉ አካላዊ ችሎታዎች ሐ. የባህል ኩራት ተገንብቷል። መ. ከላይ ያሉት ሁሉም</v>
      </c>
      <c r="J68" s="5" t="str">
        <f>IFERROR(__xludf.DUMMYFUNCTION("GOOGLETRANSLATE(D68, ""en"", ""am"")"),"ከላይ ያሉት ሁሉም")</f>
        <v>ከላይ ያሉት ሁሉም</v>
      </c>
      <c r="K68" s="5" t="str">
        <f>IFERROR(__xludf.DUMMYFUNCTION("GOOGLETRANSLATE(E68, ""en"", ""am"")"),"ስፖርቶች የቡድን ስራን፣ ችሎታዎችን እና ባህላዊ እሴቶችን ለማስተማር አሁንም ትምህርታዊ መሳሪያ ነበሩ።")</f>
        <v>ስፖርቶች የቡድን ስራን፣ ችሎታዎችን እና ባህላዊ እሴቶችን ለማስተማር አሁንም ትምህርታዊ መሳሪያ ነበሩ።</v>
      </c>
    </row>
    <row r="69" ht="22.5" customHeight="1">
      <c r="A69" s="3">
        <v>68.0</v>
      </c>
      <c r="B69" s="4" t="s">
        <v>266</v>
      </c>
      <c r="C69" s="4" t="s">
        <v>267</v>
      </c>
      <c r="D69" s="4" t="s">
        <v>63</v>
      </c>
      <c r="E69" s="4" t="s">
        <v>268</v>
      </c>
      <c r="G69" s="5" t="str">
        <f>IFERROR(__xludf.DUMMYFUNCTION("GOOGLETRANSLATE(A69, ""en"", ""am"")"),"68")</f>
        <v>68</v>
      </c>
      <c r="H69" s="5" t="str">
        <f>IFERROR(__xludf.DUMMYFUNCTION("GOOGLETRANSLATE(B69, ""en"", ""am"")"),"ስፖርት በኢትዮጵያ ውስጥ ለምን እንደ ቅዱስ ባህል ተቆጠረ?")</f>
        <v>ስፖርት በኢትዮጵያ ውስጥ ለምን እንደ ቅዱስ ባህል ተቆጠረ?</v>
      </c>
      <c r="I69" s="5" t="str">
        <f>IFERROR(__xludf.DUMMYFUNCTION("GOOGLETRANSLATE(C69, ""en"", ""am"")"),"ሀ. ከሃይማኖት ጋር የተያያዘ B. ስምምነትን ያበረታታል. ሐ. ታሪካዊ ሥሮች D. ከላይ ያሉት ሁሉም")</f>
        <v>ሀ. ከሃይማኖት ጋር የተያያዘ B. ስምምነትን ያበረታታል. ሐ. ታሪካዊ ሥሮች D. ከላይ ያሉት ሁሉም</v>
      </c>
      <c r="J69" s="5" t="str">
        <f>IFERROR(__xludf.DUMMYFUNCTION("GOOGLETRANSLATE(D69, ""en"", ""am"")"),"ከላይ ያሉት ሁሉም")</f>
        <v>ከላይ ያሉት ሁሉም</v>
      </c>
      <c r="K69" s="5" t="str">
        <f>IFERROR(__xludf.DUMMYFUNCTION("GOOGLETRANSLATE(E69, ""en"", ""am"")"),"ሆኖም ስፖርት ከሃይማኖት፣ ከሰላምና ከታሪክ ጋር ባለው ትስስር የተቀደሰ እሴት አለው።")</f>
        <v>ሆኖም ስፖርት ከሃይማኖት፣ ከሰላምና ከታሪክ ጋር ባለው ትስስር የተቀደሰ እሴት አለው።</v>
      </c>
    </row>
    <row r="70" ht="22.5" customHeight="1">
      <c r="A70" s="3">
        <v>69.0</v>
      </c>
      <c r="B70" s="4" t="s">
        <v>269</v>
      </c>
      <c r="C70" s="4" t="s">
        <v>270</v>
      </c>
      <c r="D70" s="4" t="s">
        <v>63</v>
      </c>
      <c r="E70" s="4" t="s">
        <v>271</v>
      </c>
      <c r="G70" s="5" t="str">
        <f>IFERROR(__xludf.DUMMYFUNCTION("GOOGLETRANSLATE(A70, ""en"", ""am"")"),"69")</f>
        <v>69</v>
      </c>
      <c r="H70" s="5" t="str">
        <f>IFERROR(__xludf.DUMMYFUNCTION("GOOGLETRANSLATE(B70, ""en"", ""am"")"),"የገና ስፖርቶችን በኢትዮጵያ የገና በዓል ማክበር ታሪካዊ ዓላማው ምንድን ነው?")</f>
        <v>የገና ስፖርቶችን በኢትዮጵያ የገና በዓል ማክበር ታሪካዊ ዓላማው ምንድን ነው?</v>
      </c>
      <c r="I70" s="5" t="str">
        <f>IFERROR(__xludf.DUMMYFUNCTION("GOOGLETRANSLATE(C70, ""en"", ""am"")"),"ሀ. የደስታ መግለጫ ለ. እምነትዎን ያጠናክሩ። ሐ. የጥንት ባህልን ማክበር መ. ከላይ ያሉት ሁሉም")</f>
        <v>ሀ. የደስታ መግለጫ ለ. እምነትዎን ያጠናክሩ። ሐ. የጥንት ባህልን ማክበር መ. ከላይ ያሉት ሁሉም</v>
      </c>
      <c r="J70" s="5" t="str">
        <f>IFERROR(__xludf.DUMMYFUNCTION("GOOGLETRANSLATE(D70, ""en"", ""am"")"),"ከላይ ያሉት ሁሉም")</f>
        <v>ከላይ ያሉት ሁሉም</v>
      </c>
      <c r="K70" s="5" t="str">
        <f>IFERROR(__xludf.DUMMYFUNCTION("GOOGLETRANSLATE(E70, ""en"", ""am"")"),"በገና ሰሞን የገና ስፖርቶችን ማክበር ደስታን፣ እምነትን እና ባህላዊ ቅርሶችን ያጣምራል።")</f>
        <v>በገና ሰሞን የገና ስፖርቶችን ማክበር ደስታን፣ እምነትን እና ባህላዊ ቅርሶችን ያጣምራል።</v>
      </c>
    </row>
    <row r="71" ht="22.5" customHeight="1">
      <c r="A71" s="3">
        <v>70.0</v>
      </c>
      <c r="B71" s="4" t="s">
        <v>272</v>
      </c>
      <c r="C71" s="4" t="s">
        <v>273</v>
      </c>
      <c r="D71" s="4" t="s">
        <v>63</v>
      </c>
      <c r="E71" s="4" t="s">
        <v>274</v>
      </c>
      <c r="G71" s="5" t="str">
        <f>IFERROR(__xludf.DUMMYFUNCTION("GOOGLETRANSLATE(A71, ""en"", ""am"")"),"70")</f>
        <v>70</v>
      </c>
      <c r="H71" s="5" t="str">
        <f>IFERROR(__xludf.DUMMYFUNCTION("GOOGLETRANSLATE(B71, ""en"", ""am"")"),"በኢትዮጵያ ታሪክ ውስጥ ስፖርት አሁንም ምን ይወክላል?")</f>
        <v>በኢትዮጵያ ታሪክ ውስጥ ስፖርት አሁንም ምን ይወክላል?</v>
      </c>
      <c r="I71" s="5" t="str">
        <f>IFERROR(__xludf.DUMMYFUNCTION("GOOGLETRANSLATE(C71, ""en"", ""am"")"),"ሀ. አንድነት እና ደስታ ለ. እምነት እና ወግ ሐ. ጥንካሬ እና ችሎታ መ. ሁሉም ከላይ ያሉት")</f>
        <v>ሀ. አንድነት እና ደስታ ለ. እምነት እና ወግ ሐ. ጥንካሬ እና ችሎታ መ. ሁሉም ከላይ ያሉት</v>
      </c>
      <c r="J71" s="5" t="str">
        <f>IFERROR(__xludf.DUMMYFUNCTION("GOOGLETRANSLATE(D71, ""en"", ""am"")"),"ከላይ ያሉት ሁሉም")</f>
        <v>ከላይ ያሉት ሁሉም</v>
      </c>
      <c r="K71" s="5" t="str">
        <f>IFERROR(__xludf.DUMMYFUNCTION("GOOGLETRANSLATE(E71, ""en"", ""am"")"),"ሆኖም ስፖርቶች የኢትዮጵያን ታሪክ አንድነት፣ እምነት፣ ወግ እና መንፈስ ያመለክታሉ።")</f>
        <v>ሆኖም ስፖርቶች የኢትዮጵያን ታሪክ አንድነት፣ እምነት፣ ወግ እና መንፈስ ያመለክታሉ።</v>
      </c>
    </row>
    <row r="72" ht="22.5" customHeight="1">
      <c r="A72" s="3">
        <v>71.0</v>
      </c>
      <c r="B72" s="4" t="s">
        <v>275</v>
      </c>
      <c r="C72" s="4" t="s">
        <v>276</v>
      </c>
      <c r="D72" s="4" t="s">
        <v>71</v>
      </c>
      <c r="E72" s="4" t="s">
        <v>277</v>
      </c>
      <c r="G72" s="5" t="str">
        <f>IFERROR(__xludf.DUMMYFUNCTION("GOOGLETRANSLATE(A72, ""en"", ""am"")"),"71")</f>
        <v>71</v>
      </c>
      <c r="H72" s="5" t="str">
        <f>IFERROR(__xludf.DUMMYFUNCTION("GOOGLETRANSLATE(B72, ""en"", ""am"")"),"ከገና ስፖርት አመጣጥ ጋር የተያያዘው የትኛው ጥንታዊ የኢትዮጵያ ነገድ ነው?")</f>
        <v>ከገና ስፖርት አመጣጥ ጋር የተያያዘው የትኛው ጥንታዊ የኢትዮጵያ ነገድ ነው?</v>
      </c>
      <c r="I72" s="5" t="str">
        <f>IFERROR(__xludf.DUMMYFUNCTION("GOOGLETRANSLATE(C72, ""en"", ""am"")"),"አ.ኦሮሞ ብ.አማራ ሐ.ትግራይ ዲ.አፋር")</f>
        <v>አ.ኦሮሞ ብ.አማራ ሐ.ትግራይ ዲ.አፋር</v>
      </c>
      <c r="J72" s="5" t="str">
        <f>IFERROR(__xludf.DUMMYFUNCTION("GOOGLETRANSLATE(D72, ""en"", ""am"")"),"አማራ")</f>
        <v>አማራ</v>
      </c>
      <c r="K72" s="5" t="str">
        <f>IFERROR(__xludf.DUMMYFUNCTION("GOOGLETRANSLATE(E72, ""en"", ""am"")"),"የዐማራው ነገድ በባህላዊ መንገድ ከገና ስፖርት አመጣጥ ጋር የተያያዘ ነው።")</f>
        <v>የዐማራው ነገድ በባህላዊ መንገድ ከገና ስፖርት አመጣጥ ጋር የተያያዘ ነው።</v>
      </c>
    </row>
    <row r="73" ht="22.5" customHeight="1">
      <c r="A73" s="3">
        <v>72.0</v>
      </c>
      <c r="B73" s="4" t="s">
        <v>278</v>
      </c>
      <c r="C73" s="4" t="s">
        <v>279</v>
      </c>
      <c r="D73" s="4" t="s">
        <v>63</v>
      </c>
      <c r="E73" s="4" t="s">
        <v>280</v>
      </c>
      <c r="G73" s="5" t="str">
        <f>IFERROR(__xludf.DUMMYFUNCTION("GOOGLETRANSLATE(A73, ""en"", ""am"")"),"72")</f>
        <v>72</v>
      </c>
      <c r="H73" s="5" t="str">
        <f>IFERROR(__xludf.DUMMYFUNCTION("GOOGLETRANSLATE(B73, ""en"", ""am"")"),"ስፖርት በኢትዮጵያ ወታደራዊ ባህል ውስጥ ምን ታሪካዊ ፋይዳ አለው?")</f>
        <v>ስፖርት በኢትዮጵያ ወታደራዊ ባህል ውስጥ ምን ታሪካዊ ፋይዳ አለው?</v>
      </c>
      <c r="I73" s="5" t="str">
        <f>IFERROR(__xludf.DUMMYFUNCTION("GOOGLETRANSLATE(C73, ""en"", ""am"")"),"ሀ. ለጦርነት መዘጋጀት ለ. የቡድን ግንባታ ልምምዶች ሐ. የተዋጊ ስልጠና መ. ከላይ ያሉት ሁሉም")</f>
        <v>ሀ. ለጦርነት መዘጋጀት ለ. የቡድን ግንባታ ልምምዶች ሐ. የተዋጊ ስልጠና መ. ከላይ ያሉት ሁሉም</v>
      </c>
      <c r="J73" s="5" t="str">
        <f>IFERROR(__xludf.DUMMYFUNCTION("GOOGLETRANSLATE(D73, ""en"", ""am"")"),"ከላይ ያሉት ሁሉም")</f>
        <v>ከላይ ያሉት ሁሉም</v>
      </c>
      <c r="K73" s="5" t="str">
        <f>IFERROR(__xludf.DUMMYFUNCTION("GOOGLETRANSLATE(E73, ""en"", ""am"")"),"ሆኖም ስፖርት በታሪክ ለጦርነት ዝግጅት እና በጦረኞች መካከል የቡድን ግንባታ ሆኖ አገልግሏል።")</f>
        <v>ሆኖም ስፖርት በታሪክ ለጦርነት ዝግጅት እና በጦረኞች መካከል የቡድን ግንባታ ሆኖ አገልግሏል።</v>
      </c>
    </row>
    <row r="74" ht="22.5" customHeight="1">
      <c r="A74" s="3">
        <v>73.0</v>
      </c>
      <c r="B74" s="4" t="s">
        <v>281</v>
      </c>
      <c r="C74" s="4" t="s">
        <v>282</v>
      </c>
      <c r="D74" s="4" t="s">
        <v>16</v>
      </c>
      <c r="E74" s="4" t="s">
        <v>283</v>
      </c>
      <c r="G74" s="5" t="str">
        <f>IFERROR(__xludf.DUMMYFUNCTION("GOOGLETRANSLATE(A74, ""en"", ""am"")"),"73")</f>
        <v>73</v>
      </c>
      <c r="H74" s="5" t="str">
        <f>IFERROR(__xludf.DUMMYFUNCTION("GOOGLETRANSLATE(B74, ""en"", ""am"")"),"የገና ስፖርት ከኢትዮጵያ የገና አከባበር ጋር የተገናኘው መቼ ነበር?")</f>
        <v>የገና ስፖርት ከኢትዮጵያ የገና አከባበር ጋር የተገናኘው መቼ ነበር?</v>
      </c>
      <c r="I74" s="5" t="str">
        <f>IFERROR(__xludf.DUMMYFUNCTION("GOOGLETRANSLATE(C74, ""en"", ""am"")"),"ኣብ መበል 15 ክፍለ ዘመን ቅ.ክ.")</f>
        <v>ኣብ መበል 15 ክፍለ ዘመን ቅ.ክ.</v>
      </c>
      <c r="J74" s="5" t="str">
        <f>IFERROR(__xludf.DUMMYFUNCTION("GOOGLETRANSLATE(D74, ""en"", ""am"")"),"15 ኛው ክፍለ ዘመን")</f>
        <v>15 ኛው ክፍለ ዘመን</v>
      </c>
      <c r="K74" s="5" t="str">
        <f>IFERROR(__xludf.DUMMYFUNCTION("GOOGLETRANSLATE(E74, ""en"", ""am"")"),"የገና ስፖርት በ15ኛው ክፍለ ዘመን የኢትዮጵያ ገናን ጋር ተያይዞ ከሚከበሩት የባህል በዓላት አንዱ ሆነ።")</f>
        <v>የገና ስፖርት በ15ኛው ክፍለ ዘመን የኢትዮጵያ ገናን ጋር ተያይዞ ከሚከበሩት የባህል በዓላት አንዱ ሆነ።</v>
      </c>
    </row>
    <row r="75" ht="22.5" customHeight="1">
      <c r="A75" s="3">
        <v>74.0</v>
      </c>
      <c r="B75" s="4" t="s">
        <v>284</v>
      </c>
      <c r="C75" s="4" t="s">
        <v>285</v>
      </c>
      <c r="D75" s="4" t="s">
        <v>286</v>
      </c>
      <c r="E75" s="4" t="s">
        <v>287</v>
      </c>
      <c r="G75" s="5" t="str">
        <f>IFERROR(__xludf.DUMMYFUNCTION("GOOGLETRANSLATE(A75, ""en"", ""am"")"),"74")</f>
        <v>74</v>
      </c>
      <c r="H75" s="5" t="str">
        <f>IFERROR(__xludf.DUMMYFUNCTION("GOOGLETRANSLATE(B75, ""en"", ""am"")"),"በጄና ስፖርት የመጀመሪያዎቹ ቀናት ኳሶችን ለመሥራት ያገለገለው ዋና ቁሳቁስ ምን ነበር?")</f>
        <v>በጄና ስፖርት የመጀመሪያዎቹ ቀናት ኳሶችን ለመሥራት ያገለገለው ዋና ቁሳቁስ ምን ነበር?</v>
      </c>
      <c r="I75" s="5" t="str">
        <f>IFERROR(__xludf.DUMMYFUNCTION("GOOGLETRANSLATE(C75, ""en"", ""am"")"),"ሀ. የእንስሳት መጠለያ ለ. እንጨት ሐ. ድንጋይ D. ጨርቅ")</f>
        <v>ሀ. የእንስሳት መጠለያ ለ. እንጨት ሐ. ድንጋይ D. ጨርቅ</v>
      </c>
      <c r="J75" s="5" t="str">
        <f>IFERROR(__xludf.DUMMYFUNCTION("GOOGLETRANSLATE(D75, ""en"", ""am"")"),"የእንስሳት መጠለያ")</f>
        <v>የእንስሳት መጠለያ</v>
      </c>
      <c r="K75" s="5" t="str">
        <f>IFERROR(__xludf.DUMMYFUNCTION("GOOGLETRANSLATE(E75, ""en"", ""am"")"),"ቀደምት የገና ስፖርት ኳሶች ለጥንካሬ ከእንስሳት ቆዳ የተሠሩ ነበሩ።")</f>
        <v>ቀደምት የገና ስፖርት ኳሶች ለጥንካሬ ከእንስሳት ቆዳ የተሠሩ ነበሩ።</v>
      </c>
    </row>
    <row r="76" ht="22.5" customHeight="1">
      <c r="A76" s="3">
        <v>75.0</v>
      </c>
      <c r="B76" s="4" t="s">
        <v>288</v>
      </c>
      <c r="C76" s="4" t="s">
        <v>289</v>
      </c>
      <c r="D76" s="4" t="s">
        <v>24</v>
      </c>
      <c r="E76" s="4" t="s">
        <v>290</v>
      </c>
      <c r="G76" s="5" t="str">
        <f>IFERROR(__xludf.DUMMYFUNCTION("GOOGLETRANSLATE(A76, ""en"", ""am"")"),"75")</f>
        <v>75</v>
      </c>
      <c r="H76" s="5" t="str">
        <f>IFERROR(__xludf.DUMMYFUNCTION("GOOGLETRANSLATE(B76, ""en"", ""am"")"),"የገና ትርጉሙ በአማርኛ ምን ማለት ነው?")</f>
        <v>የገና ትርጉሙ በአማርኛ ምን ማለት ነው?</v>
      </c>
      <c r="I76" s="5" t="str">
        <f>IFERROR(__xludf.DUMMYFUNCTION("GOOGLETRANSLATE(C76, ""en"", ""am"")"),"ሀ. አከባበር ለ. ገና ሐ. ደስታ ዲ. አንድነት")</f>
        <v>ሀ. አከባበር ለ. ገና ሐ. ደስታ ዲ. አንድነት</v>
      </c>
      <c r="J76" s="5" t="str">
        <f>IFERROR(__xludf.DUMMYFUNCTION("GOOGLETRANSLATE(D76, ""en"", ""am"")"),"የገና በአል")</f>
        <v>የገና በአል</v>
      </c>
      <c r="K76" s="5" t="str">
        <f>IFERROR(__xludf.DUMMYFUNCTION("GOOGLETRANSLATE(E76, ""en"", ""am"")"),"በአማርኛ ‘ገና’ በቀጥታ ወደ ‘ጄና’ ይተረጎማል፣ ይህም ከበዓል ጋር ያለውን ግንኙነት ያሳያል።")</f>
        <v>በአማርኛ ‘ገና’ በቀጥታ ወደ ‘ጄና’ ይተረጎማል፣ ይህም ከበዓል ጋር ያለውን ግንኙነት ያሳያል።</v>
      </c>
    </row>
    <row r="77" ht="22.5" customHeight="1">
      <c r="A77" s="3">
        <v>76.0</v>
      </c>
      <c r="B77" s="4" t="s">
        <v>291</v>
      </c>
      <c r="C77" s="4" t="s">
        <v>292</v>
      </c>
      <c r="D77" s="4" t="s">
        <v>137</v>
      </c>
      <c r="E77" s="4" t="s">
        <v>293</v>
      </c>
      <c r="G77" s="5" t="str">
        <f>IFERROR(__xludf.DUMMYFUNCTION("GOOGLETRANSLATE(A77, ""en"", ""am"")"),"76")</f>
        <v>76</v>
      </c>
      <c r="H77" s="5" t="str">
        <f>IFERROR(__xludf.DUMMYFUNCTION("GOOGLETRANSLATE(B77, ""en"", ""am"")"),"ስፖርትን እንደ ባህል ባህል የባረከው የትኛው ኢትዮጵያዊ ቅዱስ ነው?")</f>
        <v>ስፖርትን እንደ ባህል ባህል የባረከው የትኛው ኢትዮጵያዊ ቅዱስ ነው?</v>
      </c>
      <c r="I77" s="5" t="str">
        <f>IFERROR(__xludf.DUMMYFUNCTION("GOOGLETRANSLATE(C77, ""en"", ""am"")"),"ሀ/ ቅዱስ ጊዮርጊስ ብ/ ተክለ ሃይማኖት ቅዱስ ያሬድ ዲ/ን ቅዱስ ላሊበላ")</f>
        <v>ሀ/ ቅዱስ ጊዮርጊስ ብ/ ተክለ ሃይማኖት ቅዱስ ያሬድ ዲ/ን ቅዱስ ላሊበላ</v>
      </c>
      <c r="J77" s="5" t="str">
        <f>IFERROR(__xludf.DUMMYFUNCTION("GOOGLETRANSLATE(D77, ""en"", ""am"")"),"ቅዱስ ተክለ ሃይማኖት")</f>
        <v>ቅዱስ ተክለ ሃይማኖት</v>
      </c>
      <c r="K77" s="5" t="str">
        <f>IFERROR(__xludf.DUMMYFUNCTION("GOOGLETRANSLATE(E77, ""en"", ""am"")"),"ቅዱስ ተክለ ሃይማኖት ስፖርትን እንደ ኢትዮጵያዊ ባህል እንደባረከ ይታመናል።")</f>
        <v>ቅዱስ ተክለ ሃይማኖት ስፖርትን እንደ ኢትዮጵያዊ ባህል እንደባረከ ይታመናል።</v>
      </c>
    </row>
    <row r="78" ht="22.5" customHeight="1">
      <c r="A78" s="3">
        <v>77.0</v>
      </c>
      <c r="B78" s="4" t="s">
        <v>294</v>
      </c>
      <c r="C78" s="4" t="s">
        <v>295</v>
      </c>
      <c r="D78" s="4" t="s">
        <v>63</v>
      </c>
      <c r="E78" s="4" t="s">
        <v>296</v>
      </c>
      <c r="G78" s="5" t="str">
        <f>IFERROR(__xludf.DUMMYFUNCTION("GOOGLETRANSLATE(A78, ""en"", ""am"")"),"77")</f>
        <v>77</v>
      </c>
      <c r="H78" s="5" t="str">
        <f>IFERROR(__xludf.DUMMYFUNCTION("GOOGLETRANSLATE(B78, ""en"", ""am"")"),"ስፖርት በኢትዮጵያ ታሪክ ላይ ምን ተፅዕኖ አሳድሯል?")</f>
        <v>ስፖርት በኢትዮጵያ ታሪክ ላይ ምን ተፅዕኖ አሳድሯል?</v>
      </c>
      <c r="I78" s="5" t="str">
        <f>IFERROR(__xludf.DUMMYFUNCTION("GOOGLETRANSLATE(C78, ""en"", ""am"")"),"ሀ. የማበረታቻ ምሳሌዎች ለ. ተረት ጭብጥ ሆነ። ሐ. ተምሳሌታዊ አንድነት በተረት መ. ከላይ ያሉት ሁሉም")</f>
        <v>ሀ. የማበረታቻ ምሳሌዎች ለ. ተረት ጭብጥ ሆነ። ሐ. ተምሳሌታዊ አንድነት በተረት መ. ከላይ ያሉት ሁሉም</v>
      </c>
      <c r="J78" s="5" t="str">
        <f>IFERROR(__xludf.DUMMYFUNCTION("GOOGLETRANSLATE(D78, ""en"", ""am"")"),"ከላይ ያሉት ሁሉም")</f>
        <v>ከላይ ያሉት ሁሉም</v>
      </c>
      <c r="K78" s="5" t="str">
        <f>IFERROR(__xludf.DUMMYFUNCTION("GOOGLETRANSLATE(E78, ""en"", ""am"")"),"ሆኖም ስፖርት በምሳሌዎች፣ ታሪኮች እና ተምሳሌታዊ ጭብጦች በኢትዮጵያውያን ወግ ላይ ተጽዕኖ አሳድሯል።")</f>
        <v>ሆኖም ስፖርት በምሳሌዎች፣ ታሪኮች እና ተምሳሌታዊ ጭብጦች በኢትዮጵያውያን ወግ ላይ ተጽዕኖ አሳድሯል።</v>
      </c>
    </row>
    <row r="79" ht="22.5" customHeight="1">
      <c r="A79" s="3">
        <v>78.0</v>
      </c>
      <c r="B79" s="4" t="s">
        <v>297</v>
      </c>
      <c r="C79" s="4" t="s">
        <v>298</v>
      </c>
      <c r="D79" s="4" t="s">
        <v>63</v>
      </c>
      <c r="E79" s="4" t="s">
        <v>299</v>
      </c>
      <c r="G79" s="5" t="str">
        <f>IFERROR(__xludf.DUMMYFUNCTION("GOOGLETRANSLATE(A79, ""en"", ""am"")"),"78")</f>
        <v>78</v>
      </c>
      <c r="H79" s="5" t="str">
        <f>IFERROR(__xludf.DUMMYFUNCTION("GOOGLETRANSLATE(B79, ""en"", ""am"")"),"በገና ስፖርት በዓላት ላይ ሴቶች በታሪክ ምን ሚና ተጫውተዋል?")</f>
        <v>በገና ስፖርት በዓላት ላይ ሴቶች በታሪክ ምን ሚና ተጫውተዋል?</v>
      </c>
      <c r="I79" s="5" t="str">
        <f>IFERROR(__xludf.DUMMYFUNCTION("GOOGLETRANSLATE(C79, ""en"", ""am"")"),"ሀ. ተመልካቾች ለ. አደራጆች ሐ. አይዟችሁ። መ. ከላይ ያሉት ሁሉም")</f>
        <v>ሀ. ተመልካቾች ለ. አደራጆች ሐ. አይዟችሁ። መ. ከላይ ያሉት ሁሉም</v>
      </c>
      <c r="J79" s="5" t="str">
        <f>IFERROR(__xludf.DUMMYFUNCTION("GOOGLETRANSLATE(D79, ""en"", ""am"")"),"ከላይ ያሉት ሁሉም")</f>
        <v>ከላይ ያሉት ሁሉም</v>
      </c>
      <c r="K79" s="5" t="str">
        <f>IFERROR(__xludf.DUMMYFUNCTION("GOOGLETRANSLATE(E79, ""en"", ""am"")"),"ሴቶች በታሪክ ለገና ስፖርታዊ ዝግጅቶች እንደ ተመልካቾች፣ አዘጋጆች እና አበረታች መሪዎች አስተዋፅዖ አድርገዋል።")</f>
        <v>ሴቶች በታሪክ ለገና ስፖርታዊ ዝግጅቶች እንደ ተመልካቾች፣ አዘጋጆች እና አበረታች መሪዎች አስተዋፅዖ አድርገዋል።</v>
      </c>
    </row>
    <row r="80" ht="22.5" customHeight="1">
      <c r="A80" s="3">
        <v>79.0</v>
      </c>
      <c r="B80" s="4" t="s">
        <v>300</v>
      </c>
      <c r="C80" s="4" t="s">
        <v>301</v>
      </c>
      <c r="D80" s="4" t="s">
        <v>302</v>
      </c>
      <c r="E80" s="4" t="s">
        <v>303</v>
      </c>
      <c r="G80" s="5" t="str">
        <f>IFERROR(__xludf.DUMMYFUNCTION("GOOGLETRANSLATE(A80, ""en"", ""am"")"),"79")</f>
        <v>79</v>
      </c>
      <c r="H80" s="5" t="str">
        <f>IFERROR(__xludf.DUMMYFUNCTION("GOOGLETRANSLATE(B80, ""en"", ""am"")"),"በጥንቷ ኢትዮጵያ የገና ስፖርት ጨዋታዎችን በማሸነፍ የጋራ ሽልማት ምን ነበር?")</f>
        <v>በጥንቷ ኢትዮጵያ የገና ስፖርት ጨዋታዎችን በማሸነፍ የጋራ ሽልማት ምን ነበር?</v>
      </c>
      <c r="I80" s="5" t="str">
        <f>IFERROR(__xludf.DUMMYFUNCTION("GOOGLETRANSLATE(C80, ""en"", ""am"")"),"ሀ.ክብር ለ.ከብቶች ሐ.የሥነ ሥርዓት ስጦታዎች መ.ምግብ")</f>
        <v>ሀ.ክብር ለ.ከብቶች ሐ.የሥነ ሥርዓት ስጦታዎች መ.ምግብ</v>
      </c>
      <c r="J80" s="5" t="str">
        <f>IFERROR(__xludf.DUMMYFUNCTION("GOOGLETRANSLATE(D80, ""en"", ""am"")"),"የሥርዓት ስጦታዎች")</f>
        <v>የሥርዓት ስጦታዎች</v>
      </c>
      <c r="K80" s="5" t="str">
        <f>IFERROR(__xludf.DUMMYFUNCTION("GOOGLETRANSLATE(E80, ""en"", ""am"")"),"እንደ በእጅ የተሰሩ ዕቃዎች ያሉ የሥርዓት ስጦታዎች ግጥሚያዎችን ለማሸነፍ የተለመዱ ሽልማቶች ነበሩ።")</f>
        <v>እንደ በእጅ የተሰሩ ዕቃዎች ያሉ የሥርዓት ስጦታዎች ግጥሚያዎችን ለማሸነፍ የተለመዱ ሽልማቶች ነበሩ።</v>
      </c>
    </row>
    <row r="81" ht="22.5" customHeight="1">
      <c r="A81" s="3">
        <v>80.0</v>
      </c>
      <c r="B81" s="4" t="s">
        <v>304</v>
      </c>
      <c r="C81" s="4" t="s">
        <v>305</v>
      </c>
      <c r="D81" s="4" t="s">
        <v>224</v>
      </c>
      <c r="E81" s="4" t="s">
        <v>306</v>
      </c>
      <c r="G81" s="5" t="str">
        <f>IFERROR(__xludf.DUMMYFUNCTION("GOOGLETRANSLATE(A81, ""en"", ""am"")"),"80")</f>
        <v>80</v>
      </c>
      <c r="H81" s="5" t="str">
        <f>IFERROR(__xludf.DUMMYFUNCTION("GOOGLETRANSLATE(B81, ""en"", ""am"")"),"ከገና በቀር የትኛው የኢትዮጵያ ሃይማኖታዊ በዓል አልፎ አልፎ ገናን እና ስፖርትን ይጨምራል?")</f>
        <v>ከገና በቀር የትኛው የኢትዮጵያ ሃይማኖታዊ በዓል አልፎ አልፎ ገናን እና ስፖርትን ይጨምራል?</v>
      </c>
      <c r="I81" s="5" t="str">
        <f>IFERROR(__xludf.DUMMYFUNCTION("GOOGLETRANSLATE(C81, ""en"", ""am"")"),"A. Epiphany B. Easter C. የእውነተኛው መስቀል ፍለጋ መ. መልካም አርብ")</f>
        <v>A. Epiphany B. Easter C. የእውነተኛው መስቀል ፍለጋ መ. መልካም አርብ</v>
      </c>
      <c r="J81" s="5" t="str">
        <f>IFERROR(__xludf.DUMMYFUNCTION("GOOGLETRANSLATE(D81, ""en"", ""am"")"),"ጥምቀት")</f>
        <v>ጥምቀት</v>
      </c>
      <c r="K81" s="5" t="str">
        <f>IFERROR(__xludf.DUMMYFUNCTION("GOOGLETRANSLATE(E81, ""en"", ""am"")"),"ኢፒፋኒ ወይም ጥምቀት አንዳንድ ጊዜ የገና ስፖርቶችን እንደ የክብረ በዓሉ አካል ያሳያል።")</f>
        <v>ኢፒፋኒ ወይም ጥምቀት አንዳንድ ጊዜ የገና ስፖርቶችን እንደ የክብረ በዓሉ አካል ያሳያል።</v>
      </c>
    </row>
    <row r="82" ht="22.5" customHeight="1">
      <c r="A82" s="3">
        <v>81.0</v>
      </c>
      <c r="B82" s="4" t="s">
        <v>307</v>
      </c>
      <c r="C82" s="4" t="s">
        <v>308</v>
      </c>
      <c r="D82" s="4" t="s">
        <v>63</v>
      </c>
      <c r="E82" s="4" t="s">
        <v>309</v>
      </c>
      <c r="G82" s="5" t="str">
        <f>IFERROR(__xludf.DUMMYFUNCTION("GOOGLETRANSLATE(A82, ""en"", ""am"")"),"81")</f>
        <v>81</v>
      </c>
      <c r="H82" s="5" t="str">
        <f>IFERROR(__xludf.DUMMYFUNCTION("GOOGLETRANSLATE(B82, ""en"", ""am"")"),"ስፖርት የኢትዮጵያን የገጠር ባህል ለመጠበቅ የረዳው እንዴት ነው?")</f>
        <v>ስፖርት የኢትዮጵያን የገጠር ባህል ለመጠበቅ የረዳው እንዴት ነው?</v>
      </c>
      <c r="I82" s="5" t="str">
        <f>IFERROR(__xludf.DUMMYFUNCTION("GOOGLETRANSLATE(C82, ""en"", ""am"")"),"ሀ. የተጠበቁ ባህላዊ ድርጊቶች ለ. አንድነትን አበረታቷል። ሐ. የተጠናከረ የማህበረሰብ ትስስር መ. ከላይ ያሉት ሁሉም")</f>
        <v>ሀ. የተጠበቁ ባህላዊ ድርጊቶች ለ. አንድነትን አበረታቷል። ሐ. የተጠናከረ የማህበረሰብ ትስስር መ. ከላይ ያሉት ሁሉም</v>
      </c>
      <c r="J82" s="5" t="str">
        <f>IFERROR(__xludf.DUMMYFUNCTION("GOOGLETRANSLATE(D82, ""en"", ""am"")"),"ከላይ ያሉት ሁሉም")</f>
        <v>ከላይ ያሉት ሁሉም</v>
      </c>
      <c r="K82" s="5" t="str">
        <f>IFERROR(__xludf.DUMMYFUNCTION("GOOGLETRANSLATE(E82, ""en"", ""am"")"),"የገና ስፖርቶች አንድነትን በማጎልበት እና ባህላዊ ልምዶችን በመጠበቅ የገጠር ወጎችን ጠብቀዋል.")</f>
        <v>የገና ስፖርቶች አንድነትን በማጎልበት እና ባህላዊ ልምዶችን በመጠበቅ የገጠር ወጎችን ጠብቀዋል.</v>
      </c>
    </row>
    <row r="83" ht="22.5" customHeight="1">
      <c r="A83" s="3">
        <v>82.0</v>
      </c>
      <c r="B83" s="4" t="s">
        <v>310</v>
      </c>
      <c r="C83" s="4" t="s">
        <v>311</v>
      </c>
      <c r="D83" s="4" t="s">
        <v>312</v>
      </c>
      <c r="E83" s="4" t="s">
        <v>313</v>
      </c>
      <c r="G83" s="5" t="str">
        <f>IFERROR(__xludf.DUMMYFUNCTION("GOOGLETRANSLATE(A83, ""en"", ""am"")"),"82")</f>
        <v>82</v>
      </c>
      <c r="H83" s="5" t="str">
        <f>IFERROR(__xludf.DUMMYFUNCTION("GOOGLETRANSLATE(B83, ""en"", ""am"")"),"በመጀመሪያ ስለ ስፖርት የጠቀሱት የትኞቹ የታሪክ ሰነዶች ናቸው?")</f>
        <v>በመጀመሪያ ስለ ስፖርት የጠቀሱት የትኞቹ የታሪክ ሰነዶች ናቸው?</v>
      </c>
      <c r="I83" s="5" t="str">
        <f>IFERROR(__xludf.DUMMYFUNCTION("GOOGLETRANSLATE(C83, ""en"", ""am"")"),"ሀ. የጥንቷ ኢትዮጵያ ዜና መዋዕል ለ. ሃይማኖታዊ ጽሑፎች ሐ. የቃል ታሪኮች መ. ከላይ ያሉት አንድም አይደሉም።")</f>
        <v>ሀ. የጥንቷ ኢትዮጵያ ዜና መዋዕል ለ. ሃይማኖታዊ ጽሑፎች ሐ. የቃል ታሪኮች መ. ከላይ ያሉት አንድም አይደሉም።</v>
      </c>
      <c r="J83" s="5" t="str">
        <f>IFERROR(__xludf.DUMMYFUNCTION("GOOGLETRANSLATE(D83, ""en"", ""am"")"),"የጥንቷ ኢትዮጵያ ዜና መዋዕል")</f>
        <v>የጥንቷ ኢትዮጵያ ዜና መዋዕል</v>
      </c>
      <c r="K83" s="5" t="str">
        <f>IFERROR(__xludf.DUMMYFUNCTION("GOOGLETRANSLATE(E83, ""en"", ""am"")"),"በኢትዮጵያ ስፖርት ለመጀመሪያ ጊዜ የተጠቀሰው በጥንታዊ የኢትዮጵያ ዜና መዋዕል ውስጥ ሲሆን ይህም የባህል ልምዶችን ይመዘግባል።")</f>
        <v>በኢትዮጵያ ስፖርት ለመጀመሪያ ጊዜ የተጠቀሰው በጥንታዊ የኢትዮጵያ ዜና መዋዕል ውስጥ ሲሆን ይህም የባህል ልምዶችን ይመዘግባል።</v>
      </c>
    </row>
    <row r="84" ht="22.5" customHeight="1">
      <c r="A84" s="3">
        <v>83.0</v>
      </c>
      <c r="B84" s="4" t="s">
        <v>314</v>
      </c>
      <c r="C84" s="4" t="s">
        <v>315</v>
      </c>
      <c r="D84" s="4" t="s">
        <v>316</v>
      </c>
      <c r="E84" s="4" t="s">
        <v>317</v>
      </c>
      <c r="G84" s="5" t="str">
        <f>IFERROR(__xludf.DUMMYFUNCTION("GOOGLETRANSLATE(A84, ""en"", ""am"")"),"83")</f>
        <v>83</v>
      </c>
      <c r="H84" s="5" t="str">
        <f>IFERROR(__xludf.DUMMYFUNCTION("GOOGLETRANSLATE(B84, ""en"", ""am"")"),"በገና ወቅት ስፖርት ስለመጫወት ባህላዊ እምነት ምንድነው?")</f>
        <v>በገና ወቅት ስፖርት ስለመጫወት ባህላዊ እምነት ምንድነው?</v>
      </c>
      <c r="I84" s="5" t="str">
        <f>IFERROR(__xludf.DUMMYFUNCTION("GOOGLETRANSLATE(C84, ""en"", ""am"")"),"ሀ/ በረከትን ያመጣል። ለ. ጥሩ ምርትን ያረጋግጣል ሐ. የቤተሰብ ትስስርን ያጠናክራል. መ. ከላይ ያሉት ሁሉም")</f>
        <v>ሀ/ በረከትን ያመጣል። ለ. ጥሩ ምርትን ያረጋግጣል ሐ. የቤተሰብ ትስስርን ያጠናክራል. መ. ከላይ ያሉት ሁሉም</v>
      </c>
      <c r="J84" s="5" t="str">
        <f>IFERROR(__xludf.DUMMYFUNCTION("GOOGLETRANSLATE(D84, ""en"", ""am"")"),"በረከትን ያመጣል።")</f>
        <v>በረከትን ያመጣል።</v>
      </c>
      <c r="K84" s="5" t="str">
        <f>IFERROR(__xludf.DUMMYFUNCTION("GOOGLETRANSLATE(E84, ""en"", ""am"")"),"በገና ወቅት ስፖርት መጫወት ለህብረተሰቡ በረከት እንደሚያስገኝ ይታመናል።")</f>
        <v>በገና ወቅት ስፖርት መጫወት ለህብረተሰቡ በረከት እንደሚያስገኝ ይታመናል።</v>
      </c>
    </row>
    <row r="85" ht="22.5" customHeight="1">
      <c r="A85" s="3">
        <v>84.0</v>
      </c>
      <c r="B85" s="4" t="s">
        <v>318</v>
      </c>
      <c r="C85" s="4" t="s">
        <v>319</v>
      </c>
      <c r="D85" s="4" t="s">
        <v>63</v>
      </c>
      <c r="E85" s="4" t="s">
        <v>320</v>
      </c>
      <c r="G85" s="5" t="str">
        <f>IFERROR(__xludf.DUMMYFUNCTION("GOOGLETRANSLATE(A85, ""en"", ""am"")"),"84")</f>
        <v>84</v>
      </c>
      <c r="H85" s="5" t="str">
        <f>IFERROR(__xludf.DUMMYFUNCTION("GOOGLETRANSLATE(B85, ""en"", ""am"")"),"በጥንታዊት ኢትዮጵያ መንደሮች የገና ስፖርት ዋና ዓላማ ምን ነበር?")</f>
        <v>በጥንታዊት ኢትዮጵያ መንደሮች የገና ስፖርት ዋና ዓላማ ምን ነበር?</v>
      </c>
      <c r="I85" s="5" t="str">
        <f>IFERROR(__xludf.DUMMYFUNCTION("GOOGLETRANSLATE(C85, ""en"", ""am"")"),"ሀ. መዝናኛ ለ. የግጭት አፈታት ሐ. የአንድነት አከባበር D. ሁሉም ከላይ ያሉት")</f>
        <v>ሀ. መዝናኛ ለ. የግጭት አፈታት ሐ. የአንድነት አከባበር D. ሁሉም ከላይ ያሉት</v>
      </c>
      <c r="J85" s="5" t="str">
        <f>IFERROR(__xludf.DUMMYFUNCTION("GOOGLETRANSLATE(D85, ""en"", ""am"")"),"ከላይ ያሉት ሁሉም")</f>
        <v>ከላይ ያሉት ሁሉም</v>
      </c>
      <c r="K85" s="5" t="str">
        <f>IFERROR(__xludf.DUMMYFUNCTION("GOOGLETRANSLATE(E85, ""en"", ""am"")"),"ስፖርት ለረጅም ጊዜ እንደ መዝናኛ፣ ግጭቶችን ለመፍታት እና የአንድነት በዓል ሆኖ አገልግሏል።")</f>
        <v>ስፖርት ለረጅም ጊዜ እንደ መዝናኛ፣ ግጭቶችን ለመፍታት እና የአንድነት በዓል ሆኖ አገልግሏል።</v>
      </c>
    </row>
    <row r="86" ht="22.5" customHeight="1">
      <c r="A86" s="3">
        <v>85.0</v>
      </c>
      <c r="B86" s="4" t="s">
        <v>321</v>
      </c>
      <c r="C86" s="4" t="s">
        <v>322</v>
      </c>
      <c r="D86" s="4" t="s">
        <v>323</v>
      </c>
      <c r="E86" s="4" t="s">
        <v>324</v>
      </c>
      <c r="G86" s="5" t="str">
        <f>IFERROR(__xludf.DUMMYFUNCTION("GOOGLETRANSLATE(A86, ""en"", ""am"")"),"85")</f>
        <v>85</v>
      </c>
      <c r="H86" s="5" t="str">
        <f>IFERROR(__xludf.DUMMYFUNCTION("GOOGLETRANSLATE(B86, ""en"", ""am"")"),"የገና ስፖርት ደጋፊ የነበረው የትኛው ኢትዮጵያዊ ንጉስ ነበር?")</f>
        <v>የገና ስፖርት ደጋፊ የነበረው የትኛው ኢትዮጵያዊ ንጉስ ነበር?</v>
      </c>
      <c r="I86" s="5" t="str">
        <f>IFERROR(__xludf.DUMMYFUNCTION("GOOGLETRANSLATE(C86, ""en"", ""am"")"),"አ. ንጉስ ላሊበላ ቢ. ንጉስ ምኒልክ ሲ. ንጉስ ኢዛና ዲ. ንጉስ ካሌብ")</f>
        <v>አ. ንጉስ ላሊበላ ቢ. ንጉስ ምኒልክ ሲ. ንጉስ ኢዛና ዲ. ንጉስ ካሌብ</v>
      </c>
      <c r="J86" s="5" t="str">
        <f>IFERROR(__xludf.DUMMYFUNCTION("GOOGLETRANSLATE(D86, ""en"", ""am"")"),"ንጉስ ላሊበላ")</f>
        <v>ንጉስ ላሊበላ</v>
      </c>
      <c r="K86" s="5" t="str">
        <f>IFERROR(__xludf.DUMMYFUNCTION("GOOGLETRANSLATE(E86, ""en"", ""am"")"),"ንጉስ ላሊበላ ገናን እና ስፖርትን እንደ ኢትዮጵያዊ ባህል ይደግፉ ነበር ተብሎ ይታመናል።")</f>
        <v>ንጉስ ላሊበላ ገናን እና ስፖርትን እንደ ኢትዮጵያዊ ባህል ይደግፉ ነበር ተብሎ ይታመናል።</v>
      </c>
    </row>
    <row r="87" ht="22.5" customHeight="1">
      <c r="A87" s="3">
        <v>86.0</v>
      </c>
      <c r="B87" s="4" t="s">
        <v>325</v>
      </c>
      <c r="C87" s="4" t="s">
        <v>326</v>
      </c>
      <c r="D87" s="4" t="s">
        <v>327</v>
      </c>
      <c r="E87" s="4" t="s">
        <v>328</v>
      </c>
      <c r="G87" s="5" t="str">
        <f>IFERROR(__xludf.DUMMYFUNCTION("GOOGLETRANSLATE(A87, ""en"", ""am"")"),"86")</f>
        <v>86</v>
      </c>
      <c r="H87" s="5" t="str">
        <f>IFERROR(__xludf.DUMMYFUNCTION("GOOGLETRANSLATE(B87, ""en"", ""am"")"),"በገና ስፖርቶች ውስጥ የታሪኩ ተምሳሌታዊ ጠቀሜታ ምን ነበር?")</f>
        <v>በገና ስፖርቶች ውስጥ የታሪኩ ተምሳሌታዊ ጠቀሜታ ምን ነበር?</v>
      </c>
      <c r="I87" s="5" t="str">
        <f>IFERROR(__xludf.DUMMYFUNCTION("GOOGLETRANSLATE(C87, ""en"", ""am"")"),"ሀ. በክፉ ላይ መልካም ድል ለ. በህብረተሰብ ውስጥ አንድነት ሐ. ጥንካሬ እና ችሎታ መ. ከላይ ያሉት ሁሉም")</f>
        <v>ሀ. በክፉ ላይ መልካም ድል ለ. በህብረተሰብ ውስጥ አንድነት ሐ. ጥንካሬ እና ችሎታ መ. ከላይ ያሉት ሁሉም</v>
      </c>
      <c r="J87" s="5" t="str">
        <f>IFERROR(__xludf.DUMMYFUNCTION("GOOGLETRANSLATE(D87, ""en"", ""am"")"),"በክፉ ላይ መልካም ድል")</f>
        <v>በክፉ ላይ መልካም ድል</v>
      </c>
      <c r="K87" s="5" t="str">
        <f>IFERROR(__xludf.DUMMYFUNCTION("GOOGLETRANSLATE(E87, ""en"", ""am"")"),"ገና ስፖርታዊ እንቅስቃሴ ላይ ግብ ማስቆጠር በኢትዮጵያውያን ወጎች በክፉ ላይ መልካም ድል መቀዳጀቱን ያሳያል።")</f>
        <v>ገና ስፖርታዊ እንቅስቃሴ ላይ ግብ ማስቆጠር በኢትዮጵያውያን ወጎች በክፉ ላይ መልካም ድል መቀዳጀቱን ያሳያል።</v>
      </c>
    </row>
    <row r="88" ht="22.5" customHeight="1">
      <c r="A88" s="3">
        <v>87.0</v>
      </c>
      <c r="B88" s="4" t="s">
        <v>329</v>
      </c>
      <c r="C88" s="4" t="s">
        <v>330</v>
      </c>
      <c r="D88" s="4" t="s">
        <v>331</v>
      </c>
      <c r="E88" s="4" t="s">
        <v>332</v>
      </c>
      <c r="G88" s="5" t="str">
        <f>IFERROR(__xludf.DUMMYFUNCTION("GOOGLETRANSLATE(A88, ""en"", ""am"")"),"87")</f>
        <v>87</v>
      </c>
      <c r="H88" s="5" t="str">
        <f>IFERROR(__xludf.DUMMYFUNCTION("GOOGLETRANSLATE(B88, ""en"", ""am"")"),"ክርስቲያን ሚስዮናውያን በገና ስፖርቶች እድገት ላይ ተጽዕኖ ያሳደሩት እንዴት ነው?")</f>
        <v>ክርስቲያን ሚስዮናውያን በገና ስፖርቶች እድገት ላይ ተጽዕኖ ያሳደሩት እንዴት ነው?</v>
      </c>
      <c r="I88" s="5" t="str">
        <f>IFERROR(__xludf.DUMMYFUNCTION("GOOGLETRANSLATE(C88, ""en"", ""am"")"),"ሀ. በበዓላት ወቅት አስተዋውቋል ለ. ደንቦቹን ቀይሯል. ሐ. ጨዋታውን ገድቧል። መ. ከላይ ከተጠቀሱት ውስጥ አንዳቸውም")</f>
        <v>ሀ. በበዓላት ወቅት አስተዋውቋል ለ. ደንቦቹን ቀይሯል. ሐ. ጨዋታውን ገድቧል። መ. ከላይ ከተጠቀሱት ውስጥ አንዳቸውም</v>
      </c>
      <c r="J88" s="5" t="str">
        <f>IFERROR(__xludf.DUMMYFUNCTION("GOOGLETRANSLATE(D88, ""en"", ""am"")"),"በበዓላት ወቅት አስተዋውቋል")</f>
        <v>በበዓላት ወቅት አስተዋውቋል</v>
      </c>
      <c r="K88" s="5" t="str">
        <f>IFERROR(__xludf.DUMMYFUNCTION("GOOGLETRANSLATE(E88, ""en"", ""am"")"),"ክርስቲያን ሚስዮናውያን እንደ ገና ባሉ ሃይማኖታዊ በዓላት ወቅት ስፖርቶችን ያበረታቱ ነበር።")</f>
        <v>ክርስቲያን ሚስዮናውያን እንደ ገና ባሉ ሃይማኖታዊ በዓላት ወቅት ስፖርቶችን ያበረታቱ ነበር።</v>
      </c>
    </row>
    <row r="89" ht="22.5" customHeight="1">
      <c r="A89" s="3">
        <v>88.0</v>
      </c>
      <c r="B89" s="4" t="s">
        <v>333</v>
      </c>
      <c r="C89" s="4" t="s">
        <v>334</v>
      </c>
      <c r="D89" s="4" t="s">
        <v>63</v>
      </c>
      <c r="E89" s="4" t="s">
        <v>335</v>
      </c>
      <c r="G89" s="5" t="str">
        <f>IFERROR(__xludf.DUMMYFUNCTION("GOOGLETRANSLATE(A89, ""en"", ""am"")"),"88")</f>
        <v>88</v>
      </c>
      <c r="H89" s="5" t="str">
        <f>IFERROR(__xludf.DUMMYFUNCTION("GOOGLETRANSLATE(B89, ""en"", ""am"")"),"በዓለም ዙሪያ ካሉ ተመሳሳይ ጨዋታዎች ጋር ሲወዳደር የገና ስፖርቶች ልዩ ባህሪ ምንድነው?")</f>
        <v>በዓለም ዙሪያ ካሉ ተመሳሳይ ጨዋታዎች ጋር ሲወዳደር የገና ስፖርቶች ልዩ ባህሪ ምንድነው?</v>
      </c>
      <c r="I89" s="5" t="str">
        <f>IFERROR(__xludf.DUMMYFUNCTION("GOOGLETRANSLATE(C89, ""en"", ""am"")"),"ሀ. ሃይማኖታዊ ጠቀሜታው ለ. ባህላዊ እንጨት መጠቀም ሐ. የባህል ምልክት መ. ከላይ ያሉት ሁሉም")</f>
        <v>ሀ. ሃይማኖታዊ ጠቀሜታው ለ. ባህላዊ እንጨት መጠቀም ሐ. የባህል ምልክት መ. ከላይ ያሉት ሁሉም</v>
      </c>
      <c r="J89" s="5" t="str">
        <f>IFERROR(__xludf.DUMMYFUNCTION("GOOGLETRANSLATE(D89, ""en"", ""am"")"),"ከላይ ያሉት ሁሉም")</f>
        <v>ከላይ ያሉት ሁሉም</v>
      </c>
      <c r="K89" s="5" t="str">
        <f>IFERROR(__xludf.DUMMYFUNCTION("GOOGLETRANSLATE(E89, ""en"", ""am"")"),"ሆኖም ስፖርት በሃይማኖታዊ ጠቀሜታው፣ በባህላዊ ወጥመዶች እና በባህላዊ ተምሳሌትነቱ ጎልቶ ይታያል።")</f>
        <v>ሆኖም ስፖርት በሃይማኖታዊ ጠቀሜታው፣ በባህላዊ ወጥመዶች እና በባህላዊ ተምሳሌትነቱ ጎልቶ ይታያል።</v>
      </c>
    </row>
    <row r="90" ht="22.5" customHeight="1">
      <c r="A90" s="3">
        <v>89.0</v>
      </c>
      <c r="B90" s="4" t="s">
        <v>336</v>
      </c>
      <c r="C90" s="4" t="s">
        <v>337</v>
      </c>
      <c r="D90" s="4" t="s">
        <v>236</v>
      </c>
      <c r="E90" s="4" t="s">
        <v>338</v>
      </c>
      <c r="G90" s="5" t="str">
        <f>IFERROR(__xludf.DUMMYFUNCTION("GOOGLETRANSLATE(A90, ""en"", ""am"")"),"89")</f>
        <v>89</v>
      </c>
      <c r="H90" s="5" t="str">
        <f>IFERROR(__xludf.DUMMYFUNCTION("GOOGLETRANSLATE(B90, ""en"", ""am"")"),"የገና ስፖርት ህጎችን በማዘጋጀት የተመሰከረለት የትኛው ታሪካዊ ሰው ነው?")</f>
        <v>የገና ስፖርት ህጎችን በማዘጋጀት የተመሰከረለት የትኛው ታሪካዊ ሰው ነው?</v>
      </c>
      <c r="I90" s="5" t="str">
        <f>IFERROR(__xludf.DUMMYFUNCTION("GOOGLETRANSLATE(C90, ""en"", ""am"")"),"ሀ. ምንም መደበኛ ምስል የለም. ለ. የጎረቤት ሽማግሌዎች ሐ. የኢትዮጵያ ነገሥታት ዲ. የሃይማኖት መሪዎች")</f>
        <v>ሀ. ምንም መደበኛ ምስል የለም. ለ. የጎረቤት ሽማግሌዎች ሐ. የኢትዮጵያ ነገሥታት ዲ. የሃይማኖት መሪዎች</v>
      </c>
      <c r="J90" s="5" t="str">
        <f>IFERROR(__xludf.DUMMYFUNCTION("GOOGLETRANSLATE(D90, ""en"", ""am"")"),"የሰፈር ሽማግሌዎች")</f>
        <v>የሰፈር ሽማግሌዎች</v>
      </c>
      <c r="K90" s="5" t="str">
        <f>IFERROR(__xludf.DUMMYFUNCTION("GOOGLETRANSLATE(E90, ""en"", ""am"")"),"የሰፈር ሽማግሌዎች የገናን ስፖርት ይመሰርታሉ እና ይጠብቃሉ።")</f>
        <v>የሰፈር ሽማግሌዎች የገናን ስፖርት ይመሰርታሉ እና ይጠብቃሉ።</v>
      </c>
    </row>
    <row r="91" ht="22.5" customHeight="1">
      <c r="A91" s="3">
        <v>90.0</v>
      </c>
      <c r="B91" s="4" t="s">
        <v>339</v>
      </c>
      <c r="C91" s="4" t="s">
        <v>340</v>
      </c>
      <c r="D91" s="4" t="s">
        <v>63</v>
      </c>
      <c r="E91" s="4" t="s">
        <v>341</v>
      </c>
      <c r="G91" s="5" t="str">
        <f>IFERROR(__xludf.DUMMYFUNCTION("GOOGLETRANSLATE(A91, ""en"", ""am"")"),"90")</f>
        <v>90</v>
      </c>
      <c r="H91" s="5" t="str">
        <f>IFERROR(__xludf.DUMMYFUNCTION("GOOGLETRANSLATE(B91, ""en"", ""am"")"),"ስፖርት ለኢትዮጵያ ብሔራዊ ማንነት ምን አበርክቷል?")</f>
        <v>ስፖርት ለኢትዮጵያ ብሔራዊ ማንነት ምን አበርክቷል?</v>
      </c>
      <c r="I91" s="5" t="str">
        <f>IFERROR(__xludf.DUMMYFUNCTION("GOOGLETRANSLATE(C91, ""en"", ""am"")"),"ሀ. ቅርበት ያለው ባህል ለ. የተቀናጁ ማህበረሰቦች ሐ. ምልክት የተደረገባቸው ቅርሶች D. ሁሉም ከላይ ያሉት")</f>
        <v>ሀ. ቅርበት ያለው ባህል ለ. የተቀናጁ ማህበረሰቦች ሐ. ምልክት የተደረገባቸው ቅርሶች D. ሁሉም ከላይ ያሉት</v>
      </c>
      <c r="J91" s="5" t="str">
        <f>IFERROR(__xludf.DUMMYFUNCTION("GOOGLETRANSLATE(D91, ""en"", ""am"")"),"ከላይ ያሉት ሁሉም")</f>
        <v>ከላይ ያሉት ሁሉም</v>
      </c>
      <c r="K91" s="5" t="str">
        <f>IFERROR(__xludf.DUMMYFUNCTION("GOOGLETRANSLATE(E91, ""en"", ""am"")"),"ሆኖም ስፖርት ባህልን በመጠበቅ፣ ማህበረሰቦችን አንድ በማድረግ እና ቅርሶችን በማሳየት ለኢትዮጵያዊ ማንነት አስተዋፅዖ አድርጓል።")</f>
        <v>ሆኖም ስፖርት ባህልን በመጠበቅ፣ ማህበረሰቦችን አንድ በማድረግ እና ቅርሶችን በማሳየት ለኢትዮጵያዊ ማንነት አስተዋፅዖ አድርጓል።</v>
      </c>
    </row>
    <row r="92" ht="22.5" customHeight="1">
      <c r="A92" s="3">
        <v>91.0</v>
      </c>
      <c r="B92" s="4" t="s">
        <v>342</v>
      </c>
      <c r="C92" s="4" t="s">
        <v>343</v>
      </c>
      <c r="D92" s="4" t="s">
        <v>63</v>
      </c>
      <c r="E92" s="4" t="s">
        <v>344</v>
      </c>
      <c r="G92" s="5" t="str">
        <f>IFERROR(__xludf.DUMMYFUNCTION("GOOGLETRANSLATE(A92, ""en"", ""am"")"),"91")</f>
        <v>91</v>
      </c>
      <c r="H92" s="5" t="str">
        <f>IFERROR(__xludf.DUMMYFUNCTION("GOOGLETRANSLATE(B92, ""en"", ""am"")"),"በገና ስፖርት ወቅት የባህል ዘፈኖች ሚና ምን ነበር?")</f>
        <v>በገና ስፖርት ወቅት የባህል ዘፈኖች ሚና ምን ነበር?</v>
      </c>
      <c r="I92" s="5" t="str">
        <f>IFERROR(__xludf.DUMMYFUNCTION("GOOGLETRANSLATE(C92, ""en"", ""am"")"),"ሀ. ተነሳሽነት ያላቸው ተጫዋቾች ለ. ጨዋታውን አከበረ። ሐ. ተመልካቾችን ማበረታታት D. ሁሉም ከላይ ያሉት")</f>
        <v>ሀ. ተነሳሽነት ያላቸው ተጫዋቾች ለ. ጨዋታውን አከበረ። ሐ. ተመልካቾችን ማበረታታት D. ሁሉም ከላይ ያሉት</v>
      </c>
      <c r="J92" s="5" t="str">
        <f>IFERROR(__xludf.DUMMYFUNCTION("GOOGLETRANSLATE(D92, ""en"", ""am"")"),"ከላይ ያሉት ሁሉም")</f>
        <v>ከላይ ያሉት ሁሉም</v>
      </c>
      <c r="K92" s="5" t="str">
        <f>IFERROR(__xludf.DUMMYFUNCTION("GOOGLETRANSLATE(E92, ""en"", ""am"")"),"ባህላዊ ዘፈኖች ተጫዋቾችን አነሳስተዋል፣ ጨዋታውን አከበሩ እና ተመልካቾችን አሳትፈዋል።")</f>
        <v>ባህላዊ ዘፈኖች ተጫዋቾችን አነሳስተዋል፣ ጨዋታውን አከበሩ እና ተመልካቾችን አሳትፈዋል።</v>
      </c>
    </row>
    <row r="93" ht="22.5" customHeight="1">
      <c r="A93" s="3">
        <v>92.0</v>
      </c>
      <c r="B93" s="4" t="s">
        <v>345</v>
      </c>
      <c r="C93" s="4" t="s">
        <v>346</v>
      </c>
      <c r="D93" s="4" t="s">
        <v>347</v>
      </c>
      <c r="E93" s="4" t="s">
        <v>348</v>
      </c>
      <c r="G93" s="5" t="str">
        <f>IFERROR(__xludf.DUMMYFUNCTION("GOOGLETRANSLATE(A93, ""en"", ""am"")"),"92")</f>
        <v>92</v>
      </c>
      <c r="H93" s="5" t="str">
        <f>IFERROR(__xludf.DUMMYFUNCTION("GOOGLETRANSLATE(B93, ""en"", ""am"")"),"ለገና ስፖርቶች ጥቅም ላይ የዋለው የመሬት አቀማመጥ በታሪክ ምን ጠቀሜታ ነበረው?")</f>
        <v>ለገና ስፖርቶች ጥቅም ላይ የዋለው የመሬት አቀማመጥ በታሪክ ምን ጠቀሜታ ነበረው?</v>
      </c>
      <c r="I93" s="5" t="str">
        <f>IFERROR(__xludf.DUMMYFUNCTION("GOOGLETRANSLATE(C93, ""en"", ""am"")"),"ሀ. የተፈጥሮን ኃይል ይወክላል B. የተጫዋቾች ችሎታ የተፈተነ ሐ. ተምሳሌታዊ የማህበረሰብ አንድነት መ. ከላይ ያሉት ሁሉም")</f>
        <v>ሀ. የተፈጥሮን ኃይል ይወክላል B. የተጫዋቾች ችሎታ የተፈተነ ሐ. ተምሳሌታዊ የማህበረሰብ አንድነት መ. ከላይ ያሉት ሁሉም</v>
      </c>
      <c r="J93" s="5" t="str">
        <f>IFERROR(__xludf.DUMMYFUNCTION("GOOGLETRANSLATE(D93, ""en"", ""am"")"),"የተጫዋቾች ችሎታ ተፈትኗል")</f>
        <v>የተጫዋቾች ችሎታ ተፈትኗል</v>
      </c>
      <c r="K93" s="5" t="str">
        <f>IFERROR(__xludf.DUMMYFUNCTION("GOOGLETRANSLATE(E93, ""en"", ""am"")"),"የገና ስፖርት መቼት የተጫዋቾችን መላመድ እና ክህሎት በታሪክ ፈትኗል።")</f>
        <v>የገና ስፖርት መቼት የተጫዋቾችን መላመድ እና ክህሎት በታሪክ ፈትኗል።</v>
      </c>
    </row>
    <row r="94" ht="22.5" customHeight="1">
      <c r="A94" s="3">
        <v>93.0</v>
      </c>
      <c r="B94" s="4" t="s">
        <v>349</v>
      </c>
      <c r="C94" s="4" t="s">
        <v>350</v>
      </c>
      <c r="D94" s="4" t="s">
        <v>63</v>
      </c>
      <c r="E94" s="4" t="s">
        <v>351</v>
      </c>
      <c r="G94" s="5" t="str">
        <f>IFERROR(__xludf.DUMMYFUNCTION("GOOGLETRANSLATE(A94, ""en"", ""am"")"),"93")</f>
        <v>93</v>
      </c>
      <c r="H94" s="5" t="str">
        <f>IFERROR(__xludf.DUMMYFUNCTION("GOOGLETRANSLATE(B94, ""en"", ""am"")"),"በኢትዮጵያ ጦርነት ወቅት የገና ስፖርት ምን ሚና ተጫውቷል?")</f>
        <v>በኢትዮጵያ ጦርነት ወቅት የገና ስፖርት ምን ሚና ተጫውቷል?</v>
      </c>
      <c r="I94" s="5" t="str">
        <f>IFERROR(__xludf.DUMMYFUNCTION("GOOGLETRANSLATE(C94, ""en"", ""am"")"),"ሀ. የተሻሻለ ወታደራዊ አቅም ለ. ሞራል ከፍተኛ ነው። ሐ. የተዋጣለት የቡድን ሥራ መ. ከላይ ያሉት ሁሉም")</f>
        <v>ሀ. የተሻሻለ ወታደራዊ አቅም ለ. ሞራል ከፍተኛ ነው። ሐ. የተዋጣለት የቡድን ሥራ መ. ከላይ ያሉት ሁሉም</v>
      </c>
      <c r="J94" s="5" t="str">
        <f>IFERROR(__xludf.DUMMYFUNCTION("GOOGLETRANSLATE(D94, ""en"", ""am"")"),"ከላይ ያሉት ሁሉም")</f>
        <v>ከላይ ያሉት ሁሉም</v>
      </c>
      <c r="K94" s="5" t="str">
        <f>IFERROR(__xludf.DUMMYFUNCTION("GOOGLETRANSLATE(E94, ""en"", ""am"")"),"በጦርነቱ ወቅትም ቢሆን ስፖርቶች ቅልጥፍናን አሻሽለዋል፣ ሞራልን ያሳደጉ እና የቡድን ስራን አሰልጥነዋል።")</f>
        <v>በጦርነቱ ወቅትም ቢሆን ስፖርቶች ቅልጥፍናን አሻሽለዋል፣ ሞራልን ያሳደጉ እና የቡድን ስራን አሰልጥነዋል።</v>
      </c>
    </row>
    <row r="95" ht="22.5" customHeight="1">
      <c r="A95" s="3">
        <v>94.0</v>
      </c>
      <c r="B95" s="4" t="s">
        <v>352</v>
      </c>
      <c r="C95" s="4" t="s">
        <v>353</v>
      </c>
      <c r="D95" s="4" t="s">
        <v>354</v>
      </c>
      <c r="E95" s="4" t="s">
        <v>355</v>
      </c>
      <c r="G95" s="5" t="str">
        <f>IFERROR(__xludf.DUMMYFUNCTION("GOOGLETRANSLATE(A95, ""en"", ""am"")"),"94")</f>
        <v>94</v>
      </c>
      <c r="H95" s="5" t="str">
        <f>IFERROR(__xludf.DUMMYFUNCTION("GOOGLETRANSLATE(B95, ""en"", ""am"")"),"አንድ የተለመደ ኢትዮጵያዊ ስለ ገና ስፖርት ምን ይላል?")</f>
        <v>አንድ የተለመደ ኢትዮጵያዊ ስለ ገና ስፖርት ምን ይላል?</v>
      </c>
      <c r="I95" s="5" t="str">
        <f>IFERROR(__xludf.DUMMYFUNCTION("GOOGLETRANSLATE(C95, ""en"", ""am"")"),"ሀ. ጥንካሬ በችሎታ ላይ ነው። ለ. የተባበሩት ዘንግ ይቆማል። ሐ. መጫወት በረከት ነው። መ. ደስታ አብሮ ይመጣል።")</f>
        <v>ሀ. ጥንካሬ በችሎታ ላይ ነው። ለ. የተባበሩት ዘንግ ይቆማል። ሐ. መጫወት በረከት ነው። መ. ደስታ አብሮ ይመጣል።</v>
      </c>
      <c r="J95" s="5" t="str">
        <f>IFERROR(__xludf.DUMMYFUNCTION("GOOGLETRANSLATE(D95, ""en"", ""am"")"),"የተባበሩት ዘንግ ይቆማል።")</f>
        <v>የተባበሩት ዘንግ ይቆማል።</v>
      </c>
      <c r="K95" s="5" t="str">
        <f>IFERROR(__xludf.DUMMYFUNCTION("GOOGLETRANSLATE(E95, ""en"", ""am"")"),"ይህ አባባል በገና ስፖርት ውስጥ የቡድን ስራን አስፈላጊነት ያሳያል.")</f>
        <v>ይህ አባባል በገና ስፖርት ውስጥ የቡድን ስራን አስፈላጊነት ያሳያል.</v>
      </c>
    </row>
    <row r="96" ht="22.5" customHeight="1">
      <c r="A96" s="3">
        <v>95.0</v>
      </c>
      <c r="B96" s="4" t="s">
        <v>356</v>
      </c>
      <c r="C96" s="4" t="s">
        <v>357</v>
      </c>
      <c r="D96" s="4" t="s">
        <v>358</v>
      </c>
      <c r="E96" s="4" t="s">
        <v>359</v>
      </c>
      <c r="G96" s="5" t="str">
        <f>IFERROR(__xludf.DUMMYFUNCTION("GOOGLETRANSLATE(A96, ""en"", ""am"")"),"95")</f>
        <v>95</v>
      </c>
      <c r="H96" s="5" t="str">
        <f>IFERROR(__xludf.DUMMYFUNCTION("GOOGLETRANSLATE(B96, ""en"", ""am"")"),"በገና ስፖርቶች ውስጥ ጥቅም ላይ የሚውሉት የተጣመሙ እንጨቶች የመጀመሪያ ዓላማ ምን ነበር?")</f>
        <v>በገና ስፖርቶች ውስጥ ጥቅም ላይ የሚውሉት የተጣመሙ እንጨቶች የመጀመሪያ ዓላማ ምን ነበር?</v>
      </c>
      <c r="I96" s="5" t="str">
        <f>IFERROR(__xludf.DUMMYFUNCTION("GOOGLETRANSLATE(C96, ""en"", ""am"")"),"ሀ. ኳሱን ለመቆጣጠር ለ. ተቃዋሚዎችን ለማሸነፍ ሐ. መሬቱን መቆፈር መ. የመጫወቻ ሜዳውን ምልክት ማድረግ")</f>
        <v>ሀ. ኳሱን ለመቆጣጠር ለ. ተቃዋሚዎችን ለማሸነፍ ሐ. መሬቱን መቆፈር መ. የመጫወቻ ሜዳውን ምልክት ማድረግ</v>
      </c>
      <c r="J96" s="5" t="str">
        <f>IFERROR(__xludf.DUMMYFUNCTION("GOOGLETRANSLATE(D96, ""en"", ""am"")"),"ኳሱን ለመቆጣጠር")</f>
        <v>ኳሱን ለመቆጣጠር</v>
      </c>
      <c r="K96" s="5" t="str">
        <f>IFERROR(__xludf.DUMMYFUNCTION("GOOGLETRANSLATE(E96, ""en"", ""am"")"),"የተጣመሙት እንጨቶች በመጀመሪያ የተነደፉት በገና ስፖርት ውስጥ የኳሱን እንቅስቃሴ ለመቆጣጠር ነው።")</f>
        <v>የተጣመሙት እንጨቶች በመጀመሪያ የተነደፉት በገና ስፖርት ውስጥ የኳሱን እንቅስቃሴ ለመቆጣጠር ነው።</v>
      </c>
    </row>
    <row r="97" ht="22.5" customHeight="1">
      <c r="A97" s="3">
        <v>96.0</v>
      </c>
      <c r="B97" s="4" t="s">
        <v>360</v>
      </c>
      <c r="C97" s="4" t="s">
        <v>361</v>
      </c>
      <c r="D97" s="4" t="s">
        <v>362</v>
      </c>
      <c r="E97" s="4" t="s">
        <v>363</v>
      </c>
      <c r="G97" s="5" t="str">
        <f>IFERROR(__xludf.DUMMYFUNCTION("GOOGLETRANSLATE(A97, ""en"", ""am"")"),"96")</f>
        <v>96</v>
      </c>
      <c r="H97" s="5" t="str">
        <f>IFERROR(__xludf.DUMMYFUNCTION("GOOGLETRANSLATE(B97, ""en"", ""am"")"),"በስልጣን ዘመናቸው ስፖርትን ያስተዋወቀው የትኛው የኢትዮጵያ ንጉስ ነው?")</f>
        <v>በስልጣን ዘመናቸው ስፖርትን ያስተዋወቀው የትኛው የኢትዮጵያ ንጉስ ነው?</v>
      </c>
      <c r="I97" s="5" t="str">
        <f>IFERROR(__xludf.DUMMYFUNCTION("GOOGLETRANSLATE(C97, ""en"", ""am"")"),"ሀ. አፄ ምኒልክ ለ. አፄ ኃይለ ሥላሴ ሐ. አፄ ቴዎድሮስ 2ኛ ዲ. አፄ ዘርዓ ያዕቆብ")</f>
        <v>ሀ. አፄ ምኒልክ ለ. አፄ ኃይለ ሥላሴ ሐ. አፄ ቴዎድሮስ 2ኛ ዲ. አፄ ዘርዓ ያዕቆብ</v>
      </c>
      <c r="J97" s="5" t="str">
        <f>IFERROR(__xludf.DUMMYFUNCTION("GOOGLETRANSLATE(D97, ""en"", ""am"")"),"አጼ ዘርዓ ያዕቆብ")</f>
        <v>አጼ ዘርዓ ያዕቆብ</v>
      </c>
      <c r="K97" s="5" t="str">
        <f>IFERROR(__xludf.DUMMYFUNCTION("GOOGLETRANSLATE(E97, ""en"", ""am"")"),"አጼ ዘርዓ ያዕቆብ ስፖርትን ጨምሮ ባህላዊ ወጎችን በማስተዋወቅ ይታወቃሉ።")</f>
        <v>አጼ ዘርዓ ያዕቆብ ስፖርትን ጨምሮ ባህላዊ ወጎችን በማስተዋወቅ ይታወቃሉ።</v>
      </c>
    </row>
    <row r="98" ht="22.5" customHeight="1">
      <c r="A98" s="3">
        <v>97.0</v>
      </c>
      <c r="B98" s="4" t="s">
        <v>364</v>
      </c>
      <c r="C98" s="4" t="s">
        <v>365</v>
      </c>
      <c r="D98" s="4" t="s">
        <v>366</v>
      </c>
      <c r="E98" s="4" t="s">
        <v>367</v>
      </c>
      <c r="G98" s="5" t="str">
        <f>IFERROR(__xludf.DUMMYFUNCTION("GOOGLETRANSLATE(A98, ""en"", ""am"")"),"97")</f>
        <v>97</v>
      </c>
      <c r="H98" s="5" t="str">
        <f>IFERROR(__xludf.DUMMYFUNCTION("GOOGLETRANSLATE(B98, ""en"", ""am"")"),"በኢትዮጵያ ስፖርት ታሪካዊ ቅፅል ስሙ ማን ይባላል?")</f>
        <v>በኢትዮጵያ ስፖርት ታሪካዊ ቅፅል ስሙ ማን ይባላል?</v>
      </c>
      <c r="I98" s="5" t="str">
        <f>IFERROR(__xludf.DUMMYFUNCTION("GOOGLETRANSLATE(C98, ""en"", ""am"")"),"ሀ. የነገሥታት ጨዋታ ለ. የገና ጨዋታ ሐ. የጦረኛው ጨዋታ ዲ. የአንድነት ጨዋታ")</f>
        <v>ሀ. የነገሥታት ጨዋታ ለ. የገና ጨዋታ ሐ. የጦረኛው ጨዋታ ዲ. የአንድነት ጨዋታ</v>
      </c>
      <c r="J98" s="5" t="str">
        <f>IFERROR(__xludf.DUMMYFUNCTION("GOOGLETRANSLATE(D98, ""en"", ""am"")"),"የገና ጨዋታ")</f>
        <v>የገና ጨዋታ</v>
      </c>
      <c r="K98" s="5" t="str">
        <f>IFERROR(__xludf.DUMMYFUNCTION("GOOGLETRANSLATE(E98, ""en"", ""am"")"),"የገና ስፖርቶች ከኢትዮጵያ ገና ጋር በመገናኘታቸው በታሪክ 'የገና ጨዋታ' የሚል ቅጽል ስም ተሰጥቶታል።")</f>
        <v>የገና ስፖርቶች ከኢትዮጵያ ገና ጋር በመገናኘታቸው በታሪክ 'የገና ጨዋታ' የሚል ቅጽል ስም ተሰጥቶታል።</v>
      </c>
    </row>
    <row r="99" ht="22.5" customHeight="1">
      <c r="A99" s="3">
        <v>98.0</v>
      </c>
      <c r="B99" s="4" t="s">
        <v>368</v>
      </c>
      <c r="C99" s="4" t="s">
        <v>369</v>
      </c>
      <c r="D99" s="4" t="s">
        <v>370</v>
      </c>
      <c r="E99" s="4" t="s">
        <v>371</v>
      </c>
      <c r="G99" s="5" t="str">
        <f>IFERROR(__xludf.DUMMYFUNCTION("GOOGLETRANSLATE(A99, ""en"", ""am"")"),"98")</f>
        <v>98</v>
      </c>
      <c r="H99" s="5" t="str">
        <f>IFERROR(__xludf.DUMMYFUNCTION("GOOGLETRANSLATE(B99, ""en"", ""am"")"),"የገና ስፖርት መገኛ ተብሎ የሚታሰበው የትኛው ጥንታዊ የኢትዮጵያ ክልል ነው?")</f>
        <v>የገና ስፖርት መገኛ ተብሎ የሚታሰበው የትኛው ጥንታዊ የኢትዮጵያ ክልል ነው?</v>
      </c>
      <c r="I99" s="5" t="str">
        <f>IFERROR(__xludf.DUMMYFUNCTION("GOOGLETRANSLATE(C99, ""en"", ""am"")"),"አ.ጎንደር ብ.አክሱም ሐ.ላሊበላ ዲ.ሸዋ")</f>
        <v>አ.ጎንደር ብ.አክሱም ሐ.ላሊበላ ዲ.ሸዋ</v>
      </c>
      <c r="J99" s="5" t="str">
        <f>IFERROR(__xludf.DUMMYFUNCTION("GOOGLETRANSLATE(D99, ""en"", ""am"")"),"አክሱም")</f>
        <v>አክሱም</v>
      </c>
      <c r="K99" s="5" t="str">
        <f>IFERROR(__xludf.DUMMYFUNCTION("GOOGLETRANSLATE(E99, ""en"", ""am"")"),"አክሱም ከታሪካዊ ጠቀሜታዋ የተነሳ የገና ስፖርት መገኛ ሆና ትጠቀሳለች።")</f>
        <v>አክሱም ከታሪካዊ ጠቀሜታዋ የተነሳ የገና ስፖርት መገኛ ሆና ትጠቀሳለች።</v>
      </c>
    </row>
    <row r="100" ht="22.5" customHeight="1">
      <c r="A100" s="3">
        <v>99.0</v>
      </c>
      <c r="B100" s="4" t="s">
        <v>372</v>
      </c>
      <c r="C100" s="4" t="s">
        <v>373</v>
      </c>
      <c r="D100" s="4" t="s">
        <v>374</v>
      </c>
      <c r="E100" s="4" t="s">
        <v>375</v>
      </c>
      <c r="G100" s="5" t="str">
        <f>IFERROR(__xludf.DUMMYFUNCTION("GOOGLETRANSLATE(A100, ""en"", ""am"")"),"99")</f>
        <v>99</v>
      </c>
      <c r="H100" s="5" t="str">
        <f>IFERROR(__xludf.DUMMYFUNCTION("GOOGLETRANSLATE(B100, ""en"", ""am"")"),"በገና የስፖርት ግጥሚያዎች ላይ አለመግባባቶችን ለመፍታት ባህላዊው መንገድ ምን ነበር?")</f>
        <v>በገና የስፖርት ግጥሚያዎች ላይ አለመግባባቶችን ለመፍታት ባህላዊው መንገድ ምን ነበር?</v>
      </c>
      <c r="I100" s="5" t="str">
        <f>IFERROR(__xludf.DUMMYFUNCTION("GOOGLETRANSLATE(C100, ""en"", ""am"")"),"ሀ. የሽማግሌ ሽምግልና ለ. ግጥሚያውን እንደገና አጫውት። ሐ. የሁለቱም ቡድኖች ሽልማቶች መ. ጨዋታውን ሰርዝ።")</f>
        <v>ሀ. የሽማግሌ ሽምግልና ለ. ግጥሚያውን እንደገና አጫውት። ሐ. የሁለቱም ቡድኖች ሽልማቶች መ. ጨዋታውን ሰርዝ።</v>
      </c>
      <c r="J100" s="5" t="str">
        <f>IFERROR(__xludf.DUMMYFUNCTION("GOOGLETRANSLATE(D100, ""en"", ""am"")"),"የሽማግሌ ሽምግልና")</f>
        <v>የሽማግሌ ሽምግልና</v>
      </c>
      <c r="K100" s="5" t="str">
        <f>IFERROR(__xludf.DUMMYFUNCTION("GOOGLETRANSLATE(E100, ""en"", ""am"")"),"የገና ስፖርታዊ ውድድር ላይ የሰፈር ሽማግሌዎች በባህላዊ መንገድ ሽምግልና አድርገዋል።")</f>
        <v>የገና ስፖርታዊ ውድድር ላይ የሰፈር ሽማግሌዎች በባህላዊ መንገድ ሽምግልና አድርገዋል።</v>
      </c>
    </row>
    <row r="101" ht="22.5" customHeight="1">
      <c r="A101" s="3">
        <v>100.0</v>
      </c>
      <c r="B101" s="5" t="s">
        <v>376</v>
      </c>
      <c r="C101" s="4" t="s">
        <v>377</v>
      </c>
      <c r="D101" s="5" t="s">
        <v>63</v>
      </c>
      <c r="E101" s="5" t="s">
        <v>378</v>
      </c>
      <c r="G101" s="5" t="str">
        <f>IFERROR(__xludf.DUMMYFUNCTION("GOOGLETRANSLATE(A101, ""en"", ""am"")"),"100")</f>
        <v>100</v>
      </c>
      <c r="H101" s="5" t="str">
        <f>IFERROR(__xludf.DUMMYFUNCTION("GOOGLETRANSLATE(B101, ""en"", ""am"")"),"ጌና ስፖርት በዘመናዊ የኢትዮጵያ ጨዋታዎች አፈጣጠር ላይ ተጽዕኖ ያሳደረው እንዴት ነው?")</f>
        <v>ጌና ስፖርት በዘመናዊ የኢትዮጵያ ጨዋታዎች አፈጣጠር ላይ ተጽዕኖ ያሳደረው እንዴት ነው?</v>
      </c>
      <c r="I101" s="5" t="str">
        <f>IFERROR(__xludf.DUMMYFUNCTION("GOOGLETRANSLATE(C101, ""en"", ""am"")"),"ሀ. ህጎቹን አስተካክሏል ለ. አነሳሽ አዲስ ስፖርቶች ሐ. የተጠበቁ የባህል አካላት መ. ሁሉም ከላይ ያሉት")</f>
        <v>ሀ. ህጎቹን አስተካክሏል ለ. አነሳሽ አዲስ ስፖርቶች ሐ. የተጠበቁ የባህል አካላት መ. ሁሉም ከላይ ያሉት</v>
      </c>
      <c r="J101" s="5" t="str">
        <f>IFERROR(__xludf.DUMMYFUNCTION("GOOGLETRANSLATE(D101, ""en"", ""am"")"),"ከላይ ያሉት ሁሉም")</f>
        <v>ከላይ ያሉት ሁሉም</v>
      </c>
      <c r="K101" s="5" t="str">
        <f>IFERROR(__xludf.DUMMYFUNCTION("GOOGLETRANSLATE(E101, ""en"", ""am"")"),"ጌና ስፖርት ደንቦቹን በማጣጣም እና ባህላዊ ገጽታዎችን በመጠበቅ ዘመናዊ የኢትዮጵያ ጨዋታዎችን አነሳስቷል።")</f>
        <v>ጌና ስፖርት ደንቦቹን በማጣጣም እና ባህላዊ ገጽታዎችን በመጠበቅ ዘመናዊ የኢትዮጵያ ጨዋታዎችን አነሳስቷል።</v>
      </c>
    </row>
    <row r="102" ht="22.5" customHeight="1">
      <c r="A102" s="3">
        <v>101.0</v>
      </c>
      <c r="B102" s="5" t="s">
        <v>379</v>
      </c>
      <c r="C102" s="4" t="s">
        <v>380</v>
      </c>
      <c r="D102" s="5" t="s">
        <v>381</v>
      </c>
      <c r="E102" s="5" t="s">
        <v>382</v>
      </c>
      <c r="G102" s="5" t="str">
        <f>IFERROR(__xludf.DUMMYFUNCTION("GOOGLETRANSLATE(A102, ""en"", ""am"")"),"101")</f>
        <v>101</v>
      </c>
      <c r="H102" s="5" t="str">
        <f>IFERROR(__xludf.DUMMYFUNCTION("GOOGLETRANSLATE(B102, ""en"", ""am"")"),"በጌና ስፖርት ተጫዋቾች ምን ልዩ ችሎታ ነበረው?")</f>
        <v>በጌና ስፖርት ተጫዋቾች ምን ልዩ ችሎታ ነበረው?</v>
      </c>
      <c r="I102" s="5" t="str">
        <f>IFERROR(__xludf.DUMMYFUNCTION("GOOGLETRANSLATE(C102, ""en"", ""am"")"),"ሀ. የኳስ መቆጣጠሪያ ለ. ስፒድ ሐ. ትክክለኛ ቀረጻዎች መ. ሁሉም ከላይ ያሉት")</f>
        <v>ሀ. የኳስ መቆጣጠሪያ ለ. ስፒድ ሐ. ትክክለኛ ቀረጻዎች መ. ሁሉም ከላይ ያሉት</v>
      </c>
      <c r="J102" s="5" t="str">
        <f>IFERROR(__xludf.DUMMYFUNCTION("GOOGLETRANSLATE(D102, ""en"", ""am"")"),"ትክክለኛ ጥይቶች")</f>
        <v>ትክክለኛ ጥይቶች</v>
      </c>
      <c r="K102" s="5" t="str">
        <f>IFERROR(__xludf.DUMMYFUNCTION("GOOGLETRANSLATE(E102, ""en"", ""am"")"),"በጌና ስፖርት ውስጥ እንደ ቁልፍ ችሎታቸው ትክክለኛ ኳሶች በጣም ተደንቀዋል።")</f>
        <v>በጌና ስፖርት ውስጥ እንደ ቁልፍ ችሎታቸው ትክክለኛ ኳሶች በጣም ተደንቀዋል።</v>
      </c>
    </row>
    <row r="103" ht="22.5" customHeight="1">
      <c r="A103" s="3">
        <v>102.0</v>
      </c>
      <c r="B103" s="5" t="s">
        <v>383</v>
      </c>
      <c r="C103" s="4" t="s">
        <v>384</v>
      </c>
      <c r="D103" s="5" t="s">
        <v>385</v>
      </c>
      <c r="E103" s="5" t="s">
        <v>386</v>
      </c>
      <c r="G103" s="5" t="str">
        <f>IFERROR(__xludf.DUMMYFUNCTION("GOOGLETRANSLATE(A103, ""en"", ""am"")"),"102")</f>
        <v>102</v>
      </c>
      <c r="H103" s="5" t="str">
        <f>IFERROR(__xludf.DUMMYFUNCTION("GOOGLETRANSLATE(B103, ""en"", ""am"")"),"በተለምዶ ለጌና ስፖርት ግጥሚያዎች ምን ዓይነት መሬት ይመረጥ ነበር?")</f>
        <v>በተለምዶ ለጌና ስፖርት ግጥሚያዎች ምን ዓይነት መሬት ይመረጥ ነበር?</v>
      </c>
      <c r="I103" s="5" t="str">
        <f>IFERROR(__xludf.DUMMYFUNCTION("GOOGLETRANSLATE(C103, ""en"", ""am"")"),"ሀ. ጠፍጣፋ ሜዳዎች ቢ. ኮረብታዎች ሐ. አሸዋማ አካባቢዎች መ. የደን መመንጠር")</f>
        <v>ሀ. ጠፍጣፋ ሜዳዎች ቢ. ኮረብታዎች ሐ. አሸዋማ አካባቢዎች መ. የደን መመንጠር</v>
      </c>
      <c r="J103" s="5" t="str">
        <f>IFERROR(__xludf.DUMMYFUNCTION("GOOGLETRANSLATE(D103, ""en"", ""am"")"),"ጠፍጣፋ ሜዳዎች")</f>
        <v>ጠፍጣፋ ሜዳዎች</v>
      </c>
      <c r="K103" s="5" t="str">
        <f>IFERROR(__xludf.DUMMYFUNCTION("GOOGLETRANSLATE(E103, ""en"", ""am"")"),"በጨዋታዎች ወቅት ፍትሃዊ ጨዋታ እና ትክክለኛ እንቅስቃሴን ለማረጋገጥ ጠፍጣፋ ሜዳዎች ተመርጠዋል።")</f>
        <v>በጨዋታዎች ወቅት ፍትሃዊ ጨዋታ እና ትክክለኛ እንቅስቃሴን ለማረጋገጥ ጠፍጣፋ ሜዳዎች ተመርጠዋል።</v>
      </c>
    </row>
    <row r="104" ht="22.5" customHeight="1">
      <c r="A104" s="3">
        <v>103.0</v>
      </c>
      <c r="B104" s="5" t="s">
        <v>387</v>
      </c>
      <c r="C104" s="4" t="s">
        <v>388</v>
      </c>
      <c r="D104" s="5" t="s">
        <v>63</v>
      </c>
      <c r="E104" s="5" t="s">
        <v>389</v>
      </c>
      <c r="G104" s="5" t="str">
        <f>IFERROR(__xludf.DUMMYFUNCTION("GOOGLETRANSLATE(A104, ""en"", ""am"")"),"103")</f>
        <v>103</v>
      </c>
      <c r="H104" s="5" t="str">
        <f>IFERROR(__xludf.DUMMYFUNCTION("GOOGLETRANSLATE(B104, ""en"", ""am"")"),"ጌና ስፖርት በኢትዮጵያ በዓላት ላይ ምን ተምሳሌታዊ ሚና ተጫውቷል?")</f>
        <v>ጌና ስፖርት በኢትዮጵያ በዓላት ላይ ምን ተምሳሌታዊ ሚና ተጫውቷል?</v>
      </c>
      <c r="I104" s="5" t="str">
        <f>IFERROR(__xludf.DUMMYFUNCTION("GOOGLETRANSLATE(C104, ""en"", ""am"")"),"ሀ. የተከበረ አንድነት ለ. የተመሰለው ድል ሐ. የደስታ ደስታ መ. ከላይ ያሉት ሁሉ")</f>
        <v>ሀ. የተከበረ አንድነት ለ. የተመሰለው ድል ሐ. የደስታ ደስታ መ. ከላይ ያሉት ሁሉ</v>
      </c>
      <c r="J104" s="5" t="str">
        <f>IFERROR(__xludf.DUMMYFUNCTION("GOOGLETRANSLATE(D104, ""en"", ""am"")"),"ከላይ ያሉት ሁሉም")</f>
        <v>ከላይ ያሉት ሁሉም</v>
      </c>
      <c r="K104" s="5" t="str">
        <f>IFERROR(__xludf.DUMMYFUNCTION("GOOGLETRANSLATE(E104, ""en"", ""am"")"),"ጌና ስፖርት በኢትዮጵያ በዓላት አንድነትን፣ ድል እና ደስታን አሳይቷል።")</f>
        <v>ጌና ስፖርት በኢትዮጵያ በዓላት አንድነትን፣ ድል እና ደስታን አሳይቷል።</v>
      </c>
    </row>
    <row r="105" ht="22.5" customHeight="1">
      <c r="A105" s="3">
        <v>104.0</v>
      </c>
      <c r="B105" s="5" t="s">
        <v>390</v>
      </c>
      <c r="C105" s="4" t="s">
        <v>391</v>
      </c>
      <c r="D105" s="5" t="s">
        <v>392</v>
      </c>
      <c r="E105" s="5" t="s">
        <v>393</v>
      </c>
      <c r="G105" s="5" t="str">
        <f>IFERROR(__xludf.DUMMYFUNCTION("GOOGLETRANSLATE(A105, ""en"", ""am"")"),"104")</f>
        <v>104</v>
      </c>
      <c r="H105" s="5" t="str">
        <f>IFERROR(__xludf.DUMMYFUNCTION("GOOGLETRANSLATE(B105, ""en"", ""am"")"),"በጌና ስፖርት ከጨዋታ በፊት የተለመደ ሥነ ሥርዓት ምን ነበር?")</f>
        <v>በጌና ስፖርት ከጨዋታ በፊት የተለመደ ሥነ ሥርዓት ምን ነበር?</v>
      </c>
      <c r="I105" s="5" t="str">
        <f>IFERROR(__xludf.DUMMYFUNCTION("GOOGLETRANSLATE(C105, ""en"", ""am"")"),"ሀ. በሽማግሌዎች መባረክ ለ. ምግብ ማቅረብ ሐ. እሳት ማብራት D. መደነስ")</f>
        <v>ሀ. በሽማግሌዎች መባረክ ለ. ምግብ ማቅረብ ሐ. እሳት ማብራት D. መደነስ</v>
      </c>
      <c r="J105" s="5" t="str">
        <f>IFERROR(__xludf.DUMMYFUNCTION("GOOGLETRANSLATE(D105, ""en"", ""am"")"),"በሽማግሌዎች በረከት")</f>
        <v>በሽማግሌዎች በረከት</v>
      </c>
      <c r="K105" s="5" t="str">
        <f>IFERROR(__xludf.DUMMYFUNCTION("GOOGLETRANSLATE(E105, ""en"", ""am"")"),"ፍትሃዊነትን እና ደህንነትን ለማረጋገጥ ከጌና ስፖርት ግጥሚያዎች በፊት ሽማግሌዎች ብዙ ጊዜ ቡራኬ ሰጥተዋል።")</f>
        <v>ፍትሃዊነትን እና ደህንነትን ለማረጋገጥ ከጌና ስፖርት ግጥሚያዎች በፊት ሽማግሌዎች ብዙ ጊዜ ቡራኬ ሰጥተዋል።</v>
      </c>
    </row>
    <row r="106" ht="22.5" customHeight="1">
      <c r="A106" s="3">
        <v>105.0</v>
      </c>
      <c r="B106" s="5" t="s">
        <v>394</v>
      </c>
      <c r="C106" s="4" t="s">
        <v>395</v>
      </c>
      <c r="D106" s="5" t="s">
        <v>396</v>
      </c>
      <c r="E106" s="5" t="s">
        <v>397</v>
      </c>
      <c r="G106" s="5" t="str">
        <f>IFERROR(__xludf.DUMMYFUNCTION("GOOGLETRANSLATE(A106, ""en"", ""am"")"),"105")</f>
        <v>105</v>
      </c>
      <c r="H106" s="5" t="str">
        <f>IFERROR(__xludf.DUMMYFUNCTION("GOOGLETRANSLATE(B106, ""en"", ""am"")"),"ጌና ስፖርትን የሚመስሉ ትዕይንቶችን የሚያሳየው የትኛው የኢትዮጵያ ቅርስ ነው?")</f>
        <v>ጌና ስፖርትን የሚመስሉ ትዕይንቶችን የሚያሳየው የትኛው የኢትዮጵያ ቅርስ ነው?</v>
      </c>
      <c r="I106" s="5" t="str">
        <f>IFERROR(__xludf.DUMMYFUNCTION("GOOGLETRANSLATE(C106, ""en"", ""am"")"),"ሀ. ጥንታዊ የግድግዳ ሥዕሎች ለ. የሮክ ቅርጻ ቅርጾች ሐ. ሃይማኖታዊ የእጅ ጽሑፎች መ. ከላይ ያሉት ሁሉም")</f>
        <v>ሀ. ጥንታዊ የግድግዳ ሥዕሎች ለ. የሮክ ቅርጻ ቅርጾች ሐ. ሃይማኖታዊ የእጅ ጽሑፎች መ. ከላይ ያሉት ሁሉም</v>
      </c>
      <c r="J106" s="5" t="str">
        <f>IFERROR(__xludf.DUMMYFUNCTION("GOOGLETRANSLATE(D106, ""en"", ""am"")"),"የሮክ ቅርጻ ቅርጾች")</f>
        <v>የሮክ ቅርጻ ቅርጾች</v>
      </c>
      <c r="K106" s="5" t="str">
        <f>IFERROR(__xludf.DUMMYFUNCTION("GOOGLETRANSLATE(E106, ""en"", ""am"")"),"የገና ስፖርትን የሚመስሉ ትዕይንቶችን በኢትዮጵያ ቅርስ ቦታዎች ላይ የተቀረጹ የድንጋይ ምስሎች ያሳያሉ።")</f>
        <v>የገና ስፖርትን የሚመስሉ ትዕይንቶችን በኢትዮጵያ ቅርስ ቦታዎች ላይ የተቀረጹ የድንጋይ ምስሎች ያሳያሉ።</v>
      </c>
    </row>
    <row r="107" ht="22.5" customHeight="1">
      <c r="A107" s="3">
        <v>106.0</v>
      </c>
      <c r="B107" s="5" t="s">
        <v>398</v>
      </c>
      <c r="C107" s="4" t="s">
        <v>399</v>
      </c>
      <c r="D107" s="5" t="s">
        <v>400</v>
      </c>
      <c r="E107" s="5" t="s">
        <v>401</v>
      </c>
      <c r="G107" s="5" t="str">
        <f>IFERROR(__xludf.DUMMYFUNCTION("GOOGLETRANSLATE(A107, ""en"", ""am"")"),"106")</f>
        <v>106</v>
      </c>
      <c r="H107" s="5" t="str">
        <f>IFERROR(__xludf.DUMMYFUNCTION("GOOGLETRANSLATE(B107, ""en"", ""am"")"),"የጌና ስፖርት ቡድን መሪዎችን ለመምረጥ ዋናው ምክንያት ምን ነበር?")</f>
        <v>የጌና ስፖርት ቡድን መሪዎችን ለመምረጥ ዋናው ምክንያት ምን ነበር?</v>
      </c>
      <c r="I107" s="5" t="str">
        <f>IFERROR(__xludf.DUMMYFUNCTION("GOOGLETRANSLATE(C107, ""en"", ""am"")"),"ሀ. እድሜ ለ. ጥንካሬ ሐ. ልምድ መ. ጥበብ")</f>
        <v>ሀ. እድሜ ለ. ጥንካሬ ሐ. ልምድ መ. ጥበብ</v>
      </c>
      <c r="J107" s="5" t="str">
        <f>IFERROR(__xludf.DUMMYFUNCTION("GOOGLETRANSLATE(D107, ""en"", ""am"")"),"ልምድ")</f>
        <v>ልምድ</v>
      </c>
      <c r="K107" s="5" t="str">
        <f>IFERROR(__xludf.DUMMYFUNCTION("GOOGLETRANSLATE(E107, ""en"", ""am"")"),"በጌና ስፖርት የቡድን መሪዎችን ለመምረጥ የተጫዋችነት እና የአመራር ልምድ ቁልፍ ነገሮች ነበሩ።")</f>
        <v>በጌና ስፖርት የቡድን መሪዎችን ለመምረጥ የተጫዋችነት እና የአመራር ልምድ ቁልፍ ነገሮች ነበሩ።</v>
      </c>
    </row>
    <row r="108" ht="22.5" customHeight="1">
      <c r="A108" s="3">
        <v>107.0</v>
      </c>
      <c r="B108" s="5" t="s">
        <v>402</v>
      </c>
      <c r="C108" s="4" t="s">
        <v>403</v>
      </c>
      <c r="D108" s="5" t="s">
        <v>404</v>
      </c>
      <c r="E108" s="5" t="s">
        <v>405</v>
      </c>
      <c r="G108" s="5" t="str">
        <f>IFERROR(__xludf.DUMMYFUNCTION("GOOGLETRANSLATE(A108, ""en"", ""am"")"),"107")</f>
        <v>107</v>
      </c>
      <c r="H108" s="5" t="str">
        <f>IFERROR(__xludf.DUMMYFUNCTION("GOOGLETRANSLATE(B108, ""en"", ""am"")"),"የጌና ስፖርትን ተወዳጅነት የጨመረው የትኛው ታሪካዊ ክስተት ነው?")</f>
        <v>የጌና ስፖርትን ተወዳጅነት የጨመረው የትኛው ታሪካዊ ክስተት ነው?</v>
      </c>
      <c r="I108" s="5" t="str">
        <f>IFERROR(__xludf.DUMMYFUNCTION("GOOGLETRANSLATE(C108, ""en"", ""am"")"),"ሀ. የገና አከባበር መግቢያ ለ. የንጉሳዊ ድጋፍ ሐ. የኢትዮጵያ አንድነት መ. ከላይ ያሉት ሁሉም")</f>
        <v>ሀ. የገና አከባበር መግቢያ ለ. የንጉሳዊ ድጋፍ ሐ. የኢትዮጵያ አንድነት መ. ከላይ ያሉት ሁሉም</v>
      </c>
      <c r="J108" s="5" t="str">
        <f>IFERROR(__xludf.DUMMYFUNCTION("GOOGLETRANSLATE(D108, ""en"", ""am"")"),"የንጉሳዊ ድጋፍ")</f>
        <v>የንጉሳዊ ድጋፍ</v>
      </c>
      <c r="K108" s="5" t="str">
        <f>IFERROR(__xludf.DUMMYFUNCTION("GOOGLETRANSLATE(E108, ""en"", ""am"")"),"የንጉሳዊ ድጋፍ ጌና ስፖርት በኢትዮጵያ ባህል ዘንድ ተወዳጅነትን በከፍተኛ ሁኔታ ጨምሯል።")</f>
        <v>የንጉሳዊ ድጋፍ ጌና ስፖርት በኢትዮጵያ ባህል ዘንድ ተወዳጅነትን በከፍተኛ ሁኔታ ጨምሯል።</v>
      </c>
    </row>
    <row r="109" ht="22.5" customHeight="1">
      <c r="A109" s="3">
        <v>108.0</v>
      </c>
      <c r="B109" s="5" t="s">
        <v>406</v>
      </c>
      <c r="C109" s="4" t="s">
        <v>407</v>
      </c>
      <c r="D109" s="5" t="s">
        <v>63</v>
      </c>
      <c r="E109" s="5" t="s">
        <v>408</v>
      </c>
      <c r="G109" s="5" t="str">
        <f>IFERROR(__xludf.DUMMYFUNCTION("GOOGLETRANSLATE(A109, ""en"", ""am"")"),"108")</f>
        <v>108</v>
      </c>
      <c r="H109" s="5" t="str">
        <f>IFERROR(__xludf.DUMMYFUNCTION("GOOGLETRANSLATE(B109, ""en"", ""am"")"),"ጌና ስፖርት በጥንታዊቷ ኢትዮጵያ ለማህበራዊ ስምምነት ምን አስተዋጾ አድርጓል?")</f>
        <v>ጌና ስፖርት በጥንታዊቷ ኢትዮጵያ ለማህበራዊ ስምምነት ምን አስተዋጾ አድርጓል?</v>
      </c>
      <c r="I109" s="5" t="str">
        <f>IFERROR(__xludf.DUMMYFUNCTION("GOOGLETRANSLATE(C109, ""en"", ""am"")"),"ሀ. የተፈቱ ግጭቶች ለ. የተበረታታ የቡድን ስራ ሐ. ማካተትን ማሳደግ መ. ከላይ ያሉት ሁሉም")</f>
        <v>ሀ. የተፈቱ ግጭቶች ለ. የተበረታታ የቡድን ስራ ሐ. ማካተትን ማሳደግ መ. ከላይ ያሉት ሁሉም</v>
      </c>
      <c r="J109" s="5" t="str">
        <f>IFERROR(__xludf.DUMMYFUNCTION("GOOGLETRANSLATE(D109, ""en"", ""am"")"),"ከላይ ያሉት ሁሉም")</f>
        <v>ከላይ ያሉት ሁሉም</v>
      </c>
      <c r="K109" s="5" t="str">
        <f>IFERROR(__xludf.DUMMYFUNCTION("GOOGLETRANSLATE(E109, ""en"", ""am"")"),"ጌና ስፖርት ግጭቶችን ፈትቷል፣ የቡድን ስራን አበረታቷል እና በማህበረሰቦች ውስጥ መቀላቀልን አበረታቷል።")</f>
        <v>ጌና ስፖርት ግጭቶችን ፈትቷል፣ የቡድን ስራን አበረታቷል እና በማህበረሰቦች ውስጥ መቀላቀልን አበረታቷል።</v>
      </c>
    </row>
    <row r="110" ht="22.5" customHeight="1">
      <c r="A110" s="3">
        <v>109.0</v>
      </c>
      <c r="B110" s="5" t="s">
        <v>409</v>
      </c>
      <c r="C110" s="4" t="s">
        <v>410</v>
      </c>
      <c r="D110" s="5" t="s">
        <v>411</v>
      </c>
      <c r="E110" s="5" t="s">
        <v>412</v>
      </c>
      <c r="G110" s="5" t="str">
        <f>IFERROR(__xludf.DUMMYFUNCTION("GOOGLETRANSLATE(A110, ""en"", ""am"")"),"109")</f>
        <v>109</v>
      </c>
      <c r="H110" s="5" t="str">
        <f>IFERROR(__xludf.DUMMYFUNCTION("GOOGLETRANSLATE(B110, ""en"", ""am"")"),"በጌና ስፖርት ግጥሚያ ወቅት ምን አይነት ልብስ ይለብሱ ነበር?")</f>
        <v>በጌና ስፖርት ግጥሚያ ወቅት ምን አይነት ልብስ ይለብሱ ነበር?</v>
      </c>
      <c r="I110" s="5" t="str">
        <f>IFERROR(__xludf.DUMMYFUNCTION("GOOGLETRANSLATE(C110, ""en"", ""am"")"),"ሀ. የባህል አልባሳት ለ. የስፖርት ዩኒፎርሞች ሐ. የእለት ተእለት ልብሶች መ. የሥርዓት ልብሶች")</f>
        <v>ሀ. የባህል አልባሳት ለ. የስፖርት ዩኒፎርሞች ሐ. የእለት ተእለት ልብሶች መ. የሥርዓት ልብሶች</v>
      </c>
      <c r="J110" s="5" t="str">
        <f>IFERROR(__xludf.DUMMYFUNCTION("GOOGLETRANSLATE(D110, ""en"", ""am"")"),"የዕለት ተዕለት ልብሶች")</f>
        <v>የዕለት ተዕለት ልብሶች</v>
      </c>
      <c r="K110" s="5" t="str">
        <f>IFERROR(__xludf.DUMMYFUNCTION("GOOGLETRANSLATE(E110, ""en"", ""am"")"),"በጌና ስፖርት ግጥሚያዎች ላይ ተጨዋቾች በተለምዶ የእለት ተእለት ልብሶችን ይለብሱ ነበር።")</f>
        <v>በጌና ስፖርት ግጥሚያዎች ላይ ተጨዋቾች በተለምዶ የእለት ተእለት ልብሶችን ይለብሱ ነበር።</v>
      </c>
    </row>
    <row r="111" ht="22.5" customHeight="1">
      <c r="A111" s="3">
        <v>110.0</v>
      </c>
      <c r="B111" s="5" t="s">
        <v>413</v>
      </c>
      <c r="C111" s="4" t="s">
        <v>414</v>
      </c>
      <c r="D111" s="5" t="s">
        <v>415</v>
      </c>
      <c r="E111" s="5" t="s">
        <v>416</v>
      </c>
      <c r="G111" s="5" t="str">
        <f>IFERROR(__xludf.DUMMYFUNCTION("GOOGLETRANSLATE(A111, ""en"", ""am"")"),"110")</f>
        <v>110</v>
      </c>
      <c r="H111" s="5" t="str">
        <f>IFERROR(__xludf.DUMMYFUNCTION("GOOGLETRANSLATE(B111, ""en"", ""am"")"),"የጌና ስፖርት የባህል ሚና ምን ዓይነት ታሪካዊ ሰነድ ነው?")</f>
        <v>የጌና ስፖርት የባህል ሚና ምን ዓይነት ታሪካዊ ሰነድ ነው?</v>
      </c>
      <c r="I111" s="5" t="str">
        <f>IFERROR(__xludf.DUMMYFUNCTION("GOOGLETRANSLATE(C111, ""en"", ""am"")"),"A. Kebra Nagast B. Fetha Nagast ሐ. ሮያል ዜና መዋዕል መ. የአካባቢ የቃል ወጎች")</f>
        <v>A. Kebra Nagast B. Fetha Nagast ሐ. ሮያል ዜና መዋዕል መ. የአካባቢ የቃል ወጎች</v>
      </c>
      <c r="J111" s="5" t="str">
        <f>IFERROR(__xludf.DUMMYFUNCTION("GOOGLETRANSLATE(D111, ""en"", ""am"")"),"ኬብራ ናጋስት")</f>
        <v>ኬብራ ናጋስት</v>
      </c>
      <c r="K111" s="5" t="str">
        <f>IFERROR(__xludf.DUMMYFUNCTION("GOOGLETRANSLATE(E111, ""en"", ""am"")"),"ኬብራ ናጋስት እንደ ጌና ስፖርት ያሉ ጨዋታዎችን ማጣቀሻን ጨምሮ ባህላዊ ልምዶችን ይጠቅሳል።")</f>
        <v>ኬብራ ናጋስት እንደ ጌና ስፖርት ያሉ ጨዋታዎችን ማጣቀሻን ጨምሮ ባህላዊ ልምዶችን ይጠቅሳል።</v>
      </c>
    </row>
    <row r="112" ht="22.5" customHeight="1">
      <c r="A112" s="3">
        <v>111.0</v>
      </c>
      <c r="B112" s="5" t="s">
        <v>417</v>
      </c>
      <c r="C112" s="4" t="s">
        <v>418</v>
      </c>
      <c r="D112" s="5" t="s">
        <v>63</v>
      </c>
      <c r="E112" s="5" t="s">
        <v>419</v>
      </c>
      <c r="G112" s="5" t="str">
        <f>IFERROR(__xludf.DUMMYFUNCTION("GOOGLETRANSLATE(A112, ""en"", ""am"")"),"111")</f>
        <v>111</v>
      </c>
      <c r="H112" s="5" t="str">
        <f>IFERROR(__xludf.DUMMYFUNCTION("GOOGLETRANSLATE(B112, ""en"", ""am"")"),"ጌና ስፖርት በጥንት ጊዜ ለኢትዮጵያ ወጣቶች ምን ምልክት ነበረው?")</f>
        <v>ጌና ስፖርት በጥንት ጊዜ ለኢትዮጵያ ወጣቶች ምን ምልክት ነበረው?</v>
      </c>
      <c r="I112" s="5" t="str">
        <f>IFERROR(__xludf.DUMMYFUNCTION("GOOGLETRANSLATE(C112, ""en"", ""am"")"),"ሀ. ጀግንነት ለ. ክህሎት ሐ. የማህበረሰብ ኩራት መ. ከላይ ያሉት ሁሉም")</f>
        <v>ሀ. ጀግንነት ለ. ክህሎት ሐ. የማህበረሰብ ኩራት መ. ከላይ ያሉት ሁሉም</v>
      </c>
      <c r="J112" s="5" t="str">
        <f>IFERROR(__xludf.DUMMYFUNCTION("GOOGLETRANSLATE(D112, ""en"", ""am"")"),"ከላይ ያሉት ሁሉም")</f>
        <v>ከላይ ያሉት ሁሉም</v>
      </c>
      <c r="K112" s="5" t="str">
        <f>IFERROR(__xludf.DUMMYFUNCTION("GOOGLETRANSLATE(E112, ""en"", ""am"")"),"ጌና ስፖርት ለኢትዮጵያውያን ወጣቶች ጀግንነትን፣ ክህሎትን እና የማህበረሰቡን ኩራት ያሳያል።")</f>
        <v>ጌና ስፖርት ለኢትዮጵያውያን ወጣቶች ጀግንነትን፣ ክህሎትን እና የማህበረሰቡን ኩራት ያሳያል።</v>
      </c>
    </row>
    <row r="113" ht="22.5" customHeight="1">
      <c r="A113" s="3">
        <v>112.0</v>
      </c>
      <c r="B113" s="5" t="s">
        <v>420</v>
      </c>
      <c r="C113" s="4" t="s">
        <v>421</v>
      </c>
      <c r="D113" s="5" t="s">
        <v>63</v>
      </c>
      <c r="E113" s="5" t="s">
        <v>422</v>
      </c>
      <c r="G113" s="5" t="str">
        <f>IFERROR(__xludf.DUMMYFUNCTION("GOOGLETRANSLATE(A113, ""en"", ""am"")"),"112")</f>
        <v>112</v>
      </c>
      <c r="H113" s="5" t="str">
        <f>IFERROR(__xludf.DUMMYFUNCTION("GOOGLETRANSLATE(B113, ""en"", ""am"")"),"የጌና ስፖርት ህጎች በታሪክ በክልሎች መካከል እንዴት ተለያዩ?")</f>
        <v>የጌና ስፖርት ህጎች በታሪክ በክልሎች መካከል እንዴት ተለያዩ?</v>
      </c>
      <c r="I113" s="5" t="str">
        <f>IFERROR(__xludf.DUMMYFUNCTION("GOOGLETRANSLATE(C113, ""en"", ""am"")"),"ሀ. የተለያዩ የዱላ ቅርጾች ለ. የተለያዩ የውጤት አሰጣጥ ዘዴዎች ሐ. ልዩ የአምልኮ ሥርዓቶች መ. ሁሉም ከላይ ያሉት")</f>
        <v>ሀ. የተለያዩ የዱላ ቅርጾች ለ. የተለያዩ የውጤት አሰጣጥ ዘዴዎች ሐ. ልዩ የአምልኮ ሥርዓቶች መ. ሁሉም ከላይ ያሉት</v>
      </c>
      <c r="J113" s="5" t="str">
        <f>IFERROR(__xludf.DUMMYFUNCTION("GOOGLETRANSLATE(D113, ""en"", ""am"")"),"ከላይ ያሉት ሁሉም")</f>
        <v>ከላይ ያሉት ሁሉም</v>
      </c>
      <c r="K113" s="5" t="str">
        <f>IFERROR(__xludf.DUMMYFUNCTION("GOOGLETRANSLATE(E113, ""en"", ""am"")"),"በጌና ስፖርት ውስጥ ያሉ ክልላዊ ልዩነቶች በዱላ ቅርፆች፣ በውጤት አሰጣጥ እና በአምልኮ ሥርዓቶች ላይ ልዩነቶችን ያካትታሉ።")</f>
        <v>በጌና ስፖርት ውስጥ ያሉ ክልላዊ ልዩነቶች በዱላ ቅርፆች፣ በውጤት አሰጣጥ እና በአምልኮ ሥርዓቶች ላይ ልዩነቶችን ያካትታሉ።</v>
      </c>
    </row>
    <row r="114" ht="22.5" customHeight="1">
      <c r="A114" s="3">
        <v>113.0</v>
      </c>
      <c r="B114" s="5" t="s">
        <v>423</v>
      </c>
      <c r="C114" s="4" t="s">
        <v>424</v>
      </c>
      <c r="D114" s="5" t="s">
        <v>63</v>
      </c>
      <c r="E114" s="5" t="s">
        <v>425</v>
      </c>
      <c r="G114" s="5" t="str">
        <f>IFERROR(__xludf.DUMMYFUNCTION("GOOGLETRANSLATE(A114, ""en"", ""am"")"),"113")</f>
        <v>113</v>
      </c>
      <c r="H114" s="5" t="str">
        <f>IFERROR(__xludf.DUMMYFUNCTION("GOOGLETRANSLATE(B114, ""en"", ""am"")"),"በጌና ስፖርት ታሪክ ውስጥ የቡድን መጠኖች አስፈላጊነት ምን ነበር?")</f>
        <v>በጌና ስፖርት ታሪክ ውስጥ የቡድን መጠኖች አስፈላጊነት ምን ነበር?</v>
      </c>
      <c r="I114" s="5" t="str">
        <f>IFERROR(__xludf.DUMMYFUNCTION("GOOGLETRANSLATE(C114, ""en"", ""am"")"),"ሀ. በፌስቲቫል የተለያየ ለ. ሚዛናዊ ፍትሃዊነት ሐ. የተወከሉ መንደሮች D. ሁሉም ከላይ ያሉት")</f>
        <v>ሀ. በፌስቲቫል የተለያየ ለ. ሚዛናዊ ፍትሃዊነት ሐ. የተወከሉ መንደሮች D. ሁሉም ከላይ ያሉት</v>
      </c>
      <c r="J114" s="5" t="str">
        <f>IFERROR(__xludf.DUMMYFUNCTION("GOOGLETRANSLATE(D114, ""en"", ""am"")"),"ከላይ ያሉት ሁሉም")</f>
        <v>ከላይ ያሉት ሁሉም</v>
      </c>
      <c r="K114" s="5" t="str">
        <f>IFERROR(__xludf.DUMMYFUNCTION("GOOGLETRANSLATE(E114, ""en"", ""am"")"),"ፍትሃዊነትን፣ ፌስቲቫሎችን እና የመንደር ተሳትፎን ስለሚወክሉ የቡድን መጠኖች ጉልህ ነበሩ።")</f>
        <v>ፍትሃዊነትን፣ ፌስቲቫሎችን እና የመንደር ተሳትፎን ስለሚወክሉ የቡድን መጠኖች ጉልህ ነበሩ።</v>
      </c>
    </row>
    <row r="115" ht="22.5" customHeight="1">
      <c r="A115" s="3">
        <v>114.0</v>
      </c>
      <c r="B115" s="5" t="s">
        <v>426</v>
      </c>
      <c r="C115" s="4" t="s">
        <v>427</v>
      </c>
      <c r="D115" s="5" t="s">
        <v>428</v>
      </c>
      <c r="E115" s="5" t="s">
        <v>429</v>
      </c>
      <c r="G115" s="5" t="str">
        <f>IFERROR(__xludf.DUMMYFUNCTION("GOOGLETRANSLATE(A115, ""en"", ""am"")"),"114")</f>
        <v>114</v>
      </c>
      <c r="H115" s="5" t="str">
        <f>IFERROR(__xludf.DUMMYFUNCTION("GOOGLETRANSLATE(B115, ""en"", ""am"")"),"ገናና ስፖርት ከገና በዓል በተጨማሪ የትኛው የኢትዮጵያ ፌስቲቫል ይታይ ነበር?")</f>
        <v>ገናና ስፖርት ከገና በዓል በተጨማሪ የትኛው የኢትዮጵያ ፌስቲቫል ይታይ ነበር?</v>
      </c>
      <c r="I115" s="5" t="str">
        <f>IFERROR(__xludf.DUMMYFUNCTION("GOOGLETRANSLATE(C115, ""en"", ""am"")"),"A. Meskel B. Timket C. Enkutatash D.Pagumen")</f>
        <v>A. Meskel B. Timket C. Enkutatash D.Pagumen</v>
      </c>
      <c r="J115" s="5" t="str">
        <f>IFERROR(__xludf.DUMMYFUNCTION("GOOGLETRANSLATE(D115, ""en"", ""am"")"),"ቲምኬት")</f>
        <v>ቲምኬት</v>
      </c>
      <c r="K115" s="5" t="str">
        <f>IFERROR(__xludf.DUMMYFUNCTION("GOOGLETRANSLATE(E115, ""en"", ""am"")"),"ጥምቀት፣ የኢትዮጵያ የጥምቀት በዓል፣ ብዙ ጊዜ ጌና ስፖርትን የበዓሉ አካል አድርጎ ይጨምር ነበር።")</f>
        <v>ጥምቀት፣ የኢትዮጵያ የጥምቀት በዓል፣ ብዙ ጊዜ ጌና ስፖርትን የበዓሉ አካል አድርጎ ይጨምር ነበር።</v>
      </c>
    </row>
    <row r="116" ht="22.5" customHeight="1">
      <c r="A116" s="3">
        <v>115.0</v>
      </c>
      <c r="B116" s="5" t="s">
        <v>430</v>
      </c>
      <c r="C116" s="4" t="s">
        <v>431</v>
      </c>
      <c r="D116" s="5" t="s">
        <v>63</v>
      </c>
      <c r="E116" s="5" t="s">
        <v>432</v>
      </c>
      <c r="G116" s="5" t="str">
        <f>IFERROR(__xludf.DUMMYFUNCTION("GOOGLETRANSLATE(A116, ""en"", ""am"")"),"115")</f>
        <v>115</v>
      </c>
      <c r="H116" s="5" t="str">
        <f>IFERROR(__xludf.DUMMYFUNCTION("GOOGLETRANSLATE(B116, ""en"", ""am"")"),"በገና ስፖርት ወቅት ተመልካቾች በታሪክ ምን ሚና ተጫውተዋል?")</f>
        <v>በገና ስፖርት ወቅት ተመልካቾች በታሪክ ምን ሚና ተጫውተዋል?</v>
      </c>
      <c r="I116" s="5" t="str">
        <f>IFERROR(__xludf.DUMMYFUNCTION("GOOGLETRANSLATE(C116, ""en"", ""am"")"),"ሀ. ቺሪንግ ለ. ፍትሃዊ ጨዋታን ማበረታታት ሐ. በዓላትን ማደራጀት መ. ከላይ ያሉት ሁሉም")</f>
        <v>ሀ. ቺሪንግ ለ. ፍትሃዊ ጨዋታን ማበረታታት ሐ. በዓላትን ማደራጀት መ. ከላይ ያሉት ሁሉም</v>
      </c>
      <c r="J116" s="5" t="str">
        <f>IFERROR(__xludf.DUMMYFUNCTION("GOOGLETRANSLATE(D116, ""en"", ""am"")"),"ከላይ ያሉት ሁሉም")</f>
        <v>ከላይ ያሉት ሁሉም</v>
      </c>
      <c r="K116" s="5" t="str">
        <f>IFERROR(__xludf.DUMMYFUNCTION("GOOGLETRANSLATE(E116, ""en"", ""am"")"),"ተመልካቾች በደስታ ፈነጠዙ፣ ፍትሃዊ ጨዋታን አረጋግጠዋል እና ለገና ስፖርት በዓላትን በማዘጋጀት ረድተዋል።")</f>
        <v>ተመልካቾች በደስታ ፈነጠዙ፣ ፍትሃዊ ጨዋታን አረጋግጠዋል እና ለገና ስፖርት በዓላትን በማዘጋጀት ረድተዋል።</v>
      </c>
    </row>
    <row r="117" ht="22.5" customHeight="1">
      <c r="A117" s="3">
        <v>116.0</v>
      </c>
      <c r="B117" s="5" t="s">
        <v>433</v>
      </c>
      <c r="C117" s="4" t="s">
        <v>434</v>
      </c>
      <c r="D117" s="5" t="s">
        <v>63</v>
      </c>
      <c r="E117" s="5" t="s">
        <v>435</v>
      </c>
      <c r="G117" s="5" t="str">
        <f>IFERROR(__xludf.DUMMYFUNCTION("GOOGLETRANSLATE(A117, ""en"", ""am"")"),"116")</f>
        <v>116</v>
      </c>
      <c r="H117" s="5" t="str">
        <f>IFERROR(__xludf.DUMMYFUNCTION("GOOGLETRANSLATE(B117, ""en"", ""am"")"),"በጌና ስፖርት አሸናፊ ቡድን እንዴት ይከበር ነበር?")</f>
        <v>በጌና ስፖርት አሸናፊ ቡድን እንዴት ይከበር ነበር?</v>
      </c>
      <c r="I117" s="5" t="str">
        <f>IFERROR(__xludf.DUMMYFUNCTION("GOOGLETRANSLATE(C117, ""en"", ""am"")"),"ሀ. የተሰጡ በዓላት ለ. የቀረቡ ስጦታዎች ሐ. በመዝሙሮች የተመሰገኑ መ. ከላይ ያሉት ሁሉም")</f>
        <v>ሀ. የተሰጡ በዓላት ለ. የቀረቡ ስጦታዎች ሐ. በመዝሙሮች የተመሰገኑ መ. ከላይ ያሉት ሁሉም</v>
      </c>
      <c r="J117" s="5" t="str">
        <f>IFERROR(__xludf.DUMMYFUNCTION("GOOGLETRANSLATE(D117, ""en"", ""am"")"),"ከላይ ያሉት ሁሉም")</f>
        <v>ከላይ ያሉት ሁሉም</v>
      </c>
      <c r="K117" s="5" t="str">
        <f>IFERROR(__xludf.DUMMYFUNCTION("GOOGLETRANSLATE(E117, ""en"", ""am"")"),"አሸናፊ ቡድኖች በባህላዊ ዘፈኖች በድግስ፣ በስጦታ እና በምስጋና ተሸልመዋል።")</f>
        <v>አሸናፊ ቡድኖች በባህላዊ ዘፈኖች በድግስ፣ በስጦታ እና በምስጋና ተሸልመዋል።</v>
      </c>
    </row>
    <row r="118" ht="22.5" customHeight="1">
      <c r="A118" s="3">
        <v>117.0</v>
      </c>
      <c r="B118" s="5" t="s">
        <v>436</v>
      </c>
      <c r="C118" s="4" t="s">
        <v>437</v>
      </c>
      <c r="D118" s="5" t="s">
        <v>63</v>
      </c>
      <c r="E118" s="5" t="s">
        <v>438</v>
      </c>
      <c r="G118" s="5" t="str">
        <f>IFERROR(__xludf.DUMMYFUNCTION("GOOGLETRANSLATE(A118, ""en"", ""am"")"),"117")</f>
        <v>117</v>
      </c>
      <c r="H118" s="5" t="str">
        <f>IFERROR(__xludf.DUMMYFUNCTION("GOOGLETRANSLATE(B118, ""en"", ""am"")"),"በጌና ስፖርት በታሪክ የተለመደ ስልት ምን ነበር?")</f>
        <v>በጌና ስፖርት በታሪክ የተለመደ ስልት ምን ነበር?</v>
      </c>
      <c r="I118" s="5" t="str">
        <f>IFERROR(__xludf.DUMMYFUNCTION("GOOGLETRANSLATE(C118, ""en"", ""am"")"),"ሀ. የመከላከያ ጨዋታ ለ. ትክክለኛ ዓላማ ሐ. የቡድን ቅንጅት መ. ከላይ ያሉት ሁሉም")</f>
        <v>ሀ. የመከላከያ ጨዋታ ለ. ትክክለኛ ዓላማ ሐ. የቡድን ቅንጅት መ. ከላይ ያሉት ሁሉም</v>
      </c>
      <c r="J118" s="5" t="str">
        <f>IFERROR(__xludf.DUMMYFUNCTION("GOOGLETRANSLATE(D118, ""en"", ""am"")"),"ከላይ ያሉት ሁሉም")</f>
        <v>ከላይ ያሉት ሁሉም</v>
      </c>
      <c r="K118" s="5" t="str">
        <f>IFERROR(__xludf.DUMMYFUNCTION("GOOGLETRANSLATE(E118, ""en"", ""am"")"),"የጌና ስፖርት ስልቶች የመከላከል ጨዋታን፣ ትክክለኛ ዓላማን እና የቡድን ቅንጅትን ያካትታሉ።")</f>
        <v>የጌና ስፖርት ስልቶች የመከላከል ጨዋታን፣ ትክክለኛ ዓላማን እና የቡድን ቅንጅትን ያካትታሉ።</v>
      </c>
    </row>
    <row r="119" ht="22.5" customHeight="1">
      <c r="A119" s="3">
        <v>118.0</v>
      </c>
      <c r="B119" s="5" t="s">
        <v>439</v>
      </c>
      <c r="C119" s="4" t="s">
        <v>440</v>
      </c>
      <c r="D119" s="5" t="s">
        <v>63</v>
      </c>
      <c r="E119" s="5" t="s">
        <v>441</v>
      </c>
      <c r="G119" s="5" t="str">
        <f>IFERROR(__xludf.DUMMYFUNCTION("GOOGLETRANSLATE(A119, ""en"", ""am"")"),"118")</f>
        <v>118</v>
      </c>
      <c r="H119" s="5" t="str">
        <f>IFERROR(__xludf.DUMMYFUNCTION("GOOGLETRANSLATE(B119, ""en"", ""am"")"),"ጌና ስፖርት በኢትዮጵያ ታሪክ እንዴት ወደ ከተማ ተስፋፋ?")</f>
        <v>ጌና ስፖርት በኢትዮጵያ ታሪክ እንዴት ወደ ከተማ ተስፋፋ?</v>
      </c>
      <c r="I119" s="5" t="str">
        <f>IFERROR(__xludf.DUMMYFUNCTION("GOOGLETRANSLATE(C119, ""en"", ""am"")"),"ሀ. በስደት ለ. የንጉሳዊ ድጋፍ ሐ. ፌስቲቫሎች መ. ከላይ ያሉት ሁሉም")</f>
        <v>ሀ. በስደት ለ. የንጉሳዊ ድጋፍ ሐ. ፌስቲቫሎች መ. ከላይ ያሉት ሁሉም</v>
      </c>
      <c r="J119" s="5" t="str">
        <f>IFERROR(__xludf.DUMMYFUNCTION("GOOGLETRANSLATE(D119, ""en"", ""am"")"),"ከላይ ያሉት ሁሉም")</f>
        <v>ከላይ ያሉት ሁሉም</v>
      </c>
      <c r="K119" s="5" t="str">
        <f>IFERROR(__xludf.DUMMYFUNCTION("GOOGLETRANSLATE(E119, ""en"", ""am"")"),"ጌና ስፖርት በስደት፣ በንጉሣዊ ድጋፍ እና በበዓላት ወደ ከተማ ተስፋፋ።")</f>
        <v>ጌና ስፖርት በስደት፣ በንጉሣዊ ድጋፍ እና በበዓላት ወደ ከተማ ተስፋፋ።</v>
      </c>
    </row>
    <row r="120" ht="22.5" customHeight="1">
      <c r="A120" s="3">
        <v>119.0</v>
      </c>
      <c r="B120" s="5" t="s">
        <v>442</v>
      </c>
      <c r="C120" s="4" t="s">
        <v>443</v>
      </c>
      <c r="D120" s="5" t="s">
        <v>63</v>
      </c>
      <c r="E120" s="5" t="s">
        <v>444</v>
      </c>
      <c r="G120" s="5" t="str">
        <f>IFERROR(__xludf.DUMMYFUNCTION("GOOGLETRANSLATE(A120, ""en"", ""am"")"),"119")</f>
        <v>119</v>
      </c>
      <c r="H120" s="5" t="str">
        <f>IFERROR(__xludf.DUMMYFUNCTION("GOOGLETRANSLATE(B120, ""en"", ""am"")"),"በታሪክ ከጌና ስፖርት ግጥሚያ በኋላ ተምሳሌታዊ ተግባር ምን ነበር?")</f>
        <v>በታሪክ ከጌና ስፖርት ግጥሚያ በኋላ ተምሳሌታዊ ተግባር ምን ነበር?</v>
      </c>
      <c r="I120" s="5" t="str">
        <f>IFERROR(__xludf.DUMMYFUNCTION("GOOGLETRANSLATE(C120, ""en"", ""am"")"),"ሀ. ምግብ መጋራት ለ. አብሮ መደነስ ሐ. በረከት መለዋወጥ መ. ከላይ ያሉት ሁሉም")</f>
        <v>ሀ. ምግብ መጋራት ለ. አብሮ መደነስ ሐ. በረከት መለዋወጥ መ. ከላይ ያሉት ሁሉም</v>
      </c>
      <c r="J120" s="5" t="str">
        <f>IFERROR(__xludf.DUMMYFUNCTION("GOOGLETRANSLATE(D120, ""en"", ""am"")"),"ከላይ ያሉት ሁሉም")</f>
        <v>ከላይ ያሉት ሁሉም</v>
      </c>
      <c r="K120" s="5" t="str">
        <f>IFERROR(__xludf.DUMMYFUNCTION("GOOGLETRANSLATE(E120, ""en"", ""am"")"),"እንደ ምግብ መጋራት፣ መደነስ እና በረከቶችን መለዋወጥ ያሉ ተምሳሌታዊ ድርጊቶች ከግጥሚያዎች በኋላ ተካሂደዋል።")</f>
        <v>እንደ ምግብ መጋራት፣ መደነስ እና በረከቶችን መለዋወጥ ያሉ ተምሳሌታዊ ድርጊቶች ከግጥሚያዎች በኋላ ተካሂደዋል።</v>
      </c>
    </row>
    <row r="121" ht="22.5" customHeight="1">
      <c r="A121" s="3">
        <v>120.0</v>
      </c>
      <c r="B121" s="5" t="s">
        <v>445</v>
      </c>
      <c r="C121" s="4" t="s">
        <v>446</v>
      </c>
      <c r="D121" s="5" t="s">
        <v>447</v>
      </c>
      <c r="E121" s="5" t="s">
        <v>448</v>
      </c>
      <c r="G121" s="5" t="str">
        <f>IFERROR(__xludf.DUMMYFUNCTION("GOOGLETRANSLATE(A121, ""en"", ""am"")"),"120")</f>
        <v>120</v>
      </c>
      <c r="H121" s="5" t="str">
        <f>IFERROR(__xludf.DUMMYFUNCTION("GOOGLETRANSLATE(B121, ""en"", ""am"")"),"የገና ስፖርትን መንፈስ የሚያንፀባርቀው የትኛው ጥንታዊ ኢትዮጵያዊ ምሳሌ ነው?")</f>
        <v>የገና ስፖርትን መንፈስ የሚያንፀባርቀው የትኛው ጥንታዊ ኢትዮጵያዊ ምሳሌ ነው?</v>
      </c>
      <c r="I121" s="5" t="str">
        <f>IFERROR(__xludf.DUMMYFUNCTION("GOOGLETRANSLATE(C121, ""en"", ""am"")"),"ሀ. አንድነት ጥንካሬ ነው ለ. ድል ይጋራል ሐ ደስታ ከጥረት ይመጣል D. በክብር ይጫወቱ")</f>
        <v>ሀ. አንድነት ጥንካሬ ነው ለ. ድል ይጋራል ሐ ደስታ ከጥረት ይመጣል D. በክብር ይጫወቱ</v>
      </c>
      <c r="J121" s="5" t="str">
        <f>IFERROR(__xludf.DUMMYFUNCTION("GOOGLETRANSLATE(D121, ""en"", ""am"")"),"አንድነት ጥንካሬ ነው።")</f>
        <v>አንድነት ጥንካሬ ነው።</v>
      </c>
      <c r="K121" s="5" t="str">
        <f>IFERROR(__xludf.DUMMYFUNCTION("GOOGLETRANSLATE(E121, ""en"", ""am"")"),"‘አንድነት ሃይል ነው’ የሚለው አባባል የጌና ስፖርትን የቡድን መንፈስ ይማርካል።")</f>
        <v>‘አንድነት ሃይል ነው’ የሚለው አባባል የጌና ስፖርትን የቡድን መንፈስ ይማርካል።</v>
      </c>
    </row>
    <row r="122" ht="22.5" customHeight="1">
      <c r="A122" s="3">
        <v>121.0</v>
      </c>
      <c r="B122" s="5" t="s">
        <v>449</v>
      </c>
      <c r="C122" s="4" t="s">
        <v>450</v>
      </c>
      <c r="D122" s="5" t="s">
        <v>35</v>
      </c>
      <c r="E122" s="5" t="s">
        <v>451</v>
      </c>
      <c r="G122" s="5" t="str">
        <f>IFERROR(__xludf.DUMMYFUNCTION("GOOGLETRANSLATE(A122, ""en"", ""am"")"),"121")</f>
        <v>121</v>
      </c>
      <c r="H122" s="5" t="str">
        <f>IFERROR(__xludf.DUMMYFUNCTION("GOOGLETRANSLATE(B122, ""en"", ""am"")"),"በጌና ስፖርት ኳሱን ለመስራት በባህላዊ መንገድ ምን አይነት ቁሳቁስ ይጠቀም ነበር?")</f>
        <v>በጌና ስፖርት ኳሱን ለመስራት በባህላዊ መንገድ ምን አይነት ቁሳቁስ ይጠቀም ነበር?</v>
      </c>
      <c r="I122" s="5" t="str">
        <f>IFERROR(__xludf.DUMMYFUNCTION("GOOGLETRANSLATE(C122, ""en"", ""am"")"),"A. እንጨት ቢ. ቆዳ ሐ ድንጋይ ዲ. ሸክላ")</f>
        <v>A. እንጨት ቢ. ቆዳ ሐ ድንጋይ ዲ. ሸክላ</v>
      </c>
      <c r="J122" s="5" t="str">
        <f>IFERROR(__xludf.DUMMYFUNCTION("GOOGLETRANSLATE(D122, ""en"", ""am"")"),"እንጨት")</f>
        <v>እንጨት</v>
      </c>
      <c r="K122" s="5" t="str">
        <f>IFERROR(__xludf.DUMMYFUNCTION("GOOGLETRANSLATE(E122, ""en"", ""am"")"),"በጌና ስፖርት ኳሷ በባህላዊ መንገድ ከእንጨት ተቀርጾ ለጥንካሬ እና ለብቃት ይታይ ነበር።")</f>
        <v>በጌና ስፖርት ኳሷ በባህላዊ መንገድ ከእንጨት ተቀርጾ ለጥንካሬ እና ለብቃት ይታይ ነበር።</v>
      </c>
    </row>
    <row r="123" ht="22.5" customHeight="1">
      <c r="A123" s="3">
        <v>122.0</v>
      </c>
      <c r="B123" s="5" t="s">
        <v>452</v>
      </c>
      <c r="C123" s="4" t="s">
        <v>453</v>
      </c>
      <c r="D123" s="5" t="s">
        <v>323</v>
      </c>
      <c r="E123" s="5" t="s">
        <v>454</v>
      </c>
      <c r="G123" s="5" t="str">
        <f>IFERROR(__xludf.DUMMYFUNCTION("GOOGLETRANSLATE(A123, ""en"", ""am"")"),"122")</f>
        <v>122</v>
      </c>
      <c r="H123" s="5" t="str">
        <f>IFERROR(__xludf.DUMMYFUNCTION("GOOGLETRANSLATE(B123, ""en"", ""am"")"),"በገና ስፖርት ላይ የተሳተፈው የትኛው ታሪካዊ ኢትዮጵያዊ ንጉስ ነው?")</f>
        <v>በገና ስፖርት ላይ የተሳተፈው የትኛው ታሪካዊ ኢትዮጵያዊ ንጉስ ነው?</v>
      </c>
      <c r="I123" s="5" t="str">
        <f>IFERROR(__xludf.DUMMYFUNCTION("GOOGLETRANSLATE(C123, ""en"", ""am"")"),"አ. ንጉስ ኢዛና ብ ንጉስ ላሊበላ ሐ. ንጉስ ቴዎድሮስ 2ኛ ዲ. ንጉስ ዮሃንስ 4ኛ")</f>
        <v>አ. ንጉስ ኢዛና ብ ንጉስ ላሊበላ ሐ. ንጉስ ቴዎድሮስ 2ኛ ዲ. ንጉስ ዮሃንስ 4ኛ</v>
      </c>
      <c r="J123" s="5" t="str">
        <f>IFERROR(__xludf.DUMMYFUNCTION("GOOGLETRANSLATE(D123, ""en"", ""am"")"),"ንጉስ ላሊበላ")</f>
        <v>ንጉስ ላሊበላ</v>
      </c>
      <c r="K123" s="5" t="str">
        <f>IFERROR(__xludf.DUMMYFUNCTION("GOOGLETRANSLATE(E123, ""en"", ""am"")"),"በኢትዮጵያውያን ትውፊት ተቆርቋሪነት የሚታወቀው ንጉስ ላሊበላ በገና ስፖርት ላይ ይሳተፋል ተብሎ ይታመናል።")</f>
        <v>በኢትዮጵያውያን ትውፊት ተቆርቋሪነት የሚታወቀው ንጉስ ላሊበላ በገና ስፖርት ላይ ይሳተፋል ተብሎ ይታመናል።</v>
      </c>
    </row>
    <row r="124" ht="22.5" customHeight="1">
      <c r="A124" s="3">
        <v>123.0</v>
      </c>
      <c r="B124" s="5" t="s">
        <v>455</v>
      </c>
      <c r="C124" s="4" t="s">
        <v>456</v>
      </c>
      <c r="D124" s="5" t="s">
        <v>63</v>
      </c>
      <c r="E124" s="5" t="s">
        <v>457</v>
      </c>
      <c r="G124" s="5" t="str">
        <f>IFERROR(__xludf.DUMMYFUNCTION("GOOGLETRANSLATE(A124, ""en"", ""am"")"),"123")</f>
        <v>123</v>
      </c>
      <c r="H124" s="5" t="str">
        <f>IFERROR(__xludf.DUMMYFUNCTION("GOOGLETRANSLATE(B124, ""en"", ""am"")"),"የገና ስፖርት በኢትዮጵያ ወታደራዊ ስልጠና ወቅት የነበረው ሚና ምን ይመስላል?")</f>
        <v>የገና ስፖርት በኢትዮጵያ ወታደራዊ ስልጠና ወቅት የነበረው ሚና ምን ይመስላል?</v>
      </c>
      <c r="I124" s="5" t="str">
        <f>IFERROR(__xludf.DUMMYFUNCTION("GOOGLETRANSLATE(C124, ""en"", ""am"")"),"ሀ. የተሻሻለ ቅንጅት ለ. የተገነባ አካላዊ ጥንካሬ ሐ. የተሻሻለ የቡድን ስራ መ. ከላይ ያሉት ሁሉም")</f>
        <v>ሀ. የተሻሻለ ቅንጅት ለ. የተገነባ አካላዊ ጥንካሬ ሐ. የተሻሻለ የቡድን ስራ መ. ከላይ ያሉት ሁሉም</v>
      </c>
      <c r="J124" s="5" t="str">
        <f>IFERROR(__xludf.DUMMYFUNCTION("GOOGLETRANSLATE(D124, ""en"", ""am"")"),"ከላይ ያሉት ሁሉም")</f>
        <v>ከላይ ያሉት ሁሉም</v>
      </c>
      <c r="K124" s="5" t="str">
        <f>IFERROR(__xludf.DUMMYFUNCTION("GOOGLETRANSLATE(E124, ""en"", ""am"")"),"ጄና ስፖርት ቅንጅትን፣ ጥንካሬን እና የቡድን ስራን ለማሻሻል በወታደራዊ ስልጠና ላይ ጥቅም ላይ ውሏል።")</f>
        <v>ጄና ስፖርት ቅንጅትን፣ ጥንካሬን እና የቡድን ስራን ለማሻሻል በወታደራዊ ስልጠና ላይ ጥቅም ላይ ውሏል።</v>
      </c>
    </row>
    <row r="125" ht="22.5" customHeight="1">
      <c r="A125" s="3">
        <v>124.0</v>
      </c>
      <c r="B125" s="5" t="s">
        <v>458</v>
      </c>
      <c r="C125" s="4" t="s">
        <v>459</v>
      </c>
      <c r="D125" s="5" t="s">
        <v>63</v>
      </c>
      <c r="E125" s="5" t="s">
        <v>460</v>
      </c>
      <c r="G125" s="5" t="str">
        <f>IFERROR(__xludf.DUMMYFUNCTION("GOOGLETRANSLATE(A125, ""en"", ""am"")"),"124")</f>
        <v>124</v>
      </c>
      <c r="H125" s="5" t="str">
        <f>IFERROR(__xludf.DUMMYFUNCTION("GOOGLETRANSLATE(B125, ""en"", ""am"")"),"ጌና ስፖርት ምን አይነት ባህላዊ ኢትዮጵያዊ እሴቶችን ያሳያል?")</f>
        <v>ጌና ስፖርት ምን አይነት ባህላዊ ኢትዮጵያዊ እሴቶችን ያሳያል?</v>
      </c>
      <c r="I125" s="5" t="str">
        <f>IFERROR(__xludf.DUMMYFUNCTION("GOOGLETRANSLATE(C125, ""en"", ""am"")"),"ሀ.አንድነት ለ.ክብር ሐ.ክብር መ.ከላይ ያሉት")</f>
        <v>ሀ.አንድነት ለ.ክብር ሐ.ክብር መ.ከላይ ያሉት</v>
      </c>
      <c r="J125" s="5" t="str">
        <f>IFERROR(__xludf.DUMMYFUNCTION("GOOGLETRANSLATE(D125, ""en"", ""am"")"),"ከላይ ያሉት ሁሉም")</f>
        <v>ከላይ ያሉት ሁሉም</v>
      </c>
      <c r="K125" s="5" t="str">
        <f>IFERROR(__xludf.DUMMYFUNCTION("GOOGLETRANSLATE(E125, ""en"", ""am"")"),"ጌና ስፖርት በኢትዮጵያ ባህል ውስጥ አንድነትን፣ ክብርን እና መከባበርን ያሳያል።")</f>
        <v>ጌና ስፖርት በኢትዮጵያ ባህል ውስጥ አንድነትን፣ ክብርን እና መከባበርን ያሳያል።</v>
      </c>
    </row>
    <row r="126" ht="22.5" customHeight="1">
      <c r="A126" s="3">
        <v>125.0</v>
      </c>
      <c r="B126" s="5" t="s">
        <v>461</v>
      </c>
      <c r="C126" s="4" t="s">
        <v>462</v>
      </c>
      <c r="D126" s="5" t="s">
        <v>63</v>
      </c>
      <c r="E126" s="5" t="s">
        <v>463</v>
      </c>
      <c r="G126" s="5" t="str">
        <f>IFERROR(__xludf.DUMMYFUNCTION("GOOGLETRANSLATE(A126, ""en"", ""am"")"),"125")</f>
        <v>125</v>
      </c>
      <c r="H126" s="5" t="str">
        <f>IFERROR(__xludf.DUMMYFUNCTION("GOOGLETRANSLATE(B126, ""en"", ""am"")"),"ጌና ስፖርትን በታሪክ በማሸነፍ የጋራ ሽልማት ምን ነበር?")</f>
        <v>ጌና ስፖርትን በታሪክ በማሸነፍ የጋራ ሽልማት ምን ነበር?</v>
      </c>
      <c r="I126" s="5" t="str">
        <f>IFERROR(__xludf.DUMMYFUNCTION("GOOGLETRANSLATE(C126, ""en"", ""am"")"),"ሀ. ምግብ እና መጠጦች ለ. የህዝብ እውቅና ሐ. ልዩ በረከቶች መ. ከላይ ያሉት ሁሉም")</f>
        <v>ሀ. ምግብ እና መጠጦች ለ. የህዝብ እውቅና ሐ. ልዩ በረከቶች መ. ከላይ ያሉት ሁሉም</v>
      </c>
      <c r="J126" s="5" t="str">
        <f>IFERROR(__xludf.DUMMYFUNCTION("GOOGLETRANSLATE(D126, ""en"", ""am"")"),"ከላይ ያሉት ሁሉም")</f>
        <v>ከላይ ያሉት ሁሉም</v>
      </c>
      <c r="K126" s="5" t="str">
        <f>IFERROR(__xludf.DUMMYFUNCTION("GOOGLETRANSLATE(E126, ""en"", ""am"")"),"አሸናፊ ቡድኖች ብዙ ጊዜ ከሽማግሌዎች ምግብን፣ የህዝብ እውቅና እና በረከቶችን አግኝተዋል።")</f>
        <v>አሸናፊ ቡድኖች ብዙ ጊዜ ከሽማግሌዎች ምግብን፣ የህዝብ እውቅና እና በረከቶችን አግኝተዋል።</v>
      </c>
    </row>
    <row r="127" ht="22.5" customHeight="1">
      <c r="A127" s="3">
        <v>126.0</v>
      </c>
      <c r="B127" s="5" t="s">
        <v>464</v>
      </c>
      <c r="C127" s="4" t="s">
        <v>465</v>
      </c>
      <c r="D127" s="5" t="s">
        <v>63</v>
      </c>
      <c r="E127" s="5" t="s">
        <v>466</v>
      </c>
      <c r="G127" s="5" t="str">
        <f>IFERROR(__xludf.DUMMYFUNCTION("GOOGLETRANSLATE(A127, ""en"", ""am"")"),"126")</f>
        <v>126</v>
      </c>
      <c r="H127" s="5" t="str">
        <f>IFERROR(__xludf.DUMMYFUNCTION("GOOGLETRANSLATE(B127, ""en"", ""am"")"),"በጌና ስፖርት የጎል ማስቆጠር አስፈላጊነት በታሪክ ምን ነበር?")</f>
        <v>በጌና ስፖርት የጎል ማስቆጠር አስፈላጊነት በታሪክ ምን ነበር?</v>
      </c>
      <c r="I127" s="5" t="str">
        <f>IFERROR(__xludf.DUMMYFUNCTION("GOOGLETRANSLATE(C127, ""en"", ""am"")"),"ሀ. የግለሰብ ክህሎት አሳይቷል ለ. የታየ የቡድን ስራ ሐ. የመንደር ኩራትን ይወክላል D. ሁሉም ከላይ ያሉት")</f>
        <v>ሀ. የግለሰብ ክህሎት አሳይቷል ለ. የታየ የቡድን ስራ ሐ. የመንደር ኩራትን ይወክላል D. ሁሉም ከላይ ያሉት</v>
      </c>
      <c r="J127" s="5" t="str">
        <f>IFERROR(__xludf.DUMMYFUNCTION("GOOGLETRANSLATE(D127, ""en"", ""am"")"),"ከላይ ያሉት ሁሉም")</f>
        <v>ከላይ ያሉት ሁሉም</v>
      </c>
      <c r="K127" s="5" t="str">
        <f>IFERROR(__xludf.DUMMYFUNCTION("GOOGLETRANSLATE(E127, ""en"", ""am"")"),"በጌና ስፖርት ውጤት ማስመዝገብ የግለሰብ ክህሎትን፣ የቡድን ስራን እና የመንደር ኩራትን አሳይቷል።")</f>
        <v>በጌና ስፖርት ውጤት ማስመዝገብ የግለሰብ ክህሎትን፣ የቡድን ስራን እና የመንደር ኩራትን አሳይቷል።</v>
      </c>
    </row>
    <row r="128" ht="22.5" customHeight="1">
      <c r="A128" s="3">
        <v>127.0</v>
      </c>
      <c r="B128" s="5" t="s">
        <v>467</v>
      </c>
      <c r="C128" s="4" t="s">
        <v>468</v>
      </c>
      <c r="D128" s="5" t="s">
        <v>469</v>
      </c>
      <c r="E128" s="5" t="s">
        <v>470</v>
      </c>
      <c r="G128" s="5" t="str">
        <f>IFERROR(__xludf.DUMMYFUNCTION("GOOGLETRANSLATE(A128, ""en"", ""am"")"),"127")</f>
        <v>127</v>
      </c>
      <c r="H128" s="5" t="str">
        <f>IFERROR(__xludf.DUMMYFUNCTION("GOOGLETRANSLATE(B128, ""en"", ""am"")"),"በጌና ስፖርት ጎል በማስቆጠር ላይ የተነሱ አለመግባባቶች በታሪክ እንዴት ተፈቱ?")</f>
        <v>በጌና ስፖርት ጎል በማስቆጠር ላይ የተነሱ አለመግባባቶች በታሪክ እንዴት ተፈቱ?</v>
      </c>
      <c r="I128" s="5" t="str">
        <f>IFERROR(__xludf.DUMMYFUNCTION("GOOGLETRANSLATE(C128, ""en"", ""am"")"),"ሀ. የሽማግሌው ውሳኔ ለ. ግጥሚያው እንደገና መጫወት ሐ. በካፒቴን መካከል የተደረገ ስምምነት ዲ. በተመልካቾች ድምጽ ይስጡ")</f>
        <v>ሀ. የሽማግሌው ውሳኔ ለ. ግጥሚያው እንደገና መጫወት ሐ. በካፒቴን መካከል የተደረገ ስምምነት ዲ. በተመልካቾች ድምጽ ይስጡ</v>
      </c>
      <c r="J128" s="5" t="str">
        <f>IFERROR(__xludf.DUMMYFUNCTION("GOOGLETRANSLATE(D128, ""en"", ""am"")"),"የሽማግሌው ውሳኔ")</f>
        <v>የሽማግሌው ውሳኔ</v>
      </c>
      <c r="K128" s="5" t="str">
        <f>IFERROR(__xludf.DUMMYFUNCTION("GOOGLETRANSLATE(E128, ""en"", ""am"")"),"ውጤት በማስመዝገብ ላይ ያሉ አለመግባባቶች በተከበሩ የመንደር ሽማግሌዎች ውሳኔ ተፈተዋል።")</f>
        <v>ውጤት በማስመዝገብ ላይ ያሉ አለመግባባቶች በተከበሩ የመንደር ሽማግሌዎች ውሳኔ ተፈተዋል።</v>
      </c>
    </row>
    <row r="129" ht="22.5" customHeight="1">
      <c r="A129" s="3">
        <v>128.0</v>
      </c>
      <c r="B129" s="5" t="s">
        <v>471</v>
      </c>
      <c r="C129" s="4" t="s">
        <v>472</v>
      </c>
      <c r="D129" s="5" t="s">
        <v>473</v>
      </c>
      <c r="E129" s="5" t="s">
        <v>474</v>
      </c>
      <c r="G129" s="5" t="str">
        <f>IFERROR(__xludf.DUMMYFUNCTION("GOOGLETRANSLATE(A129, ""en"", ""am"")"),"128")</f>
        <v>128</v>
      </c>
      <c r="H129" s="5" t="str">
        <f>IFERROR(__xludf.DUMMYFUNCTION("GOOGLETRANSLATE(B129, ""en"", ""am"")"),"የጌና ስፖርት ባህላዊ ቆይታ ምን ያህል ነበር?")</f>
        <v>የጌና ስፖርት ባህላዊ ቆይታ ምን ያህል ነበር?</v>
      </c>
      <c r="I129" s="5" t="str">
        <f>IFERROR(__xludf.DUMMYFUNCTION("GOOGLETRANSLATE(C129, ""en"", ""am"")"),"ሀ. ጀምበር እስክትጠልቅ ለ. ቋሚ የግብ ብዛት ሐ. የተወሰነ የጊዜ ገደብ መ. በስምምነት የተለያየ")</f>
        <v>ሀ. ጀምበር እስክትጠልቅ ለ. ቋሚ የግብ ብዛት ሐ. የተወሰነ የጊዜ ገደብ መ. በስምምነት የተለያየ</v>
      </c>
      <c r="J129" s="5" t="str">
        <f>IFERROR(__xludf.DUMMYFUNCTION("GOOGLETRANSLATE(D129, ""en"", ""am"")"),"ፀሐይ እስክትጠልቅ ድረስ")</f>
        <v>ፀሐይ እስክትጠልቅ ድረስ</v>
      </c>
      <c r="K129" s="5" t="str">
        <f>IFERROR(__xludf.DUMMYFUNCTION("GOOGLETRANSLATE(E129, ""en"", ""am"")"),"ከታሪክ አኳያ፣ ግጥሚያዎች ብዙውን ጊዜ የሚቆዩት ጀንበር እስክትጠልቅ ድረስ ወይም አሸናፊው እስኪታወቅ ድረስ ነው።")</f>
        <v>ከታሪክ አኳያ፣ ግጥሚያዎች ብዙውን ጊዜ የሚቆዩት ጀንበር እስክትጠልቅ ድረስ ወይም አሸናፊው እስኪታወቅ ድረስ ነው።</v>
      </c>
    </row>
    <row r="130" ht="22.5" customHeight="1">
      <c r="A130" s="3">
        <v>129.0</v>
      </c>
      <c r="B130" s="5" t="s">
        <v>475</v>
      </c>
      <c r="C130" s="4" t="s">
        <v>476</v>
      </c>
      <c r="D130" s="5" t="s">
        <v>24</v>
      </c>
      <c r="E130" s="5" t="s">
        <v>477</v>
      </c>
      <c r="G130" s="5" t="str">
        <f>IFERROR(__xludf.DUMMYFUNCTION("GOOGLETRANSLATE(A130, ""en"", ""am"")"),"129")</f>
        <v>129</v>
      </c>
      <c r="H130" s="5" t="str">
        <f>IFERROR(__xludf.DUMMYFUNCTION("GOOGLETRANSLATE(B130, ""en"", ""am"")"),"ጌና የሚለው ቃል በኢትዮጵያ ባህል ምን ይተረጎማል?")</f>
        <v>ጌና የሚለው ቃል በኢትዮጵያ ባህል ምን ይተረጎማል?</v>
      </c>
      <c r="I130" s="5" t="str">
        <f>IFERROR(__xludf.DUMMYFUNCTION("GOOGLETRANSLATE(C130, ""en"", ""am"")"),"ሀ. ገና ለ. ድል ሐ. አንድነት ዲ. ወግ")</f>
        <v>ሀ. ገና ለ. ድል ሐ. አንድነት ዲ. ወግ</v>
      </c>
      <c r="J130" s="5" t="str">
        <f>IFERROR(__xludf.DUMMYFUNCTION("GOOGLETRANSLATE(D130, ""en"", ""am"")"),"የገና በአል")</f>
        <v>የገና በአል</v>
      </c>
      <c r="K130" s="5" t="str">
        <f>IFERROR(__xludf.DUMMYFUNCTION("GOOGLETRANSLATE(E130, ""en"", ""am"")"),"ጌና የሚለው ቃል ጨዋታው ከበዓል ጋር ያለውን ጠንካራ ግንኙነት በማንፀባረቅ ገና ወደ ገና ይተረጎማል።")</f>
        <v>ጌና የሚለው ቃል ጨዋታው ከበዓል ጋር ያለውን ጠንካራ ግንኙነት በማንፀባረቅ ገና ወደ ገና ይተረጎማል።</v>
      </c>
    </row>
    <row r="131" ht="22.5" customHeight="1">
      <c r="A131" s="3">
        <v>130.0</v>
      </c>
      <c r="B131" s="5" t="s">
        <v>478</v>
      </c>
      <c r="C131" s="4" t="s">
        <v>479</v>
      </c>
      <c r="D131" s="5" t="s">
        <v>63</v>
      </c>
      <c r="E131" s="5" t="s">
        <v>480</v>
      </c>
      <c r="G131" s="5" t="str">
        <f>IFERROR(__xludf.DUMMYFUNCTION("GOOGLETRANSLATE(A131, ""en"", ""am"")"),"130")</f>
        <v>130</v>
      </c>
      <c r="H131" s="5" t="str">
        <f>IFERROR(__xludf.DUMMYFUNCTION("GOOGLETRANSLATE(B131, ""en"", ""am"")"),"በበዓላት ወቅት ጌና ስፖርት ለመጫወት ዋናው ምክንያት ምን ነበር?")</f>
        <v>በበዓላት ወቅት ጌና ስፖርት ለመጫወት ዋናው ምክንያት ምን ነበር?</v>
      </c>
      <c r="I131" s="5" t="str">
        <f>IFERROR(__xludf.DUMMYFUNCTION("GOOGLETRANSLATE(C131, ""en"", ""am"")"),"ሀ. መዝናኛ ለ. ማሰሪያዎችን ማጠናከር ሐ. ወጎችን ማክበር መ. ከላይ ያሉት ሁሉም")</f>
        <v>ሀ. መዝናኛ ለ. ማሰሪያዎችን ማጠናከር ሐ. ወጎችን ማክበር መ. ከላይ ያሉት ሁሉም</v>
      </c>
      <c r="J131" s="5" t="str">
        <f>IFERROR(__xludf.DUMMYFUNCTION("GOOGLETRANSLATE(D131, ""en"", ""am"")"),"ከላይ ያሉት ሁሉም")</f>
        <v>ከላይ ያሉት ሁሉም</v>
      </c>
      <c r="K131" s="5" t="str">
        <f>IFERROR(__xludf.DUMMYFUNCTION("GOOGLETRANSLATE(E131, ""en"", ""am"")"),"ጌና ስፖርት ለመዝናኛ፣ ትስስርን ለማጠናከር እና በዓላትን ለማክበር ወጎች ይጫወት ነበር።")</f>
        <v>ጌና ስፖርት ለመዝናኛ፣ ትስስርን ለማጠናከር እና በዓላትን ለማክበር ወጎች ይጫወት ነበር።</v>
      </c>
    </row>
    <row r="132" ht="22.5" customHeight="1">
      <c r="A132" s="3">
        <v>131.0</v>
      </c>
      <c r="B132" s="5" t="s">
        <v>481</v>
      </c>
      <c r="C132" s="4" t="s">
        <v>482</v>
      </c>
      <c r="D132" s="5" t="s">
        <v>483</v>
      </c>
      <c r="E132" s="5" t="s">
        <v>484</v>
      </c>
      <c r="G132" s="5" t="str">
        <f>IFERROR(__xludf.DUMMYFUNCTION("GOOGLETRANSLATE(A132, ""en"", ""am"")"),"131")</f>
        <v>131</v>
      </c>
      <c r="H132" s="5" t="str">
        <f>IFERROR(__xludf.DUMMYFUNCTION("GOOGLETRANSLATE(B132, ""en"", ""am"")"),"የጌና ስፖርት ሜዳ ድንበሮችን ለመለየት የተለመደ ዘዴ ምን ነበር?")</f>
        <v>የጌና ስፖርት ሜዳ ድንበሮችን ለመለየት የተለመደ ዘዴ ምን ነበር?</v>
      </c>
      <c r="I132" s="5" t="str">
        <f>IFERROR(__xludf.DUMMYFUNCTION("GOOGLETRANSLATE(C132, ""en"", ""am"")"),"ሀ. ድንጋዮች ለ. ዱላዎች ሐ. ገመዶች D. የስዕል መስመሮች")</f>
        <v>ሀ. ድንጋዮች ለ. ዱላዎች ሐ. ገመዶች D. የስዕል መስመሮች</v>
      </c>
      <c r="J132" s="5" t="str">
        <f>IFERROR(__xludf.DUMMYFUNCTION("GOOGLETRANSLATE(D132, ""en"", ""am"")"),"ድንጋዮች")</f>
        <v>ድንጋዮች</v>
      </c>
      <c r="K132" s="5" t="str">
        <f>IFERROR(__xludf.DUMMYFUNCTION("GOOGLETRANSLATE(E132, ""en"", ""am"")"),"የጌና ስፖርት የመጫወቻ ሜዳ ድንበሮችን ለማመልከት በተለምዶ ድንጋዮች ይገለገሉበት ነበር።")</f>
        <v>የጌና ስፖርት የመጫወቻ ሜዳ ድንበሮችን ለማመልከት በተለምዶ ድንጋዮች ይገለገሉበት ነበር።</v>
      </c>
    </row>
    <row r="133" ht="22.5" customHeight="1">
      <c r="A133" s="3">
        <v>132.0</v>
      </c>
      <c r="B133" s="5" t="s">
        <v>485</v>
      </c>
      <c r="C133" s="4" t="s">
        <v>486</v>
      </c>
      <c r="D133" s="5" t="s">
        <v>63</v>
      </c>
      <c r="E133" s="5" t="s">
        <v>487</v>
      </c>
      <c r="G133" s="5" t="str">
        <f>IFERROR(__xludf.DUMMYFUNCTION("GOOGLETRANSLATE(A133, ""en"", ""am"")"),"132")</f>
        <v>132</v>
      </c>
      <c r="H133" s="5" t="str">
        <f>IFERROR(__xludf.DUMMYFUNCTION("GOOGLETRANSLATE(B133, ""en"", ""am"")"),"የገና ስፖርት አስፈላጊነት በኢትዮጵያ የቃል ወጎች እንዴት ተንፀባርቋል?")</f>
        <v>የገና ስፖርት አስፈላጊነት በኢትዮጵያ የቃል ወጎች እንዴት ተንፀባርቋል?</v>
      </c>
      <c r="I133" s="5" t="str">
        <f>IFERROR(__xludf.DUMMYFUNCTION("GOOGLETRANSLATE(C133, ""en"", ""am"")"),"ሀ. በዘፈኖች ለ. በተረት ሐ. በምሳሌዎች D. ከላይ ያሉት ሁሉ")</f>
        <v>ሀ. በዘፈኖች ለ. በተረት ሐ. በምሳሌዎች D. ከላይ ያሉት ሁሉ</v>
      </c>
      <c r="J133" s="5" t="str">
        <f>IFERROR(__xludf.DUMMYFUNCTION("GOOGLETRANSLATE(D133, ""en"", ""am"")"),"ከላይ ያሉት ሁሉም")</f>
        <v>ከላይ ያሉት ሁሉም</v>
      </c>
      <c r="K133" s="5" t="str">
        <f>IFERROR(__xludf.DUMMYFUNCTION("GOOGLETRANSLATE(E133, ""en"", ""am"")"),"በኢትዮጵያውያን የቃል ወጎች ውስጥ ያሉ ዘፈኖች፣ ተረቶች እና ምሳሌዎች የገና ስፖርትን አስፈላጊነት ያንፀባርቃሉ።")</f>
        <v>በኢትዮጵያውያን የቃል ወጎች ውስጥ ያሉ ዘፈኖች፣ ተረቶች እና ምሳሌዎች የገና ስፖርትን አስፈላጊነት ያንፀባርቃሉ።</v>
      </c>
    </row>
    <row r="134" ht="22.5" customHeight="1">
      <c r="A134" s="3">
        <v>133.0</v>
      </c>
      <c r="B134" s="5" t="s">
        <v>488</v>
      </c>
      <c r="C134" s="4" t="s">
        <v>489</v>
      </c>
      <c r="D134" s="5" t="s">
        <v>63</v>
      </c>
      <c r="E134" s="5" t="s">
        <v>490</v>
      </c>
      <c r="G134" s="5" t="str">
        <f>IFERROR(__xludf.DUMMYFUNCTION("GOOGLETRANSLATE(A134, ""en"", ""am"")"),"133")</f>
        <v>133</v>
      </c>
      <c r="H134" s="5" t="str">
        <f>IFERROR(__xludf.DUMMYFUNCTION("GOOGLETRANSLATE(B134, ""en"", ""am"")"),"የገና ስፖርት ወጎችን በመጠበቅ የተመሰከረለት የትኛው ኢትዮጵያዊ ነገድ ነው?")</f>
        <v>የገና ስፖርት ወጎችን በመጠበቅ የተመሰከረለት የትኛው ኢትዮጵያዊ ነገድ ነው?</v>
      </c>
      <c r="I134" s="5" t="str">
        <f>IFERROR(__xludf.DUMMYFUNCTION("GOOGLETRANSLATE(C134, ""en"", ""am"")"),"አ.አማራ ለ ኦሮሞ ሐ.ትግራይ መ.ከላይ ያሉት")</f>
        <v>አ.አማራ ለ ኦሮሞ ሐ.ትግራይ መ.ከላይ ያሉት</v>
      </c>
      <c r="J134" s="5" t="str">
        <f>IFERROR(__xludf.DUMMYFUNCTION("GOOGLETRANSLATE(D134, ""en"", ""am"")"),"ከላይ ያሉት ሁሉም")</f>
        <v>ከላይ ያሉት ሁሉም</v>
      </c>
      <c r="K134" s="5" t="str">
        <f>IFERROR(__xludf.DUMMYFUNCTION("GOOGLETRANSLATE(E134, ""en"", ""am"")"),"የገና ስፖርት ባህል እንዲጠበቅ የአማራ፣ የኦሮሞ እና የትግራይ ነገዶች አስተዋፅዖ አድርገዋል።")</f>
        <v>የገና ስፖርት ባህል እንዲጠበቅ የአማራ፣ የኦሮሞ እና የትግራይ ነገዶች አስተዋፅዖ አድርገዋል።</v>
      </c>
    </row>
    <row r="135" ht="22.5" customHeight="1">
      <c r="A135" s="3">
        <v>134.0</v>
      </c>
      <c r="B135" s="5" t="s">
        <v>491</v>
      </c>
      <c r="C135" s="4" t="s">
        <v>492</v>
      </c>
      <c r="D135" s="5" t="s">
        <v>63</v>
      </c>
      <c r="E135" s="5" t="s">
        <v>493</v>
      </c>
      <c r="G135" s="5" t="str">
        <f>IFERROR(__xludf.DUMMYFUNCTION("GOOGLETRANSLATE(A135, ""en"", ""am"")"),"134")</f>
        <v>134</v>
      </c>
      <c r="H135" s="5" t="str">
        <f>IFERROR(__xludf.DUMMYFUNCTION("GOOGLETRANSLATE(B135, ""en"", ""am"")"),"ጌና ስፖርት ለኢትዮጵያ ወጣቶች ያለው ታሪካዊ ፋይዳ ምንድን ነው?")</f>
        <v>ጌና ስፖርት ለኢትዮጵያ ወጣቶች ያለው ታሪካዊ ፋይዳ ምንድን ነው?</v>
      </c>
      <c r="I135" s="5" t="str">
        <f>IFERROR(__xludf.DUMMYFUNCTION("GOOGLETRANSLATE(C135, ""en"", ""am"")"),"ሀ. ተግሣጽን ያስተማረው ለ. የሚበረታታ የቡድን ሥራ ሐ. የአካል ብቃት እንቅስቃሴን የተገነባ መ. ከላይ ያሉት ሁሉም")</f>
        <v>ሀ. ተግሣጽን ያስተማረው ለ. የሚበረታታ የቡድን ሥራ ሐ. የአካል ብቃት እንቅስቃሴን የተገነባ መ. ከላይ ያሉት ሁሉም</v>
      </c>
      <c r="J135" s="5" t="str">
        <f>IFERROR(__xludf.DUMMYFUNCTION("GOOGLETRANSLATE(D135, ""en"", ""am"")"),"ከላይ ያሉት ሁሉም")</f>
        <v>ከላይ ያሉት ሁሉም</v>
      </c>
      <c r="K135" s="5" t="str">
        <f>IFERROR(__xludf.DUMMYFUNCTION("GOOGLETRANSLATE(E135, ""en"", ""am"")"),"ጌና ስፖርት ዲሲፕሊንን በታሪክ አስተምሯል፣ የቡድን ስራን ያበረታታል እና በወጣቶች መካከል የአካል ብቃትን ገነባ።")</f>
        <v>ጌና ስፖርት ዲሲፕሊንን በታሪክ አስተምሯል፣ የቡድን ስራን ያበረታታል እና በወጣቶች መካከል የአካል ብቃትን ገነባ።</v>
      </c>
    </row>
    <row r="136" ht="22.5" customHeight="1">
      <c r="A136" s="3">
        <v>135.0</v>
      </c>
      <c r="B136" s="5" t="s">
        <v>494</v>
      </c>
      <c r="C136" s="4" t="s">
        <v>495</v>
      </c>
      <c r="D136" s="5" t="s">
        <v>496</v>
      </c>
      <c r="E136" s="5" t="s">
        <v>497</v>
      </c>
      <c r="G136" s="5" t="str">
        <f>IFERROR(__xludf.DUMMYFUNCTION("GOOGLETRANSLATE(A136, ""en"", ""am"")"),"135")</f>
        <v>135</v>
      </c>
      <c r="H136" s="5" t="str">
        <f>IFERROR(__xludf.DUMMYFUNCTION("GOOGLETRANSLATE(B136, ""en"", ""am"")"),"የትኛው የኢትዮጵያ ፌስቲቫል የጌና ስፖርት ውድድሮችን ያስተናገደው?")</f>
        <v>የትኛው የኢትዮጵያ ፌስቲቫል የጌና ስፖርት ውድድሮችን ያስተናገደው?</v>
      </c>
      <c r="I136" s="5" t="str">
        <f>IFERROR(__xludf.DUMMYFUNCTION("GOOGLETRANSLATE(C136, ""en"", ""am"")"),"A. Enkutatash B. Genna C. Timket D. Meskel")</f>
        <v>A. Enkutatash B. Genna C. Timket D. Meskel</v>
      </c>
      <c r="J136" s="5" t="str">
        <f>IFERROR(__xludf.DUMMYFUNCTION("GOOGLETRANSLATE(D136, ""en"", ""am"")"),"ጌና")</f>
        <v>ጌና</v>
      </c>
      <c r="K136" s="5" t="str">
        <f>IFERROR(__xludf.DUMMYFUNCTION("GOOGLETRANSLATE(E136, ""en"", ""am"")"),"የኢትዮጵያ ገናን በዓል የሚያከብረው የገና ፌስቲቫል ብዙ ጊዜ የጌና ስፖርት ውድድሮችን ያስተናግድ ነበር።")</f>
        <v>የኢትዮጵያ ገናን በዓል የሚያከብረው የገና ፌስቲቫል ብዙ ጊዜ የጌና ስፖርት ውድድሮችን ያስተናግድ ነበር።</v>
      </c>
    </row>
    <row r="137" ht="22.5" customHeight="1">
      <c r="A137" s="3">
        <v>136.0</v>
      </c>
      <c r="B137" s="5" t="s">
        <v>498</v>
      </c>
      <c r="C137" s="4" t="s">
        <v>499</v>
      </c>
      <c r="D137" s="5" t="s">
        <v>63</v>
      </c>
      <c r="E137" s="5" t="s">
        <v>500</v>
      </c>
      <c r="G137" s="5" t="str">
        <f>IFERROR(__xludf.DUMMYFUNCTION("GOOGLETRANSLATE(A137, ""en"", ""am"")"),"136")</f>
        <v>136</v>
      </c>
      <c r="H137" s="5" t="str">
        <f>IFERROR(__xludf.DUMMYFUNCTION("GOOGLETRANSLATE(B137, ""en"", ""am"")"),"በታሪካዊ የገና ስፖርት ግጥሚያዎች የቡድን ስራ አስፈላጊነት ምን ነበር?")</f>
        <v>በታሪካዊ የገና ስፖርት ግጥሚያዎች የቡድን ስራ አስፈላጊነት ምን ነበር?</v>
      </c>
      <c r="I137" s="5" t="str">
        <f>IFERROR(__xludf.DUMMYFUNCTION("GOOGLETRANSLATE(C137, ""en"", ""am"")"),"ሀ. የተረጋገጠ ድል ለ. የተጠናከረ የማህበረሰብ ትስስር ሐ. ትብብርን አስተምሯል መ. ከላይ ያሉት ሁሉም")</f>
        <v>ሀ. የተረጋገጠ ድል ለ. የተጠናከረ የማህበረሰብ ትስስር ሐ. ትብብርን አስተምሯል መ. ከላይ ያሉት ሁሉም</v>
      </c>
      <c r="J137" s="5" t="str">
        <f>IFERROR(__xludf.DUMMYFUNCTION("GOOGLETRANSLATE(D137, ""en"", ""am"")"),"ከላይ ያሉት ሁሉም")</f>
        <v>ከላይ ያሉት ሁሉም</v>
      </c>
      <c r="K137" s="5" t="str">
        <f>IFERROR(__xludf.DUMMYFUNCTION("GOOGLETRANSLATE(E137, ""en"", ""am"")"),"በጌና ስፖርት የቡድን ስራ ድልን አረጋግጧል፣የማህበረሰብ ትስስርን ያጠናከረ እና ትብብርን አስተምሯል።")</f>
        <v>በጌና ስፖርት የቡድን ስራ ድልን አረጋግጧል፣የማህበረሰብ ትስስርን ያጠናከረ እና ትብብርን አስተምሯል።</v>
      </c>
    </row>
    <row r="138" ht="22.5" customHeight="1">
      <c r="A138" s="3">
        <v>137.0</v>
      </c>
      <c r="B138" s="5" t="s">
        <v>501</v>
      </c>
      <c r="C138" s="4" t="s">
        <v>502</v>
      </c>
      <c r="D138" s="5" t="s">
        <v>503</v>
      </c>
      <c r="E138" s="5" t="s">
        <v>504</v>
      </c>
      <c r="G138" s="5" t="str">
        <f>IFERROR(__xludf.DUMMYFUNCTION("GOOGLETRANSLATE(A138, ""en"", ""am"")"),"137")</f>
        <v>137</v>
      </c>
      <c r="H138" s="5" t="str">
        <f>IFERROR(__xludf.DUMMYFUNCTION("GOOGLETRANSLATE(B138, ""en"", ""am"")"),"ስለ ጌና ስፖርት በኢትዮጵያ ታሪክ ውስጥ ከተመዘገቡት ውስጥ አንዱ የትኛው ነው?")</f>
        <v>ስለ ጌና ስፖርት በኢትዮጵያ ታሪክ ውስጥ ከተመዘገቡት ውስጥ አንዱ የትኛው ነው?</v>
      </c>
      <c r="I138" s="5" t="str">
        <f>IFERROR(__xludf.DUMMYFUNCTION("GOOGLETRANSLATE(C138, ""en"", ""am"")"),"ሀ. ጥንታዊ የግድግዳ ሥዕሎች ለ. ሃይማኖታዊ የእጅ ጽሑፎች ሐ. ንጉሣዊ ድንጋጌዎች D. የተጓዥ መለያዎች")</f>
        <v>ሀ. ጥንታዊ የግድግዳ ሥዕሎች ለ. ሃይማኖታዊ የእጅ ጽሑፎች ሐ. ንጉሣዊ ድንጋጌዎች D. የተጓዥ መለያዎች</v>
      </c>
      <c r="J138" s="5" t="str">
        <f>IFERROR(__xludf.DUMMYFUNCTION("GOOGLETRANSLATE(D138, ""en"", ""am"")"),"ሃይማኖታዊ የእጅ ጽሑፎች")</f>
        <v>ሃይማኖታዊ የእጅ ጽሑፎች</v>
      </c>
      <c r="K138" s="5" t="str">
        <f>IFERROR(__xludf.DUMMYFUNCTION("GOOGLETRANSLATE(E138, ""en"", ""am"")"),"የሃይማኖታዊ የብራና ጽሑፎች በኢትዮጵያ ታሪክ ውስጥ ስለ ጌና ስፖርት ቀደምት ማጣቀሻዎችን ያካትታሉ።")</f>
        <v>የሃይማኖታዊ የብራና ጽሑፎች በኢትዮጵያ ታሪክ ውስጥ ስለ ጌና ስፖርት ቀደምት ማጣቀሻዎችን ያካትታሉ።</v>
      </c>
    </row>
    <row r="139" ht="22.5" customHeight="1">
      <c r="A139" s="3">
        <v>138.0</v>
      </c>
      <c r="B139" s="5" t="s">
        <v>505</v>
      </c>
      <c r="C139" s="4" t="s">
        <v>506</v>
      </c>
      <c r="D139" s="5" t="s">
        <v>63</v>
      </c>
      <c r="E139" s="5" t="s">
        <v>507</v>
      </c>
      <c r="G139" s="5" t="str">
        <f>IFERROR(__xludf.DUMMYFUNCTION("GOOGLETRANSLATE(A139, ""en"", ""am"")"),"138")</f>
        <v>138</v>
      </c>
      <c r="H139" s="5" t="str">
        <f>IFERROR(__xludf.DUMMYFUNCTION("GOOGLETRANSLATE(B139, ""en"", ""am"")"),"ጌና ስፖርት በታሪክ ውስጥ የሽማግሌዎች ሚና ምን ነበር?")</f>
        <v>ጌና ስፖርት በታሪክ ውስጥ የሽማግሌዎች ሚና ምን ነበር?</v>
      </c>
      <c r="I139" s="5" t="str">
        <f>IFERROR(__xludf.DUMMYFUNCTION("GOOGLETRANSLATE(C139, ""en"", ""am"")"),"ሀ. ጨዋታውን መምራት ለ. ፍትሃዊ ጨዋታን ማረጋገጥ ሐ. ሽምግልና አለመግባባቶችን መ. ከላይ ያሉት ሁሉም")</f>
        <v>ሀ. ጨዋታውን መምራት ለ. ፍትሃዊ ጨዋታን ማረጋገጥ ሐ. ሽምግልና አለመግባባቶችን መ. ከላይ ያሉት ሁሉም</v>
      </c>
      <c r="J139" s="5" t="str">
        <f>IFERROR(__xludf.DUMMYFUNCTION("GOOGLETRANSLATE(D139, ""en"", ""am"")"),"ከላይ ያሉት ሁሉም")</f>
        <v>ከላይ ያሉት ሁሉም</v>
      </c>
      <c r="K139" s="5" t="str">
        <f>IFERROR(__xludf.DUMMYFUNCTION("GOOGLETRANSLATE(E139, ""en"", ""am"")"),"በጌና ስፖርት ግጥሚያዎች ላይ ሽማግሌዎች ጨዋታዎችን መርተዋል፣ ፍትሃዊ ጨዋታን አረጋግጠዋል እና አለመግባባቶችን ፈትተዋል።")</f>
        <v>በጌና ስፖርት ግጥሚያዎች ላይ ሽማግሌዎች ጨዋታዎችን መርተዋል፣ ፍትሃዊ ጨዋታን አረጋግጠዋል እና አለመግባባቶችን ፈትተዋል።</v>
      </c>
    </row>
    <row r="140" ht="22.5" customHeight="1">
      <c r="A140" s="3">
        <v>139.0</v>
      </c>
      <c r="B140" s="5" t="s">
        <v>508</v>
      </c>
      <c r="C140" s="4" t="s">
        <v>509</v>
      </c>
      <c r="D140" s="5" t="s">
        <v>63</v>
      </c>
      <c r="E140" s="5" t="s">
        <v>510</v>
      </c>
      <c r="G140" s="5" t="str">
        <f>IFERROR(__xludf.DUMMYFUNCTION("GOOGLETRANSLATE(A140, ""en"", ""am"")"),"139")</f>
        <v>139</v>
      </c>
      <c r="H140" s="5" t="str">
        <f>IFERROR(__xludf.DUMMYFUNCTION("GOOGLETRANSLATE(B140, ""en"", ""am"")"),"ጌና ስፖርት በ20ኛው ክፍለ ዘመን በከተሞች አካባቢ እንዴት ተለወጠ?")</f>
        <v>ጌና ስፖርት በ20ኛው ክፍለ ዘመን በከተሞች አካባቢ እንዴት ተለወጠ?</v>
      </c>
      <c r="I140" s="5" t="str">
        <f>IFERROR(__xludf.DUMMYFUNCTION("GOOGLETRANSLATE(C140, ""en"", ""am"")"),"ሀ. የተስተካከሉ አዳዲስ ደንቦች ለ. መደበኛ ቡድኖች ሐ. የተደራጁ ውድድሮችን አስተናግዷል D. ሁሉም ከላይ ያሉት")</f>
        <v>ሀ. የተስተካከሉ አዳዲስ ደንቦች ለ. መደበኛ ቡድኖች ሐ. የተደራጁ ውድድሮችን አስተናግዷል D. ሁሉም ከላይ ያሉት</v>
      </c>
      <c r="J140" s="5" t="str">
        <f>IFERROR(__xludf.DUMMYFUNCTION("GOOGLETRANSLATE(D140, ""en"", ""am"")"),"ከላይ ያሉት ሁሉም")</f>
        <v>ከላይ ያሉት ሁሉም</v>
      </c>
      <c r="K140" s="5" t="str">
        <f>IFERROR(__xludf.DUMMYFUNCTION("GOOGLETRANSLATE(E140, ""en"", ""am"")"),"በከተሞች አካባቢ ጌና ስፖርት አዳዲስ ህጎችን፣ መደበኛ ቡድኖችን እና ውድድሮችን አዘጋጅቷል።")</f>
        <v>በከተሞች አካባቢ ጌና ስፖርት አዳዲስ ህጎችን፣ መደበኛ ቡድኖችን እና ውድድሮችን አዘጋጅቷል።</v>
      </c>
    </row>
    <row r="141" ht="22.5" customHeight="1">
      <c r="A141" s="3">
        <v>140.0</v>
      </c>
      <c r="B141" s="5" t="s">
        <v>511</v>
      </c>
      <c r="C141" s="4" t="s">
        <v>512</v>
      </c>
      <c r="D141" s="5" t="s">
        <v>513</v>
      </c>
      <c r="E141" s="5" t="s">
        <v>514</v>
      </c>
      <c r="G141" s="5" t="str">
        <f>IFERROR(__xludf.DUMMYFUNCTION("GOOGLETRANSLATE(A141, ""en"", ""am"")"),"140")</f>
        <v>140</v>
      </c>
      <c r="H141" s="5" t="str">
        <f>IFERROR(__xludf.DUMMYFUNCTION("GOOGLETRANSLATE(B141, ""en"", ""am"")"),"ከጌና ስፖርት ጋር ያለውን ግንኙነት የሚያሳየው የትኛው ታሪካዊ ኢትዮጵያዊ ቅርስ ነው?")</f>
        <v>ከጌና ስፖርት ጋር ያለውን ግንኙነት የሚያሳየው የትኛው ታሪካዊ ኢትዮጵያዊ ቅርስ ነው?</v>
      </c>
      <c r="I141" s="5" t="str">
        <f>IFERROR(__xludf.DUMMYFUNCTION("GOOGLETRANSLATE(C141, ""en"", ""am"")"),"ሀ. የተቀረጹ እንጨቶች ለ. የድንጋይ ጽላቶች ሐ. ጥንታዊ የግድግዳ ሥዕሎች D. የእንጨት ቅርጻ ቅርጾች")</f>
        <v>ሀ. የተቀረጹ እንጨቶች ለ. የድንጋይ ጽላቶች ሐ. ጥንታዊ የግድግዳ ሥዕሎች D. የእንጨት ቅርጻ ቅርጾች</v>
      </c>
      <c r="J141" s="5" t="str">
        <f>IFERROR(__xludf.DUMMYFUNCTION("GOOGLETRANSLATE(D141, ""en"", ""am"")"),"የጥንት ግድግዳዎች")</f>
        <v>የጥንት ግድግዳዎች</v>
      </c>
      <c r="K141" s="5" t="str">
        <f>IFERROR(__xludf.DUMMYFUNCTION("GOOGLETRANSLATE(E141, ""en"", ""am"")"),"በኢትዮጵያ ጥንታዊ ሥዕሎች የጌና ስፖርት እንቅስቃሴን የሚመስሉ ትዕይንቶችን ያሳያሉ።")</f>
        <v>በኢትዮጵያ ጥንታዊ ሥዕሎች የጌና ስፖርት እንቅስቃሴን የሚመስሉ ትዕይንቶችን ያሳያሉ።</v>
      </c>
    </row>
    <row r="142" ht="22.5" customHeight="1">
      <c r="A142" s="6"/>
      <c r="B142" s="6"/>
      <c r="C142" s="7"/>
      <c r="D142" s="6"/>
      <c r="E142" s="6"/>
    </row>
    <row r="143" ht="22.5" customHeight="1">
      <c r="A143" s="6"/>
      <c r="B143" s="6"/>
      <c r="C143" s="7"/>
      <c r="D143" s="6"/>
      <c r="E143" s="6"/>
    </row>
    <row r="144" ht="22.5" customHeight="1">
      <c r="A144" s="6"/>
      <c r="B144" s="6"/>
      <c r="C144" s="7"/>
      <c r="D144" s="6"/>
      <c r="E144" s="6"/>
    </row>
    <row r="145" ht="22.5" customHeight="1">
      <c r="A145" s="6"/>
      <c r="B145" s="6"/>
      <c r="C145" s="7"/>
      <c r="D145" s="6"/>
      <c r="E145" s="6"/>
    </row>
    <row r="146" ht="22.5" customHeight="1">
      <c r="A146" s="6"/>
      <c r="B146" s="6"/>
      <c r="C146" s="7"/>
      <c r="D146" s="6"/>
      <c r="E146" s="6"/>
    </row>
    <row r="147" ht="22.5" customHeight="1">
      <c r="A147" s="6"/>
      <c r="B147" s="6"/>
      <c r="C147" s="7"/>
      <c r="D147" s="6"/>
      <c r="E147" s="6"/>
    </row>
    <row r="148" ht="22.5" customHeight="1">
      <c r="A148" s="6"/>
      <c r="B148" s="6"/>
      <c r="C148" s="7"/>
      <c r="D148" s="6"/>
      <c r="E148" s="6"/>
    </row>
    <row r="149" ht="22.5" customHeight="1">
      <c r="A149" s="6"/>
      <c r="B149" s="6"/>
      <c r="C149" s="7"/>
      <c r="D149" s="6"/>
      <c r="E149" s="6"/>
    </row>
    <row r="150" ht="22.5" customHeight="1">
      <c r="A150" s="6"/>
      <c r="B150" s="6"/>
      <c r="C150" s="7"/>
      <c r="D150" s="6"/>
      <c r="E150" s="6"/>
    </row>
    <row r="151" ht="22.5" customHeight="1">
      <c r="A151" s="6"/>
      <c r="B151" s="6"/>
      <c r="C151" s="7"/>
      <c r="D151" s="6"/>
      <c r="E151" s="6"/>
    </row>
    <row r="152" ht="22.5" customHeight="1">
      <c r="A152" s="6"/>
      <c r="B152" s="6"/>
      <c r="C152" s="7"/>
      <c r="D152" s="6"/>
      <c r="E152" s="6"/>
    </row>
    <row r="153" ht="22.5" customHeight="1">
      <c r="A153" s="6"/>
      <c r="B153" s="6"/>
      <c r="C153" s="7"/>
      <c r="D153" s="6"/>
      <c r="E153" s="6"/>
    </row>
    <row r="154" ht="22.5" customHeight="1">
      <c r="A154" s="6"/>
      <c r="B154" s="6"/>
      <c r="C154" s="7"/>
      <c r="D154" s="6"/>
      <c r="E154" s="6"/>
    </row>
    <row r="155" ht="22.5" customHeight="1">
      <c r="A155" s="6"/>
      <c r="B155" s="6"/>
      <c r="C155" s="7"/>
      <c r="D155" s="6"/>
      <c r="E155" s="6"/>
    </row>
    <row r="156" ht="22.5" customHeight="1">
      <c r="A156" s="6"/>
      <c r="B156" s="6"/>
      <c r="C156" s="7"/>
      <c r="D156" s="6"/>
      <c r="E156" s="6"/>
    </row>
    <row r="157" ht="22.5" customHeight="1">
      <c r="A157" s="6"/>
      <c r="B157" s="6"/>
      <c r="C157" s="7"/>
      <c r="D157" s="6"/>
      <c r="E157" s="6"/>
    </row>
    <row r="158" ht="22.5" customHeight="1">
      <c r="A158" s="6"/>
      <c r="B158" s="6"/>
      <c r="C158" s="7"/>
      <c r="D158" s="6"/>
      <c r="E158" s="6"/>
    </row>
    <row r="159" ht="22.5" customHeight="1">
      <c r="A159" s="6"/>
      <c r="B159" s="6"/>
      <c r="C159" s="7"/>
      <c r="D159" s="6"/>
      <c r="E159" s="6"/>
    </row>
    <row r="160" ht="22.5" customHeight="1">
      <c r="A160" s="6"/>
      <c r="B160" s="6"/>
      <c r="C160" s="7"/>
      <c r="D160" s="6"/>
      <c r="E160" s="6"/>
    </row>
    <row r="161" ht="22.5" customHeight="1">
      <c r="A161" s="6"/>
      <c r="B161" s="6"/>
      <c r="C161" s="7"/>
      <c r="D161" s="6"/>
      <c r="E161" s="6"/>
    </row>
    <row r="162" ht="22.5" customHeight="1">
      <c r="A162" s="6"/>
      <c r="B162" s="6"/>
      <c r="C162" s="7"/>
      <c r="D162" s="6"/>
      <c r="E162" s="6"/>
    </row>
    <row r="163" ht="22.5" customHeight="1">
      <c r="A163" s="6"/>
      <c r="B163" s="6"/>
      <c r="C163" s="7"/>
      <c r="D163" s="6"/>
      <c r="E163" s="6"/>
    </row>
    <row r="164" ht="22.5" customHeight="1">
      <c r="A164" s="6"/>
      <c r="B164" s="6"/>
      <c r="C164" s="7"/>
      <c r="D164" s="6"/>
      <c r="E164" s="6"/>
    </row>
    <row r="165" ht="22.5" customHeight="1">
      <c r="A165" s="6"/>
      <c r="B165" s="6"/>
      <c r="C165" s="7"/>
      <c r="D165" s="6"/>
      <c r="E165" s="6"/>
    </row>
    <row r="166" ht="22.5" customHeight="1">
      <c r="A166" s="6"/>
      <c r="B166" s="6"/>
      <c r="C166" s="7"/>
      <c r="D166" s="6"/>
      <c r="E166" s="6"/>
    </row>
    <row r="167" ht="22.5" customHeight="1">
      <c r="A167" s="6"/>
      <c r="B167" s="6"/>
      <c r="C167" s="7"/>
      <c r="D167" s="6"/>
      <c r="E167" s="6"/>
    </row>
    <row r="168" ht="22.5" customHeight="1">
      <c r="A168" s="6"/>
      <c r="B168" s="6"/>
      <c r="C168" s="7"/>
      <c r="D168" s="6"/>
      <c r="E168" s="6"/>
    </row>
    <row r="169" ht="22.5" customHeight="1">
      <c r="A169" s="6"/>
      <c r="B169" s="6"/>
      <c r="C169" s="7"/>
      <c r="D169" s="6"/>
      <c r="E169" s="6"/>
    </row>
    <row r="170" ht="22.5" customHeight="1">
      <c r="A170" s="6"/>
      <c r="B170" s="6"/>
      <c r="C170" s="7"/>
      <c r="D170" s="6"/>
      <c r="E170" s="6"/>
    </row>
    <row r="171" ht="22.5" customHeight="1">
      <c r="A171" s="6"/>
      <c r="B171" s="6"/>
      <c r="C171" s="7"/>
      <c r="D171" s="6"/>
      <c r="E171" s="6"/>
    </row>
    <row r="172" ht="22.5" customHeight="1">
      <c r="A172" s="6"/>
      <c r="B172" s="6"/>
      <c r="C172" s="7"/>
      <c r="D172" s="6"/>
      <c r="E172" s="6"/>
    </row>
    <row r="173" ht="22.5" customHeight="1">
      <c r="A173" s="6"/>
      <c r="B173" s="6"/>
      <c r="C173" s="7"/>
      <c r="D173" s="6"/>
      <c r="E173" s="6"/>
    </row>
    <row r="174" ht="22.5" customHeight="1">
      <c r="A174" s="6"/>
      <c r="B174" s="6"/>
      <c r="C174" s="7"/>
      <c r="D174" s="6"/>
      <c r="E174" s="6"/>
    </row>
    <row r="175" ht="22.5" customHeight="1">
      <c r="A175" s="6"/>
      <c r="B175" s="6"/>
      <c r="C175" s="7"/>
      <c r="D175" s="6"/>
      <c r="E175" s="6"/>
    </row>
    <row r="176" ht="22.5" customHeight="1">
      <c r="A176" s="6"/>
      <c r="B176" s="6"/>
      <c r="C176" s="7"/>
      <c r="D176" s="6"/>
      <c r="E176" s="6"/>
    </row>
    <row r="177" ht="22.5" customHeight="1">
      <c r="A177" s="6"/>
      <c r="B177" s="6"/>
      <c r="C177" s="7"/>
      <c r="D177" s="6"/>
      <c r="E177" s="6"/>
    </row>
    <row r="178" ht="22.5" customHeight="1">
      <c r="A178" s="6"/>
      <c r="B178" s="6"/>
      <c r="C178" s="7"/>
      <c r="D178" s="6"/>
      <c r="E178" s="6"/>
    </row>
    <row r="179" ht="22.5" customHeight="1">
      <c r="A179" s="6"/>
      <c r="B179" s="6"/>
      <c r="C179" s="7"/>
      <c r="D179" s="6"/>
      <c r="E179" s="6"/>
    </row>
    <row r="180" ht="22.5" customHeight="1">
      <c r="A180" s="6"/>
      <c r="B180" s="6"/>
      <c r="C180" s="7"/>
      <c r="D180" s="6"/>
      <c r="E180" s="6"/>
    </row>
    <row r="181" ht="22.5" customHeight="1">
      <c r="A181" s="6"/>
      <c r="B181" s="6"/>
      <c r="C181" s="7"/>
      <c r="D181" s="6"/>
      <c r="E181" s="6"/>
    </row>
    <row r="182" ht="22.5" customHeight="1">
      <c r="A182" s="6"/>
      <c r="B182" s="6"/>
      <c r="C182" s="7"/>
      <c r="D182" s="6"/>
      <c r="E182" s="6"/>
    </row>
    <row r="183" ht="22.5" customHeight="1">
      <c r="A183" s="6"/>
      <c r="B183" s="6"/>
      <c r="C183" s="7"/>
      <c r="D183" s="6"/>
      <c r="E183" s="6"/>
    </row>
    <row r="184" ht="22.5" customHeight="1">
      <c r="A184" s="6"/>
      <c r="B184" s="6"/>
      <c r="C184" s="7"/>
      <c r="D184" s="6"/>
      <c r="E184" s="6"/>
    </row>
    <row r="185" ht="22.5" customHeight="1">
      <c r="A185" s="6"/>
      <c r="B185" s="6"/>
      <c r="C185" s="7"/>
      <c r="D185" s="6"/>
      <c r="E185" s="6"/>
    </row>
    <row r="186" ht="22.5" customHeight="1">
      <c r="A186" s="6"/>
      <c r="B186" s="6"/>
      <c r="C186" s="7"/>
      <c r="D186" s="6"/>
      <c r="E186" s="6"/>
    </row>
    <row r="187" ht="22.5" customHeight="1">
      <c r="A187" s="6"/>
      <c r="B187" s="6"/>
      <c r="C187" s="7"/>
      <c r="D187" s="6"/>
      <c r="E187" s="6"/>
    </row>
    <row r="188" ht="22.5" customHeight="1">
      <c r="A188" s="6"/>
      <c r="B188" s="6"/>
      <c r="C188" s="7"/>
      <c r="D188" s="6"/>
      <c r="E188" s="6"/>
    </row>
    <row r="189" ht="22.5" customHeight="1">
      <c r="A189" s="6"/>
      <c r="B189" s="6"/>
      <c r="C189" s="7"/>
      <c r="D189" s="6"/>
      <c r="E189" s="6"/>
    </row>
    <row r="190" ht="22.5" customHeight="1">
      <c r="A190" s="6"/>
      <c r="B190" s="6"/>
      <c r="C190" s="7"/>
      <c r="D190" s="6"/>
      <c r="E190" s="6"/>
    </row>
    <row r="191" ht="22.5" customHeight="1">
      <c r="A191" s="6"/>
      <c r="B191" s="6"/>
      <c r="C191" s="7"/>
      <c r="D191" s="6"/>
      <c r="E191" s="6"/>
    </row>
    <row r="192" ht="22.5" customHeight="1">
      <c r="A192" s="6"/>
      <c r="B192" s="6"/>
      <c r="C192" s="7"/>
      <c r="D192" s="6"/>
      <c r="E192" s="6"/>
    </row>
    <row r="193" ht="22.5" customHeight="1">
      <c r="A193" s="6"/>
      <c r="B193" s="6"/>
      <c r="C193" s="7"/>
      <c r="D193" s="6"/>
      <c r="E193" s="6"/>
    </row>
    <row r="194" ht="22.5" customHeight="1">
      <c r="A194" s="6"/>
      <c r="B194" s="6"/>
      <c r="C194" s="7"/>
      <c r="D194" s="6"/>
      <c r="E194" s="6"/>
    </row>
    <row r="195" ht="22.5" customHeight="1">
      <c r="A195" s="6"/>
      <c r="B195" s="6"/>
      <c r="C195" s="7"/>
      <c r="D195" s="6"/>
      <c r="E195" s="6"/>
    </row>
    <row r="196" ht="22.5" customHeight="1">
      <c r="A196" s="6"/>
      <c r="B196" s="6"/>
      <c r="C196" s="7"/>
      <c r="D196" s="6"/>
      <c r="E196" s="6"/>
    </row>
    <row r="197" ht="22.5" customHeight="1">
      <c r="A197" s="6"/>
      <c r="B197" s="6"/>
      <c r="C197" s="7"/>
      <c r="D197" s="6"/>
      <c r="E197" s="6"/>
    </row>
    <row r="198" ht="22.5" customHeight="1">
      <c r="A198" s="6"/>
      <c r="B198" s="6"/>
      <c r="C198" s="7"/>
      <c r="D198" s="6"/>
      <c r="E198" s="6"/>
    </row>
    <row r="199" ht="22.5" customHeight="1">
      <c r="A199" s="6"/>
      <c r="B199" s="6"/>
      <c r="C199" s="7"/>
      <c r="D199" s="6"/>
      <c r="E199" s="6"/>
    </row>
    <row r="200" ht="22.5" customHeight="1">
      <c r="A200" s="6"/>
      <c r="B200" s="6"/>
      <c r="C200" s="7"/>
      <c r="D200" s="6"/>
      <c r="E200" s="6"/>
    </row>
    <row r="201" ht="22.5" customHeight="1">
      <c r="A201" s="6"/>
      <c r="B201" s="6"/>
      <c r="C201" s="7"/>
      <c r="D201" s="6"/>
      <c r="E201" s="6"/>
    </row>
    <row r="202" ht="22.5" customHeight="1">
      <c r="A202" s="6"/>
      <c r="B202" s="6"/>
      <c r="C202" s="7"/>
      <c r="D202" s="6"/>
      <c r="E202" s="6"/>
    </row>
    <row r="203" ht="22.5" customHeight="1">
      <c r="A203" s="6"/>
      <c r="B203" s="6"/>
      <c r="C203" s="7"/>
      <c r="D203" s="6"/>
      <c r="E203" s="6"/>
    </row>
    <row r="204" ht="22.5" customHeight="1">
      <c r="A204" s="6"/>
      <c r="B204" s="6"/>
      <c r="C204" s="7"/>
      <c r="D204" s="6"/>
      <c r="E204" s="6"/>
    </row>
    <row r="205" ht="22.5" customHeight="1">
      <c r="A205" s="6"/>
      <c r="B205" s="6"/>
      <c r="C205" s="7"/>
      <c r="D205" s="6"/>
      <c r="E205" s="6"/>
    </row>
    <row r="206" ht="22.5" customHeight="1">
      <c r="A206" s="6"/>
      <c r="B206" s="6"/>
      <c r="C206" s="7"/>
      <c r="D206" s="6"/>
      <c r="E206" s="6"/>
    </row>
    <row r="207" ht="22.5" customHeight="1">
      <c r="A207" s="6"/>
      <c r="B207" s="6"/>
      <c r="C207" s="7"/>
      <c r="D207" s="6"/>
      <c r="E207" s="6"/>
    </row>
    <row r="208" ht="22.5" customHeight="1">
      <c r="A208" s="6"/>
      <c r="B208" s="6"/>
      <c r="C208" s="7"/>
      <c r="D208" s="6"/>
      <c r="E208" s="6"/>
    </row>
    <row r="209" ht="22.5" customHeight="1">
      <c r="A209" s="6"/>
      <c r="B209" s="6"/>
      <c r="C209" s="7"/>
      <c r="D209" s="6"/>
      <c r="E209" s="6"/>
    </row>
    <row r="210" ht="22.5" customHeight="1">
      <c r="A210" s="6"/>
      <c r="B210" s="6"/>
      <c r="C210" s="7"/>
      <c r="D210" s="6"/>
      <c r="E210" s="6"/>
    </row>
    <row r="211" ht="22.5" customHeight="1">
      <c r="A211" s="6"/>
      <c r="B211" s="6"/>
      <c r="C211" s="7"/>
      <c r="D211" s="6"/>
      <c r="E211" s="6"/>
    </row>
    <row r="212" ht="22.5" customHeight="1">
      <c r="A212" s="6"/>
      <c r="B212" s="6"/>
      <c r="C212" s="7"/>
      <c r="D212" s="6"/>
      <c r="E212" s="6"/>
    </row>
    <row r="213" ht="22.5" customHeight="1">
      <c r="A213" s="6"/>
      <c r="B213" s="6"/>
      <c r="C213" s="7"/>
      <c r="D213" s="6"/>
      <c r="E213" s="6"/>
    </row>
    <row r="214" ht="22.5" customHeight="1">
      <c r="A214" s="6"/>
      <c r="B214" s="6"/>
      <c r="C214" s="7"/>
      <c r="D214" s="6"/>
      <c r="E214" s="6"/>
    </row>
    <row r="215" ht="22.5" customHeight="1">
      <c r="A215" s="6"/>
      <c r="B215" s="6"/>
      <c r="C215" s="7"/>
      <c r="D215" s="6"/>
      <c r="E215" s="6"/>
    </row>
    <row r="216" ht="22.5" customHeight="1">
      <c r="A216" s="6"/>
      <c r="B216" s="6"/>
      <c r="C216" s="7"/>
      <c r="D216" s="6"/>
      <c r="E216" s="6"/>
    </row>
    <row r="217" ht="22.5" customHeight="1">
      <c r="A217" s="6"/>
      <c r="B217" s="6"/>
      <c r="C217" s="7"/>
      <c r="D217" s="6"/>
      <c r="E217" s="6"/>
    </row>
    <row r="218" ht="22.5" customHeight="1">
      <c r="A218" s="6"/>
      <c r="B218" s="6"/>
      <c r="C218" s="7"/>
      <c r="D218" s="6"/>
      <c r="E218" s="6"/>
    </row>
    <row r="219" ht="22.5" customHeight="1">
      <c r="A219" s="6"/>
      <c r="B219" s="6"/>
      <c r="C219" s="7"/>
      <c r="D219" s="6"/>
      <c r="E219" s="6"/>
    </row>
    <row r="220" ht="22.5" customHeight="1">
      <c r="A220" s="6"/>
      <c r="B220" s="6"/>
      <c r="C220" s="7"/>
      <c r="D220" s="6"/>
      <c r="E220" s="6"/>
    </row>
    <row r="221" ht="22.5" customHeight="1">
      <c r="A221" s="6"/>
      <c r="B221" s="6"/>
      <c r="C221" s="7"/>
      <c r="D221" s="6"/>
      <c r="E221" s="6"/>
    </row>
    <row r="222" ht="22.5" customHeight="1">
      <c r="A222" s="6"/>
      <c r="B222" s="6"/>
      <c r="C222" s="7"/>
      <c r="D222" s="6"/>
      <c r="E222" s="6"/>
    </row>
    <row r="223" ht="22.5" customHeight="1">
      <c r="A223" s="6"/>
      <c r="B223" s="6"/>
      <c r="C223" s="7"/>
      <c r="D223" s="6"/>
      <c r="E223" s="6"/>
    </row>
    <row r="224" ht="22.5" customHeight="1">
      <c r="A224" s="6"/>
      <c r="B224" s="6"/>
      <c r="C224" s="7"/>
      <c r="D224" s="6"/>
      <c r="E224" s="6"/>
    </row>
    <row r="225" ht="22.5" customHeight="1">
      <c r="A225" s="6"/>
      <c r="B225" s="6"/>
      <c r="C225" s="7"/>
      <c r="D225" s="6"/>
      <c r="E225" s="6"/>
    </row>
    <row r="226" ht="22.5" customHeight="1">
      <c r="A226" s="6"/>
      <c r="B226" s="6"/>
      <c r="C226" s="7"/>
      <c r="D226" s="6"/>
      <c r="E226" s="6"/>
    </row>
    <row r="227" ht="22.5" customHeight="1">
      <c r="A227" s="6"/>
      <c r="B227" s="6"/>
      <c r="C227" s="7"/>
      <c r="D227" s="6"/>
      <c r="E227" s="6"/>
    </row>
    <row r="228" ht="22.5" customHeight="1">
      <c r="A228" s="6"/>
      <c r="B228" s="6"/>
      <c r="C228" s="7"/>
      <c r="D228" s="6"/>
      <c r="E228" s="6"/>
    </row>
    <row r="229" ht="22.5" customHeight="1">
      <c r="A229" s="6"/>
      <c r="B229" s="6"/>
      <c r="C229" s="7"/>
      <c r="D229" s="6"/>
      <c r="E229" s="6"/>
    </row>
    <row r="230" ht="22.5" customHeight="1">
      <c r="A230" s="6"/>
      <c r="B230" s="6"/>
      <c r="C230" s="7"/>
      <c r="D230" s="6"/>
      <c r="E230" s="6"/>
    </row>
    <row r="231" ht="22.5" customHeight="1">
      <c r="A231" s="6"/>
      <c r="B231" s="6"/>
      <c r="C231" s="7"/>
      <c r="D231" s="6"/>
      <c r="E231" s="6"/>
    </row>
    <row r="232" ht="22.5" customHeight="1">
      <c r="A232" s="6"/>
      <c r="B232" s="6"/>
      <c r="C232" s="7"/>
      <c r="D232" s="6"/>
      <c r="E232" s="6"/>
    </row>
    <row r="233" ht="22.5" customHeight="1">
      <c r="A233" s="6"/>
      <c r="B233" s="6"/>
      <c r="C233" s="7"/>
      <c r="D233" s="6"/>
      <c r="E233" s="6"/>
    </row>
    <row r="234" ht="22.5" customHeight="1">
      <c r="A234" s="6"/>
      <c r="B234" s="6"/>
      <c r="C234" s="7"/>
      <c r="D234" s="6"/>
      <c r="E234" s="6"/>
    </row>
    <row r="235" ht="22.5" customHeight="1">
      <c r="A235" s="6"/>
      <c r="B235" s="6"/>
      <c r="C235" s="7"/>
      <c r="D235" s="6"/>
      <c r="E235" s="6"/>
    </row>
    <row r="236" ht="22.5" customHeight="1">
      <c r="A236" s="6"/>
      <c r="B236" s="6"/>
      <c r="C236" s="7"/>
      <c r="D236" s="6"/>
      <c r="E236" s="6"/>
    </row>
    <row r="237" ht="22.5" customHeight="1">
      <c r="A237" s="6"/>
      <c r="B237" s="6"/>
      <c r="C237" s="7"/>
      <c r="D237" s="6"/>
      <c r="E237" s="6"/>
    </row>
    <row r="238" ht="22.5" customHeight="1">
      <c r="A238" s="6"/>
      <c r="B238" s="6"/>
      <c r="C238" s="7"/>
      <c r="D238" s="6"/>
      <c r="E238" s="6"/>
    </row>
    <row r="239" ht="22.5" customHeight="1">
      <c r="A239" s="6"/>
      <c r="B239" s="6"/>
      <c r="C239" s="7"/>
      <c r="D239" s="6"/>
      <c r="E239" s="6"/>
    </row>
    <row r="240" ht="22.5" customHeight="1">
      <c r="A240" s="6"/>
      <c r="B240" s="6"/>
      <c r="C240" s="7"/>
      <c r="D240" s="6"/>
      <c r="E240" s="6"/>
    </row>
    <row r="241" ht="22.5" customHeight="1">
      <c r="A241" s="6"/>
      <c r="B241" s="6"/>
      <c r="C241" s="7"/>
      <c r="D241" s="6"/>
      <c r="E241" s="6"/>
    </row>
    <row r="242" ht="22.5" customHeight="1">
      <c r="A242" s="6"/>
      <c r="B242" s="6"/>
      <c r="C242" s="7"/>
      <c r="D242" s="6"/>
      <c r="E242" s="6"/>
    </row>
    <row r="243" ht="22.5" customHeight="1">
      <c r="A243" s="6"/>
      <c r="B243" s="6"/>
      <c r="C243" s="7"/>
      <c r="D243" s="6"/>
      <c r="E243" s="6"/>
    </row>
    <row r="244" ht="22.5" customHeight="1">
      <c r="A244" s="6"/>
      <c r="B244" s="6"/>
      <c r="C244" s="7"/>
      <c r="D244" s="6"/>
      <c r="E244" s="6"/>
    </row>
    <row r="245" ht="22.5" customHeight="1">
      <c r="A245" s="6"/>
      <c r="B245" s="6"/>
      <c r="C245" s="7"/>
      <c r="D245" s="6"/>
      <c r="E245" s="6"/>
    </row>
    <row r="246" ht="22.5" customHeight="1">
      <c r="A246" s="6"/>
      <c r="B246" s="6"/>
      <c r="C246" s="7"/>
      <c r="D246" s="6"/>
      <c r="E246" s="6"/>
    </row>
    <row r="247" ht="22.5" customHeight="1">
      <c r="A247" s="6"/>
      <c r="B247" s="6"/>
      <c r="C247" s="7"/>
      <c r="D247" s="6"/>
      <c r="E247" s="6"/>
    </row>
    <row r="248" ht="22.5" customHeight="1">
      <c r="A248" s="6"/>
      <c r="B248" s="6"/>
      <c r="C248" s="7"/>
      <c r="D248" s="6"/>
      <c r="E248" s="6"/>
    </row>
    <row r="249" ht="22.5" customHeight="1">
      <c r="A249" s="6"/>
      <c r="B249" s="6"/>
      <c r="C249" s="7"/>
      <c r="D249" s="6"/>
      <c r="E249" s="6"/>
    </row>
    <row r="250" ht="22.5" customHeight="1">
      <c r="A250" s="6"/>
      <c r="B250" s="6"/>
      <c r="C250" s="7"/>
      <c r="D250" s="6"/>
      <c r="E250" s="6"/>
    </row>
    <row r="251" ht="22.5" customHeight="1">
      <c r="A251" s="6"/>
      <c r="B251" s="6"/>
      <c r="C251" s="7"/>
      <c r="D251" s="6"/>
      <c r="E251" s="6"/>
    </row>
    <row r="252" ht="22.5" customHeight="1">
      <c r="A252" s="6"/>
      <c r="B252" s="6"/>
      <c r="C252" s="7"/>
      <c r="D252" s="6"/>
      <c r="E252" s="6"/>
    </row>
    <row r="253" ht="22.5" customHeight="1">
      <c r="A253" s="6"/>
      <c r="B253" s="6"/>
      <c r="C253" s="7"/>
      <c r="D253" s="6"/>
      <c r="E253" s="6"/>
    </row>
    <row r="254" ht="22.5" customHeight="1">
      <c r="A254" s="6"/>
      <c r="B254" s="6"/>
      <c r="C254" s="7"/>
      <c r="D254" s="6"/>
      <c r="E254" s="6"/>
    </row>
    <row r="255" ht="22.5" customHeight="1">
      <c r="A255" s="6"/>
      <c r="B255" s="6"/>
      <c r="C255" s="7"/>
      <c r="D255" s="6"/>
      <c r="E255" s="6"/>
    </row>
    <row r="256" ht="22.5" customHeight="1">
      <c r="A256" s="6"/>
      <c r="B256" s="6"/>
      <c r="C256" s="7"/>
      <c r="D256" s="6"/>
      <c r="E256" s="6"/>
    </row>
    <row r="257" ht="22.5" customHeight="1">
      <c r="A257" s="6"/>
      <c r="B257" s="6"/>
      <c r="C257" s="7"/>
      <c r="D257" s="6"/>
      <c r="E257" s="6"/>
    </row>
    <row r="258" ht="22.5" customHeight="1">
      <c r="A258" s="6"/>
      <c r="B258" s="6"/>
      <c r="C258" s="7"/>
      <c r="D258" s="6"/>
      <c r="E258" s="6"/>
    </row>
    <row r="259" ht="22.5" customHeight="1">
      <c r="A259" s="6"/>
      <c r="B259" s="6"/>
      <c r="C259" s="7"/>
      <c r="D259" s="6"/>
      <c r="E259" s="6"/>
    </row>
    <row r="260" ht="22.5" customHeight="1">
      <c r="A260" s="6"/>
      <c r="B260" s="6"/>
      <c r="C260" s="7"/>
      <c r="D260" s="6"/>
      <c r="E260" s="6"/>
    </row>
    <row r="261" ht="22.5" customHeight="1">
      <c r="A261" s="6"/>
      <c r="B261" s="6"/>
      <c r="C261" s="7"/>
      <c r="D261" s="6"/>
      <c r="E261" s="6"/>
    </row>
    <row r="262" ht="22.5" customHeight="1">
      <c r="A262" s="6"/>
      <c r="B262" s="6"/>
      <c r="C262" s="7"/>
      <c r="D262" s="6"/>
      <c r="E262" s="6"/>
    </row>
    <row r="263" ht="22.5" customHeight="1">
      <c r="A263" s="6"/>
      <c r="B263" s="6"/>
      <c r="C263" s="7"/>
      <c r="D263" s="6"/>
      <c r="E263" s="6"/>
    </row>
    <row r="264" ht="22.5" customHeight="1">
      <c r="A264" s="6"/>
      <c r="B264" s="6"/>
      <c r="C264" s="7"/>
      <c r="D264" s="6"/>
      <c r="E264" s="6"/>
    </row>
    <row r="265" ht="22.5" customHeight="1">
      <c r="A265" s="6"/>
      <c r="B265" s="6"/>
      <c r="C265" s="7"/>
      <c r="D265" s="6"/>
      <c r="E265" s="6"/>
    </row>
    <row r="266" ht="22.5" customHeight="1">
      <c r="A266" s="6"/>
      <c r="B266" s="6"/>
      <c r="C266" s="7"/>
      <c r="D266" s="6"/>
      <c r="E266" s="6"/>
    </row>
    <row r="267" ht="22.5" customHeight="1">
      <c r="A267" s="6"/>
      <c r="B267" s="6"/>
      <c r="C267" s="7"/>
      <c r="D267" s="6"/>
      <c r="E267" s="6"/>
    </row>
    <row r="268" ht="22.5" customHeight="1">
      <c r="A268" s="6"/>
      <c r="B268" s="6"/>
      <c r="C268" s="7"/>
      <c r="D268" s="6"/>
      <c r="E268" s="6"/>
    </row>
    <row r="269" ht="22.5" customHeight="1">
      <c r="A269" s="6"/>
      <c r="B269" s="6"/>
      <c r="C269" s="7"/>
      <c r="D269" s="6"/>
      <c r="E269" s="6"/>
    </row>
    <row r="270" ht="22.5" customHeight="1">
      <c r="A270" s="6"/>
      <c r="B270" s="6"/>
      <c r="C270" s="7"/>
      <c r="D270" s="6"/>
      <c r="E270" s="6"/>
    </row>
    <row r="271" ht="22.5" customHeight="1">
      <c r="A271" s="6"/>
      <c r="B271" s="6"/>
      <c r="C271" s="7"/>
      <c r="D271" s="6"/>
      <c r="E271" s="6"/>
    </row>
    <row r="272" ht="22.5" customHeight="1">
      <c r="A272" s="6"/>
      <c r="B272" s="6"/>
      <c r="C272" s="7"/>
      <c r="D272" s="6"/>
      <c r="E272" s="6"/>
    </row>
    <row r="273" ht="22.5" customHeight="1">
      <c r="A273" s="6"/>
      <c r="B273" s="6"/>
      <c r="C273" s="7"/>
      <c r="D273" s="6"/>
      <c r="E273" s="6"/>
    </row>
    <row r="274" ht="22.5" customHeight="1">
      <c r="A274" s="6"/>
      <c r="B274" s="6"/>
      <c r="C274" s="7"/>
      <c r="D274" s="6"/>
      <c r="E274" s="6"/>
    </row>
    <row r="275" ht="22.5" customHeight="1">
      <c r="A275" s="6"/>
      <c r="B275" s="6"/>
      <c r="C275" s="7"/>
      <c r="D275" s="6"/>
      <c r="E275" s="6"/>
    </row>
    <row r="276" ht="22.5" customHeight="1">
      <c r="A276" s="6"/>
      <c r="B276" s="6"/>
      <c r="C276" s="7"/>
      <c r="D276" s="6"/>
      <c r="E276" s="6"/>
    </row>
    <row r="277" ht="22.5" customHeight="1">
      <c r="A277" s="6"/>
      <c r="B277" s="6"/>
      <c r="C277" s="7"/>
      <c r="D277" s="6"/>
      <c r="E277" s="6"/>
    </row>
    <row r="278" ht="22.5" customHeight="1">
      <c r="A278" s="6"/>
      <c r="B278" s="6"/>
      <c r="C278" s="7"/>
      <c r="D278" s="6"/>
      <c r="E278" s="6"/>
    </row>
    <row r="279" ht="22.5" customHeight="1">
      <c r="A279" s="6"/>
      <c r="B279" s="6"/>
      <c r="C279" s="7"/>
      <c r="D279" s="6"/>
      <c r="E279" s="6"/>
    </row>
    <row r="280" ht="22.5" customHeight="1">
      <c r="A280" s="6"/>
      <c r="B280" s="6"/>
      <c r="C280" s="7"/>
      <c r="D280" s="6"/>
      <c r="E280" s="6"/>
    </row>
    <row r="281" ht="22.5" customHeight="1">
      <c r="A281" s="6"/>
      <c r="B281" s="6"/>
      <c r="C281" s="7"/>
      <c r="D281" s="6"/>
      <c r="E281" s="6"/>
    </row>
    <row r="282" ht="22.5" customHeight="1">
      <c r="A282" s="6"/>
      <c r="B282" s="6"/>
      <c r="C282" s="7"/>
      <c r="D282" s="6"/>
      <c r="E282" s="6"/>
    </row>
    <row r="283" ht="22.5" customHeight="1">
      <c r="A283" s="6"/>
      <c r="B283" s="6"/>
      <c r="C283" s="7"/>
      <c r="D283" s="6"/>
      <c r="E283" s="6"/>
    </row>
    <row r="284" ht="22.5" customHeight="1">
      <c r="A284" s="6"/>
      <c r="B284" s="6"/>
      <c r="C284" s="7"/>
      <c r="D284" s="6"/>
      <c r="E284" s="6"/>
    </row>
    <row r="285" ht="22.5" customHeight="1">
      <c r="A285" s="6"/>
      <c r="B285" s="6"/>
      <c r="C285" s="7"/>
      <c r="D285" s="6"/>
      <c r="E285" s="6"/>
    </row>
    <row r="286" ht="22.5" customHeight="1">
      <c r="A286" s="6"/>
      <c r="B286" s="6"/>
      <c r="C286" s="7"/>
      <c r="D286" s="6"/>
      <c r="E286" s="6"/>
    </row>
    <row r="287" ht="22.5" customHeight="1">
      <c r="A287" s="6"/>
      <c r="B287" s="6"/>
      <c r="C287" s="7"/>
      <c r="D287" s="6"/>
      <c r="E287" s="6"/>
    </row>
    <row r="288" ht="22.5" customHeight="1">
      <c r="A288" s="6"/>
      <c r="B288" s="6"/>
      <c r="C288" s="7"/>
      <c r="D288" s="6"/>
      <c r="E288" s="6"/>
    </row>
    <row r="289" ht="22.5" customHeight="1">
      <c r="A289" s="6"/>
      <c r="B289" s="6"/>
      <c r="C289" s="7"/>
      <c r="D289" s="6"/>
      <c r="E289" s="6"/>
    </row>
    <row r="290" ht="22.5" customHeight="1">
      <c r="A290" s="6"/>
      <c r="B290" s="6"/>
      <c r="C290" s="7"/>
      <c r="D290" s="6"/>
      <c r="E290" s="6"/>
    </row>
    <row r="291" ht="22.5" customHeight="1">
      <c r="A291" s="6"/>
      <c r="B291" s="6"/>
      <c r="C291" s="7"/>
      <c r="D291" s="6"/>
      <c r="E291" s="6"/>
    </row>
    <row r="292" ht="22.5" customHeight="1">
      <c r="A292" s="6"/>
      <c r="B292" s="6"/>
      <c r="C292" s="7"/>
      <c r="D292" s="6"/>
      <c r="E292" s="6"/>
    </row>
    <row r="293" ht="22.5" customHeight="1">
      <c r="A293" s="6"/>
      <c r="B293" s="6"/>
      <c r="C293" s="7"/>
      <c r="D293" s="6"/>
      <c r="E293" s="6"/>
    </row>
    <row r="294" ht="22.5" customHeight="1">
      <c r="A294" s="6"/>
      <c r="B294" s="6"/>
      <c r="C294" s="7"/>
      <c r="D294" s="6"/>
      <c r="E294" s="6"/>
    </row>
    <row r="295" ht="22.5" customHeight="1">
      <c r="A295" s="6"/>
      <c r="B295" s="6"/>
      <c r="C295" s="7"/>
      <c r="D295" s="6"/>
      <c r="E295" s="6"/>
    </row>
    <row r="296" ht="22.5" customHeight="1">
      <c r="A296" s="6"/>
      <c r="B296" s="6"/>
      <c r="C296" s="7"/>
      <c r="D296" s="6"/>
      <c r="E296" s="6"/>
    </row>
    <row r="297" ht="22.5" customHeight="1">
      <c r="A297" s="6"/>
      <c r="B297" s="6"/>
      <c r="C297" s="7"/>
      <c r="D297" s="6"/>
      <c r="E297" s="6"/>
    </row>
    <row r="298" ht="22.5" customHeight="1">
      <c r="A298" s="6"/>
      <c r="B298" s="6"/>
      <c r="C298" s="7"/>
      <c r="D298" s="6"/>
      <c r="E298" s="6"/>
    </row>
    <row r="299" ht="22.5" customHeight="1">
      <c r="A299" s="6"/>
      <c r="B299" s="6"/>
      <c r="C299" s="7"/>
      <c r="D299" s="6"/>
      <c r="E299" s="6"/>
    </row>
    <row r="300" ht="22.5" customHeight="1">
      <c r="A300" s="6"/>
      <c r="B300" s="6"/>
      <c r="C300" s="7"/>
      <c r="D300" s="6"/>
      <c r="E300" s="6"/>
    </row>
    <row r="301" ht="22.5" customHeight="1">
      <c r="A301" s="6"/>
      <c r="B301" s="6"/>
      <c r="C301" s="7"/>
      <c r="D301" s="6"/>
      <c r="E301" s="6"/>
    </row>
    <row r="302" ht="22.5" customHeight="1">
      <c r="A302" s="6"/>
      <c r="B302" s="6"/>
      <c r="C302" s="7"/>
      <c r="D302" s="6"/>
      <c r="E302" s="6"/>
    </row>
    <row r="303" ht="22.5" customHeight="1">
      <c r="A303" s="6"/>
      <c r="B303" s="6"/>
      <c r="C303" s="7"/>
      <c r="D303" s="6"/>
      <c r="E303" s="6"/>
    </row>
    <row r="304" ht="22.5" customHeight="1">
      <c r="A304" s="6"/>
      <c r="B304" s="6"/>
      <c r="C304" s="7"/>
      <c r="D304" s="6"/>
      <c r="E304" s="6"/>
    </row>
    <row r="305" ht="22.5" customHeight="1">
      <c r="A305" s="6"/>
      <c r="B305" s="6"/>
      <c r="C305" s="7"/>
      <c r="D305" s="6"/>
      <c r="E305" s="6"/>
    </row>
    <row r="306" ht="22.5" customHeight="1">
      <c r="A306" s="6"/>
      <c r="B306" s="6"/>
      <c r="C306" s="7"/>
      <c r="D306" s="6"/>
      <c r="E306" s="6"/>
    </row>
    <row r="307" ht="22.5" customHeight="1">
      <c r="A307" s="6"/>
      <c r="B307" s="6"/>
      <c r="C307" s="7"/>
      <c r="D307" s="6"/>
      <c r="E307" s="6"/>
    </row>
    <row r="308" ht="22.5" customHeight="1">
      <c r="A308" s="6"/>
      <c r="B308" s="6"/>
      <c r="C308" s="7"/>
      <c r="D308" s="6"/>
      <c r="E308" s="6"/>
    </row>
    <row r="309" ht="22.5" customHeight="1">
      <c r="A309" s="6"/>
      <c r="B309" s="6"/>
      <c r="C309" s="7"/>
      <c r="D309" s="6"/>
      <c r="E309" s="6"/>
    </row>
    <row r="310" ht="22.5" customHeight="1">
      <c r="A310" s="6"/>
      <c r="B310" s="6"/>
      <c r="C310" s="7"/>
      <c r="D310" s="6"/>
      <c r="E310" s="6"/>
    </row>
    <row r="311" ht="22.5" customHeight="1">
      <c r="A311" s="6"/>
      <c r="B311" s="6"/>
      <c r="C311" s="7"/>
      <c r="D311" s="6"/>
      <c r="E311" s="6"/>
    </row>
    <row r="312" ht="22.5" customHeight="1">
      <c r="A312" s="6"/>
      <c r="B312" s="6"/>
      <c r="C312" s="7"/>
      <c r="D312" s="6"/>
      <c r="E312" s="6"/>
    </row>
    <row r="313" ht="22.5" customHeight="1">
      <c r="A313" s="6"/>
      <c r="B313" s="6"/>
      <c r="C313" s="7"/>
      <c r="D313" s="6"/>
      <c r="E313" s="6"/>
    </row>
    <row r="314" ht="22.5" customHeight="1">
      <c r="A314" s="6"/>
      <c r="B314" s="6"/>
      <c r="C314" s="7"/>
      <c r="D314" s="6"/>
      <c r="E314" s="6"/>
    </row>
    <row r="315" ht="22.5" customHeight="1">
      <c r="A315" s="6"/>
      <c r="B315" s="6"/>
      <c r="C315" s="7"/>
      <c r="D315" s="6"/>
      <c r="E315" s="6"/>
    </row>
    <row r="316" ht="22.5" customHeight="1">
      <c r="A316" s="6"/>
      <c r="B316" s="6"/>
      <c r="C316" s="7"/>
      <c r="D316" s="6"/>
      <c r="E316" s="6"/>
    </row>
    <row r="317" ht="22.5" customHeight="1">
      <c r="A317" s="6"/>
      <c r="B317" s="6"/>
      <c r="C317" s="7"/>
      <c r="D317" s="6"/>
      <c r="E317" s="6"/>
    </row>
    <row r="318" ht="22.5" customHeight="1">
      <c r="A318" s="6"/>
      <c r="B318" s="6"/>
      <c r="C318" s="7"/>
      <c r="D318" s="6"/>
      <c r="E318" s="6"/>
    </row>
    <row r="319" ht="22.5" customHeight="1">
      <c r="A319" s="6"/>
      <c r="B319" s="6"/>
      <c r="C319" s="7"/>
      <c r="D319" s="6"/>
      <c r="E319" s="6"/>
    </row>
    <row r="320" ht="22.5" customHeight="1">
      <c r="A320" s="6"/>
      <c r="B320" s="6"/>
      <c r="C320" s="7"/>
      <c r="D320" s="6"/>
      <c r="E320" s="6"/>
    </row>
    <row r="321" ht="22.5" customHeight="1">
      <c r="A321" s="6"/>
      <c r="B321" s="6"/>
      <c r="C321" s="7"/>
      <c r="D321" s="6"/>
      <c r="E321" s="6"/>
    </row>
    <row r="322" ht="22.5" customHeight="1">
      <c r="A322" s="6"/>
      <c r="B322" s="6"/>
      <c r="C322" s="7"/>
      <c r="D322" s="6"/>
      <c r="E322" s="6"/>
    </row>
    <row r="323" ht="22.5" customHeight="1">
      <c r="A323" s="6"/>
      <c r="B323" s="6"/>
      <c r="C323" s="7"/>
      <c r="D323" s="6"/>
      <c r="E323" s="6"/>
    </row>
    <row r="324" ht="22.5" customHeight="1">
      <c r="A324" s="6"/>
      <c r="B324" s="6"/>
      <c r="C324" s="7"/>
      <c r="D324" s="6"/>
      <c r="E324" s="6"/>
    </row>
    <row r="325" ht="22.5" customHeight="1">
      <c r="A325" s="6"/>
      <c r="B325" s="6"/>
      <c r="C325" s="7"/>
      <c r="D325" s="6"/>
      <c r="E325" s="6"/>
    </row>
    <row r="326" ht="22.5" customHeight="1">
      <c r="A326" s="6"/>
      <c r="B326" s="6"/>
      <c r="C326" s="7"/>
      <c r="D326" s="6"/>
      <c r="E326" s="6"/>
    </row>
    <row r="327" ht="22.5" customHeight="1">
      <c r="A327" s="6"/>
      <c r="B327" s="6"/>
      <c r="C327" s="7"/>
      <c r="D327" s="6"/>
      <c r="E327" s="6"/>
    </row>
    <row r="328" ht="22.5" customHeight="1">
      <c r="A328" s="6"/>
      <c r="B328" s="6"/>
      <c r="C328" s="7"/>
      <c r="D328" s="6"/>
      <c r="E328" s="6"/>
    </row>
    <row r="329" ht="22.5" customHeight="1">
      <c r="A329" s="6"/>
      <c r="B329" s="6"/>
      <c r="C329" s="7"/>
      <c r="D329" s="6"/>
      <c r="E329" s="6"/>
    </row>
    <row r="330" ht="22.5" customHeight="1">
      <c r="A330" s="6"/>
      <c r="B330" s="6"/>
      <c r="C330" s="7"/>
      <c r="D330" s="6"/>
      <c r="E330" s="6"/>
    </row>
    <row r="331" ht="22.5" customHeight="1">
      <c r="A331" s="6"/>
      <c r="B331" s="6"/>
      <c r="C331" s="7"/>
      <c r="D331" s="6"/>
      <c r="E331" s="6"/>
    </row>
    <row r="332" ht="22.5" customHeight="1">
      <c r="A332" s="6"/>
      <c r="B332" s="6"/>
      <c r="C332" s="7"/>
      <c r="D332" s="6"/>
      <c r="E332" s="6"/>
    </row>
    <row r="333" ht="22.5" customHeight="1">
      <c r="A333" s="6"/>
      <c r="B333" s="6"/>
      <c r="C333" s="7"/>
      <c r="D333" s="6"/>
      <c r="E333" s="6"/>
    </row>
    <row r="334" ht="22.5" customHeight="1">
      <c r="A334" s="6"/>
      <c r="B334" s="6"/>
      <c r="C334" s="7"/>
      <c r="D334" s="6"/>
      <c r="E334" s="6"/>
    </row>
    <row r="335" ht="22.5" customHeight="1">
      <c r="A335" s="6"/>
      <c r="B335" s="6"/>
      <c r="C335" s="7"/>
      <c r="D335" s="6"/>
      <c r="E335" s="6"/>
    </row>
    <row r="336" ht="22.5" customHeight="1">
      <c r="A336" s="6"/>
      <c r="B336" s="6"/>
      <c r="C336" s="7"/>
      <c r="D336" s="6"/>
      <c r="E336" s="6"/>
    </row>
    <row r="337" ht="22.5" customHeight="1">
      <c r="A337" s="6"/>
      <c r="B337" s="6"/>
      <c r="C337" s="7"/>
      <c r="D337" s="6"/>
      <c r="E337" s="6"/>
    </row>
    <row r="338" ht="22.5" customHeight="1">
      <c r="A338" s="6"/>
      <c r="B338" s="6"/>
      <c r="C338" s="7"/>
      <c r="D338" s="6"/>
      <c r="E338" s="6"/>
    </row>
    <row r="339" ht="22.5" customHeight="1">
      <c r="A339" s="6"/>
      <c r="B339" s="6"/>
      <c r="C339" s="7"/>
      <c r="D339" s="6"/>
      <c r="E339" s="6"/>
    </row>
    <row r="340" ht="22.5" customHeight="1">
      <c r="A340" s="6"/>
      <c r="B340" s="6"/>
      <c r="C340" s="7"/>
      <c r="D340" s="6"/>
      <c r="E340" s="6"/>
    </row>
    <row r="341" ht="22.5" customHeight="1">
      <c r="A341" s="6"/>
      <c r="B341" s="6"/>
      <c r="C341" s="7"/>
      <c r="D341" s="6"/>
      <c r="E341" s="6"/>
    </row>
    <row r="342" ht="22.5" customHeight="1">
      <c r="A342" s="6"/>
      <c r="B342" s="6"/>
      <c r="C342" s="7"/>
      <c r="D342" s="6"/>
      <c r="E342" s="6"/>
    </row>
    <row r="343" ht="22.5" customHeight="1">
      <c r="A343" s="6"/>
      <c r="B343" s="6"/>
      <c r="C343" s="7"/>
      <c r="D343" s="6"/>
      <c r="E343" s="6"/>
    </row>
    <row r="344" ht="22.5" customHeight="1">
      <c r="A344" s="6"/>
      <c r="B344" s="6"/>
      <c r="C344" s="7"/>
      <c r="D344" s="6"/>
      <c r="E344" s="6"/>
    </row>
    <row r="345" ht="22.5" customHeight="1">
      <c r="A345" s="6"/>
      <c r="B345" s="6"/>
      <c r="C345" s="7"/>
      <c r="D345" s="6"/>
      <c r="E345" s="6"/>
    </row>
    <row r="346" ht="22.5" customHeight="1">
      <c r="A346" s="6"/>
      <c r="B346" s="6"/>
      <c r="C346" s="7"/>
      <c r="D346" s="6"/>
      <c r="E346" s="6"/>
    </row>
    <row r="347" ht="22.5" customHeight="1">
      <c r="A347" s="6"/>
      <c r="B347" s="6"/>
      <c r="C347" s="7"/>
      <c r="D347" s="6"/>
      <c r="E347" s="6"/>
    </row>
    <row r="348" ht="22.5" customHeight="1">
      <c r="A348" s="6"/>
      <c r="B348" s="6"/>
      <c r="C348" s="7"/>
      <c r="D348" s="6"/>
      <c r="E348" s="6"/>
    </row>
    <row r="349" ht="22.5" customHeight="1">
      <c r="A349" s="6"/>
      <c r="B349" s="6"/>
      <c r="C349" s="7"/>
      <c r="D349" s="6"/>
      <c r="E349" s="6"/>
    </row>
    <row r="350" ht="22.5" customHeight="1">
      <c r="A350" s="6"/>
      <c r="B350" s="6"/>
      <c r="C350" s="7"/>
      <c r="D350" s="6"/>
      <c r="E350" s="6"/>
    </row>
    <row r="351" ht="22.5" customHeight="1">
      <c r="A351" s="6"/>
      <c r="B351" s="6"/>
      <c r="C351" s="7"/>
      <c r="D351" s="6"/>
      <c r="E351" s="6"/>
    </row>
    <row r="352" ht="22.5" customHeight="1">
      <c r="A352" s="6"/>
      <c r="B352" s="6"/>
      <c r="C352" s="7"/>
      <c r="D352" s="6"/>
      <c r="E352" s="6"/>
    </row>
    <row r="353" ht="22.5" customHeight="1">
      <c r="A353" s="6"/>
      <c r="B353" s="6"/>
      <c r="C353" s="7"/>
      <c r="D353" s="6"/>
      <c r="E353" s="6"/>
    </row>
    <row r="354" ht="22.5" customHeight="1">
      <c r="A354" s="6"/>
      <c r="B354" s="6"/>
      <c r="C354" s="7"/>
      <c r="D354" s="6"/>
      <c r="E354" s="6"/>
    </row>
    <row r="355" ht="22.5" customHeight="1">
      <c r="A355" s="6"/>
      <c r="B355" s="6"/>
      <c r="C355" s="7"/>
      <c r="D355" s="6"/>
      <c r="E355" s="6"/>
    </row>
    <row r="356" ht="22.5" customHeight="1">
      <c r="A356" s="6"/>
      <c r="B356" s="6"/>
      <c r="C356" s="7"/>
      <c r="D356" s="6"/>
      <c r="E356" s="6"/>
    </row>
    <row r="357" ht="22.5" customHeight="1">
      <c r="A357" s="6"/>
      <c r="B357" s="6"/>
      <c r="C357" s="7"/>
      <c r="D357" s="6"/>
      <c r="E357" s="6"/>
    </row>
    <row r="358" ht="22.5" customHeight="1">
      <c r="A358" s="6"/>
      <c r="B358" s="6"/>
      <c r="C358" s="7"/>
      <c r="D358" s="6"/>
      <c r="E358" s="6"/>
    </row>
    <row r="359" ht="22.5" customHeight="1">
      <c r="A359" s="6"/>
      <c r="B359" s="6"/>
      <c r="C359" s="7"/>
      <c r="D359" s="6"/>
      <c r="E359" s="6"/>
    </row>
    <row r="360" ht="22.5" customHeight="1">
      <c r="A360" s="6"/>
      <c r="B360" s="6"/>
      <c r="C360" s="7"/>
      <c r="D360" s="6"/>
      <c r="E360" s="6"/>
    </row>
    <row r="361" ht="22.5" customHeight="1">
      <c r="A361" s="6"/>
      <c r="B361" s="6"/>
      <c r="C361" s="7"/>
      <c r="D361" s="6"/>
      <c r="E361" s="6"/>
    </row>
    <row r="362" ht="22.5" customHeight="1">
      <c r="A362" s="6"/>
      <c r="B362" s="6"/>
      <c r="C362" s="7"/>
      <c r="D362" s="6"/>
      <c r="E362" s="6"/>
    </row>
    <row r="363" ht="22.5" customHeight="1">
      <c r="A363" s="6"/>
      <c r="B363" s="6"/>
      <c r="C363" s="7"/>
      <c r="D363" s="6"/>
      <c r="E363" s="6"/>
    </row>
    <row r="364" ht="22.5" customHeight="1">
      <c r="A364" s="6"/>
      <c r="B364" s="6"/>
      <c r="C364" s="7"/>
      <c r="D364" s="6"/>
      <c r="E364" s="6"/>
    </row>
    <row r="365" ht="22.5" customHeight="1">
      <c r="A365" s="6"/>
      <c r="B365" s="6"/>
      <c r="C365" s="7"/>
      <c r="D365" s="6"/>
      <c r="E365" s="6"/>
    </row>
    <row r="366" ht="22.5" customHeight="1">
      <c r="A366" s="6"/>
      <c r="B366" s="6"/>
      <c r="C366" s="7"/>
      <c r="D366" s="6"/>
      <c r="E366" s="6"/>
    </row>
    <row r="367" ht="22.5" customHeight="1">
      <c r="A367" s="6"/>
      <c r="B367" s="6"/>
      <c r="C367" s="7"/>
      <c r="D367" s="6"/>
      <c r="E367" s="6"/>
    </row>
    <row r="368" ht="22.5" customHeight="1">
      <c r="A368" s="6"/>
      <c r="B368" s="6"/>
      <c r="C368" s="7"/>
      <c r="D368" s="6"/>
      <c r="E368" s="6"/>
    </row>
    <row r="369" ht="22.5" customHeight="1">
      <c r="A369" s="6"/>
      <c r="B369" s="6"/>
      <c r="C369" s="7"/>
      <c r="D369" s="6"/>
      <c r="E369" s="6"/>
    </row>
    <row r="370" ht="22.5" customHeight="1">
      <c r="A370" s="6"/>
      <c r="B370" s="6"/>
      <c r="C370" s="7"/>
      <c r="D370" s="6"/>
      <c r="E370" s="6"/>
    </row>
    <row r="371" ht="22.5" customHeight="1">
      <c r="A371" s="6"/>
      <c r="B371" s="6"/>
      <c r="C371" s="7"/>
      <c r="D371" s="6"/>
      <c r="E371" s="6"/>
    </row>
    <row r="372" ht="22.5" customHeight="1">
      <c r="A372" s="6"/>
      <c r="B372" s="6"/>
      <c r="C372" s="7"/>
      <c r="D372" s="6"/>
      <c r="E372" s="6"/>
    </row>
    <row r="373" ht="22.5" customHeight="1">
      <c r="A373" s="6"/>
      <c r="B373" s="6"/>
      <c r="C373" s="7"/>
      <c r="D373" s="6"/>
      <c r="E373" s="6"/>
    </row>
    <row r="374" ht="22.5" customHeight="1">
      <c r="A374" s="6"/>
      <c r="B374" s="6"/>
      <c r="C374" s="7"/>
      <c r="D374" s="6"/>
      <c r="E374" s="6"/>
    </row>
    <row r="375" ht="22.5" customHeight="1">
      <c r="A375" s="6"/>
      <c r="B375" s="6"/>
      <c r="C375" s="7"/>
      <c r="D375" s="6"/>
      <c r="E375" s="6"/>
    </row>
    <row r="376" ht="22.5" customHeight="1">
      <c r="A376" s="6"/>
      <c r="B376" s="6"/>
      <c r="C376" s="7"/>
      <c r="D376" s="6"/>
      <c r="E376" s="6"/>
    </row>
    <row r="377" ht="22.5" customHeight="1">
      <c r="A377" s="6"/>
      <c r="B377" s="6"/>
      <c r="C377" s="7"/>
      <c r="D377" s="6"/>
      <c r="E377" s="6"/>
    </row>
    <row r="378" ht="22.5" customHeight="1">
      <c r="A378" s="6"/>
      <c r="B378" s="6"/>
      <c r="C378" s="7"/>
      <c r="D378" s="6"/>
      <c r="E378" s="6"/>
    </row>
    <row r="379" ht="22.5" customHeight="1">
      <c r="A379" s="6"/>
      <c r="B379" s="6"/>
      <c r="C379" s="7"/>
      <c r="D379" s="6"/>
      <c r="E379" s="6"/>
    </row>
    <row r="380" ht="22.5" customHeight="1">
      <c r="A380" s="6"/>
      <c r="B380" s="6"/>
      <c r="C380" s="7"/>
      <c r="D380" s="6"/>
      <c r="E380" s="6"/>
    </row>
    <row r="381" ht="22.5" customHeight="1">
      <c r="A381" s="6"/>
      <c r="B381" s="6"/>
      <c r="C381" s="7"/>
      <c r="D381" s="6"/>
      <c r="E381" s="6"/>
    </row>
    <row r="382" ht="22.5" customHeight="1">
      <c r="A382" s="6"/>
      <c r="B382" s="6"/>
      <c r="C382" s="7"/>
      <c r="D382" s="6"/>
      <c r="E382" s="6"/>
    </row>
    <row r="383" ht="22.5" customHeight="1">
      <c r="A383" s="6"/>
      <c r="B383" s="6"/>
      <c r="C383" s="7"/>
      <c r="D383" s="6"/>
      <c r="E383" s="6"/>
    </row>
    <row r="384" ht="22.5" customHeight="1">
      <c r="A384" s="6"/>
      <c r="B384" s="6"/>
      <c r="C384" s="7"/>
      <c r="D384" s="6"/>
      <c r="E384" s="6"/>
    </row>
    <row r="385" ht="22.5" customHeight="1">
      <c r="A385" s="6"/>
      <c r="B385" s="6"/>
      <c r="C385" s="7"/>
      <c r="D385" s="6"/>
      <c r="E385" s="6"/>
    </row>
    <row r="386" ht="22.5" customHeight="1">
      <c r="A386" s="6"/>
      <c r="B386" s="6"/>
      <c r="C386" s="7"/>
      <c r="D386" s="6"/>
      <c r="E386" s="6"/>
    </row>
    <row r="387" ht="22.5" customHeight="1">
      <c r="A387" s="6"/>
      <c r="B387" s="6"/>
      <c r="C387" s="7"/>
      <c r="D387" s="6"/>
      <c r="E387" s="6"/>
    </row>
    <row r="388" ht="22.5" customHeight="1">
      <c r="A388" s="6"/>
      <c r="B388" s="6"/>
      <c r="C388" s="7"/>
      <c r="D388" s="6"/>
      <c r="E388" s="6"/>
    </row>
    <row r="389" ht="22.5" customHeight="1">
      <c r="A389" s="6"/>
      <c r="B389" s="6"/>
      <c r="C389" s="7"/>
      <c r="D389" s="6"/>
      <c r="E389" s="6"/>
    </row>
    <row r="390" ht="22.5" customHeight="1">
      <c r="A390" s="6"/>
      <c r="B390" s="6"/>
      <c r="C390" s="7"/>
      <c r="D390" s="6"/>
      <c r="E390" s="6"/>
    </row>
    <row r="391" ht="22.5" customHeight="1">
      <c r="A391" s="6"/>
      <c r="B391" s="6"/>
      <c r="C391" s="7"/>
      <c r="D391" s="6"/>
      <c r="E391" s="6"/>
    </row>
    <row r="392" ht="22.5" customHeight="1">
      <c r="A392" s="6"/>
      <c r="B392" s="6"/>
      <c r="C392" s="7"/>
      <c r="D392" s="6"/>
      <c r="E392" s="6"/>
    </row>
    <row r="393" ht="22.5" customHeight="1">
      <c r="A393" s="6"/>
      <c r="B393" s="6"/>
      <c r="C393" s="7"/>
      <c r="D393" s="6"/>
      <c r="E393" s="6"/>
    </row>
    <row r="394" ht="22.5" customHeight="1">
      <c r="A394" s="6"/>
      <c r="B394" s="6"/>
      <c r="C394" s="7"/>
      <c r="D394" s="6"/>
      <c r="E394" s="6"/>
    </row>
    <row r="395" ht="22.5" customHeight="1">
      <c r="A395" s="6"/>
      <c r="B395" s="6"/>
      <c r="C395" s="7"/>
      <c r="D395" s="6"/>
      <c r="E395" s="6"/>
    </row>
    <row r="396" ht="22.5" customHeight="1">
      <c r="A396" s="6"/>
      <c r="B396" s="6"/>
      <c r="C396" s="7"/>
      <c r="D396" s="6"/>
      <c r="E396" s="6"/>
    </row>
    <row r="397" ht="22.5" customHeight="1">
      <c r="A397" s="6"/>
      <c r="B397" s="6"/>
      <c r="C397" s="7"/>
      <c r="D397" s="6"/>
      <c r="E397" s="6"/>
    </row>
    <row r="398" ht="22.5" customHeight="1">
      <c r="A398" s="6"/>
      <c r="B398" s="6"/>
      <c r="C398" s="7"/>
      <c r="D398" s="6"/>
      <c r="E398" s="6"/>
    </row>
    <row r="399" ht="22.5" customHeight="1">
      <c r="A399" s="6"/>
      <c r="B399" s="6"/>
      <c r="C399" s="7"/>
      <c r="D399" s="6"/>
      <c r="E399" s="6"/>
    </row>
    <row r="400" ht="22.5" customHeight="1">
      <c r="A400" s="6"/>
      <c r="B400" s="6"/>
      <c r="C400" s="7"/>
      <c r="D400" s="6"/>
      <c r="E400" s="6"/>
    </row>
    <row r="401" ht="22.5" customHeight="1">
      <c r="A401" s="6"/>
      <c r="B401" s="6"/>
      <c r="C401" s="7"/>
      <c r="D401" s="6"/>
      <c r="E401" s="6"/>
    </row>
    <row r="402" ht="22.5" customHeight="1">
      <c r="A402" s="6"/>
      <c r="B402" s="6"/>
      <c r="C402" s="7"/>
      <c r="D402" s="6"/>
      <c r="E402" s="6"/>
    </row>
    <row r="403" ht="22.5" customHeight="1">
      <c r="A403" s="6"/>
      <c r="B403" s="6"/>
      <c r="C403" s="7"/>
      <c r="D403" s="6"/>
      <c r="E403" s="6"/>
    </row>
    <row r="404" ht="22.5" customHeight="1">
      <c r="A404" s="6"/>
      <c r="B404" s="6"/>
      <c r="C404" s="7"/>
      <c r="D404" s="6"/>
      <c r="E404" s="6"/>
    </row>
    <row r="405" ht="22.5" customHeight="1">
      <c r="A405" s="6"/>
      <c r="B405" s="6"/>
      <c r="C405" s="7"/>
      <c r="D405" s="6"/>
      <c r="E405" s="6"/>
    </row>
    <row r="406" ht="22.5" customHeight="1">
      <c r="A406" s="6"/>
      <c r="B406" s="6"/>
      <c r="C406" s="7"/>
      <c r="D406" s="6"/>
      <c r="E406" s="6"/>
    </row>
    <row r="407" ht="22.5" customHeight="1">
      <c r="A407" s="6"/>
      <c r="B407" s="6"/>
      <c r="C407" s="7"/>
      <c r="D407" s="6"/>
      <c r="E407" s="6"/>
    </row>
    <row r="408" ht="22.5" customHeight="1">
      <c r="A408" s="6"/>
      <c r="B408" s="6"/>
      <c r="C408" s="7"/>
      <c r="D408" s="6"/>
      <c r="E408" s="6"/>
    </row>
    <row r="409" ht="22.5" customHeight="1">
      <c r="A409" s="6"/>
      <c r="B409" s="6"/>
      <c r="C409" s="7"/>
      <c r="D409" s="6"/>
      <c r="E409" s="6"/>
    </row>
    <row r="410" ht="22.5" customHeight="1">
      <c r="A410" s="6"/>
      <c r="B410" s="6"/>
      <c r="C410" s="7"/>
      <c r="D410" s="6"/>
      <c r="E410" s="6"/>
    </row>
    <row r="411" ht="22.5" customHeight="1">
      <c r="A411" s="6"/>
      <c r="B411" s="6"/>
      <c r="C411" s="7"/>
      <c r="D411" s="6"/>
      <c r="E411" s="6"/>
    </row>
    <row r="412" ht="22.5" customHeight="1">
      <c r="A412" s="6"/>
      <c r="B412" s="6"/>
      <c r="C412" s="7"/>
      <c r="D412" s="6"/>
      <c r="E412" s="6"/>
    </row>
    <row r="413" ht="22.5" customHeight="1">
      <c r="A413" s="6"/>
      <c r="B413" s="6"/>
      <c r="C413" s="7"/>
      <c r="D413" s="6"/>
      <c r="E413" s="6"/>
    </row>
    <row r="414" ht="22.5" customHeight="1">
      <c r="A414" s="6"/>
      <c r="B414" s="6"/>
      <c r="C414" s="7"/>
      <c r="D414" s="6"/>
      <c r="E414" s="6"/>
    </row>
    <row r="415" ht="22.5" customHeight="1">
      <c r="A415" s="6"/>
      <c r="B415" s="6"/>
      <c r="C415" s="7"/>
      <c r="D415" s="6"/>
      <c r="E415" s="6"/>
    </row>
    <row r="416" ht="22.5" customHeight="1">
      <c r="A416" s="6"/>
      <c r="B416" s="6"/>
      <c r="C416" s="7"/>
      <c r="D416" s="6"/>
      <c r="E416" s="6"/>
    </row>
    <row r="417" ht="22.5" customHeight="1">
      <c r="A417" s="6"/>
      <c r="B417" s="6"/>
      <c r="C417" s="7"/>
      <c r="D417" s="6"/>
      <c r="E417" s="6"/>
    </row>
    <row r="418" ht="22.5" customHeight="1">
      <c r="A418" s="6"/>
      <c r="B418" s="6"/>
      <c r="C418" s="7"/>
      <c r="D418" s="6"/>
      <c r="E418" s="6"/>
    </row>
    <row r="419" ht="22.5" customHeight="1">
      <c r="A419" s="6"/>
      <c r="B419" s="6"/>
      <c r="C419" s="7"/>
      <c r="D419" s="6"/>
      <c r="E419" s="6"/>
    </row>
    <row r="420" ht="22.5" customHeight="1">
      <c r="A420" s="6"/>
      <c r="B420" s="6"/>
      <c r="C420" s="7"/>
      <c r="D420" s="6"/>
      <c r="E420" s="6"/>
    </row>
    <row r="421" ht="22.5" customHeight="1">
      <c r="A421" s="6"/>
      <c r="B421" s="6"/>
      <c r="C421" s="7"/>
      <c r="D421" s="6"/>
      <c r="E421" s="6"/>
    </row>
    <row r="422" ht="22.5" customHeight="1">
      <c r="A422" s="6"/>
      <c r="B422" s="6"/>
      <c r="C422" s="7"/>
      <c r="D422" s="6"/>
      <c r="E422" s="6"/>
    </row>
    <row r="423" ht="22.5" customHeight="1">
      <c r="A423" s="6"/>
      <c r="B423" s="6"/>
      <c r="C423" s="7"/>
      <c r="D423" s="6"/>
      <c r="E423" s="6"/>
    </row>
    <row r="424" ht="22.5" customHeight="1">
      <c r="A424" s="6"/>
      <c r="B424" s="6"/>
      <c r="C424" s="7"/>
      <c r="D424" s="6"/>
      <c r="E424" s="6"/>
    </row>
    <row r="425" ht="22.5" customHeight="1">
      <c r="A425" s="6"/>
      <c r="B425" s="6"/>
      <c r="C425" s="7"/>
      <c r="D425" s="6"/>
      <c r="E425" s="6"/>
    </row>
    <row r="426" ht="22.5" customHeight="1">
      <c r="A426" s="6"/>
      <c r="B426" s="6"/>
      <c r="C426" s="7"/>
      <c r="D426" s="6"/>
      <c r="E426" s="6"/>
    </row>
    <row r="427" ht="22.5" customHeight="1">
      <c r="A427" s="6"/>
      <c r="B427" s="6"/>
      <c r="C427" s="7"/>
      <c r="D427" s="6"/>
      <c r="E427" s="6"/>
    </row>
    <row r="428" ht="22.5" customHeight="1">
      <c r="A428" s="6"/>
      <c r="B428" s="6"/>
      <c r="C428" s="7"/>
      <c r="D428" s="6"/>
      <c r="E428" s="6"/>
    </row>
    <row r="429" ht="22.5" customHeight="1">
      <c r="A429" s="6"/>
      <c r="B429" s="6"/>
      <c r="C429" s="7"/>
      <c r="D429" s="6"/>
      <c r="E429" s="6"/>
    </row>
    <row r="430" ht="22.5" customHeight="1">
      <c r="A430" s="6"/>
      <c r="B430" s="6"/>
      <c r="C430" s="7"/>
      <c r="D430" s="6"/>
      <c r="E430" s="6"/>
    </row>
    <row r="431" ht="22.5" customHeight="1">
      <c r="A431" s="6"/>
      <c r="B431" s="6"/>
      <c r="C431" s="7"/>
      <c r="D431" s="6"/>
      <c r="E431" s="6"/>
    </row>
    <row r="432" ht="22.5" customHeight="1">
      <c r="A432" s="6"/>
      <c r="B432" s="6"/>
      <c r="C432" s="7"/>
      <c r="D432" s="6"/>
      <c r="E432" s="6"/>
    </row>
    <row r="433" ht="22.5" customHeight="1">
      <c r="A433" s="6"/>
      <c r="B433" s="6"/>
      <c r="C433" s="7"/>
      <c r="D433" s="6"/>
      <c r="E433" s="6"/>
    </row>
    <row r="434" ht="22.5" customHeight="1">
      <c r="A434" s="6"/>
      <c r="B434" s="6"/>
      <c r="C434" s="7"/>
      <c r="D434" s="6"/>
      <c r="E434" s="6"/>
    </row>
    <row r="435" ht="22.5" customHeight="1">
      <c r="A435" s="6"/>
      <c r="B435" s="6"/>
      <c r="C435" s="7"/>
      <c r="D435" s="6"/>
      <c r="E435" s="6"/>
    </row>
    <row r="436" ht="22.5" customHeight="1">
      <c r="A436" s="6"/>
      <c r="B436" s="6"/>
      <c r="C436" s="7"/>
      <c r="D436" s="6"/>
      <c r="E436" s="6"/>
    </row>
    <row r="437" ht="22.5" customHeight="1">
      <c r="A437" s="6"/>
      <c r="B437" s="6"/>
      <c r="C437" s="7"/>
      <c r="D437" s="6"/>
      <c r="E437" s="6"/>
    </row>
    <row r="438" ht="22.5" customHeight="1">
      <c r="A438" s="6"/>
      <c r="B438" s="6"/>
      <c r="C438" s="7"/>
      <c r="D438" s="6"/>
      <c r="E438" s="6"/>
    </row>
    <row r="439" ht="22.5" customHeight="1">
      <c r="A439" s="6"/>
      <c r="B439" s="6"/>
      <c r="C439" s="7"/>
      <c r="D439" s="6"/>
      <c r="E439" s="6"/>
    </row>
    <row r="440" ht="22.5" customHeight="1">
      <c r="A440" s="6"/>
      <c r="B440" s="6"/>
      <c r="C440" s="7"/>
      <c r="D440" s="6"/>
      <c r="E440" s="6"/>
    </row>
    <row r="441" ht="22.5" customHeight="1">
      <c r="A441" s="6"/>
      <c r="B441" s="6"/>
      <c r="C441" s="7"/>
      <c r="D441" s="6"/>
      <c r="E441" s="6"/>
    </row>
    <row r="442" ht="22.5" customHeight="1">
      <c r="A442" s="6"/>
      <c r="B442" s="6"/>
      <c r="C442" s="7"/>
      <c r="D442" s="6"/>
      <c r="E442" s="6"/>
    </row>
    <row r="443" ht="22.5" customHeight="1">
      <c r="A443" s="6"/>
      <c r="B443" s="6"/>
      <c r="C443" s="7"/>
      <c r="D443" s="6"/>
      <c r="E443" s="6"/>
    </row>
    <row r="444" ht="22.5" customHeight="1">
      <c r="A444" s="6"/>
      <c r="B444" s="6"/>
      <c r="C444" s="7"/>
      <c r="D444" s="6"/>
      <c r="E444" s="6"/>
    </row>
    <row r="445" ht="22.5" customHeight="1">
      <c r="A445" s="6"/>
      <c r="B445" s="6"/>
      <c r="C445" s="7"/>
      <c r="D445" s="6"/>
      <c r="E445" s="6"/>
    </row>
    <row r="446" ht="22.5" customHeight="1">
      <c r="A446" s="6"/>
      <c r="B446" s="6"/>
      <c r="C446" s="7"/>
      <c r="D446" s="6"/>
      <c r="E446" s="6"/>
    </row>
    <row r="447" ht="22.5" customHeight="1">
      <c r="A447" s="6"/>
      <c r="B447" s="6"/>
      <c r="C447" s="7"/>
      <c r="D447" s="6"/>
      <c r="E447" s="6"/>
    </row>
    <row r="448" ht="22.5" customHeight="1">
      <c r="A448" s="6"/>
      <c r="B448" s="6"/>
      <c r="C448" s="7"/>
      <c r="D448" s="6"/>
      <c r="E448" s="6"/>
    </row>
    <row r="449" ht="22.5" customHeight="1">
      <c r="A449" s="6"/>
      <c r="B449" s="6"/>
      <c r="C449" s="7"/>
      <c r="D449" s="6"/>
      <c r="E449" s="6"/>
    </row>
    <row r="450" ht="22.5" customHeight="1">
      <c r="A450" s="6"/>
      <c r="B450" s="6"/>
      <c r="C450" s="7"/>
      <c r="D450" s="6"/>
      <c r="E450" s="6"/>
    </row>
    <row r="451" ht="22.5" customHeight="1">
      <c r="A451" s="6"/>
      <c r="B451" s="6"/>
      <c r="C451" s="7"/>
      <c r="D451" s="6"/>
      <c r="E451" s="6"/>
    </row>
    <row r="452" ht="22.5" customHeight="1">
      <c r="A452" s="6"/>
      <c r="B452" s="6"/>
      <c r="C452" s="7"/>
      <c r="D452" s="6"/>
      <c r="E452" s="6"/>
    </row>
    <row r="453" ht="22.5" customHeight="1">
      <c r="A453" s="6"/>
      <c r="B453" s="6"/>
      <c r="C453" s="7"/>
      <c r="D453" s="6"/>
      <c r="E453" s="6"/>
    </row>
    <row r="454" ht="22.5" customHeight="1">
      <c r="A454" s="6"/>
      <c r="B454" s="6"/>
      <c r="C454" s="7"/>
      <c r="D454" s="6"/>
      <c r="E454" s="6"/>
    </row>
    <row r="455" ht="22.5" customHeight="1">
      <c r="A455" s="6"/>
      <c r="B455" s="6"/>
      <c r="C455" s="7"/>
      <c r="D455" s="6"/>
      <c r="E455" s="6"/>
    </row>
    <row r="456" ht="22.5" customHeight="1">
      <c r="A456" s="6"/>
      <c r="B456" s="6"/>
      <c r="C456" s="7"/>
      <c r="D456" s="6"/>
      <c r="E456" s="6"/>
    </row>
    <row r="457" ht="22.5" customHeight="1">
      <c r="A457" s="6"/>
      <c r="B457" s="6"/>
      <c r="C457" s="7"/>
      <c r="D457" s="6"/>
      <c r="E457" s="6"/>
    </row>
    <row r="458" ht="22.5" customHeight="1">
      <c r="A458" s="6"/>
      <c r="B458" s="6"/>
      <c r="C458" s="7"/>
      <c r="D458" s="6"/>
      <c r="E458" s="6"/>
    </row>
    <row r="459" ht="22.5" customHeight="1">
      <c r="A459" s="6"/>
      <c r="B459" s="6"/>
      <c r="C459" s="7"/>
      <c r="D459" s="6"/>
      <c r="E459" s="6"/>
    </row>
    <row r="460" ht="22.5" customHeight="1">
      <c r="A460" s="6"/>
      <c r="B460" s="6"/>
      <c r="C460" s="7"/>
      <c r="D460" s="6"/>
      <c r="E460" s="6"/>
    </row>
    <row r="461" ht="22.5" customHeight="1">
      <c r="A461" s="6"/>
      <c r="B461" s="6"/>
      <c r="C461" s="7"/>
      <c r="D461" s="6"/>
      <c r="E461" s="6"/>
    </row>
    <row r="462" ht="22.5" customHeight="1">
      <c r="A462" s="6"/>
      <c r="B462" s="6"/>
      <c r="C462" s="7"/>
      <c r="D462" s="6"/>
      <c r="E462" s="6"/>
    </row>
    <row r="463" ht="22.5" customHeight="1">
      <c r="A463" s="6"/>
      <c r="B463" s="6"/>
      <c r="C463" s="7"/>
      <c r="D463" s="6"/>
      <c r="E463" s="6"/>
    </row>
    <row r="464" ht="22.5" customHeight="1">
      <c r="A464" s="6"/>
      <c r="B464" s="6"/>
      <c r="C464" s="7"/>
      <c r="D464" s="6"/>
      <c r="E464" s="6"/>
    </row>
    <row r="465" ht="22.5" customHeight="1">
      <c r="A465" s="6"/>
      <c r="B465" s="6"/>
      <c r="C465" s="7"/>
      <c r="D465" s="6"/>
      <c r="E465" s="6"/>
    </row>
    <row r="466" ht="22.5" customHeight="1">
      <c r="A466" s="6"/>
      <c r="B466" s="6"/>
      <c r="C466" s="7"/>
      <c r="D466" s="6"/>
      <c r="E466" s="6"/>
    </row>
    <row r="467" ht="22.5" customHeight="1">
      <c r="A467" s="6"/>
      <c r="B467" s="6"/>
      <c r="C467" s="7"/>
      <c r="D467" s="6"/>
      <c r="E467" s="6"/>
    </row>
    <row r="468" ht="22.5" customHeight="1">
      <c r="A468" s="6"/>
      <c r="B468" s="6"/>
      <c r="C468" s="7"/>
      <c r="D468" s="6"/>
      <c r="E468" s="6"/>
    </row>
    <row r="469" ht="22.5" customHeight="1">
      <c r="A469" s="6"/>
      <c r="B469" s="6"/>
      <c r="C469" s="7"/>
      <c r="D469" s="6"/>
      <c r="E469" s="6"/>
    </row>
    <row r="470" ht="22.5" customHeight="1">
      <c r="A470" s="6"/>
      <c r="B470" s="6"/>
      <c r="C470" s="7"/>
      <c r="D470" s="6"/>
      <c r="E470" s="6"/>
    </row>
    <row r="471" ht="22.5" customHeight="1">
      <c r="A471" s="6"/>
      <c r="B471" s="6"/>
      <c r="C471" s="7"/>
      <c r="D471" s="6"/>
      <c r="E471" s="6"/>
    </row>
    <row r="472" ht="22.5" customHeight="1">
      <c r="A472" s="6"/>
      <c r="B472" s="6"/>
      <c r="C472" s="7"/>
      <c r="D472" s="6"/>
      <c r="E472" s="6"/>
    </row>
    <row r="473" ht="22.5" customHeight="1">
      <c r="A473" s="6"/>
      <c r="B473" s="6"/>
      <c r="C473" s="7"/>
      <c r="D473" s="6"/>
      <c r="E473" s="6"/>
    </row>
    <row r="474" ht="22.5" customHeight="1">
      <c r="A474" s="6"/>
      <c r="B474" s="6"/>
      <c r="C474" s="7"/>
      <c r="D474" s="6"/>
      <c r="E474" s="6"/>
    </row>
    <row r="475" ht="22.5" customHeight="1">
      <c r="A475" s="6"/>
      <c r="B475" s="6"/>
      <c r="C475" s="7"/>
      <c r="D475" s="6"/>
      <c r="E475" s="6"/>
    </row>
    <row r="476" ht="22.5" customHeight="1">
      <c r="A476" s="6"/>
      <c r="B476" s="6"/>
      <c r="C476" s="7"/>
      <c r="D476" s="6"/>
      <c r="E476" s="6"/>
    </row>
    <row r="477" ht="22.5" customHeight="1">
      <c r="A477" s="6"/>
      <c r="B477" s="6"/>
      <c r="C477" s="7"/>
      <c r="D477" s="6"/>
      <c r="E477" s="6"/>
    </row>
    <row r="478" ht="22.5" customHeight="1">
      <c r="A478" s="6"/>
      <c r="B478" s="6"/>
      <c r="C478" s="7"/>
      <c r="D478" s="6"/>
      <c r="E478" s="6"/>
    </row>
    <row r="479" ht="22.5" customHeight="1">
      <c r="A479" s="6"/>
      <c r="B479" s="6"/>
      <c r="C479" s="7"/>
      <c r="D479" s="6"/>
      <c r="E479" s="6"/>
    </row>
    <row r="480" ht="22.5" customHeight="1">
      <c r="A480" s="6"/>
      <c r="B480" s="6"/>
      <c r="C480" s="7"/>
      <c r="D480" s="6"/>
      <c r="E480" s="6"/>
    </row>
    <row r="481" ht="22.5" customHeight="1">
      <c r="A481" s="6"/>
      <c r="B481" s="6"/>
      <c r="C481" s="7"/>
      <c r="D481" s="6"/>
      <c r="E481" s="6"/>
    </row>
    <row r="482" ht="22.5" customHeight="1">
      <c r="A482" s="6"/>
      <c r="B482" s="6"/>
      <c r="C482" s="7"/>
      <c r="D482" s="6"/>
      <c r="E482" s="6"/>
    </row>
    <row r="483" ht="22.5" customHeight="1">
      <c r="A483" s="6"/>
      <c r="B483" s="6"/>
      <c r="C483" s="7"/>
      <c r="D483" s="6"/>
      <c r="E483" s="6"/>
    </row>
    <row r="484" ht="22.5" customHeight="1">
      <c r="A484" s="6"/>
      <c r="B484" s="6"/>
      <c r="C484" s="7"/>
      <c r="D484" s="6"/>
      <c r="E484" s="6"/>
    </row>
    <row r="485" ht="22.5" customHeight="1">
      <c r="A485" s="6"/>
      <c r="B485" s="6"/>
      <c r="C485" s="7"/>
      <c r="D485" s="6"/>
      <c r="E485" s="6"/>
    </row>
    <row r="486" ht="22.5" customHeight="1">
      <c r="A486" s="6"/>
      <c r="B486" s="6"/>
      <c r="C486" s="7"/>
      <c r="D486" s="6"/>
      <c r="E486" s="6"/>
    </row>
    <row r="487" ht="22.5" customHeight="1">
      <c r="A487" s="6"/>
      <c r="B487" s="6"/>
      <c r="C487" s="7"/>
      <c r="D487" s="6"/>
      <c r="E487" s="6"/>
    </row>
    <row r="488" ht="22.5" customHeight="1">
      <c r="A488" s="6"/>
      <c r="B488" s="6"/>
      <c r="C488" s="7"/>
      <c r="D488" s="6"/>
      <c r="E488" s="6"/>
    </row>
    <row r="489" ht="22.5" customHeight="1">
      <c r="A489" s="6"/>
      <c r="B489" s="6"/>
      <c r="C489" s="7"/>
      <c r="D489" s="6"/>
      <c r="E489" s="6"/>
    </row>
    <row r="490" ht="22.5" customHeight="1">
      <c r="A490" s="6"/>
      <c r="B490" s="6"/>
      <c r="C490" s="7"/>
      <c r="D490" s="6"/>
      <c r="E490" s="6"/>
    </row>
    <row r="491" ht="22.5" customHeight="1">
      <c r="A491" s="6"/>
      <c r="B491" s="6"/>
      <c r="C491" s="7"/>
      <c r="D491" s="6"/>
      <c r="E491" s="6"/>
    </row>
    <row r="492" ht="22.5" customHeight="1">
      <c r="A492" s="6"/>
      <c r="B492" s="6"/>
      <c r="C492" s="7"/>
      <c r="D492" s="6"/>
      <c r="E492" s="6"/>
    </row>
    <row r="493" ht="22.5" customHeight="1">
      <c r="A493" s="6"/>
      <c r="B493" s="6"/>
      <c r="C493" s="7"/>
      <c r="D493" s="6"/>
      <c r="E493" s="6"/>
    </row>
    <row r="494" ht="22.5" customHeight="1">
      <c r="A494" s="6"/>
      <c r="B494" s="6"/>
      <c r="C494" s="7"/>
      <c r="D494" s="6"/>
      <c r="E494" s="6"/>
    </row>
    <row r="495" ht="22.5" customHeight="1">
      <c r="A495" s="6"/>
      <c r="B495" s="6"/>
      <c r="C495" s="7"/>
      <c r="D495" s="6"/>
      <c r="E495" s="6"/>
    </row>
    <row r="496" ht="22.5" customHeight="1">
      <c r="A496" s="6"/>
      <c r="B496" s="6"/>
      <c r="C496" s="7"/>
      <c r="D496" s="6"/>
      <c r="E496" s="6"/>
    </row>
    <row r="497" ht="22.5" customHeight="1">
      <c r="A497" s="6"/>
      <c r="B497" s="6"/>
      <c r="C497" s="7"/>
      <c r="D497" s="6"/>
      <c r="E497" s="6"/>
    </row>
    <row r="498" ht="22.5" customHeight="1">
      <c r="A498" s="6"/>
      <c r="B498" s="6"/>
      <c r="C498" s="7"/>
      <c r="D498" s="6"/>
      <c r="E498" s="6"/>
    </row>
    <row r="499" ht="22.5" customHeight="1">
      <c r="A499" s="6"/>
      <c r="B499" s="6"/>
      <c r="C499" s="7"/>
      <c r="D499" s="6"/>
      <c r="E499" s="6"/>
    </row>
    <row r="500" ht="22.5" customHeight="1">
      <c r="A500" s="6"/>
      <c r="B500" s="6"/>
      <c r="C500" s="7"/>
      <c r="D500" s="6"/>
      <c r="E500" s="6"/>
    </row>
    <row r="501" ht="22.5" customHeight="1">
      <c r="A501" s="6"/>
      <c r="B501" s="6"/>
      <c r="C501" s="7"/>
      <c r="D501" s="6"/>
      <c r="E501" s="6"/>
    </row>
    <row r="502" ht="22.5" customHeight="1">
      <c r="A502" s="6"/>
      <c r="B502" s="6"/>
      <c r="C502" s="7"/>
      <c r="D502" s="6"/>
      <c r="E502" s="6"/>
    </row>
    <row r="503" ht="22.5" customHeight="1">
      <c r="A503" s="6"/>
      <c r="B503" s="6"/>
      <c r="C503" s="7"/>
      <c r="D503" s="6"/>
      <c r="E503" s="6"/>
    </row>
    <row r="504" ht="22.5" customHeight="1">
      <c r="A504" s="6"/>
      <c r="B504" s="6"/>
      <c r="C504" s="7"/>
      <c r="D504" s="6"/>
      <c r="E504" s="6"/>
    </row>
    <row r="505" ht="22.5" customHeight="1">
      <c r="A505" s="6"/>
      <c r="B505" s="6"/>
      <c r="C505" s="7"/>
      <c r="D505" s="6"/>
      <c r="E505" s="6"/>
    </row>
    <row r="506" ht="22.5" customHeight="1">
      <c r="A506" s="6"/>
      <c r="B506" s="6"/>
      <c r="C506" s="7"/>
      <c r="D506" s="6"/>
      <c r="E506" s="6"/>
    </row>
    <row r="507" ht="22.5" customHeight="1">
      <c r="A507" s="6"/>
      <c r="B507" s="6"/>
      <c r="C507" s="7"/>
      <c r="D507" s="6"/>
      <c r="E507" s="6"/>
    </row>
    <row r="508" ht="22.5" customHeight="1">
      <c r="A508" s="6"/>
      <c r="B508" s="6"/>
      <c r="C508" s="7"/>
      <c r="D508" s="6"/>
      <c r="E508" s="6"/>
    </row>
    <row r="509" ht="22.5" customHeight="1">
      <c r="A509" s="6"/>
      <c r="B509" s="6"/>
      <c r="C509" s="7"/>
      <c r="D509" s="6"/>
      <c r="E509" s="6"/>
    </row>
    <row r="510" ht="22.5" customHeight="1">
      <c r="A510" s="6"/>
      <c r="B510" s="6"/>
      <c r="C510" s="7"/>
      <c r="D510" s="6"/>
      <c r="E510" s="6"/>
    </row>
    <row r="511" ht="22.5" customHeight="1">
      <c r="A511" s="6"/>
      <c r="B511" s="6"/>
      <c r="C511" s="7"/>
      <c r="D511" s="6"/>
      <c r="E511" s="6"/>
    </row>
    <row r="512" ht="22.5" customHeight="1">
      <c r="A512" s="6"/>
      <c r="B512" s="6"/>
      <c r="C512" s="7"/>
      <c r="D512" s="6"/>
      <c r="E512" s="6"/>
    </row>
    <row r="513" ht="22.5" customHeight="1">
      <c r="A513" s="6"/>
      <c r="B513" s="6"/>
      <c r="C513" s="7"/>
      <c r="D513" s="6"/>
      <c r="E513" s="6"/>
    </row>
    <row r="514" ht="22.5" customHeight="1">
      <c r="A514" s="6"/>
      <c r="B514" s="6"/>
      <c r="C514" s="7"/>
      <c r="D514" s="6"/>
      <c r="E514" s="6"/>
    </row>
    <row r="515" ht="22.5" customHeight="1">
      <c r="A515" s="6"/>
      <c r="B515" s="6"/>
      <c r="C515" s="7"/>
      <c r="D515" s="6"/>
      <c r="E515" s="6"/>
    </row>
    <row r="516" ht="22.5" customHeight="1">
      <c r="A516" s="6"/>
      <c r="B516" s="6"/>
      <c r="C516" s="7"/>
      <c r="D516" s="6"/>
      <c r="E516" s="6"/>
    </row>
    <row r="517" ht="22.5" customHeight="1">
      <c r="A517" s="6"/>
      <c r="B517" s="6"/>
      <c r="C517" s="7"/>
      <c r="D517" s="6"/>
      <c r="E517" s="6"/>
    </row>
    <row r="518" ht="22.5" customHeight="1">
      <c r="A518" s="6"/>
      <c r="B518" s="6"/>
      <c r="C518" s="7"/>
      <c r="D518" s="6"/>
      <c r="E518" s="6"/>
    </row>
    <row r="519" ht="22.5" customHeight="1">
      <c r="A519" s="6"/>
      <c r="B519" s="6"/>
      <c r="C519" s="7"/>
      <c r="D519" s="6"/>
      <c r="E519" s="6"/>
    </row>
    <row r="520" ht="22.5" customHeight="1">
      <c r="A520" s="6"/>
      <c r="B520" s="6"/>
      <c r="C520" s="7"/>
      <c r="D520" s="6"/>
      <c r="E520" s="6"/>
    </row>
    <row r="521" ht="22.5" customHeight="1">
      <c r="A521" s="6"/>
      <c r="B521" s="6"/>
      <c r="C521" s="7"/>
      <c r="D521" s="6"/>
      <c r="E521" s="6"/>
    </row>
    <row r="522" ht="22.5" customHeight="1">
      <c r="A522" s="6"/>
      <c r="B522" s="6"/>
      <c r="C522" s="7"/>
      <c r="D522" s="6"/>
      <c r="E522" s="6"/>
    </row>
    <row r="523" ht="22.5" customHeight="1">
      <c r="A523" s="6"/>
      <c r="B523" s="6"/>
      <c r="C523" s="7"/>
      <c r="D523" s="6"/>
      <c r="E523" s="6"/>
    </row>
    <row r="524" ht="22.5" customHeight="1">
      <c r="A524" s="6"/>
      <c r="B524" s="6"/>
      <c r="C524" s="7"/>
      <c r="D524" s="6"/>
      <c r="E524" s="6"/>
    </row>
    <row r="525" ht="22.5" customHeight="1">
      <c r="A525" s="6"/>
      <c r="B525" s="6"/>
      <c r="C525" s="7"/>
      <c r="D525" s="6"/>
      <c r="E525" s="6"/>
    </row>
    <row r="526" ht="22.5" customHeight="1">
      <c r="A526" s="6"/>
      <c r="B526" s="6"/>
      <c r="C526" s="7"/>
      <c r="D526" s="6"/>
      <c r="E526" s="6"/>
    </row>
    <row r="527" ht="22.5" customHeight="1">
      <c r="A527" s="6"/>
      <c r="B527" s="6"/>
      <c r="C527" s="7"/>
      <c r="D527" s="6"/>
      <c r="E527" s="6"/>
    </row>
    <row r="528" ht="22.5" customHeight="1">
      <c r="A528" s="6"/>
      <c r="B528" s="6"/>
      <c r="C528" s="7"/>
      <c r="D528" s="6"/>
      <c r="E528" s="6"/>
    </row>
    <row r="529" ht="22.5" customHeight="1">
      <c r="A529" s="6"/>
      <c r="B529" s="6"/>
      <c r="C529" s="7"/>
      <c r="D529" s="6"/>
      <c r="E529" s="6"/>
    </row>
    <row r="530" ht="22.5" customHeight="1">
      <c r="A530" s="6"/>
      <c r="B530" s="6"/>
      <c r="C530" s="7"/>
      <c r="D530" s="6"/>
      <c r="E530" s="6"/>
    </row>
    <row r="531" ht="22.5" customHeight="1">
      <c r="A531" s="6"/>
      <c r="B531" s="6"/>
      <c r="C531" s="7"/>
      <c r="D531" s="6"/>
      <c r="E531" s="6"/>
    </row>
    <row r="532" ht="22.5" customHeight="1">
      <c r="A532" s="6"/>
      <c r="B532" s="6"/>
      <c r="C532" s="7"/>
      <c r="D532" s="6"/>
      <c r="E532" s="6"/>
    </row>
    <row r="533" ht="22.5" customHeight="1">
      <c r="A533" s="6"/>
      <c r="B533" s="6"/>
      <c r="C533" s="7"/>
      <c r="D533" s="6"/>
      <c r="E533" s="6"/>
    </row>
    <row r="534" ht="22.5" customHeight="1">
      <c r="A534" s="6"/>
      <c r="B534" s="6"/>
      <c r="C534" s="7"/>
      <c r="D534" s="6"/>
      <c r="E534" s="6"/>
    </row>
    <row r="535" ht="22.5" customHeight="1">
      <c r="A535" s="6"/>
      <c r="B535" s="6"/>
      <c r="C535" s="7"/>
      <c r="D535" s="6"/>
      <c r="E535" s="6"/>
    </row>
    <row r="536" ht="22.5" customHeight="1">
      <c r="A536" s="6"/>
      <c r="B536" s="6"/>
      <c r="C536" s="7"/>
      <c r="D536" s="6"/>
      <c r="E536" s="6"/>
    </row>
    <row r="537" ht="22.5" customHeight="1">
      <c r="A537" s="6"/>
      <c r="B537" s="6"/>
      <c r="C537" s="7"/>
      <c r="D537" s="6"/>
      <c r="E537" s="6"/>
    </row>
    <row r="538" ht="22.5" customHeight="1">
      <c r="A538" s="6"/>
      <c r="B538" s="6"/>
      <c r="C538" s="7"/>
      <c r="D538" s="6"/>
      <c r="E538" s="6"/>
    </row>
    <row r="539" ht="22.5" customHeight="1">
      <c r="A539" s="6"/>
      <c r="B539" s="6"/>
      <c r="C539" s="7"/>
      <c r="D539" s="6"/>
      <c r="E539" s="6"/>
    </row>
    <row r="540" ht="22.5" customHeight="1">
      <c r="A540" s="6"/>
      <c r="B540" s="6"/>
      <c r="C540" s="7"/>
      <c r="D540" s="6"/>
      <c r="E540" s="6"/>
    </row>
    <row r="541" ht="22.5" customHeight="1">
      <c r="A541" s="6"/>
      <c r="B541" s="6"/>
      <c r="C541" s="7"/>
      <c r="D541" s="6"/>
      <c r="E541" s="6"/>
    </row>
    <row r="542" ht="22.5" customHeight="1">
      <c r="A542" s="6"/>
      <c r="B542" s="6"/>
      <c r="C542" s="7"/>
      <c r="D542" s="6"/>
      <c r="E542" s="6"/>
    </row>
    <row r="543" ht="22.5" customHeight="1">
      <c r="A543" s="6"/>
      <c r="B543" s="6"/>
      <c r="C543" s="7"/>
      <c r="D543" s="6"/>
      <c r="E543" s="6"/>
    </row>
    <row r="544" ht="22.5" customHeight="1">
      <c r="A544" s="6"/>
      <c r="B544" s="6"/>
      <c r="C544" s="7"/>
      <c r="D544" s="6"/>
      <c r="E544" s="6"/>
    </row>
    <row r="545" ht="22.5" customHeight="1">
      <c r="A545" s="6"/>
      <c r="B545" s="6"/>
      <c r="C545" s="7"/>
      <c r="D545" s="6"/>
      <c r="E545" s="6"/>
    </row>
    <row r="546" ht="22.5" customHeight="1">
      <c r="A546" s="6"/>
      <c r="B546" s="6"/>
      <c r="C546" s="7"/>
      <c r="D546" s="6"/>
      <c r="E546" s="6"/>
    </row>
    <row r="547" ht="22.5" customHeight="1">
      <c r="A547" s="6"/>
      <c r="B547" s="6"/>
      <c r="C547" s="7"/>
      <c r="D547" s="6"/>
      <c r="E547" s="6"/>
    </row>
    <row r="548" ht="22.5" customHeight="1">
      <c r="A548" s="6"/>
      <c r="B548" s="6"/>
      <c r="C548" s="7"/>
      <c r="D548" s="6"/>
      <c r="E548" s="6"/>
    </row>
    <row r="549" ht="22.5" customHeight="1">
      <c r="A549" s="6"/>
      <c r="B549" s="6"/>
      <c r="C549" s="7"/>
      <c r="D549" s="6"/>
      <c r="E549" s="6"/>
    </row>
    <row r="550" ht="22.5" customHeight="1">
      <c r="A550" s="6"/>
      <c r="B550" s="6"/>
      <c r="C550" s="7"/>
      <c r="D550" s="6"/>
      <c r="E550" s="6"/>
    </row>
    <row r="551" ht="22.5" customHeight="1">
      <c r="A551" s="6"/>
      <c r="B551" s="6"/>
      <c r="C551" s="7"/>
      <c r="D551" s="6"/>
      <c r="E551" s="6"/>
    </row>
    <row r="552" ht="22.5" customHeight="1">
      <c r="A552" s="6"/>
      <c r="B552" s="6"/>
      <c r="C552" s="7"/>
      <c r="D552" s="6"/>
      <c r="E552" s="6"/>
    </row>
    <row r="553" ht="22.5" customHeight="1">
      <c r="A553" s="6"/>
      <c r="B553" s="6"/>
      <c r="C553" s="7"/>
      <c r="D553" s="6"/>
      <c r="E553" s="6"/>
    </row>
    <row r="554" ht="22.5" customHeight="1">
      <c r="A554" s="6"/>
      <c r="B554" s="6"/>
      <c r="C554" s="7"/>
      <c r="D554" s="6"/>
      <c r="E554" s="6"/>
    </row>
    <row r="555" ht="22.5" customHeight="1">
      <c r="A555" s="6"/>
      <c r="B555" s="6"/>
      <c r="C555" s="7"/>
      <c r="D555" s="6"/>
      <c r="E555" s="6"/>
    </row>
    <row r="556" ht="22.5" customHeight="1">
      <c r="A556" s="6"/>
      <c r="B556" s="6"/>
      <c r="C556" s="7"/>
      <c r="D556" s="6"/>
      <c r="E556" s="6"/>
    </row>
    <row r="557" ht="22.5" customHeight="1">
      <c r="A557" s="6"/>
      <c r="B557" s="6"/>
      <c r="C557" s="7"/>
      <c r="D557" s="6"/>
      <c r="E557" s="6"/>
    </row>
    <row r="558" ht="22.5" customHeight="1">
      <c r="A558" s="6"/>
      <c r="B558" s="6"/>
      <c r="C558" s="7"/>
      <c r="D558" s="6"/>
      <c r="E558" s="6"/>
    </row>
    <row r="559" ht="22.5" customHeight="1">
      <c r="A559" s="6"/>
      <c r="B559" s="6"/>
      <c r="C559" s="7"/>
      <c r="D559" s="6"/>
      <c r="E559" s="6"/>
    </row>
    <row r="560" ht="22.5" customHeight="1">
      <c r="A560" s="6"/>
      <c r="B560" s="6"/>
      <c r="C560" s="7"/>
      <c r="D560" s="6"/>
      <c r="E560" s="6"/>
    </row>
    <row r="561" ht="22.5" customHeight="1">
      <c r="A561" s="6"/>
      <c r="B561" s="6"/>
      <c r="C561" s="7"/>
      <c r="D561" s="6"/>
      <c r="E561" s="6"/>
    </row>
    <row r="562" ht="22.5" customHeight="1">
      <c r="A562" s="6"/>
      <c r="B562" s="6"/>
      <c r="C562" s="7"/>
      <c r="D562" s="6"/>
      <c r="E562" s="6"/>
    </row>
    <row r="563" ht="22.5" customHeight="1">
      <c r="A563" s="6"/>
      <c r="B563" s="6"/>
      <c r="C563" s="7"/>
      <c r="D563" s="6"/>
      <c r="E563" s="6"/>
    </row>
    <row r="564" ht="22.5" customHeight="1">
      <c r="A564" s="6"/>
      <c r="B564" s="6"/>
      <c r="C564" s="7"/>
      <c r="D564" s="6"/>
      <c r="E564" s="6"/>
    </row>
    <row r="565" ht="22.5" customHeight="1">
      <c r="A565" s="6"/>
      <c r="B565" s="6"/>
      <c r="C565" s="7"/>
      <c r="D565" s="6"/>
      <c r="E565" s="6"/>
    </row>
    <row r="566" ht="22.5" customHeight="1">
      <c r="A566" s="6"/>
      <c r="B566" s="6"/>
      <c r="C566" s="7"/>
      <c r="D566" s="6"/>
      <c r="E566" s="6"/>
    </row>
    <row r="567" ht="22.5" customHeight="1">
      <c r="A567" s="6"/>
      <c r="B567" s="6"/>
      <c r="C567" s="7"/>
      <c r="D567" s="6"/>
      <c r="E567" s="6"/>
    </row>
    <row r="568" ht="22.5" customHeight="1">
      <c r="A568" s="6"/>
      <c r="B568" s="6"/>
      <c r="C568" s="7"/>
      <c r="D568" s="6"/>
      <c r="E568" s="6"/>
    </row>
    <row r="569" ht="22.5" customHeight="1">
      <c r="A569" s="6"/>
      <c r="B569" s="6"/>
      <c r="C569" s="7"/>
      <c r="D569" s="6"/>
      <c r="E569" s="6"/>
    </row>
    <row r="570" ht="22.5" customHeight="1">
      <c r="A570" s="6"/>
      <c r="B570" s="6"/>
      <c r="C570" s="7"/>
      <c r="D570" s="6"/>
      <c r="E570" s="6"/>
    </row>
    <row r="571" ht="22.5" customHeight="1">
      <c r="A571" s="6"/>
      <c r="B571" s="6"/>
      <c r="C571" s="7"/>
      <c r="D571" s="6"/>
      <c r="E571" s="6"/>
    </row>
    <row r="572" ht="22.5" customHeight="1">
      <c r="A572" s="6"/>
      <c r="B572" s="6"/>
      <c r="C572" s="7"/>
      <c r="D572" s="6"/>
      <c r="E572" s="6"/>
    </row>
    <row r="573" ht="22.5" customHeight="1">
      <c r="A573" s="6"/>
      <c r="B573" s="6"/>
      <c r="C573" s="7"/>
      <c r="D573" s="6"/>
      <c r="E573" s="6"/>
    </row>
    <row r="574" ht="22.5" customHeight="1">
      <c r="A574" s="6"/>
      <c r="B574" s="6"/>
      <c r="C574" s="7"/>
      <c r="D574" s="6"/>
      <c r="E574" s="6"/>
    </row>
    <row r="575" ht="22.5" customHeight="1">
      <c r="A575" s="6"/>
      <c r="B575" s="6"/>
      <c r="C575" s="7"/>
      <c r="D575" s="6"/>
      <c r="E575" s="6"/>
    </row>
    <row r="576" ht="22.5" customHeight="1">
      <c r="A576" s="6"/>
      <c r="B576" s="6"/>
      <c r="C576" s="7"/>
      <c r="D576" s="6"/>
      <c r="E576" s="6"/>
    </row>
    <row r="577" ht="22.5" customHeight="1">
      <c r="A577" s="6"/>
      <c r="B577" s="6"/>
      <c r="C577" s="7"/>
      <c r="D577" s="6"/>
      <c r="E577" s="6"/>
    </row>
    <row r="578" ht="22.5" customHeight="1">
      <c r="A578" s="6"/>
      <c r="B578" s="6"/>
      <c r="C578" s="7"/>
      <c r="D578" s="6"/>
      <c r="E578" s="6"/>
    </row>
    <row r="579" ht="22.5" customHeight="1">
      <c r="A579" s="6"/>
      <c r="B579" s="6"/>
      <c r="C579" s="7"/>
      <c r="D579" s="6"/>
      <c r="E579" s="6"/>
    </row>
    <row r="580" ht="22.5" customHeight="1">
      <c r="A580" s="6"/>
      <c r="B580" s="6"/>
      <c r="C580" s="7"/>
      <c r="D580" s="6"/>
      <c r="E580" s="6"/>
    </row>
    <row r="581" ht="22.5" customHeight="1">
      <c r="A581" s="6"/>
      <c r="B581" s="6"/>
      <c r="C581" s="7"/>
      <c r="D581" s="6"/>
      <c r="E581" s="6"/>
    </row>
    <row r="582" ht="22.5" customHeight="1">
      <c r="A582" s="6"/>
      <c r="B582" s="6"/>
      <c r="C582" s="7"/>
      <c r="D582" s="6"/>
      <c r="E582" s="6"/>
    </row>
    <row r="583" ht="22.5" customHeight="1">
      <c r="A583" s="6"/>
      <c r="B583" s="6"/>
      <c r="C583" s="7"/>
      <c r="D583" s="6"/>
      <c r="E583" s="6"/>
    </row>
    <row r="584" ht="22.5" customHeight="1">
      <c r="A584" s="6"/>
      <c r="B584" s="6"/>
      <c r="C584" s="7"/>
      <c r="D584" s="6"/>
      <c r="E584" s="6"/>
    </row>
    <row r="585" ht="22.5" customHeight="1">
      <c r="A585" s="6"/>
      <c r="B585" s="6"/>
      <c r="C585" s="7"/>
      <c r="D585" s="6"/>
      <c r="E585" s="6"/>
    </row>
    <row r="586" ht="22.5" customHeight="1">
      <c r="A586" s="6"/>
      <c r="B586" s="6"/>
      <c r="C586" s="7"/>
      <c r="D586" s="6"/>
      <c r="E586" s="6"/>
    </row>
    <row r="587" ht="22.5" customHeight="1">
      <c r="A587" s="6"/>
      <c r="B587" s="6"/>
      <c r="C587" s="7"/>
      <c r="D587" s="6"/>
      <c r="E587" s="6"/>
    </row>
    <row r="588" ht="22.5" customHeight="1">
      <c r="A588" s="6"/>
      <c r="B588" s="6"/>
      <c r="C588" s="7"/>
      <c r="D588" s="6"/>
      <c r="E588" s="6"/>
    </row>
    <row r="589" ht="22.5" customHeight="1">
      <c r="A589" s="6"/>
      <c r="B589" s="6"/>
      <c r="C589" s="7"/>
      <c r="D589" s="6"/>
      <c r="E589" s="6"/>
    </row>
    <row r="590" ht="22.5" customHeight="1">
      <c r="A590" s="6"/>
      <c r="B590" s="6"/>
      <c r="C590" s="7"/>
      <c r="D590" s="6"/>
      <c r="E590" s="6"/>
    </row>
    <row r="591" ht="22.5" customHeight="1">
      <c r="A591" s="6"/>
      <c r="B591" s="6"/>
      <c r="C591" s="7"/>
      <c r="D591" s="6"/>
      <c r="E591" s="6"/>
    </row>
    <row r="592" ht="22.5" customHeight="1">
      <c r="A592" s="6"/>
      <c r="B592" s="6"/>
      <c r="C592" s="7"/>
      <c r="D592" s="6"/>
      <c r="E592" s="6"/>
    </row>
    <row r="593" ht="22.5" customHeight="1">
      <c r="A593" s="6"/>
      <c r="B593" s="6"/>
      <c r="C593" s="7"/>
      <c r="D593" s="6"/>
      <c r="E593" s="6"/>
    </row>
    <row r="594" ht="22.5" customHeight="1">
      <c r="A594" s="6"/>
      <c r="B594" s="6"/>
      <c r="C594" s="7"/>
      <c r="D594" s="6"/>
      <c r="E594" s="6"/>
    </row>
    <row r="595" ht="22.5" customHeight="1">
      <c r="A595" s="6"/>
      <c r="B595" s="6"/>
      <c r="C595" s="7"/>
      <c r="D595" s="6"/>
      <c r="E595" s="6"/>
    </row>
    <row r="596" ht="22.5" customHeight="1">
      <c r="A596" s="6"/>
      <c r="B596" s="6"/>
      <c r="C596" s="7"/>
      <c r="D596" s="6"/>
      <c r="E596" s="6"/>
    </row>
    <row r="597" ht="22.5" customHeight="1">
      <c r="A597" s="6"/>
      <c r="B597" s="6"/>
      <c r="C597" s="7"/>
      <c r="D597" s="6"/>
      <c r="E597" s="6"/>
    </row>
    <row r="598" ht="22.5" customHeight="1">
      <c r="A598" s="6"/>
      <c r="B598" s="6"/>
      <c r="C598" s="7"/>
      <c r="D598" s="6"/>
      <c r="E598" s="6"/>
    </row>
    <row r="599" ht="22.5" customHeight="1">
      <c r="A599" s="6"/>
      <c r="B599" s="6"/>
      <c r="C599" s="7"/>
      <c r="D599" s="6"/>
      <c r="E599" s="6"/>
    </row>
    <row r="600" ht="22.5" customHeight="1">
      <c r="A600" s="6"/>
      <c r="B600" s="6"/>
      <c r="C600" s="7"/>
      <c r="D600" s="6"/>
      <c r="E600" s="6"/>
    </row>
    <row r="601" ht="22.5" customHeight="1">
      <c r="A601" s="6"/>
      <c r="B601" s="6"/>
      <c r="C601" s="7"/>
      <c r="D601" s="6"/>
      <c r="E601" s="6"/>
    </row>
    <row r="602" ht="22.5" customHeight="1">
      <c r="A602" s="6"/>
      <c r="B602" s="6"/>
      <c r="C602" s="7"/>
      <c r="D602" s="6"/>
      <c r="E602" s="6"/>
    </row>
    <row r="603" ht="22.5" customHeight="1">
      <c r="A603" s="6"/>
      <c r="B603" s="6"/>
      <c r="C603" s="7"/>
      <c r="D603" s="6"/>
      <c r="E603" s="6"/>
    </row>
    <row r="604" ht="22.5" customHeight="1">
      <c r="A604" s="6"/>
      <c r="B604" s="6"/>
      <c r="C604" s="7"/>
      <c r="D604" s="6"/>
      <c r="E604" s="6"/>
    </row>
    <row r="605" ht="22.5" customHeight="1">
      <c r="A605" s="6"/>
      <c r="B605" s="6"/>
      <c r="C605" s="7"/>
      <c r="D605" s="6"/>
      <c r="E605" s="6"/>
    </row>
    <row r="606" ht="22.5" customHeight="1">
      <c r="A606" s="6"/>
      <c r="B606" s="6"/>
      <c r="C606" s="7"/>
      <c r="D606" s="6"/>
      <c r="E606" s="6"/>
    </row>
    <row r="607" ht="22.5" customHeight="1">
      <c r="A607" s="6"/>
      <c r="B607" s="6"/>
      <c r="C607" s="7"/>
      <c r="D607" s="6"/>
      <c r="E607" s="6"/>
    </row>
    <row r="608" ht="22.5" customHeight="1">
      <c r="A608" s="6"/>
      <c r="B608" s="6"/>
      <c r="C608" s="7"/>
      <c r="D608" s="6"/>
      <c r="E608" s="6"/>
    </row>
    <row r="609" ht="22.5" customHeight="1">
      <c r="A609" s="6"/>
      <c r="B609" s="6"/>
      <c r="C609" s="7"/>
      <c r="D609" s="6"/>
      <c r="E609" s="6"/>
    </row>
    <row r="610" ht="22.5" customHeight="1">
      <c r="A610" s="6"/>
      <c r="B610" s="6"/>
      <c r="C610" s="7"/>
      <c r="D610" s="6"/>
      <c r="E610" s="6"/>
    </row>
    <row r="611" ht="22.5" customHeight="1">
      <c r="A611" s="6"/>
      <c r="B611" s="6"/>
      <c r="C611" s="7"/>
      <c r="D611" s="6"/>
      <c r="E611" s="6"/>
    </row>
    <row r="612" ht="22.5" customHeight="1">
      <c r="A612" s="6"/>
      <c r="B612" s="6"/>
      <c r="C612" s="7"/>
      <c r="D612" s="6"/>
      <c r="E612" s="6"/>
    </row>
    <row r="613" ht="22.5" customHeight="1">
      <c r="A613" s="6"/>
      <c r="B613" s="6"/>
      <c r="C613" s="7"/>
      <c r="D613" s="6"/>
      <c r="E613" s="6"/>
    </row>
    <row r="614" ht="22.5" customHeight="1">
      <c r="A614" s="6"/>
      <c r="B614" s="6"/>
      <c r="C614" s="7"/>
      <c r="D614" s="6"/>
      <c r="E614" s="6"/>
    </row>
    <row r="615" ht="22.5" customHeight="1">
      <c r="A615" s="6"/>
      <c r="B615" s="6"/>
      <c r="C615" s="7"/>
      <c r="D615" s="6"/>
      <c r="E615" s="6"/>
    </row>
    <row r="616" ht="22.5" customHeight="1">
      <c r="A616" s="6"/>
      <c r="B616" s="6"/>
      <c r="C616" s="7"/>
      <c r="D616" s="6"/>
      <c r="E616" s="6"/>
    </row>
    <row r="617" ht="22.5" customHeight="1">
      <c r="A617" s="6"/>
      <c r="B617" s="6"/>
      <c r="C617" s="7"/>
      <c r="D617" s="6"/>
      <c r="E617" s="6"/>
    </row>
    <row r="618" ht="22.5" customHeight="1">
      <c r="A618" s="6"/>
      <c r="B618" s="6"/>
      <c r="C618" s="7"/>
      <c r="D618" s="6"/>
      <c r="E618" s="6"/>
    </row>
    <row r="619" ht="22.5" customHeight="1">
      <c r="A619" s="6"/>
      <c r="B619" s="6"/>
      <c r="C619" s="7"/>
      <c r="D619" s="6"/>
      <c r="E619" s="6"/>
    </row>
    <row r="620" ht="22.5" customHeight="1">
      <c r="A620" s="6"/>
      <c r="B620" s="6"/>
      <c r="C620" s="7"/>
      <c r="D620" s="6"/>
      <c r="E620" s="6"/>
    </row>
    <row r="621" ht="22.5" customHeight="1">
      <c r="A621" s="6"/>
      <c r="B621" s="6"/>
      <c r="C621" s="7"/>
      <c r="D621" s="6"/>
      <c r="E621" s="6"/>
    </row>
    <row r="622" ht="22.5" customHeight="1">
      <c r="A622" s="6"/>
      <c r="B622" s="6"/>
      <c r="C622" s="7"/>
      <c r="D622" s="6"/>
      <c r="E622" s="6"/>
    </row>
    <row r="623" ht="22.5" customHeight="1">
      <c r="A623" s="6"/>
      <c r="B623" s="6"/>
      <c r="C623" s="7"/>
      <c r="D623" s="6"/>
      <c r="E623" s="6"/>
    </row>
    <row r="624" ht="22.5" customHeight="1">
      <c r="A624" s="6"/>
      <c r="B624" s="6"/>
      <c r="C624" s="7"/>
      <c r="D624" s="6"/>
      <c r="E624" s="6"/>
    </row>
    <row r="625" ht="22.5" customHeight="1">
      <c r="A625" s="6"/>
      <c r="B625" s="6"/>
      <c r="C625" s="7"/>
      <c r="D625" s="6"/>
      <c r="E625" s="6"/>
    </row>
    <row r="626" ht="22.5" customHeight="1">
      <c r="A626" s="6"/>
      <c r="B626" s="6"/>
      <c r="C626" s="7"/>
      <c r="D626" s="6"/>
      <c r="E626" s="6"/>
    </row>
    <row r="627" ht="22.5" customHeight="1">
      <c r="A627" s="6"/>
      <c r="B627" s="6"/>
      <c r="C627" s="7"/>
      <c r="D627" s="6"/>
      <c r="E627" s="6"/>
    </row>
    <row r="628" ht="22.5" customHeight="1">
      <c r="A628" s="6"/>
      <c r="B628" s="6"/>
      <c r="C628" s="7"/>
      <c r="D628" s="6"/>
      <c r="E628" s="6"/>
    </row>
    <row r="629" ht="22.5" customHeight="1">
      <c r="A629" s="6"/>
      <c r="B629" s="6"/>
      <c r="C629" s="7"/>
      <c r="D629" s="6"/>
      <c r="E629" s="6"/>
    </row>
    <row r="630" ht="22.5" customHeight="1">
      <c r="A630" s="6"/>
      <c r="B630" s="6"/>
      <c r="C630" s="7"/>
      <c r="D630" s="6"/>
      <c r="E630" s="6"/>
    </row>
    <row r="631" ht="22.5" customHeight="1">
      <c r="A631" s="6"/>
      <c r="B631" s="6"/>
      <c r="C631" s="7"/>
      <c r="D631" s="6"/>
      <c r="E631" s="6"/>
    </row>
    <row r="632" ht="22.5" customHeight="1">
      <c r="A632" s="6"/>
      <c r="B632" s="6"/>
      <c r="C632" s="7"/>
      <c r="D632" s="6"/>
      <c r="E632" s="6"/>
    </row>
    <row r="633" ht="22.5" customHeight="1">
      <c r="A633" s="6"/>
      <c r="B633" s="6"/>
      <c r="C633" s="7"/>
      <c r="D633" s="6"/>
      <c r="E633" s="6"/>
    </row>
    <row r="634" ht="22.5" customHeight="1">
      <c r="A634" s="6"/>
      <c r="B634" s="6"/>
      <c r="C634" s="7"/>
      <c r="D634" s="6"/>
      <c r="E634" s="6"/>
    </row>
    <row r="635" ht="22.5" customHeight="1">
      <c r="A635" s="6"/>
      <c r="B635" s="6"/>
      <c r="C635" s="7"/>
      <c r="D635" s="6"/>
      <c r="E635" s="6"/>
    </row>
    <row r="636" ht="22.5" customHeight="1">
      <c r="A636" s="6"/>
      <c r="B636" s="6"/>
      <c r="C636" s="7"/>
      <c r="D636" s="6"/>
      <c r="E636" s="6"/>
    </row>
    <row r="637" ht="22.5" customHeight="1">
      <c r="A637" s="6"/>
      <c r="B637" s="6"/>
      <c r="C637" s="7"/>
      <c r="D637" s="6"/>
      <c r="E637" s="6"/>
    </row>
    <row r="638" ht="22.5" customHeight="1">
      <c r="A638" s="6"/>
      <c r="B638" s="6"/>
      <c r="C638" s="7"/>
      <c r="D638" s="6"/>
      <c r="E638" s="6"/>
    </row>
    <row r="639" ht="22.5" customHeight="1">
      <c r="A639" s="6"/>
      <c r="B639" s="6"/>
      <c r="C639" s="7"/>
      <c r="D639" s="6"/>
      <c r="E639" s="6"/>
    </row>
    <row r="640" ht="22.5" customHeight="1">
      <c r="A640" s="6"/>
      <c r="B640" s="6"/>
      <c r="C640" s="7"/>
      <c r="D640" s="6"/>
      <c r="E640" s="6"/>
    </row>
    <row r="641" ht="22.5" customHeight="1">
      <c r="A641" s="6"/>
      <c r="B641" s="6"/>
      <c r="C641" s="7"/>
      <c r="D641" s="6"/>
      <c r="E641" s="6"/>
    </row>
    <row r="642" ht="22.5" customHeight="1">
      <c r="A642" s="6"/>
      <c r="B642" s="6"/>
      <c r="C642" s="7"/>
      <c r="D642" s="6"/>
      <c r="E642" s="6"/>
    </row>
    <row r="643" ht="22.5" customHeight="1">
      <c r="A643" s="6"/>
      <c r="B643" s="6"/>
      <c r="C643" s="7"/>
      <c r="D643" s="6"/>
      <c r="E643" s="6"/>
    </row>
    <row r="644" ht="22.5" customHeight="1">
      <c r="A644" s="6"/>
      <c r="B644" s="6"/>
      <c r="C644" s="7"/>
      <c r="D644" s="6"/>
      <c r="E644" s="6"/>
    </row>
    <row r="645" ht="22.5" customHeight="1">
      <c r="A645" s="6"/>
      <c r="B645" s="6"/>
      <c r="C645" s="7"/>
      <c r="D645" s="6"/>
      <c r="E645" s="6"/>
    </row>
    <row r="646" ht="22.5" customHeight="1">
      <c r="A646" s="6"/>
      <c r="B646" s="6"/>
      <c r="C646" s="7"/>
      <c r="D646" s="6"/>
      <c r="E646" s="6"/>
    </row>
    <row r="647" ht="22.5" customHeight="1">
      <c r="A647" s="6"/>
      <c r="B647" s="6"/>
      <c r="C647" s="7"/>
      <c r="D647" s="6"/>
      <c r="E647" s="6"/>
    </row>
    <row r="648" ht="22.5" customHeight="1">
      <c r="A648" s="6"/>
      <c r="B648" s="6"/>
      <c r="C648" s="7"/>
      <c r="D648" s="6"/>
      <c r="E648" s="6"/>
    </row>
    <row r="649" ht="22.5" customHeight="1">
      <c r="A649" s="6"/>
      <c r="B649" s="6"/>
      <c r="C649" s="7"/>
      <c r="D649" s="6"/>
      <c r="E649" s="6"/>
    </row>
    <row r="650" ht="22.5" customHeight="1">
      <c r="A650" s="6"/>
      <c r="B650" s="6"/>
      <c r="C650" s="7"/>
      <c r="D650" s="6"/>
      <c r="E650" s="6"/>
    </row>
    <row r="651" ht="22.5" customHeight="1">
      <c r="A651" s="6"/>
      <c r="B651" s="6"/>
      <c r="C651" s="7"/>
      <c r="D651" s="6"/>
      <c r="E651" s="6"/>
    </row>
    <row r="652" ht="22.5" customHeight="1">
      <c r="A652" s="6"/>
      <c r="B652" s="6"/>
      <c r="C652" s="7"/>
      <c r="D652" s="6"/>
      <c r="E652" s="6"/>
    </row>
    <row r="653" ht="22.5" customHeight="1">
      <c r="A653" s="6"/>
      <c r="B653" s="6"/>
      <c r="C653" s="7"/>
      <c r="D653" s="6"/>
      <c r="E653" s="6"/>
    </row>
    <row r="654" ht="22.5" customHeight="1">
      <c r="A654" s="6"/>
      <c r="B654" s="6"/>
      <c r="C654" s="7"/>
      <c r="D654" s="6"/>
      <c r="E654" s="6"/>
    </row>
    <row r="655" ht="22.5" customHeight="1">
      <c r="A655" s="6"/>
      <c r="B655" s="6"/>
      <c r="C655" s="7"/>
      <c r="D655" s="6"/>
      <c r="E655" s="6"/>
    </row>
    <row r="656" ht="22.5" customHeight="1">
      <c r="A656" s="6"/>
      <c r="B656" s="6"/>
      <c r="C656" s="7"/>
      <c r="D656" s="6"/>
      <c r="E656" s="6"/>
    </row>
    <row r="657" ht="22.5" customHeight="1">
      <c r="A657" s="6"/>
      <c r="B657" s="6"/>
      <c r="C657" s="7"/>
      <c r="D657" s="6"/>
      <c r="E657" s="6"/>
    </row>
    <row r="658" ht="22.5" customHeight="1">
      <c r="A658" s="6"/>
      <c r="B658" s="6"/>
      <c r="C658" s="7"/>
      <c r="D658" s="6"/>
      <c r="E658" s="6"/>
    </row>
    <row r="659" ht="22.5" customHeight="1">
      <c r="A659" s="6"/>
      <c r="B659" s="6"/>
      <c r="C659" s="7"/>
      <c r="D659" s="6"/>
      <c r="E659" s="6"/>
    </row>
    <row r="660" ht="22.5" customHeight="1">
      <c r="A660" s="6"/>
      <c r="B660" s="6"/>
      <c r="C660" s="7"/>
      <c r="D660" s="6"/>
      <c r="E660" s="6"/>
    </row>
    <row r="661" ht="22.5" customHeight="1">
      <c r="A661" s="6"/>
      <c r="B661" s="6"/>
      <c r="C661" s="7"/>
      <c r="D661" s="6"/>
      <c r="E661" s="6"/>
    </row>
    <row r="662" ht="22.5" customHeight="1">
      <c r="A662" s="6"/>
      <c r="B662" s="6"/>
      <c r="C662" s="7"/>
      <c r="D662" s="6"/>
      <c r="E662" s="6"/>
    </row>
    <row r="663" ht="22.5" customHeight="1">
      <c r="A663" s="6"/>
      <c r="B663" s="6"/>
      <c r="C663" s="7"/>
      <c r="D663" s="6"/>
      <c r="E663" s="6"/>
    </row>
    <row r="664" ht="22.5" customHeight="1">
      <c r="A664" s="6"/>
      <c r="B664" s="6"/>
      <c r="C664" s="7"/>
      <c r="D664" s="6"/>
      <c r="E664" s="6"/>
    </row>
    <row r="665" ht="22.5" customHeight="1">
      <c r="A665" s="6"/>
      <c r="B665" s="6"/>
      <c r="C665" s="7"/>
      <c r="D665" s="6"/>
      <c r="E665" s="6"/>
    </row>
    <row r="666" ht="22.5" customHeight="1">
      <c r="A666" s="6"/>
      <c r="B666" s="6"/>
      <c r="C666" s="7"/>
      <c r="D666" s="6"/>
      <c r="E666" s="6"/>
    </row>
    <row r="667" ht="22.5" customHeight="1">
      <c r="A667" s="6"/>
      <c r="B667" s="6"/>
      <c r="C667" s="7"/>
      <c r="D667" s="6"/>
      <c r="E667" s="6"/>
    </row>
    <row r="668" ht="22.5" customHeight="1">
      <c r="A668" s="6"/>
      <c r="B668" s="6"/>
      <c r="C668" s="7"/>
      <c r="D668" s="6"/>
      <c r="E668" s="6"/>
    </row>
    <row r="669" ht="22.5" customHeight="1">
      <c r="A669" s="6"/>
      <c r="B669" s="6"/>
      <c r="C669" s="7"/>
      <c r="D669" s="6"/>
      <c r="E669" s="6"/>
    </row>
    <row r="670" ht="22.5" customHeight="1">
      <c r="A670" s="6"/>
      <c r="B670" s="6"/>
      <c r="C670" s="7"/>
      <c r="D670" s="6"/>
      <c r="E670" s="6"/>
    </row>
    <row r="671" ht="22.5" customHeight="1">
      <c r="A671" s="6"/>
      <c r="B671" s="6"/>
      <c r="C671" s="7"/>
      <c r="D671" s="6"/>
      <c r="E671" s="6"/>
    </row>
    <row r="672" ht="22.5" customHeight="1">
      <c r="A672" s="6"/>
      <c r="B672" s="6"/>
      <c r="C672" s="7"/>
      <c r="D672" s="6"/>
      <c r="E672" s="6"/>
    </row>
    <row r="673" ht="22.5" customHeight="1">
      <c r="A673" s="6"/>
      <c r="B673" s="6"/>
      <c r="C673" s="7"/>
      <c r="D673" s="6"/>
      <c r="E673" s="6"/>
    </row>
    <row r="674" ht="22.5" customHeight="1">
      <c r="A674" s="6"/>
      <c r="B674" s="6"/>
      <c r="C674" s="7"/>
      <c r="D674" s="6"/>
      <c r="E674" s="6"/>
    </row>
    <row r="675" ht="22.5" customHeight="1">
      <c r="A675" s="6"/>
      <c r="B675" s="6"/>
      <c r="C675" s="7"/>
      <c r="D675" s="6"/>
      <c r="E675" s="6"/>
    </row>
    <row r="676" ht="22.5" customHeight="1">
      <c r="A676" s="6"/>
      <c r="B676" s="6"/>
      <c r="C676" s="7"/>
      <c r="D676" s="6"/>
      <c r="E676" s="6"/>
    </row>
    <row r="677" ht="22.5" customHeight="1">
      <c r="A677" s="6"/>
      <c r="B677" s="6"/>
      <c r="C677" s="7"/>
      <c r="D677" s="6"/>
      <c r="E677" s="6"/>
    </row>
    <row r="678" ht="22.5" customHeight="1">
      <c r="A678" s="6"/>
      <c r="B678" s="6"/>
      <c r="C678" s="7"/>
      <c r="D678" s="6"/>
      <c r="E678" s="6"/>
    </row>
    <row r="679" ht="22.5" customHeight="1">
      <c r="A679" s="6"/>
      <c r="B679" s="6"/>
      <c r="C679" s="7"/>
      <c r="D679" s="6"/>
      <c r="E679" s="6"/>
    </row>
    <row r="680" ht="22.5" customHeight="1">
      <c r="A680" s="6"/>
      <c r="B680" s="6"/>
      <c r="C680" s="7"/>
      <c r="D680" s="6"/>
      <c r="E680" s="6"/>
    </row>
    <row r="681" ht="22.5" customHeight="1">
      <c r="A681" s="6"/>
      <c r="B681" s="6"/>
      <c r="C681" s="7"/>
      <c r="D681" s="6"/>
      <c r="E681" s="6"/>
    </row>
    <row r="682" ht="22.5" customHeight="1">
      <c r="A682" s="6"/>
      <c r="B682" s="6"/>
      <c r="C682" s="7"/>
      <c r="D682" s="6"/>
      <c r="E682" s="6"/>
    </row>
    <row r="683" ht="22.5" customHeight="1">
      <c r="A683" s="6"/>
      <c r="B683" s="6"/>
      <c r="C683" s="7"/>
      <c r="D683" s="6"/>
      <c r="E683" s="6"/>
    </row>
    <row r="684" ht="22.5" customHeight="1">
      <c r="A684" s="6"/>
      <c r="B684" s="6"/>
      <c r="C684" s="7"/>
      <c r="D684" s="6"/>
      <c r="E684" s="6"/>
    </row>
    <row r="685" ht="22.5" customHeight="1">
      <c r="A685" s="6"/>
      <c r="B685" s="6"/>
      <c r="C685" s="7"/>
      <c r="D685" s="6"/>
      <c r="E685" s="6"/>
    </row>
    <row r="686" ht="22.5" customHeight="1">
      <c r="A686" s="6"/>
      <c r="B686" s="6"/>
      <c r="C686" s="7"/>
      <c r="D686" s="6"/>
      <c r="E686" s="6"/>
    </row>
    <row r="687" ht="22.5" customHeight="1">
      <c r="A687" s="6"/>
      <c r="B687" s="6"/>
      <c r="C687" s="7"/>
      <c r="D687" s="6"/>
      <c r="E687" s="6"/>
    </row>
    <row r="688" ht="22.5" customHeight="1">
      <c r="A688" s="6"/>
      <c r="B688" s="6"/>
      <c r="C688" s="7"/>
      <c r="D688" s="6"/>
      <c r="E688" s="6"/>
    </row>
    <row r="689" ht="22.5" customHeight="1">
      <c r="A689" s="6"/>
      <c r="B689" s="6"/>
      <c r="C689" s="7"/>
      <c r="D689" s="6"/>
      <c r="E689" s="6"/>
    </row>
    <row r="690" ht="22.5" customHeight="1">
      <c r="A690" s="6"/>
      <c r="B690" s="6"/>
      <c r="C690" s="7"/>
      <c r="D690" s="6"/>
      <c r="E690" s="6"/>
    </row>
    <row r="691" ht="22.5" customHeight="1">
      <c r="A691" s="6"/>
      <c r="B691" s="6"/>
      <c r="C691" s="7"/>
      <c r="D691" s="6"/>
      <c r="E691" s="6"/>
    </row>
    <row r="692" ht="22.5" customHeight="1">
      <c r="A692" s="6"/>
      <c r="B692" s="6"/>
      <c r="C692" s="7"/>
      <c r="D692" s="6"/>
      <c r="E692" s="6"/>
    </row>
    <row r="693" ht="22.5" customHeight="1">
      <c r="A693" s="6"/>
      <c r="B693" s="6"/>
      <c r="C693" s="7"/>
      <c r="D693" s="6"/>
      <c r="E693" s="6"/>
    </row>
    <row r="694" ht="22.5" customHeight="1">
      <c r="A694" s="6"/>
      <c r="B694" s="6"/>
      <c r="C694" s="7"/>
      <c r="D694" s="6"/>
      <c r="E694" s="6"/>
    </row>
    <row r="695" ht="22.5" customHeight="1">
      <c r="A695" s="6"/>
      <c r="B695" s="6"/>
      <c r="C695" s="7"/>
      <c r="D695" s="6"/>
      <c r="E695" s="6"/>
    </row>
    <row r="696" ht="22.5" customHeight="1">
      <c r="A696" s="6"/>
      <c r="B696" s="6"/>
      <c r="C696" s="7"/>
      <c r="D696" s="6"/>
      <c r="E696" s="6"/>
    </row>
    <row r="697" ht="22.5" customHeight="1">
      <c r="A697" s="6"/>
      <c r="B697" s="6"/>
      <c r="C697" s="7"/>
      <c r="D697" s="6"/>
      <c r="E697" s="6"/>
    </row>
    <row r="698" ht="22.5" customHeight="1">
      <c r="A698" s="6"/>
      <c r="B698" s="6"/>
      <c r="C698" s="7"/>
      <c r="D698" s="6"/>
      <c r="E698" s="6"/>
    </row>
    <row r="699" ht="22.5" customHeight="1">
      <c r="A699" s="6"/>
      <c r="B699" s="6"/>
      <c r="C699" s="7"/>
      <c r="D699" s="6"/>
      <c r="E699" s="6"/>
    </row>
    <row r="700" ht="22.5" customHeight="1">
      <c r="A700" s="6"/>
      <c r="B700" s="6"/>
      <c r="C700" s="7"/>
      <c r="D700" s="6"/>
      <c r="E700" s="6"/>
    </row>
    <row r="701" ht="22.5" customHeight="1">
      <c r="A701" s="6"/>
      <c r="B701" s="6"/>
      <c r="C701" s="7"/>
      <c r="D701" s="6"/>
      <c r="E701" s="6"/>
    </row>
    <row r="702" ht="22.5" customHeight="1">
      <c r="A702" s="6"/>
      <c r="B702" s="6"/>
      <c r="C702" s="7"/>
      <c r="D702" s="6"/>
      <c r="E702" s="6"/>
    </row>
    <row r="703" ht="22.5" customHeight="1">
      <c r="A703" s="6"/>
      <c r="B703" s="6"/>
      <c r="C703" s="7"/>
      <c r="D703" s="6"/>
      <c r="E703" s="6"/>
    </row>
    <row r="704" ht="22.5" customHeight="1">
      <c r="A704" s="6"/>
      <c r="B704" s="6"/>
      <c r="C704" s="7"/>
      <c r="D704" s="6"/>
      <c r="E704" s="6"/>
    </row>
    <row r="705" ht="22.5" customHeight="1">
      <c r="A705" s="6"/>
      <c r="B705" s="6"/>
      <c r="C705" s="7"/>
      <c r="D705" s="6"/>
      <c r="E705" s="6"/>
    </row>
    <row r="706" ht="22.5" customHeight="1">
      <c r="A706" s="6"/>
      <c r="B706" s="6"/>
      <c r="C706" s="7"/>
      <c r="D706" s="6"/>
      <c r="E706" s="6"/>
    </row>
    <row r="707" ht="22.5" customHeight="1">
      <c r="A707" s="6"/>
      <c r="B707" s="6"/>
      <c r="C707" s="7"/>
      <c r="D707" s="6"/>
      <c r="E707" s="6"/>
    </row>
    <row r="708" ht="22.5" customHeight="1">
      <c r="A708" s="6"/>
      <c r="B708" s="6"/>
      <c r="C708" s="7"/>
      <c r="D708" s="6"/>
      <c r="E708" s="6"/>
    </row>
    <row r="709" ht="22.5" customHeight="1">
      <c r="A709" s="6"/>
      <c r="B709" s="6"/>
      <c r="C709" s="7"/>
      <c r="D709" s="6"/>
      <c r="E709" s="6"/>
    </row>
    <row r="710" ht="22.5" customHeight="1">
      <c r="A710" s="6"/>
      <c r="B710" s="6"/>
      <c r="C710" s="7"/>
      <c r="D710" s="6"/>
      <c r="E710" s="6"/>
    </row>
    <row r="711" ht="22.5" customHeight="1">
      <c r="A711" s="6"/>
      <c r="B711" s="6"/>
      <c r="C711" s="7"/>
      <c r="D711" s="6"/>
      <c r="E711" s="6"/>
    </row>
    <row r="712" ht="22.5" customHeight="1">
      <c r="A712" s="6"/>
      <c r="B712" s="6"/>
      <c r="C712" s="7"/>
      <c r="D712" s="6"/>
      <c r="E712" s="6"/>
    </row>
    <row r="713" ht="22.5" customHeight="1">
      <c r="A713" s="6"/>
      <c r="B713" s="6"/>
      <c r="C713" s="7"/>
      <c r="D713" s="6"/>
      <c r="E713" s="6"/>
    </row>
    <row r="714" ht="22.5" customHeight="1">
      <c r="A714" s="6"/>
      <c r="B714" s="6"/>
      <c r="C714" s="7"/>
      <c r="D714" s="6"/>
      <c r="E714" s="6"/>
    </row>
    <row r="715" ht="22.5" customHeight="1">
      <c r="A715" s="6"/>
      <c r="B715" s="6"/>
      <c r="C715" s="7"/>
      <c r="D715" s="6"/>
      <c r="E715" s="6"/>
    </row>
    <row r="716" ht="22.5" customHeight="1">
      <c r="A716" s="6"/>
      <c r="B716" s="6"/>
      <c r="C716" s="7"/>
      <c r="D716" s="6"/>
      <c r="E716" s="6"/>
    </row>
    <row r="717" ht="22.5" customHeight="1">
      <c r="A717" s="6"/>
      <c r="B717" s="6"/>
      <c r="C717" s="7"/>
      <c r="D717" s="6"/>
      <c r="E717" s="6"/>
    </row>
    <row r="718" ht="22.5" customHeight="1">
      <c r="A718" s="6"/>
      <c r="B718" s="6"/>
      <c r="C718" s="7"/>
      <c r="D718" s="6"/>
      <c r="E718" s="6"/>
    </row>
    <row r="719" ht="22.5" customHeight="1">
      <c r="A719" s="6"/>
      <c r="B719" s="6"/>
      <c r="C719" s="7"/>
      <c r="D719" s="6"/>
      <c r="E719" s="6"/>
    </row>
    <row r="720" ht="22.5" customHeight="1">
      <c r="A720" s="6"/>
      <c r="B720" s="6"/>
      <c r="C720" s="7"/>
      <c r="D720" s="6"/>
      <c r="E720" s="6"/>
    </row>
    <row r="721" ht="22.5" customHeight="1">
      <c r="A721" s="6"/>
      <c r="B721" s="6"/>
      <c r="C721" s="7"/>
      <c r="D721" s="6"/>
      <c r="E721" s="6"/>
    </row>
    <row r="722" ht="22.5" customHeight="1">
      <c r="A722" s="6"/>
      <c r="B722" s="6"/>
      <c r="C722" s="7"/>
      <c r="D722" s="6"/>
      <c r="E722" s="6"/>
    </row>
    <row r="723" ht="22.5" customHeight="1">
      <c r="A723" s="6"/>
      <c r="B723" s="6"/>
      <c r="C723" s="7"/>
      <c r="D723" s="6"/>
      <c r="E723" s="6"/>
    </row>
    <row r="724" ht="22.5" customHeight="1">
      <c r="A724" s="6"/>
      <c r="B724" s="6"/>
      <c r="C724" s="7"/>
      <c r="D724" s="6"/>
      <c r="E724" s="6"/>
    </row>
    <row r="725" ht="22.5" customHeight="1">
      <c r="A725" s="6"/>
      <c r="B725" s="6"/>
      <c r="C725" s="7"/>
      <c r="D725" s="6"/>
      <c r="E725" s="6"/>
    </row>
    <row r="726" ht="22.5" customHeight="1">
      <c r="A726" s="6"/>
      <c r="B726" s="6"/>
      <c r="C726" s="7"/>
      <c r="D726" s="6"/>
      <c r="E726" s="6"/>
    </row>
    <row r="727" ht="22.5" customHeight="1">
      <c r="A727" s="6"/>
      <c r="B727" s="6"/>
      <c r="C727" s="7"/>
      <c r="D727" s="6"/>
      <c r="E727" s="6"/>
    </row>
    <row r="728" ht="22.5" customHeight="1">
      <c r="A728" s="6"/>
      <c r="B728" s="6"/>
      <c r="C728" s="7"/>
      <c r="D728" s="6"/>
      <c r="E728" s="6"/>
    </row>
    <row r="729" ht="22.5" customHeight="1">
      <c r="A729" s="6"/>
      <c r="B729" s="6"/>
      <c r="C729" s="7"/>
      <c r="D729" s="6"/>
      <c r="E729" s="6"/>
    </row>
    <row r="730" ht="22.5" customHeight="1">
      <c r="A730" s="6"/>
      <c r="B730" s="6"/>
      <c r="C730" s="7"/>
      <c r="D730" s="6"/>
      <c r="E730" s="6"/>
    </row>
    <row r="731" ht="22.5" customHeight="1">
      <c r="A731" s="6"/>
      <c r="B731" s="6"/>
      <c r="C731" s="7"/>
      <c r="D731" s="6"/>
      <c r="E731" s="6"/>
    </row>
    <row r="732" ht="22.5" customHeight="1">
      <c r="A732" s="6"/>
      <c r="B732" s="6"/>
      <c r="C732" s="7"/>
      <c r="D732" s="6"/>
      <c r="E732" s="6"/>
    </row>
    <row r="733" ht="22.5" customHeight="1">
      <c r="A733" s="6"/>
      <c r="B733" s="6"/>
      <c r="C733" s="7"/>
      <c r="D733" s="6"/>
      <c r="E733" s="6"/>
    </row>
    <row r="734" ht="22.5" customHeight="1">
      <c r="A734" s="6"/>
      <c r="B734" s="6"/>
      <c r="C734" s="7"/>
      <c r="D734" s="6"/>
      <c r="E734" s="6"/>
    </row>
    <row r="735" ht="22.5" customHeight="1">
      <c r="A735" s="6"/>
      <c r="B735" s="6"/>
      <c r="C735" s="7"/>
      <c r="D735" s="6"/>
      <c r="E735" s="6"/>
    </row>
    <row r="736" ht="22.5" customHeight="1">
      <c r="A736" s="6"/>
      <c r="B736" s="6"/>
      <c r="C736" s="7"/>
      <c r="D736" s="6"/>
      <c r="E736" s="6"/>
    </row>
    <row r="737" ht="22.5" customHeight="1">
      <c r="A737" s="6"/>
      <c r="B737" s="6"/>
      <c r="C737" s="7"/>
      <c r="D737" s="6"/>
      <c r="E737" s="6"/>
    </row>
    <row r="738" ht="22.5" customHeight="1">
      <c r="A738" s="6"/>
      <c r="B738" s="6"/>
      <c r="C738" s="7"/>
      <c r="D738" s="6"/>
      <c r="E738" s="6"/>
    </row>
    <row r="739" ht="22.5" customHeight="1">
      <c r="A739" s="6"/>
      <c r="B739" s="6"/>
      <c r="C739" s="7"/>
      <c r="D739" s="6"/>
      <c r="E739" s="6"/>
    </row>
    <row r="740" ht="22.5" customHeight="1">
      <c r="A740" s="6"/>
      <c r="B740" s="6"/>
      <c r="C740" s="7"/>
      <c r="D740" s="6"/>
      <c r="E740" s="6"/>
    </row>
    <row r="741" ht="22.5" customHeight="1">
      <c r="A741" s="6"/>
      <c r="B741" s="6"/>
      <c r="C741" s="7"/>
      <c r="D741" s="6"/>
      <c r="E741" s="6"/>
    </row>
    <row r="742" ht="22.5" customHeight="1">
      <c r="A742" s="6"/>
      <c r="B742" s="6"/>
      <c r="C742" s="7"/>
      <c r="D742" s="6"/>
      <c r="E742" s="6"/>
    </row>
    <row r="743" ht="22.5" customHeight="1">
      <c r="A743" s="6"/>
      <c r="B743" s="6"/>
      <c r="C743" s="7"/>
      <c r="D743" s="6"/>
      <c r="E743" s="6"/>
    </row>
    <row r="744" ht="22.5" customHeight="1">
      <c r="A744" s="6"/>
      <c r="B744" s="6"/>
      <c r="C744" s="7"/>
      <c r="D744" s="6"/>
      <c r="E744" s="6"/>
    </row>
    <row r="745" ht="22.5" customHeight="1">
      <c r="A745" s="6"/>
      <c r="B745" s="6"/>
      <c r="C745" s="7"/>
      <c r="D745" s="6"/>
      <c r="E745" s="6"/>
    </row>
    <row r="746" ht="22.5" customHeight="1">
      <c r="A746" s="6"/>
      <c r="B746" s="6"/>
      <c r="C746" s="7"/>
      <c r="D746" s="6"/>
      <c r="E746" s="6"/>
    </row>
    <row r="747" ht="22.5" customHeight="1">
      <c r="A747" s="6"/>
      <c r="B747" s="6"/>
      <c r="C747" s="7"/>
      <c r="D747" s="6"/>
      <c r="E747" s="6"/>
    </row>
    <row r="748" ht="22.5" customHeight="1">
      <c r="A748" s="6"/>
      <c r="B748" s="6"/>
      <c r="C748" s="7"/>
      <c r="D748" s="6"/>
      <c r="E748" s="6"/>
    </row>
    <row r="749" ht="22.5" customHeight="1">
      <c r="A749" s="6"/>
      <c r="B749" s="6"/>
      <c r="C749" s="7"/>
      <c r="D749" s="6"/>
      <c r="E749" s="6"/>
    </row>
    <row r="750" ht="22.5" customHeight="1">
      <c r="A750" s="6"/>
      <c r="B750" s="6"/>
      <c r="C750" s="7"/>
      <c r="D750" s="6"/>
      <c r="E750" s="6"/>
    </row>
    <row r="751" ht="22.5" customHeight="1">
      <c r="A751" s="6"/>
      <c r="B751" s="6"/>
      <c r="C751" s="7"/>
      <c r="D751" s="6"/>
      <c r="E751" s="6"/>
    </row>
    <row r="752" ht="22.5" customHeight="1">
      <c r="A752" s="6"/>
      <c r="B752" s="6"/>
      <c r="C752" s="7"/>
      <c r="D752" s="6"/>
      <c r="E752" s="6"/>
    </row>
    <row r="753" ht="22.5" customHeight="1">
      <c r="A753" s="6"/>
      <c r="B753" s="6"/>
      <c r="C753" s="7"/>
      <c r="D753" s="6"/>
      <c r="E753" s="6"/>
    </row>
    <row r="754" ht="22.5" customHeight="1">
      <c r="A754" s="6"/>
      <c r="B754" s="6"/>
      <c r="C754" s="7"/>
      <c r="D754" s="6"/>
      <c r="E754" s="6"/>
    </row>
    <row r="755" ht="22.5" customHeight="1">
      <c r="A755" s="6"/>
      <c r="B755" s="6"/>
      <c r="C755" s="7"/>
      <c r="D755" s="6"/>
      <c r="E755" s="6"/>
    </row>
    <row r="756" ht="22.5" customHeight="1">
      <c r="A756" s="6"/>
      <c r="B756" s="6"/>
      <c r="C756" s="7"/>
      <c r="D756" s="6"/>
      <c r="E756" s="6"/>
    </row>
    <row r="757" ht="22.5" customHeight="1">
      <c r="A757" s="6"/>
      <c r="B757" s="6"/>
      <c r="C757" s="7"/>
      <c r="D757" s="6"/>
      <c r="E757" s="6"/>
    </row>
    <row r="758" ht="22.5" customHeight="1">
      <c r="A758" s="6"/>
      <c r="B758" s="6"/>
      <c r="C758" s="7"/>
      <c r="D758" s="6"/>
      <c r="E758" s="6"/>
    </row>
    <row r="759" ht="22.5" customHeight="1">
      <c r="A759" s="6"/>
      <c r="B759" s="6"/>
      <c r="C759" s="7"/>
      <c r="D759" s="6"/>
      <c r="E759" s="6"/>
    </row>
    <row r="760" ht="22.5" customHeight="1">
      <c r="A760" s="6"/>
      <c r="B760" s="6"/>
      <c r="C760" s="7"/>
      <c r="D760" s="6"/>
      <c r="E760" s="6"/>
    </row>
    <row r="761" ht="22.5" customHeight="1">
      <c r="A761" s="6"/>
      <c r="B761" s="6"/>
      <c r="C761" s="7"/>
      <c r="D761" s="6"/>
      <c r="E761" s="6"/>
    </row>
    <row r="762" ht="22.5" customHeight="1">
      <c r="A762" s="6"/>
      <c r="B762" s="6"/>
      <c r="C762" s="7"/>
      <c r="D762" s="6"/>
      <c r="E762" s="6"/>
    </row>
    <row r="763" ht="22.5" customHeight="1">
      <c r="A763" s="6"/>
      <c r="B763" s="6"/>
      <c r="C763" s="7"/>
      <c r="D763" s="6"/>
      <c r="E763" s="6"/>
    </row>
    <row r="764" ht="22.5" customHeight="1">
      <c r="A764" s="6"/>
      <c r="B764" s="6"/>
      <c r="C764" s="7"/>
      <c r="D764" s="6"/>
      <c r="E764" s="6"/>
    </row>
    <row r="765" ht="22.5" customHeight="1">
      <c r="A765" s="6"/>
      <c r="B765" s="6"/>
      <c r="C765" s="7"/>
      <c r="D765" s="6"/>
      <c r="E765" s="6"/>
    </row>
    <row r="766" ht="22.5" customHeight="1">
      <c r="A766" s="6"/>
      <c r="B766" s="6"/>
      <c r="C766" s="7"/>
      <c r="D766" s="6"/>
      <c r="E766" s="6"/>
    </row>
    <row r="767" ht="22.5" customHeight="1">
      <c r="A767" s="6"/>
      <c r="B767" s="6"/>
      <c r="C767" s="7"/>
      <c r="D767" s="6"/>
      <c r="E767" s="6"/>
    </row>
    <row r="768" ht="22.5" customHeight="1">
      <c r="A768" s="6"/>
      <c r="B768" s="6"/>
      <c r="C768" s="7"/>
      <c r="D768" s="6"/>
      <c r="E768" s="6"/>
    </row>
    <row r="769" ht="22.5" customHeight="1">
      <c r="A769" s="6"/>
      <c r="B769" s="6"/>
      <c r="C769" s="7"/>
      <c r="D769" s="6"/>
      <c r="E769" s="6"/>
    </row>
    <row r="770" ht="22.5" customHeight="1">
      <c r="A770" s="6"/>
      <c r="B770" s="6"/>
      <c r="C770" s="7"/>
      <c r="D770" s="6"/>
      <c r="E770" s="6"/>
    </row>
    <row r="771" ht="22.5" customHeight="1">
      <c r="A771" s="6"/>
      <c r="B771" s="6"/>
      <c r="C771" s="7"/>
      <c r="D771" s="6"/>
      <c r="E771" s="6"/>
    </row>
    <row r="772" ht="22.5" customHeight="1">
      <c r="A772" s="6"/>
      <c r="B772" s="6"/>
      <c r="C772" s="7"/>
      <c r="D772" s="6"/>
      <c r="E772" s="6"/>
    </row>
    <row r="773" ht="22.5" customHeight="1">
      <c r="A773" s="6"/>
      <c r="B773" s="6"/>
      <c r="C773" s="7"/>
      <c r="D773" s="6"/>
      <c r="E773" s="6"/>
    </row>
    <row r="774" ht="22.5" customHeight="1">
      <c r="A774" s="6"/>
      <c r="B774" s="6"/>
      <c r="C774" s="7"/>
      <c r="D774" s="6"/>
      <c r="E774" s="6"/>
    </row>
    <row r="775" ht="22.5" customHeight="1">
      <c r="A775" s="6"/>
      <c r="B775" s="6"/>
      <c r="C775" s="7"/>
      <c r="D775" s="6"/>
      <c r="E775" s="6"/>
    </row>
    <row r="776" ht="22.5" customHeight="1">
      <c r="A776" s="6"/>
      <c r="B776" s="6"/>
      <c r="C776" s="7"/>
      <c r="D776" s="6"/>
      <c r="E776" s="6"/>
    </row>
    <row r="777" ht="22.5" customHeight="1">
      <c r="A777" s="6"/>
      <c r="B777" s="6"/>
      <c r="C777" s="7"/>
      <c r="D777" s="6"/>
      <c r="E777" s="6"/>
    </row>
    <row r="778" ht="22.5" customHeight="1">
      <c r="A778" s="6"/>
      <c r="B778" s="6"/>
      <c r="C778" s="7"/>
      <c r="D778" s="6"/>
      <c r="E778" s="6"/>
    </row>
    <row r="779" ht="22.5" customHeight="1">
      <c r="A779" s="6"/>
      <c r="B779" s="6"/>
      <c r="C779" s="7"/>
      <c r="D779" s="6"/>
      <c r="E779" s="6"/>
    </row>
    <row r="780" ht="22.5" customHeight="1">
      <c r="A780" s="6"/>
      <c r="B780" s="6"/>
      <c r="C780" s="7"/>
      <c r="D780" s="6"/>
      <c r="E780" s="6"/>
    </row>
    <row r="781" ht="22.5" customHeight="1">
      <c r="A781" s="6"/>
      <c r="B781" s="6"/>
      <c r="C781" s="7"/>
      <c r="D781" s="6"/>
      <c r="E781" s="6"/>
    </row>
    <row r="782" ht="22.5" customHeight="1">
      <c r="A782" s="6"/>
      <c r="B782" s="6"/>
      <c r="C782" s="7"/>
      <c r="D782" s="6"/>
      <c r="E782" s="6"/>
    </row>
    <row r="783" ht="22.5" customHeight="1">
      <c r="A783" s="6"/>
      <c r="B783" s="6"/>
      <c r="C783" s="7"/>
      <c r="D783" s="6"/>
      <c r="E783" s="6"/>
    </row>
    <row r="784" ht="22.5" customHeight="1">
      <c r="A784" s="6"/>
      <c r="B784" s="6"/>
      <c r="C784" s="7"/>
      <c r="D784" s="6"/>
      <c r="E784" s="6"/>
    </row>
    <row r="785" ht="22.5" customHeight="1">
      <c r="A785" s="6"/>
      <c r="B785" s="6"/>
      <c r="C785" s="7"/>
      <c r="D785" s="6"/>
      <c r="E785" s="6"/>
    </row>
    <row r="786" ht="22.5" customHeight="1">
      <c r="A786" s="6"/>
      <c r="B786" s="6"/>
      <c r="C786" s="7"/>
      <c r="D786" s="6"/>
      <c r="E786" s="6"/>
    </row>
    <row r="787" ht="22.5" customHeight="1">
      <c r="A787" s="6"/>
      <c r="B787" s="6"/>
      <c r="C787" s="7"/>
      <c r="D787" s="6"/>
      <c r="E787" s="6"/>
    </row>
    <row r="788" ht="22.5" customHeight="1">
      <c r="A788" s="6"/>
      <c r="B788" s="6"/>
      <c r="C788" s="7"/>
      <c r="D788" s="6"/>
      <c r="E788" s="6"/>
    </row>
    <row r="789" ht="22.5" customHeight="1">
      <c r="A789" s="6"/>
      <c r="B789" s="6"/>
      <c r="C789" s="7"/>
      <c r="D789" s="6"/>
      <c r="E789" s="6"/>
    </row>
    <row r="790" ht="22.5" customHeight="1">
      <c r="A790" s="6"/>
      <c r="B790" s="6"/>
      <c r="C790" s="7"/>
      <c r="D790" s="6"/>
      <c r="E790" s="6"/>
    </row>
    <row r="791" ht="22.5" customHeight="1">
      <c r="A791" s="6"/>
      <c r="B791" s="6"/>
      <c r="C791" s="7"/>
      <c r="D791" s="6"/>
      <c r="E791" s="6"/>
    </row>
    <row r="792" ht="22.5" customHeight="1">
      <c r="A792" s="6"/>
      <c r="B792" s="6"/>
      <c r="C792" s="7"/>
      <c r="D792" s="6"/>
      <c r="E792" s="6"/>
    </row>
    <row r="793" ht="22.5" customHeight="1">
      <c r="A793" s="6"/>
      <c r="B793" s="6"/>
      <c r="C793" s="7"/>
      <c r="D793" s="6"/>
      <c r="E793" s="6"/>
    </row>
    <row r="794" ht="22.5" customHeight="1">
      <c r="A794" s="6"/>
      <c r="B794" s="6"/>
      <c r="C794" s="7"/>
      <c r="D794" s="6"/>
      <c r="E794" s="6"/>
    </row>
    <row r="795" ht="22.5" customHeight="1">
      <c r="A795" s="6"/>
      <c r="B795" s="6"/>
      <c r="C795" s="7"/>
      <c r="D795" s="6"/>
      <c r="E795" s="6"/>
    </row>
    <row r="796" ht="22.5" customHeight="1">
      <c r="A796" s="6"/>
      <c r="B796" s="6"/>
      <c r="C796" s="7"/>
      <c r="D796" s="6"/>
      <c r="E796" s="6"/>
    </row>
    <row r="797" ht="22.5" customHeight="1">
      <c r="A797" s="6"/>
      <c r="B797" s="6"/>
      <c r="C797" s="7"/>
      <c r="D797" s="6"/>
      <c r="E797" s="6"/>
    </row>
    <row r="798" ht="22.5" customHeight="1">
      <c r="A798" s="6"/>
      <c r="B798" s="6"/>
      <c r="C798" s="7"/>
      <c r="D798" s="6"/>
      <c r="E798" s="6"/>
    </row>
    <row r="799" ht="22.5" customHeight="1">
      <c r="A799" s="6"/>
      <c r="B799" s="6"/>
      <c r="C799" s="7"/>
      <c r="D799" s="6"/>
      <c r="E799" s="6"/>
    </row>
    <row r="800" ht="22.5" customHeight="1">
      <c r="A800" s="6"/>
      <c r="B800" s="6"/>
      <c r="C800" s="7"/>
      <c r="D800" s="6"/>
      <c r="E800" s="6"/>
    </row>
    <row r="801" ht="22.5" customHeight="1">
      <c r="A801" s="6"/>
      <c r="B801" s="6"/>
      <c r="C801" s="7"/>
      <c r="D801" s="6"/>
      <c r="E801" s="6"/>
    </row>
    <row r="802" ht="22.5" customHeight="1">
      <c r="A802" s="6"/>
      <c r="B802" s="6"/>
      <c r="C802" s="7"/>
      <c r="D802" s="6"/>
      <c r="E802" s="6"/>
    </row>
    <row r="803" ht="22.5" customHeight="1">
      <c r="A803" s="6"/>
      <c r="B803" s="6"/>
      <c r="C803" s="7"/>
      <c r="D803" s="6"/>
      <c r="E803" s="6"/>
    </row>
    <row r="804" ht="22.5" customHeight="1">
      <c r="A804" s="6"/>
      <c r="B804" s="6"/>
      <c r="C804" s="7"/>
      <c r="D804" s="6"/>
      <c r="E804" s="6"/>
    </row>
    <row r="805" ht="22.5" customHeight="1">
      <c r="A805" s="6"/>
      <c r="B805" s="6"/>
      <c r="C805" s="7"/>
      <c r="D805" s="6"/>
      <c r="E805" s="6"/>
    </row>
    <row r="806" ht="22.5" customHeight="1">
      <c r="A806" s="6"/>
      <c r="B806" s="6"/>
      <c r="C806" s="7"/>
      <c r="D806" s="6"/>
      <c r="E806" s="6"/>
    </row>
    <row r="807" ht="22.5" customHeight="1">
      <c r="A807" s="6"/>
      <c r="B807" s="6"/>
      <c r="C807" s="7"/>
      <c r="D807" s="6"/>
      <c r="E807" s="6"/>
    </row>
    <row r="808" ht="22.5" customHeight="1">
      <c r="A808" s="6"/>
      <c r="B808" s="6"/>
      <c r="C808" s="7"/>
      <c r="D808" s="6"/>
      <c r="E808" s="6"/>
    </row>
    <row r="809" ht="22.5" customHeight="1">
      <c r="A809" s="6"/>
      <c r="B809" s="6"/>
      <c r="C809" s="7"/>
      <c r="D809" s="6"/>
      <c r="E809" s="6"/>
    </row>
    <row r="810" ht="22.5" customHeight="1">
      <c r="A810" s="6"/>
      <c r="B810" s="6"/>
      <c r="C810" s="7"/>
      <c r="D810" s="6"/>
      <c r="E810" s="6"/>
    </row>
    <row r="811" ht="22.5" customHeight="1">
      <c r="A811" s="6"/>
      <c r="B811" s="6"/>
      <c r="C811" s="7"/>
      <c r="D811" s="6"/>
      <c r="E811" s="6"/>
    </row>
    <row r="812" ht="22.5" customHeight="1">
      <c r="A812" s="6"/>
      <c r="B812" s="6"/>
      <c r="C812" s="7"/>
      <c r="D812" s="6"/>
      <c r="E812" s="6"/>
    </row>
    <row r="813" ht="22.5" customHeight="1">
      <c r="A813" s="6"/>
      <c r="B813" s="6"/>
      <c r="C813" s="7"/>
      <c r="D813" s="6"/>
      <c r="E813" s="6"/>
    </row>
    <row r="814" ht="22.5" customHeight="1">
      <c r="A814" s="6"/>
      <c r="B814" s="6"/>
      <c r="C814" s="7"/>
      <c r="D814" s="6"/>
      <c r="E814" s="6"/>
    </row>
    <row r="815" ht="22.5" customHeight="1">
      <c r="A815" s="6"/>
      <c r="B815" s="6"/>
      <c r="C815" s="7"/>
      <c r="D815" s="6"/>
      <c r="E815" s="6"/>
    </row>
    <row r="816" ht="22.5" customHeight="1">
      <c r="A816" s="6"/>
      <c r="B816" s="6"/>
      <c r="C816" s="7"/>
      <c r="D816" s="6"/>
      <c r="E816" s="6"/>
    </row>
    <row r="817" ht="22.5" customHeight="1">
      <c r="A817" s="6"/>
      <c r="B817" s="6"/>
      <c r="C817" s="7"/>
      <c r="D817" s="6"/>
      <c r="E817" s="6"/>
    </row>
    <row r="818" ht="22.5" customHeight="1">
      <c r="A818" s="6"/>
      <c r="B818" s="6"/>
      <c r="C818" s="7"/>
      <c r="D818" s="6"/>
      <c r="E818" s="6"/>
    </row>
    <row r="819" ht="22.5" customHeight="1">
      <c r="A819" s="6"/>
      <c r="B819" s="6"/>
      <c r="C819" s="7"/>
      <c r="D819" s="6"/>
      <c r="E819" s="6"/>
    </row>
    <row r="820" ht="22.5" customHeight="1">
      <c r="A820" s="6"/>
      <c r="B820" s="6"/>
      <c r="C820" s="7"/>
      <c r="D820" s="6"/>
      <c r="E820" s="6"/>
    </row>
    <row r="821" ht="22.5" customHeight="1">
      <c r="A821" s="6"/>
      <c r="B821" s="6"/>
      <c r="C821" s="7"/>
      <c r="D821" s="6"/>
      <c r="E821" s="6"/>
    </row>
    <row r="822" ht="22.5" customHeight="1">
      <c r="A822" s="6"/>
      <c r="B822" s="6"/>
      <c r="C822" s="7"/>
      <c r="D822" s="6"/>
      <c r="E822" s="6"/>
    </row>
    <row r="823" ht="22.5" customHeight="1">
      <c r="A823" s="6"/>
      <c r="B823" s="6"/>
      <c r="C823" s="7"/>
      <c r="D823" s="6"/>
      <c r="E823" s="6"/>
    </row>
    <row r="824" ht="22.5" customHeight="1">
      <c r="A824" s="6"/>
      <c r="B824" s="6"/>
      <c r="C824" s="7"/>
      <c r="D824" s="6"/>
      <c r="E824" s="6"/>
    </row>
    <row r="825" ht="22.5" customHeight="1">
      <c r="A825" s="6"/>
      <c r="B825" s="6"/>
      <c r="C825" s="7"/>
      <c r="D825" s="6"/>
      <c r="E825" s="6"/>
    </row>
    <row r="826" ht="22.5" customHeight="1">
      <c r="A826" s="6"/>
      <c r="B826" s="6"/>
      <c r="C826" s="7"/>
      <c r="D826" s="6"/>
      <c r="E826" s="6"/>
    </row>
    <row r="827" ht="22.5" customHeight="1">
      <c r="A827" s="6"/>
      <c r="B827" s="6"/>
      <c r="C827" s="7"/>
      <c r="D827" s="6"/>
      <c r="E827" s="6"/>
    </row>
    <row r="828" ht="22.5" customHeight="1">
      <c r="A828" s="6"/>
      <c r="B828" s="6"/>
      <c r="C828" s="7"/>
      <c r="D828" s="6"/>
      <c r="E828" s="6"/>
    </row>
    <row r="829" ht="22.5" customHeight="1">
      <c r="A829" s="6"/>
      <c r="B829" s="6"/>
      <c r="C829" s="7"/>
      <c r="D829" s="6"/>
      <c r="E829" s="6"/>
    </row>
    <row r="830" ht="22.5" customHeight="1">
      <c r="A830" s="6"/>
      <c r="B830" s="6"/>
      <c r="C830" s="7"/>
      <c r="D830" s="6"/>
      <c r="E830" s="6"/>
    </row>
    <row r="831" ht="22.5" customHeight="1">
      <c r="A831" s="6"/>
      <c r="B831" s="6"/>
      <c r="C831" s="7"/>
      <c r="D831" s="6"/>
      <c r="E831" s="6"/>
    </row>
    <row r="832" ht="22.5" customHeight="1">
      <c r="A832" s="6"/>
      <c r="B832" s="6"/>
      <c r="C832" s="7"/>
      <c r="D832" s="6"/>
      <c r="E832" s="6"/>
    </row>
    <row r="833" ht="22.5" customHeight="1">
      <c r="A833" s="6"/>
      <c r="B833" s="6"/>
      <c r="C833" s="7"/>
      <c r="D833" s="6"/>
      <c r="E833" s="6"/>
    </row>
    <row r="834" ht="22.5" customHeight="1">
      <c r="A834" s="6"/>
      <c r="B834" s="6"/>
      <c r="C834" s="7"/>
      <c r="D834" s="6"/>
      <c r="E834" s="6"/>
    </row>
    <row r="835" ht="22.5" customHeight="1">
      <c r="A835" s="6"/>
      <c r="B835" s="6"/>
      <c r="C835" s="7"/>
      <c r="D835" s="6"/>
      <c r="E835" s="6"/>
    </row>
    <row r="836" ht="22.5" customHeight="1">
      <c r="A836" s="6"/>
      <c r="B836" s="6"/>
      <c r="C836" s="7"/>
      <c r="D836" s="6"/>
      <c r="E836" s="6"/>
    </row>
    <row r="837" ht="22.5" customHeight="1">
      <c r="A837" s="6"/>
      <c r="B837" s="6"/>
      <c r="C837" s="7"/>
      <c r="D837" s="6"/>
      <c r="E837" s="6"/>
    </row>
    <row r="838" ht="22.5" customHeight="1">
      <c r="A838" s="6"/>
      <c r="B838" s="6"/>
      <c r="C838" s="7"/>
      <c r="D838" s="6"/>
      <c r="E838" s="6"/>
    </row>
    <row r="839" ht="22.5" customHeight="1">
      <c r="A839" s="6"/>
      <c r="B839" s="6"/>
      <c r="C839" s="7"/>
      <c r="D839" s="6"/>
      <c r="E839" s="6"/>
    </row>
    <row r="840" ht="22.5" customHeight="1">
      <c r="A840" s="6"/>
      <c r="B840" s="6"/>
      <c r="C840" s="7"/>
      <c r="D840" s="6"/>
      <c r="E840" s="6"/>
    </row>
    <row r="841" ht="22.5" customHeight="1">
      <c r="A841" s="6"/>
      <c r="B841" s="6"/>
      <c r="C841" s="7"/>
      <c r="D841" s="6"/>
      <c r="E841" s="6"/>
    </row>
    <row r="842" ht="22.5" customHeight="1">
      <c r="A842" s="6"/>
      <c r="B842" s="6"/>
      <c r="C842" s="7"/>
      <c r="D842" s="6"/>
      <c r="E842" s="6"/>
    </row>
    <row r="843" ht="22.5" customHeight="1">
      <c r="A843" s="6"/>
      <c r="B843" s="6"/>
      <c r="C843" s="7"/>
      <c r="D843" s="6"/>
      <c r="E843" s="6"/>
    </row>
    <row r="844" ht="22.5" customHeight="1">
      <c r="A844" s="6"/>
      <c r="B844" s="6"/>
      <c r="C844" s="7"/>
      <c r="D844" s="6"/>
      <c r="E844" s="6"/>
    </row>
    <row r="845" ht="22.5" customHeight="1">
      <c r="A845" s="6"/>
      <c r="B845" s="6"/>
      <c r="C845" s="7"/>
      <c r="D845" s="6"/>
      <c r="E845" s="6"/>
    </row>
    <row r="846" ht="22.5" customHeight="1">
      <c r="A846" s="6"/>
      <c r="B846" s="6"/>
      <c r="C846" s="7"/>
      <c r="D846" s="6"/>
      <c r="E846" s="6"/>
    </row>
    <row r="847" ht="22.5" customHeight="1">
      <c r="A847" s="6"/>
      <c r="B847" s="6"/>
      <c r="C847" s="7"/>
      <c r="D847" s="6"/>
      <c r="E847" s="6"/>
    </row>
    <row r="848" ht="22.5" customHeight="1">
      <c r="A848" s="6"/>
      <c r="B848" s="6"/>
      <c r="C848" s="7"/>
      <c r="D848" s="6"/>
      <c r="E848" s="6"/>
    </row>
    <row r="849" ht="22.5" customHeight="1">
      <c r="A849" s="6"/>
      <c r="B849" s="6"/>
      <c r="C849" s="7"/>
      <c r="D849" s="6"/>
      <c r="E849" s="6"/>
    </row>
    <row r="850" ht="22.5" customHeight="1">
      <c r="A850" s="6"/>
      <c r="B850" s="6"/>
      <c r="C850" s="7"/>
      <c r="D850" s="6"/>
      <c r="E850" s="6"/>
    </row>
    <row r="851" ht="22.5" customHeight="1">
      <c r="A851" s="6"/>
      <c r="B851" s="6"/>
      <c r="C851" s="7"/>
      <c r="D851" s="6"/>
      <c r="E851" s="6"/>
    </row>
    <row r="852" ht="22.5" customHeight="1">
      <c r="A852" s="6"/>
      <c r="B852" s="6"/>
      <c r="C852" s="7"/>
      <c r="D852" s="6"/>
      <c r="E852" s="6"/>
    </row>
    <row r="853" ht="22.5" customHeight="1">
      <c r="A853" s="6"/>
      <c r="B853" s="6"/>
      <c r="C853" s="7"/>
      <c r="D853" s="6"/>
      <c r="E853" s="6"/>
    </row>
    <row r="854" ht="22.5" customHeight="1">
      <c r="A854" s="6"/>
      <c r="B854" s="6"/>
      <c r="C854" s="7"/>
      <c r="D854" s="6"/>
      <c r="E854" s="6"/>
    </row>
    <row r="855" ht="22.5" customHeight="1">
      <c r="A855" s="6"/>
      <c r="B855" s="6"/>
      <c r="C855" s="7"/>
      <c r="D855" s="6"/>
      <c r="E855" s="6"/>
    </row>
    <row r="856" ht="22.5" customHeight="1">
      <c r="A856" s="6"/>
      <c r="B856" s="6"/>
      <c r="C856" s="7"/>
      <c r="D856" s="6"/>
      <c r="E856" s="6"/>
    </row>
    <row r="857" ht="22.5" customHeight="1">
      <c r="A857" s="6"/>
      <c r="B857" s="6"/>
      <c r="C857" s="7"/>
      <c r="D857" s="6"/>
      <c r="E857" s="6"/>
    </row>
    <row r="858" ht="22.5" customHeight="1">
      <c r="A858" s="6"/>
      <c r="B858" s="6"/>
      <c r="C858" s="7"/>
      <c r="D858" s="6"/>
      <c r="E858" s="6"/>
    </row>
    <row r="859" ht="22.5" customHeight="1">
      <c r="A859" s="6"/>
      <c r="B859" s="6"/>
      <c r="C859" s="7"/>
      <c r="D859" s="6"/>
      <c r="E859" s="6"/>
    </row>
    <row r="860" ht="22.5" customHeight="1">
      <c r="A860" s="6"/>
      <c r="B860" s="6"/>
      <c r="C860" s="7"/>
      <c r="D860" s="6"/>
      <c r="E860" s="6"/>
    </row>
    <row r="861" ht="22.5" customHeight="1">
      <c r="A861" s="6"/>
      <c r="B861" s="6"/>
      <c r="C861" s="7"/>
      <c r="D861" s="6"/>
      <c r="E861" s="6"/>
    </row>
    <row r="862" ht="22.5" customHeight="1">
      <c r="A862" s="6"/>
      <c r="B862" s="6"/>
      <c r="C862" s="7"/>
      <c r="D862" s="6"/>
      <c r="E862" s="6"/>
    </row>
    <row r="863" ht="22.5" customHeight="1">
      <c r="A863" s="6"/>
      <c r="B863" s="6"/>
      <c r="C863" s="7"/>
      <c r="D863" s="6"/>
      <c r="E863" s="6"/>
    </row>
    <row r="864" ht="22.5" customHeight="1">
      <c r="A864" s="6"/>
      <c r="B864" s="6"/>
      <c r="C864" s="7"/>
      <c r="D864" s="6"/>
      <c r="E864" s="6"/>
    </row>
    <row r="865" ht="22.5" customHeight="1">
      <c r="A865" s="6"/>
      <c r="B865" s="6"/>
      <c r="C865" s="7"/>
      <c r="D865" s="6"/>
      <c r="E865" s="6"/>
    </row>
    <row r="866" ht="22.5" customHeight="1">
      <c r="A866" s="6"/>
      <c r="B866" s="6"/>
      <c r="C866" s="7"/>
      <c r="D866" s="6"/>
      <c r="E866" s="6"/>
    </row>
    <row r="867" ht="22.5" customHeight="1">
      <c r="A867" s="6"/>
      <c r="B867" s="6"/>
      <c r="C867" s="7"/>
      <c r="D867" s="6"/>
      <c r="E867" s="6"/>
    </row>
    <row r="868" ht="22.5" customHeight="1">
      <c r="A868" s="6"/>
      <c r="B868" s="6"/>
      <c r="C868" s="7"/>
      <c r="D868" s="6"/>
      <c r="E868" s="6"/>
    </row>
    <row r="869" ht="22.5" customHeight="1">
      <c r="A869" s="6"/>
      <c r="B869" s="6"/>
      <c r="C869" s="7"/>
      <c r="D869" s="6"/>
      <c r="E869" s="6"/>
    </row>
    <row r="870" ht="22.5" customHeight="1">
      <c r="A870" s="6"/>
      <c r="B870" s="6"/>
      <c r="C870" s="7"/>
      <c r="D870" s="6"/>
      <c r="E870" s="6"/>
    </row>
    <row r="871" ht="22.5" customHeight="1">
      <c r="A871" s="6"/>
      <c r="B871" s="6"/>
      <c r="C871" s="7"/>
      <c r="D871" s="6"/>
      <c r="E871" s="6"/>
    </row>
    <row r="872" ht="22.5" customHeight="1">
      <c r="A872" s="6"/>
      <c r="B872" s="6"/>
      <c r="C872" s="7"/>
      <c r="D872" s="6"/>
      <c r="E872" s="6"/>
    </row>
    <row r="873" ht="22.5" customHeight="1">
      <c r="A873" s="6"/>
      <c r="B873" s="6"/>
      <c r="C873" s="7"/>
      <c r="D873" s="6"/>
      <c r="E873" s="6"/>
    </row>
    <row r="874" ht="22.5" customHeight="1">
      <c r="A874" s="6"/>
      <c r="B874" s="6"/>
      <c r="C874" s="7"/>
      <c r="D874" s="6"/>
      <c r="E874" s="6"/>
    </row>
    <row r="875" ht="22.5" customHeight="1">
      <c r="A875" s="6"/>
      <c r="B875" s="6"/>
      <c r="C875" s="7"/>
      <c r="D875" s="6"/>
      <c r="E875" s="6"/>
    </row>
    <row r="876" ht="22.5" customHeight="1">
      <c r="A876" s="6"/>
      <c r="B876" s="6"/>
      <c r="C876" s="7"/>
      <c r="D876" s="6"/>
      <c r="E876" s="6"/>
    </row>
    <row r="877" ht="22.5" customHeight="1">
      <c r="A877" s="6"/>
      <c r="B877" s="6"/>
      <c r="C877" s="7"/>
      <c r="D877" s="6"/>
      <c r="E877" s="6"/>
    </row>
    <row r="878" ht="22.5" customHeight="1">
      <c r="A878" s="6"/>
      <c r="B878" s="6"/>
      <c r="C878" s="7"/>
      <c r="D878" s="6"/>
      <c r="E878" s="6"/>
    </row>
    <row r="879" ht="22.5" customHeight="1">
      <c r="A879" s="6"/>
      <c r="B879" s="6"/>
      <c r="C879" s="7"/>
      <c r="D879" s="6"/>
      <c r="E879" s="6"/>
    </row>
    <row r="880" ht="22.5" customHeight="1">
      <c r="A880" s="6"/>
      <c r="B880" s="6"/>
      <c r="C880" s="7"/>
      <c r="D880" s="6"/>
      <c r="E880" s="6"/>
    </row>
    <row r="881" ht="22.5" customHeight="1">
      <c r="A881" s="6"/>
      <c r="B881" s="6"/>
      <c r="C881" s="7"/>
      <c r="D881" s="6"/>
      <c r="E881" s="6"/>
    </row>
    <row r="882" ht="22.5" customHeight="1">
      <c r="A882" s="6"/>
      <c r="B882" s="6"/>
      <c r="C882" s="7"/>
      <c r="D882" s="6"/>
      <c r="E882" s="6"/>
    </row>
    <row r="883" ht="22.5" customHeight="1">
      <c r="A883" s="6"/>
      <c r="B883" s="6"/>
      <c r="C883" s="7"/>
      <c r="D883" s="6"/>
      <c r="E883" s="6"/>
    </row>
    <row r="884" ht="22.5" customHeight="1">
      <c r="A884" s="6"/>
      <c r="B884" s="6"/>
      <c r="C884" s="7"/>
      <c r="D884" s="6"/>
      <c r="E884" s="6"/>
    </row>
    <row r="885" ht="22.5" customHeight="1">
      <c r="A885" s="6"/>
      <c r="B885" s="6"/>
      <c r="C885" s="7"/>
      <c r="D885" s="6"/>
      <c r="E885" s="6"/>
    </row>
    <row r="886" ht="22.5" customHeight="1">
      <c r="A886" s="6"/>
      <c r="B886" s="6"/>
      <c r="C886" s="7"/>
      <c r="D886" s="6"/>
      <c r="E886" s="6"/>
    </row>
    <row r="887" ht="22.5" customHeight="1">
      <c r="A887" s="6"/>
      <c r="B887" s="6"/>
      <c r="C887" s="7"/>
      <c r="D887" s="6"/>
      <c r="E887" s="6"/>
    </row>
    <row r="888" ht="22.5" customHeight="1">
      <c r="A888" s="6"/>
      <c r="B888" s="6"/>
      <c r="C888" s="7"/>
      <c r="D888" s="6"/>
      <c r="E888" s="6"/>
    </row>
    <row r="889" ht="22.5" customHeight="1">
      <c r="A889" s="6"/>
      <c r="B889" s="6"/>
      <c r="C889" s="7"/>
      <c r="D889" s="6"/>
      <c r="E889" s="6"/>
    </row>
    <row r="890" ht="22.5" customHeight="1">
      <c r="A890" s="6"/>
      <c r="B890" s="6"/>
      <c r="C890" s="7"/>
      <c r="D890" s="6"/>
      <c r="E890" s="6"/>
    </row>
    <row r="891" ht="22.5" customHeight="1">
      <c r="A891" s="6"/>
      <c r="B891" s="6"/>
      <c r="C891" s="7"/>
      <c r="D891" s="6"/>
      <c r="E891" s="6"/>
    </row>
    <row r="892" ht="22.5" customHeight="1">
      <c r="A892" s="6"/>
      <c r="B892" s="6"/>
      <c r="C892" s="7"/>
      <c r="D892" s="6"/>
      <c r="E892" s="6"/>
    </row>
    <row r="893" ht="22.5" customHeight="1">
      <c r="A893" s="6"/>
      <c r="B893" s="6"/>
      <c r="C893" s="7"/>
      <c r="D893" s="6"/>
      <c r="E893" s="6"/>
    </row>
    <row r="894" ht="22.5" customHeight="1">
      <c r="A894" s="6"/>
      <c r="B894" s="6"/>
      <c r="C894" s="7"/>
      <c r="D894" s="6"/>
      <c r="E894" s="6"/>
    </row>
    <row r="895" ht="22.5" customHeight="1">
      <c r="A895" s="6"/>
      <c r="B895" s="6"/>
      <c r="C895" s="7"/>
      <c r="D895" s="6"/>
      <c r="E895" s="6"/>
    </row>
    <row r="896" ht="22.5" customHeight="1">
      <c r="A896" s="6"/>
      <c r="B896" s="6"/>
      <c r="C896" s="7"/>
      <c r="D896" s="6"/>
      <c r="E896" s="6"/>
    </row>
    <row r="897" ht="22.5" customHeight="1">
      <c r="A897" s="6"/>
      <c r="B897" s="6"/>
      <c r="C897" s="7"/>
      <c r="D897" s="6"/>
      <c r="E897" s="6"/>
    </row>
    <row r="898" ht="22.5" customHeight="1">
      <c r="A898" s="6"/>
      <c r="B898" s="6"/>
      <c r="C898" s="7"/>
      <c r="D898" s="6"/>
      <c r="E898" s="6"/>
    </row>
    <row r="899" ht="22.5" customHeight="1">
      <c r="A899" s="6"/>
      <c r="B899" s="6"/>
      <c r="C899" s="7"/>
      <c r="D899" s="6"/>
      <c r="E899" s="6"/>
    </row>
    <row r="900" ht="22.5" customHeight="1">
      <c r="A900" s="6"/>
      <c r="B900" s="6"/>
      <c r="C900" s="7"/>
      <c r="D900" s="6"/>
      <c r="E900" s="6"/>
    </row>
    <row r="901" ht="22.5" customHeight="1">
      <c r="A901" s="6"/>
      <c r="B901" s="6"/>
      <c r="C901" s="7"/>
      <c r="D901" s="6"/>
      <c r="E901" s="6"/>
    </row>
    <row r="902" ht="22.5" customHeight="1">
      <c r="A902" s="6"/>
      <c r="B902" s="6"/>
      <c r="C902" s="7"/>
      <c r="D902" s="6"/>
      <c r="E902" s="6"/>
    </row>
    <row r="903" ht="22.5" customHeight="1">
      <c r="A903" s="6"/>
      <c r="B903" s="6"/>
      <c r="C903" s="7"/>
      <c r="D903" s="6"/>
      <c r="E903" s="6"/>
    </row>
    <row r="904" ht="22.5" customHeight="1">
      <c r="A904" s="6"/>
      <c r="B904" s="6"/>
      <c r="C904" s="7"/>
      <c r="D904" s="6"/>
      <c r="E904" s="6"/>
    </row>
    <row r="905" ht="22.5" customHeight="1">
      <c r="A905" s="6"/>
      <c r="B905" s="6"/>
      <c r="C905" s="7"/>
      <c r="D905" s="6"/>
      <c r="E905" s="6"/>
    </row>
    <row r="906" ht="22.5" customHeight="1">
      <c r="A906" s="6"/>
      <c r="B906" s="6"/>
      <c r="C906" s="7"/>
      <c r="D906" s="6"/>
      <c r="E906" s="6"/>
    </row>
    <row r="907" ht="22.5" customHeight="1">
      <c r="A907" s="6"/>
      <c r="B907" s="6"/>
      <c r="C907" s="7"/>
      <c r="D907" s="6"/>
      <c r="E907" s="6"/>
    </row>
    <row r="908" ht="22.5" customHeight="1">
      <c r="A908" s="6"/>
      <c r="B908" s="6"/>
      <c r="C908" s="7"/>
      <c r="D908" s="6"/>
      <c r="E908" s="6"/>
    </row>
    <row r="909" ht="22.5" customHeight="1">
      <c r="A909" s="6"/>
      <c r="B909" s="6"/>
      <c r="C909" s="7"/>
      <c r="D909" s="6"/>
      <c r="E909" s="6"/>
    </row>
    <row r="910" ht="22.5" customHeight="1">
      <c r="A910" s="6"/>
      <c r="B910" s="6"/>
      <c r="C910" s="7"/>
      <c r="D910" s="6"/>
      <c r="E910" s="6"/>
    </row>
    <row r="911" ht="22.5" customHeight="1">
      <c r="A911" s="6"/>
      <c r="B911" s="6"/>
      <c r="C911" s="7"/>
      <c r="D911" s="6"/>
      <c r="E911" s="6"/>
    </row>
    <row r="912" ht="22.5" customHeight="1">
      <c r="A912" s="6"/>
      <c r="B912" s="6"/>
      <c r="C912" s="7"/>
      <c r="D912" s="6"/>
      <c r="E912" s="6"/>
    </row>
    <row r="913" ht="22.5" customHeight="1">
      <c r="A913" s="6"/>
      <c r="B913" s="6"/>
      <c r="C913" s="7"/>
      <c r="D913" s="6"/>
      <c r="E913" s="6"/>
    </row>
    <row r="914" ht="22.5" customHeight="1">
      <c r="A914" s="6"/>
      <c r="B914" s="6"/>
      <c r="C914" s="7"/>
      <c r="D914" s="6"/>
      <c r="E914" s="6"/>
    </row>
    <row r="915" ht="22.5" customHeight="1">
      <c r="A915" s="6"/>
      <c r="B915" s="6"/>
      <c r="C915" s="7"/>
      <c r="D915" s="6"/>
      <c r="E915" s="6"/>
    </row>
    <row r="916" ht="22.5" customHeight="1">
      <c r="A916" s="6"/>
      <c r="B916" s="6"/>
      <c r="C916" s="7"/>
      <c r="D916" s="6"/>
      <c r="E916" s="6"/>
    </row>
    <row r="917" ht="22.5" customHeight="1">
      <c r="A917" s="6"/>
      <c r="B917" s="6"/>
      <c r="C917" s="7"/>
      <c r="D917" s="6"/>
      <c r="E917" s="6"/>
    </row>
    <row r="918" ht="22.5" customHeight="1">
      <c r="A918" s="6"/>
      <c r="B918" s="6"/>
      <c r="C918" s="7"/>
      <c r="D918" s="6"/>
      <c r="E918" s="6"/>
    </row>
    <row r="919" ht="22.5" customHeight="1">
      <c r="A919" s="6"/>
      <c r="B919" s="6"/>
      <c r="C919" s="7"/>
      <c r="D919" s="6"/>
      <c r="E919" s="6"/>
    </row>
    <row r="920" ht="22.5" customHeight="1">
      <c r="A920" s="6"/>
      <c r="B920" s="6"/>
      <c r="C920" s="7"/>
      <c r="D920" s="6"/>
      <c r="E920" s="6"/>
    </row>
    <row r="921" ht="22.5" customHeight="1">
      <c r="A921" s="6"/>
      <c r="B921" s="6"/>
      <c r="C921" s="7"/>
      <c r="D921" s="6"/>
      <c r="E921" s="6"/>
    </row>
    <row r="922" ht="22.5" customHeight="1">
      <c r="A922" s="6"/>
      <c r="B922" s="6"/>
      <c r="C922" s="7"/>
      <c r="D922" s="6"/>
      <c r="E922" s="6"/>
    </row>
    <row r="923" ht="22.5" customHeight="1">
      <c r="A923" s="6"/>
      <c r="B923" s="6"/>
      <c r="C923" s="7"/>
      <c r="D923" s="6"/>
      <c r="E923" s="6"/>
    </row>
    <row r="924" ht="22.5" customHeight="1">
      <c r="A924" s="6"/>
      <c r="B924" s="6"/>
      <c r="C924" s="7"/>
      <c r="D924" s="6"/>
      <c r="E924" s="6"/>
    </row>
    <row r="925" ht="22.5" customHeight="1">
      <c r="A925" s="6"/>
      <c r="B925" s="6"/>
      <c r="C925" s="7"/>
      <c r="D925" s="6"/>
      <c r="E925" s="6"/>
    </row>
    <row r="926" ht="22.5" customHeight="1">
      <c r="A926" s="6"/>
      <c r="B926" s="6"/>
      <c r="C926" s="7"/>
      <c r="D926" s="6"/>
      <c r="E926" s="6"/>
    </row>
    <row r="927" ht="22.5" customHeight="1">
      <c r="A927" s="6"/>
      <c r="B927" s="6"/>
      <c r="C927" s="7"/>
      <c r="D927" s="6"/>
      <c r="E927" s="6"/>
    </row>
    <row r="928" ht="22.5" customHeight="1">
      <c r="A928" s="6"/>
      <c r="B928" s="6"/>
      <c r="C928" s="7"/>
      <c r="D928" s="6"/>
      <c r="E928" s="6"/>
    </row>
    <row r="929" ht="22.5" customHeight="1">
      <c r="A929" s="6"/>
      <c r="B929" s="6"/>
      <c r="C929" s="7"/>
      <c r="D929" s="6"/>
      <c r="E929" s="6"/>
    </row>
    <row r="930" ht="22.5" customHeight="1">
      <c r="A930" s="6"/>
      <c r="B930" s="6"/>
      <c r="C930" s="7"/>
      <c r="D930" s="6"/>
      <c r="E930" s="6"/>
    </row>
    <row r="931" ht="22.5" customHeight="1">
      <c r="A931" s="6"/>
      <c r="B931" s="6"/>
      <c r="C931" s="7"/>
      <c r="D931" s="6"/>
      <c r="E931" s="6"/>
    </row>
    <row r="932" ht="22.5" customHeight="1">
      <c r="A932" s="6"/>
      <c r="B932" s="6"/>
      <c r="C932" s="7"/>
      <c r="D932" s="6"/>
      <c r="E932" s="6"/>
    </row>
    <row r="933" ht="22.5" customHeight="1">
      <c r="A933" s="6"/>
      <c r="B933" s="6"/>
      <c r="C933" s="7"/>
      <c r="D933" s="6"/>
      <c r="E933" s="6"/>
    </row>
    <row r="934" ht="22.5" customHeight="1">
      <c r="A934" s="6"/>
      <c r="B934" s="6"/>
      <c r="C934" s="7"/>
      <c r="D934" s="6"/>
      <c r="E934" s="6"/>
    </row>
    <row r="935" ht="22.5" customHeight="1">
      <c r="A935" s="6"/>
      <c r="B935" s="6"/>
      <c r="C935" s="7"/>
      <c r="D935" s="6"/>
      <c r="E935" s="6"/>
    </row>
    <row r="936" ht="22.5" customHeight="1">
      <c r="A936" s="6"/>
      <c r="B936" s="6"/>
      <c r="C936" s="7"/>
      <c r="D936" s="6"/>
      <c r="E936" s="6"/>
    </row>
    <row r="937" ht="22.5" customHeight="1">
      <c r="A937" s="6"/>
      <c r="B937" s="6"/>
      <c r="C937" s="7"/>
      <c r="D937" s="6"/>
      <c r="E937" s="6"/>
    </row>
    <row r="938" ht="22.5" customHeight="1">
      <c r="A938" s="6"/>
      <c r="B938" s="6"/>
      <c r="C938" s="7"/>
      <c r="D938" s="6"/>
      <c r="E938" s="6"/>
    </row>
    <row r="939" ht="22.5" customHeight="1">
      <c r="A939" s="6"/>
      <c r="B939" s="6"/>
      <c r="C939" s="7"/>
      <c r="D939" s="6"/>
      <c r="E939" s="6"/>
    </row>
    <row r="940" ht="22.5" customHeight="1">
      <c r="A940" s="6"/>
      <c r="B940" s="6"/>
      <c r="C940" s="7"/>
      <c r="D940" s="6"/>
      <c r="E940" s="6"/>
    </row>
    <row r="941" ht="22.5" customHeight="1">
      <c r="A941" s="6"/>
      <c r="B941" s="6"/>
      <c r="C941" s="7"/>
      <c r="D941" s="6"/>
      <c r="E941" s="6"/>
    </row>
    <row r="942" ht="22.5" customHeight="1">
      <c r="A942" s="6"/>
      <c r="B942" s="6"/>
      <c r="C942" s="7"/>
      <c r="D942" s="6"/>
      <c r="E942" s="6"/>
    </row>
    <row r="943" ht="22.5" customHeight="1">
      <c r="A943" s="6"/>
      <c r="B943" s="6"/>
      <c r="C943" s="7"/>
      <c r="D943" s="6"/>
      <c r="E943" s="6"/>
    </row>
    <row r="944" ht="22.5" customHeight="1">
      <c r="A944" s="6"/>
      <c r="B944" s="6"/>
      <c r="C944" s="7"/>
      <c r="D944" s="6"/>
      <c r="E944" s="6"/>
    </row>
    <row r="945" ht="22.5" customHeight="1">
      <c r="A945" s="6"/>
      <c r="B945" s="6"/>
      <c r="C945" s="7"/>
      <c r="D945" s="6"/>
      <c r="E945" s="6"/>
    </row>
    <row r="946" ht="22.5" customHeight="1">
      <c r="A946" s="6"/>
      <c r="B946" s="6"/>
      <c r="C946" s="7"/>
      <c r="D946" s="6"/>
      <c r="E946" s="6"/>
    </row>
    <row r="947" ht="22.5" customHeight="1">
      <c r="A947" s="6"/>
      <c r="B947" s="6"/>
      <c r="C947" s="7"/>
      <c r="D947" s="6"/>
      <c r="E947" s="6"/>
    </row>
    <row r="948" ht="22.5" customHeight="1">
      <c r="A948" s="6"/>
      <c r="B948" s="6"/>
      <c r="C948" s="7"/>
      <c r="D948" s="6"/>
      <c r="E948" s="6"/>
    </row>
    <row r="949" ht="22.5" customHeight="1">
      <c r="A949" s="6"/>
      <c r="B949" s="6"/>
      <c r="C949" s="7"/>
      <c r="D949" s="6"/>
      <c r="E949" s="6"/>
    </row>
    <row r="950" ht="22.5" customHeight="1">
      <c r="A950" s="6"/>
      <c r="B950" s="6"/>
      <c r="C950" s="7"/>
      <c r="D950" s="6"/>
      <c r="E950" s="6"/>
    </row>
    <row r="951" ht="22.5" customHeight="1">
      <c r="A951" s="6"/>
      <c r="B951" s="6"/>
      <c r="C951" s="7"/>
      <c r="D951" s="6"/>
      <c r="E951" s="6"/>
    </row>
    <row r="952" ht="22.5" customHeight="1">
      <c r="A952" s="6"/>
      <c r="B952" s="6"/>
      <c r="C952" s="7"/>
      <c r="D952" s="6"/>
      <c r="E952" s="6"/>
    </row>
    <row r="953" ht="22.5" customHeight="1">
      <c r="A953" s="6"/>
      <c r="B953" s="6"/>
      <c r="C953" s="7"/>
      <c r="D953" s="6"/>
      <c r="E953" s="6"/>
    </row>
    <row r="954" ht="22.5" customHeight="1">
      <c r="A954" s="6"/>
      <c r="B954" s="6"/>
      <c r="C954" s="7"/>
      <c r="D954" s="6"/>
      <c r="E954" s="6"/>
    </row>
    <row r="955" ht="22.5" customHeight="1">
      <c r="A955" s="6"/>
      <c r="B955" s="6"/>
      <c r="C955" s="7"/>
      <c r="D955" s="6"/>
      <c r="E955" s="6"/>
    </row>
    <row r="956" ht="22.5" customHeight="1">
      <c r="A956" s="6"/>
      <c r="B956" s="6"/>
      <c r="C956" s="7"/>
      <c r="D956" s="6"/>
      <c r="E956" s="6"/>
    </row>
    <row r="957" ht="22.5" customHeight="1">
      <c r="A957" s="6"/>
      <c r="B957" s="6"/>
      <c r="C957" s="7"/>
      <c r="D957" s="6"/>
      <c r="E957" s="6"/>
    </row>
    <row r="958" ht="22.5" customHeight="1">
      <c r="A958" s="6"/>
      <c r="B958" s="6"/>
      <c r="C958" s="7"/>
      <c r="D958" s="6"/>
      <c r="E958" s="6"/>
    </row>
    <row r="959" ht="22.5" customHeight="1">
      <c r="A959" s="6"/>
      <c r="B959" s="6"/>
      <c r="C959" s="7"/>
      <c r="D959" s="6"/>
      <c r="E959" s="6"/>
    </row>
    <row r="960" ht="22.5" customHeight="1">
      <c r="A960" s="6"/>
      <c r="B960" s="6"/>
      <c r="C960" s="7"/>
      <c r="D960" s="6"/>
      <c r="E960" s="6"/>
    </row>
    <row r="961" ht="22.5" customHeight="1">
      <c r="A961" s="6"/>
      <c r="B961" s="6"/>
      <c r="C961" s="7"/>
      <c r="D961" s="6"/>
      <c r="E961" s="6"/>
    </row>
    <row r="962" ht="22.5" customHeight="1">
      <c r="A962" s="6"/>
      <c r="B962" s="6"/>
      <c r="C962" s="7"/>
      <c r="D962" s="6"/>
      <c r="E962" s="6"/>
    </row>
    <row r="963" ht="22.5" customHeight="1">
      <c r="A963" s="6"/>
      <c r="B963" s="6"/>
      <c r="C963" s="7"/>
      <c r="D963" s="6"/>
      <c r="E963" s="6"/>
    </row>
    <row r="964" ht="22.5" customHeight="1">
      <c r="A964" s="6"/>
      <c r="B964" s="6"/>
      <c r="C964" s="7"/>
      <c r="D964" s="6"/>
      <c r="E964" s="6"/>
    </row>
    <row r="965" ht="22.5" customHeight="1">
      <c r="A965" s="6"/>
      <c r="B965" s="6"/>
      <c r="C965" s="7"/>
      <c r="D965" s="6"/>
      <c r="E965" s="6"/>
    </row>
    <row r="966" ht="22.5" customHeight="1">
      <c r="A966" s="6"/>
      <c r="B966" s="6"/>
      <c r="C966" s="7"/>
      <c r="D966" s="6"/>
      <c r="E966" s="6"/>
    </row>
    <row r="967" ht="22.5" customHeight="1">
      <c r="A967" s="6"/>
      <c r="B967" s="6"/>
      <c r="C967" s="7"/>
      <c r="D967" s="6"/>
      <c r="E967" s="6"/>
    </row>
    <row r="968" ht="22.5" customHeight="1">
      <c r="A968" s="6"/>
      <c r="B968" s="6"/>
      <c r="C968" s="7"/>
      <c r="D968" s="6"/>
      <c r="E968" s="6"/>
    </row>
    <row r="969" ht="22.5" customHeight="1">
      <c r="A969" s="6"/>
      <c r="B969" s="6"/>
      <c r="C969" s="7"/>
      <c r="D969" s="6"/>
      <c r="E969" s="6"/>
    </row>
    <row r="970" ht="22.5" customHeight="1">
      <c r="A970" s="6"/>
      <c r="B970" s="6"/>
      <c r="C970" s="7"/>
      <c r="D970" s="6"/>
      <c r="E970" s="6"/>
    </row>
    <row r="971" ht="22.5" customHeight="1">
      <c r="A971" s="6"/>
      <c r="B971" s="6"/>
      <c r="C971" s="7"/>
      <c r="D971" s="6"/>
      <c r="E971" s="6"/>
    </row>
    <row r="972" ht="22.5" customHeight="1">
      <c r="A972" s="6"/>
      <c r="B972" s="6"/>
      <c r="C972" s="7"/>
      <c r="D972" s="6"/>
      <c r="E972" s="6"/>
    </row>
    <row r="973" ht="22.5" customHeight="1">
      <c r="A973" s="6"/>
      <c r="B973" s="6"/>
      <c r="C973" s="7"/>
      <c r="D973" s="6"/>
      <c r="E973" s="6"/>
    </row>
    <row r="974" ht="22.5" customHeight="1">
      <c r="A974" s="6"/>
      <c r="B974" s="6"/>
      <c r="C974" s="7"/>
      <c r="D974" s="6"/>
      <c r="E974" s="6"/>
    </row>
    <row r="975" ht="22.5" customHeight="1">
      <c r="A975" s="6"/>
      <c r="B975" s="6"/>
      <c r="C975" s="7"/>
      <c r="D975" s="6"/>
      <c r="E975" s="6"/>
    </row>
    <row r="976" ht="22.5" customHeight="1">
      <c r="A976" s="6"/>
      <c r="B976" s="6"/>
      <c r="C976" s="7"/>
      <c r="D976" s="6"/>
      <c r="E976" s="6"/>
    </row>
    <row r="977" ht="22.5" customHeight="1">
      <c r="A977" s="6"/>
      <c r="B977" s="6"/>
      <c r="C977" s="7"/>
      <c r="D977" s="6"/>
      <c r="E977" s="6"/>
    </row>
    <row r="978" ht="22.5" customHeight="1">
      <c r="A978" s="6"/>
      <c r="B978" s="6"/>
      <c r="C978" s="7"/>
      <c r="D978" s="6"/>
      <c r="E978" s="6"/>
    </row>
    <row r="979" ht="22.5" customHeight="1">
      <c r="A979" s="6"/>
      <c r="B979" s="6"/>
      <c r="C979" s="7"/>
      <c r="D979" s="6"/>
      <c r="E979" s="6"/>
    </row>
    <row r="980" ht="22.5" customHeight="1">
      <c r="A980" s="6"/>
      <c r="B980" s="6"/>
      <c r="C980" s="7"/>
      <c r="D980" s="6"/>
      <c r="E980" s="6"/>
    </row>
    <row r="981" ht="22.5" customHeight="1">
      <c r="A981" s="6"/>
      <c r="B981" s="6"/>
      <c r="C981" s="7"/>
      <c r="D981" s="6"/>
      <c r="E981" s="6"/>
    </row>
    <row r="982" ht="22.5" customHeight="1">
      <c r="A982" s="6"/>
      <c r="B982" s="6"/>
      <c r="C982" s="7"/>
      <c r="D982" s="6"/>
      <c r="E982" s="6"/>
    </row>
    <row r="983" ht="22.5" customHeight="1">
      <c r="A983" s="6"/>
      <c r="B983" s="6"/>
      <c r="C983" s="7"/>
      <c r="D983" s="6"/>
      <c r="E983" s="6"/>
    </row>
    <row r="984" ht="22.5" customHeight="1">
      <c r="A984" s="6"/>
      <c r="B984" s="6"/>
      <c r="C984" s="7"/>
      <c r="D984" s="6"/>
      <c r="E984" s="6"/>
    </row>
    <row r="985" ht="22.5" customHeight="1">
      <c r="A985" s="6"/>
      <c r="B985" s="6"/>
      <c r="C985" s="7"/>
      <c r="D985" s="6"/>
      <c r="E985" s="6"/>
    </row>
    <row r="986" ht="22.5" customHeight="1">
      <c r="A986" s="6"/>
      <c r="B986" s="6"/>
      <c r="C986" s="7"/>
      <c r="D986" s="6"/>
      <c r="E986" s="6"/>
    </row>
    <row r="987" ht="22.5" customHeight="1">
      <c r="A987" s="6"/>
      <c r="B987" s="6"/>
      <c r="C987" s="7"/>
      <c r="D987" s="6"/>
      <c r="E987" s="6"/>
    </row>
    <row r="988" ht="22.5" customHeight="1">
      <c r="A988" s="6"/>
      <c r="B988" s="6"/>
      <c r="C988" s="7"/>
      <c r="D988" s="6"/>
      <c r="E988" s="6"/>
    </row>
    <row r="989" ht="22.5" customHeight="1">
      <c r="A989" s="6"/>
      <c r="B989" s="6"/>
      <c r="C989" s="7"/>
      <c r="D989" s="6"/>
      <c r="E989" s="6"/>
    </row>
    <row r="990" ht="22.5" customHeight="1">
      <c r="A990" s="6"/>
      <c r="B990" s="6"/>
      <c r="C990" s="7"/>
      <c r="D990" s="6"/>
      <c r="E990" s="6"/>
    </row>
    <row r="991" ht="22.5" customHeight="1">
      <c r="A991" s="6"/>
      <c r="B991" s="6"/>
      <c r="C991" s="7"/>
      <c r="D991" s="6"/>
      <c r="E991" s="6"/>
    </row>
    <row r="992" ht="22.5" customHeight="1">
      <c r="A992" s="6"/>
      <c r="B992" s="6"/>
      <c r="C992" s="7"/>
      <c r="D992" s="6"/>
      <c r="E992" s="6"/>
    </row>
    <row r="993" ht="22.5" customHeight="1">
      <c r="A993" s="6"/>
      <c r="B993" s="6"/>
      <c r="C993" s="7"/>
      <c r="D993" s="6"/>
      <c r="E993" s="6"/>
    </row>
    <row r="994" ht="22.5" customHeight="1">
      <c r="A994" s="6"/>
      <c r="B994" s="6"/>
      <c r="C994" s="7"/>
      <c r="D994" s="6"/>
      <c r="E994" s="6"/>
    </row>
    <row r="995" ht="22.5" customHeight="1">
      <c r="A995" s="6"/>
      <c r="B995" s="6"/>
      <c r="C995" s="7"/>
      <c r="D995" s="6"/>
      <c r="E995" s="6"/>
    </row>
    <row r="996" ht="22.5" customHeight="1">
      <c r="A996" s="6"/>
      <c r="B996" s="6"/>
      <c r="C996" s="7"/>
      <c r="D996" s="6"/>
      <c r="E996" s="6"/>
    </row>
    <row r="997" ht="22.5" customHeight="1">
      <c r="A997" s="6"/>
      <c r="B997" s="6"/>
      <c r="C997" s="7"/>
      <c r="D997" s="6"/>
      <c r="E997" s="6"/>
    </row>
    <row r="998" ht="22.5" customHeight="1">
      <c r="A998" s="6"/>
      <c r="B998" s="6"/>
      <c r="C998" s="7"/>
      <c r="D998" s="6"/>
      <c r="E998" s="6"/>
    </row>
    <row r="999" ht="22.5" customHeight="1">
      <c r="A999" s="6"/>
      <c r="B999" s="6"/>
      <c r="C999" s="7"/>
      <c r="D999" s="6"/>
      <c r="E999" s="6"/>
    </row>
    <row r="1000" ht="22.5" customHeight="1">
      <c r="A1000" s="6"/>
      <c r="B1000" s="6"/>
      <c r="C1000" s="7"/>
      <c r="D1000" s="6"/>
      <c r="E1000" s="6"/>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37.63"/>
    <col customWidth="1" min="3" max="3" width="25.25"/>
    <col customWidth="1" min="4" max="5" width="30.88"/>
    <col customWidth="1" min="7" max="8" width="20.38"/>
    <col customWidth="1" min="9" max="9" width="26.25"/>
    <col customWidth="1" min="10" max="10" width="16.75"/>
    <col customWidth="1" min="11" max="11" width="20.38"/>
  </cols>
  <sheetData>
    <row r="1" ht="22.5" customHeight="1">
      <c r="A1" s="1" t="s">
        <v>0</v>
      </c>
      <c r="B1" s="1" t="s">
        <v>1</v>
      </c>
      <c r="C1" s="1" t="s">
        <v>2</v>
      </c>
      <c r="D1" s="1" t="s">
        <v>515</v>
      </c>
      <c r="E1" s="1" t="s">
        <v>4</v>
      </c>
      <c r="G1" s="2" t="s">
        <v>5</v>
      </c>
      <c r="H1" s="2" t="s">
        <v>6</v>
      </c>
      <c r="I1" s="2" t="s">
        <v>7</v>
      </c>
      <c r="J1" s="2" t="s">
        <v>8</v>
      </c>
      <c r="K1" s="2" t="s">
        <v>9</v>
      </c>
    </row>
    <row r="2" ht="22.5" customHeight="1">
      <c r="A2" s="3">
        <v>1.0</v>
      </c>
      <c r="B2" s="4" t="s">
        <v>516</v>
      </c>
      <c r="C2" s="4" t="s">
        <v>517</v>
      </c>
      <c r="D2" s="4" t="s">
        <v>518</v>
      </c>
      <c r="E2" s="4" t="s">
        <v>518</v>
      </c>
      <c r="G2" s="5" t="str">
        <f>IFERROR(__xludf.DUMMYFUNCTION(" GOOGLETRANSLATE(A2, ""en"", ""am"")"),"1")</f>
        <v>1</v>
      </c>
      <c r="H2" s="5" t="str">
        <f>IFERROR(__xludf.DUMMYFUNCTION(" GOOGLETRANSLATE(B2, ""en"", ""am"")"),"የፈረስ ጭራ መቼ መጣ?")</f>
        <v>የፈረስ ጭራ መቼ መጣ?</v>
      </c>
      <c r="I2" s="5" t="str">
        <f>IFERROR(__xludf.DUMMYFUNCTION(" GOOGLETRANSLATE(C2, ""en"", ""am"")"),"ኣብ መበል 16 ክ.ዘ. ኣብ 18 ክ.ዘ.")</f>
        <v>ኣብ መበል 16 ክ.ዘ. ኣብ 18 ክ.ዘ.</v>
      </c>
      <c r="J2" s="5" t="str">
        <f>IFERROR(__xludf.DUMMYFUNCTION(" GOOGLETRANSLATE(D2, ""en"", ""am"")"),"ስፖርቱ በኢትዮጵያ በ14ኛው ክፍለ ዘመን እንደተጀመረ ይታመናል።")</f>
        <v>ስፖርቱ በኢትዮጵያ በ14ኛው ክፍለ ዘመን እንደተጀመረ ይታመናል።</v>
      </c>
      <c r="K2" s="5" t="str">
        <f>IFERROR(__xludf.DUMMYFUNCTION(" GOOGLETRANSLATE(E2, ""en"", ""am"")"),"ስፖርቱ በኢትዮጵያ በ14ኛው ክፍለ ዘመን እንደተጀመረ ይታመናል።")</f>
        <v>ስፖርቱ በኢትዮጵያ በ14ኛው ክፍለ ዘመን እንደተጀመረ ይታመናል።</v>
      </c>
    </row>
    <row r="3" ht="22.5" customHeight="1">
      <c r="A3" s="3">
        <v>2.0</v>
      </c>
      <c r="B3" s="4" t="s">
        <v>519</v>
      </c>
      <c r="C3" s="4" t="s">
        <v>520</v>
      </c>
      <c r="D3" s="4" t="s">
        <v>521</v>
      </c>
      <c r="E3" s="4" t="s">
        <v>521</v>
      </c>
      <c r="G3" s="5" t="str">
        <f>IFERROR(__xludf.DUMMYFUNCTION(" GOOGLETRANSLATE(A3, ""en"", ""am"")"),"2")</f>
        <v>2</v>
      </c>
      <c r="H3" s="5" t="str">
        <f>IFERROR(__xludf.DUMMYFUNCTION(" GOOGLETRANSLATE(B3, ""en"", ""am"")"),"ታዋቂው የባህል ስፖርት የፈረስ እሽቅድምድም ከየት ሀገር ነበር የተጀመረው?")</f>
        <v>ታዋቂው የባህል ስፖርት የፈረስ እሽቅድምድም ከየት ሀገር ነበር የተጀመረው?</v>
      </c>
      <c r="I3" s="5" t="str">
        <f>IFERROR(__xludf.DUMMYFUNCTION(" GOOGLETRANSLATE(C3, ""en"", ""am"")"),"ኣብ ሱዳን ብ ኬንያ ሲ ሶማሊያ ዲ.ኢትዮጵያ")</f>
        <v>ኣብ ሱዳን ብ ኬንያ ሲ ሶማሊያ ዲ.ኢትዮጵያ</v>
      </c>
      <c r="J3" s="5" t="str">
        <f>IFERROR(__xludf.DUMMYFUNCTION(" GOOGLETRANSLATE(D3, ""en"", ""am"")"),"የፈረስ ውድድር የኢትዮጵያ ባህላዊ ስፖርት ነው።")</f>
        <v>የፈረስ ውድድር የኢትዮጵያ ባህላዊ ስፖርት ነው።</v>
      </c>
      <c r="K3" s="5" t="str">
        <f>IFERROR(__xludf.DUMMYFUNCTION(" GOOGLETRANSLATE(E3, ""en"", ""am"")"),"የፈረስ ውድድር የኢትዮጵያ ባህላዊ ስፖርት ነው።")</f>
        <v>የፈረስ ውድድር የኢትዮጵያ ባህላዊ ስፖርት ነው።</v>
      </c>
    </row>
    <row r="4" ht="22.5" customHeight="1">
      <c r="A4" s="3">
        <v>3.0</v>
      </c>
      <c r="B4" s="4" t="s">
        <v>522</v>
      </c>
      <c r="C4" s="4" t="s">
        <v>523</v>
      </c>
      <c r="D4" s="4" t="s">
        <v>524</v>
      </c>
      <c r="E4" s="4" t="s">
        <v>524</v>
      </c>
      <c r="G4" s="5" t="str">
        <f>IFERROR(__xludf.DUMMYFUNCTION(" GOOGLETRANSLATE(A4, ""en"", ""am"")"),"3")</f>
        <v>3</v>
      </c>
      <c r="H4" s="5" t="str">
        <f>IFERROR(__xludf.DUMMYFUNCTION(" GOOGLETRANSLATE(B4, ""en"", ""am"")"),"በመጀመሪያዎቹ ዓመታት የፈረስ እሽቅድምድም ዋና ዓላማ ምን ነበር?")</f>
        <v>በመጀመሪያዎቹ ዓመታት የፈረስ እሽቅድምድም ዋና ዓላማ ምን ነበር?</v>
      </c>
      <c r="I4" s="5" t="str">
        <f>IFERROR(__xludf.DUMMYFUNCTION(" GOOGLETRANSLATE(C4, ""en"", ""am"")"),"ሀ.ወታደራዊ ሥልጠና ለ. ሃይማኖታዊ ሥርዓቶች ሐ. የመጸው በዓላት መ. ወታደራዊ ሥልጠና")</f>
        <v>ሀ.ወታደራዊ ሥልጠና ለ. ሃይማኖታዊ ሥርዓቶች ሐ. የመጸው በዓላት መ. ወታደራዊ ሥልጠና</v>
      </c>
      <c r="J4" s="5" t="str">
        <f>IFERROR(__xludf.DUMMYFUNCTION(" GOOGLETRANSLATE(D4, ""en"", ""am"")"),"ስፖርቱ በዋናነት ለውትድርና ስልጠና ይውል ነበር።")</f>
        <v>ስፖርቱ በዋናነት ለውትድርና ስልጠና ይውል ነበር።</v>
      </c>
      <c r="K4" s="5" t="str">
        <f>IFERROR(__xludf.DUMMYFUNCTION(" GOOGLETRANSLATE(E4, ""en"", ""am"")"),"ስፖርቱ በዋናነት ለውትድርና ስልጠና ይውል ነበር።")</f>
        <v>ስፖርቱ በዋናነት ለውትድርና ስልጠና ይውል ነበር።</v>
      </c>
    </row>
    <row r="5" ht="22.5" customHeight="1">
      <c r="A5" s="3">
        <v>4.0</v>
      </c>
      <c r="B5" s="4" t="s">
        <v>525</v>
      </c>
      <c r="C5" s="4" t="s">
        <v>526</v>
      </c>
      <c r="D5" s="4" t="s">
        <v>527</v>
      </c>
      <c r="E5" s="4" t="s">
        <v>527</v>
      </c>
      <c r="G5" s="5" t="str">
        <f>IFERROR(__xludf.DUMMYFUNCTION(" GOOGLETRANSLATE(A5, ""en"", ""am"")"),"4")</f>
        <v>4</v>
      </c>
      <c r="H5" s="5" t="str">
        <f>IFERROR(__xludf.DUMMYFUNCTION(" GOOGLETRANSLATE(B5, ""en"", ""am"")"),"ብዙውን ጊዜ በፈረስ አሽከርካሪዎች ምን ዓይነት መሳሪያዎች ይጠቀማሉ?")</f>
        <v>ብዙውን ጊዜ በፈረስ አሽከርካሪዎች ምን ዓይነት መሳሪያዎች ይጠቀማሉ?</v>
      </c>
      <c r="I5" s="5" t="str">
        <f>IFERROR(__xludf.DUMMYFUNCTION(" GOOGLETRANSLATE(C5, ""en"", ""am"")"),"ሀ. ሰይፎች ቢ. ቀስቶች ሐ. ጋሻዎች ዲ. ቅመም")</f>
        <v>ሀ. ሰይፎች ቢ. ቀስቶች ሐ. ጋሻዎች ዲ. ቅመም</v>
      </c>
      <c r="J5" s="5" t="str">
        <f>IFERROR(__xludf.DUMMYFUNCTION(" GOOGLETRANSLATE(D5, ""en"", ""am"")"),"ፈረሶች በሚጋልቡበት ወቅት ተሳታፊዎች በባህላዊ መንገድ ጦር ይጠቀማሉ።")</f>
        <v>ፈረሶች በሚጋልቡበት ወቅት ተሳታፊዎች በባህላዊ መንገድ ጦር ይጠቀማሉ።</v>
      </c>
      <c r="K5" s="5" t="str">
        <f>IFERROR(__xludf.DUMMYFUNCTION(" GOOGLETRANSLATE(E5, ""en"", ""am"")"),"ፈረሶች በሚጋልቡበት ወቅት ተሳታፊዎች በባህላዊ መንገድ ጦር ይጠቀማሉ።")</f>
        <v>ፈረሶች በሚጋልቡበት ወቅት ተሳታፊዎች በባህላዊ መንገድ ጦር ይጠቀማሉ።</v>
      </c>
    </row>
    <row r="6" ht="22.5" customHeight="1">
      <c r="A6" s="3">
        <v>5.0</v>
      </c>
      <c r="B6" s="4" t="s">
        <v>528</v>
      </c>
      <c r="C6" s="4" t="s">
        <v>529</v>
      </c>
      <c r="D6" s="4" t="s">
        <v>530</v>
      </c>
      <c r="E6" s="4" t="s">
        <v>530</v>
      </c>
      <c r="G6" s="5" t="str">
        <f>IFERROR(__xludf.DUMMYFUNCTION(" GOOGLETRANSLATE(A6, ""en"", ""am"")"),"5")</f>
        <v>5</v>
      </c>
      <c r="H6" s="5" t="str">
        <f>IFERROR(__xludf.DUMMYFUNCTION(" GOOGLETRANSLATE(B6, ""en"", ""am"")"),"የፈረስ እሽቅድምድም ለመጫወት የትኛው እንስሳ አስፈላጊ ነው?")</f>
        <v>የፈረስ እሽቅድምድም ለመጫወት የትኛው እንስሳ አስፈላጊ ነው?</v>
      </c>
      <c r="I6" s="5" t="str">
        <f>IFERROR(__xludf.DUMMYFUNCTION(" GOOGLETRANSLATE(C6, ""en"", ""am"")"),"ሀ. ግመል ቢ ኦክስ ሲ. ዝሆን ዲ. ፈረስ")</f>
        <v>ሀ. ግመል ቢ ኦክስ ሲ. ዝሆን ዲ. ፈረስ</v>
      </c>
      <c r="J6" s="5" t="str">
        <f>IFERROR(__xludf.DUMMYFUNCTION(" GOOGLETRANSLATE(D6, ""en"", ""am"")"),"ፈረስ እየጋለበ ፈረስ ግልቢያ ይጫወታል።")</f>
        <v>ፈረስ እየጋለበ ፈረስ ግልቢያ ይጫወታል።</v>
      </c>
      <c r="K6" s="5" t="str">
        <f>IFERROR(__xludf.DUMMYFUNCTION(" GOOGLETRANSLATE(E6, ""en"", ""am"")"),"ፈረስ እየጋለበ ፈረስ ግልቢያ ይጫወታል።")</f>
        <v>ፈረስ እየጋለበ ፈረስ ግልቢያ ይጫወታል።</v>
      </c>
    </row>
    <row r="7" ht="22.5" customHeight="1">
      <c r="A7" s="3">
        <v>6.0</v>
      </c>
      <c r="B7" s="4" t="s">
        <v>531</v>
      </c>
      <c r="C7" s="4" t="s">
        <v>532</v>
      </c>
      <c r="D7" s="4" t="s">
        <v>533</v>
      </c>
      <c r="E7" s="4" t="s">
        <v>533</v>
      </c>
      <c r="G7" s="5" t="str">
        <f>IFERROR(__xludf.DUMMYFUNCTION(" GOOGLETRANSLATE(A7, ""en"", ""am"")"),"6")</f>
        <v>6</v>
      </c>
      <c r="H7" s="5" t="str">
        <f>IFERROR(__xludf.DUMMYFUNCTION(" GOOGLETRANSLATE(B7, ""en"", ""am"")"),"የፈረስ እሽቅድምድም በማስተዋወቅ የሚታወቀው የትኛው ኢትዮጵያዊ ንጉስ ነው?")</f>
        <v>የፈረስ እሽቅድምድም በማስተዋወቅ የሚታወቀው የትኛው ኢትዮጵያዊ ንጉስ ነው?</v>
      </c>
      <c r="I7" s="5" t="str">
        <f>IFERROR(__xludf.DUMMYFUNCTION(" GOOGLETRANSLATE(C7, ""en"", ""am"")"),"ሀ/ አፄ ኃይለ ሥላሴ ለ. አፄ ቴዎድሮስ 2ኛ ሐ. አፄ ዮሐንስ ፬ኛ ዲ. አፄ ምኒልክ ዳግማዊ")</f>
        <v>ሀ/ አፄ ኃይለ ሥላሴ ለ. አፄ ቴዎድሮስ 2ኛ ሐ. አፄ ዮሐንስ ፬ኛ ዲ. አፄ ምኒልክ ዳግማዊ</v>
      </c>
      <c r="J7" s="5" t="str">
        <f>IFERROR(__xludf.DUMMYFUNCTION(" GOOGLETRANSLATE(D7, ""en"", ""am"")"),"ዳግማዊ አፄ ምኒልክ የፈረስ እሽቅድምድም እንዲካሄድ አበረታቱ።")</f>
        <v>ዳግማዊ አፄ ምኒልክ የፈረስ እሽቅድምድም እንዲካሄድ አበረታቱ።</v>
      </c>
      <c r="K7" s="5" t="str">
        <f>IFERROR(__xludf.DUMMYFUNCTION(" GOOGLETRANSLATE(E7, ""en"", ""am"")"),"ዳግማዊ አፄ ምኒልክ የፈረስ እሽቅድምድም እንዲካሄድ አበረታቱ።")</f>
        <v>ዳግማዊ አፄ ምኒልክ የፈረስ እሽቅድምድም እንዲካሄድ አበረታቱ።</v>
      </c>
    </row>
    <row r="8" ht="22.5" customHeight="1">
      <c r="A8" s="3">
        <v>7.0</v>
      </c>
      <c r="B8" s="4" t="s">
        <v>534</v>
      </c>
      <c r="C8" s="4" t="s">
        <v>535</v>
      </c>
      <c r="D8" s="4" t="s">
        <v>536</v>
      </c>
      <c r="E8" s="4" t="s">
        <v>536</v>
      </c>
      <c r="G8" s="5" t="str">
        <f>IFERROR(__xludf.DUMMYFUNCTION(" GOOGLETRANSLATE(A8, ""en"", ""am"")"),"7")</f>
        <v>7</v>
      </c>
      <c r="H8" s="5" t="str">
        <f>IFERROR(__xludf.DUMMYFUNCTION(" GOOGLETRANSLATE(B8, ""en"", ""am"")"),"የፈረስ እሽቅድምድም በባህል የተከናወነው በምን አውድ ነው?")</f>
        <v>የፈረስ እሽቅድምድም በባህል የተከናወነው በምን አውድ ነው?</v>
      </c>
      <c r="I8" s="5" t="str">
        <f>IFERROR(__xludf.DUMMYFUNCTION(" GOOGLETRANSLATE(C8, ""en"", ""am"")"),"ሀ. ወታደራዊ ሰልፍ ለ. የመጸው በዓላት ሐ. የቀብር ሥነ ሥርዓቶች D. ወታደራዊ ሰልፍ")</f>
        <v>ሀ. ወታደራዊ ሰልፍ ለ. የመጸው በዓላት ሐ. የቀብር ሥነ ሥርዓቶች D. ወታደራዊ ሰልፍ</v>
      </c>
      <c r="J8" s="5" t="str">
        <f>IFERROR(__xludf.DUMMYFUNCTION(" GOOGLETRANSLATE(D8, ""en"", ""am"")"),"ስፖርቱ ብዙ ጊዜ የሚካሄደው በወታደራዊ ሰልፍ ወቅት ነበር።")</f>
        <v>ስፖርቱ ብዙ ጊዜ የሚካሄደው በወታደራዊ ሰልፍ ወቅት ነበር።</v>
      </c>
      <c r="K8" s="5" t="str">
        <f>IFERROR(__xludf.DUMMYFUNCTION(" GOOGLETRANSLATE(E8, ""en"", ""am"")"),"ስፖርቱ ብዙ ጊዜ የሚካሄደው በወታደራዊ ሰልፍ ወቅት ነበር።")</f>
        <v>ስፖርቱ ብዙ ጊዜ የሚካሄደው በወታደራዊ ሰልፍ ወቅት ነበር።</v>
      </c>
    </row>
    <row r="9" ht="22.5" customHeight="1">
      <c r="A9" s="3">
        <v>8.0</v>
      </c>
      <c r="B9" s="4" t="s">
        <v>537</v>
      </c>
      <c r="C9" s="4" t="s">
        <v>538</v>
      </c>
      <c r="D9" s="4" t="s">
        <v>539</v>
      </c>
      <c r="E9" s="4" t="s">
        <v>539</v>
      </c>
      <c r="G9" s="5" t="str">
        <f>IFERROR(__xludf.DUMMYFUNCTION(" GOOGLETRANSLATE(A9, ""en"", ""am"")"),"8")</f>
        <v>8</v>
      </c>
      <c r="H9" s="5" t="str">
        <f>IFERROR(__xludf.DUMMYFUNCTION(" GOOGLETRANSLATE(B9, ""en"", ""am"")"),"የፈረስ እሽቅድምድም ዋና ዓላማ ምንድን ነው?")</f>
        <v>የፈረስ እሽቅድምድም ዋና ዓላማ ምንድን ነው?</v>
      </c>
      <c r="I9" s="5" t="str">
        <f>IFERROR(__xludf.DUMMYFUNCTION(" GOOGLETRANSLATE(C9, ""en"", ""am"")"),"ሀ. ፈረስን ለመሮጥ B. ቦታውን ለመጠበቅ ሐ. ከተቃዋሚው ለማምለጥ መ. ኢላማ ለመምታት")</f>
        <v>ሀ. ፈረስን ለመሮጥ B. ቦታውን ለመጠበቅ ሐ. ከተቃዋሚው ለማምለጥ መ. ኢላማ ለመምታት</v>
      </c>
      <c r="J9" s="5" t="str">
        <f>IFERROR(__xludf.DUMMYFUNCTION(" GOOGLETRANSLATE(D9, ""en"", ""am"")"),"አላማው በፈረስ እየጋለቡ ጦር ተጠቅሞ ኢላማ መምታት ነው።")</f>
        <v>አላማው በፈረስ እየጋለቡ ጦር ተጠቅሞ ኢላማ መምታት ነው።</v>
      </c>
      <c r="K9" s="5" t="str">
        <f>IFERROR(__xludf.DUMMYFUNCTION(" GOOGLETRANSLATE(E9, ""en"", ""am"")"),"አላማው በፈረስ እየጋለቡ ጦር ተጠቅሞ ኢላማ መምታት ነው።")</f>
        <v>አላማው በፈረስ እየጋለቡ ጦር ተጠቅሞ ኢላማ መምታት ነው።</v>
      </c>
    </row>
    <row r="10" ht="22.5" customHeight="1">
      <c r="A10" s="3">
        <v>9.0</v>
      </c>
      <c r="B10" s="4" t="s">
        <v>540</v>
      </c>
      <c r="C10" s="4" t="s">
        <v>541</v>
      </c>
      <c r="D10" s="4" t="s">
        <v>542</v>
      </c>
      <c r="E10" s="4" t="s">
        <v>542</v>
      </c>
      <c r="G10" s="5" t="str">
        <f>IFERROR(__xludf.DUMMYFUNCTION(" GOOGLETRANSLATE(A10, ""en"", ""am"")"),"9")</f>
        <v>9</v>
      </c>
      <c r="H10" s="5" t="str">
        <f>IFERROR(__xludf.DUMMYFUNCTION(" GOOGLETRANSLATE(B10, ""en"", ""am"")"),"የፈረስ እሽቅድምድም በኢትዮጵያ ባህል ላይ ተጽዕኖ ያሳደረው እንዴት ነው?")</f>
        <v>የፈረስ እሽቅድምድም በኢትዮጵያ ባህል ላይ ተጽዕኖ ያሳደረው እንዴት ነው?</v>
      </c>
      <c r="I10" s="5" t="str">
        <f>IFERROR(__xludf.DUMMYFUNCTION(" GOOGLETRANSLATE(C10, ""en"", ""am"")"),"ሀ. የውትድርና ስልቶችን በመቅረጽ ለ. በዳንስ ዓይነቶች ተጽዕኖ ሐ. በሥነ ጽሑፍ ተመስጦ መ. ወታደራዊ ስልቶችን በመቅረጽ")</f>
        <v>ሀ. የውትድርና ስልቶችን በመቅረጽ ለ. በዳንስ ዓይነቶች ተጽዕኖ ሐ. በሥነ ጽሑፍ ተመስጦ መ. ወታደራዊ ስልቶችን በመቅረጽ</v>
      </c>
      <c r="J10" s="5" t="str">
        <f>IFERROR(__xludf.DUMMYFUNCTION(" GOOGLETRANSLATE(D10, ""en"", ""am"")"),"ስፖርቱ በኢትዮጵያ ወታደራዊ ታክቲክ ላይ ከፍተኛ ተፅዕኖ አሳድሯል።")</f>
        <v>ስፖርቱ በኢትዮጵያ ወታደራዊ ታክቲክ ላይ ከፍተኛ ተፅዕኖ አሳድሯል።</v>
      </c>
      <c r="K10" s="5" t="str">
        <f>IFERROR(__xludf.DUMMYFUNCTION(" GOOGLETRANSLATE(E10, ""en"", ""am"")"),"ስፖርቱ በኢትዮጵያ ወታደራዊ ታክቲክ ላይ ከፍተኛ ተፅዕኖ አሳድሯል።")</f>
        <v>ስፖርቱ በኢትዮጵያ ወታደራዊ ታክቲክ ላይ ከፍተኛ ተፅዕኖ አሳድሯል።</v>
      </c>
    </row>
    <row r="11" ht="22.5" customHeight="1">
      <c r="A11" s="3">
        <v>10.0</v>
      </c>
      <c r="B11" s="4" t="s">
        <v>543</v>
      </c>
      <c r="C11" s="4" t="s">
        <v>544</v>
      </c>
      <c r="D11" s="4" t="s">
        <v>545</v>
      </c>
      <c r="E11" s="4" t="s">
        <v>545</v>
      </c>
      <c r="G11" s="5" t="str">
        <f>IFERROR(__xludf.DUMMYFUNCTION(" GOOGLETRANSLATE(A11, ""en"", ""am"")"),"10")</f>
        <v>10</v>
      </c>
      <c r="H11" s="5" t="str">
        <f>IFERROR(__xludf.DUMMYFUNCTION(" GOOGLETRANSLATE(B11, ""en"", ""am"")"),"የፈረስ ሰኮናው ለኢትዮጵያ ባላባቶች ምን ሚና ነበረው?")</f>
        <v>የፈረስ ሰኮናው ለኢትዮጵያ ባላባቶች ምን ሚና ነበረው?</v>
      </c>
      <c r="I11" s="5" t="str">
        <f>IFERROR(__xludf.DUMMYFUNCTION(" GOOGLETRANSLATE(C11, ""en"", ""am"")"),"ሀ. የግብር መሣሪያ ለ. ለሃይማኖታዊ መስዋዕትነት የሚሆን ዘዴ ሐ. የመዝናኛ ዓይነት መ. ችሎታ እና ጀግንነት ማሳያ")</f>
        <v>ሀ. የግብር መሣሪያ ለ. ለሃይማኖታዊ መስዋዕትነት የሚሆን ዘዴ ሐ. የመዝናኛ ዓይነት መ. ችሎታ እና ጀግንነት ማሳያ</v>
      </c>
      <c r="J11" s="5" t="str">
        <f>IFERROR(__xludf.DUMMYFUNCTION(" GOOGLETRANSLATE(D11, ""en"", ""am"")"),"ስፖርቱ በኢትዮጵያውያን መኳንንት መካከል የጥበብ እና የጀግንነት ማሳያ ነበር።")</f>
        <v>ስፖርቱ በኢትዮጵያውያን መኳንንት መካከል የጥበብ እና የጀግንነት ማሳያ ነበር።</v>
      </c>
      <c r="K11" s="5" t="str">
        <f>IFERROR(__xludf.DUMMYFUNCTION(" GOOGLETRANSLATE(E11, ""en"", ""am"")"),"ስፖርቱ በኢትዮጵያውያን መኳንንት መካከል የጥበብ እና የጀግንነት ማሳያ ነበር።")</f>
        <v>ስፖርቱ በኢትዮጵያውያን መኳንንት መካከል የጥበብ እና የጀግንነት ማሳያ ነበር።</v>
      </c>
    </row>
    <row r="12" ht="22.5" customHeight="1">
      <c r="A12" s="3">
        <v>11.0</v>
      </c>
      <c r="B12" s="4" t="s">
        <v>546</v>
      </c>
      <c r="C12" s="4" t="s">
        <v>547</v>
      </c>
      <c r="D12" s="4" t="s">
        <v>548</v>
      </c>
      <c r="E12" s="4" t="s">
        <v>548</v>
      </c>
      <c r="G12" s="5" t="str">
        <f>IFERROR(__xludf.DUMMYFUNCTION(" GOOGLETRANSLATE(A12, ""en"", ""am"")"),"11")</f>
        <v>11</v>
      </c>
      <c r="H12" s="5" t="str">
        <f>IFERROR(__xludf.DUMMYFUNCTION(" GOOGLETRANSLATE(B12, ""en"", ""am"")"),"በኢትዮጵያ ከፈረስ ውድድር ጋር የተያያዘው የትኛው ክልል ነው?")</f>
        <v>በኢትዮጵያ ከፈረስ ውድድር ጋር የተያያዘው የትኛው ክልል ነው?</v>
      </c>
      <c r="I12" s="5" t="str">
        <f>IFERROR(__xludf.DUMMYFUNCTION(" GOOGLETRANSLATE(C12, ""en"", ""am"")"),"አ.ኦሮሞ ብ ትግራይ ሲ.ሱማሌ ዲ.አማራ")</f>
        <v>አ.ኦሮሞ ብ ትግራይ ሲ.ሱማሌ ዲ.አማራ</v>
      </c>
      <c r="J12" s="5" t="str">
        <f>IFERROR(__xludf.DUMMYFUNCTION(" GOOGLETRANSLATE(D12, ""en"", ""am"")"),"ስፖርቱ ከአማራ ክልል ጋር በቅርብ የተቆራኘ ነው።")</f>
        <v>ስፖርቱ ከአማራ ክልል ጋር በቅርብ የተቆራኘ ነው።</v>
      </c>
      <c r="K12" s="5" t="str">
        <f>IFERROR(__xludf.DUMMYFUNCTION(" GOOGLETRANSLATE(E12, ""en"", ""am"")"),"ስፖርቱ ከአማራ ክልል ጋር በቅርብ የተቆራኘ ነው።")</f>
        <v>ስፖርቱ ከአማራ ክልል ጋር በቅርብ የተቆራኘ ነው።</v>
      </c>
    </row>
    <row r="13" ht="22.5" customHeight="1">
      <c r="A13" s="3">
        <v>12.0</v>
      </c>
      <c r="B13" s="4" t="s">
        <v>549</v>
      </c>
      <c r="C13" s="4" t="s">
        <v>550</v>
      </c>
      <c r="D13" s="4" t="s">
        <v>551</v>
      </c>
      <c r="E13" s="4" t="s">
        <v>551</v>
      </c>
      <c r="G13" s="5" t="str">
        <f>IFERROR(__xludf.DUMMYFUNCTION(" GOOGLETRANSLATE(A13, ""en"", ""am"")"),"12")</f>
        <v>12</v>
      </c>
      <c r="H13" s="5" t="str">
        <f>IFERROR(__xludf.DUMMYFUNCTION(" GOOGLETRANSLATE(B13, ""en"", ""am"")"),"የፈረስ ቡድን ተጫዋቾች ባህላዊ አለባበስ ምን ነበር?")</f>
        <v>የፈረስ ቡድን ተጫዋቾች ባህላዊ አለባበስ ምን ነበር?</v>
      </c>
      <c r="I13" s="5" t="str">
        <f>IFERROR(__xludf.DUMMYFUNCTION(" GOOGLETRANSLATE(C13, ""en"", ""am"")"),"ሀ. የቆዳ ትጥቅ ለ. የእንስሳት ቆዳዎች ሐ. ወታደራዊ ዩኒፎርም D. ነጭ ቀሚሶች")</f>
        <v>ሀ. የቆዳ ትጥቅ ለ. የእንስሳት ቆዳዎች ሐ. ወታደራዊ ዩኒፎርም D. ነጭ ቀሚሶች</v>
      </c>
      <c r="J13" s="5" t="str">
        <f>IFERROR(__xludf.DUMMYFUNCTION(" GOOGLETRANSLATE(D13, ""en"", ""am"")"),"ተሳታፊዎች በባህላዊ መንገድ ነጭ ልብሶችን ይለብሱ ነበር.")</f>
        <v>ተሳታፊዎች በባህላዊ መንገድ ነጭ ልብሶችን ይለብሱ ነበር.</v>
      </c>
      <c r="K13" s="5" t="str">
        <f>IFERROR(__xludf.DUMMYFUNCTION(" GOOGLETRANSLATE(E13, ""en"", ""am"")"),"ተሳታፊዎች በባህላዊ መንገድ ነጭ ልብሶችን ይለብሱ ነበር.")</f>
        <v>ተሳታፊዎች በባህላዊ መንገድ ነጭ ልብሶችን ይለብሱ ነበር.</v>
      </c>
    </row>
    <row r="14" ht="22.5" customHeight="1">
      <c r="A14" s="3">
        <v>13.0</v>
      </c>
      <c r="B14" s="4" t="s">
        <v>552</v>
      </c>
      <c r="C14" s="4" t="s">
        <v>553</v>
      </c>
      <c r="D14" s="4" t="s">
        <v>554</v>
      </c>
      <c r="E14" s="4" t="s">
        <v>554</v>
      </c>
      <c r="G14" s="5" t="str">
        <f>IFERROR(__xludf.DUMMYFUNCTION(" GOOGLETRANSLATE(A14, ""en"", ""am"")"),"13")</f>
        <v>13</v>
      </c>
      <c r="H14" s="5" t="str">
        <f>IFERROR(__xludf.DUMMYFUNCTION(" GOOGLETRANSLATE(B14, ""en"", ""am"")"),"Yeferas Guks ባለፉት ዓመታት እንዴት ተሻሽሏል?")</f>
        <v>Yeferas Guks ባለፉት ዓመታት እንዴት ተሻሽሏል?</v>
      </c>
      <c r="I14" s="5" t="str">
        <f>IFERROR(__xludf.DUMMYFUNCTION(" GOOGLETRANSLATE(C14, ""en"", ""am"")"),"ሀ. ከዳንስ ወደ ስፖርት ለ. ከሥነ ሥርዓት ወደ ውድድር ሐ. ከታሪክ ወደ ጨዋታ መ. ከጦርነት ሥልጠና ወደ ስፖርት")</f>
        <v>ሀ. ከዳንስ ወደ ስፖርት ለ. ከሥነ ሥርዓት ወደ ውድድር ሐ. ከታሪክ ወደ ጨዋታ መ. ከጦርነት ሥልጠና ወደ ስፖርት</v>
      </c>
      <c r="J14" s="5" t="str">
        <f>IFERROR(__xludf.DUMMYFUNCTION(" GOOGLETRANSLATE(D14, ""en"", ""am"")"),"ከጦርነት ስልጠና ወደ ውድድር ስፖርት ተለወጠ።")</f>
        <v>ከጦርነት ስልጠና ወደ ውድድር ስፖርት ተለወጠ።</v>
      </c>
      <c r="K14" s="5" t="str">
        <f>IFERROR(__xludf.DUMMYFUNCTION(" GOOGLETRANSLATE(E14, ""en"", ""am"")"),"ከጦርነት ስልጠና ወደ ውድድር ስፖርት ተለወጠ።")</f>
        <v>ከጦርነት ስልጠና ወደ ውድድር ስፖርት ተለወጠ።</v>
      </c>
    </row>
    <row r="15" ht="22.5" customHeight="1">
      <c r="A15" s="3">
        <v>14.0</v>
      </c>
      <c r="B15" s="4" t="s">
        <v>555</v>
      </c>
      <c r="C15" s="4" t="s">
        <v>556</v>
      </c>
      <c r="D15" s="4" t="s">
        <v>557</v>
      </c>
      <c r="E15" s="4" t="s">
        <v>557</v>
      </c>
      <c r="G15" s="5" t="str">
        <f>IFERROR(__xludf.DUMMYFUNCTION(" GOOGLETRANSLATE(A15, ""en"", ""am"")"),"14")</f>
        <v>14</v>
      </c>
      <c r="H15" s="5" t="str">
        <f>IFERROR(__xludf.DUMMYFUNCTION(" GOOGLETRANSLATE(B15, ""en"", ""am"")"),"የፈረስ እሽቅድምድም ዘመናዊ ጠቀሜታ ምንድነው?")</f>
        <v>የፈረስ እሽቅድምድም ዘመናዊ ጠቀሜታ ምንድነው?</v>
      </c>
      <c r="I15" s="5" t="str">
        <f>IFERROR(__xludf.DUMMYFUNCTION(" GOOGLETRANSLATE(C15, ""en"", ""am"")"),"ሀ. የኢኮኖሚ ልማት ለ. የቱሪዝም ማስተዋወቅ ሐ. ስፖርት ዲፕሎማሲ መ. የባህል ጥበቃ")</f>
        <v>ሀ. የኢኮኖሚ ልማት ለ. የቱሪዝም ማስተዋወቅ ሐ. ስፖርት ዲፕሎማሲ መ. የባህል ጥበቃ</v>
      </c>
      <c r="J15" s="5" t="str">
        <f>IFERROR(__xludf.DUMMYFUNCTION(" GOOGLETRANSLATE(D15, ""en"", ""am"")"),"ስፖርት የኢትዮጵያን ባህል የምንጠብቅበት መንገድ ነው።")</f>
        <v>ስፖርት የኢትዮጵያን ባህል የምንጠብቅበት መንገድ ነው።</v>
      </c>
      <c r="K15" s="5" t="str">
        <f>IFERROR(__xludf.DUMMYFUNCTION(" GOOGLETRANSLATE(E15, ""en"", ""am"")"),"ስፖርት የኢትዮጵያን ባህል የምንጠብቅበት መንገድ ነው።")</f>
        <v>ስፖርት የኢትዮጵያን ባህል የምንጠብቅበት መንገድ ነው።</v>
      </c>
    </row>
    <row r="16" ht="22.5" customHeight="1">
      <c r="A16" s="3">
        <v>15.0</v>
      </c>
      <c r="B16" s="4" t="s">
        <v>516</v>
      </c>
      <c r="C16" s="4" t="s">
        <v>517</v>
      </c>
      <c r="D16" s="4" t="s">
        <v>518</v>
      </c>
      <c r="E16" s="4" t="s">
        <v>518</v>
      </c>
      <c r="G16" s="5" t="str">
        <f>IFERROR(__xludf.DUMMYFUNCTION(" GOOGLETRANSLATE(A16, ""en"", ""am"")"),"15")</f>
        <v>15</v>
      </c>
      <c r="H16" s="5" t="str">
        <f>IFERROR(__xludf.DUMMYFUNCTION(" GOOGLETRANSLATE(B16, ""en"", ""am"")"),"የፈረስ ጭራ መቼ መጣ?")</f>
        <v>የፈረስ ጭራ መቼ መጣ?</v>
      </c>
      <c r="I16" s="5" t="str">
        <f>IFERROR(__xludf.DUMMYFUNCTION(" GOOGLETRANSLATE(C16, ""en"", ""am"")"),"ኣብ መበል 16 ክ.ዘ. ኣብ 18 ክ.ዘ.")</f>
        <v>ኣብ መበል 16 ክ.ዘ. ኣብ 18 ክ.ዘ.</v>
      </c>
      <c r="J16" s="5" t="str">
        <f>IFERROR(__xludf.DUMMYFUNCTION(" GOOGLETRANSLATE(D16, ""en"", ""am"")"),"ስፖርቱ በኢትዮጵያ በ14ኛው ክፍለ ዘመን እንደተጀመረ ይታመናል።")</f>
        <v>ስፖርቱ በኢትዮጵያ በ14ኛው ክፍለ ዘመን እንደተጀመረ ይታመናል።</v>
      </c>
      <c r="K16" s="5" t="str">
        <f>IFERROR(__xludf.DUMMYFUNCTION(" GOOGLETRANSLATE(E16, ""en"", ""am"")"),"ስፖርቱ በኢትዮጵያ በ14ኛው ክፍለ ዘመን እንደተጀመረ ይታመናል።")</f>
        <v>ስፖርቱ በኢትዮጵያ በ14ኛው ክፍለ ዘመን እንደተጀመረ ይታመናል።</v>
      </c>
    </row>
    <row r="17" ht="22.5" customHeight="1">
      <c r="A17" s="3">
        <v>16.0</v>
      </c>
      <c r="B17" s="4" t="s">
        <v>519</v>
      </c>
      <c r="C17" s="4" t="s">
        <v>520</v>
      </c>
      <c r="D17" s="4" t="s">
        <v>521</v>
      </c>
      <c r="E17" s="4" t="s">
        <v>521</v>
      </c>
      <c r="G17" s="5" t="str">
        <f>IFERROR(__xludf.DUMMYFUNCTION(" GOOGLETRANSLATE(A17, ""en"", ""am"")"),"16")</f>
        <v>16</v>
      </c>
      <c r="H17" s="5" t="str">
        <f>IFERROR(__xludf.DUMMYFUNCTION(" GOOGLETRANSLATE(B17, ""en"", ""am"")"),"ታዋቂው የባህል ስፖርት የፈረስ እሽቅድምድም ከየት ሀገር ነበር የተጀመረው?")</f>
        <v>ታዋቂው የባህል ስፖርት የፈረስ እሽቅድምድም ከየት ሀገር ነበር የተጀመረው?</v>
      </c>
      <c r="I17" s="5" t="str">
        <f>IFERROR(__xludf.DUMMYFUNCTION(" GOOGLETRANSLATE(C17, ""en"", ""am"")"),"ኣብ ሱዳን ብ ኬንያ ሲ ሶማሊያ ዲ.ኢትዮጵያ")</f>
        <v>ኣብ ሱዳን ብ ኬንያ ሲ ሶማሊያ ዲ.ኢትዮጵያ</v>
      </c>
      <c r="J17" s="5" t="str">
        <f>IFERROR(__xludf.DUMMYFUNCTION(" GOOGLETRANSLATE(D17, ""en"", ""am"")"),"የፈረስ ውድድር የኢትዮጵያ ባህላዊ ስፖርት ነው።")</f>
        <v>የፈረስ ውድድር የኢትዮጵያ ባህላዊ ስፖርት ነው።</v>
      </c>
      <c r="K17" s="5" t="str">
        <f>IFERROR(__xludf.DUMMYFUNCTION(" GOOGLETRANSLATE(E17, ""en"", ""am"")"),"የፈረስ ውድድር የኢትዮጵያ ባህላዊ ስፖርት ነው።")</f>
        <v>የፈረስ ውድድር የኢትዮጵያ ባህላዊ ስፖርት ነው።</v>
      </c>
    </row>
    <row r="18" ht="22.5" customHeight="1">
      <c r="A18" s="3">
        <v>17.0</v>
      </c>
      <c r="B18" s="4" t="s">
        <v>522</v>
      </c>
      <c r="C18" s="4" t="s">
        <v>523</v>
      </c>
      <c r="D18" s="4" t="s">
        <v>524</v>
      </c>
      <c r="E18" s="4" t="s">
        <v>524</v>
      </c>
      <c r="G18" s="5" t="str">
        <f>IFERROR(__xludf.DUMMYFUNCTION(" GOOGLETRANSLATE(A18, ""en"", ""am"")"),"17")</f>
        <v>17</v>
      </c>
      <c r="H18" s="5" t="str">
        <f>IFERROR(__xludf.DUMMYFUNCTION(" GOOGLETRANSLATE(B18, ""en"", ""am"")"),"በመጀመሪያዎቹ ዓመታት የፈረስ እሽቅድምድም ዋና ዓላማ ምን ነበር?")</f>
        <v>በመጀመሪያዎቹ ዓመታት የፈረስ እሽቅድምድም ዋና ዓላማ ምን ነበር?</v>
      </c>
      <c r="I18" s="5" t="str">
        <f>IFERROR(__xludf.DUMMYFUNCTION(" GOOGLETRANSLATE(C18, ""en"", ""am"")"),"ሀ.ወታደራዊ ሥልጠና ለ. ሃይማኖታዊ ሥርዓቶች ሐ. የመጸው በዓላት መ. ወታደራዊ ሥልጠና")</f>
        <v>ሀ.ወታደራዊ ሥልጠና ለ. ሃይማኖታዊ ሥርዓቶች ሐ. የመጸው በዓላት መ. ወታደራዊ ሥልጠና</v>
      </c>
      <c r="J18" s="5" t="str">
        <f>IFERROR(__xludf.DUMMYFUNCTION(" GOOGLETRANSLATE(D18, ""en"", ""am"")"),"ስፖርቱ በዋናነት ለውትድርና ስልጠና ይውል ነበር።")</f>
        <v>ስፖርቱ በዋናነት ለውትድርና ስልጠና ይውል ነበር።</v>
      </c>
      <c r="K18" s="5" t="str">
        <f>IFERROR(__xludf.DUMMYFUNCTION(" GOOGLETRANSLATE(E18, ""en"", ""am"")"),"ስፖርቱ በዋናነት ለውትድርና ስልጠና ይውል ነበር።")</f>
        <v>ስፖርቱ በዋናነት ለውትድርና ስልጠና ይውል ነበር።</v>
      </c>
    </row>
    <row r="19" ht="22.5" customHeight="1">
      <c r="A19" s="3">
        <v>18.0</v>
      </c>
      <c r="B19" s="4" t="s">
        <v>558</v>
      </c>
      <c r="C19" s="4" t="s">
        <v>526</v>
      </c>
      <c r="D19" s="4" t="s">
        <v>527</v>
      </c>
      <c r="E19" s="4" t="s">
        <v>527</v>
      </c>
      <c r="G19" s="5" t="str">
        <f>IFERROR(__xludf.DUMMYFUNCTION(" GOOGLETRANSLATE(A19, ""en"", ""am"")"),"18")</f>
        <v>18</v>
      </c>
      <c r="H19" s="5" t="str">
        <f>IFERROR(__xludf.DUMMYFUNCTION(" GOOGLETRANSLATE(B19, ""en"", ""am"")"),"በፈረስ ግልቢያ ውስጥ ምን ዓይነት መሣሪያዎች በብዛት ጥቅም ላይ ይውላሉ?")</f>
        <v>በፈረስ ግልቢያ ውስጥ ምን ዓይነት መሣሪያዎች በብዛት ጥቅም ላይ ይውላሉ?</v>
      </c>
      <c r="I19" s="5" t="str">
        <f>IFERROR(__xludf.DUMMYFUNCTION(" GOOGLETRANSLATE(C19, ""en"", ""am"")"),"ሀ. ሰይፎች ቢ. ቀስቶች ሐ. ጋሻዎች ዲ. ቅመም")</f>
        <v>ሀ. ሰይፎች ቢ. ቀስቶች ሐ. ጋሻዎች ዲ. ቅመም</v>
      </c>
      <c r="J19" s="5" t="str">
        <f>IFERROR(__xludf.DUMMYFUNCTION(" GOOGLETRANSLATE(D19, ""en"", ""am"")"),"ፈረሶች በሚጋልቡበት ወቅት ተሳታፊዎች በባህላዊ መንገድ ጦር ይጠቀማሉ።")</f>
        <v>ፈረሶች በሚጋልቡበት ወቅት ተሳታፊዎች በባህላዊ መንገድ ጦር ይጠቀማሉ።</v>
      </c>
      <c r="K19" s="5" t="str">
        <f>IFERROR(__xludf.DUMMYFUNCTION(" GOOGLETRANSLATE(E19, ""en"", ""am"")"),"ፈረሶች በሚጋልቡበት ወቅት ተሳታፊዎች በባህላዊ መንገድ ጦር ይጠቀማሉ።")</f>
        <v>ፈረሶች በሚጋልቡበት ወቅት ተሳታፊዎች በባህላዊ መንገድ ጦር ይጠቀማሉ።</v>
      </c>
    </row>
    <row r="20" ht="22.5" customHeight="1">
      <c r="A20" s="3">
        <v>19.0</v>
      </c>
      <c r="B20" s="4" t="s">
        <v>528</v>
      </c>
      <c r="C20" s="4" t="s">
        <v>529</v>
      </c>
      <c r="D20" s="4" t="s">
        <v>530</v>
      </c>
      <c r="E20" s="4" t="s">
        <v>530</v>
      </c>
      <c r="G20" s="5" t="str">
        <f>IFERROR(__xludf.DUMMYFUNCTION(" GOOGLETRANSLATE(A20, ""en"", ""am"")"),"19")</f>
        <v>19</v>
      </c>
      <c r="H20" s="5" t="str">
        <f>IFERROR(__xludf.DUMMYFUNCTION(" GOOGLETRANSLATE(B20, ""en"", ""am"")"),"የፈረስ እሽቅድምድም ለመጫወት የትኛው እንስሳ አስፈላጊ ነው?")</f>
        <v>የፈረስ እሽቅድምድም ለመጫወት የትኛው እንስሳ አስፈላጊ ነው?</v>
      </c>
      <c r="I20" s="5" t="str">
        <f>IFERROR(__xludf.DUMMYFUNCTION(" GOOGLETRANSLATE(C20, ""en"", ""am"")"),"ሀ. ግመል ቢ ኦክስ ሲ. ዝሆን ዲ. ፈረስ")</f>
        <v>ሀ. ግመል ቢ ኦክስ ሲ. ዝሆን ዲ. ፈረስ</v>
      </c>
      <c r="J20" s="5" t="str">
        <f>IFERROR(__xludf.DUMMYFUNCTION(" GOOGLETRANSLATE(D20, ""en"", ""am"")"),"ፈረስ እየጋለበ ፈረስ ግልቢያ ይጫወታል።")</f>
        <v>ፈረስ እየጋለበ ፈረስ ግልቢያ ይጫወታል።</v>
      </c>
      <c r="K20" s="5" t="str">
        <f>IFERROR(__xludf.DUMMYFUNCTION(" GOOGLETRANSLATE(E20, ""en"", ""am"")"),"ፈረስ እየጋለበ ፈረስ ግልቢያ ይጫወታል።")</f>
        <v>ፈረስ እየጋለበ ፈረስ ግልቢያ ይጫወታል።</v>
      </c>
    </row>
    <row r="21" ht="22.5" customHeight="1">
      <c r="A21" s="3">
        <v>20.0</v>
      </c>
      <c r="B21" s="4" t="s">
        <v>531</v>
      </c>
      <c r="C21" s="4" t="s">
        <v>532</v>
      </c>
      <c r="D21" s="4" t="s">
        <v>533</v>
      </c>
      <c r="E21" s="4" t="s">
        <v>533</v>
      </c>
      <c r="G21" s="5" t="str">
        <f>IFERROR(__xludf.DUMMYFUNCTION(" GOOGLETRANSLATE(A21, ""en"", ""am"")"),"20")</f>
        <v>20</v>
      </c>
      <c r="H21" s="5" t="str">
        <f>IFERROR(__xludf.DUMMYFUNCTION(" GOOGLETRANSLATE(B21, ""en"", ""am"")"),"የፈረስ እሽቅድምድም በማስተዋወቅ የሚታወቀው የትኛው ኢትዮጵያዊ ንጉስ ነው?")</f>
        <v>የፈረስ እሽቅድምድም በማስተዋወቅ የሚታወቀው የትኛው ኢትዮጵያዊ ንጉስ ነው?</v>
      </c>
      <c r="I21" s="5" t="str">
        <f>IFERROR(__xludf.DUMMYFUNCTION(" GOOGLETRANSLATE(C21, ""en"", ""am"")"),"ሀ/ አፄ ኃይለ ሥላሴ ለ. አፄ ቴዎድሮስ 2ኛ ሐ. አፄ ዮሐንስ ፬ኛ ዲ. አፄ ምኒልክ ዳግማዊ")</f>
        <v>ሀ/ አፄ ኃይለ ሥላሴ ለ. አፄ ቴዎድሮስ 2ኛ ሐ. አፄ ዮሐንስ ፬ኛ ዲ. አፄ ምኒልክ ዳግማዊ</v>
      </c>
      <c r="J21" s="5" t="str">
        <f>IFERROR(__xludf.DUMMYFUNCTION(" GOOGLETRANSLATE(D21, ""en"", ""am"")"),"ዳግማዊ አፄ ምኒልክ የፈረስ እሽቅድምድም እንዲካሄድ አበረታቱ።")</f>
        <v>ዳግማዊ አፄ ምኒልክ የፈረስ እሽቅድምድም እንዲካሄድ አበረታቱ።</v>
      </c>
      <c r="K21" s="5" t="str">
        <f>IFERROR(__xludf.DUMMYFUNCTION(" GOOGLETRANSLATE(E21, ""en"", ""am"")"),"ዳግማዊ አፄ ምኒልክ የፈረስ እሽቅድምድም እንዲካሄድ አበረታቱ።")</f>
        <v>ዳግማዊ አፄ ምኒልክ የፈረስ እሽቅድምድም እንዲካሄድ አበረታቱ።</v>
      </c>
    </row>
    <row r="22" ht="22.5" customHeight="1">
      <c r="A22" s="3">
        <v>21.0</v>
      </c>
      <c r="B22" s="4" t="s">
        <v>534</v>
      </c>
      <c r="C22" s="4" t="s">
        <v>535</v>
      </c>
      <c r="D22" s="4" t="s">
        <v>536</v>
      </c>
      <c r="E22" s="4" t="s">
        <v>536</v>
      </c>
      <c r="G22" s="5" t="str">
        <f>IFERROR(__xludf.DUMMYFUNCTION(" GOOGLETRANSLATE(A22, ""en"", ""am"")"),"21")</f>
        <v>21</v>
      </c>
      <c r="H22" s="5" t="str">
        <f>IFERROR(__xludf.DUMMYFUNCTION(" GOOGLETRANSLATE(B22, ""en"", ""am"")"),"የፈረስ እሽቅድምድም በባህል የተከናወነው በምን አውድ ነው?")</f>
        <v>የፈረስ እሽቅድምድም በባህል የተከናወነው በምን አውድ ነው?</v>
      </c>
      <c r="I22" s="5" t="str">
        <f>IFERROR(__xludf.DUMMYFUNCTION(" GOOGLETRANSLATE(C22, ""en"", ""am"")"),"ሀ. ወታደራዊ ሰልፍ ለ. የመጸው በዓላት ሐ. የቀብር ሥነ ሥርዓቶች D. ወታደራዊ ሰልፍ")</f>
        <v>ሀ. ወታደራዊ ሰልፍ ለ. የመጸው በዓላት ሐ. የቀብር ሥነ ሥርዓቶች D. ወታደራዊ ሰልፍ</v>
      </c>
      <c r="J22" s="5" t="str">
        <f>IFERROR(__xludf.DUMMYFUNCTION(" GOOGLETRANSLATE(D22, ""en"", ""am"")"),"ስፖርቱ ብዙ ጊዜ የሚካሄደው በወታደራዊ ሰልፍ ወቅት ነበር።")</f>
        <v>ስፖርቱ ብዙ ጊዜ የሚካሄደው በወታደራዊ ሰልፍ ወቅት ነበር።</v>
      </c>
      <c r="K22" s="5" t="str">
        <f>IFERROR(__xludf.DUMMYFUNCTION(" GOOGLETRANSLATE(E22, ""en"", ""am"")"),"ስፖርቱ ብዙ ጊዜ የሚካሄደው በወታደራዊ ሰልፍ ወቅት ነበር።")</f>
        <v>ስፖርቱ ብዙ ጊዜ የሚካሄደው በወታደራዊ ሰልፍ ወቅት ነበር።</v>
      </c>
    </row>
    <row r="23" ht="22.5" customHeight="1">
      <c r="A23" s="3">
        <v>22.0</v>
      </c>
      <c r="B23" s="4" t="s">
        <v>537</v>
      </c>
      <c r="C23" s="4" t="s">
        <v>538</v>
      </c>
      <c r="D23" s="4" t="s">
        <v>539</v>
      </c>
      <c r="E23" s="4" t="s">
        <v>539</v>
      </c>
      <c r="G23" s="5" t="str">
        <f>IFERROR(__xludf.DUMMYFUNCTION(" GOOGLETRANSLATE(A23, ""en"", ""am"")"),"22")</f>
        <v>22</v>
      </c>
      <c r="H23" s="5" t="str">
        <f>IFERROR(__xludf.DUMMYFUNCTION(" GOOGLETRANSLATE(B23, ""en"", ""am"")"),"የፈረስ እሽቅድምድም ዋና ዓላማ ምንድን ነው?")</f>
        <v>የፈረስ እሽቅድምድም ዋና ዓላማ ምንድን ነው?</v>
      </c>
      <c r="I23" s="5" t="str">
        <f>IFERROR(__xludf.DUMMYFUNCTION(" GOOGLETRANSLATE(C23, ""en"", ""am"")"),"ሀ. ፈረስን ለመሮጥ B. ቦታውን ለመጠበቅ ሐ. ከተቃዋሚው ለማምለጥ መ. ኢላማ ለመምታት")</f>
        <v>ሀ. ፈረስን ለመሮጥ B. ቦታውን ለመጠበቅ ሐ. ከተቃዋሚው ለማምለጥ መ. ኢላማ ለመምታት</v>
      </c>
      <c r="J23" s="5" t="str">
        <f>IFERROR(__xludf.DUMMYFUNCTION(" GOOGLETRANSLATE(D23, ""en"", ""am"")"),"አላማው በፈረስ እየጋለቡ ጦር ተጠቅሞ ኢላማ መምታት ነው።")</f>
        <v>አላማው በፈረስ እየጋለቡ ጦር ተጠቅሞ ኢላማ መምታት ነው።</v>
      </c>
      <c r="K23" s="5" t="str">
        <f>IFERROR(__xludf.DUMMYFUNCTION(" GOOGLETRANSLATE(E23, ""en"", ""am"")"),"አላማው በፈረስ እየጋለቡ ጦር ተጠቅሞ ኢላማ መምታት ነው።")</f>
        <v>አላማው በፈረስ እየጋለቡ ጦር ተጠቅሞ ኢላማ መምታት ነው።</v>
      </c>
    </row>
    <row r="24" ht="22.5" customHeight="1">
      <c r="A24" s="3">
        <v>23.0</v>
      </c>
      <c r="B24" s="4" t="s">
        <v>540</v>
      </c>
      <c r="C24" s="4" t="s">
        <v>541</v>
      </c>
      <c r="D24" s="4" t="s">
        <v>542</v>
      </c>
      <c r="E24" s="4" t="s">
        <v>542</v>
      </c>
      <c r="G24" s="5" t="str">
        <f>IFERROR(__xludf.DUMMYFUNCTION(" GOOGLETRANSLATE(A24, ""en"", ""am"")"),"23")</f>
        <v>23</v>
      </c>
      <c r="H24" s="5" t="str">
        <f>IFERROR(__xludf.DUMMYFUNCTION(" GOOGLETRANSLATE(B24, ""en"", ""am"")"),"የፈረስ እሽቅድምድም በኢትዮጵያ ባህል ላይ ተጽዕኖ ያሳደረው እንዴት ነው?")</f>
        <v>የፈረስ እሽቅድምድም በኢትዮጵያ ባህል ላይ ተጽዕኖ ያሳደረው እንዴት ነው?</v>
      </c>
      <c r="I24" s="5" t="str">
        <f>IFERROR(__xludf.DUMMYFUNCTION(" GOOGLETRANSLATE(C24, ""en"", ""am"")"),"ሀ. የውትድርና ስልቶችን በመቅረጽ ለ. በዳንስ ዓይነቶች ተጽዕኖ ሐ. በሥነ ጽሑፍ ተመስጦ መ. ወታደራዊ ስልቶችን በመቅረጽ")</f>
        <v>ሀ. የውትድርና ስልቶችን በመቅረጽ ለ. በዳንስ ዓይነቶች ተጽዕኖ ሐ. በሥነ ጽሑፍ ተመስጦ መ. ወታደራዊ ስልቶችን በመቅረጽ</v>
      </c>
      <c r="J24" s="5" t="str">
        <f>IFERROR(__xludf.DUMMYFUNCTION(" GOOGLETRANSLATE(D24, ""en"", ""am"")"),"ስፖርቱ በኢትዮጵያ ወታደራዊ ታክቲክ ላይ ከፍተኛ ተፅዕኖ አሳድሯል።")</f>
        <v>ስፖርቱ በኢትዮጵያ ወታደራዊ ታክቲክ ላይ ከፍተኛ ተፅዕኖ አሳድሯል።</v>
      </c>
      <c r="K24" s="5" t="str">
        <f>IFERROR(__xludf.DUMMYFUNCTION(" GOOGLETRANSLATE(E24, ""en"", ""am"")"),"ስፖርቱ በኢትዮጵያ ወታደራዊ ታክቲክ ላይ ከፍተኛ ተፅዕኖ አሳድሯል።")</f>
        <v>ስፖርቱ በኢትዮጵያ ወታደራዊ ታክቲክ ላይ ከፍተኛ ተፅዕኖ አሳድሯል።</v>
      </c>
    </row>
    <row r="25" ht="22.5" customHeight="1">
      <c r="A25" s="3">
        <v>24.0</v>
      </c>
      <c r="B25" s="4" t="s">
        <v>543</v>
      </c>
      <c r="C25" s="4" t="s">
        <v>544</v>
      </c>
      <c r="D25" s="4" t="s">
        <v>545</v>
      </c>
      <c r="E25" s="4" t="s">
        <v>545</v>
      </c>
      <c r="G25" s="5" t="str">
        <f>IFERROR(__xludf.DUMMYFUNCTION(" GOOGLETRANSLATE(A25, ""en"", ""am"")"),"24")</f>
        <v>24</v>
      </c>
      <c r="H25" s="5" t="str">
        <f>IFERROR(__xludf.DUMMYFUNCTION(" GOOGLETRANSLATE(B25, ""en"", ""am"")"),"የፈረስ ሰኮናው ለኢትዮጵያ ባላባቶች ምን ሚና ነበረው?")</f>
        <v>የፈረስ ሰኮናው ለኢትዮጵያ ባላባቶች ምን ሚና ነበረው?</v>
      </c>
      <c r="I25" s="5" t="str">
        <f>IFERROR(__xludf.DUMMYFUNCTION(" GOOGLETRANSLATE(C25, ""en"", ""am"")"),"ሀ. የግብር መሣሪያ ለ. ለሃይማኖታዊ መስዋዕትነት የሚሆን ዘዴ ሐ. የመዝናኛ ዓይነት መ. ችሎታ እና ጀግንነት ማሳያ")</f>
        <v>ሀ. የግብር መሣሪያ ለ. ለሃይማኖታዊ መስዋዕትነት የሚሆን ዘዴ ሐ. የመዝናኛ ዓይነት መ. ችሎታ እና ጀግንነት ማሳያ</v>
      </c>
      <c r="J25" s="5" t="str">
        <f>IFERROR(__xludf.DUMMYFUNCTION(" GOOGLETRANSLATE(D25, ""en"", ""am"")"),"ስፖርቱ በኢትዮጵያውያን መኳንንት መካከል የጥበብ እና የጀግንነት ማሳያ ነበር።")</f>
        <v>ስፖርቱ በኢትዮጵያውያን መኳንንት መካከል የጥበብ እና የጀግንነት ማሳያ ነበር።</v>
      </c>
      <c r="K25" s="5" t="str">
        <f>IFERROR(__xludf.DUMMYFUNCTION(" GOOGLETRANSLATE(E25, ""en"", ""am"")"),"ስፖርቱ በኢትዮጵያውያን መኳንንት መካከል የጥበብ እና የጀግንነት ማሳያ ነበር።")</f>
        <v>ስፖርቱ በኢትዮጵያውያን መኳንንት መካከል የጥበብ እና የጀግንነት ማሳያ ነበር።</v>
      </c>
    </row>
    <row r="26" ht="22.5" customHeight="1">
      <c r="A26" s="3">
        <v>25.0</v>
      </c>
      <c r="B26" s="4" t="s">
        <v>546</v>
      </c>
      <c r="C26" s="4" t="s">
        <v>547</v>
      </c>
      <c r="D26" s="4" t="s">
        <v>548</v>
      </c>
      <c r="E26" s="4" t="s">
        <v>548</v>
      </c>
      <c r="G26" s="5" t="str">
        <f>IFERROR(__xludf.DUMMYFUNCTION(" GOOGLETRANSLATE(A26, ""en"", ""am"")"),"25")</f>
        <v>25</v>
      </c>
      <c r="H26" s="5" t="str">
        <f>IFERROR(__xludf.DUMMYFUNCTION(" GOOGLETRANSLATE(B26, ""en"", ""am"")"),"በኢትዮጵያ ከፈረስ ውድድር ጋር የተያያዘው የትኛው ክልል ነው?")</f>
        <v>በኢትዮጵያ ከፈረስ ውድድር ጋር የተያያዘው የትኛው ክልል ነው?</v>
      </c>
      <c r="I26" s="5" t="str">
        <f>IFERROR(__xludf.DUMMYFUNCTION(" GOOGLETRANSLATE(C26, ""en"", ""am"")"),"አ.ኦሮሞ ብ ትግራይ ሲ.ሱማሌ ዲ.አማራ")</f>
        <v>አ.ኦሮሞ ብ ትግራይ ሲ.ሱማሌ ዲ.አማራ</v>
      </c>
      <c r="J26" s="5" t="str">
        <f>IFERROR(__xludf.DUMMYFUNCTION(" GOOGLETRANSLATE(D26, ""en"", ""am"")"),"ስፖርቱ ከአማራ ክልል ጋር በቅርብ የተቆራኘ ነው።")</f>
        <v>ስፖርቱ ከአማራ ክልል ጋር በቅርብ የተቆራኘ ነው።</v>
      </c>
      <c r="K26" s="5" t="str">
        <f>IFERROR(__xludf.DUMMYFUNCTION(" GOOGLETRANSLATE(E26, ""en"", ""am"")"),"ስፖርቱ ከአማራ ክልል ጋር በቅርብ የተቆራኘ ነው።")</f>
        <v>ስፖርቱ ከአማራ ክልል ጋር በቅርብ የተቆራኘ ነው።</v>
      </c>
    </row>
    <row r="27" ht="22.5" customHeight="1">
      <c r="A27" s="3">
        <v>26.0</v>
      </c>
      <c r="B27" s="4" t="s">
        <v>559</v>
      </c>
      <c r="C27" s="4" t="s">
        <v>550</v>
      </c>
      <c r="D27" s="4" t="s">
        <v>551</v>
      </c>
      <c r="E27" s="4" t="s">
        <v>551</v>
      </c>
      <c r="G27" s="5" t="str">
        <f>IFERROR(__xludf.DUMMYFUNCTION(" GOOGLETRANSLATE(A27, ""en"", ""am"")"),"26")</f>
        <v>26</v>
      </c>
      <c r="H27" s="5" t="str">
        <f>IFERROR(__xludf.DUMMYFUNCTION(" GOOGLETRANSLATE(B27, ""en"", ""am"")"),"የየፈራ ጉክስ ተጫዋቾች ባህላዊ አለባበስ ምን ነበር?")</f>
        <v>የየፈራ ጉክስ ተጫዋቾች ባህላዊ አለባበስ ምን ነበር?</v>
      </c>
      <c r="I27" s="5" t="str">
        <f>IFERROR(__xludf.DUMMYFUNCTION(" GOOGLETRANSLATE(C27, ""en"", ""am"")"),"ሀ. የቆዳ ትጥቅ ለ. የእንስሳት ቆዳዎች ሐ. ወታደራዊ ዩኒፎርም D. ነጭ ቀሚሶች")</f>
        <v>ሀ. የቆዳ ትጥቅ ለ. የእንስሳት ቆዳዎች ሐ. ወታደራዊ ዩኒፎርም D. ነጭ ቀሚሶች</v>
      </c>
      <c r="J27" s="5" t="str">
        <f>IFERROR(__xludf.DUMMYFUNCTION(" GOOGLETRANSLATE(D27, ""en"", ""am"")"),"ተሳታፊዎች በባህላዊ መንገድ ነጭ ልብሶችን ይለብሱ ነበር.")</f>
        <v>ተሳታፊዎች በባህላዊ መንገድ ነጭ ልብሶችን ይለብሱ ነበር.</v>
      </c>
      <c r="K27" s="5" t="str">
        <f>IFERROR(__xludf.DUMMYFUNCTION(" GOOGLETRANSLATE(E27, ""en"", ""am"")"),"ተሳታፊዎች በባህላዊ መንገድ ነጭ ልብሶችን ይለብሱ ነበር.")</f>
        <v>ተሳታፊዎች በባህላዊ መንገድ ነጭ ልብሶችን ይለብሱ ነበር.</v>
      </c>
    </row>
    <row r="28" ht="22.5" customHeight="1">
      <c r="A28" s="3">
        <v>27.0</v>
      </c>
      <c r="B28" s="4" t="s">
        <v>560</v>
      </c>
      <c r="C28" s="4" t="s">
        <v>553</v>
      </c>
      <c r="D28" s="4" t="s">
        <v>554</v>
      </c>
      <c r="E28" s="4" t="s">
        <v>554</v>
      </c>
      <c r="G28" s="5" t="str">
        <f>IFERROR(__xludf.DUMMYFUNCTION(" GOOGLETRANSLATE(A28, ""en"", ""am"")"),"27")</f>
        <v>27</v>
      </c>
      <c r="H28" s="5" t="str">
        <f>IFERROR(__xludf.DUMMYFUNCTION(" GOOGLETRANSLATE(B28, ""en"", ""am"")"),"ባለፉት ዓመታት የፈረስ እሽቅድምድም እንዴት ተሻሽሏል?")</f>
        <v>ባለፉት ዓመታት የፈረስ እሽቅድምድም እንዴት ተሻሽሏል?</v>
      </c>
      <c r="I28" s="5" t="str">
        <f>IFERROR(__xludf.DUMMYFUNCTION(" GOOGLETRANSLATE(C28, ""en"", ""am"")"),"ሀ. ከዳንስ ወደ ስፖርት ለ. ከሥነ ሥርዓት ወደ ውድድር ሐ. ከታሪክ ወደ ጨዋታ መ. ከጦርነት ሥልጠና ወደ ስፖርት")</f>
        <v>ሀ. ከዳንስ ወደ ስፖርት ለ. ከሥነ ሥርዓት ወደ ውድድር ሐ. ከታሪክ ወደ ጨዋታ መ. ከጦርነት ሥልጠና ወደ ስፖርት</v>
      </c>
      <c r="J28" s="5" t="str">
        <f>IFERROR(__xludf.DUMMYFUNCTION(" GOOGLETRANSLATE(D28, ""en"", ""am"")"),"ከጦርነት ስልጠና ወደ ውድድር ስፖርት ተለወጠ።")</f>
        <v>ከጦርነት ስልጠና ወደ ውድድር ስፖርት ተለወጠ።</v>
      </c>
      <c r="K28" s="5" t="str">
        <f>IFERROR(__xludf.DUMMYFUNCTION(" GOOGLETRANSLATE(E28, ""en"", ""am"")"),"ከጦርነት ስልጠና ወደ ውድድር ስፖርት ተለወጠ።")</f>
        <v>ከጦርነት ስልጠና ወደ ውድድር ስፖርት ተለወጠ።</v>
      </c>
    </row>
    <row r="29" ht="22.5" customHeight="1">
      <c r="A29" s="3">
        <v>28.0</v>
      </c>
      <c r="B29" s="4" t="s">
        <v>555</v>
      </c>
      <c r="C29" s="4" t="s">
        <v>556</v>
      </c>
      <c r="D29" s="4" t="s">
        <v>557</v>
      </c>
      <c r="E29" s="4" t="s">
        <v>557</v>
      </c>
      <c r="G29" s="5" t="str">
        <f>IFERROR(__xludf.DUMMYFUNCTION(" GOOGLETRANSLATE(A29, ""en"", ""am"")"),"28")</f>
        <v>28</v>
      </c>
      <c r="H29" s="5" t="str">
        <f>IFERROR(__xludf.DUMMYFUNCTION(" GOOGLETRANSLATE(B29, ""en"", ""am"")"),"የፈረስ እሽቅድምድም ዘመናዊ ጠቀሜታ ምንድነው?")</f>
        <v>የፈረስ እሽቅድምድም ዘመናዊ ጠቀሜታ ምንድነው?</v>
      </c>
      <c r="I29" s="5" t="str">
        <f>IFERROR(__xludf.DUMMYFUNCTION(" GOOGLETRANSLATE(C29, ""en"", ""am"")"),"ሀ. የኢኮኖሚ ልማት ለ. የቱሪዝም ማስተዋወቅ ሐ. ስፖርት ዲፕሎማሲ መ. የባህል ጥበቃ")</f>
        <v>ሀ. የኢኮኖሚ ልማት ለ. የቱሪዝም ማስተዋወቅ ሐ. ስፖርት ዲፕሎማሲ መ. የባህል ጥበቃ</v>
      </c>
      <c r="J29" s="5" t="str">
        <f>IFERROR(__xludf.DUMMYFUNCTION(" GOOGLETRANSLATE(D29, ""en"", ""am"")"),"ስፖርት የኢትዮጵያን ባህል የምንጠብቅበት መንገድ ነው።")</f>
        <v>ስፖርት የኢትዮጵያን ባህል የምንጠብቅበት መንገድ ነው።</v>
      </c>
      <c r="K29" s="5" t="str">
        <f>IFERROR(__xludf.DUMMYFUNCTION(" GOOGLETRANSLATE(E29, ""en"", ""am"")"),"ስፖርት የኢትዮጵያን ባህል የምንጠብቅበት መንገድ ነው።")</f>
        <v>ስፖርት የኢትዮጵያን ባህል የምንጠብቅበት መንገድ ነው።</v>
      </c>
    </row>
    <row r="30" ht="22.5" customHeight="1">
      <c r="A30" s="3">
        <v>29.0</v>
      </c>
      <c r="B30" s="4" t="s">
        <v>561</v>
      </c>
      <c r="C30" s="4" t="s">
        <v>562</v>
      </c>
      <c r="D30" s="4" t="s">
        <v>563</v>
      </c>
      <c r="E30" s="4" t="s">
        <v>563</v>
      </c>
      <c r="G30" s="5" t="str">
        <f>IFERROR(__xludf.DUMMYFUNCTION(" GOOGLETRANSLATE(A30, ""en"", ""am"")"),"29")</f>
        <v>29</v>
      </c>
      <c r="H30" s="5" t="str">
        <f>IFERROR(__xludf.DUMMYFUNCTION(" GOOGLETRANSLATE(B30, ""en"", ""am"")"),"በዘመናችን የፈረስ እሽቅድምድም መነቃቃትን ያሳየው የትኛው ክስተት ነው?")</f>
        <v>በዘመናችን የፈረስ እሽቅድምድም መነቃቃትን ያሳየው የትኛው ክስተት ነው?</v>
      </c>
      <c r="I30" s="5" t="str">
        <f>IFERROR(__xludf.DUMMYFUNCTION(" GOOGLETRANSLATE(C30, ""en"", ""am"")"),"ሀ.ሀገር አቀፍ የስፖርት ቀን ለ.ሚሊኒየም አከባበር ሐ.የአፍሪካ ህብረት ጉባኤ መ.የኢትዮጵያ የባህል ፌስቲቫል")</f>
        <v>ሀ.ሀገር አቀፍ የስፖርት ቀን ለ.ሚሊኒየም አከባበር ሐ.የአፍሪካ ህብረት ጉባኤ መ.የኢትዮጵያ የባህል ፌስቲቫል</v>
      </c>
      <c r="J30" s="5" t="str">
        <f>IFERROR(__xludf.DUMMYFUNCTION(" GOOGLETRANSLATE(D30, ""en"", ""am"")"),"የኢትዮጵያ ባህል ፌስቲቫል ለስፖርቱ መነቃቃት ትልቅ ሚና ተጫውቷል።")</f>
        <v>የኢትዮጵያ ባህል ፌስቲቫል ለስፖርቱ መነቃቃት ትልቅ ሚና ተጫውቷል።</v>
      </c>
      <c r="K30" s="5" t="str">
        <f>IFERROR(__xludf.DUMMYFUNCTION(" GOOGLETRANSLATE(E30, ""en"", ""am"")"),"የኢትዮጵያ ባህል ፌስቲቫል ለስፖርቱ መነቃቃት ትልቅ ሚና ተጫውቷል።")</f>
        <v>የኢትዮጵያ ባህል ፌስቲቫል ለስፖርቱ መነቃቃት ትልቅ ሚና ተጫውቷል።</v>
      </c>
    </row>
    <row r="31" ht="22.5" customHeight="1">
      <c r="A31" s="3">
        <v>30.0</v>
      </c>
      <c r="B31" s="4" t="s">
        <v>564</v>
      </c>
      <c r="C31" s="4" t="s">
        <v>565</v>
      </c>
      <c r="D31" s="4" t="s">
        <v>566</v>
      </c>
      <c r="E31" s="4" t="s">
        <v>566</v>
      </c>
      <c r="G31" s="5" t="str">
        <f>IFERROR(__xludf.DUMMYFUNCTION(" GOOGLETRANSLATE(A31, ""en"", ""am"")"),"30")</f>
        <v>30</v>
      </c>
      <c r="H31" s="5" t="str">
        <f>IFERROR(__xludf.DUMMYFUNCTION(" GOOGLETRANSLATE(B31, ""en"", ""am"")"),"በባህላዊ የፈረስ ግልቢያ የሴቶች ሚና ምን ነበር?")</f>
        <v>በባህላዊ የፈረስ ግልቢያ የሴቶች ሚና ምን ነበር?</v>
      </c>
      <c r="I31" s="5" t="str">
        <f>IFERROR(__xludf.DUMMYFUNCTION(" GOOGLETRANSLATE(C31, ""en"", ""am"")"),"ሀ. ተሳታፊዎች ለ. አደራጆች ሐ. ዳኞች ዲ. ተመልካቾች")</f>
        <v>ሀ. ተሳታፊዎች ለ. አደራጆች ሐ. ዳኞች ዲ. ተመልካቾች</v>
      </c>
      <c r="J31" s="5" t="str">
        <f>IFERROR(__xludf.DUMMYFUNCTION(" GOOGLETRANSLATE(D31, ""en"", ""am"")"),"ሴቶች በፈረስ ትርዒት ​​ላይ የተመልካቾችን ሚና ተጫውተዋል.")</f>
        <v>ሴቶች በፈረስ ትርዒት ​​ላይ የተመልካቾችን ሚና ተጫውተዋል.</v>
      </c>
      <c r="K31" s="5" t="str">
        <f>IFERROR(__xludf.DUMMYFUNCTION(" GOOGLETRANSLATE(E31, ""en"", ""am"")"),"ሴቶች በፈረስ ትርዒት ​​ላይ የተመልካቾችን ሚና ተጫውተዋል.")</f>
        <v>ሴቶች በፈረስ ትርዒት ​​ላይ የተመልካቾችን ሚና ተጫውተዋል.</v>
      </c>
    </row>
    <row r="32" ht="22.5" customHeight="1">
      <c r="A32" s="3">
        <v>31.0</v>
      </c>
      <c r="B32" s="4" t="s">
        <v>567</v>
      </c>
      <c r="C32" s="4" t="s">
        <v>568</v>
      </c>
      <c r="D32" s="4" t="s">
        <v>569</v>
      </c>
      <c r="E32" s="4" t="s">
        <v>569</v>
      </c>
      <c r="G32" s="5" t="str">
        <f>IFERROR(__xludf.DUMMYFUNCTION(" GOOGLETRANSLATE(A32, ""en"", ""am"")"),"31")</f>
        <v>31</v>
      </c>
      <c r="H32" s="5" t="str">
        <f>IFERROR(__xludf.DUMMYFUNCTION(" GOOGLETRANSLATE(B32, ""en"", ""am"")"),"'የፈረስ ኮፍያ' የሚለው ስም በእንግሊዝኛ ምን ይተረጎማል?")</f>
        <v>'የፈረስ ኮፍያ' የሚለው ስም በእንግሊዝኛ ምን ይተረጎማል?</v>
      </c>
      <c r="I32" s="5" t="str">
        <f>IFERROR(__xludf.DUMMYFUNCTION(" GOOGLETRANSLATE(C32, ""en"", ""am"")"),"ሀ. የፈረስ ግልቢያ ፈተና ለ. ዒላማውን መምታት ሐ. የተከበረ የውጊያ ስፖርት D. ጦር መወርወር")</f>
        <v>ሀ. የፈረስ ግልቢያ ፈተና ለ. ዒላማውን መምታት ሐ. የተከበረ የውጊያ ስፖርት D. ጦር መወርወር</v>
      </c>
      <c r="J32" s="5" t="str">
        <f>IFERROR(__xludf.DUMMYFUNCTION(" GOOGLETRANSLATE(D32, ""en"", ""am"")"),"ስሙ ወደ እንግሊዘኛ ‘ጦር መወርወር’ ተብሎ ይተረጎማል።")</f>
        <v>ስሙ ወደ እንግሊዘኛ ‘ጦር መወርወር’ ተብሎ ይተረጎማል።</v>
      </c>
      <c r="K32" s="5" t="str">
        <f>IFERROR(__xludf.DUMMYFUNCTION(" GOOGLETRANSLATE(E32, ""en"", ""am"")"),"ስሙ ወደ እንግሊዘኛ ‘ጦር መወርወር’ ተብሎ ይተረጎማል።")</f>
        <v>ስሙ ወደ እንግሊዘኛ ‘ጦር መወርወር’ ተብሎ ይተረጎማል።</v>
      </c>
    </row>
    <row r="33" ht="22.5" customHeight="1">
      <c r="A33" s="3">
        <v>32.0</v>
      </c>
      <c r="B33" s="4" t="s">
        <v>570</v>
      </c>
      <c r="C33" s="4" t="s">
        <v>571</v>
      </c>
      <c r="D33" s="4" t="s">
        <v>572</v>
      </c>
      <c r="E33" s="4" t="s">
        <v>572</v>
      </c>
      <c r="G33" s="5" t="str">
        <f>IFERROR(__xludf.DUMMYFUNCTION(" GOOGLETRANSLATE(A33, ""en"", ""am"")"),"32")</f>
        <v>32</v>
      </c>
      <c r="H33" s="5" t="str">
        <f>IFERROR(__xludf.DUMMYFUNCTION(" GOOGLETRANSLATE(B33, ""en"", ""am"")"),"የእያንዳንዱ የፈረስ ውድድር አሸናፊዎች እንዴት ይታወቃሉ?")</f>
        <v>የእያንዳንዱ የፈረስ ውድድር አሸናፊዎች እንዴት ይታወቃሉ?</v>
      </c>
      <c r="I33" s="5" t="str">
        <f>IFERROR(__xludf.DUMMYFUNCTION(" GOOGLETRANSLATE(C33, ""en"", ""am"")"),"ሀ. የተጠቁ ኢላማዎች ብዛት ለ. ኮርሱን የሚጨርስበት ጊዜ ሐ. ዘይቤ እና ቴክኒክ መ. ትክክለኛነት እና ፍጥነት")</f>
        <v>ሀ. የተጠቁ ኢላማዎች ብዛት ለ. ኮርሱን የሚጨርስበት ጊዜ ሐ. ዘይቤ እና ቴክኒክ መ. ትክክለኛነት እና ፍጥነት</v>
      </c>
      <c r="J33" s="5" t="str">
        <f>IFERROR(__xludf.DUMMYFUNCTION(" GOOGLETRANSLATE(D33, ""en"", ""am"")"),"አሸናፊዎች የሚወሰኑት ዒላማዎችን በመምታት ትክክለኛነት እና ፍጥነት ነው።")</f>
        <v>አሸናፊዎች የሚወሰኑት ዒላማዎችን በመምታት ትክክለኛነት እና ፍጥነት ነው።</v>
      </c>
      <c r="K33" s="5" t="str">
        <f>IFERROR(__xludf.DUMMYFUNCTION(" GOOGLETRANSLATE(E33, ""en"", ""am"")"),"አሸናፊዎች የሚወሰኑት ዒላማዎችን በመምታት ትክክለኛነት እና ፍጥነት ነው።")</f>
        <v>አሸናፊዎች የሚወሰኑት ዒላማዎችን በመምታት ትክክለኛነት እና ፍጥነት ነው።</v>
      </c>
    </row>
    <row r="34" ht="22.5" customHeight="1">
      <c r="A34" s="3">
        <v>33.0</v>
      </c>
      <c r="B34" s="4" t="s">
        <v>573</v>
      </c>
      <c r="C34" s="4" t="s">
        <v>574</v>
      </c>
      <c r="D34" s="4" t="s">
        <v>575</v>
      </c>
      <c r="E34" s="4" t="s">
        <v>575</v>
      </c>
      <c r="G34" s="5" t="str">
        <f>IFERROR(__xludf.DUMMYFUNCTION(" GOOGLETRANSLATE(A34, ""en"", ""am"")"),"33")</f>
        <v>33</v>
      </c>
      <c r="H34" s="5" t="str">
        <f>IFERROR(__xludf.DUMMYFUNCTION(" GOOGLETRANSLATE(B34, ""en"", ""am"")"),"የትኛው የኢትዮጵያ ፌስቲቫል የፈረስ እሽቅድምድም እንደ ዋና መስህብ ያካትታል?")</f>
        <v>የትኛው የኢትዮጵያ ፌስቲቫል የፈረስ እሽቅድምድም እንደ ዋና መስህብ ያካትታል?</v>
      </c>
      <c r="I34" s="5" t="str">
        <f>IFERROR(__xludf.DUMMYFUNCTION(" GOOGLETRANSLATE(C34, ""en"", ""am"")"),"ሀ. የእውነተኛው መስቀል ፍለጋ B. Sand C. አዲስ ዓመት D. Timcat")</f>
        <v>ሀ. የእውነተኛው መስቀል ፍለጋ B. Sand C. አዲስ ዓመት D. Timcat</v>
      </c>
      <c r="J34" s="5" t="str">
        <f>IFERROR(__xludf.DUMMYFUNCTION(" GOOGLETRANSLATE(D34, ""en"", ""am"")"),"የቲምካት ፌስቲቫል የፈረስ እሽቅድምድም ዋነኛ መስህብ አድርጎታል።")</f>
        <v>የቲምካት ፌስቲቫል የፈረስ እሽቅድምድም ዋነኛ መስህብ አድርጎታል።</v>
      </c>
      <c r="K34" s="5" t="str">
        <f>IFERROR(__xludf.DUMMYFUNCTION(" GOOGLETRANSLATE(E34, ""en"", ""am"")"),"የቲምካት ፌስቲቫል የፈረስ እሽቅድምድም ዋነኛ መስህብ አድርጎታል።")</f>
        <v>የቲምካት ፌስቲቫል የፈረስ እሽቅድምድም ዋነኛ መስህብ አድርጎታል።</v>
      </c>
    </row>
    <row r="35" ht="22.5" customHeight="1">
      <c r="A35" s="3">
        <v>34.0</v>
      </c>
      <c r="B35" s="4" t="s">
        <v>576</v>
      </c>
      <c r="C35" s="4" t="s">
        <v>577</v>
      </c>
      <c r="D35" s="4" t="s">
        <v>578</v>
      </c>
      <c r="E35" s="4" t="s">
        <v>578</v>
      </c>
      <c r="G35" s="5" t="str">
        <f>IFERROR(__xludf.DUMMYFUNCTION(" GOOGLETRANSLATE(A35, ""en"", ""am"")"),"34")</f>
        <v>34</v>
      </c>
      <c r="H35" s="5" t="str">
        <f>IFERROR(__xludf.DUMMYFUNCTION(" GOOGLETRANSLATE(B35, ""en"", ""am"")"),"በዘመናዊ የፈረስ እሽቅድምድም ውስጥ ምን ዓይነት ኢላማዎች ጥቅም ላይ ይውላሉ?")</f>
        <v>በዘመናዊ የፈረስ እሽቅድምድም ውስጥ ምን ዓይነት ኢላማዎች ጥቅም ላይ ይውላሉ?</v>
      </c>
      <c r="I35" s="5" t="str">
        <f>IFERROR(__xludf.DUMMYFUNCTION(" GOOGLETRANSLATE(C35, ""en"", ""am"")"),"ሀ. የብረት ቀለበቶች ለ. የሸክላ ዕቃዎች ሐ. የተንጠለጠሉ ቦርሳዎች D. የእንጨት ምሰሶዎች")</f>
        <v>ሀ. የብረት ቀለበቶች ለ. የሸክላ ዕቃዎች ሐ. የተንጠለጠሉ ቦርሳዎች D. የእንጨት ምሰሶዎች</v>
      </c>
      <c r="J35" s="5" t="str">
        <f>IFERROR(__xludf.DUMMYFUNCTION(" GOOGLETRANSLATE(D35, ""en"", ""am"")"),"ዘመናዊ ውድድሮች የእንጨት ምሰሶዎችን እንደ ዒላማዎች ይጠቀማሉ.")</f>
        <v>ዘመናዊ ውድድሮች የእንጨት ምሰሶዎችን እንደ ዒላማዎች ይጠቀማሉ.</v>
      </c>
      <c r="K35" s="5" t="str">
        <f>IFERROR(__xludf.DUMMYFUNCTION(" GOOGLETRANSLATE(E35, ""en"", ""am"")"),"ዘመናዊ ውድድሮች የእንጨት ምሰሶዎችን እንደ ዒላማዎች ይጠቀማሉ.")</f>
        <v>ዘመናዊ ውድድሮች የእንጨት ምሰሶዎችን እንደ ዒላማዎች ይጠቀማሉ.</v>
      </c>
    </row>
    <row r="36" ht="22.5" customHeight="1">
      <c r="A36" s="3">
        <v>35.0</v>
      </c>
      <c r="B36" s="4" t="s">
        <v>579</v>
      </c>
      <c r="C36" s="4" t="s">
        <v>580</v>
      </c>
      <c r="D36" s="4" t="s">
        <v>581</v>
      </c>
      <c r="E36" s="4" t="s">
        <v>581</v>
      </c>
      <c r="G36" s="5" t="str">
        <f>IFERROR(__xludf.DUMMYFUNCTION(" GOOGLETRANSLATE(A36, ""en"", ""am"")"),"35")</f>
        <v>35</v>
      </c>
      <c r="H36" s="5" t="str">
        <f>IFERROR(__xludf.DUMMYFUNCTION(" GOOGLETRANSLATE(B36, ""en"", ""am"")"),"የቅኝ ግዛት ተጽእኖ የፈረስን ጉዞ እንዴት ነካው?")</f>
        <v>የቅኝ ግዛት ተጽእኖ የፈረስን ጉዞ እንዴት ነካው?</v>
      </c>
      <c r="I36" s="5" t="str">
        <f>IFERROR(__xludf.DUMMYFUNCTION(" GOOGLETRANSLATE(C36, ""en"", ""am"")"),"ሀ. አዲስ ህጎችን አስተዋወቀ ለ. ከስፖርቱ ታግዷል። ሐ. ዘመናዊ መሣሪያዎች መ. ልምምድ አቆመ.")</f>
        <v>ሀ. አዲስ ህጎችን አስተዋወቀ ለ. ከስፖርቱ ታግዷል። ሐ. ዘመናዊ መሣሪያዎች መ. ልምምድ አቆመ.</v>
      </c>
      <c r="J36" s="5" t="str">
        <f>IFERROR(__xludf.DUMMYFUNCTION(" GOOGLETRANSLATE(D36, ""en"", ""am"")"),"የቅኝ ግዛት ተጽእኖዎች የፈረስ ግልቢያን ልምምድ ገድበዋል.")</f>
        <v>የቅኝ ግዛት ተጽእኖዎች የፈረስ ግልቢያን ልምምድ ገድበዋል.</v>
      </c>
      <c r="K36" s="5" t="str">
        <f>IFERROR(__xludf.DUMMYFUNCTION(" GOOGLETRANSLATE(E36, ""en"", ""am"")"),"የቅኝ ግዛት ተጽእኖዎች የፈረስ ግልቢያን ልምምድ ገድበዋል.")</f>
        <v>የቅኝ ግዛት ተጽእኖዎች የፈረስ ግልቢያን ልምምድ ገድበዋል.</v>
      </c>
    </row>
    <row r="37" ht="22.5" customHeight="1">
      <c r="A37" s="3">
        <v>36.0</v>
      </c>
      <c r="B37" s="4" t="s">
        <v>582</v>
      </c>
      <c r="C37" s="4" t="s">
        <v>583</v>
      </c>
      <c r="D37" s="4" t="s">
        <v>584</v>
      </c>
      <c r="E37" s="4" t="s">
        <v>584</v>
      </c>
      <c r="G37" s="5" t="str">
        <f>IFERROR(__xludf.DUMMYFUNCTION(" GOOGLETRANSLATE(A37, ""en"", ""am"")"),"36")</f>
        <v>36</v>
      </c>
      <c r="H37" s="5" t="str">
        <f>IFERROR(__xludf.DUMMYFUNCTION(" GOOGLETRANSLATE(B37, ""en"", ""am"")"),"የፈረስ እሽቅድምድም ለመጫወት የሚያስፈልጉት ቁልፍ ችሎታዎች ምንድን ናቸው?")</f>
        <v>የፈረስ እሽቅድምድም ለመጫወት የሚያስፈልጉት ቁልፍ ችሎታዎች ምንድን ናቸው?</v>
      </c>
      <c r="I37" s="5" t="str">
        <f>IFERROR(__xludf.DUMMYFUNCTION(" GOOGLETRANSLATE(C37, ""en"", ""am"")"),"ሀ. የሰይፍ ፍልሚያ ለ. ቀስተኛ ሲ. ሚዛን ዲ. የፈረስ ግልቢያ")</f>
        <v>ሀ. የሰይፍ ፍልሚያ ለ. ቀስተኛ ሲ. ሚዛን ዲ. የፈረስ ግልቢያ</v>
      </c>
      <c r="J37" s="5" t="str">
        <f>IFERROR(__xludf.DUMMYFUNCTION(" GOOGLETRANSLATE(D37, ""en"", ""am"")"),"የፈረስ ግልቢያ ክህሎቶች ለስፖርቱ አስፈላጊ ናቸው።")</f>
        <v>የፈረስ ግልቢያ ክህሎቶች ለስፖርቱ አስፈላጊ ናቸው።</v>
      </c>
      <c r="K37" s="5" t="str">
        <f>IFERROR(__xludf.DUMMYFUNCTION(" GOOGLETRANSLATE(E37, ""en"", ""am"")"),"የፈረስ ግልቢያ ክህሎቶች ለስፖርቱ አስፈላጊ ናቸው።")</f>
        <v>የፈረስ ግልቢያ ክህሎቶች ለስፖርቱ አስፈላጊ ናቸው።</v>
      </c>
    </row>
    <row r="38" ht="22.5" customHeight="1">
      <c r="A38" s="3">
        <v>37.0</v>
      </c>
      <c r="B38" s="4" t="s">
        <v>585</v>
      </c>
      <c r="C38" s="4" t="s">
        <v>586</v>
      </c>
      <c r="D38" s="4" t="s">
        <v>587</v>
      </c>
      <c r="E38" s="4" t="s">
        <v>587</v>
      </c>
      <c r="G38" s="5" t="str">
        <f>IFERROR(__xludf.DUMMYFUNCTION(" GOOGLETRANSLATE(A38, ""en"", ""am"")"),"37")</f>
        <v>37</v>
      </c>
      <c r="H38" s="5" t="str">
        <f>IFERROR(__xludf.DUMMYFUNCTION(" GOOGLETRANSLATE(B38, ""en"", ""am"")"),"በእያንዳንዱ የፈረስ ውድድር ውስጥ ሽማግሌዎች ምን ሚና ይጫወታሉ?")</f>
        <v>በእያንዳንዱ የፈረስ ውድድር ውስጥ ሽማግሌዎች ምን ሚና ይጫወታሉ?</v>
      </c>
      <c r="I38" s="5" t="str">
        <f>IFERROR(__xludf.DUMMYFUNCTION(" GOOGLETRANSLATE(C38, ""en"", ""am"")"),"ሀ. ተሳታፊዎች ለ. ተመልካቾች ሐ. አዘጋጆች መ. ዳኞች እና አሰልጣኞች")</f>
        <v>ሀ. ተሳታፊዎች ለ. ተመልካቾች ሐ. አዘጋጆች መ. ዳኞች እና አሰልጣኞች</v>
      </c>
      <c r="J38" s="5" t="str">
        <f>IFERROR(__xludf.DUMMYFUNCTION(" GOOGLETRANSLATE(D38, ""en"", ""am"")"),"በፈረስ ትርዒቶች ላይ ሽማግሌዎች ብዙውን ጊዜ ዳኞች እና አሰልጣኞች ሆነው ያገለግላሉ።")</f>
        <v>በፈረስ ትርዒቶች ላይ ሽማግሌዎች ብዙውን ጊዜ ዳኞች እና አሰልጣኞች ሆነው ያገለግላሉ።</v>
      </c>
      <c r="K38" s="5" t="str">
        <f>IFERROR(__xludf.DUMMYFUNCTION(" GOOGLETRANSLATE(E38, ""en"", ""am"")"),"በፈረስ ትርዒቶች ላይ ሽማግሌዎች ብዙውን ጊዜ ዳኞች እና አሰልጣኞች ሆነው ያገለግላሉ።")</f>
        <v>በፈረስ ትርዒቶች ላይ ሽማግሌዎች ብዙውን ጊዜ ዳኞች እና አሰልጣኞች ሆነው ያገለግላሉ።</v>
      </c>
    </row>
    <row r="39" ht="22.5" customHeight="1">
      <c r="A39" s="3">
        <v>38.0</v>
      </c>
      <c r="B39" s="4" t="s">
        <v>588</v>
      </c>
      <c r="C39" s="4" t="s">
        <v>589</v>
      </c>
      <c r="D39" s="4" t="s">
        <v>590</v>
      </c>
      <c r="E39" s="4" t="s">
        <v>590</v>
      </c>
      <c r="G39" s="5" t="str">
        <f>IFERROR(__xludf.DUMMYFUNCTION(" GOOGLETRANSLATE(A39, ""en"", ""am"")"),"38")</f>
        <v>38</v>
      </c>
      <c r="H39" s="5" t="str">
        <f>IFERROR(__xludf.DUMMYFUNCTION(" GOOGLETRANSLATE(B39, ""en"", ""am"")"),"በፈረስ የሚጎተት ሠረገላ በባህላዊ መንገድ እንዴት ይሠራል?")</f>
        <v>በፈረስ የሚጎተት ሠረገላ በባህላዊ መንገድ እንዴት ይሠራል?</v>
      </c>
      <c r="I39" s="5" t="str">
        <f>IFERROR(__xludf.DUMMYFUNCTION(" GOOGLETRANSLATE(C39, ""en"", ""am"")"),"ሀ. ከብረት B. ከቀርከሃ ሐ. ከአጥንት መ. ከእንጨት")</f>
        <v>ሀ. ከብረት B. ከቀርከሃ ሐ. ከአጥንት መ. ከእንጨት</v>
      </c>
      <c r="J39" s="5" t="str">
        <f>IFERROR(__xludf.DUMMYFUNCTION(" GOOGLETRANSLATE(D39, ""en"", ""am"")"),"ለስፖርቱ የሚውሉ ባህላዊ ጦሮች ከእንጨት የተሠሩ ናቸው።")</f>
        <v>ለስፖርቱ የሚውሉ ባህላዊ ጦሮች ከእንጨት የተሠሩ ናቸው።</v>
      </c>
      <c r="K39" s="5" t="str">
        <f>IFERROR(__xludf.DUMMYFUNCTION(" GOOGLETRANSLATE(E39, ""en"", ""am"")"),"ለስፖርቱ የሚውሉ ባህላዊ ጦሮች ከእንጨት የተሠሩ ናቸው።")</f>
        <v>ለስፖርቱ የሚውሉ ባህላዊ ጦሮች ከእንጨት የተሠሩ ናቸው።</v>
      </c>
    </row>
    <row r="40" ht="22.5" customHeight="1">
      <c r="A40" s="3">
        <v>39.0</v>
      </c>
      <c r="B40" s="4" t="s">
        <v>591</v>
      </c>
      <c r="C40" s="4" t="s">
        <v>592</v>
      </c>
      <c r="D40" s="4" t="s">
        <v>593</v>
      </c>
      <c r="E40" s="4" t="s">
        <v>593</v>
      </c>
      <c r="G40" s="5" t="str">
        <f>IFERROR(__xludf.DUMMYFUNCTION(" GOOGLETRANSLATE(A40, ""en"", ""am"")"),"39")</f>
        <v>39</v>
      </c>
      <c r="H40" s="5" t="str">
        <f>IFERROR(__xludf.DUMMYFUNCTION(" GOOGLETRANSLATE(B40, ""en"", ""am"")"),"ዛሬ የፈረስ እሽቅድምድም ባህላዊ ጠቀሜታ ምንድነው?")</f>
        <v>ዛሬ የፈረስ እሽቅድምድም ባህላዊ ጠቀሜታ ምንድነው?</v>
      </c>
      <c r="I40" s="5" t="str">
        <f>IFERROR(__xludf.DUMMYFUNCTION(" GOOGLETRANSLATE(C40, ""en"", ""am"")"),"ሀ. የኢኮኖሚ መሣሪያ ለ. የፖለቲካ ምልክት ሐ. የቱሪስት መስህብ መ. የቅርስ ምልክት")</f>
        <v>ሀ. የኢኮኖሚ መሣሪያ ለ. የፖለቲካ ምልክት ሐ. የቱሪስት መስህብ መ. የቅርስ ምልክት</v>
      </c>
      <c r="J40" s="5" t="str">
        <f>IFERROR(__xludf.DUMMYFUNCTION(" GOOGLETRANSLATE(D40, ""en"", ""am"")"),"ስፖርት የኢትዮጵያ የባህል ቅርስ ምልክት ነው።")</f>
        <v>ስፖርት የኢትዮጵያ የባህል ቅርስ ምልክት ነው።</v>
      </c>
      <c r="K40" s="5" t="str">
        <f>IFERROR(__xludf.DUMMYFUNCTION(" GOOGLETRANSLATE(E40, ""en"", ""am"")"),"ስፖርት የኢትዮጵያ የባህል ቅርስ ምልክት ነው።")</f>
        <v>ስፖርት የኢትዮጵያ የባህል ቅርስ ምልክት ነው።</v>
      </c>
    </row>
    <row r="41" ht="22.5" customHeight="1">
      <c r="A41" s="3">
        <v>40.0</v>
      </c>
      <c r="B41" s="4" t="s">
        <v>594</v>
      </c>
      <c r="C41" s="4" t="s">
        <v>595</v>
      </c>
      <c r="D41" s="4" t="s">
        <v>596</v>
      </c>
      <c r="E41" s="4" t="s">
        <v>596</v>
      </c>
      <c r="G41" s="5" t="str">
        <f>IFERROR(__xludf.DUMMYFUNCTION(" GOOGLETRANSLATE(A41, ""en"", ""am"")"),"40")</f>
        <v>40</v>
      </c>
      <c r="H41" s="5" t="str">
        <f>IFERROR(__xludf.DUMMYFUNCTION(" GOOGLETRANSLATE(B41, ""en"", ""am"")"),"የፈረስ እሽቅድምድም ስፖርት ለመጀመሪያ ጊዜ የተካሄደው መቼ ነበር?")</f>
        <v>የፈረስ እሽቅድምድም ስፖርት ለመጀመሪያ ጊዜ የተካሄደው መቼ ነበር?</v>
      </c>
      <c r="I41" s="5" t="str">
        <f>IFERROR(__xludf.DUMMYFUNCTION(" GOOGLETRANSLATE(C41, ""en"", ""am"")"),"ኣብ 1925 ብ1950 ዓ.ም.1880 ድ.1900 ዓ.ም.")</f>
        <v>ኣብ 1925 ብ1950 ዓ.ም.1880 ድ.1900 ዓ.ም.</v>
      </c>
      <c r="J41" s="5" t="str">
        <f>IFERROR(__xludf.DUMMYFUNCTION(" GOOGLETRANSLATE(D41, ""en"", ""am"")"),"በ1900 ዓ.ም")</f>
        <v>በ1900 ዓ.ም</v>
      </c>
      <c r="K41" s="5" t="str">
        <f>IFERROR(__xludf.DUMMYFUNCTION(" GOOGLETRANSLATE(E41, ""en"", ""am"")"),"በ1900 ዓ.ም")</f>
        <v>በ1900 ዓ.ም</v>
      </c>
    </row>
    <row r="42" ht="22.5" customHeight="1">
      <c r="A42" s="3">
        <v>41.0</v>
      </c>
      <c r="B42" s="4" t="s">
        <v>597</v>
      </c>
      <c r="C42" s="4" t="s">
        <v>598</v>
      </c>
      <c r="D42" s="4" t="s">
        <v>599</v>
      </c>
      <c r="E42" s="4" t="s">
        <v>599</v>
      </c>
      <c r="G42" s="5" t="str">
        <f>IFERROR(__xludf.DUMMYFUNCTION(" GOOGLETRANSLATE(A42, ""en"", ""am"")"),"41")</f>
        <v>41</v>
      </c>
      <c r="H42" s="5" t="str">
        <f>IFERROR(__xludf.DUMMYFUNCTION(" GOOGLETRANSLATE(B42, ""en"", ""am"")"),"የፈረስ እሽቅድምድም ስፖርት መስራች ማን ነው?")</f>
        <v>የፈረስ እሽቅድምድም ስፖርት መስራች ማን ነው?</v>
      </c>
      <c r="I42" s="5" t="str">
        <f>IFERROR(__xludf.DUMMYFUNCTION(" GOOGLETRANSLATE(C42, ""en"", ""am"")"),"ሀ. አህመድ አል-ከሪም ቢ. ጆርጅ ስሚዝ ሲ. አሊ ሀሰን ዲ. ጆን ዶ")</f>
        <v>ሀ. አህመድ አል-ከሪም ቢ. ጆርጅ ስሚዝ ሲ. አሊ ሀሰን ዲ. ጆን ዶ</v>
      </c>
      <c r="J42" s="5" t="str">
        <f>IFERROR(__xludf.DUMMYFUNCTION(" GOOGLETRANSLATE(D42, ""en"", ""am"")"),"ጆን ዶ በ20ኛው ክፍለ ዘመን መጀመሪያ ላይ የፈረስ እሽቅድምድም ስፖርትን እንደመሰረተ ይነገራል።")</f>
        <v>ጆን ዶ በ20ኛው ክፍለ ዘመን መጀመሪያ ላይ የፈረስ እሽቅድምድም ስፖርትን እንደመሰረተ ይነገራል።</v>
      </c>
      <c r="K42" s="5" t="str">
        <f>IFERROR(__xludf.DUMMYFUNCTION(" GOOGLETRANSLATE(E42, ""en"", ""am"")"),"ጆን ዶ በ20ኛው ክፍለ ዘመን መጀመሪያ ላይ የፈረስ እሽቅድምድም ስፖርትን እንደመሰረተ ይነገራል።")</f>
        <v>ጆን ዶ በ20ኛው ክፍለ ዘመን መጀመሪያ ላይ የፈረስ እሽቅድምድም ስፖርትን እንደመሰረተ ይነገራል።</v>
      </c>
    </row>
    <row r="43" ht="22.5" customHeight="1">
      <c r="A43" s="3">
        <v>42.0</v>
      </c>
      <c r="B43" s="4" t="s">
        <v>600</v>
      </c>
      <c r="C43" s="4" t="s">
        <v>601</v>
      </c>
      <c r="D43" s="4" t="s">
        <v>602</v>
      </c>
      <c r="E43" s="4" t="s">
        <v>602</v>
      </c>
      <c r="G43" s="5" t="str">
        <f>IFERROR(__xludf.DUMMYFUNCTION(" GOOGLETRANSLATE(A43, ""en"", ""am"")"),"42")</f>
        <v>42</v>
      </c>
      <c r="H43" s="5" t="str">
        <f>IFERROR(__xludf.DUMMYFUNCTION(" GOOGLETRANSLATE(B43, ""en"", ""am"")"),"የትኛው ሀገር ነው ይፋዊ የፈረስ እሽቅድምድም ሻምፒዮና ያዘጋጀው?")</f>
        <v>የትኛው ሀገር ነው ይፋዊ የፈረስ እሽቅድምድም ሻምፒዮና ያዘጋጀው?</v>
      </c>
      <c r="I43" s="5" t="str">
        <f>IFERROR(__xludf.DUMMYFUNCTION(" GOOGLETRANSLATE(C43, ""en"", ""am"")"),"ኣብ ሱዳን ብ ኢትዮጵያ ሲ.አልጄሪያ ዲ.ኢትዮጵያ")</f>
        <v>ኣብ ሱዳን ብ ኢትዮጵያ ሲ.አልጄሪያ ዲ.ኢትዮጵያ</v>
      </c>
      <c r="J43" s="5" t="str">
        <f>IFERROR(__xludf.DUMMYFUNCTION(" GOOGLETRANSLATE(D43, ""en"", ""am"")"),"ይፋዊ የፈረስ እሽቅድምድም ሻምፒዮና በማዘጋጀት የመጀመሪያዋ ሀገር ኢትዮጵያ ነበረች።")</f>
        <v>ይፋዊ የፈረስ እሽቅድምድም ሻምፒዮና በማዘጋጀት የመጀመሪያዋ ሀገር ኢትዮጵያ ነበረች።</v>
      </c>
      <c r="K43" s="5" t="str">
        <f>IFERROR(__xludf.DUMMYFUNCTION(" GOOGLETRANSLATE(E43, ""en"", ""am"")"),"ይፋዊ የፈረስ እሽቅድምድም ሻምፒዮና በማዘጋጀት የመጀመሪያዋ ሀገር ኢትዮጵያ ነበረች።")</f>
        <v>ይፋዊ የፈረስ እሽቅድምድም ሻምፒዮና በማዘጋጀት የመጀመሪያዋ ሀገር ኢትዮጵያ ነበረች።</v>
      </c>
    </row>
    <row r="44" ht="22.5" customHeight="1">
      <c r="A44" s="3">
        <v>43.0</v>
      </c>
      <c r="B44" s="4" t="s">
        <v>603</v>
      </c>
      <c r="C44" s="4" t="s">
        <v>604</v>
      </c>
      <c r="D44" s="4" t="s">
        <v>605</v>
      </c>
      <c r="E44" s="4" t="s">
        <v>605</v>
      </c>
      <c r="G44" s="5" t="str">
        <f>IFERROR(__xludf.DUMMYFUNCTION(" GOOGLETRANSLATE(A44, ""en"", ""am"")"),"43")</f>
        <v>43</v>
      </c>
      <c r="H44" s="5" t="str">
        <f>IFERROR(__xludf.DUMMYFUNCTION(" GOOGLETRANSLATE(B44, ""en"", ""am"")"),"የመጀመሪያው አለም አቀፍ የፈረስ እሽቅድምድም ጨዋታ የተካሄደው በየትኛው አመት ነበር?")</f>
        <v>የመጀመሪያው አለም አቀፍ የፈረስ እሽቅድምድም ጨዋታ የተካሄደው በየትኛው አመት ነበር?</v>
      </c>
      <c r="I44" s="5" t="str">
        <f>IFERROR(__xludf.DUMMYFUNCTION(" GOOGLETRANSLATE(C44, ""en"", ""am"")"),"ኣብ 1935 ብ 1940 ቅ.ክ. 1955 ድ.1955 ዓ.ም.")</f>
        <v>ኣብ 1935 ብ 1940 ቅ.ክ. 1955 ድ.1955 ዓ.ም.</v>
      </c>
      <c r="J44" s="5" t="str">
        <f>IFERROR(__xludf.DUMMYFUNCTION(" GOOGLETRANSLATE(D44, ""en"", ""am"")"),"በ1955 ዓ.ም")</f>
        <v>በ1955 ዓ.ም</v>
      </c>
      <c r="K44" s="5" t="str">
        <f>IFERROR(__xludf.DUMMYFUNCTION(" GOOGLETRANSLATE(E44, ""en"", ""am"")"),"በ1955 ዓ.ም")</f>
        <v>በ1955 ዓ.ም</v>
      </c>
    </row>
    <row r="45" ht="22.5" customHeight="1">
      <c r="A45" s="3">
        <v>44.0</v>
      </c>
      <c r="B45" s="4" t="s">
        <v>606</v>
      </c>
      <c r="C45" s="4" t="s">
        <v>607</v>
      </c>
      <c r="D45" s="4" t="s">
        <v>608</v>
      </c>
      <c r="E45" s="4" t="s">
        <v>608</v>
      </c>
      <c r="G45" s="5" t="str">
        <f>IFERROR(__xludf.DUMMYFUNCTION(" GOOGLETRANSLATE(A45, ""en"", ""am"")"),"44")</f>
        <v>44</v>
      </c>
      <c r="H45" s="5" t="str">
        <f>IFERROR(__xludf.DUMMYFUNCTION(" GOOGLETRANSLATE(B45, ""en"", ""am"")"),"የፈረስ እሽቅድምድም ስፖርት ለመፍጠር የመጀመሪያ ተነሳሽነት ምን ነበር?")</f>
        <v>የፈረስ እሽቅድምድም ስፖርት ለመፍጠር የመጀመሪያ ተነሳሽነት ምን ነበር?</v>
      </c>
      <c r="I45" s="5" t="str">
        <f>IFERROR(__xludf.DUMMYFUNCTION(" GOOGLETRANSLATE(C45, ""en"", ""am"")"),"ሀ.ወታደራዊ ስልጠና ቢ. መዝናኛ ሐ. ስፖርታዊ ጨዋነት መ. የባህል ልውውጥ")</f>
        <v>ሀ.ወታደራዊ ስልጠና ቢ. መዝናኛ ሐ. ስፖርታዊ ጨዋነት መ. የባህል ልውውጥ</v>
      </c>
      <c r="J45" s="5" t="str">
        <f>IFERROR(__xludf.DUMMYFUNCTION(" GOOGLETRANSLATE(D45, ""en"", ""am"")"),"የፈረስ እሽቅድምድም ስፖርት በተለያዩ ማህበረሰቦች መካከል ለመዝናኛ እና የባህል ልውውጥ ተፈጠረ።")</f>
        <v>የፈረስ እሽቅድምድም ስፖርት በተለያዩ ማህበረሰቦች መካከል ለመዝናኛ እና የባህል ልውውጥ ተፈጠረ።</v>
      </c>
      <c r="K45" s="5" t="str">
        <f>IFERROR(__xludf.DUMMYFUNCTION(" GOOGLETRANSLATE(E45, ""en"", ""am"")"),"የፈረስ እሽቅድምድም ስፖርት በተለያዩ ማህበረሰቦች መካከል ለመዝናኛ እና የባህል ልውውጥ ተፈጠረ።")</f>
        <v>የፈረስ እሽቅድምድም ስፖርት በተለያዩ ማህበረሰቦች መካከል ለመዝናኛ እና የባህል ልውውጥ ተፈጠረ።</v>
      </c>
    </row>
    <row r="46" ht="22.5" customHeight="1">
      <c r="A46" s="3">
        <v>45.0</v>
      </c>
      <c r="B46" s="4" t="s">
        <v>609</v>
      </c>
      <c r="C46" s="4" t="s">
        <v>610</v>
      </c>
      <c r="D46" s="4" t="s">
        <v>611</v>
      </c>
      <c r="E46" s="4" t="s">
        <v>611</v>
      </c>
      <c r="G46" s="5" t="str">
        <f>IFERROR(__xludf.DUMMYFUNCTION(" GOOGLETRANSLATE(A46, ""en"", ""am"")"),"45")</f>
        <v>45</v>
      </c>
      <c r="H46" s="5" t="str">
        <f>IFERROR(__xludf.DUMMYFUNCTION(" GOOGLETRANSLATE(B46, ""en"", ""am"")"),"የፈረስ እሽቅድምድም ስፖርት ታዋቂ እንዲሆን የረዳው የትኛው ትልቅ ታሪካዊ ክስተት ነው?")</f>
        <v>የፈረስ እሽቅድምድም ስፖርት ታዋቂ እንዲሆን የረዳው የትኛው ትልቅ ታሪካዊ ክስተት ነው?</v>
      </c>
      <c r="I46" s="5" t="str">
        <f>IFERROR(__xludf.DUMMYFUNCTION(" GOOGLETRANSLATE(C46, ""en"", ""am"")"),"ሀ. የቅኝ ግዛት ተግባራት ለ. የሱዳን ነፃነት ሐ. የቀዝቃዛው ጦርነት D. የሱዳን ነፃነት")</f>
        <v>ሀ. የቅኝ ግዛት ተግባራት ለ. የሱዳን ነፃነት ሐ. የቀዝቃዛው ጦርነት D. የሱዳን ነፃነት</v>
      </c>
      <c r="J46" s="5" t="str">
        <f>IFERROR(__xludf.DUMMYFUNCTION(" GOOGLETRANSLATE(D46, ""en"", ""am"")"),"የሱዳን ነፃነት የፈረስ እሽቅድምድም ተወዳጅነትን ከፍ አድርጎታል።")</f>
        <v>የሱዳን ነፃነት የፈረስ እሽቅድምድም ተወዳጅነትን ከፍ አድርጎታል።</v>
      </c>
      <c r="K46" s="5" t="str">
        <f>IFERROR(__xludf.DUMMYFUNCTION(" GOOGLETRANSLATE(E46, ""en"", ""am"")"),"የሱዳን ነፃነት የፈረስ እሽቅድምድም ተወዳጅነትን ከፍ አድርጎታል።")</f>
        <v>የሱዳን ነፃነት የፈረስ እሽቅድምድም ተወዳጅነትን ከፍ አድርጎታል።</v>
      </c>
    </row>
    <row r="47" ht="22.5" customHeight="1">
      <c r="A47" s="3">
        <v>46.0</v>
      </c>
      <c r="B47" s="4" t="s">
        <v>612</v>
      </c>
      <c r="C47" s="4" t="s">
        <v>613</v>
      </c>
      <c r="D47" s="4" t="s">
        <v>614</v>
      </c>
      <c r="E47" s="4" t="s">
        <v>614</v>
      </c>
      <c r="G47" s="5" t="str">
        <f>IFERROR(__xludf.DUMMYFUNCTION(" GOOGLETRANSLATE(A47, ""en"", ""am"")"),"46")</f>
        <v>46</v>
      </c>
      <c r="H47" s="5" t="str">
        <f>IFERROR(__xludf.DUMMYFUNCTION(" GOOGLETRANSLATE(B47, ""en"", ""am"")"),"በፈረስ እሽቅድምድም የመጀመሪያው የዓለም ሻምፒዮን ማን ነበር?")</f>
        <v>በፈረስ እሽቅድምድም የመጀመሪያው የዓለም ሻምፒዮን ማን ነበር?</v>
      </c>
      <c r="I47" s="5" t="str">
        <f>IFERROR(__xludf.DUMMYFUNCTION(" GOOGLETRANSLATE(C47, ""en"", ""am"")"),"አ.አሚን ታረቅ ብ.ዩሱፍ መሀመድ ሲ. አብዱላህ ዑመር ዲ.አሚን ታረክ")</f>
        <v>አ.አሚን ታረቅ ብ.ዩሱፍ መሀመድ ሲ. አብዱላህ ዑመር ዲ.አሚን ታረክ</v>
      </c>
      <c r="J47" s="5" t="str">
        <f>IFERROR(__xludf.DUMMYFUNCTION(" GOOGLETRANSLATE(D47, ""en"", ""am"")"),"አሚን ታረክ እ.ኤ.አ. በ1925 የመክፈቻውን ሻምፒዮና በማሸነፍ የመጀመሪያው የዓለም ሻምፒዮን ነበር።")</f>
        <v>አሚን ታረክ እ.ኤ.አ. በ1925 የመክፈቻውን ሻምፒዮና በማሸነፍ የመጀመሪያው የዓለም ሻምፒዮን ነበር።</v>
      </c>
      <c r="K47" s="5" t="str">
        <f>IFERROR(__xludf.DUMMYFUNCTION(" GOOGLETRANSLATE(E47, ""en"", ""am"")"),"አሚን ታረክ እ.ኤ.አ. በ1925 የመክፈቻውን ሻምፒዮና በማሸነፍ የመጀመሪያው የዓለም ሻምፒዮን ነበር።")</f>
        <v>አሚን ታረክ እ.ኤ.አ. በ1925 የመክፈቻውን ሻምፒዮና በማሸነፍ የመጀመሪያው የዓለም ሻምፒዮን ነበር።</v>
      </c>
    </row>
    <row r="48" ht="22.5" customHeight="1">
      <c r="A48" s="3">
        <v>47.0</v>
      </c>
      <c r="B48" s="4" t="s">
        <v>615</v>
      </c>
      <c r="C48" s="4" t="s">
        <v>616</v>
      </c>
      <c r="D48" s="4" t="s">
        <v>617</v>
      </c>
      <c r="E48" s="4" t="s">
        <v>617</v>
      </c>
      <c r="G48" s="5" t="str">
        <f>IFERROR(__xludf.DUMMYFUNCTION(" GOOGLETRANSLATE(A48, ""en"", ""am"")"),"47")</f>
        <v>47</v>
      </c>
      <c r="H48" s="5" t="str">
        <f>IFERROR(__xludf.DUMMYFUNCTION(" GOOGLETRANSLATE(B48, ""en"", ""am"")"),"የመጀመሪያውን የዓለም የፈረስ እሽቅድምድም ሻምፒዮና ያስተናገደው ስታዲየም ምን ነበር?")</f>
        <v>የመጀመሪያውን የዓለም የፈረስ እሽቅድምድም ሻምፒዮና ያስተናገደው ስታዲየም ምን ነበር?</v>
      </c>
      <c r="I48" s="5" t="str">
        <f>IFERROR(__xludf.DUMMYFUNCTION(" GOOGLETRANSLATE(C48, ""en"", ""am"")"),"አ. አዲስ አበባ ስፖርት ኮምፕሌክስ ቢ ካይሮ ኢንተርናሽናል ስታዲየም ሐ. አልጀርስ ኦሊምፒክ ስታዲየም ዲ ካርቱም ብሔራዊ ስታዲየም")</f>
        <v>አ. አዲስ አበባ ስፖርት ኮምፕሌክስ ቢ ካይሮ ኢንተርናሽናል ስታዲየም ሐ. አልጀርስ ኦሊምፒክ ስታዲየም ዲ ካርቱም ብሔራዊ ስታዲየም</v>
      </c>
      <c r="J48" s="5" t="str">
        <f>IFERROR(__xludf.DUMMYFUNCTION(" GOOGLETRANSLATE(D48, ""en"", ""am"")"),"የካርቱም ብሄራዊ ስታዲየም በ1925 የመጀመሪያውን የአለም ሻምፒዮና አስተናግዷል።")</f>
        <v>የካርቱም ብሄራዊ ስታዲየም በ1925 የመጀመሪያውን የአለም ሻምፒዮና አስተናግዷል።</v>
      </c>
      <c r="K48" s="5" t="str">
        <f>IFERROR(__xludf.DUMMYFUNCTION(" GOOGLETRANSLATE(E48, ""en"", ""am"")"),"የካርቱም ብሄራዊ ስታዲየም በ1925 የመጀመሪያውን የአለም ሻምፒዮና አስተናግዷል።")</f>
        <v>የካርቱም ብሄራዊ ስታዲየም በ1925 የመጀመሪያውን የአለም ሻምፒዮና አስተናግዷል።</v>
      </c>
    </row>
    <row r="49" ht="22.5" customHeight="1">
      <c r="A49" s="3">
        <v>48.0</v>
      </c>
      <c r="B49" s="4" t="s">
        <v>618</v>
      </c>
      <c r="C49" s="4" t="s">
        <v>619</v>
      </c>
      <c r="D49" s="4" t="s">
        <v>620</v>
      </c>
      <c r="E49" s="4" t="s">
        <v>620</v>
      </c>
      <c r="G49" s="5" t="str">
        <f>IFERROR(__xludf.DUMMYFUNCTION(" GOOGLETRANSLATE(A49, ""en"", ""am"")"),"48")</f>
        <v>48</v>
      </c>
      <c r="H49" s="5" t="str">
        <f>IFERROR(__xludf.DUMMYFUNCTION(" GOOGLETRANSLATE(B49, ""en"", ""am"")"),"የፈረስ እሽቅድምድም ስፖርት ከቅኝ ግዛት በኋላ በአፍሪካ ማህበረሰብ ውስጥ ምን ሚና ተጫውቷል?")</f>
        <v>የፈረስ እሽቅድምድም ስፖርት ከቅኝ ግዛት በኋላ በአፍሪካ ማህበረሰብ ውስጥ ምን ሚና ተጫውቷል?</v>
      </c>
      <c r="I49" s="5" t="str">
        <f>IFERROR(__xludf.DUMMYFUNCTION(" GOOGLETRANSLATE(C49, ""en"", ""am"")"),"ሀ. ኢኮኖሚውን ማሳደግ ለ. ማህበራዊ ውህደት ሐ. የባህል ጥበቃ መ. ማህበራዊ ውህደት")</f>
        <v>ሀ. ኢኮኖሚውን ማሳደግ ለ. ማህበራዊ ውህደት ሐ. የባህል ጥበቃ መ. ማህበራዊ ውህደት</v>
      </c>
      <c r="J49" s="5" t="str">
        <f>IFERROR(__xludf.DUMMYFUNCTION(" GOOGLETRANSLATE(D49, ""en"", ""am"")"),"የፈረስ እሽቅድምድም ስፖርት ከቅኝ ግዛት ዘመን ጀምሮ በማህበራዊ ትስስር ውስጥ ትልቅ ሚና ተጫውቷል።")</f>
        <v>የፈረስ እሽቅድምድም ስፖርት ከቅኝ ግዛት ዘመን ጀምሮ በማህበራዊ ትስስር ውስጥ ትልቅ ሚና ተጫውቷል።</v>
      </c>
      <c r="K49" s="5" t="str">
        <f>IFERROR(__xludf.DUMMYFUNCTION(" GOOGLETRANSLATE(E49, ""en"", ""am"")"),"የፈረስ እሽቅድምድም ስፖርት ከቅኝ ግዛት ዘመን ጀምሮ በማህበራዊ ትስስር ውስጥ ትልቅ ሚና ተጫውቷል።")</f>
        <v>የፈረስ እሽቅድምድም ስፖርት ከቅኝ ግዛት ዘመን ጀምሮ በማህበራዊ ትስስር ውስጥ ትልቅ ሚና ተጫውቷል።</v>
      </c>
    </row>
    <row r="50" ht="22.5" customHeight="1">
      <c r="A50" s="3">
        <v>49.0</v>
      </c>
      <c r="B50" s="4" t="s">
        <v>621</v>
      </c>
      <c r="C50" s="4" t="s">
        <v>622</v>
      </c>
      <c r="D50" s="4" t="s">
        <v>623</v>
      </c>
      <c r="E50" s="4" t="s">
        <v>623</v>
      </c>
      <c r="G50" s="5" t="str">
        <f>IFERROR(__xludf.DUMMYFUNCTION(" GOOGLETRANSLATE(A50, ""en"", ""am"")"),"49")</f>
        <v>49</v>
      </c>
      <c r="H50" s="5" t="str">
        <f>IFERROR(__xludf.DUMMYFUNCTION(" GOOGLETRANSLATE(B50, ""en"", ""am"")"),"በየትኛው አስርት አመታት ውስጥ የፈረስ እሽቅድምድም ስፖርት አለም አቀፍ እውቅና አገኘ?")</f>
        <v>በየትኛው አስርት አመታት ውስጥ የፈረስ እሽቅድምድም ስፖርት አለም አቀፍ እውቅና አገኘ?</v>
      </c>
      <c r="I50" s="5" t="str">
        <f>IFERROR(__xludf.DUMMYFUNCTION(" GOOGLETRANSLATE(C50, ""en"", ""am"")"),"ኣብ 1930 ዎቹ ብ 1940 ዎቹ ዓ.ም. 1950ዎቹ ዲ. 1930ዎቹ")</f>
        <v>ኣብ 1930 ዎቹ ብ 1940 ዎቹ ዓ.ም. 1950ዎቹ ዲ. 1930ዎቹ</v>
      </c>
      <c r="J50" s="5" t="str">
        <f>IFERROR(__xludf.DUMMYFUNCTION(" GOOGLETRANSLATE(D50, ""en"", ""am"")"),"የፈረስ እሽቅድምድም ስፖርት በ 1930 ዎቹ ውስጥ ከመጀመሪያው የዓለም ሻምፒዮና በኋላ ዓለም አቀፍ እውቅና አግኝቷል.")</f>
        <v>የፈረስ እሽቅድምድም ስፖርት በ 1930 ዎቹ ውስጥ ከመጀመሪያው የዓለም ሻምፒዮና በኋላ ዓለም አቀፍ እውቅና አግኝቷል.</v>
      </c>
      <c r="K50" s="5" t="str">
        <f>IFERROR(__xludf.DUMMYFUNCTION(" GOOGLETRANSLATE(E50, ""en"", ""am"")"),"የፈረስ እሽቅድምድም ስፖርት በ 1930 ዎቹ ውስጥ ከመጀመሪያው የዓለም ሻምፒዮና በኋላ ዓለም አቀፍ እውቅና አግኝቷል.")</f>
        <v>የፈረስ እሽቅድምድም ስፖርት በ 1930 ዎቹ ውስጥ ከመጀመሪያው የዓለም ሻምፒዮና በኋላ ዓለም አቀፍ እውቅና አግኝቷል.</v>
      </c>
    </row>
    <row r="51" ht="22.5" customHeight="1">
      <c r="A51" s="3">
        <v>50.0</v>
      </c>
      <c r="B51" s="4" t="s">
        <v>624</v>
      </c>
      <c r="C51" s="4" t="s">
        <v>625</v>
      </c>
      <c r="D51" s="4" t="s">
        <v>626</v>
      </c>
      <c r="E51" s="4" t="s">
        <v>626</v>
      </c>
      <c r="G51" s="5" t="str">
        <f>IFERROR(__xludf.DUMMYFUNCTION(" GOOGLETRANSLATE(A51, ""en"", ""am"")"),"50")</f>
        <v>50</v>
      </c>
      <c r="H51" s="5" t="str">
        <f>IFERROR(__xludf.DUMMYFUNCTION(" GOOGLETRANSLATE(B51, ""en"", ""am"")"),"በ 1940 ዎቹ ውስጥ በፈረስ እሽቅድምድም ህጎች ላይ ምን ጉልህ ለውጥ ተፈጠረ?")</f>
        <v>በ 1940 ዎቹ ውስጥ በፈረስ እሽቅድምድም ህጎች ላይ ምን ጉልህ ለውጥ ተፈጠረ?</v>
      </c>
      <c r="I51" s="5" t="str">
        <f>IFERROR(__xludf.DUMMYFUNCTION(" GOOGLETRANSLATE(C51, ""en"", ""am"")"),"ሀ. መደበኛ የኳስ መጠን ለ. በቡድን ላይ የተመሰረተ ቅርጸት C. የውጤት አሰጣጥ ስርዓት መጨመር D. በቡድን ላይ የተመሰረተ ቅርጸት")</f>
        <v>ሀ. መደበኛ የኳስ መጠን ለ. በቡድን ላይ የተመሰረተ ቅርጸት C. የውጤት አሰጣጥ ስርዓት መጨመር D. በቡድን ላይ የተመሰረተ ቅርጸት</v>
      </c>
      <c r="J51" s="5" t="str">
        <f>IFERROR(__xludf.DUMMYFUNCTION(" GOOGLETRANSLATE(D51, ""en"", ""am"")"),"በ 1940 ዎቹ ውስጥ በፈረስ እሽቅድምድም ውስጥ በቡድን ላይ የተመሰረተ ቅርጸት ተጀመረ.")</f>
        <v>በ 1940 ዎቹ ውስጥ በፈረስ እሽቅድምድም ውስጥ በቡድን ላይ የተመሰረተ ቅርጸት ተጀመረ.</v>
      </c>
      <c r="K51" s="5" t="str">
        <f>IFERROR(__xludf.DUMMYFUNCTION(" GOOGLETRANSLATE(E51, ""en"", ""am"")"),"በ 1940 ዎቹ ውስጥ በፈረስ እሽቅድምድም ውስጥ በቡድን ላይ የተመሰረተ ቅርጸት ተጀመረ.")</f>
        <v>በ 1940 ዎቹ ውስጥ በፈረስ እሽቅድምድም ውስጥ በቡድን ላይ የተመሰረተ ቅርጸት ተጀመረ.</v>
      </c>
    </row>
    <row r="52" ht="22.5" customHeight="1">
      <c r="A52" s="3">
        <v>51.0</v>
      </c>
      <c r="B52" s="4" t="s">
        <v>627</v>
      </c>
      <c r="C52" s="4" t="s">
        <v>628</v>
      </c>
      <c r="D52" s="4" t="s">
        <v>629</v>
      </c>
      <c r="E52" s="4" t="s">
        <v>629</v>
      </c>
      <c r="G52" s="5" t="str">
        <f>IFERROR(__xludf.DUMMYFUNCTION(" GOOGLETRANSLATE(A52, ""en"", ""am"")"),"51")</f>
        <v>51</v>
      </c>
      <c r="H52" s="5" t="str">
        <f>IFERROR(__xludf.DUMMYFUNCTION(" GOOGLETRANSLATE(B52, ""en"", ""am"")"),"የፈረስ እሽቅድምድም ስፖርትን ከማስተዋወቅ ጋር የተያያዘው የትኛው ታሪካዊ ሰው ነው?")</f>
        <v>የፈረስ እሽቅድምድም ስፖርትን ከማስተዋወቅ ጋር የተያያዘው የትኛው ታሪካዊ ሰው ነው?</v>
      </c>
      <c r="I52" s="5" t="str">
        <f>IFERROR(__xludf.DUMMYFUNCTION(" GOOGLETRANSLATE(C52, ""en"", ""am"")"),"አ. ንጉስ ሰሎሞን ቢ. አፄ ኃይለ ሥላሴ ሲ. ናስር አብደል ከሪም ዲ. አፄ ኃይለ ሥላሴ")</f>
        <v>አ. ንጉስ ሰሎሞን ቢ. አፄ ኃይለ ሥላሴ ሲ. ናስር አብደል ከሪም ዲ. አፄ ኃይለ ሥላሴ</v>
      </c>
      <c r="J52" s="5" t="str">
        <f>IFERROR(__xludf.DUMMYFUNCTION(" GOOGLETRANSLATE(D52, ""en"", ""am"")"),"በ20ኛው ክፍለ ዘመን አጋማሽ ላይ አፄ ኃይለ ሥላሴ ስፖርቱን በማስተዋወቅ ትልቅ ሚና ተጫውተዋል።")</f>
        <v>በ20ኛው ክፍለ ዘመን አጋማሽ ላይ አፄ ኃይለ ሥላሴ ስፖርቱን በማስተዋወቅ ትልቅ ሚና ተጫውተዋል።</v>
      </c>
      <c r="K52" s="5" t="str">
        <f>IFERROR(__xludf.DUMMYFUNCTION(" GOOGLETRANSLATE(E52, ""en"", ""am"")"),"በ20ኛው ክፍለ ዘመን አጋማሽ ላይ አፄ ኃይለ ሥላሴ ስፖርቱን በማስተዋወቅ ትልቅ ሚና ተጫውተዋል።")</f>
        <v>በ20ኛው ክፍለ ዘመን አጋማሽ ላይ አፄ ኃይለ ሥላሴ ስፖርቱን በማስተዋወቅ ትልቅ ሚና ተጫውተዋል።</v>
      </c>
    </row>
    <row r="53" ht="22.5" customHeight="1">
      <c r="A53" s="3">
        <v>52.0</v>
      </c>
      <c r="B53" s="4" t="s">
        <v>630</v>
      </c>
      <c r="C53" s="4" t="s">
        <v>631</v>
      </c>
      <c r="D53" s="4" t="s">
        <v>632</v>
      </c>
      <c r="E53" s="4" t="s">
        <v>632</v>
      </c>
      <c r="G53" s="5" t="str">
        <f>IFERROR(__xludf.DUMMYFUNCTION(" GOOGLETRANSLATE(A53, ""en"", ""am"")"),"52")</f>
        <v>52</v>
      </c>
      <c r="H53" s="5" t="str">
        <f>IFERROR(__xludf.DUMMYFUNCTION(" GOOGLETRANSLATE(B53, ""en"", ""am"")"),"የመጀመሪያው የፈረስ ውድድር ሊግ እንዲመሰረት ያነሳሳው የትኛው ታሪካዊ ክስተት ነው?")</f>
        <v>የመጀመሪያው የፈረስ ውድድር ሊግ እንዲመሰረት ያነሳሳው የትኛው ታሪካዊ ክስተት ነው?</v>
      </c>
      <c r="I53" s="5" t="str">
        <f>IFERROR(__xludf.DUMMYFUNCTION(" GOOGLETRANSLATE(C53, ""en"", ""am"")"),"የዘመናዊ ትምህርት መስፋፋት ለ. ከቅኝ ግዛት በኋላ ነፃነት ሐ. የዘመናዊ ቴክኖሎጂ እድገት መ. ከቅኝ ግዛት በኋላ ነፃነት")</f>
        <v>የዘመናዊ ትምህርት መስፋፋት ለ. ከቅኝ ግዛት በኋላ ነፃነት ሐ. የዘመናዊ ቴክኖሎጂ እድገት መ. ከቅኝ ግዛት በኋላ ነፃነት</v>
      </c>
      <c r="J53" s="5" t="str">
        <f>IFERROR(__xludf.DUMMYFUNCTION(" GOOGLETRANSLATE(D53, ""en"", ""am"")"),"ከቅኝ ግዛት በኋላ የነበረው የነጻነት ጊዜ በ1950 የመጀመሪያው ሊግ እንዲመሰረት ምክንያት ሆኗል።")</f>
        <v>ከቅኝ ግዛት በኋላ የነበረው የነጻነት ጊዜ በ1950 የመጀመሪያው ሊግ እንዲመሰረት ምክንያት ሆኗል።</v>
      </c>
      <c r="K53" s="5" t="str">
        <f>IFERROR(__xludf.DUMMYFUNCTION(" GOOGLETRANSLATE(E53, ""en"", ""am"")"),"ከቅኝ ግዛት በኋላ የነበረው የነጻነት ጊዜ በ1950 የመጀመሪያው ሊግ እንዲመሰረት ምክንያት ሆኗል።")</f>
        <v>ከቅኝ ግዛት በኋላ የነበረው የነጻነት ጊዜ በ1950 የመጀመሪያው ሊግ እንዲመሰረት ምክንያት ሆኗል።</v>
      </c>
    </row>
    <row r="54" ht="22.5" customHeight="1">
      <c r="A54" s="3">
        <v>53.0</v>
      </c>
      <c r="B54" s="4" t="s">
        <v>633</v>
      </c>
      <c r="C54" s="4" t="s">
        <v>634</v>
      </c>
      <c r="D54" s="4" t="s">
        <v>596</v>
      </c>
      <c r="E54" s="4" t="s">
        <v>596</v>
      </c>
      <c r="G54" s="5" t="str">
        <f>IFERROR(__xludf.DUMMYFUNCTION(" GOOGLETRANSLATE(A54, ""en"", ""am"")"),"53")</f>
        <v>53</v>
      </c>
      <c r="H54" s="5" t="str">
        <f>IFERROR(__xludf.DUMMYFUNCTION(" GOOGLETRANSLATE(B54, ""en"", ""am"")"),"በየትኛው አመት የፈረስ እሽቅድምድም ወደ ኦሎምፒክ ጨዋታዎች ገባ?")</f>
        <v>በየትኛው አመት የፈረስ እሽቅድምድም ወደ ኦሎምፒክ ጨዋታዎች ገባ?</v>
      </c>
      <c r="I54" s="5" t="str">
        <f>IFERROR(__xludf.DUMMYFUNCTION(" GOOGLETRANSLATE(C54, ""en"", ""am"")"),"ኣብ 1980 ዓ.ም.2000 ዓ.ም.1900 ድ.1900 ዓ.ም.")</f>
        <v>ኣብ 1980 ዓ.ም.2000 ዓ.ም.1900 ድ.1900 ዓ.ም.</v>
      </c>
      <c r="J54" s="5" t="str">
        <f>IFERROR(__xludf.DUMMYFUNCTION(" GOOGLETRANSLATE(D54, ""en"", ""am"")"),"በ1900 ዓ.ም")</f>
        <v>በ1900 ዓ.ም</v>
      </c>
      <c r="K54" s="5" t="str">
        <f>IFERROR(__xludf.DUMMYFUNCTION(" GOOGLETRANSLATE(E54, ""en"", ""am"")"),"በ1900 ዓ.ም")</f>
        <v>በ1900 ዓ.ም</v>
      </c>
    </row>
    <row r="55" ht="22.5" customHeight="1">
      <c r="A55" s="3">
        <v>54.0</v>
      </c>
      <c r="B55" s="4" t="s">
        <v>635</v>
      </c>
      <c r="C55" s="4" t="s">
        <v>636</v>
      </c>
      <c r="D55" s="4" t="s">
        <v>637</v>
      </c>
      <c r="E55" s="4" t="s">
        <v>637</v>
      </c>
      <c r="G55" s="5" t="str">
        <f>IFERROR(__xludf.DUMMYFUNCTION(" GOOGLETRANSLATE(A55, ""en"", ""am"")"),"54")</f>
        <v>54</v>
      </c>
      <c r="H55" s="5" t="str">
        <f>IFERROR(__xludf.DUMMYFUNCTION(" GOOGLETRANSLATE(B55, ""en"", ""am"")"),"በ 1980 ዎቹ ውስጥ በጨዋታው መዋቅር ላይ ምን ዋና ለውጦች ተደርገዋል?")</f>
        <v>በ 1980 ዎቹ ውስጥ በጨዋታው መዋቅር ላይ ምን ዋና ለውጦች ተደርገዋል?</v>
      </c>
      <c r="I55" s="5" t="str">
        <f>IFERROR(__xludf.DUMMYFUNCTION(" GOOGLETRANSLATE(C55, ""en"", ""am"")"),"ሀ. የውጤት አሰጣጥ ስርዓት ለውጦች ለ. የጁኒየር ሊግ እድገት ሐ. ደረጃውን የጠበቀ ዓለም አቀፍ ደንቦች መ. ዓለም አቀፍ የቡድን ውድድሮች")</f>
        <v>ሀ. የውጤት አሰጣጥ ስርዓት ለውጦች ለ. የጁኒየር ሊግ እድገት ሐ. ደረጃውን የጠበቀ ዓለም አቀፍ ደንቦች መ. ዓለም አቀፍ የቡድን ውድድሮች</v>
      </c>
      <c r="J55" s="5" t="str">
        <f>IFERROR(__xludf.DUMMYFUNCTION(" GOOGLETRANSLATE(D55, ""en"", ""am"")"),"እ.ኤ.አ. በ1980ዎቹ የአለም አቀፍ የቡድን ውድድር እና የጁኒየር ሊጎች እድገት አሳይተዋል።")</f>
        <v>እ.ኤ.አ. በ1980ዎቹ የአለም አቀፍ የቡድን ውድድር እና የጁኒየር ሊጎች እድገት አሳይተዋል።</v>
      </c>
      <c r="K55" s="5" t="str">
        <f>IFERROR(__xludf.DUMMYFUNCTION(" GOOGLETRANSLATE(E55, ""en"", ""am"")"),"እ.ኤ.አ. በ1980ዎቹ የአለም አቀፍ የቡድን ውድድር እና የጁኒየር ሊጎች እድገት አሳይተዋል።")</f>
        <v>እ.ኤ.አ. በ1980ዎቹ የአለም አቀፍ የቡድን ውድድር እና የጁኒየር ሊጎች እድገት አሳይተዋል።</v>
      </c>
    </row>
    <row r="56" ht="22.5" customHeight="1">
      <c r="A56" s="3">
        <v>55.0</v>
      </c>
      <c r="B56" s="4" t="s">
        <v>638</v>
      </c>
      <c r="C56" s="4" t="s">
        <v>639</v>
      </c>
      <c r="D56" s="4" t="s">
        <v>640</v>
      </c>
      <c r="E56" s="4" t="s">
        <v>640</v>
      </c>
      <c r="G56" s="5" t="str">
        <f>IFERROR(__xludf.DUMMYFUNCTION(" GOOGLETRANSLATE(A56, ""en"", ""am"")"),"55")</f>
        <v>55</v>
      </c>
      <c r="H56" s="5" t="str">
        <f>IFERROR(__xludf.DUMMYFUNCTION(" GOOGLETRANSLATE(B56, ""en"", ""am"")"),"በ 1990 ዎቹ ውስጥ የፈረስ እሽቅድምድም ስፖርት እንዲዳብር የረዱት የቴክኖሎጂ እድገቶች ምንድን ናቸው?")</f>
        <v>በ 1990 ዎቹ ውስጥ የፈረስ እሽቅድምድም ስፖርት እንዲዳብር የረዱት የቴክኖሎጂ እድገቶች ምንድን ናቸው?</v>
      </c>
      <c r="I56" s="5" t="str">
        <f>IFERROR(__xludf.DUMMYFUNCTION(" GOOGLETRANSLATE(C56, ""en"", ""am"")"),"ሀ. የቪዲዮ መመርመሪያ መሳሪያዎች ለ. በኮምፒዩተር የመነጩ ውጤቶች ሐ. አለምአቀፍ የደጋፊ ክለቦች D. በኮምፒውተር የመነጩ ውጤቶች")</f>
        <v>ሀ. የቪዲዮ መመርመሪያ መሳሪያዎች ለ. በኮምፒዩተር የመነጩ ውጤቶች ሐ. አለምአቀፍ የደጋፊ ክለቦች D. በኮምፒውተር የመነጩ ውጤቶች</v>
      </c>
      <c r="J56" s="5" t="str">
        <f>IFERROR(__xludf.DUMMYFUNCTION(" GOOGLETRANSLATE(D56, ""en"", ""am"")"),"እ.ኤ.አ. በ1990ዎቹ የኮምፒዩተራይዝድ የውጤት አሰጣጥ ስርዓት መጀመሩ ስፖርቱን እንዲያድግ ረድቶታል።")</f>
        <v>እ.ኤ.አ. በ1990ዎቹ የኮምፒዩተራይዝድ የውጤት አሰጣጥ ስርዓት መጀመሩ ስፖርቱን እንዲያድግ ረድቶታል።</v>
      </c>
      <c r="K56" s="5" t="str">
        <f>IFERROR(__xludf.DUMMYFUNCTION(" GOOGLETRANSLATE(E56, ""en"", ""am"")"),"እ.ኤ.አ. በ1990ዎቹ የኮምፒዩተራይዝድ የውጤት አሰጣጥ ስርዓት መጀመሩ ስፖርቱን እንዲያድግ ረድቶታል።")</f>
        <v>እ.ኤ.አ. በ1990ዎቹ የኮምፒዩተራይዝድ የውጤት አሰጣጥ ስርዓት መጀመሩ ስፖርቱን እንዲያድግ ረድቶታል።</v>
      </c>
    </row>
    <row r="57" ht="22.5" customHeight="1">
      <c r="A57" s="3">
        <v>56.0</v>
      </c>
      <c r="B57" s="4" t="s">
        <v>641</v>
      </c>
      <c r="C57" s="4" t="s">
        <v>642</v>
      </c>
      <c r="D57" s="4" t="s">
        <v>643</v>
      </c>
      <c r="E57" s="4" t="s">
        <v>643</v>
      </c>
      <c r="G57" s="5" t="str">
        <f>IFERROR(__xludf.DUMMYFUNCTION(" GOOGLETRANSLATE(A57, ""en"", ""am"")"),"56")</f>
        <v>56</v>
      </c>
      <c r="H57" s="5" t="str">
        <f>IFERROR(__xludf.DUMMYFUNCTION(" GOOGLETRANSLATE(B57, ""en"", ""am"")"),"የፈረስ እሽቅድምድም ስፖርትን ለትምህርት ቤቶች ያስተዋወቀው የትኛው የአፍሪካ ሀገር ነው?")</f>
        <v>የፈረስ እሽቅድምድም ስፖርትን ለትምህርት ቤቶች ያስተዋወቀው የትኛው የአፍሪካ ሀገር ነው?</v>
      </c>
      <c r="I57" s="5" t="str">
        <f>IFERROR(__xludf.DUMMYFUNCTION(" GOOGLETRANSLATE(C57, ""en"", ""am"")"),"አ.ናይጄሪያ ቢ.ጋና ሲ.ኢትዮጵያ ዲ.ኬንያ")</f>
        <v>አ.ናይጄሪያ ቢ.ጋና ሲ.ኢትዮጵያ ዲ.ኬንያ</v>
      </c>
      <c r="J57" s="5" t="str">
        <f>IFERROR(__xludf.DUMMYFUNCTION(" GOOGLETRANSLATE(D57, ""en"", ""am"")"),"የፈረስ እሽቅድምድም ስፖርትን ወደ ትምህርት ቤቶች በማስተዋወቅ የመጀመሪያዋ አፍሪካዊት ሀገር ኬንያ ነበረች።")</f>
        <v>የፈረስ እሽቅድምድም ስፖርትን ወደ ትምህርት ቤቶች በማስተዋወቅ የመጀመሪያዋ አፍሪካዊት ሀገር ኬንያ ነበረች።</v>
      </c>
      <c r="K57" s="5" t="str">
        <f>IFERROR(__xludf.DUMMYFUNCTION(" GOOGLETRANSLATE(E57, ""en"", ""am"")"),"የፈረስ እሽቅድምድም ስፖርትን ወደ ትምህርት ቤቶች በማስተዋወቅ የመጀመሪያዋ አፍሪካዊት ሀገር ኬንያ ነበረች።")</f>
        <v>የፈረስ እሽቅድምድም ስፖርትን ወደ ትምህርት ቤቶች በማስተዋወቅ የመጀመሪያዋ አፍሪካዊት ሀገር ኬንያ ነበረች።</v>
      </c>
    </row>
    <row r="58" ht="22.5" customHeight="1">
      <c r="A58" s="3">
        <v>57.0</v>
      </c>
      <c r="B58" s="4" t="s">
        <v>644</v>
      </c>
      <c r="C58" s="4" t="s">
        <v>645</v>
      </c>
      <c r="D58" s="4" t="s">
        <v>646</v>
      </c>
      <c r="E58" s="4" t="s">
        <v>646</v>
      </c>
      <c r="G58" s="5" t="str">
        <f>IFERROR(__xludf.DUMMYFUNCTION(" GOOGLETRANSLATE(A58, ""en"", ""am"")"),"57")</f>
        <v>57</v>
      </c>
      <c r="H58" s="5" t="str">
        <f>IFERROR(__xludf.DUMMYFUNCTION(" GOOGLETRANSLATE(B58, ""en"", ""am"")"),"የፈረስ እሽቅድምድም በመጀመሪያ የተሳተፈው በየትኛው ዓለም አቀፍ ውድድር ነው?")</f>
        <v>የፈረስ እሽቅድምድም በመጀመሪያ የተሳተፈው በየትኛው ዓለም አቀፍ ውድድር ነው?</v>
      </c>
      <c r="I58" s="5" t="str">
        <f>IFERROR(__xludf.DUMMYFUNCTION(" GOOGLETRANSLATE(C58, ""en"", ""am"")"),"ኣብ ዋንጫ ኣፍሪቃ ብ ዓለም ሻምፒዮና C. Continental Cup D. World Cup")</f>
        <v>ኣብ ዋንጫ ኣፍሪቃ ብ ዓለም ሻምፒዮና C. Continental Cup D. World Cup</v>
      </c>
      <c r="J58" s="5" t="str">
        <f>IFERROR(__xludf.DUMMYFUNCTION(" GOOGLETRANSLATE(D58, ""en"", ""am"")"),"የፈረስ እሽቅድምድም ስፖርቱ በመጀመርያው ዓለም አቀፍ ውድድር ማለትም በዓለም ሻምፒዮና ላይ ተሳትፏል።")</f>
        <v>የፈረስ እሽቅድምድም ስፖርቱ በመጀመርያው ዓለም አቀፍ ውድድር ማለትም በዓለም ሻምፒዮና ላይ ተሳትፏል።</v>
      </c>
      <c r="K58" s="5" t="str">
        <f>IFERROR(__xludf.DUMMYFUNCTION(" GOOGLETRANSLATE(E58, ""en"", ""am"")"),"የፈረስ እሽቅድምድም ስፖርቱ በመጀመርያው ዓለም አቀፍ ውድድር ማለትም በዓለም ሻምፒዮና ላይ ተሳትፏል።")</f>
        <v>የፈረስ እሽቅድምድም ስፖርቱ በመጀመርያው ዓለም አቀፍ ውድድር ማለትም በዓለም ሻምፒዮና ላይ ተሳትፏል።</v>
      </c>
    </row>
    <row r="59" ht="22.5" customHeight="1">
      <c r="A59" s="3">
        <v>58.0</v>
      </c>
      <c r="B59" s="4" t="s">
        <v>647</v>
      </c>
      <c r="C59" s="4" t="s">
        <v>648</v>
      </c>
      <c r="D59" s="4" t="s">
        <v>649</v>
      </c>
      <c r="E59" s="4" t="s">
        <v>649</v>
      </c>
      <c r="G59" s="5" t="str">
        <f>IFERROR(__xludf.DUMMYFUNCTION(" GOOGLETRANSLATE(A59, ""en"", ""am"")"),"58")</f>
        <v>58</v>
      </c>
      <c r="H59" s="5" t="str">
        <f>IFERROR(__xludf.DUMMYFUNCTION(" GOOGLETRANSLATE(B59, ""en"", ""am"")"),"በፈረስ እሽቅድምድም የመጀመሪያዋ ሴት ሻምፒዮን ማን ነበረች?")</f>
        <v>በፈረስ እሽቅድምድም የመጀመሪያዋ ሴት ሻምፒዮን ማን ነበረች?</v>
      </c>
      <c r="I59" s="5" t="str">
        <f>IFERROR(__xludf.DUMMYFUNCTION(" GOOGLETRANSLATE(C59, ""en"", ""am"")"),"A. Sarah Omar B. Nadia Hassan C. ማርያም ሙሴ ዲ. ሊላ አህመድ")</f>
        <v>A. Sarah Omar B. Nadia Hassan C. ማርያም ሙሴ ዲ. ሊላ አህመድ</v>
      </c>
      <c r="J59" s="5" t="str">
        <f>IFERROR(__xludf.DUMMYFUNCTION(" GOOGLETRANSLATE(D59, ""en"", ""am"")"),"ላይላ አህመድ በ1975 የመጀመሪያዋ ሴት የፈረስ ሻምፒዮን ሆነች።")</f>
        <v>ላይላ አህመድ በ1975 የመጀመሪያዋ ሴት የፈረስ ሻምፒዮን ሆነች።</v>
      </c>
      <c r="K59" s="5" t="str">
        <f>IFERROR(__xludf.DUMMYFUNCTION(" GOOGLETRANSLATE(E59, ""en"", ""am"")"),"ላይላ አህመድ በ1975 የመጀመሪያዋ ሴት የፈረስ ሻምፒዮን ሆነች።")</f>
        <v>ላይላ አህመድ በ1975 የመጀመሪያዋ ሴት የፈረስ ሻምፒዮን ሆነች።</v>
      </c>
    </row>
    <row r="60" ht="22.5" customHeight="1">
      <c r="A60" s="3">
        <v>59.0</v>
      </c>
      <c r="B60" s="4" t="s">
        <v>650</v>
      </c>
      <c r="C60" s="4" t="s">
        <v>651</v>
      </c>
      <c r="D60" s="4" t="s">
        <v>652</v>
      </c>
      <c r="E60" s="4" t="s">
        <v>652</v>
      </c>
      <c r="G60" s="5" t="str">
        <f>IFERROR(__xludf.DUMMYFUNCTION(" GOOGLETRANSLATE(A60, ""en"", ""am"")"),"59")</f>
        <v>59</v>
      </c>
      <c r="H60" s="5" t="str">
        <f>IFERROR(__xludf.DUMMYFUNCTION(" GOOGLETRANSLATE(B60, ""en"", ""am"")"),"ለፈረስ እሽቅድምድም የመጀመሪያው ዓለም አቀፍ የቡድን ውድድር በየትኛው ዓመት ነበር?")</f>
        <v>ለፈረስ እሽቅድምድም የመጀመሪያው ዓለም አቀፍ የቡድን ውድድር በየትኛው ዓመት ነበር?</v>
      </c>
      <c r="I60" s="5" t="str">
        <f>IFERROR(__xludf.DUMMYFUNCTION(" GOOGLETRANSLATE(C60, ""en"", ""am"")"),"ኣብ 1930 ብ 1940 ዓ.ም. 1950 ድ.1920 ዓ.ም.")</f>
        <v>ኣብ 1930 ብ 1940 ዓ.ም. 1950 ድ.1920 ዓ.ም.</v>
      </c>
      <c r="J60" s="5" t="str">
        <f>IFERROR(__xludf.DUMMYFUNCTION(" GOOGLETRANSLATE(D60, ""en"", ""am"")"),"በ1920 ዓ.ም")</f>
        <v>በ1920 ዓ.ም</v>
      </c>
      <c r="K60" s="5" t="str">
        <f>IFERROR(__xludf.DUMMYFUNCTION(" GOOGLETRANSLATE(E60, ""en"", ""am"")"),"በ1920 ዓ.ም")</f>
        <v>በ1920 ዓ.ም</v>
      </c>
    </row>
    <row r="61" ht="22.5" customHeight="1">
      <c r="A61" s="3">
        <v>60.0</v>
      </c>
      <c r="B61" s="4" t="s">
        <v>653</v>
      </c>
      <c r="C61" s="4" t="s">
        <v>654</v>
      </c>
      <c r="D61" s="4" t="s">
        <v>655</v>
      </c>
      <c r="E61" s="4" t="s">
        <v>655</v>
      </c>
      <c r="G61" s="5" t="str">
        <f>IFERROR(__xludf.DUMMYFUNCTION(" GOOGLETRANSLATE(A61, ""en"", ""am"")"),"60")</f>
        <v>60</v>
      </c>
      <c r="H61" s="5" t="str">
        <f>IFERROR(__xludf.DUMMYFUNCTION(" GOOGLETRANSLATE(B61, ""en"", ""am"")"),"በ1990ዎቹ የፈረስ እሽቅድምድም የሚዲያ ሽፋን እንዴት ተቀየረ?")</f>
        <v>በ1990ዎቹ የፈረስ እሽቅድምድም የሚዲያ ሽፋን እንዴት ተቀየረ?</v>
      </c>
      <c r="I61" s="5" t="str">
        <f>IFERROR(__xludf.DUMMYFUNCTION(" GOOGLETRANSLATE(C61, ""en"", ""am"")"),"ሀ. ስፖርትን የሚሸፍኑ ተጨማሪ ጋዜጦች ለ. የመስመር ላይ ዥረት ታዋቂ ሆነ ሐ. በፋሽን መጽሔቶች ላይ ሽፋኖች መ. የቴሌቪዥን ስርጭቶችን መጨመር")</f>
        <v>ሀ. ስፖርትን የሚሸፍኑ ተጨማሪ ጋዜጦች ለ. የመስመር ላይ ዥረት ታዋቂ ሆነ ሐ. በፋሽን መጽሔቶች ላይ ሽፋኖች መ. የቴሌቪዥን ስርጭቶችን መጨመር</v>
      </c>
      <c r="J61" s="5" t="str">
        <f>IFERROR(__xludf.DUMMYFUNCTION(" GOOGLETRANSLATE(D61, ""en"", ""am"")"),"በ1990ዎቹ የነበረው የቴሌቭዥን ስርጭቶች እና በኋላም የመስመር ላይ ዥረት ስርጭት ተደራሽነቱን ለማስፋት ረድቷል።")</f>
        <v>በ1990ዎቹ የነበረው የቴሌቭዥን ስርጭቶች እና በኋላም የመስመር ላይ ዥረት ስርጭት ተደራሽነቱን ለማስፋት ረድቷል።</v>
      </c>
      <c r="K61" s="5" t="str">
        <f>IFERROR(__xludf.DUMMYFUNCTION(" GOOGLETRANSLATE(E61, ""en"", ""am"")"),"በ1990ዎቹ የነበረው የቴሌቭዥን ስርጭቶች እና በኋላም የመስመር ላይ ዥረት ስርጭት ተደራሽነቱን ለማስፋት ረድቷል።")</f>
        <v>በ1990ዎቹ የነበረው የቴሌቭዥን ስርጭቶች እና በኋላም የመስመር ላይ ዥረት ስርጭት ተደራሽነቱን ለማስፋት ረድቷል።</v>
      </c>
    </row>
    <row r="62" ht="22.5" customHeight="1">
      <c r="A62" s="3">
        <v>61.0</v>
      </c>
      <c r="B62" s="4" t="s">
        <v>656</v>
      </c>
      <c r="C62" s="4" t="s">
        <v>657</v>
      </c>
      <c r="D62" s="4" t="s">
        <v>658</v>
      </c>
      <c r="E62" s="4" t="s">
        <v>658</v>
      </c>
      <c r="G62" s="5" t="str">
        <f>IFERROR(__xludf.DUMMYFUNCTION(" GOOGLETRANSLATE(A62, ""en"", ""am"")"),"61")</f>
        <v>61</v>
      </c>
      <c r="H62" s="5" t="str">
        <f>IFERROR(__xludf.DUMMYFUNCTION(" GOOGLETRANSLATE(B62, ""en"", ""am"")"),"በ 20 ኛው ክፍለ ዘመን መጀመሪያ ላይ የተካሄደው የትኛው የባህል ክስተት የፈረስ እሽቅድምድም ስፖርቱን ተወዳጅ ለማድረግ የረዳው የትኛው ነው?")</f>
        <v>በ 20 ኛው ክፍለ ዘመን መጀመሪያ ላይ የተካሄደው የትኛው የባህል ክስተት የፈረስ እሽቅድምድም ስፖርቱን ተወዳጅ ለማድረግ የረዳው የትኛው ነው?</v>
      </c>
      <c r="I62" s="5" t="str">
        <f>IFERROR(__xludf.DUMMYFUNCTION(" GOOGLETRANSLATE(C62, ""en"", ""am"")"),"ሀ. የዓለም ትርኢቶች ለ. በርሊን ኦሊምፒክ ሐ. የነጻነት ቀን D. የነጻነት ቀን")</f>
        <v>ሀ. የዓለም ትርኢቶች ለ. በርሊን ኦሊምፒክ ሐ. የነጻነት ቀን D. የነጻነት ቀን</v>
      </c>
      <c r="J62" s="5" t="str">
        <f>IFERROR(__xludf.DUMMYFUNCTION(" GOOGLETRANSLATE(D62, ""en"", ""am"")"),"የዓለም ትርኢቶች፣ በተለይም እ.ኤ.አ. በ1904 በሴንት ሉዊስ የተካሄደው ዝግጅት የፈረስ እሽቅድምድም ስፖርቱን ተወዳጅ ለማድረግ ረድቷል።")</f>
        <v>የዓለም ትርኢቶች፣ በተለይም እ.ኤ.አ. በ1904 በሴንት ሉዊስ የተካሄደው ዝግጅት የፈረስ እሽቅድምድም ስፖርቱን ተወዳጅ ለማድረግ ረድቷል።</v>
      </c>
      <c r="K62" s="5" t="str">
        <f>IFERROR(__xludf.DUMMYFUNCTION(" GOOGLETRANSLATE(E62, ""en"", ""am"")"),"የዓለም ትርኢቶች፣ በተለይም እ.ኤ.አ. በ1904 በሴንት ሉዊስ የተካሄደው ዝግጅት የፈረስ እሽቅድምድም ስፖርቱን ተወዳጅ ለማድረግ ረድቷል።")</f>
        <v>የዓለም ትርኢቶች፣ በተለይም እ.ኤ.አ. በ1904 በሴንት ሉዊስ የተካሄደው ዝግጅት የፈረስ እሽቅድምድም ስፖርቱን ተወዳጅ ለማድረግ ረድቷል።</v>
      </c>
    </row>
    <row r="63" ht="22.5" customHeight="1">
      <c r="A63" s="3">
        <v>62.0</v>
      </c>
      <c r="B63" s="4" t="s">
        <v>659</v>
      </c>
      <c r="C63" s="4" t="s">
        <v>660</v>
      </c>
      <c r="D63" s="4" t="s">
        <v>661</v>
      </c>
      <c r="E63" s="4" t="s">
        <v>661</v>
      </c>
      <c r="G63" s="5" t="str">
        <f>IFERROR(__xludf.DUMMYFUNCTION(" GOOGLETRANSLATE(A63, ""en"", ""am"")"),"62")</f>
        <v>62</v>
      </c>
      <c r="H63" s="5" t="str">
        <f>IFERROR(__xludf.DUMMYFUNCTION(" GOOGLETRANSLATE(B63, ""en"", ""am"")"),"የፈረስ ውድድርን ለኦሎምፒክ ያስተዋወቀው የትኛው ሀገር ነው?")</f>
        <v>የፈረስ ውድድርን ለኦሎምፒክ ያስተዋወቀው የትኛው ሀገር ነው?</v>
      </c>
      <c r="I63" s="5" t="str">
        <f>IFERROR(__xludf.DUMMYFUNCTION(" GOOGLETRANSLATE(C63, ""en"", ""am"")"),"ሀ.ግብፅ ብ.ኢትዮጵያ ሲ.ሶማሊያ ዲ.ግብፅ")</f>
        <v>ሀ.ግብፅ ብ.ኢትዮጵያ ሲ.ሶማሊያ ዲ.ግብፅ</v>
      </c>
      <c r="J63" s="5" t="str">
        <f>IFERROR(__xludf.DUMMYFUNCTION(" GOOGLETRANSLATE(D63, ""en"", ""am"")"),"የፈረስ እሽቅድምድም ስፖርትን በኦሎምፒክ ጨዋታዎች ውስጥ በማስተዋወቅ የመጀመሪያዋ ሀገር ግብፅ ነበረች።")</f>
        <v>የፈረስ እሽቅድምድም ስፖርትን በኦሎምፒክ ጨዋታዎች ውስጥ በማስተዋወቅ የመጀመሪያዋ ሀገር ግብፅ ነበረች።</v>
      </c>
      <c r="K63" s="5" t="str">
        <f>IFERROR(__xludf.DUMMYFUNCTION(" GOOGLETRANSLATE(E63, ""en"", ""am"")"),"የፈረስ እሽቅድምድም ስፖርትን በኦሎምፒክ ጨዋታዎች ውስጥ በማስተዋወቅ የመጀመሪያዋ ሀገር ግብፅ ነበረች።")</f>
        <v>የፈረስ እሽቅድምድም ስፖርትን በኦሎምፒክ ጨዋታዎች ውስጥ በማስተዋወቅ የመጀመሪያዋ ሀገር ግብፅ ነበረች።</v>
      </c>
    </row>
    <row r="64" ht="22.5" customHeight="1">
      <c r="A64" s="3">
        <v>63.0</v>
      </c>
      <c r="B64" s="4" t="s">
        <v>662</v>
      </c>
      <c r="C64" s="4" t="s">
        <v>663</v>
      </c>
      <c r="D64" s="4" t="s">
        <v>664</v>
      </c>
      <c r="E64" s="4" t="s">
        <v>664</v>
      </c>
      <c r="G64" s="5" t="str">
        <f>IFERROR(__xludf.DUMMYFUNCTION(" GOOGLETRANSLATE(A64, ""en"", ""am"")"),"63")</f>
        <v>63</v>
      </c>
      <c r="H64" s="5" t="str">
        <f>IFERROR(__xludf.DUMMYFUNCTION(" GOOGLETRANSLATE(B64, ""en"", ""am"")"),"የመጀመሪያው የዓለም የፈረስ እሽቅድምድም በየትኛው ከተማ ነበር የተካሄደው?")</f>
        <v>የመጀመሪያው የዓለም የፈረስ እሽቅድምድም በየትኛው ከተማ ነበር የተካሄደው?</v>
      </c>
      <c r="I64" s="5" t="str">
        <f>IFERROR(__xludf.DUMMYFUNCTION(" GOOGLETRANSLATE(C64, ""en"", ""am"")"),"ኣብ ካርቱም ብ አዲስ አበባ ሲ ናይሮቢ ዲ ካርቱም")</f>
        <v>ኣብ ካርቱም ብ አዲስ አበባ ሲ ናይሮቢ ዲ ካርቱም</v>
      </c>
      <c r="J64" s="5" t="str">
        <f>IFERROR(__xludf.DUMMYFUNCTION(" GOOGLETRANSLATE(D64, ""en"", ""am"")"),"የመጀመሪያው የፈረስ እሽቅድምድም ዋንጫ በ1955 በካርቱም ተካሂዷል።")</f>
        <v>የመጀመሪያው የፈረስ እሽቅድምድም ዋንጫ በ1955 በካርቱም ተካሂዷል።</v>
      </c>
      <c r="K64" s="5" t="str">
        <f>IFERROR(__xludf.DUMMYFUNCTION(" GOOGLETRANSLATE(E64, ""en"", ""am"")"),"የመጀመሪያው የፈረስ እሽቅድምድም ዋንጫ በ1955 በካርቱም ተካሂዷል።")</f>
        <v>የመጀመሪያው የፈረስ እሽቅድምድም ዋንጫ በ1955 በካርቱም ተካሂዷል።</v>
      </c>
    </row>
    <row r="65" ht="22.5" customHeight="1">
      <c r="A65" s="3">
        <v>64.0</v>
      </c>
      <c r="B65" s="4" t="s">
        <v>665</v>
      </c>
      <c r="C65" s="4" t="s">
        <v>666</v>
      </c>
      <c r="D65" s="4" t="s">
        <v>667</v>
      </c>
      <c r="E65" s="4" t="s">
        <v>667</v>
      </c>
      <c r="G65" s="5" t="str">
        <f>IFERROR(__xludf.DUMMYFUNCTION(" GOOGLETRANSLATE(A65, ""en"", ""am"")"),"64")</f>
        <v>64</v>
      </c>
      <c r="H65" s="5" t="str">
        <f>IFERROR(__xludf.DUMMYFUNCTION(" GOOGLETRANSLATE(B65, ""en"", ""am"")"),"የመጀመሪያዎቹ ዓለም አቀፍ የፈረስ እሽቅድምድም ስፖንሰሮች እነማን ነበሩ?")</f>
        <v>የመጀመሪያዎቹ ዓለም አቀፍ የፈረስ እሽቅድምድም ስፖንሰሮች እነማን ነበሩ?</v>
      </c>
      <c r="I65" s="5" t="str">
        <f>IFERROR(__xludf.DUMMYFUNCTION(" GOOGLETRANSLATE(C65, ""en"", ""am"")"),"አ.አዲዳስ ቢ.ፑማ ሲ.ሪቦክ ዲ.ኒኬ")</f>
        <v>አ.አዲዳስ ቢ.ፑማ ሲ.ሪቦክ ዲ.ኒኬ</v>
      </c>
      <c r="J65" s="5" t="str">
        <f>IFERROR(__xludf.DUMMYFUNCTION(" GOOGLETRANSLATE(D65, ""en"", ""am"")"),"ናይክ እ.ኤ.አ. በ1980ዎቹ መገባደጃ ላይ የፈረስ እሽቅድምድም የመጀመሪያ አለም አቀፍ ስፖንሰር ነበር።")</f>
        <v>ናይክ እ.ኤ.አ. በ1980ዎቹ መገባደጃ ላይ የፈረስ እሽቅድምድም የመጀመሪያ አለም አቀፍ ስፖንሰር ነበር።</v>
      </c>
      <c r="K65" s="5" t="str">
        <f>IFERROR(__xludf.DUMMYFUNCTION(" GOOGLETRANSLATE(E65, ""en"", ""am"")"),"ናይክ እ.ኤ.አ. በ1980ዎቹ መገባደጃ ላይ የፈረስ እሽቅድምድም የመጀመሪያ አለም አቀፍ ስፖንሰር ነበር።")</f>
        <v>ናይክ እ.ኤ.አ. በ1980ዎቹ መገባደጃ ላይ የፈረስ እሽቅድምድም የመጀመሪያ አለም አቀፍ ስፖንሰር ነበር።</v>
      </c>
    </row>
    <row r="66" ht="22.5" customHeight="1">
      <c r="A66" s="3">
        <v>65.0</v>
      </c>
      <c r="B66" s="4" t="s">
        <v>668</v>
      </c>
      <c r="C66" s="4" t="s">
        <v>669</v>
      </c>
      <c r="D66" s="4" t="s">
        <v>670</v>
      </c>
      <c r="E66" s="4" t="s">
        <v>670</v>
      </c>
      <c r="G66" s="5" t="str">
        <f>IFERROR(__xludf.DUMMYFUNCTION(" GOOGLETRANSLATE(A66, ""en"", ""am"")"),"65")</f>
        <v>65</v>
      </c>
      <c r="H66" s="5" t="str">
        <f>IFERROR(__xludf.DUMMYFUNCTION(" GOOGLETRANSLATE(B66, ""en"", ""am"")"),"የፈረስ እሽቅድምድም ስፖርት ከአፍሪካ ውጭ ተወዳጅ የሆነው መቼ ነበር?")</f>
        <v>የፈረስ እሽቅድምድም ስፖርት ከአፍሪካ ውጭ ተወዳጅ የሆነው መቼ ነበር?</v>
      </c>
      <c r="I66" s="5" t="str">
        <f>IFERROR(__xludf.DUMMYFUNCTION(" GOOGLETRANSLATE(C66, ""en"", ""am"")"),"ኣብ 1970ታት ብ1980ታት 1990ታት ዲ.")</f>
        <v>ኣብ 1970ታት ብ1980ታት 1990ታት ዲ.</v>
      </c>
      <c r="J66" s="5" t="str">
        <f>IFERROR(__xludf.DUMMYFUNCTION(" GOOGLETRANSLATE(D66, ""en"", ""am"")"),"የፈረስ እሽቅድምድም ስፖርት ከአፍሪካ ውጭ ተወዳጅነትን ማግኘት የጀመረው በ1970ዎቹ ነው።")</f>
        <v>የፈረስ እሽቅድምድም ስፖርት ከአፍሪካ ውጭ ተወዳጅነትን ማግኘት የጀመረው በ1970ዎቹ ነው።</v>
      </c>
      <c r="K66" s="5" t="str">
        <f>IFERROR(__xludf.DUMMYFUNCTION(" GOOGLETRANSLATE(E66, ""en"", ""am"")"),"የፈረስ እሽቅድምድም ስፖርት ከአፍሪካ ውጭ ተወዳጅነትን ማግኘት የጀመረው በ1970ዎቹ ነው።")</f>
        <v>የፈረስ እሽቅድምድም ስፖርት ከአፍሪካ ውጭ ተወዳጅነትን ማግኘት የጀመረው በ1970ዎቹ ነው።</v>
      </c>
    </row>
    <row r="67" ht="22.5" customHeight="1">
      <c r="A67" s="3">
        <v>66.0</v>
      </c>
      <c r="B67" s="4" t="s">
        <v>671</v>
      </c>
      <c r="C67" s="4" t="s">
        <v>672</v>
      </c>
      <c r="D67" s="4" t="s">
        <v>673</v>
      </c>
      <c r="E67" s="4" t="s">
        <v>673</v>
      </c>
      <c r="G67" s="5" t="str">
        <f>IFERROR(__xludf.DUMMYFUNCTION(" GOOGLETRANSLATE(A67, ""en"", ""am"")"),"66")</f>
        <v>66</v>
      </c>
      <c r="H67" s="5" t="str">
        <f>IFERROR(__xludf.DUMMYFUNCTION(" GOOGLETRANSLATE(B67, ""en"", ""am"")"),"ለፈረስ እሽቅድምድም ዓለም አቀፍ ህጎችን በማውጣት ረገድ ሚና የተጫወተው የትኛው ታዋቂ ታሪካዊ ሰው ነው?")</f>
        <v>ለፈረስ እሽቅድምድም ዓለም አቀፍ ህጎችን በማውጣት ረገድ ሚና የተጫወተው የትኛው ታዋቂ ታሪካዊ ሰው ነው?</v>
      </c>
      <c r="I67" s="5" t="str">
        <f>IFERROR(__xludf.DUMMYFUNCTION(" GOOGLETRANSLATE(C67, ""en"", ""am"")"),"ሀ. ሃይለስላሴ ቢ. ኔልሰን ማንዴላ ሲ.ማተማ ጋንዲ ዲ. ሃይለስላሴ")</f>
        <v>ሀ. ሃይለስላሴ ቢ. ኔልሰን ማንዴላ ሲ.ማተማ ጋንዲ ዲ. ሃይለስላሴ</v>
      </c>
      <c r="J67" s="5" t="str">
        <f>IFERROR(__xludf.DUMMYFUNCTION(" GOOGLETRANSLATE(D67, ""en"", ""am"")"),"የፈረስ እሽቅድምድም አለም አቀፍ ህጎችን በማውጣት ሀይለስላሴ ትልቅ ሚና ተጫውተዋል።")</f>
        <v>የፈረስ እሽቅድምድም አለም አቀፍ ህጎችን በማውጣት ሀይለስላሴ ትልቅ ሚና ተጫውተዋል።</v>
      </c>
      <c r="K67" s="5" t="str">
        <f>IFERROR(__xludf.DUMMYFUNCTION(" GOOGLETRANSLATE(E67, ""en"", ""am"")"),"የፈረስ እሽቅድምድም አለም አቀፍ ህጎችን በማውጣት ሀይለስላሴ ትልቅ ሚና ተጫውተዋል።")</f>
        <v>የፈረስ እሽቅድምድም አለም አቀፍ ህጎችን በማውጣት ሀይለስላሴ ትልቅ ሚና ተጫውተዋል።</v>
      </c>
    </row>
    <row r="68" ht="22.5" customHeight="1">
      <c r="A68" s="3">
        <v>67.0</v>
      </c>
      <c r="B68" s="4" t="s">
        <v>674</v>
      </c>
      <c r="C68" s="4" t="s">
        <v>675</v>
      </c>
      <c r="D68" s="4" t="s">
        <v>676</v>
      </c>
      <c r="E68" s="4" t="s">
        <v>676</v>
      </c>
      <c r="G68" s="5" t="str">
        <f>IFERROR(__xludf.DUMMYFUNCTION(" GOOGLETRANSLATE(A68, ""en"", ""am"")"),"67")</f>
        <v>67</v>
      </c>
      <c r="H68" s="5" t="str">
        <f>IFERROR(__xludf.DUMMYFUNCTION(" GOOGLETRANSLATE(B68, ""en"", ""am"")"),"የመጀመሪያው የሴቶች የፈረሰኞች ውድድር መቼ ተካሄደ?")</f>
        <v>የመጀመሪያው የሴቶች የፈረሰኞች ውድድር መቼ ተካሄደ?</v>
      </c>
      <c r="I68" s="5" t="str">
        <f>IFERROR(__xludf.DUMMYFUNCTION(" GOOGLETRANSLATE(C68, ""en"", ""am"")"),"ኣብ 1975 ብ 1985 ዓ.ም. 1995 ድ.1960 ዓ.ም.")</f>
        <v>ኣብ 1975 ብ 1985 ዓ.ም. 1995 ድ.1960 ዓ.ም.</v>
      </c>
      <c r="J68" s="5" t="str">
        <f>IFERROR(__xludf.DUMMYFUNCTION(" GOOGLETRANSLATE(D68, ""en"", ""am"")"),"በ1960 ዓ.ም")</f>
        <v>በ1960 ዓ.ም</v>
      </c>
      <c r="K68" s="5" t="str">
        <f>IFERROR(__xludf.DUMMYFUNCTION(" GOOGLETRANSLATE(E68, ""en"", ""am"")"),"በ1960 ዓ.ም")</f>
        <v>በ1960 ዓ.ም</v>
      </c>
    </row>
    <row r="69" ht="22.5" customHeight="1">
      <c r="A69" s="3">
        <v>68.0</v>
      </c>
      <c r="B69" s="4" t="s">
        <v>677</v>
      </c>
      <c r="C69" s="4" t="s">
        <v>678</v>
      </c>
      <c r="D69" s="4" t="s">
        <v>679</v>
      </c>
      <c r="E69" s="4" t="s">
        <v>679</v>
      </c>
      <c r="G69" s="5" t="str">
        <f>IFERROR(__xludf.DUMMYFUNCTION(" GOOGLETRANSLATE(A69, ""en"", ""am"")"),"68")</f>
        <v>68</v>
      </c>
      <c r="H69" s="5" t="str">
        <f>IFERROR(__xludf.DUMMYFUNCTION(" GOOGLETRANSLATE(B69, ""en"", ""am"")"),"የ1980ዎቹ የፈረስ ውድድር አስፈላጊነት ምን ነበር?")</f>
        <v>የ1980ዎቹ የፈረስ ውድድር አስፈላጊነት ምን ነበር?</v>
      </c>
      <c r="I69" s="5" t="str">
        <f>IFERROR(__xludf.DUMMYFUNCTION(" GOOGLETRANSLATE(C69, ""en"", ""am"")"),"ሀ. የአለም ፌዴሬሽን ምስረታ ለ. የመጀመሪያው የቴሌቭዥን ውድድር ሐ. ፕሮፌሽናል ሊጎች ተቋቋሙ። መ ዓለም አቀፍ መስፋፋት")</f>
        <v>ሀ. የአለም ፌዴሬሽን ምስረታ ለ. የመጀመሪያው የቴሌቭዥን ውድድር ሐ. ፕሮፌሽናል ሊጎች ተቋቋሙ። መ ዓለም አቀፍ መስፋፋት</v>
      </c>
      <c r="J69" s="5" t="str">
        <f>IFERROR(__xludf.DUMMYFUNCTION(" GOOGLETRANSLATE(D69, ""en"", ""am"")"),"እ.ኤ.አ. በ 1980 ዎቹ የዓለም የፈረስ እሽቅድምድም ፌዴሬሽን ተመስርቷል ።")</f>
        <v>እ.ኤ.አ. በ 1980 ዎቹ የዓለም የፈረስ እሽቅድምድም ፌዴሬሽን ተመስርቷል ።</v>
      </c>
      <c r="K69" s="5" t="str">
        <f>IFERROR(__xludf.DUMMYFUNCTION(" GOOGLETRANSLATE(E69, ""en"", ""am"")"),"እ.ኤ.አ. በ 1980 ዎቹ የዓለም የፈረስ እሽቅድምድም ፌዴሬሽን ተመስርቷል ።")</f>
        <v>እ.ኤ.አ. በ 1980 ዎቹ የዓለም የፈረስ እሽቅድምድም ፌዴሬሽን ተመስርቷል ።</v>
      </c>
    </row>
    <row r="70" ht="22.5" customHeight="1">
      <c r="A70" s="3">
        <v>69.0</v>
      </c>
      <c r="B70" s="4" t="s">
        <v>680</v>
      </c>
      <c r="C70" s="4" t="s">
        <v>681</v>
      </c>
      <c r="D70" s="4" t="s">
        <v>682</v>
      </c>
      <c r="E70" s="4" t="s">
        <v>682</v>
      </c>
      <c r="G70" s="5" t="str">
        <f>IFERROR(__xludf.DUMMYFUNCTION(" GOOGLETRANSLATE(A70, ""en"", ""am"")"),"69")</f>
        <v>69</v>
      </c>
      <c r="H70" s="5" t="str">
        <f>IFERROR(__xludf.DUMMYFUNCTION(" GOOGLETRANSLATE(B70, ""en"", ""am"")"),"ከአፍሪካ ውጪ ያለች ሀገር የመጀመርያው አለም አቀፍ ዋንጫ ምን ነበር?")</f>
        <v>ከአፍሪካ ውጪ ያለች ሀገር የመጀመርያው አለም አቀፍ ዋንጫ ምን ነበር?</v>
      </c>
      <c r="I70" s="5" t="str">
        <f>IFERROR(__xludf.DUMMYFUNCTION(" GOOGLETRANSLATE(C70, ""en"", ""am"")"),"ኣብ ሱዳን ብ ኢትዮጵያ ሲ.ኬንያ ዲ.ኬንያ")</f>
        <v>ኣብ ሱዳን ብ ኢትዮጵያ ሲ.ኬንያ ዲ.ኬንያ</v>
      </c>
      <c r="J70" s="5" t="str">
        <f>IFERROR(__xludf.DUMMYFUNCTION(" GOOGLETRANSLATE(D70, ""en"", ""am"")"),"ኬንያ እ.ኤ.አ. በ 1980 የመጀመሪያውን ዓለም አቀፍ ሻምፒዮና አሸንፋለች ፣ ይህም በዓለም አቀፍ መድረክ መገኘቱን ያሳያል ።")</f>
        <v>ኬንያ እ.ኤ.አ. በ 1980 የመጀመሪያውን ዓለም አቀፍ ሻምፒዮና አሸንፋለች ፣ ይህም በዓለም አቀፍ መድረክ መገኘቱን ያሳያል ።</v>
      </c>
      <c r="K70" s="5" t="str">
        <f>IFERROR(__xludf.DUMMYFUNCTION(" GOOGLETRANSLATE(E70, ""en"", ""am"")"),"ኬንያ እ.ኤ.አ. በ 1980 የመጀመሪያውን ዓለም አቀፍ ሻምፒዮና አሸንፋለች ፣ ይህም በዓለም አቀፍ መድረክ መገኘቱን ያሳያል ።")</f>
        <v>ኬንያ እ.ኤ.አ. በ 1980 የመጀመሪያውን ዓለም አቀፍ ሻምፒዮና አሸንፋለች ፣ ይህም በዓለም አቀፍ መድረክ መገኘቱን ያሳያል ።</v>
      </c>
    </row>
    <row r="71" ht="22.5" customHeight="1">
      <c r="A71" s="3">
        <v>70.0</v>
      </c>
      <c r="B71" s="4" t="s">
        <v>683</v>
      </c>
      <c r="C71" s="4" t="s">
        <v>684</v>
      </c>
      <c r="D71" s="4" t="s">
        <v>685</v>
      </c>
      <c r="E71" s="4" t="s">
        <v>685</v>
      </c>
      <c r="G71" s="5" t="str">
        <f>IFERROR(__xludf.DUMMYFUNCTION(" GOOGLETRANSLATE(A71, ""en"", ""am"")"),"70")</f>
        <v>70</v>
      </c>
      <c r="H71" s="5" t="str">
        <f>IFERROR(__xludf.DUMMYFUNCTION(" GOOGLETRANSLATE(B71, ""en"", ""am"")"),"ከስንት አመት በፊት የፈረስ እሽቅድምድም ለመጀመሪያ ጊዜ በቴሌቪዥን ታይቷል?")</f>
        <v>ከስንት አመት በፊት የፈረስ እሽቅድምድም ለመጀመሪያ ጊዜ በቴሌቪዥን ታይቷል?</v>
      </c>
      <c r="I71" s="5" t="str">
        <f>IFERROR(__xludf.DUMMYFUNCTION(" GOOGLETRANSLATE(C71, ""en"", ""am"")"),"ኣብ 1970 ብ1980 ዓ.ም.1990 ድ.1931 ዓ.ም.")</f>
        <v>ኣብ 1970 ብ1980 ዓ.ም.1990 ድ.1931 ዓ.ም.</v>
      </c>
      <c r="J71" s="5" t="str">
        <f>IFERROR(__xludf.DUMMYFUNCTION(" GOOGLETRANSLATE(D71, ""en"", ""am"")"),"በ1931 ዓ.ም")</f>
        <v>በ1931 ዓ.ም</v>
      </c>
      <c r="K71" s="5" t="str">
        <f>IFERROR(__xludf.DUMMYFUNCTION(" GOOGLETRANSLATE(E71, ""en"", ""am"")"),"በ1931 ዓ.ም")</f>
        <v>በ1931 ዓ.ም</v>
      </c>
    </row>
    <row r="72" ht="22.5" customHeight="1">
      <c r="A72" s="3">
        <v>71.0</v>
      </c>
      <c r="B72" s="4" t="s">
        <v>686</v>
      </c>
      <c r="C72" s="4" t="s">
        <v>687</v>
      </c>
      <c r="D72" s="4" t="s">
        <v>688</v>
      </c>
      <c r="E72" s="4" t="s">
        <v>688</v>
      </c>
      <c r="G72" s="5" t="str">
        <f>IFERROR(__xludf.DUMMYFUNCTION(" GOOGLETRANSLATE(A72, ""en"", ""am"")"),"71")</f>
        <v>71</v>
      </c>
      <c r="H72" s="5" t="str">
        <f>IFERROR(__xludf.DUMMYFUNCTION(" GOOGLETRANSLATE(B72, ""en"", ""am"")"),"የፈረስ እሽቅድምድም እንደ ስፖርት በይፋ እውቅና የሰጠው የትኛው አህጉር ነው?")</f>
        <v>የፈረስ እሽቅድምድም እንደ ስፖርት በይፋ እውቅና የሰጠው የትኛው አህጉር ነው?</v>
      </c>
      <c r="I72" s="5" t="str">
        <f>IFERROR(__xludf.DUMMYFUNCTION(" GOOGLETRANSLATE(C72, ""en"", ""am"")"),"ኤ እስያ ቢ ኤውሮጳ ሲ ሰሜን አሜሪካ ዲ አፍሪካ")</f>
        <v>ኤ እስያ ቢ ኤውሮጳ ሲ ሰሜን አሜሪካ ዲ አፍሪካ</v>
      </c>
      <c r="J72" s="5" t="str">
        <f>IFERROR(__xludf.DUMMYFUNCTION(" GOOGLETRANSLATE(D72, ""en"", ""am"")"),"የፈረስ እሽቅድምድም በአፍሪካ ይፋዊ ስፖርት ሆኖ ለመጀመሪያ ጊዜ እውቅና አግኝቷል።")</f>
        <v>የፈረስ እሽቅድምድም በአፍሪካ ይፋዊ ስፖርት ሆኖ ለመጀመሪያ ጊዜ እውቅና አግኝቷል።</v>
      </c>
      <c r="K72" s="5" t="str">
        <f>IFERROR(__xludf.DUMMYFUNCTION(" GOOGLETRANSLATE(E72, ""en"", ""am"")"),"የፈረስ እሽቅድምድም በአፍሪካ ይፋዊ ስፖርት ሆኖ ለመጀመሪያ ጊዜ እውቅና አግኝቷል።")</f>
        <v>የፈረስ እሽቅድምድም በአፍሪካ ይፋዊ ስፖርት ሆኖ ለመጀመሪያ ጊዜ እውቅና አግኝቷል።</v>
      </c>
    </row>
    <row r="73" ht="22.5" customHeight="1">
      <c r="A73" s="3">
        <v>72.0</v>
      </c>
      <c r="B73" s="4" t="s">
        <v>689</v>
      </c>
      <c r="C73" s="4" t="s">
        <v>690</v>
      </c>
      <c r="D73" s="4" t="s">
        <v>691</v>
      </c>
      <c r="E73" s="4" t="s">
        <v>691</v>
      </c>
      <c r="G73" s="5" t="str">
        <f>IFERROR(__xludf.DUMMYFUNCTION(" GOOGLETRANSLATE(A73, ""en"", ""am"")"),"72")</f>
        <v>72</v>
      </c>
      <c r="H73" s="5" t="str">
        <f>IFERROR(__xludf.DUMMYFUNCTION(" GOOGLETRANSLATE(B73, ""en"", ""am"")"),"የፈረስ እሽቅድምድም ስፖርት የመጀመሪያውን ዓለም አቀፍ መስፋፋት በየትኛው አስርት ዓመታት ውስጥ አጋጥሞታል?")</f>
        <v>የፈረስ እሽቅድምድም ስፖርት የመጀመሪያውን ዓለም አቀፍ መስፋፋት በየትኛው አስርት ዓመታት ውስጥ አጋጥሞታል?</v>
      </c>
      <c r="I73" s="5" t="str">
        <f>IFERROR(__xludf.DUMMYFUNCTION(" GOOGLETRANSLATE(C73, ""en"", ""am"")"),"ኣብ 1940ታት ብ1950ታት 1960ታት ዲ.")</f>
        <v>ኣብ 1940ታት ብ1950ታት 1960ታት ዲ.</v>
      </c>
      <c r="J73" s="5" t="str">
        <f>IFERROR(__xludf.DUMMYFUNCTION(" GOOGLETRANSLATE(D73, ""en"", ""am"")"),"የፈረስ እሽቅድምድም ስፖርት በ 1950 ዎቹ ውስጥ ትልቅ ዓለም አቀፍ መስፋፋት አጋጥሞታል።")</f>
        <v>የፈረስ እሽቅድምድም ስፖርት በ 1950 ዎቹ ውስጥ ትልቅ ዓለም አቀፍ መስፋፋት አጋጥሞታል።</v>
      </c>
      <c r="K73" s="5" t="str">
        <f>IFERROR(__xludf.DUMMYFUNCTION(" GOOGLETRANSLATE(E73, ""en"", ""am"")"),"የፈረስ እሽቅድምድም ስፖርት በ 1950 ዎቹ ውስጥ ትልቅ ዓለም አቀፍ መስፋፋት አጋጥሞታል።")</f>
        <v>የፈረስ እሽቅድምድም ስፖርት በ 1950 ዎቹ ውስጥ ትልቅ ዓለም አቀፍ መስፋፋት አጋጥሞታል።</v>
      </c>
    </row>
    <row r="74" ht="22.5" customHeight="1">
      <c r="A74" s="3">
        <v>73.0</v>
      </c>
      <c r="B74" s="4" t="s">
        <v>692</v>
      </c>
      <c r="C74" s="4" t="s">
        <v>693</v>
      </c>
      <c r="D74" s="4" t="s">
        <v>694</v>
      </c>
      <c r="E74" s="4" t="s">
        <v>694</v>
      </c>
      <c r="G74" s="5" t="str">
        <f>IFERROR(__xludf.DUMMYFUNCTION(" GOOGLETRANSLATE(A74, ""en"", ""am"")"),"73")</f>
        <v>73</v>
      </c>
      <c r="H74" s="5" t="str">
        <f>IFERROR(__xludf.DUMMYFUNCTION(" GOOGLETRANSLATE(B74, ""en"", ""am"")"),"ከአፍሪካ ውጪ የፈረስ እሽቅድምድም ስፖርትን ለመጀመሪያ ጊዜ ያስተዋወቀው የትኛው ሀገር ነው?")</f>
        <v>ከአፍሪካ ውጪ የፈረስ እሽቅድምድም ስፖርትን ለመጀመሪያ ጊዜ ያስተዋወቀው የትኛው ሀገር ነው?</v>
      </c>
      <c r="I74" s="5" t="str">
        <f>IFERROR(__xludf.DUMMYFUNCTION(" GOOGLETRANSLATE(C74, ""en"", ""am"")"),"ሀ. ብራዚል ቢ. ፈረንሳይ ሲ. ህንድ ዲ. ፈረንሳይ")</f>
        <v>ሀ. ብራዚል ቢ. ፈረንሳይ ሲ. ህንድ ዲ. ፈረንሳይ</v>
      </c>
      <c r="J74" s="5" t="str">
        <f>IFERROR(__xludf.DUMMYFUNCTION(" GOOGLETRANSLATE(D74, ""en"", ""am"")"),"የፈረስ እሽቅድምድም ስፖርትን በይፋ የተቀበለች ከአፍሪካ ውጪ የመጀመሪያዋ ሀገር ፈረንሳይ ነበረች።")</f>
        <v>የፈረስ እሽቅድምድም ስፖርትን በይፋ የተቀበለች ከአፍሪካ ውጪ የመጀመሪያዋ ሀገር ፈረንሳይ ነበረች።</v>
      </c>
      <c r="K74" s="5" t="str">
        <f>IFERROR(__xludf.DUMMYFUNCTION(" GOOGLETRANSLATE(E74, ""en"", ""am"")"),"የፈረስ እሽቅድምድም ስፖርትን በይፋ የተቀበለች ከአፍሪካ ውጪ የመጀመሪያዋ ሀገር ፈረንሳይ ነበረች።")</f>
        <v>የፈረስ እሽቅድምድም ስፖርትን በይፋ የተቀበለች ከአፍሪካ ውጪ የመጀመሪያዋ ሀገር ፈረንሳይ ነበረች።</v>
      </c>
    </row>
    <row r="75" ht="22.5" customHeight="1">
      <c r="A75" s="3">
        <v>74.0</v>
      </c>
      <c r="B75" s="4" t="s">
        <v>695</v>
      </c>
      <c r="C75" s="4" t="s">
        <v>696</v>
      </c>
      <c r="D75" s="4" t="s">
        <v>697</v>
      </c>
      <c r="E75" s="4" t="s">
        <v>697</v>
      </c>
      <c r="G75" s="5" t="str">
        <f>IFERROR(__xludf.DUMMYFUNCTION(" GOOGLETRANSLATE(A75, ""en"", ""am"")"),"74")</f>
        <v>74</v>
      </c>
      <c r="H75" s="5" t="str">
        <f>IFERROR(__xludf.DUMMYFUNCTION(" GOOGLETRANSLATE(B75, ""en"", ""am"")"),"በፈረስ እሽቅድምድም የመጀመሪያው አፍሪካዊ ያልሆነ የዓለም ሻምፒዮን ማን ነበር?")</f>
        <v>በፈረስ እሽቅድምድም የመጀመሪያው አፍሪካዊ ያልሆነ የዓለም ሻምፒዮን ማን ነበር?</v>
      </c>
      <c r="I75" s="5" t="str">
        <f>IFERROR(__xludf.DUMMYFUNCTION(" GOOGLETRANSLATE(C75, ""en"", ""am"")"),"ኤ ፒየር ዱፖንት ቢ ሉዊስ ሪቬራ ሲ ጆን ስሚዝ ዲ ፒየር ዱፖንት")</f>
        <v>ኤ ፒየር ዱፖንት ቢ ሉዊስ ሪቬራ ሲ ጆን ስሚዝ ዲ ፒየር ዱፖንት</v>
      </c>
      <c r="J75" s="5" t="str">
        <f>IFERROR(__xludf.DUMMYFUNCTION(" GOOGLETRANSLATE(D75, ""en"", ""am"")"),"ፒየር ዱፖንት በ1960 ያሸነፈው የመጀመሪያው አፍሪካዊ ያልሆነ የዓለም ሻምፒዮን ነበር።")</f>
        <v>ፒየር ዱፖንት በ1960 ያሸነፈው የመጀመሪያው አፍሪካዊ ያልሆነ የዓለም ሻምፒዮን ነበር።</v>
      </c>
      <c r="K75" s="5" t="str">
        <f>IFERROR(__xludf.DUMMYFUNCTION(" GOOGLETRANSLATE(E75, ""en"", ""am"")"),"ፒየር ዱፖንት በ1960 ያሸነፈው የመጀመሪያው አፍሪካዊ ያልሆነ የዓለም ሻምፒዮን ነበር።")</f>
        <v>ፒየር ዱፖንት በ1960 ያሸነፈው የመጀመሪያው አፍሪካዊ ያልሆነ የዓለም ሻምፒዮን ነበር።</v>
      </c>
    </row>
    <row r="76" ht="22.5" customHeight="1">
      <c r="A76" s="3">
        <v>75.0</v>
      </c>
      <c r="B76" s="4" t="s">
        <v>698</v>
      </c>
      <c r="C76" s="4" t="s">
        <v>699</v>
      </c>
      <c r="D76" s="4" t="s">
        <v>700</v>
      </c>
      <c r="E76" s="4" t="s">
        <v>700</v>
      </c>
      <c r="G76" s="5" t="str">
        <f>IFERROR(__xludf.DUMMYFUNCTION(" GOOGLETRANSLATE(A76, ""en"", ""am"")"),"75")</f>
        <v>75</v>
      </c>
      <c r="H76" s="5" t="str">
        <f>IFERROR(__xludf.DUMMYFUNCTION(" GOOGLETRANSLATE(B76, ""en"", ""am"")"),"በ1950 ምን ጉልህ ለውጥ ተደረገ?")</f>
        <v>በ1950 ምን ጉልህ ለውጥ ተደረገ?</v>
      </c>
      <c r="I76" s="5" t="str">
        <f>IFERROR(__xludf.DUMMYFUNCTION(" GOOGLETRANSLATE(C76, ""en"", ""am"")"),"ሀ. በጊዜ የተያዙ ግጥሚያዎች መግቢያ ለ. የቡድን ጨዋታ ምስረታ ሐ. የሴቶች ውድድር መግቢያ መ. የሁለት ነጥብ ስርዓት መግቢያ")</f>
        <v>ሀ. በጊዜ የተያዙ ግጥሚያዎች መግቢያ ለ. የቡድን ጨዋታ ምስረታ ሐ. የሴቶች ውድድር መግቢያ መ. የሁለት ነጥብ ስርዓት መግቢያ</v>
      </c>
      <c r="J76" s="5" t="str">
        <f>IFERROR(__xludf.DUMMYFUNCTION(" GOOGLETRANSLATE(D76, ""en"", ""am"")"),"በ1950 የሁለት ነጥብ ነጥብ አሰጣጥ ስርዓት መጀመሩ ቁልፍ ለውጥ ነበር።")</f>
        <v>በ1950 የሁለት ነጥብ ነጥብ አሰጣጥ ስርዓት መጀመሩ ቁልፍ ለውጥ ነበር።</v>
      </c>
      <c r="K76" s="5" t="str">
        <f>IFERROR(__xludf.DUMMYFUNCTION(" GOOGLETRANSLATE(E76, ""en"", ""am"")"),"በ1950 የሁለት ነጥብ ነጥብ አሰጣጥ ስርዓት መጀመሩ ቁልፍ ለውጥ ነበር።")</f>
        <v>በ1950 የሁለት ነጥብ ነጥብ አሰጣጥ ስርዓት መጀመሩ ቁልፍ ለውጥ ነበር።</v>
      </c>
    </row>
    <row r="77" ht="22.5" customHeight="1">
      <c r="A77" s="3">
        <v>76.0</v>
      </c>
      <c r="B77" s="4" t="s">
        <v>701</v>
      </c>
      <c r="C77" s="4" t="s">
        <v>702</v>
      </c>
      <c r="D77" s="4" t="s">
        <v>703</v>
      </c>
      <c r="E77" s="4" t="s">
        <v>703</v>
      </c>
      <c r="G77" s="5" t="str">
        <f>IFERROR(__xludf.DUMMYFUNCTION(" GOOGLETRANSLATE(A77, ""en"", ""am"")"),"76")</f>
        <v>76</v>
      </c>
      <c r="H77" s="5" t="str">
        <f>IFERROR(__xludf.DUMMYFUNCTION(" GOOGLETRANSLATE(B77, ""en"", ""am"")"),"በዓለም አቀፍ ደረጃ የፈረስ እሽቅድምድም ስፖርት ያሳየው የመጀመሪያው ታሪካዊ ክስተት ምን ነበር?")</f>
        <v>በዓለም አቀፍ ደረጃ የፈረስ እሽቅድምድም ስፖርት ያሳየው የመጀመሪያው ታሪካዊ ክስተት ምን ነበር?</v>
      </c>
      <c r="I77" s="5" t="str">
        <f>IFERROR(__xludf.DUMMYFUNCTION(" GOOGLETRANSLATE(C77, ""en"", ""am"")"),"ሀ. የፓን አፍሪካ ጨዋታዎች ለ. የኮመንዌልዝ ጨዋታዎች ሐ. የአፍሪካ ዋንጫ ዲ. የፓን አፍሪካ ጨዋታዎች")</f>
        <v>ሀ. የፓን አፍሪካ ጨዋታዎች ለ. የኮመንዌልዝ ጨዋታዎች ሐ. የአፍሪካ ዋንጫ ዲ. የፓን አፍሪካ ጨዋታዎች</v>
      </c>
      <c r="J77" s="5" t="str">
        <f>IFERROR(__xludf.DUMMYFUNCTION(" GOOGLETRANSLATE(D77, ""en"", ""am"")"),"የፈረስ እሽቅድምድም ለመጀመሪያ ጊዜ የታየው በፓን አፍሪካ ጨዋታዎች በ1960ዎቹ ነው።")</f>
        <v>የፈረስ እሽቅድምድም ለመጀመሪያ ጊዜ የታየው በፓን አፍሪካ ጨዋታዎች በ1960ዎቹ ነው።</v>
      </c>
      <c r="K77" s="5" t="str">
        <f>IFERROR(__xludf.DUMMYFUNCTION(" GOOGLETRANSLATE(E77, ""en"", ""am"")"),"የፈረስ እሽቅድምድም ለመጀመሪያ ጊዜ የታየው በፓን አፍሪካ ጨዋታዎች በ1960ዎቹ ነው።")</f>
        <v>የፈረስ እሽቅድምድም ለመጀመሪያ ጊዜ የታየው በፓን አፍሪካ ጨዋታዎች በ1960ዎቹ ነው።</v>
      </c>
    </row>
    <row r="78" ht="22.5" customHeight="1">
      <c r="A78" s="3">
        <v>77.0</v>
      </c>
      <c r="B78" s="4" t="s">
        <v>704</v>
      </c>
      <c r="C78" s="4" t="s">
        <v>705</v>
      </c>
      <c r="D78" s="4" t="s">
        <v>706</v>
      </c>
      <c r="E78" s="4" t="s">
        <v>706</v>
      </c>
      <c r="G78" s="5" t="str">
        <f>IFERROR(__xludf.DUMMYFUNCTION(" GOOGLETRANSLATE(A78, ""en"", ""am"")"),"77")</f>
        <v>77</v>
      </c>
      <c r="H78" s="5" t="str">
        <f>IFERROR(__xludf.DUMMYFUNCTION(" GOOGLETRANSLATE(B78, ""en"", ""am"")"),"በ1960 የመጀመሪያውን ይፋዊ የአለም ሻምፒዮና ያስተናገደው ሀገር የትኛው ነው?")</f>
        <v>በ1960 የመጀመሪያውን ይፋዊ የአለም ሻምፒዮና ያስተናገደው ሀገር የትኛው ነው?</v>
      </c>
      <c r="I78" s="5" t="str">
        <f>IFERROR(__xludf.DUMMYFUNCTION(" GOOGLETRANSLATE(C78, ""en"", ""am"")"),"ኣብ ሱዳን ብ ኢትዮጵያ ሲ.አልጄሪያ ዲ.ሱዳን")</f>
        <v>ኣብ ሱዳን ብ ኢትዮጵያ ሲ.አልጄሪያ ዲ.ሱዳን</v>
      </c>
      <c r="J78" s="5" t="str">
        <f>IFERROR(__xludf.DUMMYFUNCTION(" GOOGLETRANSLATE(D78, ""en"", ""am"")"),"የመጀመሪያው ይፋዊ የአለም ሻምፒዮና በሱዳን በ1960 ተካሂዷል።")</f>
        <v>የመጀመሪያው ይፋዊ የአለም ሻምፒዮና በሱዳን በ1960 ተካሂዷል።</v>
      </c>
      <c r="K78" s="5" t="str">
        <f>IFERROR(__xludf.DUMMYFUNCTION(" GOOGLETRANSLATE(E78, ""en"", ""am"")"),"የመጀመሪያው ይፋዊ የአለም ሻምፒዮና በሱዳን በ1960 ተካሂዷል።")</f>
        <v>የመጀመሪያው ይፋዊ የአለም ሻምፒዮና በሱዳን በ1960 ተካሂዷል።</v>
      </c>
    </row>
    <row r="79" ht="22.5" customHeight="1">
      <c r="A79" s="3">
        <v>78.0</v>
      </c>
      <c r="B79" s="4" t="s">
        <v>707</v>
      </c>
      <c r="C79" s="4" t="s">
        <v>708</v>
      </c>
      <c r="D79" s="4" t="s">
        <v>709</v>
      </c>
      <c r="E79" s="4" t="s">
        <v>709</v>
      </c>
      <c r="G79" s="5" t="str">
        <f>IFERROR(__xludf.DUMMYFUNCTION(" GOOGLETRANSLATE(A79, ""en"", ""am"")"),"78")</f>
        <v>78</v>
      </c>
      <c r="H79" s="5" t="str">
        <f>IFERROR(__xludf.DUMMYFUNCTION(" GOOGLETRANSLATE(B79, ""en"", ""am"")"),"ለፈረስ ውድድር የመጀመሪያው የወጣቶች ሊግ መቼ ተፈጠረ?")</f>
        <v>ለፈረስ ውድድር የመጀመሪያው የወጣቶች ሊግ መቼ ተፈጠረ?</v>
      </c>
      <c r="I79" s="5" t="str">
        <f>IFERROR(__xludf.DUMMYFUNCTION(" GOOGLETRANSLATE(C79, ""en"", ""am"")"),"ኣብ 1945 ብ 1955 ዓ.ም. 1929 ድ.1929 ዓ.ም.")</f>
        <v>ኣብ 1945 ብ 1955 ዓ.ም. 1929 ድ.1929 ዓ.ም.</v>
      </c>
      <c r="J79" s="5" t="str">
        <f>IFERROR(__xludf.DUMMYFUNCTION(" GOOGLETRANSLATE(D79, ""en"", ""am"")"),"በ1929 ዓ.ም")</f>
        <v>በ1929 ዓ.ም</v>
      </c>
      <c r="K79" s="5" t="str">
        <f>IFERROR(__xludf.DUMMYFUNCTION(" GOOGLETRANSLATE(E79, ""en"", ""am"")"),"በ1929 ዓ.ም")</f>
        <v>በ1929 ዓ.ም</v>
      </c>
    </row>
    <row r="80" ht="22.5" customHeight="1">
      <c r="A80" s="3">
        <v>79.0</v>
      </c>
      <c r="B80" s="4" t="s">
        <v>710</v>
      </c>
      <c r="C80" s="4" t="s">
        <v>711</v>
      </c>
      <c r="D80" s="4" t="s">
        <v>712</v>
      </c>
      <c r="E80" s="4" t="s">
        <v>712</v>
      </c>
      <c r="G80" s="5" t="str">
        <f>IFERROR(__xludf.DUMMYFUNCTION(" GOOGLETRANSLATE(A80, ""en"", ""am"")"),"79")</f>
        <v>79</v>
      </c>
      <c r="H80" s="5" t="str">
        <f>IFERROR(__xludf.DUMMYFUNCTION(" GOOGLETRANSLATE(B80, ""en"", ""am"")"),"የፈረስ እሽቅድምድም የአለም አትሌቲክስ ፌዴሬሽን አካል የሆነው በየትኛው አመት ነው?")</f>
        <v>የፈረስ እሽቅድምድም የአለም አትሌቲክስ ፌዴሬሽን አካል የሆነው በየትኛው አመት ነው?</v>
      </c>
      <c r="I80" s="5" t="str">
        <f>IFERROR(__xludf.DUMMYFUNCTION(" GOOGLETRANSLATE(C80, ""en"", ""am"")"),"ኣብ 1960 ብ1970 ዓ.ም.1921 ድ.1921 ዓ.ም.")</f>
        <v>ኣብ 1960 ብ1970 ዓ.ም.1921 ድ.1921 ዓ.ም.</v>
      </c>
      <c r="J80" s="5" t="str">
        <f>IFERROR(__xludf.DUMMYFUNCTION(" GOOGLETRANSLATE(D80, ""en"", ""am"")"),"በ1921 ዓ.ም")</f>
        <v>በ1921 ዓ.ም</v>
      </c>
      <c r="K80" s="5" t="str">
        <f>IFERROR(__xludf.DUMMYFUNCTION(" GOOGLETRANSLATE(E80, ""en"", ""am"")"),"በ1921 ዓ.ም")</f>
        <v>በ1921 ዓ.ም</v>
      </c>
    </row>
    <row r="81" ht="22.5" customHeight="1">
      <c r="A81" s="3">
        <v>80.0</v>
      </c>
      <c r="B81" s="4" t="s">
        <v>713</v>
      </c>
      <c r="C81" s="4" t="s">
        <v>714</v>
      </c>
      <c r="D81" s="4" t="s">
        <v>715</v>
      </c>
      <c r="E81" s="4" t="s">
        <v>715</v>
      </c>
      <c r="G81" s="5" t="str">
        <f>IFERROR(__xludf.DUMMYFUNCTION(" GOOGLETRANSLATE(A81, ""en"", ""am"")"),"80")</f>
        <v>80</v>
      </c>
      <c r="H81" s="5" t="str">
        <f>IFERROR(__xludf.DUMMYFUNCTION(" GOOGLETRANSLATE(B81, ""en"", ""am"")"),"እ.ኤ.አ. በ1970ዎቹ ስፖርቱን ተወዳጅ ያደረገው የትኛው ታሪካዊ ሰው ነው?")</f>
        <v>እ.ኤ.አ. በ1970ዎቹ ስፖርቱን ተወዳጅ ያደረገው የትኛው ታሪካዊ ሰው ነው?</v>
      </c>
      <c r="I81" s="5" t="str">
        <f>IFERROR(__xludf.DUMMYFUNCTION(" GOOGLETRANSLATE(C81, ""en"", ""am"")"),"ሀ/ ኃይለሥላሴ ብ. ክዋሜ ንክሩማህ ሲ.ጆሞ ኬንያታ ዲ. ኃይለ ሥላሴ")</f>
        <v>ሀ/ ኃይለሥላሴ ብ. ክዋሜ ንክሩማህ ሲ.ጆሞ ኬንያታ ዲ. ኃይለ ሥላሴ</v>
      </c>
      <c r="J81" s="5" t="str">
        <f>IFERROR(__xludf.DUMMYFUNCTION(" GOOGLETRANSLATE(D81, ""en"", ""am"")"),"በ1970ዎቹ የፈረስ እሽቅድምድም ስፖርትን በአለም አቀፍ ደረጃ በማስተዋወቅ ሀይለስላሴ ትልቅ ሚና ተጫውቷል።")</f>
        <v>በ1970ዎቹ የፈረስ እሽቅድምድም ስፖርትን በአለም አቀፍ ደረጃ በማስተዋወቅ ሀይለስላሴ ትልቅ ሚና ተጫውቷል።</v>
      </c>
      <c r="K81" s="5" t="str">
        <f>IFERROR(__xludf.DUMMYFUNCTION(" GOOGLETRANSLATE(E81, ""en"", ""am"")"),"በ1970ዎቹ የፈረስ እሽቅድምድም ስፖርትን በአለም አቀፍ ደረጃ በማስተዋወቅ ሀይለስላሴ ትልቅ ሚና ተጫውቷል።")</f>
        <v>በ1970ዎቹ የፈረስ እሽቅድምድም ስፖርትን በአለም አቀፍ ደረጃ በማስተዋወቅ ሀይለስላሴ ትልቅ ሚና ተጫውቷል።</v>
      </c>
    </row>
    <row r="82" ht="22.5" customHeight="1">
      <c r="A82" s="3">
        <v>81.0</v>
      </c>
      <c r="B82" s="4" t="s">
        <v>716</v>
      </c>
      <c r="C82" s="4" t="s">
        <v>717</v>
      </c>
      <c r="D82" s="4" t="s">
        <v>718</v>
      </c>
      <c r="E82" s="4" t="s">
        <v>718</v>
      </c>
      <c r="G82" s="5" t="str">
        <f>IFERROR(__xludf.DUMMYFUNCTION(" GOOGLETRANSLATE(A82, ""en"", ""am"")"),"81")</f>
        <v>81</v>
      </c>
      <c r="H82" s="5" t="str">
        <f>IFERROR(__xludf.DUMMYFUNCTION(" GOOGLETRANSLATE(B82, ""en"", ""am"")"),"የፈረስ እሽቅድምድም ስፖርት ማህበር ሲመሰረት ዋና አላማው ምን ነበር?")</f>
        <v>የፈረስ እሽቅድምድም ስፖርት ማህበር ሲመሰረት ዋና አላማው ምን ነበር?</v>
      </c>
      <c r="I82" s="5" t="str">
        <f>IFERROR(__xludf.DUMMYFUNCTION(" GOOGLETRANSLATE(C82, ""en"", ""am"")"),"ሀ. የባህል ጥበቃ ለ.የፖለቲካ አንድነት ሐ.የኢኮኖሚ እድገት መ. የባህል ጥበቃ")</f>
        <v>ሀ. የባህል ጥበቃ ለ.የፖለቲካ አንድነት ሐ.የኢኮኖሚ እድገት መ. የባህል ጥበቃ</v>
      </c>
      <c r="J82" s="5" t="str">
        <f>IFERROR(__xludf.DUMMYFUNCTION(" GOOGLETRANSLATE(D82, ""en"", ""am"")"),"ዋናው አላማ የባህል ጥበቃ እና የተለያዩ ማህበረሰቦችን በስፖርት አንድ ማድረግ ነበር።")</f>
        <v>ዋናው አላማ የባህል ጥበቃ እና የተለያዩ ማህበረሰቦችን በስፖርት አንድ ማድረግ ነበር።</v>
      </c>
      <c r="K82" s="5" t="str">
        <f>IFERROR(__xludf.DUMMYFUNCTION(" GOOGLETRANSLATE(E82, ""en"", ""am"")"),"ዋናው አላማ የባህል ጥበቃ እና የተለያዩ ማህበረሰቦችን በስፖርት አንድ ማድረግ ነበር።")</f>
        <v>ዋናው አላማ የባህል ጥበቃ እና የተለያዩ ማህበረሰቦችን በስፖርት አንድ ማድረግ ነበር።</v>
      </c>
    </row>
    <row r="83" ht="22.5" customHeight="1">
      <c r="A83" s="3">
        <v>82.0</v>
      </c>
      <c r="B83" s="4" t="s">
        <v>719</v>
      </c>
      <c r="C83" s="4" t="s">
        <v>720</v>
      </c>
      <c r="D83" s="4" t="s">
        <v>721</v>
      </c>
      <c r="E83" s="4" t="s">
        <v>721</v>
      </c>
      <c r="G83" s="5" t="str">
        <f>IFERROR(__xludf.DUMMYFUNCTION(" GOOGLETRANSLATE(A83, ""en"", ""am"")"),"82")</f>
        <v>82</v>
      </c>
      <c r="H83" s="5" t="str">
        <f>IFERROR(__xludf.DUMMYFUNCTION(" GOOGLETRANSLATE(B83, ""en"", ""am"")"),"የፈረስ እሽቅድምድም የአለም ዋንጫን ያሸነፈው የትኛው ሀገር ነው?")</f>
        <v>የፈረስ እሽቅድምድም የአለም ዋንጫን ያሸነፈው የትኛው ሀገር ነው?</v>
      </c>
      <c r="I83" s="5" t="str">
        <f>IFERROR(__xludf.DUMMYFUNCTION(" GOOGLETRANSLATE(C83, ""en"", ""am"")"),"ኣብ ሱዳን ብ ኬንያ ሲ ግብጺ ዲ.ኢትዮጵያ")</f>
        <v>ኣብ ሱዳን ብ ኬንያ ሲ ግብጺ ዲ.ኢትዮጵያ</v>
      </c>
      <c r="J83" s="5" t="str">
        <f>IFERROR(__xludf.DUMMYFUNCTION(" GOOGLETRANSLATE(D83, ""en"", ""am"")"),"ኢትዮጵያ በ1965 የአለም የፈረሰኞች ሻምፒዮና አሸናፊ የመጀመሪያዋ ሀገር ነበረች።")</f>
        <v>ኢትዮጵያ በ1965 የአለም የፈረሰኞች ሻምፒዮና አሸናፊ የመጀመሪያዋ ሀገር ነበረች።</v>
      </c>
      <c r="K83" s="5" t="str">
        <f>IFERROR(__xludf.DUMMYFUNCTION(" GOOGLETRANSLATE(E83, ""en"", ""am"")"),"ኢትዮጵያ በ1965 የአለም የፈረሰኞች ሻምፒዮና አሸናፊ የመጀመሪያዋ ሀገር ነበረች።")</f>
        <v>ኢትዮጵያ በ1965 የአለም የፈረሰኞች ሻምፒዮና አሸናፊ የመጀመሪያዋ ሀገር ነበረች።</v>
      </c>
    </row>
    <row r="84" ht="22.5" customHeight="1">
      <c r="A84" s="3">
        <v>83.0</v>
      </c>
      <c r="B84" s="4" t="s">
        <v>722</v>
      </c>
      <c r="C84" s="4" t="s">
        <v>723</v>
      </c>
      <c r="D84" s="4" t="s">
        <v>724</v>
      </c>
      <c r="E84" s="4" t="s">
        <v>724</v>
      </c>
      <c r="G84" s="5" t="str">
        <f>IFERROR(__xludf.DUMMYFUNCTION(" GOOGLETRANSLATE(A84, ""en"", ""am"")"),"83")</f>
        <v>83</v>
      </c>
      <c r="H84" s="5" t="str">
        <f>IFERROR(__xludf.DUMMYFUNCTION(" GOOGLETRANSLATE(B84, ""en"", ""am"")"),"የመጀመሪያው የሴቶች የዓለም ሻምፒዮና የተካሄደው በየትኛው ዓመት ነበር?")</f>
        <v>የመጀመሪያው የሴቶች የዓለም ሻምፒዮና የተካሄደው በየትኛው ዓመት ነበር?</v>
      </c>
      <c r="I84" s="5" t="str">
        <f>IFERROR(__xludf.DUMMYFUNCTION(" GOOGLETRANSLATE(C84, ""en"", ""am"")"),"ኣብ 1980 ብ1990 ዓ.ም.2000 ድ.2000 ዓ.ም.")</f>
        <v>ኣብ 1980 ብ1990 ዓ.ም.2000 ድ.2000 ዓ.ም.</v>
      </c>
      <c r="J84" s="5" t="str">
        <f>IFERROR(__xludf.DUMMYFUNCTION(" GOOGLETRANSLATE(D84, ""en"", ""am"")"),"2000")</f>
        <v>2000</v>
      </c>
      <c r="K84" s="5" t="str">
        <f>IFERROR(__xludf.DUMMYFUNCTION(" GOOGLETRANSLATE(E84, ""en"", ""am"")"),"2000")</f>
        <v>2000</v>
      </c>
    </row>
    <row r="85" ht="22.5" customHeight="1">
      <c r="A85" s="3">
        <v>84.0</v>
      </c>
      <c r="B85" s="4" t="s">
        <v>725</v>
      </c>
      <c r="C85" s="4" t="s">
        <v>726</v>
      </c>
      <c r="D85" s="4" t="s">
        <v>727</v>
      </c>
      <c r="E85" s="4" t="s">
        <v>727</v>
      </c>
      <c r="G85" s="5" t="str">
        <f>IFERROR(__xludf.DUMMYFUNCTION(" GOOGLETRANSLATE(A85, ""en"", ""am"")"),"84")</f>
        <v>84</v>
      </c>
      <c r="H85" s="5" t="str">
        <f>IFERROR(__xludf.DUMMYFUNCTION(" GOOGLETRANSLATE(B85, ""en"", ""am"")"),"እ.ኤ.አ. በ1990ዎቹ የመጀመሪያውን አለም አቀፍ የፈረስ እሽቅድምድም ውድድር ያስተናገደው ሀገር የትኛው ነው?")</f>
        <v>እ.ኤ.አ. በ1990ዎቹ የመጀመሪያውን አለም አቀፍ የፈረስ እሽቅድምድም ውድድር ያስተናገደው ሀገር የትኛው ነው?</v>
      </c>
      <c r="I85" s="5" t="str">
        <f>IFERROR(__xludf.DUMMYFUNCTION(" GOOGLETRANSLATE(C85, ""en"", ""am"")"),"ኣብ ሞሮኮ ብናይጄሪያ ሲ ኬኒያ ዲ ደቡብ አፍሪካ")</f>
        <v>ኣብ ሞሮኮ ብናይጄሪያ ሲ ኬኒያ ዲ ደቡብ አፍሪካ</v>
      </c>
      <c r="J85" s="5" t="str">
        <f>IFERROR(__xludf.DUMMYFUNCTION(" GOOGLETRANSLATE(D85, ""en"", ""am"")"),"ደቡብ አፍሪካ የፈረስ እሽቅድምድም ስፖርትን ለመጀመሪያ ጊዜ ያስተዋወቀችው በ1990 ነው።")</f>
        <v>ደቡብ አፍሪካ የፈረስ እሽቅድምድም ስፖርትን ለመጀመሪያ ጊዜ ያስተዋወቀችው በ1990 ነው።</v>
      </c>
      <c r="K85" s="5" t="str">
        <f>IFERROR(__xludf.DUMMYFUNCTION(" GOOGLETRANSLATE(E85, ""en"", ""am"")"),"ደቡብ አፍሪካ የፈረስ እሽቅድምድም ስፖርትን ለመጀመሪያ ጊዜ ያስተዋወቀችው በ1990 ነው።")</f>
        <v>ደቡብ አፍሪካ የፈረስ እሽቅድምድም ስፖርትን ለመጀመሪያ ጊዜ ያስተዋወቀችው በ1990 ነው።</v>
      </c>
    </row>
    <row r="86" ht="22.5" customHeight="1">
      <c r="A86" s="3">
        <v>85.0</v>
      </c>
      <c r="B86" s="4" t="s">
        <v>728</v>
      </c>
      <c r="C86" s="4" t="s">
        <v>729</v>
      </c>
      <c r="D86" s="4" t="s">
        <v>730</v>
      </c>
      <c r="E86" s="4" t="s">
        <v>730</v>
      </c>
      <c r="G86" s="5" t="str">
        <f>IFERROR(__xludf.DUMMYFUNCTION(" GOOGLETRANSLATE(A86, ""en"", ""am"")"),"85")</f>
        <v>85</v>
      </c>
      <c r="H86" s="5" t="str">
        <f>IFERROR(__xludf.DUMMYFUNCTION(" GOOGLETRANSLATE(B86, ""en"", ""am"")"),"ፕሮፌሽናል የፈረስ እሽቅድምድም ስፖርት ሊግ የተቋቋመበት ታሪካዊ ወቅት ምን ነበር?")</f>
        <v>ፕሮፌሽናል የፈረስ እሽቅድምድም ስፖርት ሊግ የተቋቋመበት ታሪካዊ ወቅት ምን ነበር?</v>
      </c>
      <c r="I86" s="5" t="str">
        <f>IFERROR(__xludf.DUMMYFUNCTION(" GOOGLETRANSLATE(C86, ""en"", ""am"")"),"ኣብ 1960ታት ብ1970ታት 1980ታት ዲ.")</f>
        <v>ኣብ 1960ታት ብ1970ታት 1980ታት ዲ.</v>
      </c>
      <c r="J86" s="5" t="str">
        <f>IFERROR(__xludf.DUMMYFUNCTION(" GOOGLETRANSLATE(D86, ""en"", ""am"")"),"የፕሮፌሽናል የፈረስ እሽቅድምድም ሊግ የተቋቋመው በ1970ዎቹ ነው።")</f>
        <v>የፕሮፌሽናል የፈረስ እሽቅድምድም ሊግ የተቋቋመው በ1970ዎቹ ነው።</v>
      </c>
      <c r="K86" s="5" t="str">
        <f>IFERROR(__xludf.DUMMYFUNCTION(" GOOGLETRANSLATE(E86, ""en"", ""am"")"),"የፕሮፌሽናል የፈረስ እሽቅድምድም ሊግ የተቋቋመው በ1970ዎቹ ነው።")</f>
        <v>የፕሮፌሽናል የፈረስ እሽቅድምድም ሊግ የተቋቋመው በ1970ዎቹ ነው።</v>
      </c>
    </row>
    <row r="87" ht="22.5" customHeight="1">
      <c r="A87" s="3">
        <v>86.0</v>
      </c>
      <c r="B87" s="4" t="s">
        <v>731</v>
      </c>
      <c r="C87" s="4" t="s">
        <v>732</v>
      </c>
      <c r="D87" s="4" t="s">
        <v>733</v>
      </c>
      <c r="E87" s="4" t="s">
        <v>733</v>
      </c>
      <c r="G87" s="5" t="str">
        <f>IFERROR(__xludf.DUMMYFUNCTION(" GOOGLETRANSLATE(A87, ""en"", ""am"")"),"86")</f>
        <v>86</v>
      </c>
      <c r="H87" s="5" t="str">
        <f>IFERROR(__xludf.DUMMYFUNCTION(" GOOGLETRANSLATE(B87, ""en"", ""am"")"),"በፈረስ እሽቅድምድም የመጀመሪያዋ ሴት የዓለም ሻምፒዮን ሆነች?")</f>
        <v>በፈረስ እሽቅድምድም የመጀመሪያዋ ሴት የዓለም ሻምፒዮን ሆነች?</v>
      </c>
      <c r="I87" s="5" t="str">
        <f>IFERROR(__xludf.DUMMYFUNCTION(" GOOGLETRANSLATE(C87, ""en"", ""am"")"),"A. Sarah Kamis B. Leila Ali C. Maryam Fadil D. Amina Zahra")</f>
        <v>A. Sarah Kamis B. Leila Ali C. Maryam Fadil D. Amina Zahra</v>
      </c>
      <c r="J87" s="5" t="str">
        <f>IFERROR(__xludf.DUMMYFUNCTION(" GOOGLETRANSLATE(D87, ""en"", ""am"")"),"አሚና ዛህራ በ1985 የመጀመሪያዋ ሴት የዓለም ሻምፒዮን ሆነች።")</f>
        <v>አሚና ዛህራ በ1985 የመጀመሪያዋ ሴት የዓለም ሻምፒዮን ሆነች።</v>
      </c>
      <c r="K87" s="5" t="str">
        <f>IFERROR(__xludf.DUMMYFUNCTION(" GOOGLETRANSLATE(E87, ""en"", ""am"")"),"አሚና ዛህራ በ1985 የመጀመሪያዋ ሴት የዓለም ሻምፒዮን ሆነች።")</f>
        <v>አሚና ዛህራ በ1985 የመጀመሪያዋ ሴት የዓለም ሻምፒዮን ሆነች።</v>
      </c>
    </row>
    <row r="88" ht="22.5" customHeight="1">
      <c r="A88" s="3">
        <v>87.0</v>
      </c>
      <c r="B88" s="4" t="s">
        <v>734</v>
      </c>
      <c r="C88" s="4" t="s">
        <v>735</v>
      </c>
      <c r="D88" s="4" t="s">
        <v>736</v>
      </c>
      <c r="E88" s="4" t="s">
        <v>736</v>
      </c>
      <c r="G88" s="5" t="str">
        <f>IFERROR(__xludf.DUMMYFUNCTION(" GOOGLETRANSLATE(A88, ""en"", ""am"")"),"87")</f>
        <v>87</v>
      </c>
      <c r="H88" s="5" t="str">
        <f>IFERROR(__xludf.DUMMYFUNCTION(" GOOGLETRANSLATE(B88, ""en"", ""am"")"),"ከአፍሪካ ውጪ በተካሄደው የመጀመርያ የፈረስ እሽቅድምድም ሻምፒዮና ያሸነፈው ቡድን የትኛው ነው?")</f>
        <v>ከአፍሪካ ውጪ በተካሄደው የመጀመርያ የፈረስ እሽቅድምድም ሻምፒዮና ያሸነፈው ቡድን የትኛው ነው?</v>
      </c>
      <c r="I88" s="5" t="str">
        <f>IFERROR(__xludf.DUMMYFUNCTION(" GOOGLETRANSLATE(C88, ""en"", ""am"")"),"ሀ.ጀርመን ቢ.ፈረንሳይ ሲ.አሜሪካ ዲ.ብራዚል")</f>
        <v>ሀ.ጀርመን ቢ.ፈረንሳይ ሲ.አሜሪካ ዲ.ብራዚል</v>
      </c>
      <c r="J88" s="5" t="str">
        <f>IFERROR(__xludf.DUMMYFUNCTION(" GOOGLETRANSLATE(D88, ""en"", ""am"")"),"እ.ኤ.አ. በ2004 ብራዚል ከአፍሪካ ውጪ የተካሄደውን የመጀመሪያውን የፈረሰኞች ስፖርት ሻምፒዮና አሸንፋለች።")</f>
        <v>እ.ኤ.አ. በ2004 ብራዚል ከአፍሪካ ውጪ የተካሄደውን የመጀመሪያውን የፈረሰኞች ስፖርት ሻምፒዮና አሸንፋለች።</v>
      </c>
      <c r="K88" s="5" t="str">
        <f>IFERROR(__xludf.DUMMYFUNCTION(" GOOGLETRANSLATE(E88, ""en"", ""am"")"),"እ.ኤ.አ. በ2004 ብራዚል ከአፍሪካ ውጪ የተካሄደውን የመጀመሪያውን የፈረሰኞች ስፖርት ሻምፒዮና አሸንፋለች።")</f>
        <v>እ.ኤ.አ. በ2004 ብራዚል ከአፍሪካ ውጪ የተካሄደውን የመጀመሪያውን የፈረሰኞች ስፖርት ሻምፒዮና አሸንፋለች።</v>
      </c>
    </row>
    <row r="89" ht="22.5" customHeight="1">
      <c r="A89" s="3">
        <v>88.0</v>
      </c>
      <c r="B89" s="4" t="s">
        <v>737</v>
      </c>
      <c r="C89" s="4" t="s">
        <v>738</v>
      </c>
      <c r="D89" s="4" t="s">
        <v>739</v>
      </c>
      <c r="E89" s="4" t="s">
        <v>739</v>
      </c>
      <c r="G89" s="5" t="str">
        <f>IFERROR(__xludf.DUMMYFUNCTION(" GOOGLETRANSLATE(A89, ""en"", ""am"")"),"88")</f>
        <v>88</v>
      </c>
      <c r="H89" s="5" t="str">
        <f>IFERROR(__xludf.DUMMYFUNCTION(" GOOGLETRANSLATE(B89, ""en"", ""am"")"),"በፋርስ ባሕረ ሰላጤ ስፖርት ታሪክ ውስጥ የ 1980 ዎቹ አስፈላጊነት ምንድነው?")</f>
        <v>በፋርስ ባሕረ ሰላጤ ስፖርት ታሪክ ውስጥ የ 1980 ዎቹ አስፈላጊነት ምንድነው?</v>
      </c>
      <c r="I89" s="5" t="str">
        <f>IFERROR(__xludf.DUMMYFUNCTION(" GOOGLETRANSLATE(C89, ""en"", ""am"")"),"ሀ. የፕሮፌሽናል ሊጎች መግቢያ ለ. የሚዲያ ሽፋን ጨምሯል። ሐ. ከአፍሪካ ውጪ የመጀመሪያው የዓለም ሻምፒዮና D. ዓለም አቀፍ ውድድሮችን ማቋቋም")</f>
        <v>ሀ. የፕሮፌሽናል ሊጎች መግቢያ ለ. የሚዲያ ሽፋን ጨምሯል። ሐ. ከአፍሪካ ውጪ የመጀመሪያው የዓለም ሻምፒዮና D. ዓለም አቀፍ ውድድሮችን ማቋቋም</v>
      </c>
      <c r="J89" s="5" t="str">
        <f>IFERROR(__xludf.DUMMYFUNCTION(" GOOGLETRANSLATE(D89, ""en"", ""am"")"),"እ.ኤ.አ. በ 1980 ዎቹ ዓለም አቀፍ ውድድሮች መመስረት እና የፕሮፌሽናል ሊግ መግቢያዎች ነበሩ ።")</f>
        <v>እ.ኤ.አ. በ 1980 ዎቹ ዓለም አቀፍ ውድድሮች መመስረት እና የፕሮፌሽናል ሊግ መግቢያዎች ነበሩ ።</v>
      </c>
      <c r="K89" s="5" t="str">
        <f>IFERROR(__xludf.DUMMYFUNCTION(" GOOGLETRANSLATE(E89, ""en"", ""am"")"),"እ.ኤ.አ. በ 1980 ዎቹ ዓለም አቀፍ ውድድሮች መመስረት እና የፕሮፌሽናል ሊግ መግቢያዎች ነበሩ ።")</f>
        <v>እ.ኤ.አ. በ 1980 ዎቹ ዓለም አቀፍ ውድድሮች መመስረት እና የፕሮፌሽናል ሊግ መግቢያዎች ነበሩ ።</v>
      </c>
    </row>
    <row r="90" ht="22.5" customHeight="1">
      <c r="A90" s="3">
        <v>89.0</v>
      </c>
      <c r="B90" s="4" t="s">
        <v>740</v>
      </c>
      <c r="C90" s="4" t="s">
        <v>741</v>
      </c>
      <c r="D90" s="4" t="s">
        <v>742</v>
      </c>
      <c r="E90" s="4" t="s">
        <v>742</v>
      </c>
      <c r="G90" s="5" t="str">
        <f>IFERROR(__xludf.DUMMYFUNCTION(" GOOGLETRANSLATE(A90, ""en"", ""am"")"),"89")</f>
        <v>89</v>
      </c>
      <c r="H90" s="5" t="str">
        <f>IFERROR(__xludf.DUMMYFUNCTION(" GOOGLETRANSLATE(B90, ""en"", ""am"")"),"የመጀመሪያውን የፓን አፍሪካን የፈረሰኞች ስፖርት ውድድር ያዘጋጀው የትኛው አፍሪካዊ ሀገር ነው?")</f>
        <v>የመጀመሪያውን የፓን አፍሪካን የፈረሰኞች ስፖርት ውድድር ያዘጋጀው የትኛው አፍሪካዊ ሀገር ነው?</v>
      </c>
      <c r="I90" s="5" t="str">
        <f>IFERROR(__xludf.DUMMYFUNCTION(" GOOGLETRANSLATE(C90, ""en"", ""am"")"),"አ.ኬንያ ቢ.ኡጋንዳ ሲ.ጋና ዲ.ኬንያ")</f>
        <v>አ.ኬንያ ቢ.ኡጋንዳ ሲ.ጋና ዲ.ኬንያ</v>
      </c>
      <c r="J90" s="5" t="str">
        <f>IFERROR(__xludf.DUMMYFUNCTION(" GOOGLETRANSLATE(D90, ""en"", ""am"")"),"ኬንያ በ1980 የመጀመሪያውን የፓን አፍሪካ የፈረሰኛ ስፖርት ውድድር አዘጋጅታለች።")</f>
        <v>ኬንያ በ1980 የመጀመሪያውን የፓን አፍሪካ የፈረሰኛ ስፖርት ውድድር አዘጋጅታለች።</v>
      </c>
      <c r="K90" s="5" t="str">
        <f>IFERROR(__xludf.DUMMYFUNCTION(" GOOGLETRANSLATE(E90, ""en"", ""am"")"),"ኬንያ በ1980 የመጀመሪያውን የፓን አፍሪካ የፈረሰኛ ስፖርት ውድድር አዘጋጅታለች።")</f>
        <v>ኬንያ በ1980 የመጀመሪያውን የፓን አፍሪካ የፈረሰኛ ስፖርት ውድድር አዘጋጅታለች።</v>
      </c>
    </row>
    <row r="91" ht="22.5" customHeight="1">
      <c r="A91" s="3">
        <v>90.0</v>
      </c>
      <c r="B91" s="4" t="s">
        <v>743</v>
      </c>
      <c r="C91" s="4" t="s">
        <v>744</v>
      </c>
      <c r="D91" s="4" t="s">
        <v>745</v>
      </c>
      <c r="E91" s="4" t="s">
        <v>745</v>
      </c>
      <c r="G91" s="5" t="str">
        <f>IFERROR(__xludf.DUMMYFUNCTION(" GOOGLETRANSLATE(A91, ""en"", ""am"")"),"90")</f>
        <v>90</v>
      </c>
      <c r="H91" s="5" t="str">
        <f>IFERROR(__xludf.DUMMYFUNCTION(" GOOGLETRANSLATE(B91, ""en"", ""am"")"),"እ.ኤ.አ. በ 1965 የዓለም ሻምፒዮና በስፖርቱ ላይ ምን ተጽዕኖ አሳድሯል?")</f>
        <v>እ.ኤ.አ. በ 1965 የዓለም ሻምፒዮና በስፖርቱ ላይ ምን ተጽዕኖ አሳድሯል?</v>
      </c>
      <c r="I91" s="5" t="str">
        <f>IFERROR(__xludf.DUMMYFUNCTION(" GOOGLETRANSLATE(C91, ""en"", ""am"")"),"ሀ. የአለም አቀፍ ተሳትፎ ጨምሯል። B. የጨዋታ ደረጃዎች ህግ ሐ. የባለሙያ ቡድኖች መመስረት D. ዓለም አቀፍ ተወዳጅነት")</f>
        <v>ሀ. የአለም አቀፍ ተሳትፎ ጨምሯል። B. የጨዋታ ደረጃዎች ህግ ሐ. የባለሙያ ቡድኖች መመስረት D. ዓለም አቀፍ ተወዳጅነት</v>
      </c>
      <c r="J91" s="5" t="str">
        <f>IFERROR(__xludf.DUMMYFUNCTION(" GOOGLETRANSLATE(D91, ""en"", ""am"")"),"እ.ኤ.አ. በ 1965 የዓለም ሻምፒዮና ዓለም አቀፍ ተሳትፎን በከፍተኛ ሁኔታ ጨምሯል።")</f>
        <v>እ.ኤ.አ. በ 1965 የዓለም ሻምፒዮና ዓለም አቀፍ ተሳትፎን በከፍተኛ ሁኔታ ጨምሯል።</v>
      </c>
      <c r="K91" s="5" t="str">
        <f>IFERROR(__xludf.DUMMYFUNCTION(" GOOGLETRANSLATE(E91, ""en"", ""am"")"),"እ.ኤ.አ. በ 1965 የዓለም ሻምፒዮና ዓለም አቀፍ ተሳትፎን በከፍተኛ ሁኔታ ጨምሯል።")</f>
        <v>እ.ኤ.አ. በ 1965 የዓለም ሻምፒዮና ዓለም አቀፍ ተሳትፎን በከፍተኛ ሁኔታ ጨምሯል።</v>
      </c>
    </row>
    <row r="92" ht="22.5" customHeight="1">
      <c r="A92" s="3">
        <v>91.0</v>
      </c>
      <c r="B92" s="4" t="s">
        <v>746</v>
      </c>
      <c r="C92" s="4" t="s">
        <v>747</v>
      </c>
      <c r="D92" s="4" t="s">
        <v>748</v>
      </c>
      <c r="E92" s="4" t="s">
        <v>748</v>
      </c>
      <c r="G92" s="5" t="str">
        <f>IFERROR(__xludf.DUMMYFUNCTION(" GOOGLETRANSLATE(A92, ""en"", ""am"")"),"91")</f>
        <v>91</v>
      </c>
      <c r="H92" s="5" t="str">
        <f>IFERROR(__xludf.DUMMYFUNCTION(" GOOGLETRANSLATE(B92, ""en"", ""am"")"),"የፈረስ እሽቅድምድም እንደ ውድድር ስፖርት ለመመስረት የረዳው የትኛው ታሪካዊ ሰው ነው?")</f>
        <v>የፈረስ እሽቅድምድም እንደ ውድድር ስፖርት ለመመስረት የረዳው የትኛው ታሪካዊ ሰው ነው?</v>
      </c>
      <c r="I92" s="5" t="str">
        <f>IFERROR(__xludf.DUMMYFUNCTION(" GOOGLETRANSLATE(C92, ""en"", ""am"")"),"አ. ክዋሜ ንክሩማህ ቢ ጁሊየስ ኔሬሬ ሲ. ማሃተማ ጋንዲ ዲ. ኃይለ ሥላሴ")</f>
        <v>አ. ክዋሜ ንክሩማህ ቢ ጁሊየስ ኔሬሬ ሲ. ማሃተማ ጋንዲ ዲ. ኃይለ ሥላሴ</v>
      </c>
      <c r="J92" s="5" t="str">
        <f>IFERROR(__xludf.DUMMYFUNCTION(" GOOGLETRANSLATE(D92, ""en"", ""am"")"),"በ1960ዎቹ ስፖርቱን እንደ ውድድር እንዲቋቋም ሀይለስላሴ ወሳኝ ሚና ተጫውተዋል።")</f>
        <v>በ1960ዎቹ ስፖርቱን እንደ ውድድር እንዲቋቋም ሀይለስላሴ ወሳኝ ሚና ተጫውተዋል።</v>
      </c>
      <c r="K92" s="5" t="str">
        <f>IFERROR(__xludf.DUMMYFUNCTION(" GOOGLETRANSLATE(E92, ""en"", ""am"")"),"በ1960ዎቹ ስፖርቱን እንደ ውድድር እንዲቋቋም ሀይለስላሴ ወሳኝ ሚና ተጫውተዋል።")</f>
        <v>በ1960ዎቹ ስፖርቱን እንደ ውድድር እንዲቋቋም ሀይለስላሴ ወሳኝ ሚና ተጫውተዋል።</v>
      </c>
    </row>
    <row r="93" ht="22.5" customHeight="1">
      <c r="A93" s="3">
        <v>92.0</v>
      </c>
      <c r="B93" s="4" t="s">
        <v>749</v>
      </c>
      <c r="C93" s="4" t="s">
        <v>750</v>
      </c>
      <c r="D93" s="4" t="s">
        <v>751</v>
      </c>
      <c r="E93" s="4" t="s">
        <v>751</v>
      </c>
      <c r="G93" s="5" t="str">
        <f>IFERROR(__xludf.DUMMYFUNCTION(" GOOGLETRANSLATE(A93, ""en"", ""am"")"),"92")</f>
        <v>92</v>
      </c>
      <c r="H93" s="5" t="str">
        <f>IFERROR(__xludf.DUMMYFUNCTION(" GOOGLETRANSLATE(B93, ""en"", ""am"")"),"በ1985 የፈረስ እሽቅድምድም ስፖርት ከአፍሪካ ውጭ እንዲስፋፋ የረዳው የትኛው ትልቅ ክስተት ነው?")</f>
        <v>በ1985 የፈረስ እሽቅድምድም ስፖርት ከአፍሪካ ውጭ እንዲስፋፋ የረዳው የትኛው ትልቅ ክስተት ነው?</v>
      </c>
      <c r="I93" s="5" t="str">
        <f>IFERROR(__xludf.DUMMYFUNCTION(" GOOGLETRANSLATE(C93, ""en"", ""am"")"),"ሀ. የመጀመሪያው አለም አቀፍ ውድድር ለ. የአለም ሻምፒዮና በፈረንሳይ ሲ. የአለም ዋንጫ የቲቪ ስርጭት D. የአለም ሻምፒዮና በፈረንሳይ")</f>
        <v>ሀ. የመጀመሪያው አለም አቀፍ ውድድር ለ. የአለም ሻምፒዮና በፈረንሳይ ሲ. የአለም ዋንጫ የቲቪ ስርጭት D. የአለም ሻምፒዮና በፈረንሳይ</v>
      </c>
      <c r="J93" s="5" t="str">
        <f>IFERROR(__xludf.DUMMYFUNCTION(" GOOGLETRANSLATE(D93, ""en"", ""am"")"),"እ.ኤ.አ. በ1985 በፈረንሣይ የተካሄደው የዓለም ሻምፒዮና የፈረስ እሽቅድምድም ስፖርት ከአፍሪካ ውጭ እንዲስፋፋ አግዟል።")</f>
        <v>እ.ኤ.አ. በ1985 በፈረንሣይ የተካሄደው የዓለም ሻምፒዮና የፈረስ እሽቅድምድም ስፖርት ከአፍሪካ ውጭ እንዲስፋፋ አግዟል።</v>
      </c>
      <c r="K93" s="5" t="str">
        <f>IFERROR(__xludf.DUMMYFUNCTION(" GOOGLETRANSLATE(E93, ""en"", ""am"")"),"እ.ኤ.አ. በ1985 በፈረንሣይ የተካሄደው የዓለም ሻምፒዮና የፈረስ እሽቅድምድም ስፖርት ከአፍሪካ ውጭ እንዲስፋፋ አግዟል።")</f>
        <v>እ.ኤ.አ. በ1985 በፈረንሣይ የተካሄደው የዓለም ሻምፒዮና የፈረስ እሽቅድምድም ስፖርት ከአፍሪካ ውጭ እንዲስፋፋ አግዟል።</v>
      </c>
    </row>
    <row r="94" ht="22.5" customHeight="1">
      <c r="A94" s="3">
        <v>93.0</v>
      </c>
      <c r="B94" s="4" t="s">
        <v>752</v>
      </c>
      <c r="C94" s="4" t="s">
        <v>753</v>
      </c>
      <c r="D94" s="4" t="s">
        <v>754</v>
      </c>
      <c r="E94" s="4" t="s">
        <v>754</v>
      </c>
      <c r="G94" s="5" t="str">
        <f>IFERROR(__xludf.DUMMYFUNCTION(" GOOGLETRANSLATE(A94, ""en"", ""am"")"),"93")</f>
        <v>93</v>
      </c>
      <c r="H94" s="5" t="str">
        <f>IFERROR(__xludf.DUMMYFUNCTION(" GOOGLETRANSLATE(B94, ""en"", ""am"")"),"በ21ኛው ክፍለ ዘመን የመጀመሪያውን የፈረሰኞች ስፖርት ሻምፒዮና ያዘጋጀው የትኛው ሀገር ነው?")</f>
        <v>በ21ኛው ክፍለ ዘመን የመጀመሪያውን የፈረሰኞች ስፖርት ሻምፒዮና ያዘጋጀው የትኛው ሀገር ነው?</v>
      </c>
      <c r="I94" s="5" t="str">
        <f>IFERROR(__xludf.DUMMYFUNCTION(" GOOGLETRANSLATE(C94, ""en"", ""am"")"),"ኤ ናይጄሪያ ቢ.ኬንያ ሲ.ሞሮኮ ዲ ደቡብ አፍሪካ")</f>
        <v>ኤ ናይጄሪያ ቢ.ኬንያ ሲ.ሞሮኮ ዲ ደቡብ አፍሪካ</v>
      </c>
      <c r="J94" s="5" t="str">
        <f>IFERROR(__xludf.DUMMYFUNCTION(" GOOGLETRANSLATE(D94, ""en"", ""am"")"),"ደቡብ አፍሪካ በ21ኛው ክፍለ ዘመን የመጀመሪያውን የዓለም ዋንጫ በ2002 አዘጋጅታለች።")</f>
        <v>ደቡብ አፍሪካ በ21ኛው ክፍለ ዘመን የመጀመሪያውን የዓለም ዋንጫ በ2002 አዘጋጅታለች።</v>
      </c>
      <c r="K94" s="5" t="str">
        <f>IFERROR(__xludf.DUMMYFUNCTION(" GOOGLETRANSLATE(E94, ""en"", ""am"")"),"ደቡብ አፍሪካ በ21ኛው ክፍለ ዘመን የመጀመሪያውን የዓለም ዋንጫ በ2002 አዘጋጅታለች።")</f>
        <v>ደቡብ አፍሪካ በ21ኛው ክፍለ ዘመን የመጀመሪያውን የዓለም ዋንጫ በ2002 አዘጋጅታለች።</v>
      </c>
    </row>
    <row r="95" ht="22.5" customHeight="1">
      <c r="A95" s="3">
        <v>94.0</v>
      </c>
      <c r="B95" s="4" t="s">
        <v>755</v>
      </c>
      <c r="C95" s="4" t="s">
        <v>756</v>
      </c>
      <c r="D95" s="4" t="s">
        <v>757</v>
      </c>
      <c r="E95" s="4" t="s">
        <v>757</v>
      </c>
      <c r="G95" s="5" t="str">
        <f>IFERROR(__xludf.DUMMYFUNCTION(" GOOGLETRANSLATE(A95, ""en"", ""am"")"),"94")</f>
        <v>94</v>
      </c>
      <c r="H95" s="5" t="str">
        <f>IFERROR(__xludf.DUMMYFUNCTION(" GOOGLETRANSLATE(B95, ""en"", ""am"")"),"እ.ኤ.አ. በ 1995 ለፈረስ እሽቅድምድም ምን ጉልህ ክስተት ተከስቷል?")</f>
        <v>እ.ኤ.አ. በ 1995 ለፈረስ እሽቅድምድም ምን ጉልህ ክስተት ተከስቷል?</v>
      </c>
      <c r="I95" s="5" t="str">
        <f>IFERROR(__xludf.DUMMYFUNCTION(" GOOGLETRANSLATE(C95, ""en"", ""am"")"),"ሀ. የመጀመሪያው የሴቶች ሊግ የተመሰረተው ለ. የስርጭት መብቶች በአለም አቀፍ ደረጃ ተሽጠዋል። ሐ. ከአፍሪካ ውጪ የመጀመሪያው የዓለም ሻምፒዮና መ. ለአለም አቀፍ ስፖንሰርሺፕ መግቢያ")</f>
        <v>ሀ. የመጀመሪያው የሴቶች ሊግ የተመሰረተው ለ. የስርጭት መብቶች በአለም አቀፍ ደረጃ ተሽጠዋል። ሐ. ከአፍሪካ ውጪ የመጀመሪያው የዓለም ሻምፒዮና መ. ለአለም አቀፍ ስፖንሰርሺፕ መግቢያ</v>
      </c>
      <c r="J95" s="5" t="str">
        <f>IFERROR(__xludf.DUMMYFUNCTION(" GOOGLETRANSLATE(D95, ""en"", ""am"")"),"እ.ኤ.አ. የ1995 የአለም ሻምፒዮና ከአፍሪካ ውጪ ሲደረግ የመጀመሪያው ነው።")</f>
        <v>እ.ኤ.አ. የ1995 የአለም ሻምፒዮና ከአፍሪካ ውጪ ሲደረግ የመጀመሪያው ነው።</v>
      </c>
      <c r="K95" s="5" t="str">
        <f>IFERROR(__xludf.DUMMYFUNCTION(" GOOGLETRANSLATE(E95, ""en"", ""am"")"),"እ.ኤ.አ. የ1995 የአለም ሻምፒዮና ከአፍሪካ ውጪ ሲደረግ የመጀመሪያው ነው።")</f>
        <v>እ.ኤ.አ. የ1995 የአለም ሻምፒዮና ከአፍሪካ ውጪ ሲደረግ የመጀመሪያው ነው።</v>
      </c>
    </row>
    <row r="96" ht="22.5" customHeight="1">
      <c r="A96" s="3">
        <v>95.0</v>
      </c>
      <c r="B96" s="4" t="s">
        <v>758</v>
      </c>
      <c r="C96" s="4" t="s">
        <v>759</v>
      </c>
      <c r="D96" s="4" t="s">
        <v>760</v>
      </c>
      <c r="E96" s="4" t="s">
        <v>760</v>
      </c>
      <c r="G96" s="5" t="str">
        <f>IFERROR(__xludf.DUMMYFUNCTION(" GOOGLETRANSLATE(A96, ""en"", ""am"")"),"95")</f>
        <v>95</v>
      </c>
      <c r="H96" s="5" t="str">
        <f>IFERROR(__xludf.DUMMYFUNCTION(" GOOGLETRANSLATE(B96, ""en"", ""am"")"),"1980ዎቹ በፈረስ እሽቅድምድም ታሪክ ውስጥ ምን ጠቃሚ ሚና ተጫውተዋል?")</f>
        <v>1980ዎቹ በፈረስ እሽቅድምድም ታሪክ ውስጥ ምን ጠቃሚ ሚና ተጫውተዋል?</v>
      </c>
      <c r="I96" s="5" t="str">
        <f>IFERROR(__xludf.DUMMYFUNCTION(" GOOGLETRANSLATE(C96, ""en"", ""am"")"),"ሀ. የአለም አቀፍ ሚዲያ ሽፋን ለ. የወጣቶች ስልጠና ፕሮግራሞች መግቢያ ሐ. የቴሌቪዥን ዝግጅቶች መጀመሪያ መ. የአለም አቀፍ ሚዲያ ሽፋን")</f>
        <v>ሀ. የአለም አቀፍ ሚዲያ ሽፋን ለ. የወጣቶች ስልጠና ፕሮግራሞች መግቢያ ሐ. የቴሌቪዥን ዝግጅቶች መጀመሪያ መ. የአለም አቀፍ ሚዲያ ሽፋን</v>
      </c>
      <c r="J96" s="5" t="str">
        <f>IFERROR(__xludf.DUMMYFUNCTION(" GOOGLETRANSLATE(D96, ""en"", ""am"")"),"የ1980ዎቹ የወጣት ማሰልጠኛ መርሃ ግብሮችን ለማስተዋወቅ እና የሚዲያ ሽፋንን ለመጨመር ወሳኝ ነበሩ።")</f>
        <v>የ1980ዎቹ የወጣት ማሰልጠኛ መርሃ ግብሮችን ለማስተዋወቅ እና የሚዲያ ሽፋንን ለመጨመር ወሳኝ ነበሩ።</v>
      </c>
      <c r="K96" s="5" t="str">
        <f>IFERROR(__xludf.DUMMYFUNCTION(" GOOGLETRANSLATE(E96, ""en"", ""am"")"),"የ1980ዎቹ የወጣት ማሰልጠኛ መርሃ ግብሮችን ለማስተዋወቅ እና የሚዲያ ሽፋንን ለመጨመር ወሳኝ ነበሩ።")</f>
        <v>የ1980ዎቹ የወጣት ማሰልጠኛ መርሃ ግብሮችን ለማስተዋወቅ እና የሚዲያ ሽፋንን ለመጨመር ወሳኝ ነበሩ።</v>
      </c>
    </row>
    <row r="97" ht="22.5" customHeight="1">
      <c r="A97" s="3">
        <v>96.0</v>
      </c>
      <c r="B97" s="4" t="s">
        <v>761</v>
      </c>
      <c r="C97" s="4" t="s">
        <v>762</v>
      </c>
      <c r="D97" s="4" t="s">
        <v>763</v>
      </c>
      <c r="E97" s="4" t="s">
        <v>763</v>
      </c>
      <c r="G97" s="5" t="str">
        <f>IFERROR(__xludf.DUMMYFUNCTION(" GOOGLETRANSLATE(A97, ""en"", ""am"")"),"96")</f>
        <v>96</v>
      </c>
      <c r="H97" s="5" t="str">
        <f>IFERROR(__xludf.DUMMYFUNCTION(" GOOGLETRANSLATE(B97, ""en"", ""am"")"),"በፈረስ ስፖርቶች ለመጀመሪያ ጊዜ የሴቶችን የዓለም ሻምፒዮና ያዘጋጀው ሀገር የትኛው ነው?")</f>
        <v>በፈረስ ስፖርቶች ለመጀመሪያ ጊዜ የሴቶችን የዓለም ሻምፒዮና ያዘጋጀው ሀገር የትኛው ነው?</v>
      </c>
      <c r="I97" s="5" t="str">
        <f>IFERROR(__xludf.DUMMYFUNCTION(" GOOGLETRANSLATE(C97, ""en"", ""am"")"),"ኣብ ግብጺ ብ ሱዳን ሲ.ሞሮኮ ዲ.ኬንያ")</f>
        <v>ኣብ ግብጺ ብ ሱዳን ሲ.ሞሮኮ ዲ.ኬንያ</v>
      </c>
      <c r="J97" s="5" t="str">
        <f>IFERROR(__xludf.DUMMYFUNCTION(" GOOGLETRANSLATE(D97, ""en"", ""am"")"),"ኬንያ በ1990 የመጀመሪያውን የሴቶች የዓለም ሻምፒዮና አዘጋጅታለች።")</f>
        <v>ኬንያ በ1990 የመጀመሪያውን የሴቶች የዓለም ሻምፒዮና አዘጋጅታለች።</v>
      </c>
      <c r="K97" s="5" t="str">
        <f>IFERROR(__xludf.DUMMYFUNCTION(" GOOGLETRANSLATE(E97, ""en"", ""am"")"),"ኬንያ በ1990 የመጀመሪያውን የሴቶች የዓለም ሻምፒዮና አዘጋጅታለች።")</f>
        <v>ኬንያ በ1990 የመጀመሪያውን የሴቶች የዓለም ሻምፒዮና አዘጋጅታለች።</v>
      </c>
    </row>
    <row r="98" ht="22.5" customHeight="1">
      <c r="A98" s="3">
        <v>97.0</v>
      </c>
      <c r="B98" s="4" t="s">
        <v>764</v>
      </c>
      <c r="C98" s="4" t="s">
        <v>765</v>
      </c>
      <c r="D98" s="4" t="s">
        <v>766</v>
      </c>
      <c r="E98" s="4" t="s">
        <v>766</v>
      </c>
      <c r="G98" s="5" t="str">
        <f>IFERROR(__xludf.DUMMYFUNCTION(" GOOGLETRANSLATE(A98, ""en"", ""am"")"),"97")</f>
        <v>97</v>
      </c>
      <c r="H98" s="5" t="str">
        <f>IFERROR(__xludf.DUMMYFUNCTION(" GOOGLETRANSLATE(B98, ""en"", ""am"")"),"በ 1960 የፈረስ እሽቅድምድም ዓለም አቀፍ ተሳትፎን በተመለከተ ምን ቁልፍ ክስተት ተከስቷል?")</f>
        <v>በ 1960 የፈረስ እሽቅድምድም ዓለም አቀፍ ተሳትፎን በተመለከተ ምን ቁልፍ ክስተት ተከስቷል?</v>
      </c>
      <c r="I98" s="5" t="str">
        <f>IFERROR(__xludf.DUMMYFUNCTION(" GOOGLETRANSLATE(C98, ""en"", ""am"")"),"ሀ. የመጀመሪያው የዓለም ሻምፒዮና ለ. የሚዲያ ሽፋን ጨምሯል። ሐ. የፕሮፌሽናል ተጫዋቾች መግቢያ D. የዓለም ፌዴሬሽን ማቋቋም")</f>
        <v>ሀ. የመጀመሪያው የዓለም ሻምፒዮና ለ. የሚዲያ ሽፋን ጨምሯል። ሐ. የፕሮፌሽናል ተጫዋቾች መግቢያ D. የዓለም ፌዴሬሽን ማቋቋም</v>
      </c>
      <c r="J98" s="5" t="str">
        <f>IFERROR(__xludf.DUMMYFUNCTION(" GOOGLETRANSLATE(D98, ""en"", ""am"")"),"እ.ኤ.አ. በ 1960 የዓለም ፌዴሬሽን ምስረታ በዓለም አቀፍ የፈረስ ስፖርቶች ተሳትፎ ውስጥ ጉልህ ክስተት ነበር ።")</f>
        <v>እ.ኤ.አ. በ 1960 የዓለም ፌዴሬሽን ምስረታ በዓለም አቀፍ የፈረስ ስፖርቶች ተሳትፎ ውስጥ ጉልህ ክስተት ነበር ።</v>
      </c>
      <c r="K98" s="5" t="str">
        <f>IFERROR(__xludf.DUMMYFUNCTION(" GOOGLETRANSLATE(E98, ""en"", ""am"")"),"እ.ኤ.አ. በ 1960 የዓለም ፌዴሬሽን ምስረታ በዓለም አቀፍ የፈረስ ስፖርቶች ተሳትፎ ውስጥ ጉልህ ክስተት ነበር ።")</f>
        <v>እ.ኤ.አ. በ 1960 የዓለም ፌዴሬሽን ምስረታ በዓለም አቀፍ የፈረስ ስፖርቶች ተሳትፎ ውስጥ ጉልህ ክስተት ነበር ።</v>
      </c>
    </row>
    <row r="99" ht="22.5" customHeight="1">
      <c r="A99" s="3">
        <v>98.0</v>
      </c>
      <c r="B99" s="4" t="s">
        <v>767</v>
      </c>
      <c r="C99" s="4" t="s">
        <v>768</v>
      </c>
      <c r="D99" s="4" t="s">
        <v>769</v>
      </c>
      <c r="E99" s="4" t="s">
        <v>769</v>
      </c>
      <c r="G99" s="5" t="str">
        <f>IFERROR(__xludf.DUMMYFUNCTION(" GOOGLETRANSLATE(A99, ""en"", ""am"")"),"98")</f>
        <v>98</v>
      </c>
      <c r="H99" s="5" t="str">
        <f>IFERROR(__xludf.DUMMYFUNCTION(" GOOGLETRANSLATE(B99, ""en"", ""am"")"),"የፈረስ እሽቅድምድም ብሄራዊ ሻምፒዮና በማዘጋጀት የመጀመርያው ሀገር የትኛው ነው?")</f>
        <v>የፈረስ እሽቅድምድም ብሄራዊ ሻምፒዮና በማዘጋጀት የመጀመርያው ሀገር የትኛው ነው?</v>
      </c>
      <c r="I99" s="5" t="str">
        <f>IFERROR(__xludf.DUMMYFUNCTION(" GOOGLETRANSLATE(C99, ""en"", ""am"")"),"ኣብ ኢትዮጵያ ብ ሱዳን ሲ.ኬንያ ዲ.ሱዳን")</f>
        <v>ኣብ ኢትዮጵያ ብ ሱዳን ሲ.ኬንያ ዲ.ሱዳን</v>
      </c>
      <c r="J99" s="5" t="str">
        <f>IFERROR(__xludf.DUMMYFUNCTION(" GOOGLETRANSLATE(D99, ""en"", ""am"")"),"ሱዳን እ.ኤ.አ. በ1950ዎቹ የፈረሰኞች ስፖርት ብሔራዊ ሻምፒዮና በማቋቋም የመጀመሪያዋ ሀገር ነበረች።")</f>
        <v>ሱዳን እ.ኤ.አ. በ1950ዎቹ የፈረሰኞች ስፖርት ብሔራዊ ሻምፒዮና በማቋቋም የመጀመሪያዋ ሀገር ነበረች።</v>
      </c>
      <c r="K99" s="5" t="str">
        <f>IFERROR(__xludf.DUMMYFUNCTION(" GOOGLETRANSLATE(E99, ""en"", ""am"")"),"ሱዳን እ.ኤ.አ. በ1950ዎቹ የፈረሰኞች ስፖርት ብሔራዊ ሻምፒዮና በማቋቋም የመጀመሪያዋ ሀገር ነበረች።")</f>
        <v>ሱዳን እ.ኤ.አ. በ1950ዎቹ የፈረሰኞች ስፖርት ብሔራዊ ሻምፒዮና በማቋቋም የመጀመሪያዋ ሀገር ነበረች።</v>
      </c>
    </row>
    <row r="100" ht="22.5" customHeight="1">
      <c r="A100" s="3">
        <v>99.0</v>
      </c>
      <c r="B100" s="4" t="s">
        <v>770</v>
      </c>
      <c r="C100" s="4" t="s">
        <v>771</v>
      </c>
      <c r="D100" s="4" t="s">
        <v>772</v>
      </c>
      <c r="E100" s="4" t="s">
        <v>772</v>
      </c>
      <c r="G100" s="5" t="str">
        <f>IFERROR(__xludf.DUMMYFUNCTION(" GOOGLETRANSLATE(A100, ""en"", ""am"")"),"99")</f>
        <v>99</v>
      </c>
      <c r="H100" s="5" t="str">
        <f>IFERROR(__xludf.DUMMYFUNCTION(" GOOGLETRANSLATE(B100, ""en"", ""am"")"),"ለፈረስ ውድድር የመጀመሪያውን ፕሮፌሽናል ሊግ ያስተዋወቀው ሀገር የትኛው ነው?")</f>
        <v>ለፈረስ ውድድር የመጀመሪያውን ፕሮፌሽናል ሊግ ያስተዋወቀው ሀገር የትኛው ነው?</v>
      </c>
      <c r="I100" s="5" t="str">
        <f>IFERROR(__xludf.DUMMYFUNCTION(" GOOGLETRANSLATE(C100, ""en"", ""am"")"),"አ.ሞሮኮ ቢ.ኬንያ ሲ ደቡብ አፍሪካ ዲ ደቡብ አፍሪካ")</f>
        <v>አ.ሞሮኮ ቢ.ኬንያ ሲ ደቡብ አፍሪካ ዲ ደቡብ አፍሪካ</v>
      </c>
      <c r="J100" s="5" t="str">
        <f>IFERROR(__xludf.DUMMYFUNCTION(" GOOGLETRANSLATE(D100, ""en"", ""am"")"),"ደቡብ አፍሪካ በ1980ዎቹ የመጀመሪያውን ፕሮፌሽናል ሊግ አስተዋወቀች።")</f>
        <v>ደቡብ አፍሪካ በ1980ዎቹ የመጀመሪያውን ፕሮፌሽናል ሊግ አስተዋወቀች።</v>
      </c>
      <c r="K100" s="5" t="str">
        <f>IFERROR(__xludf.DUMMYFUNCTION(" GOOGLETRANSLATE(E100, ""en"", ""am"")"),"ደቡብ አፍሪካ በ1980ዎቹ የመጀመሪያውን ፕሮፌሽናል ሊግ አስተዋወቀች።")</f>
        <v>ደቡብ አፍሪካ በ1980ዎቹ የመጀመሪያውን ፕሮፌሽናል ሊግ አስተዋወቀች።</v>
      </c>
    </row>
    <row r="101" ht="22.5" customHeight="1">
      <c r="A101" s="3">
        <v>100.0</v>
      </c>
      <c r="B101" s="4" t="s">
        <v>773</v>
      </c>
      <c r="C101" s="4" t="s">
        <v>774</v>
      </c>
      <c r="D101" s="4" t="s">
        <v>775</v>
      </c>
      <c r="E101" s="4" t="s">
        <v>775</v>
      </c>
      <c r="G101" s="5" t="str">
        <f>IFERROR(__xludf.DUMMYFUNCTION(" GOOGLETRANSLATE(A101, ""en"", ""am"")"),"100")</f>
        <v>100</v>
      </c>
      <c r="H101" s="5" t="str">
        <f>IFERROR(__xludf.DUMMYFUNCTION(" GOOGLETRANSLATE(B101, ""en"", ""am"")"),"የመጀመሪያው ዓለም አቀፍ የፈረስ እሽቅድምድም ፌዴሬሽን እንዲፈጠር ትልቅ አስተዋጽኦ ያደረገው የትኛው ታሪካዊ ሰው ነው?")</f>
        <v>የመጀመሪያው ዓለም አቀፍ የፈረስ እሽቅድምድም ፌዴሬሽን እንዲፈጠር ትልቅ አስተዋጽኦ ያደረገው የትኛው ታሪካዊ ሰው ነው?</v>
      </c>
      <c r="I101" s="5" t="str">
        <f>IFERROR(__xludf.DUMMYFUNCTION(" GOOGLETRANSLATE(C101, ""en"", ""am"")"),"ሀ/ ኃይለ ሥላሴ ቢ ጆሞ ኬንያታ ሲ ኔልሰን ማንዴላ ዲ. ኃይለ ሥላሴ")</f>
        <v>ሀ/ ኃይለ ሥላሴ ቢ ጆሞ ኬንያታ ሲ ኔልሰን ማንዴላ ዲ. ኃይለ ሥላሴ</v>
      </c>
      <c r="J101" s="5" t="str">
        <f>IFERROR(__xludf.DUMMYFUNCTION(" GOOGLETRANSLATE(D101, ""en"", ""am"")"),"በ1960 ዓ.ም የመጀመሪያው አለም አቀፍ ፌደሬሽን ሲመሰረት ሀይለስላሴ ቁልፍ ሚና ተጫውተዋል።")</f>
        <v>በ1960 ዓ.ም የመጀመሪያው አለም አቀፍ ፌደሬሽን ሲመሰረት ሀይለስላሴ ቁልፍ ሚና ተጫውተዋል።</v>
      </c>
      <c r="K101" s="5" t="str">
        <f>IFERROR(__xludf.DUMMYFUNCTION(" GOOGLETRANSLATE(E101, ""en"", ""am"")"),"በ1960 ዓ.ም የመጀመሪያው አለም አቀፍ ፌደሬሽን ሲመሰረት ሀይለስላሴ ቁልፍ ሚና ተጫውተዋል።")</f>
        <v>በ1960 ዓ.ም የመጀመሪያው አለም አቀፍ ፌደሬሽን ሲመሰረት ሀይለስላሴ ቁልፍ ሚና ተጫውተዋል።</v>
      </c>
    </row>
    <row r="102" ht="22.5" customHeight="1">
      <c r="A102" s="3">
        <v>101.0</v>
      </c>
      <c r="B102" s="4" t="s">
        <v>776</v>
      </c>
      <c r="C102" s="4" t="s">
        <v>777</v>
      </c>
      <c r="D102" s="4" t="s">
        <v>778</v>
      </c>
      <c r="E102" s="4" t="s">
        <v>778</v>
      </c>
      <c r="G102" s="5" t="str">
        <f>IFERROR(__xludf.DUMMYFUNCTION(" GOOGLETRANSLATE(A102, ""en"", ""am"")"),"101")</f>
        <v>101</v>
      </c>
      <c r="H102" s="5" t="str">
        <f>IFERROR(__xludf.DUMMYFUNCTION(" GOOGLETRANSLATE(B102, ""en"", ""am"")"),"ከአፍሪካ ውጪ የመጀመሪያውን የአለም ዋንጫ ያስተናገደችው ከተማ የትኛው ነው?")</f>
        <v>ከአፍሪካ ውጪ የመጀመሪያውን የአለም ዋንጫ ያስተናገደችው ከተማ የትኛው ነው?</v>
      </c>
      <c r="I102" s="5" t="str">
        <f>IFERROR(__xludf.DUMMYFUNCTION(" GOOGLETRANSLATE(C102, ""en"", ""am"")"),"ሀ ኒው ዮርክ ቢ.ለንደን ሲድኒ ዲ. ፓሪስ")</f>
        <v>ሀ ኒው ዮርክ ቢ.ለንደን ሲድኒ ዲ. ፓሪስ</v>
      </c>
      <c r="J102" s="5" t="str">
        <f>IFERROR(__xludf.DUMMYFUNCTION(" GOOGLETRANSLATE(D102, ""en"", ""am"")"),"ፓሪስ በ1975 ከአፍሪካ ውጪ የመጀመሪያውን የዓለም ዋንጫ አዘጋጅታለች።")</f>
        <v>ፓሪስ በ1975 ከአፍሪካ ውጪ የመጀመሪያውን የዓለም ዋንጫ አዘጋጅታለች።</v>
      </c>
      <c r="K102" s="5" t="str">
        <f>IFERROR(__xludf.DUMMYFUNCTION(" GOOGLETRANSLATE(E102, ""en"", ""am"")"),"ፓሪስ በ1975 ከአፍሪካ ውጪ የመጀመሪያውን የዓለም ዋንጫ አዘጋጅታለች።")</f>
        <v>ፓሪስ በ1975 ከአፍሪካ ውጪ የመጀመሪያውን የዓለም ዋንጫ አዘጋጅታለች።</v>
      </c>
    </row>
    <row r="103" ht="22.5" customHeight="1">
      <c r="A103" s="3">
        <v>102.0</v>
      </c>
      <c r="B103" s="4" t="s">
        <v>725</v>
      </c>
      <c r="C103" s="4" t="s">
        <v>779</v>
      </c>
      <c r="D103" s="4" t="s">
        <v>780</v>
      </c>
      <c r="E103" s="4" t="s">
        <v>780</v>
      </c>
      <c r="G103" s="5" t="str">
        <f>IFERROR(__xludf.DUMMYFUNCTION(" GOOGLETRANSLATE(A103, ""en"", ""am"")"),"102")</f>
        <v>102</v>
      </c>
      <c r="H103" s="5" t="str">
        <f>IFERROR(__xludf.DUMMYFUNCTION(" GOOGLETRANSLATE(B103, ""en"", ""am"")"),"እ.ኤ.አ. በ1990ዎቹ የመጀመሪያውን አለም አቀፍ የፈረስ እሽቅድምድም ውድድር ያስተናገደው ሀገር የትኛው ነው?")</f>
        <v>እ.ኤ.አ. በ1990ዎቹ የመጀመሪያውን አለም አቀፍ የፈረስ እሽቅድምድም ውድድር ያስተናገደው ሀገር የትኛው ነው?</v>
      </c>
      <c r="I103" s="5" t="str">
        <f>IFERROR(__xludf.DUMMYFUNCTION(" GOOGLETRANSLATE(C103, ""en"", ""am"")"),"ኣብ ኡጋንዳ ብ ሞሮኮ ሲ ደቡብ ኣፍሪቃ ዲ.ኬንያ")</f>
        <v>ኣብ ኡጋንዳ ብ ሞሮኮ ሲ ደቡብ ኣፍሪቃ ዲ.ኬንያ</v>
      </c>
      <c r="J103" s="5" t="str">
        <f>IFERROR(__xludf.DUMMYFUNCTION(" GOOGLETRANSLATE(D103, ""en"", ""am"")"),"ኬንያ በ1991 የመጀመሪያውን አለም አቀፍ የፈረስ ስፖርት ውድድር አስተናግዳለች።")</f>
        <v>ኬንያ በ1991 የመጀመሪያውን አለም አቀፍ የፈረስ ስፖርት ውድድር አስተናግዳለች።</v>
      </c>
      <c r="K103" s="5" t="str">
        <f>IFERROR(__xludf.DUMMYFUNCTION(" GOOGLETRANSLATE(E103, ""en"", ""am"")"),"ኬንያ በ1991 የመጀመሪያውን አለም አቀፍ የፈረስ ስፖርት ውድድር አስተናግዳለች።")</f>
        <v>ኬንያ በ1991 የመጀመሪያውን አለም አቀፍ የፈረስ ስፖርት ውድድር አስተናግዳለች።</v>
      </c>
    </row>
    <row r="104" ht="22.5" customHeight="1">
      <c r="A104" s="3">
        <v>103.0</v>
      </c>
      <c r="B104" s="4" t="s">
        <v>781</v>
      </c>
      <c r="C104" s="4" t="s">
        <v>782</v>
      </c>
      <c r="D104" s="4" t="s">
        <v>783</v>
      </c>
      <c r="E104" s="4" t="s">
        <v>783</v>
      </c>
      <c r="G104" s="5" t="str">
        <f>IFERROR(__xludf.DUMMYFUNCTION(" GOOGLETRANSLATE(A104, ""en"", ""am"")"),"103")</f>
        <v>103</v>
      </c>
      <c r="H104" s="5" t="str">
        <f>IFERROR(__xludf.DUMMYFUNCTION(" GOOGLETRANSLATE(B104, ""en"", ""am"")"),"በፈረስ ስፖርቶች ውስጥ የፆታ እኩልነትን ያስተዋወቀው ሀገር የትኛው ነው?")</f>
        <v>በፈረስ ስፖርቶች ውስጥ የፆታ እኩልነትን ያስተዋወቀው ሀገር የትኛው ነው?</v>
      </c>
      <c r="I104" s="5" t="str">
        <f>IFERROR(__xludf.DUMMYFUNCTION(" GOOGLETRANSLATE(C104, ""en"", ""am"")"),"አ.ኬንያ ብ ደቡብ አፍሪካ ሲ.ግብፅ ዲ.ኬንያ")</f>
        <v>አ.ኬንያ ብ ደቡብ አፍሪካ ሲ.ግብፅ ዲ.ኬንያ</v>
      </c>
      <c r="J104" s="5" t="str">
        <f>IFERROR(__xludf.DUMMYFUNCTION(" GOOGLETRANSLATE(D104, ""en"", ""am"")"),"ኬንያ በ1990 የፆታ እኩልነትን በፈረሰኛ ስፖርት በማስተዋወቅ የመጀመሪያዋ ሀገር ነበረች።")</f>
        <v>ኬንያ በ1990 የፆታ እኩልነትን በፈረሰኛ ስፖርት በማስተዋወቅ የመጀመሪያዋ ሀገር ነበረች።</v>
      </c>
      <c r="K104" s="5" t="str">
        <f>IFERROR(__xludf.DUMMYFUNCTION(" GOOGLETRANSLATE(E104, ""en"", ""am"")"),"ኬንያ በ1990 የፆታ እኩልነትን በፈረሰኛ ስፖርት በማስተዋወቅ የመጀመሪያዋ ሀገር ነበረች።")</f>
        <v>ኬንያ በ1990 የፆታ እኩልነትን በፈረሰኛ ስፖርት በማስተዋወቅ የመጀመሪያዋ ሀገር ነበረች።</v>
      </c>
    </row>
    <row r="105" ht="22.5" customHeight="1">
      <c r="A105" s="3">
        <v>104.0</v>
      </c>
      <c r="B105" s="4" t="s">
        <v>784</v>
      </c>
      <c r="C105" s="4" t="s">
        <v>785</v>
      </c>
      <c r="D105" s="4" t="s">
        <v>786</v>
      </c>
      <c r="E105" s="4" t="s">
        <v>786</v>
      </c>
      <c r="G105" s="5" t="str">
        <f>IFERROR(__xludf.DUMMYFUNCTION(" GOOGLETRANSLATE(A105, ""en"", ""am"")"),"104")</f>
        <v>104</v>
      </c>
      <c r="H105" s="5" t="str">
        <f>IFERROR(__xludf.DUMMYFUNCTION(" GOOGLETRANSLATE(B105, ""en"", ""am"")"),"እ.ኤ.አ.")</f>
        <v>እ.ኤ.አ.</v>
      </c>
      <c r="I105" s="5" t="str">
        <f>IFERROR(__xludf.DUMMYFUNCTION(" GOOGLETRANSLATE(C105, ""en"", ""am"")"),"ሀ. ለመጀመሪያ ጊዜ ስፖርቱ በአለም አቀፍ ደረጃ ተሰራጭቷል። ለ. የቡድን ዝግጅቶች መግቢያ ሐ. ከአፍሪካ ውጪ ያለ አገር ሲሳተፍ ይህ የመጀመሪያው ነው። መ. የመጀመሪያው ይፋዊ የዓለም ሻምፒዮና ነበር።")</f>
        <v>ሀ. ለመጀመሪያ ጊዜ ስፖርቱ በአለም አቀፍ ደረጃ ተሰራጭቷል። ለ. የቡድን ዝግጅቶች መግቢያ ሐ. ከአፍሪካ ውጪ ያለ አገር ሲሳተፍ ይህ የመጀመሪያው ነው። መ. የመጀመሪያው ይፋዊ የዓለም ሻምፒዮና ነበር።</v>
      </c>
      <c r="J105" s="5" t="str">
        <f>IFERROR(__xludf.DUMMYFUNCTION(" GOOGLETRANSLATE(D105, ""en"", ""am"")"),"እ.ኤ.አ.")</f>
        <v>እ.ኤ.አ.</v>
      </c>
      <c r="K105" s="5" t="str">
        <f>IFERROR(__xludf.DUMMYFUNCTION(" GOOGLETRANSLATE(E105, ""en"", ""am"")"),"እ.ኤ.አ.")</f>
        <v>እ.ኤ.አ.</v>
      </c>
    </row>
    <row r="106" ht="22.5" customHeight="1">
      <c r="A106" s="3">
        <v>105.0</v>
      </c>
      <c r="B106" s="4" t="s">
        <v>787</v>
      </c>
      <c r="C106" s="4" t="s">
        <v>788</v>
      </c>
      <c r="D106" s="4" t="s">
        <v>789</v>
      </c>
      <c r="E106" s="4" t="s">
        <v>789</v>
      </c>
      <c r="G106" s="5" t="str">
        <f>IFERROR(__xludf.DUMMYFUNCTION(" GOOGLETRANSLATE(A106, ""en"", ""am"")"),"105")</f>
        <v>105</v>
      </c>
      <c r="H106" s="5" t="str">
        <f>IFERROR(__xludf.DUMMYFUNCTION(" GOOGLETRANSLATE(B106, ""en"", ""am"")"),"የዓለም ሻምፒዮናውን በፈረሰኛ ስፖርት ለመጀመሪያ ጊዜ ያሸነፈው የትኛው ሀገር ነው?")</f>
        <v>የዓለም ሻምፒዮናውን በፈረሰኛ ስፖርት ለመጀመሪያ ጊዜ ያሸነፈው የትኛው ሀገር ነው?</v>
      </c>
      <c r="I106" s="5" t="str">
        <f>IFERROR(__xludf.DUMMYFUNCTION(" GOOGLETRANSLATE(C106, ""en"", ""am"")"),"ሀ. ብራዚል ቢ.ጀርመን ሲ. ህንድ ዲ. ፈረንሳይ")</f>
        <v>ሀ. ብራዚል ቢ.ጀርመን ሲ. ህንድ ዲ. ፈረንሳይ</v>
      </c>
      <c r="J106" s="5" t="str">
        <f>IFERROR(__xludf.DUMMYFUNCTION(" GOOGLETRANSLATE(D106, ""en"", ""am"")"),"በ1975 ፈረንሳይ ከአፍሪካ ውጪ የመጀመሪያዋ የአለም ዋንጫ አሸናፊ ሆነች።")</f>
        <v>በ1975 ፈረንሳይ ከአፍሪካ ውጪ የመጀመሪያዋ የአለም ዋንጫ አሸናፊ ሆነች።</v>
      </c>
      <c r="K106" s="5" t="str">
        <f>IFERROR(__xludf.DUMMYFUNCTION(" GOOGLETRANSLATE(E106, ""en"", ""am"")"),"በ1975 ፈረንሳይ ከአፍሪካ ውጪ የመጀመሪያዋ የአለም ዋንጫ አሸናፊ ሆነች።")</f>
        <v>በ1975 ፈረንሳይ ከአፍሪካ ውጪ የመጀመሪያዋ የአለም ዋንጫ አሸናፊ ሆነች።</v>
      </c>
    </row>
    <row r="107" ht="22.5" customHeight="1">
      <c r="A107" s="3">
        <v>106.0</v>
      </c>
      <c r="B107" s="4" t="s">
        <v>790</v>
      </c>
      <c r="C107" s="4" t="s">
        <v>791</v>
      </c>
      <c r="D107" s="4" t="s">
        <v>792</v>
      </c>
      <c r="E107" s="4" t="s">
        <v>792</v>
      </c>
      <c r="G107" s="5" t="str">
        <f>IFERROR(__xludf.DUMMYFUNCTION(" GOOGLETRANSLATE(A107, ""en"", ""am"")"),"106")</f>
        <v>106</v>
      </c>
      <c r="H107" s="5" t="str">
        <f>IFERROR(__xludf.DUMMYFUNCTION(" GOOGLETRANSLATE(B107, ""en"", ""am"")"),"በ 1960 የመጀመሪያውን የዓለም ዋንጫ ያሸነፈው የትኛው አፍሪካዊ ሀገር ነው?")</f>
        <v>በ 1960 የመጀመሪያውን የዓለም ዋንጫ ያሸነፈው የትኛው አፍሪካዊ ሀገር ነው?</v>
      </c>
      <c r="I107" s="5" t="str">
        <f>IFERROR(__xludf.DUMMYFUNCTION(" GOOGLETRANSLATE(C107, ""en"", ""am"")"),"ኣብ ሱዳን ብ ናይጄሪያ ሲ ኬኒያ ዲ. ግብፅ")</f>
        <v>ኣብ ሱዳን ብ ናይጄሪያ ሲ ኬኒያ ዲ. ግብፅ</v>
      </c>
      <c r="J107" s="5" t="str">
        <f>IFERROR(__xludf.DUMMYFUNCTION(" GOOGLETRANSLATE(D107, ""en"", ""am"")"),"ግብፅ በ 1960 የመጀመሪያውን የዓለም ሻምፒዮና አሸንፋለች ፣ ይህም ለስፖርቱ ትልቅ ስኬት ነው።")</f>
        <v>ግብፅ በ 1960 የመጀመሪያውን የዓለም ሻምፒዮና አሸንፋለች ፣ ይህም ለስፖርቱ ትልቅ ስኬት ነው።</v>
      </c>
      <c r="K107" s="5" t="str">
        <f>IFERROR(__xludf.DUMMYFUNCTION(" GOOGLETRANSLATE(E107, ""en"", ""am"")"),"ግብፅ በ 1960 የመጀመሪያውን የዓለም ሻምፒዮና አሸንፋለች ፣ ይህም ለስፖርቱ ትልቅ ስኬት ነው።")</f>
        <v>ግብፅ በ 1960 የመጀመሪያውን የዓለም ሻምፒዮና አሸንፋለች ፣ ይህም ለስፖርቱ ትልቅ ስኬት ነው።</v>
      </c>
    </row>
    <row r="108" ht="22.5" customHeight="1">
      <c r="A108" s="3">
        <v>107.0</v>
      </c>
      <c r="B108" s="4" t="s">
        <v>793</v>
      </c>
      <c r="C108" s="4" t="s">
        <v>794</v>
      </c>
      <c r="D108" s="4" t="s">
        <v>795</v>
      </c>
      <c r="E108" s="4" t="s">
        <v>795</v>
      </c>
      <c r="G108" s="5" t="str">
        <f>IFERROR(__xludf.DUMMYFUNCTION(" GOOGLETRANSLATE(A108, ""en"", ""am"")"),"107")</f>
        <v>107</v>
      </c>
      <c r="H108" s="5" t="str">
        <f>IFERROR(__xludf.DUMMYFUNCTION(" GOOGLETRANSLATE(B108, ""en"", ""am"")"),"የመጀመሪያውን ዓለም አቀፍ የሴቶች የፈረሰኞች ውድድር ያዘጋጀው የትኛው ሀገር ነው?")</f>
        <v>የመጀመሪያውን ዓለም አቀፍ የሴቶች የፈረሰኞች ውድድር ያዘጋጀው የትኛው ሀገር ነው?</v>
      </c>
      <c r="I108" s="5" t="str">
        <f>IFERROR(__xludf.DUMMYFUNCTION(" GOOGLETRANSLATE(C108, ""en"", ""am"")"),"ኤ ናይጄሪያ ቢ. ግብፅ ሲ ደቡብ አፍሪካ ዲ ኬኒያ")</f>
        <v>ኤ ናይጄሪያ ቢ. ግብፅ ሲ ደቡብ አፍሪካ ዲ ኬኒያ</v>
      </c>
      <c r="J108" s="5" t="str">
        <f>IFERROR(__xludf.DUMMYFUNCTION(" GOOGLETRANSLATE(D108, ""en"", ""am"")"),"ኬንያ በ1990 የመጀመሪያውን ዓለም አቀፍ የሴቶች ውድድር አዘጋጅታለች።")</f>
        <v>ኬንያ በ1990 የመጀመሪያውን ዓለም አቀፍ የሴቶች ውድድር አዘጋጅታለች።</v>
      </c>
      <c r="K108" s="5" t="str">
        <f>IFERROR(__xludf.DUMMYFUNCTION(" GOOGLETRANSLATE(E108, ""en"", ""am"")"),"ኬንያ በ1990 የመጀመሪያውን ዓለም አቀፍ የሴቶች ውድድር አዘጋጅታለች።")</f>
        <v>ኬንያ በ1990 የመጀመሪያውን ዓለም አቀፍ የሴቶች ውድድር አዘጋጅታለች።</v>
      </c>
    </row>
    <row r="109" ht="22.5" customHeight="1">
      <c r="A109" s="3">
        <v>108.0</v>
      </c>
      <c r="B109" s="4" t="s">
        <v>796</v>
      </c>
      <c r="C109" s="4" t="s">
        <v>797</v>
      </c>
      <c r="D109" s="4" t="s">
        <v>798</v>
      </c>
      <c r="E109" s="4" t="s">
        <v>798</v>
      </c>
      <c r="G109" s="5" t="str">
        <f>IFERROR(__xludf.DUMMYFUNCTION(" GOOGLETRANSLATE(A109, ""en"", ""am"")"),"108")</f>
        <v>108</v>
      </c>
      <c r="H109" s="5" t="str">
        <f>IFERROR(__xludf.DUMMYFUNCTION(" GOOGLETRANSLATE(B109, ""en"", ""am"")"),"የትኛው አገር ነው የፈረስ እሽቅድምድም ብሔራዊ ፌዴሬሽን ያቋቋመው?")</f>
        <v>የትኛው አገር ነው የፈረስ እሽቅድምድም ብሔራዊ ፌዴሬሽን ያቋቋመው?</v>
      </c>
      <c r="I109" s="5" t="str">
        <f>IFERROR(__xludf.DUMMYFUNCTION(" GOOGLETRANSLATE(C109, ""en"", ""am"")"),"አ.ሱዳን ቢ. ግብፅ ሲ.ኬንያ ዲ.ሱዳን")</f>
        <v>አ.ሱዳን ቢ. ግብፅ ሲ.ኬንያ ዲ.ሱዳን</v>
      </c>
      <c r="J109" s="5" t="str">
        <f>IFERROR(__xludf.DUMMYFUNCTION(" GOOGLETRANSLATE(D109, ""en"", ""am"")"),"ሱዳን በ1952 የፈረሰኞች ስፖርት የመጀመሪያውን ብሔራዊ ፌዴሬሽን አቋቋመች።")</f>
        <v>ሱዳን በ1952 የፈረሰኞች ስፖርት የመጀመሪያውን ብሔራዊ ፌዴሬሽን አቋቋመች።</v>
      </c>
      <c r="K109" s="5" t="str">
        <f>IFERROR(__xludf.DUMMYFUNCTION(" GOOGLETRANSLATE(E109, ""en"", ""am"")"),"ሱዳን በ1952 የፈረሰኞች ስፖርት የመጀመሪያውን ብሔራዊ ፌዴሬሽን አቋቋመች።")</f>
        <v>ሱዳን በ1952 የፈረሰኞች ስፖርት የመጀመሪያውን ብሔራዊ ፌዴሬሽን አቋቋመች።</v>
      </c>
    </row>
    <row r="110" ht="22.5" customHeight="1">
      <c r="A110" s="3">
        <v>109.0</v>
      </c>
      <c r="B110" s="4" t="s">
        <v>799</v>
      </c>
      <c r="C110" s="4" t="s">
        <v>800</v>
      </c>
      <c r="D110" s="4" t="s">
        <v>801</v>
      </c>
      <c r="E110" s="4" t="s">
        <v>801</v>
      </c>
      <c r="G110" s="5" t="str">
        <f>IFERROR(__xludf.DUMMYFUNCTION(" GOOGLETRANSLATE(A110, ""en"", ""am"")"),"109")</f>
        <v>109</v>
      </c>
      <c r="H110" s="5" t="str">
        <f>IFERROR(__xludf.DUMMYFUNCTION(" GOOGLETRANSLATE(B110, ""en"", ""am"")"),"በ 2005 የፌራስ ጉክስ ስፖርትን ስም ከፍ ለማድረግ የረዳው የትኛው ዋና ዓለም አቀፍ ክስተት ነው?")</f>
        <v>በ 2005 የፌራስ ጉክስ ስፖርትን ስም ከፍ ለማድረግ የረዳው የትኛው ዋና ዓለም አቀፍ ክስተት ነው?</v>
      </c>
      <c r="I110" s="5" t="str">
        <f>IFERROR(__xludf.DUMMYFUNCTION(" GOOGLETRANSLATE(C110, ""en"", ""am"")"),"ሀ. የኢንተርናሽናል ስርጭት መግቢያ ለ. የመጀመሪያው የኦሎምፒክ መልክ ሐ. በአውሮፓ የፕሮፌሽናል ሊግ መጀመር D. የዓለም ሻምፒዮና በፈረንሳይ")</f>
        <v>ሀ. የኢንተርናሽናል ስርጭት መግቢያ ለ. የመጀመሪያው የኦሎምፒክ መልክ ሐ. በአውሮፓ የፕሮፌሽናል ሊግ መጀመር D. የዓለም ሻምፒዮና በፈረንሳይ</v>
      </c>
      <c r="J110" s="5" t="str">
        <f>IFERROR(__xludf.DUMMYFUNCTION(" GOOGLETRANSLATE(D110, ""en"", ""am"")"),"እ.ኤ.አ. በ 2005 በፈረንሳይ የተካሄደው የዓለም ሻምፒዮና የፈረስ እሽቅድምድም ስፖርቱን በዓለም አቀፍ ደረጃ ከፍ ለማድረግ ረድቷል።")</f>
        <v>እ.ኤ.አ. በ 2005 በፈረንሳይ የተካሄደው የዓለም ሻምፒዮና የፈረስ እሽቅድምድም ስፖርቱን በዓለም አቀፍ ደረጃ ከፍ ለማድረግ ረድቷል።</v>
      </c>
      <c r="K110" s="5" t="str">
        <f>IFERROR(__xludf.DUMMYFUNCTION(" GOOGLETRANSLATE(E110, ""en"", ""am"")"),"እ.ኤ.አ. በ 2005 በፈረንሳይ የተካሄደው የዓለም ሻምፒዮና የፈረስ እሽቅድምድም ስፖርቱን በዓለም አቀፍ ደረጃ ከፍ ለማድረግ ረድቷል።")</f>
        <v>እ.ኤ.አ. በ 2005 በፈረንሳይ የተካሄደው የዓለም ሻምፒዮና የፈረስ እሽቅድምድም ስፖርቱን በዓለም አቀፍ ደረጃ ከፍ ለማድረግ ረድቷል።</v>
      </c>
    </row>
    <row r="111" ht="22.5" customHeight="1">
      <c r="A111" s="3">
        <v>110.0</v>
      </c>
      <c r="B111" s="4" t="s">
        <v>802</v>
      </c>
      <c r="C111" s="4" t="s">
        <v>803</v>
      </c>
      <c r="D111" s="4" t="s">
        <v>804</v>
      </c>
      <c r="E111" s="4" t="s">
        <v>804</v>
      </c>
      <c r="G111" s="5" t="str">
        <f>IFERROR(__xludf.DUMMYFUNCTION(" GOOGLETRANSLATE(A111, ""en"", ""am"")"),"110")</f>
        <v>110</v>
      </c>
      <c r="H111" s="5" t="str">
        <f>IFERROR(__xludf.DUMMYFUNCTION(" GOOGLETRANSLATE(B111, ""en"", ""am"")"),"ለፈረስ እሽቅድምድም የመጀመሪያውን ዓለም አቀፍ መመሪያ የፈጠረው የትኛው ድርጅት ነው?")</f>
        <v>ለፈረስ እሽቅድምድም የመጀመሪያውን ዓለም አቀፍ መመሪያ የፈጠረው የትኛው ድርጅት ነው?</v>
      </c>
      <c r="I111" s="5" t="str">
        <f>IFERROR(__xludf.DUMMYFUNCTION(" GOOGLETRANSLATE(C111, ""en"", ""am"")"),"ሀ. የአፍሪካ ስፖርት ህብረት ለ. አለም አቀፍ ኦሊምፒክ ኮሚቴ ሐ. የተባበሩት መንግስታት የስፖርት ድርጅት ዲ. የአለም የፈረስ እሽቅድምድም")</f>
        <v>ሀ. የአፍሪካ ስፖርት ህብረት ለ. አለም አቀፍ ኦሊምፒክ ኮሚቴ ሐ. የተባበሩት መንግስታት የስፖርት ድርጅት ዲ. የአለም የፈረስ እሽቅድምድም</v>
      </c>
      <c r="J111" s="5" t="str">
        <f>IFERROR(__xludf.DUMMYFUNCTION(" GOOGLETRANSLATE(D111, ""en"", ""am"")"),"የዓለም የፈረስ እሽቅድምድም ፌዴሬሽን በ1965 የመጀመሪያውን ዓለም አቀፍ መመሪያ ፈጠረ።")</f>
        <v>የዓለም የፈረስ እሽቅድምድም ፌዴሬሽን በ1965 የመጀመሪያውን ዓለም አቀፍ መመሪያ ፈጠረ።</v>
      </c>
      <c r="K111" s="5" t="str">
        <f>IFERROR(__xludf.DUMMYFUNCTION(" GOOGLETRANSLATE(E111, ""en"", ""am"")"),"የዓለም የፈረስ እሽቅድምድም ፌዴሬሽን በ1965 የመጀመሪያውን ዓለም አቀፍ መመሪያ ፈጠረ።")</f>
        <v>የዓለም የፈረስ እሽቅድምድም ፌዴሬሽን በ1965 የመጀመሪያውን ዓለም አቀፍ መመሪያ ፈጠረ።</v>
      </c>
    </row>
    <row r="112" ht="22.5" customHeight="1">
      <c r="A112" s="3">
        <v>111.0</v>
      </c>
      <c r="B112" s="4" t="s">
        <v>805</v>
      </c>
      <c r="C112" s="4" t="s">
        <v>806</v>
      </c>
      <c r="D112" s="4" t="s">
        <v>807</v>
      </c>
      <c r="E112" s="4" t="s">
        <v>807</v>
      </c>
      <c r="G112" s="5" t="str">
        <f>IFERROR(__xludf.DUMMYFUNCTION(" GOOGLETRANSLATE(A112, ""en"", ""am"")"),"111")</f>
        <v>111</v>
      </c>
      <c r="H112" s="5" t="str">
        <f>IFERROR(__xludf.DUMMYFUNCTION(" GOOGLETRANSLATE(B112, ""en"", ""am"")"),"የፈረስ እሽቅድምድም ስፖርትን ወደ ትምህርት ቤቶች ያስተዋወቀው የትኛው ሀገር ነው?")</f>
        <v>የፈረስ እሽቅድምድም ስፖርትን ወደ ትምህርት ቤቶች ያስተዋወቀው የትኛው ሀገር ነው?</v>
      </c>
      <c r="I112" s="5" t="str">
        <f>IFERROR(__xludf.DUMMYFUNCTION(" GOOGLETRANSLATE(C112, ""en"", ""am"")"),"ኣብ ኬንያ ብ ሞሮኮ ሲ ደቡብ ኣፍሪቃ ዲ.ኬንያ")</f>
        <v>ኣብ ኬንያ ብ ሞሮኮ ሲ ደቡብ ኣፍሪቃ ዲ.ኬንያ</v>
      </c>
      <c r="J112" s="5" t="str">
        <f>IFERROR(__xludf.DUMMYFUNCTION(" GOOGLETRANSLATE(D112, ""en"", ""am"")"),"ኬንያ በ1965 የፌራስ ጉክስን ስፖርት ለትምህርት ቤቶች አስተዋወቀችው የስፖርቱ እድገት አካል ነው።")</f>
        <v>ኬንያ በ1965 የፌራስ ጉክስን ስፖርት ለትምህርት ቤቶች አስተዋወቀችው የስፖርቱ እድገት አካል ነው።</v>
      </c>
      <c r="K112" s="5" t="str">
        <f>IFERROR(__xludf.DUMMYFUNCTION(" GOOGLETRANSLATE(E112, ""en"", ""am"")"),"ኬንያ በ1965 የፌራስ ጉክስን ስፖርት ለትምህርት ቤቶች አስተዋወቀችው የስፖርቱ እድገት አካል ነው።")</f>
        <v>ኬንያ በ1965 የፌራስ ጉክስን ስፖርት ለትምህርት ቤቶች አስተዋወቀችው የስፖርቱ እድገት አካል ነው።</v>
      </c>
    </row>
    <row r="113" ht="22.5" customHeight="1">
      <c r="A113" s="3">
        <v>112.0</v>
      </c>
      <c r="B113" s="4" t="s">
        <v>808</v>
      </c>
      <c r="C113" s="4" t="s">
        <v>809</v>
      </c>
      <c r="D113" s="4" t="s">
        <v>810</v>
      </c>
      <c r="E113" s="4" t="s">
        <v>810</v>
      </c>
      <c r="G113" s="5" t="str">
        <f>IFERROR(__xludf.DUMMYFUNCTION(" GOOGLETRANSLATE(A113, ""en"", ""am"")"),"112")</f>
        <v>112</v>
      </c>
      <c r="H113" s="5" t="str">
        <f>IFERROR(__xludf.DUMMYFUNCTION(" GOOGLETRANSLATE(B113, ""en"", ""am"")"),"የዓለም የሴቶች ሻምፒዮና በፈረሰኛ ስፖርት የመጀመርያው ሀገር የትኛው ነው?")</f>
        <v>የዓለም የሴቶች ሻምፒዮና በፈረሰኛ ስፖርት የመጀመርያው ሀገር የትኛው ነው?</v>
      </c>
      <c r="I113" s="5" t="str">
        <f>IFERROR(__xludf.DUMMYFUNCTION(" GOOGLETRANSLATE(C113, ""en"", ""am"")"),"ኣብ ሱዳን ብ ደቡብ ኣፍሪቃ ሲ.ሞሮኮ ዲ.ኬንያ")</f>
        <v>ኣብ ሱዳን ብ ደቡብ ኣፍሪቃ ሲ.ሞሮኮ ዲ.ኬንያ</v>
      </c>
      <c r="J113" s="5" t="str">
        <f>IFERROR(__xludf.DUMMYFUNCTION(" GOOGLETRANSLATE(D113, ""en"", ""am"")"),"ኬንያ ለፈረስ ጉግስ ስፖርት በ1995 ዓ.ም.")</f>
        <v>ኬንያ ለፈረስ ጉግስ ስፖርት በ1995 ዓ.ም.</v>
      </c>
      <c r="K113" s="5" t="str">
        <f>IFERROR(__xludf.DUMMYFUNCTION(" GOOGLETRANSLATE(E113, ""en"", ""am"")"),"ኬንያ ለፈረስ ጉግስ ስፖርት በ1995 ዓ.ም.")</f>
        <v>ኬንያ ለፈረስ ጉግስ ስፖርት በ1995 ዓ.ም.</v>
      </c>
    </row>
    <row r="114" ht="22.5" customHeight="1">
      <c r="A114" s="3">
        <v>113.0</v>
      </c>
      <c r="B114" s="4" t="s">
        <v>811</v>
      </c>
      <c r="C114" s="4" t="s">
        <v>812</v>
      </c>
      <c r="D114" s="4" t="s">
        <v>813</v>
      </c>
      <c r="E114" s="4" t="s">
        <v>813</v>
      </c>
      <c r="G114" s="5" t="str">
        <f>IFERROR(__xludf.DUMMYFUNCTION(" GOOGLETRANSLATE(A114, ""en"", ""am"")"),"113")</f>
        <v>113</v>
      </c>
      <c r="H114" s="5" t="str">
        <f>IFERROR(__xludf.DUMMYFUNCTION(" GOOGLETRANSLATE(B114, ""en"", ""am"")"),"የመጀመሪያውን አህጉራዊ የፈረሰኞች ስፖርት ውድድር ያዘጋጀው የትኛው ክልል ነው?")</f>
        <v>የመጀመሪያውን አህጉራዊ የፈረሰኞች ስፖርት ውድድር ያዘጋጀው የትኛው ክልል ነው?</v>
      </c>
      <c r="I114" s="5" t="str">
        <f>IFERROR(__xludf.DUMMYFUNCTION(" GOOGLETRANSLATE(C114, ""en"", ""am"")"),"አ.ምስራቅ አፍሪካ ቢ.ምዕራብ አፍሪካ ሐ. ደቡብ አፍሪካ D. ምዕራብ አፍሪካ")</f>
        <v>አ.ምስራቅ አፍሪካ ቢ.ምዕራብ አፍሪካ ሐ. ደቡብ አፍሪካ D. ምዕራብ አፍሪካ</v>
      </c>
      <c r="J114" s="5" t="str">
        <f>IFERROR(__xludf.DUMMYFUNCTION(" GOOGLETRANSLATE(D114, ""en"", ""am"")"),"እ.ኤ.አ. በ1960ዎቹ አህጉር አቀፍ የፈረሰኛ ስፖርት ውድድር በማዘጋጀት ምዕራብ አፍሪካ የመጀመሪያው ክልል ነበር።")</f>
        <v>እ.ኤ.አ. በ1960ዎቹ አህጉር አቀፍ የፈረሰኛ ስፖርት ውድድር በማዘጋጀት ምዕራብ አፍሪካ የመጀመሪያው ክልል ነበር።</v>
      </c>
      <c r="K114" s="5" t="str">
        <f>IFERROR(__xludf.DUMMYFUNCTION(" GOOGLETRANSLATE(E114, ""en"", ""am"")"),"እ.ኤ.አ. በ1960ዎቹ አህጉር አቀፍ የፈረሰኛ ስፖርት ውድድር በማዘጋጀት ምዕራብ አፍሪካ የመጀመሪያው ክልል ነበር።")</f>
        <v>እ.ኤ.አ. በ1960ዎቹ አህጉር አቀፍ የፈረሰኛ ስፖርት ውድድር በማዘጋጀት ምዕራብ አፍሪካ የመጀመሪያው ክልል ነበር።</v>
      </c>
    </row>
    <row r="115" ht="22.5" customHeight="1">
      <c r="A115" s="3">
        <v>114.0</v>
      </c>
      <c r="B115" s="4" t="s">
        <v>814</v>
      </c>
      <c r="C115" s="4" t="s">
        <v>815</v>
      </c>
      <c r="D115" s="4" t="s">
        <v>816</v>
      </c>
      <c r="E115" s="4" t="s">
        <v>816</v>
      </c>
      <c r="G115" s="5" t="str">
        <f>IFERROR(__xludf.DUMMYFUNCTION(" GOOGLETRANSLATE(A115, ""en"", ""am"")"),"114")</f>
        <v>114</v>
      </c>
      <c r="H115" s="5" t="str">
        <f>IFERROR(__xludf.DUMMYFUNCTION(" GOOGLETRANSLATE(B115, ""en"", ""am"")"),"በፈረሰኛ ስፖርት የአፍሪካ ብሄራዊ ቡድን ያልሆነን የመጀመሪያው አሰልጣኝ ማን ነበር?")</f>
        <v>በፈረሰኛ ስፖርት የአፍሪካ ብሄራዊ ቡድን ያልሆነን የመጀመሪያው አሰልጣኝ ማን ነበር?</v>
      </c>
      <c r="I115" s="5" t="str">
        <f>IFERROR(__xludf.DUMMYFUNCTION(" GOOGLETRANSLATE(C115, ""en"", ""am"")"),"ኤ ማርሴሎ ሊፒ ቢ ፒየር ዱፖንት ሲ. ክሪስ ተርነር ዲ ፒየር ዱፖንት")</f>
        <v>ኤ ማርሴሎ ሊፒ ቢ ፒየር ዱፖንት ሲ. ክሪስ ተርነር ዲ ፒየር ዱፖንት</v>
      </c>
      <c r="J115" s="5" t="str">
        <f>IFERROR(__xludf.DUMMYFUNCTION(" GOOGLETRANSLATE(D115, ""en"", ""am"")"),"ፒየር ዱፖንት በ1970 በፈረሰኛ ስፖርት የአፍሪካ ያልሆነ ብሄራዊ ቡድንን በማሰልጠን የመጀመሪያው አሰልጣኝ ነበር።")</f>
        <v>ፒየር ዱፖንት በ1970 በፈረሰኛ ስፖርት የአፍሪካ ያልሆነ ብሄራዊ ቡድንን በማሰልጠን የመጀመሪያው አሰልጣኝ ነበር።</v>
      </c>
      <c r="K115" s="5" t="str">
        <f>IFERROR(__xludf.DUMMYFUNCTION(" GOOGLETRANSLATE(E115, ""en"", ""am"")"),"ፒየር ዱፖንት በ1970 በፈረሰኛ ስፖርት የአፍሪካ ያልሆነ ብሄራዊ ቡድንን በማሰልጠን የመጀመሪያው አሰልጣኝ ነበር።")</f>
        <v>ፒየር ዱፖንት በ1970 በፈረሰኛ ስፖርት የአፍሪካ ያልሆነ ብሄራዊ ቡድንን በማሰልጠን የመጀመሪያው አሰልጣኝ ነበር።</v>
      </c>
    </row>
    <row r="116" ht="22.5" customHeight="1">
      <c r="A116" s="3">
        <v>115.0</v>
      </c>
      <c r="B116" s="4" t="s">
        <v>817</v>
      </c>
      <c r="C116" s="4" t="s">
        <v>818</v>
      </c>
      <c r="D116" s="4" t="s">
        <v>819</v>
      </c>
      <c r="E116" s="4" t="s">
        <v>819</v>
      </c>
      <c r="G116" s="5" t="str">
        <f>IFERROR(__xludf.DUMMYFUNCTION(" GOOGLETRANSLATE(A116, ""en"", ""am"")"),"115")</f>
        <v>115</v>
      </c>
      <c r="H116" s="5" t="str">
        <f>IFERROR(__xludf.DUMMYFUNCTION(" GOOGLETRANSLATE(B116, ""en"", ""am"")"),"በዓለም የመጀመሪያውን የዓለም ወጣቶች ሻምፒዮና ያዘጋጀው የትኛው ሀገር ነው?")</f>
        <v>በዓለም የመጀመሪያውን የዓለም ወጣቶች ሻምፒዮና ያዘጋጀው የትኛው ሀገር ነው?</v>
      </c>
      <c r="I116" s="5" t="str">
        <f>IFERROR(__xludf.DUMMYFUNCTION(" GOOGLETRANSLATE(C116, ""en"", ""am"")"),"አ.ኬንያ ቢ.ናይጄሪያ ሲ.ግብፅ ዲ.ኬንያ")</f>
        <v>አ.ኬንያ ቢ.ናይጄሪያ ሲ.ግብፅ ዲ.ኬንያ</v>
      </c>
      <c r="J116" s="5" t="str">
        <f>IFERROR(__xludf.DUMMYFUNCTION(" GOOGLETRANSLATE(D116, ""en"", ""am"")"),"ኬንያ በ1985 የመጀመሪያውን የዓለም ወጣቶች ሻምፒዮና አስተናግዳለች።")</f>
        <v>ኬንያ በ1985 የመጀመሪያውን የዓለም ወጣቶች ሻምፒዮና አስተናግዳለች።</v>
      </c>
      <c r="K116" s="5" t="str">
        <f>IFERROR(__xludf.DUMMYFUNCTION(" GOOGLETRANSLATE(E116, ""en"", ""am"")"),"ኬንያ በ1985 የመጀመሪያውን የዓለም ወጣቶች ሻምፒዮና አስተናግዳለች።")</f>
        <v>ኬንያ በ1985 የመጀመሪያውን የዓለም ወጣቶች ሻምፒዮና አስተናግዳለች።</v>
      </c>
    </row>
    <row r="117" ht="22.5" customHeight="1">
      <c r="A117" s="3">
        <v>116.0</v>
      </c>
      <c r="B117" s="4" t="s">
        <v>820</v>
      </c>
      <c r="C117" s="4" t="s">
        <v>821</v>
      </c>
      <c r="D117" s="4" t="s">
        <v>822</v>
      </c>
      <c r="E117" s="4" t="s">
        <v>822</v>
      </c>
      <c r="G117" s="5" t="str">
        <f>IFERROR(__xludf.DUMMYFUNCTION(" GOOGLETRANSLATE(A117, ""en"", ""am"")"),"116")</f>
        <v>116</v>
      </c>
      <c r="H117" s="5" t="str">
        <f>IFERROR(__xludf.DUMMYFUNCTION(" GOOGLETRANSLATE(B117, ""en"", ""am"")"),"ለፈረስ እሽቅድምድም የመጀመሪያውን ዓለም አቀፍ ውድድር የተመለከተው የትኛው አስርት ዓመት ነው?")</f>
        <v>ለፈረስ እሽቅድምድም የመጀመሪያውን ዓለም አቀፍ ውድድር የተመለከተው የትኛው አስርት ዓመት ነው?</v>
      </c>
      <c r="I117" s="5" t="str">
        <f>IFERROR(__xludf.DUMMYFUNCTION(" GOOGLETRANSLATE(C117, ""en"", ""am"")"),"ኣብ 1960ታት ብ1970ታት 1980ታት ዲ.")</f>
        <v>ኣብ 1960ታት ብ1970ታት 1980ታት ዲ.</v>
      </c>
      <c r="J117" s="5" t="str">
        <f>IFERROR(__xludf.DUMMYFUNCTION(" GOOGLETRANSLATE(D117, ""en"", ""am"")"),"የመጀመሪያው ዓለም አቀፍ ውድድር የተካሄደው በ1960ዎቹ ነው።")</f>
        <v>የመጀመሪያው ዓለም አቀፍ ውድድር የተካሄደው በ1960ዎቹ ነው።</v>
      </c>
      <c r="K117" s="5" t="str">
        <f>IFERROR(__xludf.DUMMYFUNCTION(" GOOGLETRANSLATE(E117, ""en"", ""am"")"),"የመጀመሪያው ዓለም አቀፍ ውድድር የተካሄደው በ1960ዎቹ ነው።")</f>
        <v>የመጀመሪያው ዓለም አቀፍ ውድድር የተካሄደው በ1960ዎቹ ነው።</v>
      </c>
    </row>
    <row r="118" ht="22.5" customHeight="1">
      <c r="A118" s="3">
        <v>117.0</v>
      </c>
      <c r="B118" s="4" t="s">
        <v>823</v>
      </c>
      <c r="C118" s="4" t="s">
        <v>824</v>
      </c>
      <c r="D118" s="4" t="s">
        <v>825</v>
      </c>
      <c r="E118" s="4" t="s">
        <v>825</v>
      </c>
      <c r="G118" s="5" t="str">
        <f>IFERROR(__xludf.DUMMYFUNCTION(" GOOGLETRANSLATE(A118, ""en"", ""am"")"),"117")</f>
        <v>117</v>
      </c>
      <c r="H118" s="5" t="str">
        <f>IFERROR(__xludf.DUMMYFUNCTION(" GOOGLETRANSLATE(B118, ""en"", ""am"")"),"የፈረስ እሽቅድምድም ለመጀመሪያ ጊዜ በቴሌቪዥን የተላለፈው መቼ ነው?")</f>
        <v>የፈረስ እሽቅድምድም ለመጀመሪያ ጊዜ በቴሌቪዥን የተላለፈው መቼ ነው?</v>
      </c>
      <c r="I118" s="5" t="str">
        <f>IFERROR(__xludf.DUMMYFUNCTION(" GOOGLETRANSLATE(C118, ""en"", ""am"")"),"እ.ኤ.አ. 1980ዎቹ በ1990ዎቹ ዓ.ም. 2000ዎቹ ዲ. 1980ዎቹ")</f>
        <v>እ.ኤ.አ. 1980ዎቹ በ1990ዎቹ ዓ.ም. 2000ዎቹ ዲ. 1980ዎቹ</v>
      </c>
      <c r="J118" s="5" t="str">
        <f>IFERROR(__xludf.DUMMYFUNCTION(" GOOGLETRANSLATE(D118, ""en"", ""am"")"),"የፈረስ እሽቅድምድም ለመጀመሪያ ጊዜ በቴሌቪዥን የታየዉ በ1980ዎቹ ነው።")</f>
        <v>የፈረስ እሽቅድምድም ለመጀመሪያ ጊዜ በቴሌቪዥን የታየዉ በ1980ዎቹ ነው።</v>
      </c>
      <c r="K118" s="5" t="str">
        <f>IFERROR(__xludf.DUMMYFUNCTION(" GOOGLETRANSLATE(E118, ""en"", ""am"")"),"የፈረስ እሽቅድምድም ለመጀመሪያ ጊዜ በቴሌቪዥን የታየዉ በ1980ዎቹ ነው።")</f>
        <v>የፈረስ እሽቅድምድም ለመጀመሪያ ጊዜ በቴሌቪዥን የታየዉ በ1980ዎቹ ነው።</v>
      </c>
    </row>
    <row r="119" ht="22.5" customHeight="1">
      <c r="A119" s="3">
        <v>118.0</v>
      </c>
      <c r="B119" s="4" t="s">
        <v>826</v>
      </c>
      <c r="C119" s="4" t="s">
        <v>827</v>
      </c>
      <c r="D119" s="4" t="s">
        <v>828</v>
      </c>
      <c r="E119" s="4" t="s">
        <v>828</v>
      </c>
      <c r="G119" s="5" t="str">
        <f>IFERROR(__xludf.DUMMYFUNCTION(" GOOGLETRANSLATE(A119, ""en"", ""am"")"),"118")</f>
        <v>118</v>
      </c>
      <c r="H119" s="5" t="str">
        <f>IFERROR(__xludf.DUMMYFUNCTION(" GOOGLETRANSLATE(B119, ""en"", ""am"")"),"እ.ኤ.አ. በ 1992 የፈረስ እሽቅድምድም ስፖርት ዓለም አቀፍ መስፋፋት የትኛው ታሪካዊ ክስተት ነው?")</f>
        <v>እ.ኤ.አ. በ 1992 የፈረስ እሽቅድምድም ስፖርት ዓለም አቀፍ መስፋፋት የትኛው ታሪካዊ ክስተት ነው?</v>
      </c>
      <c r="I119" s="5" t="str">
        <f>IFERROR(__xludf.DUMMYFUNCTION(" GOOGLETRANSLATE(C119, ""en"", ""am"")"),"ሀ. የዓለም ሻምፒዮና በጃፓን ለ. የመጀመሪያው የኦሎምፒክ ኤግዚቢሽን ግጥሚያ ሐ. በአውሮፓ የፕሮፌሽናል ሊጎች መግቢያ D. የዓለም ሻምፒዮና በጃፓን")</f>
        <v>ሀ. የዓለም ሻምፒዮና በጃፓን ለ. የመጀመሪያው የኦሎምፒክ ኤግዚቢሽን ግጥሚያ ሐ. በአውሮፓ የፕሮፌሽናል ሊጎች መግቢያ D. የዓለም ሻምፒዮና በጃፓን</v>
      </c>
      <c r="J119" s="5" t="str">
        <f>IFERROR(__xludf.DUMMYFUNCTION(" GOOGLETRANSLATE(D119, ""en"", ""am"")"),"እ.ኤ.አ. በ1992 በጃፓን የተካሄደው የዓለም ሻምፒዮና ውድድር በዓለም አቀፍ ደረጃ የፈረስ ግልቢያ ስፖርቶችን ለማስፋት ትልቅ ምዕራፍ ነበር።")</f>
        <v>እ.ኤ.አ. በ1992 በጃፓን የተካሄደው የዓለም ሻምፒዮና ውድድር በዓለም አቀፍ ደረጃ የፈረስ ግልቢያ ስፖርቶችን ለማስፋት ትልቅ ምዕራፍ ነበር።</v>
      </c>
      <c r="K119" s="5" t="str">
        <f>IFERROR(__xludf.DUMMYFUNCTION(" GOOGLETRANSLATE(E119, ""en"", ""am"")"),"እ.ኤ.አ. በ1992 በጃፓን የተካሄደው የዓለም ሻምፒዮና ውድድር በዓለም አቀፍ ደረጃ የፈረስ ግልቢያ ስፖርቶችን ለማስፋት ትልቅ ምዕራፍ ነበር።")</f>
        <v>እ.ኤ.አ. በ1992 በጃፓን የተካሄደው የዓለም ሻምፒዮና ውድድር በዓለም አቀፍ ደረጃ የፈረስ ግልቢያ ስፖርቶችን ለማስፋት ትልቅ ምዕራፍ ነበር።</v>
      </c>
    </row>
    <row r="120" ht="22.5" customHeight="1">
      <c r="A120" s="3">
        <v>119.0</v>
      </c>
      <c r="B120" s="4" t="s">
        <v>829</v>
      </c>
      <c r="C120" s="4" t="s">
        <v>830</v>
      </c>
      <c r="D120" s="4" t="s">
        <v>831</v>
      </c>
      <c r="E120" s="4" t="s">
        <v>831</v>
      </c>
      <c r="G120" s="5" t="str">
        <f>IFERROR(__xludf.DUMMYFUNCTION(" GOOGLETRANSLATE(A120, ""en"", ""am"")"),"119")</f>
        <v>119</v>
      </c>
      <c r="H120" s="5" t="str">
        <f>IFERROR(__xludf.DUMMYFUNCTION(" GOOGLETRANSLATE(B120, ""en"", ""am"")"),"በፈረስ እሽቅድምድም ስፖርት ውስጥ የመጀመሪያው ተጫዋች ማን ነበር?")</f>
        <v>በፈረስ እሽቅድምድም ስፖርት ውስጥ የመጀመሪያው ተጫዋች ማን ነበር?</v>
      </c>
      <c r="I120" s="5" t="str">
        <f>IFERROR(__xludf.DUMMYFUNCTION(" GOOGLETRANSLATE(C120, ""en"", ""am"")"),"አ. ሙሀመድ አሊ ቢ አብደልፈታህ ሲ.ሰለሞን ዋንያማ ዲ አብደልፈታህ")</f>
        <v>አ. ሙሀመድ አሊ ቢ አብደልፈታህ ሲ.ሰለሞን ዋንያማ ዲ አብደልፈታህ</v>
      </c>
      <c r="J120" s="5" t="str">
        <f>IFERROR(__xludf.DUMMYFUNCTION(" GOOGLETRANSLATE(D120, ""en"", ""am"")"),"አብደል ፋታህ በ1963 የመጀመሪያውን ፍፁም ጨዋታ አስቆጥሯል፣ ይህም ለተጫዋቾች አዲስ መስፈርት አዘጋጅቷል።")</f>
        <v>አብደል ፋታህ በ1963 የመጀመሪያውን ፍፁም ጨዋታ አስቆጥሯል፣ ይህም ለተጫዋቾች አዲስ መስፈርት አዘጋጅቷል።</v>
      </c>
      <c r="K120" s="5" t="str">
        <f>IFERROR(__xludf.DUMMYFUNCTION(" GOOGLETRANSLATE(E120, ""en"", ""am"")"),"አብደል ፋታህ በ1963 የመጀመሪያውን ፍፁም ጨዋታ አስቆጥሯል፣ ይህም ለተጫዋቾች አዲስ መስፈርት አዘጋጅቷል።")</f>
        <v>አብደል ፋታህ በ1963 የመጀመሪያውን ፍፁም ጨዋታ አስቆጥሯል፣ ይህም ለተጫዋቾች አዲስ መስፈርት አዘጋጅቷል።</v>
      </c>
    </row>
    <row r="121" ht="22.5" customHeight="1">
      <c r="A121" s="3">
        <v>120.0</v>
      </c>
      <c r="B121" s="4" t="s">
        <v>832</v>
      </c>
      <c r="C121" s="4" t="s">
        <v>833</v>
      </c>
      <c r="D121" s="4" t="s">
        <v>834</v>
      </c>
      <c r="E121" s="4" t="s">
        <v>834</v>
      </c>
      <c r="G121" s="5" t="str">
        <f>IFERROR(__xludf.DUMMYFUNCTION(" GOOGLETRANSLATE(A121, ""en"", ""am"")"),"120")</f>
        <v>120</v>
      </c>
      <c r="H121" s="5" t="str">
        <f>IFERROR(__xludf.DUMMYFUNCTION(" GOOGLETRANSLATE(B121, ""en"", ""am"")"),"የፈረስ እሽቅድምድም ብሔራዊ የደረጃ አሰጣጥ ሥርዓት ተግባራዊ ያደረገው የትኛው አገር ነው?")</f>
        <v>የፈረስ እሽቅድምድም ብሔራዊ የደረጃ አሰጣጥ ሥርዓት ተግባራዊ ያደረገው የትኛው አገር ነው?</v>
      </c>
      <c r="I121" s="5" t="str">
        <f>IFERROR(__xludf.DUMMYFUNCTION(" GOOGLETRANSLATE(C121, ""en"", ""am"")"),"አ.ኬንያ ቢ. ግብፅ ሲ. ሞሮኮ ዲ. ግብፅ")</f>
        <v>አ.ኬንያ ቢ. ግብፅ ሲ. ሞሮኮ ዲ. ግብፅ</v>
      </c>
      <c r="J121" s="5" t="str">
        <f>IFERROR(__xludf.DUMMYFUNCTION(" GOOGLETRANSLATE(D121, ""en"", ""am"")"),"በ1965 የፈረሰኛ ስፖርት ብሔራዊ የደረጃ አሰጣጥ ስርዓትን ተግባራዊ ያደረገች የመጀመሪያዋ ሀገር ግብፅ ነበረች።")</f>
        <v>በ1965 የፈረሰኛ ስፖርት ብሔራዊ የደረጃ አሰጣጥ ስርዓትን ተግባራዊ ያደረገች የመጀመሪያዋ ሀገር ግብፅ ነበረች።</v>
      </c>
      <c r="K121" s="5" t="str">
        <f>IFERROR(__xludf.DUMMYFUNCTION(" GOOGLETRANSLATE(E121, ""en"", ""am"")"),"በ1965 የፈረሰኛ ስፖርት ብሔራዊ የደረጃ አሰጣጥ ስርዓትን ተግባራዊ ያደረገች የመጀመሪያዋ ሀገር ግብፅ ነበረች።")</f>
        <v>በ1965 የፈረሰኛ ስፖርት ብሔራዊ የደረጃ አሰጣጥ ስርዓትን ተግባራዊ ያደረገች የመጀመሪያዋ ሀገር ግብፅ ነበረች።</v>
      </c>
    </row>
    <row r="122" ht="22.5" customHeight="1">
      <c r="A122" s="3">
        <v>121.0</v>
      </c>
      <c r="B122" s="4" t="s">
        <v>835</v>
      </c>
      <c r="C122" s="4" t="s">
        <v>836</v>
      </c>
      <c r="D122" s="4" t="s">
        <v>837</v>
      </c>
      <c r="E122" s="4" t="s">
        <v>837</v>
      </c>
      <c r="G122" s="5" t="str">
        <f>IFERROR(__xludf.DUMMYFUNCTION(" GOOGLETRANSLATE(A122, ""en"", ""am"")"),"121")</f>
        <v>121</v>
      </c>
      <c r="H122" s="5" t="str">
        <f>IFERROR(__xludf.DUMMYFUNCTION(" GOOGLETRANSLATE(B122, ""en"", ""am"")"),"በ1980ዎቹ የፈረስ እሽቅድምድም ተወዳጅነትን ለማሳደግ የረዳው የትኛው ዋና ክስተት ነው?")</f>
        <v>በ1980ዎቹ የፈረስ እሽቅድምድም ተወዳጅነትን ለማሳደግ የረዳው የትኛው ዋና ክስተት ነው?</v>
      </c>
      <c r="I122" s="5" t="str">
        <f>IFERROR(__xludf.DUMMYFUNCTION(" GOOGLETRANSLATE(C122, ""en"", ""am"")"),"ሀ. ኢንተርናሽናል ሊግ መግቢያ ለ. የመጀመሪያው የሴቶች ዓለም አቀፍ ውድድር ሐ. የድብልቅ ጾታ ውድድር መግቢያ መ. የመጀመሪያው ዓለም አቀፍ የቴሌቪዥን ስርጭት")</f>
        <v>ሀ. ኢንተርናሽናል ሊግ መግቢያ ለ. የመጀመሪያው የሴቶች ዓለም አቀፍ ውድድር ሐ. የድብልቅ ጾታ ውድድር መግቢያ መ. የመጀመሪያው ዓለም አቀፍ የቴሌቪዥን ስርጭት</v>
      </c>
      <c r="J122" s="5" t="str">
        <f>IFERROR(__xludf.DUMMYFUNCTION(" GOOGLETRANSLATE(D122, ""en"", ""am"")"),"እ.ኤ.አ. በ 1980 የመጀመሪያው ዓለም አቀፍ የቴሌቭዥን ስርጭት የፈረስ እሽቅድምድም ስፖርቱን ተወዳጅ ለማድረግ ረድቷል ።")</f>
        <v>እ.ኤ.አ. በ 1980 የመጀመሪያው ዓለም አቀፍ የቴሌቭዥን ስርጭት የፈረስ እሽቅድምድም ስፖርቱን ተወዳጅ ለማድረግ ረድቷል ።</v>
      </c>
      <c r="K122" s="5" t="str">
        <f>IFERROR(__xludf.DUMMYFUNCTION(" GOOGLETRANSLATE(E122, ""en"", ""am"")"),"እ.ኤ.አ. በ 1980 የመጀመሪያው ዓለም አቀፍ የቴሌቭዥን ስርጭት የፈረስ እሽቅድምድም ስፖርቱን ተወዳጅ ለማድረግ ረድቷል ።")</f>
        <v>እ.ኤ.አ. በ 1980 የመጀመሪያው ዓለም አቀፍ የቴሌቭዥን ስርጭት የፈረስ እሽቅድምድም ስፖርቱን ተወዳጅ ለማድረግ ረድቷል ።</v>
      </c>
    </row>
    <row r="123" ht="22.5" customHeight="1">
      <c r="A123" s="3">
        <v>122.0</v>
      </c>
      <c r="B123" s="4" t="s">
        <v>838</v>
      </c>
      <c r="C123" s="4" t="s">
        <v>839</v>
      </c>
      <c r="D123" s="4" t="s">
        <v>840</v>
      </c>
      <c r="E123" s="4" t="s">
        <v>840</v>
      </c>
      <c r="G123" s="5" t="str">
        <f>IFERROR(__xludf.DUMMYFUNCTION(" GOOGLETRANSLATE(A123, ""en"", ""am"")"),"122")</f>
        <v>122</v>
      </c>
      <c r="H123" s="5" t="str">
        <f>IFERROR(__xludf.DUMMYFUNCTION(" GOOGLETRANSLATE(B123, ""en"", ""am"")"),"በፈረስ እሽቅድምድም ለመጀመሪያ ጊዜ የዓለም ሻምፒዮና ያዘጋጀው የትኛው የአፍሪካ ሀገር ነው?")</f>
        <v>በፈረስ እሽቅድምድም ለመጀመሪያ ጊዜ የዓለም ሻምፒዮና ያዘጋጀው የትኛው የአፍሪካ ሀገር ነው?</v>
      </c>
      <c r="I123" s="5" t="str">
        <f>IFERROR(__xludf.DUMMYFUNCTION(" GOOGLETRANSLATE(C123, ""en"", ""am"")"),"ኣብ ሞሮኮ ብ ደቡብ ኣፍሪቃ ሲ ናይጄሪያ ዲ.ኬንያ")</f>
        <v>ኣብ ሞሮኮ ብ ደቡብ ኣፍሪቃ ሲ ናይጄሪያ ዲ.ኬንያ</v>
      </c>
      <c r="J123" s="5" t="str">
        <f>IFERROR(__xludf.DUMMYFUNCTION(" GOOGLETRANSLATE(D123, ""en"", ""am"")"),"ኬንያ እ.ኤ.አ. በ1967 የዓለም ሻምፒዮናውን በማዘጋጀት የመጀመሪያዋ አፍሪካዊት ሀገር ነበረች።")</f>
        <v>ኬንያ እ.ኤ.አ. በ1967 የዓለም ሻምፒዮናውን በማዘጋጀት የመጀመሪያዋ አፍሪካዊት ሀገር ነበረች።</v>
      </c>
      <c r="K123" s="5" t="str">
        <f>IFERROR(__xludf.DUMMYFUNCTION(" GOOGLETRANSLATE(E123, ""en"", ""am"")"),"ኬንያ እ.ኤ.አ. በ1967 የዓለም ሻምፒዮናውን በማዘጋጀት የመጀመሪያዋ አፍሪካዊት ሀገር ነበረች።")</f>
        <v>ኬንያ እ.ኤ.አ. በ1967 የዓለም ሻምፒዮናውን በማዘጋጀት የመጀመሪያዋ አፍሪካዊት ሀገር ነበረች።</v>
      </c>
    </row>
    <row r="124" ht="22.5" customHeight="1">
      <c r="A124" s="3">
        <v>123.0</v>
      </c>
      <c r="B124" s="4" t="s">
        <v>841</v>
      </c>
      <c r="C124" s="4" t="s">
        <v>842</v>
      </c>
      <c r="D124" s="4" t="s">
        <v>843</v>
      </c>
      <c r="E124" s="4" t="s">
        <v>843</v>
      </c>
      <c r="G124" s="5" t="str">
        <f>IFERROR(__xludf.DUMMYFUNCTION(" GOOGLETRANSLATE(A124, ""en"", ""am"")"),"123")</f>
        <v>123</v>
      </c>
      <c r="H124" s="5" t="str">
        <f>IFERROR(__xludf.DUMMYFUNCTION(" GOOGLETRANSLATE(B124, ""en"", ""am"")"),"ለፈረስ እሽቅድምድም ለመጫወት ከአንድ የአውሮፓ ክለብ ጋር ውል የፈረመ የመጀመሪያው አፍሪካዊ ተጫዋች ማን ነበር?")</f>
        <v>ለፈረስ እሽቅድምድም ለመጫወት ከአንድ የአውሮፓ ክለብ ጋር ውል የፈረመ የመጀመሪያው አፍሪካዊ ተጫዋች ማን ነበር?</v>
      </c>
      <c r="I124" s="5" t="str">
        <f>IFERROR(__xludf.DUMMYFUNCTION(" GOOGLETRANSLATE(C124, ""en"", ""am"")"),"አ. ሰሚር ኢብራሂም ቢ. ማህሙድ ናስር ሲ. አሚር ኡድራጎ ዲ. ታሪቅ አል ሀሰን")</f>
        <v>አ. ሰሚር ኢብራሂም ቢ. ማህሙድ ናስር ሲ. አሚር ኡድራጎ ዲ. ታሪቅ አል ሀሰን</v>
      </c>
      <c r="J124" s="5" t="str">
        <f>IFERROR(__xludf.DUMMYFUNCTION(" GOOGLETRANSLATE(D124, ""en"", ""am"")"),"ታሪቅ አል ሀሰን በ1982 ለአንድ የአውሮፓ ክለብ የፈረመ የመጀመሪያው አፍሪካዊ ተጫዋች ነው።")</f>
        <v>ታሪቅ አል ሀሰን በ1982 ለአንድ የአውሮፓ ክለብ የፈረመ የመጀመሪያው አፍሪካዊ ተጫዋች ነው።</v>
      </c>
      <c r="K124" s="5" t="str">
        <f>IFERROR(__xludf.DUMMYFUNCTION(" GOOGLETRANSLATE(E124, ""en"", ""am"")"),"ታሪቅ አል ሀሰን በ1982 ለአንድ የአውሮፓ ክለብ የፈረመ የመጀመሪያው አፍሪካዊ ተጫዋች ነው።")</f>
        <v>ታሪቅ አል ሀሰን በ1982 ለአንድ የአውሮፓ ክለብ የፈረመ የመጀመሪያው አፍሪካዊ ተጫዋች ነው።</v>
      </c>
    </row>
    <row r="125" ht="22.5" customHeight="1">
      <c r="A125" s="3">
        <v>124.0</v>
      </c>
      <c r="B125" s="4" t="s">
        <v>844</v>
      </c>
      <c r="C125" s="4" t="s">
        <v>845</v>
      </c>
      <c r="D125" s="4" t="s">
        <v>846</v>
      </c>
      <c r="E125" s="4" t="s">
        <v>846</v>
      </c>
      <c r="G125" s="5" t="str">
        <f>IFERROR(__xludf.DUMMYFUNCTION(" GOOGLETRANSLATE(A125, ""en"", ""am"")"),"124")</f>
        <v>124</v>
      </c>
      <c r="H125" s="5" t="str">
        <f>IFERROR(__xludf.DUMMYFUNCTION(" GOOGLETRANSLATE(B125, ""en"", ""am"")"),"የትኛው አገር ነው የፈረስ እሽቅድምድም ስፖርት የብሔራዊ የትምህርት ሥርዓተ ትምህርት አካል አድርጎ ያስተዋወቀው?")</f>
        <v>የትኛው አገር ነው የፈረስ እሽቅድምድም ስፖርት የብሔራዊ የትምህርት ሥርዓተ ትምህርት አካል አድርጎ ያስተዋወቀው?</v>
      </c>
      <c r="I125" s="5" t="str">
        <f>IFERROR(__xludf.DUMMYFUNCTION(" GOOGLETRANSLATE(C125, ""en"", ""am"")"),"ኣብ ኢትዮጵያ ብ ሱዳን ሲ ደቡብ ኣፍሪቃ ዲ.ኬንያ")</f>
        <v>ኣብ ኢትዮጵያ ብ ሱዳን ሲ ደቡብ ኣፍሪቃ ዲ.ኬንያ</v>
      </c>
      <c r="J125" s="5" t="str">
        <f>IFERROR(__xludf.DUMMYFUNCTION(" GOOGLETRANSLATE(D125, ""en"", ""am"")"),"ኬንያ የፌራስ ጉክስ ስፖርትን በትምህርት ቤቶች ውስጥ እንደ የስርዓተ ትምህርቱ አካል አስተዋወቀች በ1975።")</f>
        <v>ኬንያ የፌራስ ጉክስ ስፖርትን በትምህርት ቤቶች ውስጥ እንደ የስርዓተ ትምህርቱ አካል አስተዋወቀች በ1975።</v>
      </c>
      <c r="K125" s="5" t="str">
        <f>IFERROR(__xludf.DUMMYFUNCTION(" GOOGLETRANSLATE(E125, ""en"", ""am"")"),"ኬንያ የፌራስ ጉክስ ስፖርትን በትምህርት ቤቶች ውስጥ እንደ የስርዓተ ትምህርቱ አካል አስተዋወቀች በ1975።")</f>
        <v>ኬንያ የፌራስ ጉክስ ስፖርትን በትምህርት ቤቶች ውስጥ እንደ የስርዓተ ትምህርቱ አካል አስተዋወቀች በ1975።</v>
      </c>
    </row>
    <row r="126" ht="22.5" customHeight="1">
      <c r="A126" s="3">
        <v>125.0</v>
      </c>
      <c r="B126" s="4" t="s">
        <v>847</v>
      </c>
      <c r="C126" s="4" t="s">
        <v>848</v>
      </c>
      <c r="D126" s="4" t="s">
        <v>849</v>
      </c>
      <c r="E126" s="4" t="s">
        <v>849</v>
      </c>
      <c r="G126" s="5" t="str">
        <f>IFERROR(__xludf.DUMMYFUNCTION(" GOOGLETRANSLATE(A126, ""en"", ""am"")"),"125")</f>
        <v>125</v>
      </c>
      <c r="H126" s="5" t="str">
        <f>IFERROR(__xludf.DUMMYFUNCTION(" GOOGLETRANSLATE(B126, ""en"", ""am"")"),"በ1980ዎቹ የፈረስ እሽቅድምድም ስፖርት ዓለም አቀፍ መስፋፋት ያስከተለው ታሪካዊ እድገት ምን ነበር?")</f>
        <v>በ1980ዎቹ የፈረስ እሽቅድምድም ስፖርት ዓለም አቀፍ መስፋፋት ያስከተለው ታሪካዊ እድገት ምን ነበር?</v>
      </c>
      <c r="I126" s="5" t="str">
        <f>IFERROR(__xludf.DUMMYFUNCTION(" GOOGLETRANSLATE(C126, ""en"", ""am"")"),"ሀ/ በቴሌቭዥን የተለቀቀው የመጀመሪያው አለም አቀፍ ውድድር ለ. በአውሮፓ የፕሮፌሽናል ሊግ ምስረታ ሐ. የአለም አቀፍ የተጫዋቾች ልውውጥ መርሃ ግብሮች መግቢያ መ. የአለም ፌዴሬሽን መመስረት")</f>
        <v>ሀ/ በቴሌቭዥን የተለቀቀው የመጀመሪያው አለም አቀፍ ውድድር ለ. በአውሮፓ የፕሮፌሽናል ሊግ ምስረታ ሐ. የአለም አቀፍ የተጫዋቾች ልውውጥ መርሃ ግብሮች መግቢያ መ. የአለም ፌዴሬሽን መመስረት</v>
      </c>
      <c r="J126" s="5" t="str">
        <f>IFERROR(__xludf.DUMMYFUNCTION(" GOOGLETRANSLATE(D126, ""en"", ""am"")"),"እ.ኤ.አ. በ 1980 ዎቹ የዓለም ፌዴሬሽን ምስረታ ዓለም አቀፍ መስፋፋትን አመቻችቷል።")</f>
        <v>እ.ኤ.አ. በ 1980 ዎቹ የዓለም ፌዴሬሽን ምስረታ ዓለም አቀፍ መስፋፋትን አመቻችቷል።</v>
      </c>
      <c r="K126" s="5" t="str">
        <f>IFERROR(__xludf.DUMMYFUNCTION(" GOOGLETRANSLATE(E126, ""en"", ""am"")"),"እ.ኤ.አ. በ 1980 ዎቹ የዓለም ፌዴሬሽን ምስረታ ዓለም አቀፍ መስፋፋትን አመቻችቷል።")</f>
        <v>እ.ኤ.አ. በ 1980 ዎቹ የዓለም ፌዴሬሽን ምስረታ ዓለም አቀፍ መስፋፋትን አመቻችቷል።</v>
      </c>
    </row>
    <row r="127" ht="22.5" customHeight="1">
      <c r="A127" s="3">
        <v>126.0</v>
      </c>
      <c r="B127" s="4" t="s">
        <v>850</v>
      </c>
      <c r="C127" s="4" t="s">
        <v>851</v>
      </c>
      <c r="D127" s="4" t="s">
        <v>852</v>
      </c>
      <c r="E127" s="4" t="s">
        <v>852</v>
      </c>
      <c r="G127" s="5" t="str">
        <f>IFERROR(__xludf.DUMMYFUNCTION(" GOOGLETRANSLATE(A127, ""en"", ""am"")"),"126")</f>
        <v>126</v>
      </c>
      <c r="H127" s="5" t="str">
        <f>IFERROR(__xludf.DUMMYFUNCTION(" GOOGLETRANSLATE(B127, ""en"", ""am"")"),"በፈረሰኛ ስፖርት ለመጀመሪያ ጊዜ የሴቶች የአለም ሻምፒዮና ያሸነፈው ሀገር የትኛው ነው?")</f>
        <v>በፈረሰኛ ስፖርት ለመጀመሪያ ጊዜ የሴቶች የአለም ሻምፒዮና ያሸነፈው ሀገር የትኛው ነው?</v>
      </c>
      <c r="I127" s="5" t="str">
        <f>IFERROR(__xludf.DUMMYFUNCTION(" GOOGLETRANSLATE(C127, ""en"", ""am"")"),"አ.ኬንያ ቢ. ግብፅ ሲ. ሞሮኮ ዲ ደቡብ አፍሪካ")</f>
        <v>አ.ኬንያ ቢ. ግብፅ ሲ. ሞሮኮ ዲ ደቡብ አፍሪካ</v>
      </c>
      <c r="J127" s="5" t="str">
        <f>IFERROR(__xludf.DUMMYFUNCTION(" GOOGLETRANSLATE(D127, ""en"", ""am"")"),"ደቡብ አፍሪካ በ1990 የመጀመሪያውን የሴቶች የዓለም ዋንጫ አሸንፋለች።")</f>
        <v>ደቡብ አፍሪካ በ1990 የመጀመሪያውን የሴቶች የዓለም ዋንጫ አሸንፋለች።</v>
      </c>
      <c r="K127" s="5" t="str">
        <f>IFERROR(__xludf.DUMMYFUNCTION(" GOOGLETRANSLATE(E127, ""en"", ""am"")"),"ደቡብ አፍሪካ በ1990 የመጀመሪያውን የሴቶች የዓለም ዋንጫ አሸንፋለች።")</f>
        <v>ደቡብ አፍሪካ በ1990 የመጀመሪያውን የሴቶች የዓለም ዋንጫ አሸንፋለች።</v>
      </c>
    </row>
    <row r="128" ht="22.5" customHeight="1">
      <c r="A128" s="3">
        <v>127.0</v>
      </c>
      <c r="B128" s="4" t="s">
        <v>853</v>
      </c>
      <c r="C128" s="4" t="s">
        <v>854</v>
      </c>
      <c r="D128" s="4" t="s">
        <v>855</v>
      </c>
      <c r="E128" s="4" t="s">
        <v>855</v>
      </c>
      <c r="G128" s="5" t="str">
        <f>IFERROR(__xludf.DUMMYFUNCTION(" GOOGLETRANSLATE(A128, ""en"", ""am"")"),"127")</f>
        <v>127</v>
      </c>
      <c r="H128" s="5" t="str">
        <f>IFERROR(__xludf.DUMMYFUNCTION(" GOOGLETRANSLATE(B128, ""en"", ""am"")"),"በ 1997 ለፈረስ እሽቅድምድም ምን ጉልህ ክስተት ተከስቷል?")</f>
        <v>በ 1997 ለፈረስ እሽቅድምድም ምን ጉልህ ክስተት ተከስቷል?</v>
      </c>
      <c r="I128" s="5" t="str">
        <f>IFERROR(__xludf.DUMMYFUNCTION(" GOOGLETRANSLATE(C128, ""en"", ""am"")"),"ሀ.የመጀመሪያው አለምአቀፍ ፕሮፌሽናል ሊግ ለ.የመጀመሪያ ቡድን ውድድር ሐ.የመጀመሪያው አለም አቀፍ የቴሌቭዥን ስርጭት D.የመጀመሪያው የአውሮፓ ሻምፒዮና")</f>
        <v>ሀ.የመጀመሪያው አለምአቀፍ ፕሮፌሽናል ሊግ ለ.የመጀመሪያ ቡድን ውድድር ሐ.የመጀመሪያው አለም አቀፍ የቴሌቭዥን ስርጭት D.የመጀመሪያው የአውሮፓ ሻምፒዮና</v>
      </c>
      <c r="J128" s="5" t="str">
        <f>IFERROR(__xludf.DUMMYFUNCTION(" GOOGLETRANSLATE(D128, ""en"", ""am"")"),"እ.ኤ.አ. በ 1997 የመጀመሪያው የአውሮፓ ሻምፒዮና የፈረስ ስፖርት ውድድር ተጀመረ።")</f>
        <v>እ.ኤ.አ. በ 1997 የመጀመሪያው የአውሮፓ ሻምፒዮና የፈረስ ስፖርት ውድድር ተጀመረ።</v>
      </c>
      <c r="K128" s="5" t="str">
        <f>IFERROR(__xludf.DUMMYFUNCTION(" GOOGLETRANSLATE(E128, ""en"", ""am"")"),"እ.ኤ.አ. በ 1997 የመጀመሪያው የአውሮፓ ሻምፒዮና የፈረስ ስፖርት ውድድር ተጀመረ።")</f>
        <v>እ.ኤ.አ. በ 1997 የመጀመሪያው የአውሮፓ ሻምፒዮና የፈረስ ስፖርት ውድድር ተጀመረ።</v>
      </c>
    </row>
    <row r="129" ht="22.5" customHeight="1">
      <c r="A129" s="3">
        <v>128.0</v>
      </c>
      <c r="B129" s="4" t="s">
        <v>856</v>
      </c>
      <c r="C129" s="4" t="s">
        <v>857</v>
      </c>
      <c r="D129" s="4" t="s">
        <v>858</v>
      </c>
      <c r="E129" s="4" t="s">
        <v>858</v>
      </c>
      <c r="G129" s="5" t="str">
        <f>IFERROR(__xludf.DUMMYFUNCTION(" GOOGLETRANSLATE(A129, ""en"", ""am"")"),"128")</f>
        <v>128</v>
      </c>
      <c r="H129" s="5" t="str">
        <f>IFERROR(__xludf.DUMMYFUNCTION(" GOOGLETRANSLATE(B129, ""en"", ""am"")"),"ከአፍሪካ ውጪ የመጀመሪያው ብሔራዊ የፈረስ እሽቅድምድም በየትኛው ዓመት ተቋቋመ?")</f>
        <v>ከአፍሪካ ውጪ የመጀመሪያው ብሔራዊ የፈረስ እሽቅድምድም በየትኛው ዓመት ተቋቋመ?</v>
      </c>
      <c r="I129" s="5" t="str">
        <f>IFERROR(__xludf.DUMMYFUNCTION(" GOOGLETRANSLATE(C129, ""en"", ""am"")"),"ኣብ 1990 ብ1995 ዓ.ም.2000 ድ.1985 ዓ.ም.")</f>
        <v>ኣብ 1990 ብ1995 ዓ.ም.2000 ድ.1985 ዓ.ም.</v>
      </c>
      <c r="J129" s="5" t="str">
        <f>IFERROR(__xludf.DUMMYFUNCTION(" GOOGLETRANSLATE(D129, ""en"", ""am"")"),"በ1985 ዓ.ም")</f>
        <v>በ1985 ዓ.ም</v>
      </c>
      <c r="K129" s="5" t="str">
        <f>IFERROR(__xludf.DUMMYFUNCTION(" GOOGLETRANSLATE(E129, ""en"", ""am"")"),"በ1985 ዓ.ም")</f>
        <v>በ1985 ዓ.ም</v>
      </c>
    </row>
    <row r="130" ht="22.5" customHeight="1">
      <c r="A130" s="3">
        <v>129.0</v>
      </c>
      <c r="B130" s="4" t="s">
        <v>859</v>
      </c>
      <c r="C130" s="4" t="s">
        <v>860</v>
      </c>
      <c r="D130" s="4" t="s">
        <v>861</v>
      </c>
      <c r="E130" s="4" t="s">
        <v>861</v>
      </c>
      <c r="G130" s="5" t="str">
        <f>IFERROR(__xludf.DUMMYFUNCTION(" GOOGLETRANSLATE(A130, ""en"", ""am"")"),"129")</f>
        <v>129</v>
      </c>
      <c r="H130" s="5" t="str">
        <f>IFERROR(__xludf.DUMMYFUNCTION(" GOOGLETRANSLATE(B130, ""en"", ""am"")"),"በፈረስ እሽቅድምድም ታሪክ ረጅሙን የአሸናፊነት ጉዞ በማስመዝገብ የሚታወቀው የትኛው ተጫዋች ነው?")</f>
        <v>በፈረስ እሽቅድምድም ታሪክ ረጅሙን የአሸናፊነት ጉዞ በማስመዝገብ የሚታወቀው የትኛው ተጫዋች ነው?</v>
      </c>
      <c r="I130" s="5" t="str">
        <f>IFERROR(__xludf.DUMMYFUNCTION(" GOOGLETRANSLATE(C130, ""en"", ""am"")"),"A. Salim Bakir B. Moussa Toure C. Khalid Omar D. Moussa Toure")</f>
        <v>A. Salim Bakir B. Moussa Toure C. Khalid Omar D. Moussa Toure</v>
      </c>
      <c r="J130" s="5" t="str">
        <f>IFERROR(__xludf.DUMMYFUNCTION(" GOOGLETRANSLATE(D130, ""en"", ""am"")"),"ሙሳ ቱሬ እ.ኤ.አ. ከ1983 እስከ 1985 በተከታታይ 18 ውድድሮችን በማሸነፍ በፈረስ እሽቅድምድም ታሪክ ረጅሙን የድል ጉዞ አስመዝግቧል።")</f>
        <v>ሙሳ ቱሬ እ.ኤ.አ. ከ1983 እስከ 1985 በተከታታይ 18 ውድድሮችን በማሸነፍ በፈረስ እሽቅድምድም ታሪክ ረጅሙን የድል ጉዞ አስመዝግቧል።</v>
      </c>
      <c r="K130" s="5" t="str">
        <f>IFERROR(__xludf.DUMMYFUNCTION(" GOOGLETRANSLATE(E130, ""en"", ""am"")"),"ሙሳ ቱሬ እ.ኤ.አ. ከ1983 እስከ 1985 በተከታታይ 18 ውድድሮችን በማሸነፍ በፈረስ እሽቅድምድም ታሪክ ረጅሙን የድል ጉዞ አስመዝግቧል።")</f>
        <v>ሙሳ ቱሬ እ.ኤ.አ. ከ1983 እስከ 1985 በተከታታይ 18 ውድድሮችን በማሸነፍ በፈረስ እሽቅድምድም ታሪክ ረጅሙን የድል ጉዞ አስመዝግቧል።</v>
      </c>
    </row>
    <row r="131" ht="22.5" customHeight="1">
      <c r="A131" s="3">
        <v>130.0</v>
      </c>
      <c r="B131" s="4" t="s">
        <v>862</v>
      </c>
      <c r="C131" s="4" t="s">
        <v>863</v>
      </c>
      <c r="D131" s="4" t="s">
        <v>864</v>
      </c>
      <c r="E131" s="4" t="s">
        <v>864</v>
      </c>
      <c r="G131" s="5" t="str">
        <f>IFERROR(__xludf.DUMMYFUNCTION(" GOOGLETRANSLATE(A131, ""en"", ""am"")"),"130")</f>
        <v>130</v>
      </c>
      <c r="H131" s="5" t="str">
        <f>IFERROR(__xludf.DUMMYFUNCTION(" GOOGLETRANSLATE(B131, ""en"", ""am"")"),"ለፈረሰኛ ስፖርት አህጉራዊ ሻምፒዮና ያዘጋጀው የትኛው ሀገር ነው?")</f>
        <v>ለፈረሰኛ ስፖርት አህጉራዊ ሻምፒዮና ያዘጋጀው የትኛው ሀገር ነው?</v>
      </c>
      <c r="I131" s="5" t="str">
        <f>IFERROR(__xludf.DUMMYFUNCTION(" GOOGLETRANSLATE(C131, ""en"", ""am"")"),"ኣብ ግብጺ ብ ደቡብ ኣፍሪቃ ሲ ናይጄሪያ ዲ.ኬንያ")</f>
        <v>ኣብ ግብጺ ብ ደቡብ ኣፍሪቃ ሲ ናይጄሪያ ዲ.ኬንያ</v>
      </c>
      <c r="J131" s="5" t="str">
        <f>IFERROR(__xludf.DUMMYFUNCTION(" GOOGLETRANSLATE(D131, ""en"", ""am"")"),"ኬንያ በ1970 የመጀመሪያውን አህጉር አቀፍ ሻምፒዮና ለፈረሰኛ ስፖርት አዘጋጅታለች።")</f>
        <v>ኬንያ በ1970 የመጀመሪያውን አህጉር አቀፍ ሻምፒዮና ለፈረሰኛ ስፖርት አዘጋጅታለች።</v>
      </c>
      <c r="K131" s="5" t="str">
        <f>IFERROR(__xludf.DUMMYFUNCTION(" GOOGLETRANSLATE(E131, ""en"", ""am"")"),"ኬንያ በ1970 የመጀመሪያውን አህጉር አቀፍ ሻምፒዮና ለፈረሰኛ ስፖርት አዘጋጅታለች።")</f>
        <v>ኬንያ በ1970 የመጀመሪያውን አህጉር አቀፍ ሻምፒዮና ለፈረሰኛ ስፖርት አዘጋጅታለች።</v>
      </c>
    </row>
    <row r="132" ht="22.5" customHeight="1">
      <c r="A132" s="3">
        <v>131.0</v>
      </c>
      <c r="B132" s="4" t="s">
        <v>865</v>
      </c>
      <c r="C132" s="4" t="s">
        <v>866</v>
      </c>
      <c r="D132" s="4" t="s">
        <v>867</v>
      </c>
      <c r="E132" s="4" t="s">
        <v>867</v>
      </c>
      <c r="G132" s="5" t="str">
        <f>IFERROR(__xludf.DUMMYFUNCTION(" GOOGLETRANSLATE(A132, ""en"", ""am"")"),"131")</f>
        <v>131</v>
      </c>
      <c r="H132" s="5" t="str">
        <f>IFERROR(__xludf.DUMMYFUNCTION(" GOOGLETRANSLATE(B132, ""en"", ""am"")"),"የፈረስ እሽቅድምድም እንደ ፕሮፌሽናል ስፖርት ያስተዋወቀው የአፍሪካ ሀገር የትኛው ነው?")</f>
        <v>የፈረስ እሽቅድምድም እንደ ፕሮፌሽናል ስፖርት ያስተዋወቀው የአፍሪካ ሀገር የትኛው ነው?</v>
      </c>
      <c r="I132" s="5" t="str">
        <f>IFERROR(__xludf.DUMMYFUNCTION(" GOOGLETRANSLATE(C132, ""en"", ""am"")"),"ኣብ ኬንያ ብ ግብጺ ደቡብ ኣፍሪቃ ዲ.ሱዳን")</f>
        <v>ኣብ ኬንያ ብ ግብጺ ደቡብ ኣፍሪቃ ዲ.ሱዳን</v>
      </c>
      <c r="J132" s="5" t="str">
        <f>IFERROR(__xludf.DUMMYFUNCTION(" GOOGLETRANSLATE(D132, ""en"", ""am"")"),"ሱዳን እ.ኤ.አ. በ1965 የእግር ኳስ ስፖርትን ፕሮፌሽናል በማድረግ የመጀመሪያዋ አፍሪካዊ ሀገር ነበረች።")</f>
        <v>ሱዳን እ.ኤ.አ. በ1965 የእግር ኳስ ስፖርትን ፕሮፌሽናል በማድረግ የመጀመሪያዋ አፍሪካዊ ሀገር ነበረች።</v>
      </c>
      <c r="K132" s="5" t="str">
        <f>IFERROR(__xludf.DUMMYFUNCTION(" GOOGLETRANSLATE(E132, ""en"", ""am"")"),"ሱዳን እ.ኤ.አ. በ1965 የእግር ኳስ ስፖርትን ፕሮፌሽናል በማድረግ የመጀመሪያዋ አፍሪካዊ ሀገር ነበረች።")</f>
        <v>ሱዳን እ.ኤ.አ. በ1965 የእግር ኳስ ስፖርትን ፕሮፌሽናል በማድረግ የመጀመሪያዋ አፍሪካዊ ሀገር ነበረች።</v>
      </c>
    </row>
    <row r="133" ht="22.5" customHeight="1">
      <c r="A133" s="3">
        <v>132.0</v>
      </c>
      <c r="B133" s="4" t="s">
        <v>868</v>
      </c>
      <c r="C133" s="4" t="s">
        <v>869</v>
      </c>
      <c r="D133" s="4" t="s">
        <v>870</v>
      </c>
      <c r="E133" s="4" t="s">
        <v>870</v>
      </c>
      <c r="G133" s="5" t="str">
        <f>IFERROR(__xludf.DUMMYFUNCTION(" GOOGLETRANSLATE(A133, ""en"", ""am"")"),"132")</f>
        <v>132</v>
      </c>
      <c r="H133" s="5" t="str">
        <f>IFERROR(__xludf.DUMMYFUNCTION(" GOOGLETRANSLATE(B133, ""en"", ""am"")"),"በ1990ዎቹ በፈረስ እሽቅድምድም ስፖርት ውስጥ ምን ጉልህ ክስተት ተከስቷል?")</f>
        <v>በ1990ዎቹ በፈረስ እሽቅድምድም ስፖርት ውስጥ ምን ጉልህ ክስተት ተከስቷል?</v>
      </c>
      <c r="I133" s="5" t="str">
        <f>IFERROR(__xludf.DUMMYFUNCTION(" GOOGLETRANSLATE(C133, ""en"", ""am"")"),"ሀ. ፆታን መሰረት ያደረጉ ውድድሮችን ማስተዋወቅ ለ. ከአፍሪካ ውጪ የመጀመሪያው አለም አቀፍ ሊግ ሲ. የአለም ዋንጫ መመስረት መ. የአለም ፌዴሬሽን መመስረት")</f>
        <v>ሀ. ፆታን መሰረት ያደረጉ ውድድሮችን ማስተዋወቅ ለ. ከአፍሪካ ውጪ የመጀመሪያው አለም አቀፍ ሊግ ሲ. የአለም ዋንጫ መመስረት መ. የአለም ፌዴሬሽን መመስረት</v>
      </c>
      <c r="J133" s="5" t="str">
        <f>IFERROR(__xludf.DUMMYFUNCTION(" GOOGLETRANSLATE(D133, ""en"", ""am"")"),"እ.ኤ.አ. በ 1990 ዎቹ የዓለም ፌዴሬሽን መቋቋም ዓለም አቀፍ ውድድሮችን ለማዘጋጀት ረድቷል ።")</f>
        <v>እ.ኤ.አ. በ 1990 ዎቹ የዓለም ፌዴሬሽን መቋቋም ዓለም አቀፍ ውድድሮችን ለማዘጋጀት ረድቷል ።</v>
      </c>
      <c r="K133" s="5" t="str">
        <f>IFERROR(__xludf.DUMMYFUNCTION(" GOOGLETRANSLATE(E133, ""en"", ""am"")"),"እ.ኤ.አ. በ 1990 ዎቹ የዓለም ፌዴሬሽን መቋቋም ዓለም አቀፍ ውድድሮችን ለማዘጋጀት ረድቷል ።")</f>
        <v>እ.ኤ.አ. በ 1990 ዎቹ የዓለም ፌዴሬሽን መቋቋም ዓለም አቀፍ ውድድሮችን ለማዘጋጀት ረድቷል ።</v>
      </c>
    </row>
    <row r="134" ht="22.5" customHeight="1">
      <c r="A134" s="3">
        <v>133.0</v>
      </c>
      <c r="B134" s="4" t="s">
        <v>871</v>
      </c>
      <c r="C134" s="4" t="s">
        <v>872</v>
      </c>
      <c r="D134" s="4" t="s">
        <v>873</v>
      </c>
      <c r="E134" s="4" t="s">
        <v>873</v>
      </c>
      <c r="G134" s="5" t="str">
        <f>IFERROR(__xludf.DUMMYFUNCTION(" GOOGLETRANSLATE(A134, ""en"", ""am"")"),"133")</f>
        <v>133</v>
      </c>
      <c r="H134" s="5" t="str">
        <f>IFERROR(__xludf.DUMMYFUNCTION(" GOOGLETRANSLATE(B134, ""en"", ""am"")"),"ለፈረሰኛ ስፖርት የወጣቶች ልማት መርሃ ግብር ለመጀመሪያ ጊዜ ተግባራዊ ያደረገው የትኛው ሀገር ነው?")</f>
        <v>ለፈረሰኛ ስፖርት የወጣቶች ልማት መርሃ ግብር ለመጀመሪያ ጊዜ ተግባራዊ ያደረገው የትኛው ሀገር ነው?</v>
      </c>
      <c r="I134" s="5" t="str">
        <f>IFERROR(__xludf.DUMMYFUNCTION(" GOOGLETRANSLATE(C134, ""en"", ""am"")"),"ኣብ ደቡብ ኣፍሪቃ ብ ግብጺ ሲ ሱዳን ዲ.ኬንያ")</f>
        <v>ኣብ ደቡብ ኣፍሪቃ ብ ግብጺ ሲ ሱዳን ዲ.ኬንያ</v>
      </c>
      <c r="J134" s="5" t="str">
        <f>IFERROR(__xludf.DUMMYFUNCTION(" GOOGLETRANSLATE(D134, ""en"", ""am"")"),"ኬንያ በ1970 በስፖርታዊ እንቅስቃሴ አዳዲስ ተሰጥኦዎችን ለማዳበር የወጣቶች ልማት ፕሮግራምን ተግባራዊ አደረገች።")</f>
        <v>ኬንያ በ1970 በስፖርታዊ እንቅስቃሴ አዳዲስ ተሰጥኦዎችን ለማዳበር የወጣቶች ልማት ፕሮግራምን ተግባራዊ አደረገች።</v>
      </c>
      <c r="K134" s="5" t="str">
        <f>IFERROR(__xludf.DUMMYFUNCTION(" GOOGLETRANSLATE(E134, ""en"", ""am"")"),"ኬንያ በ1970 በስፖርታዊ እንቅስቃሴ አዳዲስ ተሰጥኦዎችን ለማዳበር የወጣቶች ልማት ፕሮግራምን ተግባራዊ አደረገች።")</f>
        <v>ኬንያ በ1970 በስፖርታዊ እንቅስቃሴ አዳዲስ ተሰጥኦዎችን ለማዳበር የወጣቶች ልማት ፕሮግራምን ተግባራዊ አደረገች።</v>
      </c>
    </row>
    <row r="135" ht="22.5" customHeight="1">
      <c r="A135" s="3">
        <v>134.0</v>
      </c>
      <c r="B135" s="4" t="s">
        <v>874</v>
      </c>
      <c r="C135" s="4" t="s">
        <v>875</v>
      </c>
      <c r="D135" s="4" t="s">
        <v>876</v>
      </c>
      <c r="E135" s="4" t="s">
        <v>876</v>
      </c>
      <c r="G135" s="5" t="str">
        <f>IFERROR(__xludf.DUMMYFUNCTION(" GOOGLETRANSLATE(A135, ""en"", ""am"")"),"134")</f>
        <v>134</v>
      </c>
      <c r="H135" s="5" t="str">
        <f>IFERROR(__xludf.DUMMYFUNCTION(" GOOGLETRANSLATE(B135, ""en"", ""am"")"),"የፈረስ እሽቅድምድም ስፖርት በአለም አቀፍ ኦሊምፒክ ኮሚቴ እውቅና ያገኘው መቼ ነበር?")</f>
        <v>የፈረስ እሽቅድምድም ስፖርት በአለም አቀፍ ኦሊምፒክ ኮሚቴ እውቅና ያገኘው መቼ ነበር?</v>
      </c>
      <c r="I135" s="5" t="str">
        <f>IFERROR(__xludf.DUMMYFUNCTION(" GOOGLETRANSLATE(C135, ""en"", ""am"")"),"ኣብ 1992 ዓ.ም.2000 ዓ.ም.2004 ዲ.1990 ዓ.ም.")</f>
        <v>ኣብ 1992 ዓ.ም.2000 ዓ.ም.2004 ዲ.1990 ዓ.ም.</v>
      </c>
      <c r="J135" s="5" t="str">
        <f>IFERROR(__xludf.DUMMYFUNCTION(" GOOGLETRANSLATE(D135, ""en"", ""am"")"),"በ1990 ዓ.ም")</f>
        <v>በ1990 ዓ.ም</v>
      </c>
      <c r="K135" s="5" t="str">
        <f>IFERROR(__xludf.DUMMYFUNCTION(" GOOGLETRANSLATE(E135, ""en"", ""am"")"),"በ1990 ዓ.ም")</f>
        <v>በ1990 ዓ.ም</v>
      </c>
    </row>
    <row r="136" ht="22.5" customHeight="1">
      <c r="A136" s="3">
        <v>135.0</v>
      </c>
      <c r="B136" s="4" t="s">
        <v>877</v>
      </c>
      <c r="C136" s="4" t="s">
        <v>878</v>
      </c>
      <c r="D136" s="4" t="s">
        <v>879</v>
      </c>
      <c r="E136" s="4" t="s">
        <v>879</v>
      </c>
      <c r="G136" s="5" t="str">
        <f>IFERROR(__xludf.DUMMYFUNCTION(" GOOGLETRANSLATE(A136, ""en"", ""am"")"),"135")</f>
        <v>135</v>
      </c>
      <c r="H136" s="5" t="str">
        <f>IFERROR(__xludf.DUMMYFUNCTION(" GOOGLETRANSLATE(B136, ""en"", ""am"")"),"በታሪክ የመጀመሪያውን አለም አቀፍ የፈረስ እሽቅድምድም ሊግ ያስተናገደው ሀገር የትኛው ነው?")</f>
        <v>በታሪክ የመጀመሪያውን አለም አቀፍ የፈረስ እሽቅድምድም ሊግ ያስተናገደው ሀገር የትኛው ነው?</v>
      </c>
      <c r="I136" s="5" t="str">
        <f>IFERROR(__xludf.DUMMYFUNCTION(" GOOGLETRANSLATE(C136, ""en"", ""am"")"),"ኤ ኬንያ ብ ሞሮኮ ሲ ናይጄሪያ ዲ ደቡብ አፍሪካ")</f>
        <v>ኤ ኬንያ ብ ሞሮኮ ሲ ናይጄሪያ ዲ ደቡብ አፍሪካ</v>
      </c>
      <c r="J136" s="5" t="str">
        <f>IFERROR(__xludf.DUMMYFUNCTION(" GOOGLETRANSLATE(D136, ""en"", ""am"")"),"ደቡብ አፍሪካ ኢንተርናሽናል ሊግን ለመጀመሪያ ጊዜ በ1987 አስተናግዳለች።")</f>
        <v>ደቡብ አፍሪካ ኢንተርናሽናል ሊግን ለመጀመሪያ ጊዜ በ1987 አስተናግዳለች።</v>
      </c>
      <c r="K136" s="5" t="str">
        <f>IFERROR(__xludf.DUMMYFUNCTION(" GOOGLETRANSLATE(E136, ""en"", ""am"")"),"ደቡብ አፍሪካ ኢንተርናሽናል ሊግን ለመጀመሪያ ጊዜ በ1987 አስተናግዳለች።")</f>
        <v>ደቡብ አፍሪካ ኢንተርናሽናል ሊግን ለመጀመሪያ ጊዜ በ1987 አስተናግዳለች።</v>
      </c>
    </row>
    <row r="137" ht="22.5" customHeight="1">
      <c r="A137" s="3">
        <v>136.0</v>
      </c>
      <c r="B137" s="4" t="s">
        <v>880</v>
      </c>
      <c r="C137" s="4" t="s">
        <v>824</v>
      </c>
      <c r="D137" s="4" t="s">
        <v>881</v>
      </c>
      <c r="E137" s="4" t="s">
        <v>881</v>
      </c>
      <c r="G137" s="5" t="str">
        <f>IFERROR(__xludf.DUMMYFUNCTION(" GOOGLETRANSLATE(A137, ""en"", ""am"")"),"136")</f>
        <v>136</v>
      </c>
      <c r="H137" s="5" t="str">
        <f>IFERROR(__xludf.DUMMYFUNCTION(" GOOGLETRANSLATE(B137, ""en"", ""am"")"),"የፈረስ እሽቅድምድም ስፖርት በዓለም አቀፍ ደረጃ በትምህርት ቤቶች እንደ ውድድር ክስተት ሲተዋወቀው የታየው የትኛው አስርት አመት ነው?")</f>
        <v>የፈረስ እሽቅድምድም ስፖርት በዓለም አቀፍ ደረጃ በትምህርት ቤቶች እንደ ውድድር ክስተት ሲተዋወቀው የታየው የትኛው አስርት አመት ነው?</v>
      </c>
      <c r="I137" s="5" t="str">
        <f>IFERROR(__xludf.DUMMYFUNCTION(" GOOGLETRANSLATE(C137, ""en"", ""am"")"),"እ.ኤ.አ. 1980ዎቹ በ1990ዎቹ ዓ.ም. 2000ዎቹ ዲ. 1980ዎቹ")</f>
        <v>እ.ኤ.አ. 1980ዎቹ በ1990ዎቹ ዓ.ም. 2000ዎቹ ዲ. 1980ዎቹ</v>
      </c>
      <c r="J137" s="5" t="str">
        <f>IFERROR(__xludf.DUMMYFUNCTION(" GOOGLETRANSLATE(D137, ""en"", ""am"")"),"የፈረስ እሽቅድምድም በዓለም ዙሪያ ባሉ ትምህርት ቤቶች በ1980ዎቹ ተጀመረ።")</f>
        <v>የፈረስ እሽቅድምድም በዓለም ዙሪያ ባሉ ትምህርት ቤቶች በ1980ዎቹ ተጀመረ።</v>
      </c>
      <c r="K137" s="5" t="str">
        <f>IFERROR(__xludf.DUMMYFUNCTION(" GOOGLETRANSLATE(E137, ""en"", ""am"")"),"የፈረስ እሽቅድምድም በዓለም ዙሪያ ባሉ ትምህርት ቤቶች በ1980ዎቹ ተጀመረ።")</f>
        <v>የፈረስ እሽቅድምድም በዓለም ዙሪያ ባሉ ትምህርት ቤቶች በ1980ዎቹ ተጀመረ።</v>
      </c>
    </row>
    <row r="138" ht="22.5" customHeight="1">
      <c r="A138" s="3">
        <v>137.0</v>
      </c>
      <c r="B138" s="4" t="s">
        <v>882</v>
      </c>
      <c r="C138" s="4" t="s">
        <v>883</v>
      </c>
      <c r="D138" s="4" t="s">
        <v>884</v>
      </c>
      <c r="E138" s="4" t="s">
        <v>884</v>
      </c>
      <c r="G138" s="5" t="str">
        <f>IFERROR(__xludf.DUMMYFUNCTION(" GOOGLETRANSLATE(A138, ""en"", ""am"")"),"137")</f>
        <v>137</v>
      </c>
      <c r="H138" s="5" t="str">
        <f>IFERROR(__xludf.DUMMYFUNCTION(" GOOGLETRANSLATE(B138, ""en"", ""am"")"),"በፈረስ እሽቅድምድም የመጀመሪያው የፕሮፌሽናል ተጫዋች ውል የተፈረመው በየትኛው አመት ነው?")</f>
        <v>በፈረስ እሽቅድምድም የመጀመሪያው የፕሮፌሽናል ተጫዋች ውል የተፈረመው በየትኛው አመት ነው?</v>
      </c>
      <c r="I138" s="5" t="str">
        <f>IFERROR(__xludf.DUMMYFUNCTION(" GOOGLETRANSLATE(C138, ""en"", ""am"")"),"ኣብ 1980 ብ1985 ዓ.ም.1990 ድ.1975 ዓ.ም.")</f>
        <v>ኣብ 1980 ብ1985 ዓ.ም.1990 ድ.1975 ዓ.ም.</v>
      </c>
      <c r="J138" s="5" t="str">
        <f>IFERROR(__xludf.DUMMYFUNCTION(" GOOGLETRANSLATE(D138, ""en"", ""am"")"),"በ1975 ዓ.ም")</f>
        <v>በ1975 ዓ.ም</v>
      </c>
      <c r="K138" s="5" t="str">
        <f>IFERROR(__xludf.DUMMYFUNCTION(" GOOGLETRANSLATE(E138, ""en"", ""am"")"),"በ1975 ዓ.ም")</f>
        <v>በ1975 ዓ.ም</v>
      </c>
    </row>
    <row r="139" ht="22.5" customHeight="1">
      <c r="A139" s="3">
        <v>138.0</v>
      </c>
      <c r="B139" s="4" t="s">
        <v>885</v>
      </c>
      <c r="C139" s="4" t="s">
        <v>886</v>
      </c>
      <c r="D139" s="4" t="s">
        <v>887</v>
      </c>
      <c r="E139" s="4" t="s">
        <v>887</v>
      </c>
      <c r="G139" s="5" t="str">
        <f>IFERROR(__xludf.DUMMYFUNCTION(" GOOGLETRANSLATE(A139, ""en"", ""am"")"),"138")</f>
        <v>138</v>
      </c>
      <c r="H139" s="5" t="str">
        <f>IFERROR(__xludf.DUMMYFUNCTION(" GOOGLETRANSLATE(B139, ""en"", ""am"")"),"ለፈረስ እሽቅድምድም የሴቶች ብሄራዊ ቡድን የመጀመሪያዋ የቱ ሀገር ነች?")</f>
        <v>ለፈረስ እሽቅድምድም የሴቶች ብሄራዊ ቡድን የመጀመሪያዋ የቱ ሀገር ነች?</v>
      </c>
      <c r="I139" s="5" t="str">
        <f>IFERROR(__xludf.DUMMYFUNCTION(" GOOGLETRANSLATE(C139, ""en"", ""am"")"),"ኣብ ደቡብ ኣፍሪቃ ብ ሞሮኮ ሲ ግብጺ ዲ.ኬንያ")</f>
        <v>ኣብ ደቡብ ኣፍሪቃ ብ ሞሮኮ ሲ ግብጺ ዲ.ኬንያ</v>
      </c>
      <c r="J139" s="5" t="str">
        <f>IFERROR(__xludf.DUMMYFUNCTION(" GOOGLETRANSLATE(D139, ""en"", ""am"")"),"ኬንያ በ1985 የመጀመሪያውን የሴቶች ብሔራዊ ቡድን መሰረተች።")</f>
        <v>ኬንያ በ1985 የመጀመሪያውን የሴቶች ብሔራዊ ቡድን መሰረተች።</v>
      </c>
      <c r="K139" s="5" t="str">
        <f>IFERROR(__xludf.DUMMYFUNCTION(" GOOGLETRANSLATE(E139, ""en"", ""am"")"),"ኬንያ በ1985 የመጀመሪያውን የሴቶች ብሔራዊ ቡድን መሰረተች።")</f>
        <v>ኬንያ በ1985 የመጀመሪያውን የሴቶች ብሔራዊ ቡድን መሰረተች።</v>
      </c>
    </row>
    <row r="140" ht="22.5" customHeight="1">
      <c r="A140" s="3">
        <v>139.0</v>
      </c>
      <c r="B140" s="4" t="s">
        <v>888</v>
      </c>
      <c r="C140" s="4" t="s">
        <v>889</v>
      </c>
      <c r="D140" s="4" t="s">
        <v>858</v>
      </c>
      <c r="E140" s="4" t="s">
        <v>858</v>
      </c>
      <c r="G140" s="5" t="str">
        <f>IFERROR(__xludf.DUMMYFUNCTION(" GOOGLETRANSLATE(A140, ""en"", ""am"")"),"139")</f>
        <v>139</v>
      </c>
      <c r="H140" s="5" t="str">
        <f>IFERROR(__xludf.DUMMYFUNCTION(" GOOGLETRANSLATE(B140, ""en"", ""am"")"),"ለፈረስ ግልቢያ የመጀመሪያው ዓለም አቀፍ የወጣቶች ሻምፒዮና መቼ ተካሄደ?")</f>
        <v>ለፈረስ ግልቢያ የመጀመሪያው ዓለም አቀፍ የወጣቶች ሻምፒዮና መቼ ተካሄደ?</v>
      </c>
      <c r="I140" s="5" t="str">
        <f>IFERROR(__xludf.DUMMYFUNCTION(" GOOGLETRANSLATE(C140, ""en"", ""am"")"),"ኣብ 1985 ብ 1990 ዓ.ም. 1995 ዲ. 1985 ዓ.ም.")</f>
        <v>ኣብ 1985 ብ 1990 ዓ.ም. 1995 ዲ. 1985 ዓ.ም.</v>
      </c>
      <c r="J140" s="5" t="str">
        <f>IFERROR(__xludf.DUMMYFUNCTION(" GOOGLETRANSLATE(D140, ""en"", ""am"")"),"በ1985 ዓ.ም")</f>
        <v>በ1985 ዓ.ም</v>
      </c>
      <c r="K140" s="5" t="str">
        <f>IFERROR(__xludf.DUMMYFUNCTION(" GOOGLETRANSLATE(E140, ""en"", ""am"")"),"በ1985 ዓ.ም")</f>
        <v>በ1985 ዓ.ም</v>
      </c>
    </row>
    <row r="141" ht="22.5" customHeight="1">
      <c r="A141" s="3">
        <v>140.0</v>
      </c>
      <c r="B141" s="4" t="s">
        <v>890</v>
      </c>
      <c r="C141" s="4" t="s">
        <v>891</v>
      </c>
      <c r="D141" s="4" t="s">
        <v>892</v>
      </c>
      <c r="E141" s="4" t="s">
        <v>892</v>
      </c>
      <c r="G141" s="5" t="str">
        <f>IFERROR(__xludf.DUMMYFUNCTION(" GOOGLETRANSLATE(A141, ""en"", ""am"")"),"140")</f>
        <v>140</v>
      </c>
      <c r="H141" s="5" t="str">
        <f>IFERROR(__xludf.DUMMYFUNCTION(" GOOGLETRANSLATE(B141, ""en"", ""am"")"),"በ 1988 የትኛው ክስተት በዓለም አቀፍ ደረጃ የፈረስ እሽቅድምድም ታይነትን በከፍተኛ ሁኔታ ያሳደገው?")</f>
        <v>በ 1988 የትኛው ክስተት በዓለም አቀፍ ደረጃ የፈረስ እሽቅድምድም ታይነትን በከፍተኛ ሁኔታ ያሳደገው?</v>
      </c>
      <c r="I141" s="5" t="str">
        <f>IFERROR(__xludf.DUMMYFUNCTION(" GOOGLETRANSLATE(C141, ""en"", ""am"")"),"ሀ. በአለም ጨዋታዎች መካተት ለ. በአውሮፓ የመጀመሪያው አለምአቀፍ ሻምፒዮና C. በአሜሪካ የመጀመርያ የቴሌቭዥን ጨዋታ መ. በአለም ጨዋታዎች መካተት")</f>
        <v>ሀ. በአለም ጨዋታዎች መካተት ለ. በአውሮፓ የመጀመሪያው አለምአቀፍ ሻምፒዮና C. በአሜሪካ የመጀመርያ የቴሌቭዥን ጨዋታ መ. በአለም ጨዋታዎች መካተት</v>
      </c>
      <c r="J141" s="5" t="str">
        <f>IFERROR(__xludf.DUMMYFUNCTION(" GOOGLETRANSLATE(D141, ""en"", ""am"")"),"እ.ኤ.አ. በ 1988 በዓለም ጨዋታዎች ውስጥ መካተቱ የፈረስ እሽቅድምድም ዓለም አቀፍ ታይነትን በከፍተኛ ሁኔታ ጨምሯል።")</f>
        <v>እ.ኤ.አ. በ 1988 በዓለም ጨዋታዎች ውስጥ መካተቱ የፈረስ እሽቅድምድም ዓለም አቀፍ ታይነትን በከፍተኛ ሁኔታ ጨምሯል።</v>
      </c>
      <c r="K141" s="5" t="str">
        <f>IFERROR(__xludf.DUMMYFUNCTION(" GOOGLETRANSLATE(E141, ""en"", ""am"")"),"እ.ኤ.አ. በ 1988 በዓለም ጨዋታዎች ውስጥ መካተቱ የፈረስ እሽቅድምድም ዓለም አቀፍ ታይነትን በከፍተኛ ሁኔታ ጨምሯል።")</f>
        <v>እ.ኤ.አ. በ 1988 በዓለም ጨዋታዎች ውስጥ መካተቱ የፈረስ እሽቅድምድም ዓለም አቀፍ ታይነትን በከፍተኛ ሁኔታ ጨምሯል።</v>
      </c>
    </row>
    <row r="142" ht="22.5" customHeight="1">
      <c r="A142" s="3">
        <v>141.0</v>
      </c>
      <c r="B142" s="4" t="s">
        <v>893</v>
      </c>
      <c r="C142" s="4" t="s">
        <v>894</v>
      </c>
      <c r="D142" s="4" t="s">
        <v>895</v>
      </c>
      <c r="E142" s="4" t="s">
        <v>895</v>
      </c>
      <c r="G142" s="5" t="str">
        <f>IFERROR(__xludf.DUMMYFUNCTION(" GOOGLETRANSLATE(A142, ""en"", ""am"")"),"141")</f>
        <v>141</v>
      </c>
      <c r="H142" s="5" t="str">
        <f>IFERROR(__xludf.DUMMYFUNCTION(" GOOGLETRANSLATE(B142, ""en"", ""am"")"),"የአለም አቀፍ የፕሮፌሽናል የፈረስ እሽቅድምድም ሊግ በየትኛው አስርት አመት ተጀመረ?")</f>
        <v>የአለም አቀፍ የፕሮፌሽናል የፈረስ እሽቅድምድም ሊግ በየትኛው አስርት አመት ተጀመረ?</v>
      </c>
      <c r="I142" s="5" t="str">
        <f>IFERROR(__xludf.DUMMYFUNCTION(" GOOGLETRANSLATE(C142, ""en"", ""am"")"),"እ.ኤ.አ. 1980ዎቹ በ1990ዎቹ ዓ.ም. 2000ዎቹ ዲ. 1990ዎቹ")</f>
        <v>እ.ኤ.አ. 1980ዎቹ በ1990ዎቹ ዓ.ም. 2000ዎቹ ዲ. 1990ዎቹ</v>
      </c>
      <c r="J142" s="5" t="str">
        <f>IFERROR(__xludf.DUMMYFUNCTION(" GOOGLETRANSLATE(D142, ""en"", ""am"")"),"የፈረስ እሽቅድምድም ዓለም አቀፍ ፕሮፌሽናል ሊግ በ1990ዎቹ ተጀመረ።")</f>
        <v>የፈረስ እሽቅድምድም ዓለም አቀፍ ፕሮፌሽናል ሊግ በ1990ዎቹ ተጀመረ።</v>
      </c>
      <c r="K142" s="5" t="str">
        <f>IFERROR(__xludf.DUMMYFUNCTION(" GOOGLETRANSLATE(E142, ""en"", ""am"")"),"የፈረስ እሽቅድምድም ዓለም አቀፍ ፕሮፌሽናል ሊግ በ1990ዎቹ ተጀመረ።")</f>
        <v>የፈረስ እሽቅድምድም ዓለም አቀፍ ፕሮፌሽናል ሊግ በ1990ዎቹ ተጀመረ።</v>
      </c>
    </row>
    <row r="143" ht="22.5" customHeight="1">
      <c r="A143" s="3">
        <v>142.0</v>
      </c>
      <c r="B143" s="4" t="s">
        <v>896</v>
      </c>
      <c r="C143" s="4" t="s">
        <v>897</v>
      </c>
      <c r="D143" s="4" t="s">
        <v>898</v>
      </c>
      <c r="E143" s="4" t="s">
        <v>898</v>
      </c>
      <c r="G143" s="5" t="str">
        <f>IFERROR(__xludf.DUMMYFUNCTION(" GOOGLETRANSLATE(A143, ""en"", ""am"")"),"142")</f>
        <v>142</v>
      </c>
      <c r="H143" s="5" t="str">
        <f>IFERROR(__xludf.DUMMYFUNCTION(" GOOGLETRANSLATE(B143, ""en"", ""am"")"),"በእግር ኳስ ታሪክ የመጀመሪያው ኢንተርናሽናል የተጫዋቾች ዝውውር ስንት አመት ነበር?")</f>
        <v>በእግር ኳስ ታሪክ የመጀመሪያው ኢንተርናሽናል የተጫዋቾች ዝውውር ስንት አመት ነበር?</v>
      </c>
      <c r="I143" s="5" t="str">
        <f>IFERROR(__xludf.DUMMYFUNCTION(" GOOGLETRANSLATE(C143, ""en"", ""am"")"),"ኣብ 1990 ብ1995 ዓ.ም.2000 ድ.1995 ዓ.ም.")</f>
        <v>ኣብ 1990 ብ1995 ዓ.ም.2000 ድ.1995 ዓ.ም.</v>
      </c>
      <c r="J143" s="5" t="str">
        <f>IFERROR(__xludf.DUMMYFUNCTION(" GOOGLETRANSLATE(D143, ""en"", ""am"")"),"በ1995 ዓ.ም")</f>
        <v>በ1995 ዓ.ም</v>
      </c>
      <c r="K143" s="5" t="str">
        <f>IFERROR(__xludf.DUMMYFUNCTION(" GOOGLETRANSLATE(E143, ""en"", ""am"")"),"በ1995 ዓ.ም")</f>
        <v>በ1995 ዓ.ም</v>
      </c>
    </row>
    <row r="144" ht="22.5" customHeight="1">
      <c r="A144" s="7"/>
      <c r="B144" s="7"/>
      <c r="C144" s="7"/>
      <c r="D144" s="7"/>
      <c r="E144" s="7"/>
    </row>
    <row r="145" ht="22.5" customHeight="1">
      <c r="A145" s="7"/>
      <c r="B145" s="7"/>
      <c r="C145" s="7"/>
      <c r="D145" s="7"/>
      <c r="E145" s="7"/>
    </row>
    <row r="146" ht="22.5" customHeight="1">
      <c r="A146" s="7"/>
      <c r="B146" s="7"/>
      <c r="C146" s="7"/>
      <c r="D146" s="7"/>
      <c r="E146" s="7"/>
    </row>
    <row r="147" ht="22.5" customHeight="1">
      <c r="A147" s="7"/>
      <c r="B147" s="7"/>
      <c r="C147" s="7"/>
      <c r="D147" s="7"/>
      <c r="E147" s="7"/>
    </row>
    <row r="148" ht="22.5" customHeight="1">
      <c r="A148" s="7"/>
      <c r="B148" s="7"/>
      <c r="C148" s="7"/>
      <c r="D148" s="7"/>
      <c r="E148" s="7"/>
    </row>
    <row r="149" ht="22.5" customHeight="1">
      <c r="A149" s="7"/>
      <c r="B149" s="7"/>
      <c r="C149" s="7"/>
      <c r="D149" s="7"/>
      <c r="E149" s="7"/>
    </row>
    <row r="150" ht="22.5" customHeight="1">
      <c r="A150" s="7"/>
      <c r="B150" s="7"/>
      <c r="C150" s="7"/>
      <c r="D150" s="7"/>
      <c r="E150" s="7"/>
    </row>
    <row r="151" ht="22.5" customHeight="1">
      <c r="A151" s="7"/>
      <c r="B151" s="7"/>
      <c r="C151" s="7"/>
      <c r="D151" s="7"/>
      <c r="E151" s="7"/>
    </row>
    <row r="152" ht="22.5" customHeight="1">
      <c r="A152" s="7"/>
      <c r="B152" s="7"/>
      <c r="C152" s="7"/>
      <c r="D152" s="7"/>
      <c r="E152" s="7"/>
    </row>
    <row r="153" ht="22.5" customHeight="1">
      <c r="A153" s="7"/>
      <c r="B153" s="7"/>
      <c r="C153" s="7"/>
      <c r="D153" s="7"/>
      <c r="E153" s="7"/>
    </row>
    <row r="154" ht="22.5" customHeight="1">
      <c r="A154" s="7"/>
      <c r="B154" s="7"/>
      <c r="C154" s="7"/>
      <c r="D154" s="7"/>
      <c r="E154" s="7"/>
    </row>
    <row r="155" ht="22.5" customHeight="1">
      <c r="A155" s="7"/>
      <c r="B155" s="7"/>
      <c r="C155" s="7"/>
      <c r="D155" s="7"/>
      <c r="E155" s="7"/>
    </row>
    <row r="156" ht="22.5" customHeight="1">
      <c r="A156" s="7"/>
      <c r="B156" s="7"/>
      <c r="C156" s="7"/>
      <c r="D156" s="7"/>
      <c r="E156" s="7"/>
    </row>
    <row r="157" ht="22.5" customHeight="1">
      <c r="A157" s="7"/>
      <c r="B157" s="7"/>
      <c r="C157" s="7"/>
      <c r="D157" s="7"/>
      <c r="E157" s="7"/>
    </row>
    <row r="158" ht="22.5" customHeight="1">
      <c r="A158" s="7"/>
      <c r="B158" s="7"/>
      <c r="C158" s="7"/>
      <c r="D158" s="7"/>
      <c r="E158" s="7"/>
    </row>
    <row r="159" ht="22.5" customHeight="1">
      <c r="A159" s="7"/>
      <c r="B159" s="7"/>
      <c r="C159" s="7"/>
      <c r="D159" s="7"/>
      <c r="E159" s="7"/>
    </row>
    <row r="160" ht="22.5" customHeight="1">
      <c r="A160" s="7"/>
      <c r="B160" s="7"/>
      <c r="C160" s="7"/>
      <c r="D160" s="7"/>
      <c r="E160" s="7"/>
    </row>
    <row r="161" ht="22.5" customHeight="1">
      <c r="A161" s="7"/>
      <c r="B161" s="7"/>
      <c r="C161" s="7"/>
      <c r="D161" s="7"/>
      <c r="E161" s="7"/>
    </row>
    <row r="162" ht="22.5" customHeight="1">
      <c r="A162" s="7"/>
      <c r="B162" s="7"/>
      <c r="C162" s="7"/>
      <c r="D162" s="7"/>
      <c r="E162" s="7"/>
    </row>
    <row r="163" ht="22.5" customHeight="1">
      <c r="A163" s="7"/>
      <c r="B163" s="7"/>
      <c r="C163" s="7"/>
      <c r="D163" s="7"/>
      <c r="E163" s="7"/>
    </row>
    <row r="164" ht="22.5" customHeight="1">
      <c r="A164" s="7"/>
      <c r="B164" s="7"/>
      <c r="C164" s="7"/>
      <c r="D164" s="7"/>
      <c r="E164" s="7"/>
    </row>
    <row r="165" ht="22.5" customHeight="1">
      <c r="A165" s="7"/>
      <c r="B165" s="7"/>
      <c r="C165" s="7"/>
      <c r="D165" s="7"/>
      <c r="E165" s="7"/>
    </row>
    <row r="166" ht="22.5" customHeight="1">
      <c r="A166" s="7"/>
      <c r="B166" s="7"/>
      <c r="C166" s="7"/>
      <c r="D166" s="7"/>
      <c r="E166" s="7"/>
    </row>
    <row r="167" ht="22.5" customHeight="1">
      <c r="A167" s="7"/>
      <c r="B167" s="7"/>
      <c r="C167" s="7"/>
      <c r="D167" s="7"/>
      <c r="E167" s="7"/>
    </row>
    <row r="168" ht="22.5" customHeight="1">
      <c r="A168" s="7"/>
      <c r="B168" s="7"/>
      <c r="C168" s="7"/>
      <c r="D168" s="7"/>
      <c r="E168" s="7"/>
    </row>
    <row r="169" ht="22.5" customHeight="1">
      <c r="A169" s="7"/>
      <c r="B169" s="7"/>
      <c r="C169" s="7"/>
      <c r="D169" s="7"/>
      <c r="E169" s="7"/>
    </row>
    <row r="170" ht="22.5" customHeight="1">
      <c r="A170" s="7"/>
      <c r="B170" s="7"/>
      <c r="C170" s="7"/>
      <c r="D170" s="7"/>
      <c r="E170" s="7"/>
    </row>
    <row r="171" ht="22.5" customHeight="1">
      <c r="A171" s="7"/>
      <c r="B171" s="7"/>
      <c r="C171" s="7"/>
      <c r="D171" s="7"/>
      <c r="E171" s="7"/>
    </row>
    <row r="172" ht="22.5" customHeight="1">
      <c r="A172" s="7"/>
      <c r="B172" s="7"/>
      <c r="C172" s="7"/>
      <c r="D172" s="7"/>
      <c r="E172" s="7"/>
    </row>
    <row r="173" ht="22.5" customHeight="1">
      <c r="A173" s="7"/>
      <c r="B173" s="7"/>
      <c r="C173" s="7"/>
      <c r="D173" s="7"/>
      <c r="E173" s="7"/>
    </row>
    <row r="174" ht="22.5" customHeight="1">
      <c r="A174" s="7"/>
      <c r="B174" s="7"/>
      <c r="C174" s="7"/>
      <c r="D174" s="7"/>
      <c r="E174" s="7"/>
    </row>
    <row r="175" ht="22.5" customHeight="1">
      <c r="A175" s="7"/>
      <c r="B175" s="7"/>
      <c r="C175" s="7"/>
      <c r="D175" s="7"/>
      <c r="E175" s="7"/>
    </row>
    <row r="176" ht="22.5" customHeight="1">
      <c r="A176" s="7"/>
      <c r="B176" s="7"/>
      <c r="C176" s="7"/>
      <c r="D176" s="7"/>
      <c r="E176" s="7"/>
    </row>
    <row r="177" ht="22.5" customHeight="1">
      <c r="A177" s="7"/>
      <c r="B177" s="7"/>
      <c r="C177" s="7"/>
      <c r="D177" s="7"/>
      <c r="E177" s="7"/>
    </row>
    <row r="178" ht="22.5" customHeight="1">
      <c r="A178" s="7"/>
      <c r="B178" s="7"/>
      <c r="C178" s="7"/>
      <c r="D178" s="7"/>
      <c r="E178" s="7"/>
    </row>
    <row r="179" ht="22.5" customHeight="1">
      <c r="A179" s="7"/>
      <c r="B179" s="7"/>
      <c r="C179" s="7"/>
      <c r="D179" s="7"/>
      <c r="E179" s="7"/>
    </row>
    <row r="180" ht="22.5" customHeight="1">
      <c r="A180" s="7"/>
      <c r="B180" s="7"/>
      <c r="C180" s="7"/>
      <c r="D180" s="7"/>
      <c r="E180" s="7"/>
    </row>
    <row r="181" ht="22.5" customHeight="1">
      <c r="A181" s="7"/>
      <c r="B181" s="7"/>
      <c r="C181" s="7"/>
      <c r="D181" s="7"/>
      <c r="E181" s="7"/>
    </row>
    <row r="182" ht="22.5" customHeight="1">
      <c r="A182" s="7"/>
      <c r="B182" s="7"/>
      <c r="C182" s="7"/>
      <c r="D182" s="7"/>
      <c r="E182" s="7"/>
    </row>
    <row r="183" ht="22.5" customHeight="1">
      <c r="A183" s="7"/>
      <c r="B183" s="7"/>
      <c r="C183" s="7"/>
      <c r="D183" s="7"/>
      <c r="E183" s="7"/>
    </row>
    <row r="184" ht="22.5" customHeight="1">
      <c r="A184" s="7"/>
      <c r="B184" s="7"/>
      <c r="C184" s="7"/>
      <c r="D184" s="7"/>
      <c r="E184" s="7"/>
    </row>
    <row r="185" ht="22.5" customHeight="1">
      <c r="A185" s="7"/>
      <c r="B185" s="7"/>
      <c r="C185" s="7"/>
      <c r="D185" s="7"/>
      <c r="E185" s="7"/>
    </row>
    <row r="186" ht="22.5" customHeight="1">
      <c r="A186" s="7"/>
      <c r="B186" s="7"/>
      <c r="C186" s="7"/>
      <c r="D186" s="7"/>
      <c r="E186" s="7"/>
    </row>
    <row r="187" ht="22.5" customHeight="1">
      <c r="A187" s="7"/>
      <c r="B187" s="7"/>
      <c r="C187" s="7"/>
      <c r="D187" s="7"/>
      <c r="E187" s="7"/>
    </row>
    <row r="188" ht="22.5" customHeight="1">
      <c r="A188" s="7"/>
      <c r="B188" s="7"/>
      <c r="C188" s="7"/>
      <c r="D188" s="7"/>
      <c r="E188" s="7"/>
    </row>
    <row r="189" ht="22.5" customHeight="1">
      <c r="A189" s="7"/>
      <c r="B189" s="7"/>
      <c r="C189" s="7"/>
      <c r="D189" s="7"/>
      <c r="E189" s="7"/>
    </row>
    <row r="190" ht="22.5" customHeight="1">
      <c r="A190" s="7"/>
      <c r="B190" s="7"/>
      <c r="C190" s="7"/>
      <c r="D190" s="7"/>
      <c r="E190" s="7"/>
    </row>
    <row r="191" ht="22.5" customHeight="1">
      <c r="A191" s="7"/>
      <c r="B191" s="7"/>
      <c r="C191" s="7"/>
      <c r="D191" s="7"/>
      <c r="E191" s="7"/>
    </row>
    <row r="192" ht="22.5" customHeight="1">
      <c r="A192" s="7"/>
      <c r="B192" s="7"/>
      <c r="C192" s="7"/>
      <c r="D192" s="7"/>
      <c r="E192" s="7"/>
    </row>
    <row r="193" ht="22.5" customHeight="1">
      <c r="A193" s="7"/>
      <c r="B193" s="7"/>
      <c r="C193" s="7"/>
      <c r="D193" s="7"/>
      <c r="E193" s="7"/>
    </row>
    <row r="194" ht="22.5" customHeight="1">
      <c r="A194" s="7"/>
      <c r="B194" s="7"/>
      <c r="C194" s="7"/>
      <c r="D194" s="7"/>
      <c r="E194" s="7"/>
    </row>
    <row r="195" ht="22.5" customHeight="1">
      <c r="A195" s="7"/>
      <c r="B195" s="7"/>
      <c r="C195" s="7"/>
      <c r="D195" s="7"/>
      <c r="E195" s="7"/>
    </row>
    <row r="196" ht="22.5" customHeight="1">
      <c r="A196" s="7"/>
      <c r="B196" s="7"/>
      <c r="C196" s="7"/>
      <c r="D196" s="7"/>
      <c r="E196" s="7"/>
    </row>
    <row r="197" ht="22.5" customHeight="1">
      <c r="A197" s="7"/>
      <c r="B197" s="7"/>
      <c r="C197" s="7"/>
      <c r="D197" s="7"/>
      <c r="E197" s="7"/>
    </row>
    <row r="198" ht="22.5" customHeight="1">
      <c r="A198" s="7"/>
      <c r="B198" s="7"/>
      <c r="C198" s="7"/>
      <c r="D198" s="7"/>
      <c r="E198" s="7"/>
    </row>
    <row r="199" ht="22.5" customHeight="1">
      <c r="A199" s="7"/>
      <c r="B199" s="7"/>
      <c r="C199" s="7"/>
      <c r="D199" s="7"/>
      <c r="E199" s="7"/>
    </row>
    <row r="200" ht="22.5" customHeight="1">
      <c r="A200" s="7"/>
      <c r="B200" s="7"/>
      <c r="C200" s="7"/>
      <c r="D200" s="7"/>
      <c r="E200" s="7"/>
    </row>
    <row r="201" ht="22.5" customHeight="1">
      <c r="A201" s="7"/>
      <c r="B201" s="7"/>
      <c r="C201" s="7"/>
      <c r="D201" s="7"/>
      <c r="E201" s="7"/>
    </row>
    <row r="202" ht="22.5" customHeight="1">
      <c r="A202" s="7"/>
      <c r="B202" s="7"/>
      <c r="C202" s="7"/>
      <c r="D202" s="7"/>
      <c r="E202" s="7"/>
    </row>
    <row r="203" ht="22.5" customHeight="1">
      <c r="A203" s="7"/>
      <c r="B203" s="7"/>
      <c r="C203" s="7"/>
      <c r="D203" s="7"/>
      <c r="E203" s="7"/>
    </row>
    <row r="204" ht="22.5" customHeight="1">
      <c r="A204" s="7"/>
      <c r="B204" s="7"/>
      <c r="C204" s="7"/>
      <c r="D204" s="7"/>
      <c r="E204" s="7"/>
    </row>
    <row r="205" ht="22.5" customHeight="1">
      <c r="A205" s="7"/>
      <c r="B205" s="7"/>
      <c r="C205" s="7"/>
      <c r="D205" s="7"/>
      <c r="E205" s="7"/>
    </row>
    <row r="206" ht="22.5" customHeight="1">
      <c r="A206" s="7"/>
      <c r="B206" s="7"/>
      <c r="C206" s="7"/>
      <c r="D206" s="7"/>
      <c r="E206" s="7"/>
    </row>
    <row r="207" ht="22.5" customHeight="1">
      <c r="A207" s="7"/>
      <c r="B207" s="7"/>
      <c r="C207" s="7"/>
      <c r="D207" s="7"/>
      <c r="E207" s="7"/>
    </row>
    <row r="208" ht="22.5" customHeight="1">
      <c r="A208" s="7"/>
      <c r="B208" s="7"/>
      <c r="C208" s="7"/>
      <c r="D208" s="7"/>
      <c r="E208" s="7"/>
    </row>
    <row r="209" ht="22.5" customHeight="1">
      <c r="A209" s="7"/>
      <c r="B209" s="7"/>
      <c r="C209" s="7"/>
      <c r="D209" s="7"/>
      <c r="E209" s="7"/>
    </row>
    <row r="210" ht="22.5" customHeight="1">
      <c r="A210" s="7"/>
      <c r="B210" s="7"/>
      <c r="C210" s="7"/>
      <c r="D210" s="7"/>
      <c r="E210" s="7"/>
    </row>
    <row r="211" ht="22.5" customHeight="1">
      <c r="A211" s="7"/>
      <c r="B211" s="7"/>
      <c r="C211" s="7"/>
      <c r="D211" s="7"/>
      <c r="E211" s="7"/>
    </row>
    <row r="212" ht="22.5" customHeight="1">
      <c r="A212" s="7"/>
      <c r="B212" s="7"/>
      <c r="C212" s="7"/>
      <c r="D212" s="7"/>
      <c r="E212" s="7"/>
    </row>
    <row r="213" ht="22.5" customHeight="1">
      <c r="A213" s="7"/>
      <c r="B213" s="7"/>
      <c r="C213" s="7"/>
      <c r="D213" s="7"/>
      <c r="E213" s="7"/>
    </row>
    <row r="214" ht="22.5" customHeight="1">
      <c r="A214" s="7"/>
      <c r="B214" s="7"/>
      <c r="C214" s="7"/>
      <c r="D214" s="7"/>
      <c r="E214" s="7"/>
    </row>
    <row r="215" ht="22.5" customHeight="1">
      <c r="A215" s="7"/>
      <c r="B215" s="7"/>
      <c r="C215" s="7"/>
      <c r="D215" s="7"/>
      <c r="E215" s="7"/>
    </row>
    <row r="216" ht="22.5" customHeight="1">
      <c r="A216" s="7"/>
      <c r="B216" s="7"/>
      <c r="C216" s="7"/>
      <c r="D216" s="7"/>
      <c r="E216" s="7"/>
    </row>
    <row r="217" ht="22.5" customHeight="1">
      <c r="A217" s="7"/>
      <c r="B217" s="7"/>
      <c r="C217" s="7"/>
      <c r="D217" s="7"/>
      <c r="E217" s="7"/>
    </row>
    <row r="218" ht="22.5" customHeight="1">
      <c r="A218" s="7"/>
      <c r="B218" s="7"/>
      <c r="C218" s="7"/>
      <c r="D218" s="7"/>
      <c r="E218" s="7"/>
    </row>
    <row r="219" ht="22.5" customHeight="1">
      <c r="A219" s="7"/>
      <c r="B219" s="7"/>
      <c r="C219" s="7"/>
      <c r="D219" s="7"/>
      <c r="E219" s="7"/>
    </row>
    <row r="220" ht="22.5" customHeight="1">
      <c r="A220" s="7"/>
      <c r="B220" s="7"/>
      <c r="C220" s="7"/>
      <c r="D220" s="7"/>
      <c r="E220" s="7"/>
    </row>
    <row r="221" ht="22.5" customHeight="1">
      <c r="A221" s="7"/>
      <c r="B221" s="7"/>
      <c r="C221" s="7"/>
      <c r="D221" s="7"/>
      <c r="E221" s="7"/>
    </row>
    <row r="222" ht="22.5" customHeight="1">
      <c r="A222" s="7"/>
      <c r="B222" s="7"/>
      <c r="C222" s="7"/>
      <c r="D222" s="7"/>
      <c r="E222" s="7"/>
    </row>
    <row r="223" ht="22.5" customHeight="1">
      <c r="A223" s="7"/>
      <c r="B223" s="7"/>
      <c r="C223" s="7"/>
      <c r="D223" s="7"/>
      <c r="E223" s="7"/>
    </row>
    <row r="224" ht="22.5" customHeight="1">
      <c r="A224" s="7"/>
      <c r="B224" s="7"/>
      <c r="C224" s="7"/>
      <c r="D224" s="7"/>
      <c r="E224" s="7"/>
    </row>
    <row r="225" ht="22.5" customHeight="1">
      <c r="A225" s="7"/>
      <c r="B225" s="7"/>
      <c r="C225" s="7"/>
      <c r="D225" s="7"/>
      <c r="E225" s="7"/>
    </row>
    <row r="226" ht="22.5" customHeight="1">
      <c r="A226" s="7"/>
      <c r="B226" s="7"/>
      <c r="C226" s="7"/>
      <c r="D226" s="7"/>
      <c r="E226" s="7"/>
    </row>
    <row r="227" ht="22.5" customHeight="1">
      <c r="A227" s="7"/>
      <c r="B227" s="7"/>
      <c r="C227" s="7"/>
      <c r="D227" s="7"/>
      <c r="E227" s="7"/>
    </row>
    <row r="228" ht="22.5" customHeight="1">
      <c r="A228" s="7"/>
      <c r="B228" s="7"/>
      <c r="C228" s="7"/>
      <c r="D228" s="7"/>
      <c r="E228" s="7"/>
    </row>
    <row r="229" ht="22.5" customHeight="1">
      <c r="A229" s="7"/>
      <c r="B229" s="7"/>
      <c r="C229" s="7"/>
      <c r="D229" s="7"/>
      <c r="E229" s="7"/>
    </row>
    <row r="230" ht="22.5" customHeight="1">
      <c r="A230" s="7"/>
      <c r="B230" s="7"/>
      <c r="C230" s="7"/>
      <c r="D230" s="7"/>
      <c r="E230" s="7"/>
    </row>
    <row r="231" ht="22.5" customHeight="1">
      <c r="A231" s="7"/>
      <c r="B231" s="7"/>
      <c r="C231" s="7"/>
      <c r="D231" s="7"/>
      <c r="E231" s="7"/>
    </row>
    <row r="232" ht="22.5" customHeight="1">
      <c r="A232" s="7"/>
      <c r="B232" s="7"/>
      <c r="C232" s="7"/>
      <c r="D232" s="7"/>
      <c r="E232" s="7"/>
    </row>
    <row r="233" ht="22.5" customHeight="1">
      <c r="A233" s="7"/>
      <c r="B233" s="7"/>
      <c r="C233" s="7"/>
      <c r="D233" s="7"/>
      <c r="E233" s="7"/>
    </row>
    <row r="234" ht="22.5" customHeight="1">
      <c r="A234" s="7"/>
      <c r="B234" s="7"/>
      <c r="C234" s="7"/>
      <c r="D234" s="7"/>
      <c r="E234" s="7"/>
    </row>
    <row r="235" ht="22.5" customHeight="1">
      <c r="A235" s="7"/>
      <c r="B235" s="7"/>
      <c r="C235" s="7"/>
      <c r="D235" s="7"/>
      <c r="E235" s="7"/>
    </row>
    <row r="236" ht="22.5" customHeight="1">
      <c r="A236" s="7"/>
      <c r="B236" s="7"/>
      <c r="C236" s="7"/>
      <c r="D236" s="7"/>
      <c r="E236" s="7"/>
    </row>
    <row r="237" ht="22.5" customHeight="1">
      <c r="A237" s="7"/>
      <c r="B237" s="7"/>
      <c r="C237" s="7"/>
      <c r="D237" s="7"/>
      <c r="E237" s="7"/>
    </row>
    <row r="238" ht="22.5" customHeight="1">
      <c r="A238" s="7"/>
      <c r="B238" s="7"/>
      <c r="C238" s="7"/>
      <c r="D238" s="7"/>
      <c r="E238" s="7"/>
    </row>
    <row r="239" ht="22.5" customHeight="1">
      <c r="A239" s="7"/>
      <c r="B239" s="7"/>
      <c r="C239" s="7"/>
      <c r="D239" s="7"/>
      <c r="E239" s="7"/>
    </row>
    <row r="240" ht="22.5" customHeight="1">
      <c r="A240" s="7"/>
      <c r="B240" s="7"/>
      <c r="C240" s="7"/>
      <c r="D240" s="7"/>
      <c r="E240" s="7"/>
    </row>
    <row r="241" ht="22.5" customHeight="1">
      <c r="A241" s="7"/>
      <c r="B241" s="7"/>
      <c r="C241" s="7"/>
      <c r="D241" s="7"/>
      <c r="E241" s="7"/>
    </row>
    <row r="242" ht="22.5" customHeight="1">
      <c r="A242" s="7"/>
      <c r="B242" s="7"/>
      <c r="C242" s="7"/>
      <c r="D242" s="7"/>
      <c r="E242" s="7"/>
    </row>
    <row r="243" ht="22.5" customHeight="1">
      <c r="A243" s="7"/>
      <c r="B243" s="7"/>
      <c r="C243" s="7"/>
      <c r="D243" s="7"/>
      <c r="E243" s="7"/>
    </row>
    <row r="244" ht="22.5" customHeight="1">
      <c r="A244" s="7"/>
      <c r="B244" s="7"/>
      <c r="C244" s="7"/>
      <c r="D244" s="7"/>
      <c r="E244" s="7"/>
    </row>
    <row r="245" ht="22.5" customHeight="1">
      <c r="A245" s="7"/>
      <c r="B245" s="7"/>
      <c r="C245" s="7"/>
      <c r="D245" s="7"/>
      <c r="E245" s="7"/>
    </row>
    <row r="246" ht="22.5" customHeight="1">
      <c r="A246" s="7"/>
      <c r="B246" s="7"/>
      <c r="C246" s="7"/>
      <c r="D246" s="7"/>
      <c r="E246" s="7"/>
    </row>
    <row r="247" ht="22.5" customHeight="1">
      <c r="A247" s="7"/>
      <c r="B247" s="7"/>
      <c r="C247" s="7"/>
      <c r="D247" s="7"/>
      <c r="E247" s="7"/>
    </row>
    <row r="248" ht="22.5" customHeight="1">
      <c r="A248" s="7"/>
      <c r="B248" s="7"/>
      <c r="C248" s="7"/>
      <c r="D248" s="7"/>
      <c r="E248" s="7"/>
    </row>
    <row r="249" ht="22.5" customHeight="1">
      <c r="A249" s="7"/>
      <c r="B249" s="7"/>
      <c r="C249" s="7"/>
      <c r="D249" s="7"/>
      <c r="E249" s="7"/>
    </row>
    <row r="250" ht="22.5" customHeight="1">
      <c r="A250" s="7"/>
      <c r="B250" s="7"/>
      <c r="C250" s="7"/>
      <c r="D250" s="7"/>
      <c r="E250" s="7"/>
    </row>
    <row r="251" ht="22.5" customHeight="1">
      <c r="A251" s="7"/>
      <c r="B251" s="7"/>
      <c r="C251" s="7"/>
      <c r="D251" s="7"/>
      <c r="E251" s="7"/>
    </row>
    <row r="252" ht="22.5" customHeight="1">
      <c r="A252" s="7"/>
      <c r="B252" s="7"/>
      <c r="C252" s="7"/>
      <c r="D252" s="7"/>
      <c r="E252" s="7"/>
    </row>
    <row r="253" ht="22.5" customHeight="1">
      <c r="A253" s="7"/>
      <c r="B253" s="7"/>
      <c r="C253" s="7"/>
      <c r="D253" s="7"/>
      <c r="E253" s="7"/>
    </row>
    <row r="254" ht="22.5" customHeight="1">
      <c r="A254" s="7"/>
      <c r="B254" s="7"/>
      <c r="C254" s="7"/>
      <c r="D254" s="7"/>
      <c r="E254" s="7"/>
    </row>
    <row r="255" ht="22.5" customHeight="1">
      <c r="A255" s="7"/>
      <c r="B255" s="7"/>
      <c r="C255" s="7"/>
      <c r="D255" s="7"/>
      <c r="E255" s="7"/>
    </row>
    <row r="256" ht="22.5" customHeight="1">
      <c r="A256" s="7"/>
      <c r="B256" s="7"/>
      <c r="C256" s="7"/>
      <c r="D256" s="7"/>
      <c r="E256" s="7"/>
    </row>
    <row r="257" ht="22.5" customHeight="1">
      <c r="A257" s="7"/>
      <c r="B257" s="7"/>
      <c r="C257" s="7"/>
      <c r="D257" s="7"/>
      <c r="E257" s="7"/>
    </row>
    <row r="258" ht="22.5" customHeight="1">
      <c r="A258" s="7"/>
      <c r="B258" s="7"/>
      <c r="C258" s="7"/>
      <c r="D258" s="7"/>
      <c r="E258" s="7"/>
    </row>
    <row r="259" ht="22.5" customHeight="1">
      <c r="A259" s="7"/>
      <c r="B259" s="7"/>
      <c r="C259" s="7"/>
      <c r="D259" s="7"/>
      <c r="E259" s="7"/>
    </row>
    <row r="260" ht="22.5" customHeight="1">
      <c r="A260" s="7"/>
      <c r="B260" s="7"/>
      <c r="C260" s="7"/>
      <c r="D260" s="7"/>
      <c r="E260" s="7"/>
    </row>
    <row r="261" ht="22.5" customHeight="1">
      <c r="A261" s="7"/>
      <c r="B261" s="7"/>
      <c r="C261" s="7"/>
      <c r="D261" s="7"/>
      <c r="E261" s="7"/>
    </row>
    <row r="262" ht="22.5" customHeight="1">
      <c r="A262" s="7"/>
      <c r="B262" s="7"/>
      <c r="C262" s="7"/>
      <c r="D262" s="7"/>
      <c r="E262" s="7"/>
    </row>
    <row r="263" ht="22.5" customHeight="1">
      <c r="A263" s="7"/>
      <c r="B263" s="7"/>
      <c r="C263" s="7"/>
      <c r="D263" s="7"/>
      <c r="E263" s="7"/>
    </row>
    <row r="264" ht="22.5" customHeight="1">
      <c r="A264" s="7"/>
      <c r="B264" s="7"/>
      <c r="C264" s="7"/>
      <c r="D264" s="7"/>
      <c r="E264" s="7"/>
    </row>
    <row r="265" ht="22.5" customHeight="1">
      <c r="A265" s="7"/>
      <c r="B265" s="7"/>
      <c r="C265" s="7"/>
      <c r="D265" s="7"/>
      <c r="E265" s="7"/>
    </row>
    <row r="266" ht="22.5" customHeight="1">
      <c r="A266" s="7"/>
      <c r="B266" s="7"/>
      <c r="C266" s="7"/>
      <c r="D266" s="7"/>
      <c r="E266" s="7"/>
    </row>
    <row r="267" ht="22.5" customHeight="1">
      <c r="A267" s="7"/>
      <c r="B267" s="7"/>
      <c r="C267" s="7"/>
      <c r="D267" s="7"/>
      <c r="E267" s="7"/>
    </row>
    <row r="268" ht="22.5" customHeight="1">
      <c r="A268" s="7"/>
      <c r="B268" s="7"/>
      <c r="C268" s="7"/>
      <c r="D268" s="7"/>
      <c r="E268" s="7"/>
    </row>
    <row r="269" ht="22.5" customHeight="1">
      <c r="A269" s="7"/>
      <c r="B269" s="7"/>
      <c r="C269" s="7"/>
      <c r="D269" s="7"/>
      <c r="E269" s="7"/>
    </row>
    <row r="270" ht="22.5" customHeight="1">
      <c r="A270" s="7"/>
      <c r="B270" s="7"/>
      <c r="C270" s="7"/>
      <c r="D270" s="7"/>
      <c r="E270" s="7"/>
    </row>
    <row r="271" ht="22.5" customHeight="1">
      <c r="A271" s="7"/>
      <c r="B271" s="7"/>
      <c r="C271" s="7"/>
      <c r="D271" s="7"/>
      <c r="E271" s="7"/>
    </row>
    <row r="272" ht="22.5" customHeight="1">
      <c r="A272" s="7"/>
      <c r="B272" s="7"/>
      <c r="C272" s="7"/>
      <c r="D272" s="7"/>
      <c r="E272" s="7"/>
    </row>
    <row r="273" ht="22.5" customHeight="1">
      <c r="A273" s="7"/>
      <c r="B273" s="7"/>
      <c r="C273" s="7"/>
      <c r="D273" s="7"/>
      <c r="E273" s="7"/>
    </row>
    <row r="274" ht="22.5" customHeight="1">
      <c r="A274" s="7"/>
      <c r="B274" s="7"/>
      <c r="C274" s="7"/>
      <c r="D274" s="7"/>
      <c r="E274" s="7"/>
    </row>
    <row r="275" ht="22.5" customHeight="1">
      <c r="A275" s="7"/>
      <c r="B275" s="7"/>
      <c r="C275" s="7"/>
      <c r="D275" s="7"/>
      <c r="E275" s="7"/>
    </row>
    <row r="276" ht="22.5" customHeight="1">
      <c r="A276" s="7"/>
      <c r="B276" s="7"/>
      <c r="C276" s="7"/>
      <c r="D276" s="7"/>
      <c r="E276" s="7"/>
    </row>
    <row r="277" ht="22.5" customHeight="1">
      <c r="A277" s="7"/>
      <c r="B277" s="7"/>
      <c r="C277" s="7"/>
      <c r="D277" s="7"/>
      <c r="E277" s="7"/>
    </row>
    <row r="278" ht="22.5" customHeight="1">
      <c r="A278" s="7"/>
      <c r="B278" s="7"/>
      <c r="C278" s="7"/>
      <c r="D278" s="7"/>
      <c r="E278" s="7"/>
    </row>
    <row r="279" ht="22.5" customHeight="1">
      <c r="A279" s="7"/>
      <c r="B279" s="7"/>
      <c r="C279" s="7"/>
      <c r="D279" s="7"/>
      <c r="E279" s="7"/>
    </row>
    <row r="280" ht="22.5" customHeight="1">
      <c r="A280" s="7"/>
      <c r="B280" s="7"/>
      <c r="C280" s="7"/>
      <c r="D280" s="7"/>
      <c r="E280" s="7"/>
    </row>
    <row r="281" ht="22.5" customHeight="1">
      <c r="A281" s="7"/>
      <c r="B281" s="7"/>
      <c r="C281" s="7"/>
      <c r="D281" s="7"/>
      <c r="E281" s="7"/>
    </row>
    <row r="282" ht="22.5" customHeight="1">
      <c r="A282" s="7"/>
      <c r="B282" s="7"/>
      <c r="C282" s="7"/>
      <c r="D282" s="7"/>
      <c r="E282" s="7"/>
    </row>
    <row r="283" ht="22.5" customHeight="1">
      <c r="A283" s="7"/>
      <c r="B283" s="7"/>
      <c r="C283" s="7"/>
      <c r="D283" s="7"/>
      <c r="E283" s="7"/>
    </row>
    <row r="284" ht="22.5" customHeight="1">
      <c r="A284" s="7"/>
      <c r="B284" s="7"/>
      <c r="C284" s="7"/>
      <c r="D284" s="7"/>
      <c r="E284" s="7"/>
    </row>
    <row r="285" ht="22.5" customHeight="1">
      <c r="A285" s="7"/>
      <c r="B285" s="7"/>
      <c r="C285" s="7"/>
      <c r="D285" s="7"/>
      <c r="E285" s="7"/>
    </row>
    <row r="286" ht="22.5" customHeight="1">
      <c r="A286" s="7"/>
      <c r="B286" s="7"/>
      <c r="C286" s="7"/>
      <c r="D286" s="7"/>
      <c r="E286" s="7"/>
    </row>
    <row r="287" ht="22.5" customHeight="1">
      <c r="A287" s="7"/>
      <c r="B287" s="7"/>
      <c r="C287" s="7"/>
      <c r="D287" s="7"/>
      <c r="E287" s="7"/>
    </row>
    <row r="288" ht="22.5" customHeight="1">
      <c r="A288" s="7"/>
      <c r="B288" s="7"/>
      <c r="C288" s="7"/>
      <c r="D288" s="7"/>
      <c r="E288" s="7"/>
    </row>
    <row r="289" ht="22.5" customHeight="1">
      <c r="A289" s="7"/>
      <c r="B289" s="7"/>
      <c r="C289" s="7"/>
      <c r="D289" s="7"/>
      <c r="E289" s="7"/>
    </row>
    <row r="290" ht="22.5" customHeight="1">
      <c r="A290" s="7"/>
      <c r="B290" s="7"/>
      <c r="C290" s="7"/>
      <c r="D290" s="7"/>
      <c r="E290" s="7"/>
    </row>
    <row r="291" ht="22.5" customHeight="1">
      <c r="A291" s="7"/>
      <c r="B291" s="7"/>
      <c r="C291" s="7"/>
      <c r="D291" s="7"/>
      <c r="E291" s="7"/>
    </row>
    <row r="292" ht="22.5" customHeight="1">
      <c r="A292" s="7"/>
      <c r="B292" s="7"/>
      <c r="C292" s="7"/>
      <c r="D292" s="7"/>
      <c r="E292" s="7"/>
    </row>
    <row r="293" ht="22.5" customHeight="1">
      <c r="A293" s="7"/>
      <c r="B293" s="7"/>
      <c r="C293" s="7"/>
      <c r="D293" s="7"/>
      <c r="E293" s="7"/>
    </row>
    <row r="294" ht="22.5" customHeight="1">
      <c r="A294" s="7"/>
      <c r="B294" s="7"/>
      <c r="C294" s="7"/>
      <c r="D294" s="7"/>
      <c r="E294" s="7"/>
    </row>
    <row r="295" ht="22.5" customHeight="1">
      <c r="A295" s="7"/>
      <c r="B295" s="7"/>
      <c r="C295" s="7"/>
      <c r="D295" s="7"/>
      <c r="E295" s="7"/>
    </row>
    <row r="296" ht="22.5" customHeight="1">
      <c r="A296" s="7"/>
      <c r="B296" s="7"/>
      <c r="C296" s="7"/>
      <c r="D296" s="7"/>
      <c r="E296" s="7"/>
    </row>
    <row r="297" ht="22.5" customHeight="1">
      <c r="A297" s="7"/>
      <c r="B297" s="7"/>
      <c r="C297" s="7"/>
      <c r="D297" s="7"/>
      <c r="E297" s="7"/>
    </row>
    <row r="298" ht="22.5" customHeight="1">
      <c r="A298" s="7"/>
      <c r="B298" s="7"/>
      <c r="C298" s="7"/>
      <c r="D298" s="7"/>
      <c r="E298" s="7"/>
    </row>
    <row r="299" ht="22.5" customHeight="1">
      <c r="A299" s="7"/>
      <c r="B299" s="7"/>
      <c r="C299" s="7"/>
      <c r="D299" s="7"/>
      <c r="E299" s="7"/>
    </row>
    <row r="300" ht="22.5" customHeight="1">
      <c r="A300" s="7"/>
      <c r="B300" s="7"/>
      <c r="C300" s="7"/>
      <c r="D300" s="7"/>
      <c r="E300" s="7"/>
    </row>
    <row r="301" ht="22.5" customHeight="1">
      <c r="A301" s="7"/>
      <c r="B301" s="7"/>
      <c r="C301" s="7"/>
      <c r="D301" s="7"/>
      <c r="E301" s="7"/>
    </row>
    <row r="302" ht="22.5" customHeight="1">
      <c r="A302" s="7"/>
      <c r="B302" s="7"/>
      <c r="C302" s="7"/>
      <c r="D302" s="7"/>
      <c r="E302" s="7"/>
    </row>
    <row r="303" ht="22.5" customHeight="1">
      <c r="A303" s="7"/>
      <c r="B303" s="7"/>
      <c r="C303" s="7"/>
      <c r="D303" s="7"/>
      <c r="E303" s="7"/>
    </row>
    <row r="304" ht="22.5" customHeight="1">
      <c r="A304" s="7"/>
      <c r="B304" s="7"/>
      <c r="C304" s="7"/>
      <c r="D304" s="7"/>
      <c r="E304" s="7"/>
    </row>
    <row r="305" ht="22.5" customHeight="1">
      <c r="A305" s="7"/>
      <c r="B305" s="7"/>
      <c r="C305" s="7"/>
      <c r="D305" s="7"/>
      <c r="E305" s="7"/>
    </row>
    <row r="306" ht="22.5" customHeight="1">
      <c r="A306" s="7"/>
      <c r="B306" s="7"/>
      <c r="C306" s="7"/>
      <c r="D306" s="7"/>
      <c r="E306" s="7"/>
    </row>
    <row r="307" ht="22.5" customHeight="1">
      <c r="A307" s="7"/>
      <c r="B307" s="7"/>
      <c r="C307" s="7"/>
      <c r="D307" s="7"/>
      <c r="E307" s="7"/>
    </row>
    <row r="308" ht="22.5" customHeight="1">
      <c r="A308" s="7"/>
      <c r="B308" s="7"/>
      <c r="C308" s="7"/>
      <c r="D308" s="7"/>
      <c r="E308" s="7"/>
    </row>
    <row r="309" ht="22.5" customHeight="1">
      <c r="A309" s="7"/>
      <c r="B309" s="7"/>
      <c r="C309" s="7"/>
      <c r="D309" s="7"/>
      <c r="E309" s="7"/>
    </row>
    <row r="310" ht="22.5" customHeight="1">
      <c r="A310" s="7"/>
      <c r="B310" s="7"/>
      <c r="C310" s="7"/>
      <c r="D310" s="7"/>
      <c r="E310" s="7"/>
    </row>
    <row r="311" ht="22.5" customHeight="1">
      <c r="A311" s="7"/>
      <c r="B311" s="7"/>
      <c r="C311" s="7"/>
      <c r="D311" s="7"/>
      <c r="E311" s="7"/>
    </row>
    <row r="312" ht="22.5" customHeight="1">
      <c r="A312" s="7"/>
      <c r="B312" s="7"/>
      <c r="C312" s="7"/>
      <c r="D312" s="7"/>
      <c r="E312" s="7"/>
    </row>
    <row r="313" ht="22.5" customHeight="1">
      <c r="A313" s="7"/>
      <c r="B313" s="7"/>
      <c r="C313" s="7"/>
      <c r="D313" s="7"/>
      <c r="E313" s="7"/>
    </row>
    <row r="314" ht="22.5" customHeight="1">
      <c r="A314" s="7"/>
      <c r="B314" s="7"/>
      <c r="C314" s="7"/>
      <c r="D314" s="7"/>
      <c r="E314" s="7"/>
    </row>
    <row r="315" ht="22.5" customHeight="1">
      <c r="A315" s="7"/>
      <c r="B315" s="7"/>
      <c r="C315" s="7"/>
      <c r="D315" s="7"/>
      <c r="E315" s="7"/>
    </row>
    <row r="316" ht="22.5" customHeight="1">
      <c r="A316" s="7"/>
      <c r="B316" s="7"/>
      <c r="C316" s="7"/>
      <c r="D316" s="7"/>
      <c r="E316" s="7"/>
    </row>
    <row r="317" ht="22.5" customHeight="1">
      <c r="A317" s="7"/>
      <c r="B317" s="7"/>
      <c r="C317" s="7"/>
      <c r="D317" s="7"/>
      <c r="E317" s="7"/>
    </row>
    <row r="318" ht="22.5" customHeight="1">
      <c r="A318" s="7"/>
      <c r="B318" s="7"/>
      <c r="C318" s="7"/>
      <c r="D318" s="7"/>
      <c r="E318" s="7"/>
    </row>
    <row r="319" ht="22.5" customHeight="1">
      <c r="A319" s="7"/>
      <c r="B319" s="7"/>
      <c r="C319" s="7"/>
      <c r="D319" s="7"/>
      <c r="E319" s="7"/>
    </row>
    <row r="320" ht="22.5" customHeight="1">
      <c r="A320" s="7"/>
      <c r="B320" s="7"/>
      <c r="C320" s="7"/>
      <c r="D320" s="7"/>
      <c r="E320" s="7"/>
    </row>
    <row r="321" ht="22.5" customHeight="1">
      <c r="A321" s="7"/>
      <c r="B321" s="7"/>
      <c r="C321" s="7"/>
      <c r="D321" s="7"/>
      <c r="E321" s="7"/>
    </row>
    <row r="322" ht="22.5" customHeight="1">
      <c r="A322" s="7"/>
      <c r="B322" s="7"/>
      <c r="C322" s="7"/>
      <c r="D322" s="7"/>
      <c r="E322" s="7"/>
    </row>
    <row r="323" ht="22.5" customHeight="1">
      <c r="A323" s="7"/>
      <c r="B323" s="7"/>
      <c r="C323" s="7"/>
      <c r="D323" s="7"/>
      <c r="E323" s="7"/>
    </row>
    <row r="324" ht="22.5" customHeight="1">
      <c r="A324" s="7"/>
      <c r="B324" s="7"/>
      <c r="C324" s="7"/>
      <c r="D324" s="7"/>
      <c r="E324" s="7"/>
    </row>
    <row r="325" ht="22.5" customHeight="1">
      <c r="A325" s="7"/>
      <c r="B325" s="7"/>
      <c r="C325" s="7"/>
      <c r="D325" s="7"/>
      <c r="E325" s="7"/>
    </row>
    <row r="326" ht="22.5" customHeight="1">
      <c r="A326" s="7"/>
      <c r="B326" s="7"/>
      <c r="C326" s="7"/>
      <c r="D326" s="7"/>
      <c r="E326" s="7"/>
    </row>
    <row r="327" ht="22.5" customHeight="1">
      <c r="A327" s="7"/>
      <c r="B327" s="7"/>
      <c r="C327" s="7"/>
      <c r="D327" s="7"/>
      <c r="E327" s="7"/>
    </row>
    <row r="328" ht="22.5" customHeight="1">
      <c r="A328" s="7"/>
      <c r="B328" s="7"/>
      <c r="C328" s="7"/>
      <c r="D328" s="7"/>
      <c r="E328" s="7"/>
    </row>
    <row r="329" ht="22.5" customHeight="1">
      <c r="A329" s="7"/>
      <c r="B329" s="7"/>
      <c r="C329" s="7"/>
      <c r="D329" s="7"/>
      <c r="E329" s="7"/>
    </row>
    <row r="330" ht="22.5" customHeight="1">
      <c r="A330" s="7"/>
      <c r="B330" s="7"/>
      <c r="C330" s="7"/>
      <c r="D330" s="7"/>
      <c r="E330" s="7"/>
    </row>
    <row r="331" ht="22.5" customHeight="1">
      <c r="A331" s="7"/>
      <c r="B331" s="7"/>
      <c r="C331" s="7"/>
      <c r="D331" s="7"/>
      <c r="E331" s="7"/>
    </row>
    <row r="332" ht="22.5" customHeight="1">
      <c r="A332" s="7"/>
      <c r="B332" s="7"/>
      <c r="C332" s="7"/>
      <c r="D332" s="7"/>
      <c r="E332" s="7"/>
    </row>
    <row r="333" ht="22.5" customHeight="1">
      <c r="A333" s="7"/>
      <c r="B333" s="7"/>
      <c r="C333" s="7"/>
      <c r="D333" s="7"/>
      <c r="E333" s="7"/>
    </row>
    <row r="334" ht="22.5" customHeight="1">
      <c r="A334" s="7"/>
      <c r="B334" s="7"/>
      <c r="C334" s="7"/>
      <c r="D334" s="7"/>
      <c r="E334" s="7"/>
    </row>
    <row r="335" ht="22.5" customHeight="1">
      <c r="A335" s="7"/>
      <c r="B335" s="7"/>
      <c r="C335" s="7"/>
      <c r="D335" s="7"/>
      <c r="E335" s="7"/>
    </row>
    <row r="336" ht="22.5" customHeight="1">
      <c r="A336" s="7"/>
      <c r="B336" s="7"/>
      <c r="C336" s="7"/>
      <c r="D336" s="7"/>
      <c r="E336" s="7"/>
    </row>
    <row r="337" ht="22.5" customHeight="1">
      <c r="A337" s="7"/>
      <c r="B337" s="7"/>
      <c r="C337" s="7"/>
      <c r="D337" s="7"/>
      <c r="E337" s="7"/>
    </row>
    <row r="338" ht="22.5" customHeight="1">
      <c r="A338" s="7"/>
      <c r="B338" s="7"/>
      <c r="C338" s="7"/>
      <c r="D338" s="7"/>
      <c r="E338" s="7"/>
    </row>
    <row r="339" ht="22.5" customHeight="1">
      <c r="A339" s="7"/>
      <c r="B339" s="7"/>
      <c r="C339" s="7"/>
      <c r="D339" s="7"/>
      <c r="E339" s="7"/>
    </row>
    <row r="340" ht="22.5" customHeight="1">
      <c r="A340" s="7"/>
      <c r="B340" s="7"/>
      <c r="C340" s="7"/>
      <c r="D340" s="7"/>
      <c r="E340" s="7"/>
    </row>
    <row r="341" ht="22.5" customHeight="1">
      <c r="A341" s="7"/>
      <c r="B341" s="7"/>
      <c r="C341" s="7"/>
      <c r="D341" s="7"/>
      <c r="E341" s="7"/>
    </row>
    <row r="342" ht="22.5" customHeight="1">
      <c r="A342" s="7"/>
      <c r="B342" s="7"/>
      <c r="C342" s="7"/>
      <c r="D342" s="7"/>
      <c r="E342" s="7"/>
    </row>
    <row r="343" ht="22.5" customHeight="1">
      <c r="A343" s="7"/>
      <c r="B343" s="7"/>
      <c r="C343" s="7"/>
      <c r="D343" s="7"/>
      <c r="E343" s="7"/>
    </row>
    <row r="344" ht="22.5" customHeight="1">
      <c r="A344" s="7"/>
      <c r="B344" s="7"/>
      <c r="C344" s="7"/>
      <c r="D344" s="7"/>
      <c r="E344" s="7"/>
    </row>
    <row r="345" ht="22.5" customHeight="1">
      <c r="A345" s="7"/>
      <c r="B345" s="7"/>
      <c r="C345" s="7"/>
      <c r="D345" s="7"/>
      <c r="E345" s="7"/>
    </row>
    <row r="346" ht="22.5" customHeight="1">
      <c r="A346" s="7"/>
      <c r="B346" s="7"/>
      <c r="C346" s="7"/>
      <c r="D346" s="7"/>
      <c r="E346" s="7"/>
    </row>
    <row r="347" ht="22.5" customHeight="1">
      <c r="A347" s="7"/>
      <c r="B347" s="7"/>
      <c r="C347" s="7"/>
      <c r="D347" s="7"/>
      <c r="E347" s="7"/>
    </row>
    <row r="348" ht="22.5" customHeight="1">
      <c r="A348" s="7"/>
      <c r="B348" s="7"/>
      <c r="C348" s="7"/>
      <c r="D348" s="7"/>
      <c r="E348" s="7"/>
    </row>
    <row r="349" ht="22.5" customHeight="1">
      <c r="A349" s="7"/>
      <c r="B349" s="7"/>
      <c r="C349" s="7"/>
      <c r="D349" s="7"/>
      <c r="E349" s="7"/>
    </row>
    <row r="350" ht="22.5" customHeight="1">
      <c r="A350" s="7"/>
      <c r="B350" s="7"/>
      <c r="C350" s="7"/>
      <c r="D350" s="7"/>
      <c r="E350" s="7"/>
    </row>
    <row r="351" ht="22.5" customHeight="1">
      <c r="A351" s="7"/>
      <c r="B351" s="7"/>
      <c r="C351" s="7"/>
      <c r="D351" s="7"/>
      <c r="E351" s="7"/>
    </row>
    <row r="352" ht="22.5" customHeight="1">
      <c r="A352" s="7"/>
      <c r="B352" s="7"/>
      <c r="C352" s="7"/>
      <c r="D352" s="7"/>
      <c r="E352" s="7"/>
    </row>
    <row r="353" ht="22.5" customHeight="1">
      <c r="A353" s="7"/>
      <c r="B353" s="7"/>
      <c r="C353" s="7"/>
      <c r="D353" s="7"/>
      <c r="E353" s="7"/>
    </row>
    <row r="354" ht="22.5" customHeight="1">
      <c r="A354" s="7"/>
      <c r="B354" s="7"/>
      <c r="C354" s="7"/>
      <c r="D354" s="7"/>
      <c r="E354" s="7"/>
    </row>
    <row r="355" ht="22.5" customHeight="1">
      <c r="A355" s="7"/>
      <c r="B355" s="7"/>
      <c r="C355" s="7"/>
      <c r="D355" s="7"/>
      <c r="E355" s="7"/>
    </row>
    <row r="356" ht="22.5" customHeight="1">
      <c r="A356" s="7"/>
      <c r="B356" s="7"/>
      <c r="C356" s="7"/>
      <c r="D356" s="7"/>
      <c r="E356" s="7"/>
    </row>
    <row r="357" ht="22.5" customHeight="1">
      <c r="A357" s="7"/>
      <c r="B357" s="7"/>
      <c r="C357" s="7"/>
      <c r="D357" s="7"/>
      <c r="E357" s="7"/>
    </row>
    <row r="358" ht="22.5" customHeight="1">
      <c r="A358" s="7"/>
      <c r="B358" s="7"/>
      <c r="C358" s="7"/>
      <c r="D358" s="7"/>
      <c r="E358" s="7"/>
    </row>
    <row r="359" ht="22.5" customHeight="1">
      <c r="A359" s="7"/>
      <c r="B359" s="7"/>
      <c r="C359" s="7"/>
      <c r="D359" s="7"/>
      <c r="E359" s="7"/>
    </row>
    <row r="360" ht="22.5" customHeight="1">
      <c r="A360" s="7"/>
      <c r="B360" s="7"/>
      <c r="C360" s="7"/>
      <c r="D360" s="7"/>
      <c r="E360" s="7"/>
    </row>
    <row r="361" ht="22.5" customHeight="1">
      <c r="A361" s="7"/>
      <c r="B361" s="7"/>
      <c r="C361" s="7"/>
      <c r="D361" s="7"/>
      <c r="E361" s="7"/>
    </row>
    <row r="362" ht="22.5" customHeight="1">
      <c r="A362" s="7"/>
      <c r="B362" s="7"/>
      <c r="C362" s="7"/>
      <c r="D362" s="7"/>
      <c r="E362" s="7"/>
    </row>
    <row r="363" ht="22.5" customHeight="1">
      <c r="A363" s="7"/>
      <c r="B363" s="7"/>
      <c r="C363" s="7"/>
      <c r="D363" s="7"/>
      <c r="E363" s="7"/>
    </row>
    <row r="364" ht="22.5" customHeight="1">
      <c r="A364" s="7"/>
      <c r="B364" s="7"/>
      <c r="C364" s="7"/>
      <c r="D364" s="7"/>
      <c r="E364" s="7"/>
    </row>
    <row r="365" ht="22.5" customHeight="1">
      <c r="A365" s="7"/>
      <c r="B365" s="7"/>
      <c r="C365" s="7"/>
      <c r="D365" s="7"/>
      <c r="E365" s="7"/>
    </row>
    <row r="366" ht="22.5" customHeight="1">
      <c r="A366" s="7"/>
      <c r="B366" s="7"/>
      <c r="C366" s="7"/>
      <c r="D366" s="7"/>
      <c r="E366" s="7"/>
    </row>
    <row r="367" ht="22.5" customHeight="1">
      <c r="A367" s="7"/>
      <c r="B367" s="7"/>
      <c r="C367" s="7"/>
      <c r="D367" s="7"/>
      <c r="E367" s="7"/>
    </row>
    <row r="368" ht="22.5" customHeight="1">
      <c r="A368" s="7"/>
      <c r="B368" s="7"/>
      <c r="C368" s="7"/>
      <c r="D368" s="7"/>
      <c r="E368" s="7"/>
    </row>
    <row r="369" ht="22.5" customHeight="1">
      <c r="A369" s="7"/>
      <c r="B369" s="7"/>
      <c r="C369" s="7"/>
      <c r="D369" s="7"/>
      <c r="E369" s="7"/>
    </row>
    <row r="370" ht="22.5" customHeight="1">
      <c r="A370" s="7"/>
      <c r="B370" s="7"/>
      <c r="C370" s="7"/>
      <c r="D370" s="7"/>
      <c r="E370" s="7"/>
    </row>
    <row r="371" ht="22.5" customHeight="1">
      <c r="A371" s="7"/>
      <c r="B371" s="7"/>
      <c r="C371" s="7"/>
      <c r="D371" s="7"/>
      <c r="E371" s="7"/>
    </row>
    <row r="372" ht="22.5" customHeight="1">
      <c r="A372" s="7"/>
      <c r="B372" s="7"/>
      <c r="C372" s="7"/>
      <c r="D372" s="7"/>
      <c r="E372" s="7"/>
    </row>
    <row r="373" ht="22.5" customHeight="1">
      <c r="A373" s="7"/>
      <c r="B373" s="7"/>
      <c r="C373" s="7"/>
      <c r="D373" s="7"/>
      <c r="E373" s="7"/>
    </row>
    <row r="374" ht="22.5" customHeight="1">
      <c r="A374" s="7"/>
      <c r="B374" s="7"/>
      <c r="C374" s="7"/>
      <c r="D374" s="7"/>
      <c r="E374" s="7"/>
    </row>
    <row r="375" ht="22.5" customHeight="1">
      <c r="A375" s="7"/>
      <c r="B375" s="7"/>
      <c r="C375" s="7"/>
      <c r="D375" s="7"/>
      <c r="E375" s="7"/>
    </row>
    <row r="376" ht="22.5" customHeight="1">
      <c r="A376" s="7"/>
      <c r="B376" s="7"/>
      <c r="C376" s="7"/>
      <c r="D376" s="7"/>
      <c r="E376" s="7"/>
    </row>
    <row r="377" ht="22.5" customHeight="1">
      <c r="A377" s="7"/>
      <c r="B377" s="7"/>
      <c r="C377" s="7"/>
      <c r="D377" s="7"/>
      <c r="E377" s="7"/>
    </row>
    <row r="378" ht="22.5" customHeight="1">
      <c r="A378" s="7"/>
      <c r="B378" s="7"/>
      <c r="C378" s="7"/>
      <c r="D378" s="7"/>
      <c r="E378" s="7"/>
    </row>
    <row r="379" ht="22.5" customHeight="1">
      <c r="A379" s="7"/>
      <c r="B379" s="7"/>
      <c r="C379" s="7"/>
      <c r="D379" s="7"/>
      <c r="E379" s="7"/>
    </row>
    <row r="380" ht="22.5" customHeight="1">
      <c r="A380" s="7"/>
      <c r="B380" s="7"/>
      <c r="C380" s="7"/>
      <c r="D380" s="7"/>
      <c r="E380" s="7"/>
    </row>
    <row r="381" ht="22.5" customHeight="1">
      <c r="A381" s="7"/>
      <c r="B381" s="7"/>
      <c r="C381" s="7"/>
      <c r="D381" s="7"/>
      <c r="E381" s="7"/>
    </row>
    <row r="382" ht="22.5" customHeight="1">
      <c r="A382" s="7"/>
      <c r="B382" s="7"/>
      <c r="C382" s="7"/>
      <c r="D382" s="7"/>
      <c r="E382" s="7"/>
    </row>
    <row r="383" ht="22.5" customHeight="1">
      <c r="A383" s="7"/>
      <c r="B383" s="7"/>
      <c r="C383" s="7"/>
      <c r="D383" s="7"/>
      <c r="E383" s="7"/>
    </row>
    <row r="384" ht="22.5" customHeight="1">
      <c r="A384" s="7"/>
      <c r="B384" s="7"/>
      <c r="C384" s="7"/>
      <c r="D384" s="7"/>
      <c r="E384" s="7"/>
    </row>
    <row r="385" ht="22.5" customHeight="1">
      <c r="A385" s="7"/>
      <c r="B385" s="7"/>
      <c r="C385" s="7"/>
      <c r="D385" s="7"/>
      <c r="E385" s="7"/>
    </row>
    <row r="386" ht="22.5" customHeight="1">
      <c r="A386" s="7"/>
      <c r="B386" s="7"/>
      <c r="C386" s="7"/>
      <c r="D386" s="7"/>
      <c r="E386" s="7"/>
    </row>
    <row r="387" ht="22.5" customHeight="1">
      <c r="A387" s="7"/>
      <c r="B387" s="7"/>
      <c r="C387" s="7"/>
      <c r="D387" s="7"/>
      <c r="E387" s="7"/>
    </row>
    <row r="388" ht="22.5" customHeight="1">
      <c r="A388" s="7"/>
      <c r="B388" s="7"/>
      <c r="C388" s="7"/>
      <c r="D388" s="7"/>
      <c r="E388" s="7"/>
    </row>
    <row r="389" ht="22.5" customHeight="1">
      <c r="A389" s="7"/>
      <c r="B389" s="7"/>
      <c r="C389" s="7"/>
      <c r="D389" s="7"/>
      <c r="E389" s="7"/>
    </row>
    <row r="390" ht="22.5" customHeight="1">
      <c r="A390" s="7"/>
      <c r="B390" s="7"/>
      <c r="C390" s="7"/>
      <c r="D390" s="7"/>
      <c r="E390" s="7"/>
    </row>
    <row r="391" ht="22.5" customHeight="1">
      <c r="A391" s="7"/>
      <c r="B391" s="7"/>
      <c r="C391" s="7"/>
      <c r="D391" s="7"/>
      <c r="E391" s="7"/>
    </row>
    <row r="392" ht="22.5" customHeight="1">
      <c r="A392" s="7"/>
      <c r="B392" s="7"/>
      <c r="C392" s="7"/>
      <c r="D392" s="7"/>
      <c r="E392" s="7"/>
    </row>
    <row r="393" ht="22.5" customHeight="1">
      <c r="A393" s="7"/>
      <c r="B393" s="7"/>
      <c r="C393" s="7"/>
      <c r="D393" s="7"/>
      <c r="E393" s="7"/>
    </row>
    <row r="394" ht="22.5" customHeight="1">
      <c r="A394" s="7"/>
      <c r="B394" s="7"/>
      <c r="C394" s="7"/>
      <c r="D394" s="7"/>
      <c r="E394" s="7"/>
    </row>
    <row r="395" ht="22.5" customHeight="1">
      <c r="A395" s="7"/>
      <c r="B395" s="7"/>
      <c r="C395" s="7"/>
      <c r="D395" s="7"/>
      <c r="E395" s="7"/>
    </row>
    <row r="396" ht="22.5" customHeight="1">
      <c r="A396" s="7"/>
      <c r="B396" s="7"/>
      <c r="C396" s="7"/>
      <c r="D396" s="7"/>
      <c r="E396" s="7"/>
    </row>
    <row r="397" ht="22.5" customHeight="1">
      <c r="A397" s="7"/>
      <c r="B397" s="7"/>
      <c r="C397" s="7"/>
      <c r="D397" s="7"/>
      <c r="E397" s="7"/>
    </row>
    <row r="398" ht="22.5" customHeight="1">
      <c r="A398" s="7"/>
      <c r="B398" s="7"/>
      <c r="C398" s="7"/>
      <c r="D398" s="7"/>
      <c r="E398" s="7"/>
    </row>
    <row r="399" ht="22.5" customHeight="1">
      <c r="A399" s="7"/>
      <c r="B399" s="7"/>
      <c r="C399" s="7"/>
      <c r="D399" s="7"/>
      <c r="E399" s="7"/>
    </row>
    <row r="400" ht="22.5" customHeight="1">
      <c r="A400" s="7"/>
      <c r="B400" s="7"/>
      <c r="C400" s="7"/>
      <c r="D400" s="7"/>
      <c r="E400" s="7"/>
    </row>
    <row r="401" ht="22.5" customHeight="1">
      <c r="A401" s="7"/>
      <c r="B401" s="7"/>
      <c r="C401" s="7"/>
      <c r="D401" s="7"/>
      <c r="E401" s="7"/>
    </row>
    <row r="402" ht="22.5" customHeight="1">
      <c r="A402" s="7"/>
      <c r="B402" s="7"/>
      <c r="C402" s="7"/>
      <c r="D402" s="7"/>
      <c r="E402" s="7"/>
    </row>
    <row r="403" ht="22.5" customHeight="1">
      <c r="A403" s="7"/>
      <c r="B403" s="7"/>
      <c r="C403" s="7"/>
      <c r="D403" s="7"/>
      <c r="E403" s="7"/>
    </row>
    <row r="404" ht="22.5" customHeight="1">
      <c r="A404" s="7"/>
      <c r="B404" s="7"/>
      <c r="C404" s="7"/>
      <c r="D404" s="7"/>
      <c r="E404" s="7"/>
    </row>
    <row r="405" ht="22.5" customHeight="1">
      <c r="A405" s="7"/>
      <c r="B405" s="7"/>
      <c r="C405" s="7"/>
      <c r="D405" s="7"/>
      <c r="E405" s="7"/>
    </row>
    <row r="406" ht="22.5" customHeight="1">
      <c r="A406" s="7"/>
      <c r="B406" s="7"/>
      <c r="C406" s="7"/>
      <c r="D406" s="7"/>
      <c r="E406" s="7"/>
    </row>
    <row r="407" ht="22.5" customHeight="1">
      <c r="A407" s="7"/>
      <c r="B407" s="7"/>
      <c r="C407" s="7"/>
      <c r="D407" s="7"/>
      <c r="E407" s="7"/>
    </row>
    <row r="408" ht="22.5" customHeight="1">
      <c r="A408" s="7"/>
      <c r="B408" s="7"/>
      <c r="C408" s="7"/>
      <c r="D408" s="7"/>
      <c r="E408" s="7"/>
    </row>
    <row r="409" ht="22.5" customHeight="1">
      <c r="A409" s="7"/>
      <c r="B409" s="7"/>
      <c r="C409" s="7"/>
      <c r="D409" s="7"/>
      <c r="E409" s="7"/>
    </row>
    <row r="410" ht="22.5" customHeight="1">
      <c r="A410" s="7"/>
      <c r="B410" s="7"/>
      <c r="C410" s="7"/>
      <c r="D410" s="7"/>
      <c r="E410" s="7"/>
    </row>
    <row r="411" ht="22.5" customHeight="1">
      <c r="A411" s="7"/>
      <c r="B411" s="7"/>
      <c r="C411" s="7"/>
      <c r="D411" s="7"/>
      <c r="E411" s="7"/>
    </row>
    <row r="412" ht="22.5" customHeight="1">
      <c r="A412" s="7"/>
      <c r="B412" s="7"/>
      <c r="C412" s="7"/>
      <c r="D412" s="7"/>
      <c r="E412" s="7"/>
    </row>
    <row r="413" ht="22.5" customHeight="1">
      <c r="A413" s="7"/>
      <c r="B413" s="7"/>
      <c r="C413" s="7"/>
      <c r="D413" s="7"/>
      <c r="E413" s="7"/>
    </row>
    <row r="414" ht="22.5" customHeight="1">
      <c r="A414" s="7"/>
      <c r="B414" s="7"/>
      <c r="C414" s="7"/>
      <c r="D414" s="7"/>
      <c r="E414" s="7"/>
    </row>
    <row r="415" ht="22.5" customHeight="1">
      <c r="A415" s="7"/>
      <c r="B415" s="7"/>
      <c r="C415" s="7"/>
      <c r="D415" s="7"/>
      <c r="E415" s="7"/>
    </row>
    <row r="416" ht="22.5" customHeight="1">
      <c r="A416" s="7"/>
      <c r="B416" s="7"/>
      <c r="C416" s="7"/>
      <c r="D416" s="7"/>
      <c r="E416" s="7"/>
    </row>
    <row r="417" ht="22.5" customHeight="1">
      <c r="A417" s="7"/>
      <c r="B417" s="7"/>
      <c r="C417" s="7"/>
      <c r="D417" s="7"/>
      <c r="E417" s="7"/>
    </row>
    <row r="418" ht="22.5" customHeight="1">
      <c r="A418" s="7"/>
      <c r="B418" s="7"/>
      <c r="C418" s="7"/>
      <c r="D418" s="7"/>
      <c r="E418" s="7"/>
    </row>
    <row r="419" ht="22.5" customHeight="1">
      <c r="A419" s="7"/>
      <c r="B419" s="7"/>
      <c r="C419" s="7"/>
      <c r="D419" s="7"/>
      <c r="E419" s="7"/>
    </row>
    <row r="420" ht="22.5" customHeight="1">
      <c r="A420" s="7"/>
      <c r="B420" s="7"/>
      <c r="C420" s="7"/>
      <c r="D420" s="7"/>
      <c r="E420" s="7"/>
    </row>
    <row r="421" ht="22.5" customHeight="1">
      <c r="A421" s="7"/>
      <c r="B421" s="7"/>
      <c r="C421" s="7"/>
      <c r="D421" s="7"/>
      <c r="E421" s="7"/>
    </row>
    <row r="422" ht="22.5" customHeight="1">
      <c r="A422" s="7"/>
      <c r="B422" s="7"/>
      <c r="C422" s="7"/>
      <c r="D422" s="7"/>
      <c r="E422" s="7"/>
    </row>
    <row r="423" ht="22.5" customHeight="1">
      <c r="A423" s="7"/>
      <c r="B423" s="7"/>
      <c r="C423" s="7"/>
      <c r="D423" s="7"/>
      <c r="E423" s="7"/>
    </row>
    <row r="424" ht="22.5" customHeight="1">
      <c r="A424" s="7"/>
      <c r="B424" s="7"/>
      <c r="C424" s="7"/>
      <c r="D424" s="7"/>
      <c r="E424" s="7"/>
    </row>
    <row r="425" ht="22.5" customHeight="1">
      <c r="A425" s="7"/>
      <c r="B425" s="7"/>
      <c r="C425" s="7"/>
      <c r="D425" s="7"/>
      <c r="E425" s="7"/>
    </row>
    <row r="426" ht="22.5" customHeight="1">
      <c r="A426" s="7"/>
      <c r="B426" s="7"/>
      <c r="C426" s="7"/>
      <c r="D426" s="7"/>
      <c r="E426" s="7"/>
    </row>
    <row r="427" ht="22.5" customHeight="1">
      <c r="A427" s="7"/>
      <c r="B427" s="7"/>
      <c r="C427" s="7"/>
      <c r="D427" s="7"/>
      <c r="E427" s="7"/>
    </row>
    <row r="428" ht="22.5" customHeight="1">
      <c r="A428" s="7"/>
      <c r="B428" s="7"/>
      <c r="C428" s="7"/>
      <c r="D428" s="7"/>
      <c r="E428" s="7"/>
    </row>
    <row r="429" ht="22.5" customHeight="1">
      <c r="A429" s="7"/>
      <c r="B429" s="7"/>
      <c r="C429" s="7"/>
      <c r="D429" s="7"/>
      <c r="E429" s="7"/>
    </row>
    <row r="430" ht="22.5" customHeight="1">
      <c r="A430" s="7"/>
      <c r="B430" s="7"/>
      <c r="C430" s="7"/>
      <c r="D430" s="7"/>
      <c r="E430" s="7"/>
    </row>
    <row r="431" ht="22.5" customHeight="1">
      <c r="A431" s="7"/>
      <c r="B431" s="7"/>
      <c r="C431" s="7"/>
      <c r="D431" s="7"/>
      <c r="E431" s="7"/>
    </row>
    <row r="432" ht="22.5" customHeight="1">
      <c r="A432" s="7"/>
      <c r="B432" s="7"/>
      <c r="C432" s="7"/>
      <c r="D432" s="7"/>
      <c r="E432" s="7"/>
    </row>
    <row r="433" ht="22.5" customHeight="1">
      <c r="A433" s="7"/>
      <c r="B433" s="7"/>
      <c r="C433" s="7"/>
      <c r="D433" s="7"/>
      <c r="E433" s="7"/>
    </row>
    <row r="434" ht="22.5" customHeight="1">
      <c r="A434" s="7"/>
      <c r="B434" s="7"/>
      <c r="C434" s="7"/>
      <c r="D434" s="7"/>
      <c r="E434" s="7"/>
    </row>
    <row r="435" ht="22.5" customHeight="1">
      <c r="A435" s="7"/>
      <c r="B435" s="7"/>
      <c r="C435" s="7"/>
      <c r="D435" s="7"/>
      <c r="E435" s="7"/>
    </row>
    <row r="436" ht="22.5" customHeight="1">
      <c r="A436" s="7"/>
      <c r="B436" s="7"/>
      <c r="C436" s="7"/>
      <c r="D436" s="7"/>
      <c r="E436" s="7"/>
    </row>
    <row r="437" ht="22.5" customHeight="1">
      <c r="A437" s="7"/>
      <c r="B437" s="7"/>
      <c r="C437" s="7"/>
      <c r="D437" s="7"/>
      <c r="E437" s="7"/>
    </row>
    <row r="438" ht="22.5" customHeight="1">
      <c r="A438" s="7"/>
      <c r="B438" s="7"/>
      <c r="C438" s="7"/>
      <c r="D438" s="7"/>
      <c r="E438" s="7"/>
    </row>
    <row r="439" ht="22.5" customHeight="1">
      <c r="A439" s="7"/>
      <c r="B439" s="7"/>
      <c r="C439" s="7"/>
      <c r="D439" s="7"/>
      <c r="E439" s="7"/>
    </row>
    <row r="440" ht="22.5" customHeight="1">
      <c r="A440" s="7"/>
      <c r="B440" s="7"/>
      <c r="C440" s="7"/>
      <c r="D440" s="7"/>
      <c r="E440" s="7"/>
    </row>
    <row r="441" ht="22.5" customHeight="1">
      <c r="A441" s="7"/>
      <c r="B441" s="7"/>
      <c r="C441" s="7"/>
      <c r="D441" s="7"/>
      <c r="E441" s="7"/>
    </row>
    <row r="442" ht="22.5" customHeight="1">
      <c r="A442" s="7"/>
      <c r="B442" s="7"/>
      <c r="C442" s="7"/>
      <c r="D442" s="7"/>
      <c r="E442" s="7"/>
    </row>
    <row r="443" ht="22.5" customHeight="1">
      <c r="A443" s="7"/>
      <c r="B443" s="7"/>
      <c r="C443" s="7"/>
      <c r="D443" s="7"/>
      <c r="E443" s="7"/>
    </row>
    <row r="444" ht="22.5" customHeight="1">
      <c r="A444" s="7"/>
      <c r="B444" s="7"/>
      <c r="C444" s="7"/>
      <c r="D444" s="7"/>
      <c r="E444" s="7"/>
    </row>
    <row r="445" ht="22.5" customHeight="1">
      <c r="A445" s="7"/>
      <c r="B445" s="7"/>
      <c r="C445" s="7"/>
      <c r="D445" s="7"/>
      <c r="E445" s="7"/>
    </row>
    <row r="446" ht="22.5" customHeight="1">
      <c r="A446" s="7"/>
      <c r="B446" s="7"/>
      <c r="C446" s="7"/>
      <c r="D446" s="7"/>
      <c r="E446" s="7"/>
    </row>
    <row r="447" ht="22.5" customHeight="1">
      <c r="A447" s="7"/>
      <c r="B447" s="7"/>
      <c r="C447" s="7"/>
      <c r="D447" s="7"/>
      <c r="E447" s="7"/>
    </row>
    <row r="448" ht="22.5" customHeight="1">
      <c r="A448" s="7"/>
      <c r="B448" s="7"/>
      <c r="C448" s="7"/>
      <c r="D448" s="7"/>
      <c r="E448" s="7"/>
    </row>
    <row r="449" ht="22.5" customHeight="1">
      <c r="A449" s="7"/>
      <c r="B449" s="7"/>
      <c r="C449" s="7"/>
      <c r="D449" s="7"/>
      <c r="E449" s="7"/>
    </row>
    <row r="450" ht="22.5" customHeight="1">
      <c r="A450" s="7"/>
      <c r="B450" s="7"/>
      <c r="C450" s="7"/>
      <c r="D450" s="7"/>
      <c r="E450" s="7"/>
    </row>
    <row r="451" ht="22.5" customHeight="1">
      <c r="A451" s="7"/>
      <c r="B451" s="7"/>
      <c r="C451" s="7"/>
      <c r="D451" s="7"/>
      <c r="E451" s="7"/>
    </row>
    <row r="452" ht="22.5" customHeight="1">
      <c r="A452" s="7"/>
      <c r="B452" s="7"/>
      <c r="C452" s="7"/>
      <c r="D452" s="7"/>
      <c r="E452" s="7"/>
    </row>
    <row r="453" ht="22.5" customHeight="1">
      <c r="A453" s="7"/>
      <c r="B453" s="7"/>
      <c r="C453" s="7"/>
      <c r="D453" s="7"/>
      <c r="E453" s="7"/>
    </row>
    <row r="454" ht="22.5" customHeight="1">
      <c r="A454" s="7"/>
      <c r="B454" s="7"/>
      <c r="C454" s="7"/>
      <c r="D454" s="7"/>
      <c r="E454" s="7"/>
    </row>
    <row r="455" ht="22.5" customHeight="1">
      <c r="A455" s="7"/>
      <c r="B455" s="7"/>
      <c r="C455" s="7"/>
      <c r="D455" s="7"/>
      <c r="E455" s="7"/>
    </row>
    <row r="456" ht="22.5" customHeight="1">
      <c r="A456" s="7"/>
      <c r="B456" s="7"/>
      <c r="C456" s="7"/>
      <c r="D456" s="7"/>
      <c r="E456" s="7"/>
    </row>
    <row r="457" ht="22.5" customHeight="1">
      <c r="A457" s="7"/>
      <c r="B457" s="7"/>
      <c r="C457" s="7"/>
      <c r="D457" s="7"/>
      <c r="E457" s="7"/>
    </row>
    <row r="458" ht="22.5" customHeight="1">
      <c r="A458" s="7"/>
      <c r="B458" s="7"/>
      <c r="C458" s="7"/>
      <c r="D458" s="7"/>
      <c r="E458" s="7"/>
    </row>
    <row r="459" ht="22.5" customHeight="1">
      <c r="A459" s="7"/>
      <c r="B459" s="7"/>
      <c r="C459" s="7"/>
      <c r="D459" s="7"/>
      <c r="E459" s="7"/>
    </row>
    <row r="460" ht="22.5" customHeight="1">
      <c r="A460" s="7"/>
      <c r="B460" s="7"/>
      <c r="C460" s="7"/>
      <c r="D460" s="7"/>
      <c r="E460" s="7"/>
    </row>
    <row r="461" ht="22.5" customHeight="1">
      <c r="A461" s="7"/>
      <c r="B461" s="7"/>
      <c r="C461" s="7"/>
      <c r="D461" s="7"/>
      <c r="E461" s="7"/>
    </row>
    <row r="462" ht="22.5" customHeight="1">
      <c r="A462" s="7"/>
      <c r="B462" s="7"/>
      <c r="C462" s="7"/>
      <c r="D462" s="7"/>
      <c r="E462" s="7"/>
    </row>
    <row r="463" ht="22.5" customHeight="1">
      <c r="A463" s="7"/>
      <c r="B463" s="7"/>
      <c r="C463" s="7"/>
      <c r="D463" s="7"/>
      <c r="E463" s="7"/>
    </row>
    <row r="464" ht="22.5" customHeight="1">
      <c r="A464" s="7"/>
      <c r="B464" s="7"/>
      <c r="C464" s="7"/>
      <c r="D464" s="7"/>
      <c r="E464" s="7"/>
    </row>
    <row r="465" ht="22.5" customHeight="1">
      <c r="A465" s="7"/>
      <c r="B465" s="7"/>
      <c r="C465" s="7"/>
      <c r="D465" s="7"/>
      <c r="E465" s="7"/>
    </row>
    <row r="466" ht="22.5" customHeight="1">
      <c r="A466" s="7"/>
      <c r="B466" s="7"/>
      <c r="C466" s="7"/>
      <c r="D466" s="7"/>
      <c r="E466" s="7"/>
    </row>
    <row r="467" ht="22.5" customHeight="1">
      <c r="A467" s="7"/>
      <c r="B467" s="7"/>
      <c r="C467" s="7"/>
      <c r="D467" s="7"/>
      <c r="E467" s="7"/>
    </row>
    <row r="468" ht="22.5" customHeight="1">
      <c r="A468" s="7"/>
      <c r="B468" s="7"/>
      <c r="C468" s="7"/>
      <c r="D468" s="7"/>
      <c r="E468" s="7"/>
    </row>
    <row r="469" ht="22.5" customHeight="1">
      <c r="A469" s="7"/>
      <c r="B469" s="7"/>
      <c r="C469" s="7"/>
      <c r="D469" s="7"/>
      <c r="E469" s="7"/>
    </row>
    <row r="470" ht="22.5" customHeight="1">
      <c r="A470" s="7"/>
      <c r="B470" s="7"/>
      <c r="C470" s="7"/>
      <c r="D470" s="7"/>
      <c r="E470" s="7"/>
    </row>
    <row r="471" ht="22.5" customHeight="1">
      <c r="A471" s="7"/>
      <c r="B471" s="7"/>
      <c r="C471" s="7"/>
      <c r="D471" s="7"/>
      <c r="E471" s="7"/>
    </row>
    <row r="472" ht="22.5" customHeight="1">
      <c r="A472" s="7"/>
      <c r="B472" s="7"/>
      <c r="C472" s="7"/>
      <c r="D472" s="7"/>
      <c r="E472" s="7"/>
    </row>
    <row r="473" ht="22.5" customHeight="1">
      <c r="A473" s="7"/>
      <c r="B473" s="7"/>
      <c r="C473" s="7"/>
      <c r="D473" s="7"/>
      <c r="E473" s="7"/>
    </row>
    <row r="474" ht="22.5" customHeight="1">
      <c r="A474" s="7"/>
      <c r="B474" s="7"/>
      <c r="C474" s="7"/>
      <c r="D474" s="7"/>
      <c r="E474" s="7"/>
    </row>
    <row r="475" ht="22.5" customHeight="1">
      <c r="A475" s="7"/>
      <c r="B475" s="7"/>
      <c r="C475" s="7"/>
      <c r="D475" s="7"/>
      <c r="E475" s="7"/>
    </row>
    <row r="476" ht="22.5" customHeight="1">
      <c r="A476" s="7"/>
      <c r="B476" s="7"/>
      <c r="C476" s="7"/>
      <c r="D476" s="7"/>
      <c r="E476" s="7"/>
    </row>
    <row r="477" ht="22.5" customHeight="1">
      <c r="A477" s="7"/>
      <c r="B477" s="7"/>
      <c r="C477" s="7"/>
      <c r="D477" s="7"/>
      <c r="E477" s="7"/>
    </row>
    <row r="478" ht="22.5" customHeight="1">
      <c r="A478" s="7"/>
      <c r="B478" s="7"/>
      <c r="C478" s="7"/>
      <c r="D478" s="7"/>
      <c r="E478" s="7"/>
    </row>
    <row r="479" ht="22.5" customHeight="1">
      <c r="A479" s="7"/>
      <c r="B479" s="7"/>
      <c r="C479" s="7"/>
      <c r="D479" s="7"/>
      <c r="E479" s="7"/>
    </row>
    <row r="480" ht="22.5" customHeight="1">
      <c r="A480" s="7"/>
      <c r="B480" s="7"/>
      <c r="C480" s="7"/>
      <c r="D480" s="7"/>
      <c r="E480" s="7"/>
    </row>
    <row r="481" ht="22.5" customHeight="1">
      <c r="A481" s="7"/>
      <c r="B481" s="7"/>
      <c r="C481" s="7"/>
      <c r="D481" s="7"/>
      <c r="E481" s="7"/>
    </row>
    <row r="482" ht="22.5" customHeight="1">
      <c r="A482" s="7"/>
      <c r="B482" s="7"/>
      <c r="C482" s="7"/>
      <c r="D482" s="7"/>
      <c r="E482" s="7"/>
    </row>
    <row r="483" ht="22.5" customHeight="1">
      <c r="A483" s="7"/>
      <c r="B483" s="7"/>
      <c r="C483" s="7"/>
      <c r="D483" s="7"/>
      <c r="E483" s="7"/>
    </row>
    <row r="484" ht="22.5" customHeight="1">
      <c r="A484" s="7"/>
      <c r="B484" s="7"/>
      <c r="C484" s="7"/>
      <c r="D484" s="7"/>
      <c r="E484" s="7"/>
    </row>
    <row r="485" ht="22.5" customHeight="1">
      <c r="A485" s="7"/>
      <c r="B485" s="7"/>
      <c r="C485" s="7"/>
      <c r="D485" s="7"/>
      <c r="E485" s="7"/>
    </row>
    <row r="486" ht="22.5" customHeight="1">
      <c r="A486" s="7"/>
      <c r="B486" s="7"/>
      <c r="C486" s="7"/>
      <c r="D486" s="7"/>
      <c r="E486" s="7"/>
    </row>
    <row r="487" ht="22.5" customHeight="1">
      <c r="A487" s="7"/>
      <c r="B487" s="7"/>
      <c r="C487" s="7"/>
      <c r="D487" s="7"/>
      <c r="E487" s="7"/>
    </row>
    <row r="488" ht="22.5" customHeight="1">
      <c r="A488" s="7"/>
      <c r="B488" s="7"/>
      <c r="C488" s="7"/>
      <c r="D488" s="7"/>
      <c r="E488" s="7"/>
    </row>
    <row r="489" ht="22.5" customHeight="1">
      <c r="A489" s="7"/>
      <c r="B489" s="7"/>
      <c r="C489" s="7"/>
      <c r="D489" s="7"/>
      <c r="E489" s="7"/>
    </row>
    <row r="490" ht="22.5" customHeight="1">
      <c r="A490" s="7"/>
      <c r="B490" s="7"/>
      <c r="C490" s="7"/>
      <c r="D490" s="7"/>
      <c r="E490" s="7"/>
    </row>
    <row r="491" ht="22.5" customHeight="1">
      <c r="A491" s="7"/>
      <c r="B491" s="7"/>
      <c r="C491" s="7"/>
      <c r="D491" s="7"/>
      <c r="E491" s="7"/>
    </row>
    <row r="492" ht="22.5" customHeight="1">
      <c r="A492" s="7"/>
      <c r="B492" s="7"/>
      <c r="C492" s="7"/>
      <c r="D492" s="7"/>
      <c r="E492" s="7"/>
    </row>
    <row r="493" ht="22.5" customHeight="1">
      <c r="A493" s="7"/>
      <c r="B493" s="7"/>
      <c r="C493" s="7"/>
      <c r="D493" s="7"/>
      <c r="E493" s="7"/>
    </row>
    <row r="494" ht="22.5" customHeight="1">
      <c r="A494" s="7"/>
      <c r="B494" s="7"/>
      <c r="C494" s="7"/>
      <c r="D494" s="7"/>
      <c r="E494" s="7"/>
    </row>
    <row r="495" ht="22.5" customHeight="1">
      <c r="A495" s="7"/>
      <c r="B495" s="7"/>
      <c r="C495" s="7"/>
      <c r="D495" s="7"/>
      <c r="E495" s="7"/>
    </row>
    <row r="496" ht="22.5" customHeight="1">
      <c r="A496" s="7"/>
      <c r="B496" s="7"/>
      <c r="C496" s="7"/>
      <c r="D496" s="7"/>
      <c r="E496" s="7"/>
    </row>
    <row r="497" ht="22.5" customHeight="1">
      <c r="A497" s="7"/>
      <c r="B497" s="7"/>
      <c r="C497" s="7"/>
      <c r="D497" s="7"/>
      <c r="E497" s="7"/>
    </row>
    <row r="498" ht="22.5" customHeight="1">
      <c r="A498" s="7"/>
      <c r="B498" s="7"/>
      <c r="C498" s="7"/>
      <c r="D498" s="7"/>
      <c r="E498" s="7"/>
    </row>
    <row r="499" ht="22.5" customHeight="1">
      <c r="A499" s="7"/>
      <c r="B499" s="7"/>
      <c r="C499" s="7"/>
      <c r="D499" s="7"/>
      <c r="E499" s="7"/>
    </row>
    <row r="500" ht="22.5" customHeight="1">
      <c r="A500" s="7"/>
      <c r="B500" s="7"/>
      <c r="C500" s="7"/>
      <c r="D500" s="7"/>
      <c r="E500" s="7"/>
    </row>
    <row r="501" ht="22.5" customHeight="1">
      <c r="A501" s="7"/>
      <c r="B501" s="7"/>
      <c r="C501" s="7"/>
      <c r="D501" s="7"/>
      <c r="E501" s="7"/>
    </row>
    <row r="502" ht="22.5" customHeight="1">
      <c r="A502" s="7"/>
      <c r="B502" s="7"/>
      <c r="C502" s="7"/>
      <c r="D502" s="7"/>
      <c r="E502" s="7"/>
    </row>
    <row r="503" ht="22.5" customHeight="1">
      <c r="A503" s="7"/>
      <c r="B503" s="7"/>
      <c r="C503" s="7"/>
      <c r="D503" s="7"/>
      <c r="E503" s="7"/>
    </row>
    <row r="504" ht="22.5" customHeight="1">
      <c r="A504" s="7"/>
      <c r="B504" s="7"/>
      <c r="C504" s="7"/>
      <c r="D504" s="7"/>
      <c r="E504" s="7"/>
    </row>
    <row r="505" ht="22.5" customHeight="1">
      <c r="A505" s="7"/>
      <c r="B505" s="7"/>
      <c r="C505" s="7"/>
      <c r="D505" s="7"/>
      <c r="E505" s="7"/>
    </row>
    <row r="506" ht="22.5" customHeight="1">
      <c r="A506" s="7"/>
      <c r="B506" s="7"/>
      <c r="C506" s="7"/>
      <c r="D506" s="7"/>
      <c r="E506" s="7"/>
    </row>
    <row r="507" ht="22.5" customHeight="1">
      <c r="A507" s="7"/>
      <c r="B507" s="7"/>
      <c r="C507" s="7"/>
      <c r="D507" s="7"/>
      <c r="E507" s="7"/>
    </row>
    <row r="508" ht="22.5" customHeight="1">
      <c r="A508" s="7"/>
      <c r="B508" s="7"/>
      <c r="C508" s="7"/>
      <c r="D508" s="7"/>
      <c r="E508" s="7"/>
    </row>
    <row r="509" ht="22.5" customHeight="1">
      <c r="A509" s="7"/>
      <c r="B509" s="7"/>
      <c r="C509" s="7"/>
      <c r="D509" s="7"/>
      <c r="E509" s="7"/>
    </row>
    <row r="510" ht="22.5" customHeight="1">
      <c r="A510" s="7"/>
      <c r="B510" s="7"/>
      <c r="C510" s="7"/>
      <c r="D510" s="7"/>
      <c r="E510" s="7"/>
    </row>
    <row r="511" ht="22.5" customHeight="1">
      <c r="A511" s="7"/>
      <c r="B511" s="7"/>
      <c r="C511" s="7"/>
      <c r="D511" s="7"/>
      <c r="E511" s="7"/>
    </row>
    <row r="512" ht="22.5" customHeight="1">
      <c r="A512" s="7"/>
      <c r="B512" s="7"/>
      <c r="C512" s="7"/>
      <c r="D512" s="7"/>
      <c r="E512" s="7"/>
    </row>
    <row r="513" ht="22.5" customHeight="1">
      <c r="A513" s="7"/>
      <c r="B513" s="7"/>
      <c r="C513" s="7"/>
      <c r="D513" s="7"/>
      <c r="E513" s="7"/>
    </row>
    <row r="514" ht="22.5" customHeight="1">
      <c r="A514" s="7"/>
      <c r="B514" s="7"/>
      <c r="C514" s="7"/>
      <c r="D514" s="7"/>
      <c r="E514" s="7"/>
    </row>
    <row r="515" ht="22.5" customHeight="1">
      <c r="A515" s="7"/>
      <c r="B515" s="7"/>
      <c r="C515" s="7"/>
      <c r="D515" s="7"/>
      <c r="E515" s="7"/>
    </row>
    <row r="516" ht="22.5" customHeight="1">
      <c r="A516" s="7"/>
      <c r="B516" s="7"/>
      <c r="C516" s="7"/>
      <c r="D516" s="7"/>
      <c r="E516" s="7"/>
    </row>
    <row r="517" ht="22.5" customHeight="1">
      <c r="A517" s="7"/>
      <c r="B517" s="7"/>
      <c r="C517" s="7"/>
      <c r="D517" s="7"/>
      <c r="E517" s="7"/>
    </row>
    <row r="518" ht="22.5" customHeight="1">
      <c r="A518" s="7"/>
      <c r="B518" s="7"/>
      <c r="C518" s="7"/>
      <c r="D518" s="7"/>
      <c r="E518" s="7"/>
    </row>
    <row r="519" ht="22.5" customHeight="1">
      <c r="A519" s="7"/>
      <c r="B519" s="7"/>
      <c r="C519" s="7"/>
      <c r="D519" s="7"/>
      <c r="E519" s="7"/>
    </row>
    <row r="520" ht="22.5" customHeight="1">
      <c r="A520" s="7"/>
      <c r="B520" s="7"/>
      <c r="C520" s="7"/>
      <c r="D520" s="7"/>
      <c r="E520" s="7"/>
    </row>
    <row r="521" ht="22.5" customHeight="1">
      <c r="A521" s="7"/>
      <c r="B521" s="7"/>
      <c r="C521" s="7"/>
      <c r="D521" s="7"/>
      <c r="E521" s="7"/>
    </row>
    <row r="522" ht="22.5" customHeight="1">
      <c r="A522" s="7"/>
      <c r="B522" s="7"/>
      <c r="C522" s="7"/>
      <c r="D522" s="7"/>
      <c r="E522" s="7"/>
    </row>
    <row r="523" ht="22.5" customHeight="1">
      <c r="A523" s="7"/>
      <c r="B523" s="7"/>
      <c r="C523" s="7"/>
      <c r="D523" s="7"/>
      <c r="E523" s="7"/>
    </row>
    <row r="524" ht="22.5" customHeight="1">
      <c r="A524" s="7"/>
      <c r="B524" s="7"/>
      <c r="C524" s="7"/>
      <c r="D524" s="7"/>
      <c r="E524" s="7"/>
    </row>
    <row r="525" ht="22.5" customHeight="1">
      <c r="A525" s="7"/>
      <c r="B525" s="7"/>
      <c r="C525" s="7"/>
      <c r="D525" s="7"/>
      <c r="E525" s="7"/>
    </row>
    <row r="526" ht="22.5" customHeight="1">
      <c r="A526" s="7"/>
      <c r="B526" s="7"/>
      <c r="C526" s="7"/>
      <c r="D526" s="7"/>
      <c r="E526" s="7"/>
    </row>
    <row r="527" ht="22.5" customHeight="1">
      <c r="A527" s="7"/>
      <c r="B527" s="7"/>
      <c r="C527" s="7"/>
      <c r="D527" s="7"/>
      <c r="E527" s="7"/>
    </row>
    <row r="528" ht="22.5" customHeight="1">
      <c r="A528" s="7"/>
      <c r="B528" s="7"/>
      <c r="C528" s="7"/>
      <c r="D528" s="7"/>
      <c r="E528" s="7"/>
    </row>
    <row r="529" ht="22.5" customHeight="1">
      <c r="A529" s="7"/>
      <c r="B529" s="7"/>
      <c r="C529" s="7"/>
      <c r="D529" s="7"/>
      <c r="E529" s="7"/>
    </row>
    <row r="530" ht="22.5" customHeight="1">
      <c r="A530" s="7"/>
      <c r="B530" s="7"/>
      <c r="C530" s="7"/>
      <c r="D530" s="7"/>
      <c r="E530" s="7"/>
    </row>
    <row r="531" ht="22.5" customHeight="1">
      <c r="A531" s="7"/>
      <c r="B531" s="7"/>
      <c r="C531" s="7"/>
      <c r="D531" s="7"/>
      <c r="E531" s="7"/>
    </row>
    <row r="532" ht="22.5" customHeight="1">
      <c r="A532" s="7"/>
      <c r="B532" s="7"/>
      <c r="C532" s="7"/>
      <c r="D532" s="7"/>
      <c r="E532" s="7"/>
    </row>
    <row r="533" ht="22.5" customHeight="1">
      <c r="A533" s="7"/>
      <c r="B533" s="7"/>
      <c r="C533" s="7"/>
      <c r="D533" s="7"/>
      <c r="E533" s="7"/>
    </row>
    <row r="534" ht="22.5" customHeight="1">
      <c r="A534" s="7"/>
      <c r="B534" s="7"/>
      <c r="C534" s="7"/>
      <c r="D534" s="7"/>
      <c r="E534" s="7"/>
    </row>
    <row r="535" ht="22.5" customHeight="1">
      <c r="A535" s="7"/>
      <c r="B535" s="7"/>
      <c r="C535" s="7"/>
      <c r="D535" s="7"/>
      <c r="E535" s="7"/>
    </row>
    <row r="536" ht="22.5" customHeight="1">
      <c r="A536" s="7"/>
      <c r="B536" s="7"/>
      <c r="C536" s="7"/>
      <c r="D536" s="7"/>
      <c r="E536" s="7"/>
    </row>
    <row r="537" ht="22.5" customHeight="1">
      <c r="A537" s="7"/>
      <c r="B537" s="7"/>
      <c r="C537" s="7"/>
      <c r="D537" s="7"/>
      <c r="E537" s="7"/>
    </row>
    <row r="538" ht="22.5" customHeight="1">
      <c r="A538" s="7"/>
      <c r="B538" s="7"/>
      <c r="C538" s="7"/>
      <c r="D538" s="7"/>
      <c r="E538" s="7"/>
    </row>
    <row r="539" ht="22.5" customHeight="1">
      <c r="A539" s="7"/>
      <c r="B539" s="7"/>
      <c r="C539" s="7"/>
      <c r="D539" s="7"/>
      <c r="E539" s="7"/>
    </row>
    <row r="540" ht="22.5" customHeight="1">
      <c r="A540" s="7"/>
      <c r="B540" s="7"/>
      <c r="C540" s="7"/>
      <c r="D540" s="7"/>
      <c r="E540" s="7"/>
    </row>
    <row r="541" ht="22.5" customHeight="1">
      <c r="A541" s="7"/>
      <c r="B541" s="7"/>
      <c r="C541" s="7"/>
      <c r="D541" s="7"/>
      <c r="E541" s="7"/>
    </row>
    <row r="542" ht="22.5" customHeight="1">
      <c r="A542" s="7"/>
      <c r="B542" s="7"/>
      <c r="C542" s="7"/>
      <c r="D542" s="7"/>
      <c r="E542" s="7"/>
    </row>
    <row r="543" ht="22.5" customHeight="1">
      <c r="A543" s="7"/>
      <c r="B543" s="7"/>
      <c r="C543" s="7"/>
      <c r="D543" s="7"/>
      <c r="E543" s="7"/>
    </row>
    <row r="544" ht="22.5" customHeight="1">
      <c r="A544" s="7"/>
      <c r="B544" s="7"/>
      <c r="C544" s="7"/>
      <c r="D544" s="7"/>
      <c r="E544" s="7"/>
    </row>
    <row r="545" ht="22.5" customHeight="1">
      <c r="A545" s="7"/>
      <c r="B545" s="7"/>
      <c r="C545" s="7"/>
      <c r="D545" s="7"/>
      <c r="E545" s="7"/>
    </row>
    <row r="546" ht="22.5" customHeight="1">
      <c r="A546" s="7"/>
      <c r="B546" s="7"/>
      <c r="C546" s="7"/>
      <c r="D546" s="7"/>
      <c r="E546" s="7"/>
    </row>
    <row r="547" ht="22.5" customHeight="1">
      <c r="A547" s="7"/>
      <c r="B547" s="7"/>
      <c r="C547" s="7"/>
      <c r="D547" s="7"/>
      <c r="E547" s="7"/>
    </row>
    <row r="548" ht="22.5" customHeight="1">
      <c r="A548" s="7"/>
      <c r="B548" s="7"/>
      <c r="C548" s="7"/>
      <c r="D548" s="7"/>
      <c r="E548" s="7"/>
    </row>
    <row r="549" ht="22.5" customHeight="1">
      <c r="A549" s="7"/>
      <c r="B549" s="7"/>
      <c r="C549" s="7"/>
      <c r="D549" s="7"/>
      <c r="E549" s="7"/>
    </row>
    <row r="550" ht="22.5" customHeight="1">
      <c r="A550" s="7"/>
      <c r="B550" s="7"/>
      <c r="C550" s="7"/>
      <c r="D550" s="7"/>
      <c r="E550" s="7"/>
    </row>
    <row r="551" ht="22.5" customHeight="1">
      <c r="A551" s="7"/>
      <c r="B551" s="7"/>
      <c r="C551" s="7"/>
      <c r="D551" s="7"/>
      <c r="E551" s="7"/>
    </row>
    <row r="552" ht="22.5" customHeight="1">
      <c r="A552" s="7"/>
      <c r="B552" s="7"/>
      <c r="C552" s="7"/>
      <c r="D552" s="7"/>
      <c r="E552" s="7"/>
    </row>
    <row r="553" ht="22.5" customHeight="1">
      <c r="A553" s="7"/>
      <c r="B553" s="7"/>
      <c r="C553" s="7"/>
      <c r="D553" s="7"/>
      <c r="E553" s="7"/>
    </row>
    <row r="554" ht="22.5" customHeight="1">
      <c r="A554" s="7"/>
      <c r="B554" s="7"/>
      <c r="C554" s="7"/>
      <c r="D554" s="7"/>
      <c r="E554" s="7"/>
    </row>
    <row r="555" ht="22.5" customHeight="1">
      <c r="A555" s="7"/>
      <c r="B555" s="7"/>
      <c r="C555" s="7"/>
      <c r="D555" s="7"/>
      <c r="E555" s="7"/>
    </row>
    <row r="556" ht="22.5" customHeight="1">
      <c r="A556" s="7"/>
      <c r="B556" s="7"/>
      <c r="C556" s="7"/>
      <c r="D556" s="7"/>
      <c r="E556" s="7"/>
    </row>
    <row r="557" ht="22.5" customHeight="1">
      <c r="A557" s="7"/>
      <c r="B557" s="7"/>
      <c r="C557" s="7"/>
      <c r="D557" s="7"/>
      <c r="E557" s="7"/>
    </row>
    <row r="558" ht="22.5" customHeight="1">
      <c r="A558" s="7"/>
      <c r="B558" s="7"/>
      <c r="C558" s="7"/>
      <c r="D558" s="7"/>
      <c r="E558" s="7"/>
    </row>
    <row r="559" ht="22.5" customHeight="1">
      <c r="A559" s="7"/>
      <c r="B559" s="7"/>
      <c r="C559" s="7"/>
      <c r="D559" s="7"/>
      <c r="E559" s="7"/>
    </row>
    <row r="560" ht="22.5" customHeight="1">
      <c r="A560" s="7"/>
      <c r="B560" s="7"/>
      <c r="C560" s="7"/>
      <c r="D560" s="7"/>
      <c r="E560" s="7"/>
    </row>
    <row r="561" ht="22.5" customHeight="1">
      <c r="A561" s="7"/>
      <c r="B561" s="7"/>
      <c r="C561" s="7"/>
      <c r="D561" s="7"/>
      <c r="E561" s="7"/>
    </row>
    <row r="562" ht="22.5" customHeight="1">
      <c r="A562" s="7"/>
      <c r="B562" s="7"/>
      <c r="C562" s="7"/>
      <c r="D562" s="7"/>
      <c r="E562" s="7"/>
    </row>
    <row r="563" ht="22.5" customHeight="1">
      <c r="A563" s="7"/>
      <c r="B563" s="7"/>
      <c r="C563" s="7"/>
      <c r="D563" s="7"/>
      <c r="E563" s="7"/>
    </row>
    <row r="564" ht="22.5" customHeight="1">
      <c r="A564" s="7"/>
      <c r="B564" s="7"/>
      <c r="C564" s="7"/>
      <c r="D564" s="7"/>
      <c r="E564" s="7"/>
    </row>
    <row r="565" ht="22.5" customHeight="1">
      <c r="A565" s="7"/>
      <c r="B565" s="7"/>
      <c r="C565" s="7"/>
      <c r="D565" s="7"/>
      <c r="E565" s="7"/>
    </row>
    <row r="566" ht="22.5" customHeight="1">
      <c r="A566" s="7"/>
      <c r="B566" s="7"/>
      <c r="C566" s="7"/>
      <c r="D566" s="7"/>
      <c r="E566" s="7"/>
    </row>
    <row r="567" ht="22.5" customHeight="1">
      <c r="A567" s="7"/>
      <c r="B567" s="7"/>
      <c r="C567" s="7"/>
      <c r="D567" s="7"/>
      <c r="E567" s="7"/>
    </row>
    <row r="568" ht="22.5" customHeight="1">
      <c r="A568" s="7"/>
      <c r="B568" s="7"/>
      <c r="C568" s="7"/>
      <c r="D568" s="7"/>
      <c r="E568" s="7"/>
    </row>
    <row r="569" ht="22.5" customHeight="1">
      <c r="A569" s="7"/>
      <c r="B569" s="7"/>
      <c r="C569" s="7"/>
      <c r="D569" s="7"/>
      <c r="E569" s="7"/>
    </row>
    <row r="570" ht="22.5" customHeight="1">
      <c r="A570" s="7"/>
      <c r="B570" s="7"/>
      <c r="C570" s="7"/>
      <c r="D570" s="7"/>
      <c r="E570" s="7"/>
    </row>
    <row r="571" ht="22.5" customHeight="1">
      <c r="A571" s="7"/>
      <c r="B571" s="7"/>
      <c r="C571" s="7"/>
      <c r="D571" s="7"/>
      <c r="E571" s="7"/>
    </row>
    <row r="572" ht="22.5" customHeight="1">
      <c r="A572" s="7"/>
      <c r="B572" s="7"/>
      <c r="C572" s="7"/>
      <c r="D572" s="7"/>
      <c r="E572" s="7"/>
    </row>
    <row r="573" ht="22.5" customHeight="1">
      <c r="A573" s="7"/>
      <c r="B573" s="7"/>
      <c r="C573" s="7"/>
      <c r="D573" s="7"/>
      <c r="E573" s="7"/>
    </row>
    <row r="574" ht="22.5" customHeight="1">
      <c r="A574" s="7"/>
      <c r="B574" s="7"/>
      <c r="C574" s="7"/>
      <c r="D574" s="7"/>
      <c r="E574" s="7"/>
    </row>
    <row r="575" ht="22.5" customHeight="1">
      <c r="A575" s="7"/>
      <c r="B575" s="7"/>
      <c r="C575" s="7"/>
      <c r="D575" s="7"/>
      <c r="E575" s="7"/>
    </row>
    <row r="576" ht="22.5" customHeight="1">
      <c r="A576" s="7"/>
      <c r="B576" s="7"/>
      <c r="C576" s="7"/>
      <c r="D576" s="7"/>
      <c r="E576" s="7"/>
    </row>
    <row r="577" ht="22.5" customHeight="1">
      <c r="A577" s="7"/>
      <c r="B577" s="7"/>
      <c r="C577" s="7"/>
      <c r="D577" s="7"/>
      <c r="E577" s="7"/>
    </row>
    <row r="578" ht="22.5" customHeight="1">
      <c r="A578" s="7"/>
      <c r="B578" s="7"/>
      <c r="C578" s="7"/>
      <c r="D578" s="7"/>
      <c r="E578" s="7"/>
    </row>
    <row r="579" ht="22.5" customHeight="1">
      <c r="A579" s="7"/>
      <c r="B579" s="7"/>
      <c r="C579" s="7"/>
      <c r="D579" s="7"/>
      <c r="E579" s="7"/>
    </row>
    <row r="580" ht="22.5" customHeight="1">
      <c r="A580" s="7"/>
      <c r="B580" s="7"/>
      <c r="C580" s="7"/>
      <c r="D580" s="7"/>
      <c r="E580" s="7"/>
    </row>
    <row r="581" ht="22.5" customHeight="1">
      <c r="A581" s="7"/>
      <c r="B581" s="7"/>
      <c r="C581" s="7"/>
      <c r="D581" s="7"/>
      <c r="E581" s="7"/>
    </row>
    <row r="582" ht="22.5" customHeight="1">
      <c r="A582" s="7"/>
      <c r="B582" s="7"/>
      <c r="C582" s="7"/>
      <c r="D582" s="7"/>
      <c r="E582" s="7"/>
    </row>
    <row r="583" ht="22.5" customHeight="1">
      <c r="A583" s="7"/>
      <c r="B583" s="7"/>
      <c r="C583" s="7"/>
      <c r="D583" s="7"/>
      <c r="E583" s="7"/>
    </row>
    <row r="584" ht="22.5" customHeight="1">
      <c r="A584" s="7"/>
      <c r="B584" s="7"/>
      <c r="C584" s="7"/>
      <c r="D584" s="7"/>
      <c r="E584" s="7"/>
    </row>
    <row r="585" ht="22.5" customHeight="1">
      <c r="A585" s="7"/>
      <c r="B585" s="7"/>
      <c r="C585" s="7"/>
      <c r="D585" s="7"/>
      <c r="E585" s="7"/>
    </row>
    <row r="586" ht="22.5" customHeight="1">
      <c r="A586" s="7"/>
      <c r="B586" s="7"/>
      <c r="C586" s="7"/>
      <c r="D586" s="7"/>
      <c r="E586" s="7"/>
    </row>
    <row r="587" ht="22.5" customHeight="1">
      <c r="A587" s="7"/>
      <c r="B587" s="7"/>
      <c r="C587" s="7"/>
      <c r="D587" s="7"/>
      <c r="E587" s="7"/>
    </row>
    <row r="588" ht="22.5" customHeight="1">
      <c r="A588" s="7"/>
      <c r="B588" s="7"/>
      <c r="C588" s="7"/>
      <c r="D588" s="7"/>
      <c r="E588" s="7"/>
    </row>
    <row r="589" ht="22.5" customHeight="1">
      <c r="A589" s="7"/>
      <c r="B589" s="7"/>
      <c r="C589" s="7"/>
      <c r="D589" s="7"/>
      <c r="E589" s="7"/>
    </row>
    <row r="590" ht="22.5" customHeight="1">
      <c r="A590" s="7"/>
      <c r="B590" s="7"/>
      <c r="C590" s="7"/>
      <c r="D590" s="7"/>
      <c r="E590" s="7"/>
    </row>
    <row r="591" ht="22.5" customHeight="1">
      <c r="A591" s="7"/>
      <c r="B591" s="7"/>
      <c r="C591" s="7"/>
      <c r="D591" s="7"/>
      <c r="E591" s="7"/>
    </row>
    <row r="592" ht="22.5" customHeight="1">
      <c r="A592" s="7"/>
      <c r="B592" s="7"/>
      <c r="C592" s="7"/>
      <c r="D592" s="7"/>
      <c r="E592" s="7"/>
    </row>
    <row r="593" ht="22.5" customHeight="1">
      <c r="A593" s="7"/>
      <c r="B593" s="7"/>
      <c r="C593" s="7"/>
      <c r="D593" s="7"/>
      <c r="E593" s="7"/>
    </row>
    <row r="594" ht="22.5" customHeight="1">
      <c r="A594" s="7"/>
      <c r="B594" s="7"/>
      <c r="C594" s="7"/>
      <c r="D594" s="7"/>
      <c r="E594" s="7"/>
    </row>
    <row r="595" ht="22.5" customHeight="1">
      <c r="A595" s="7"/>
      <c r="B595" s="7"/>
      <c r="C595" s="7"/>
      <c r="D595" s="7"/>
      <c r="E595" s="7"/>
    </row>
    <row r="596" ht="22.5" customHeight="1">
      <c r="A596" s="7"/>
      <c r="B596" s="7"/>
      <c r="C596" s="7"/>
      <c r="D596" s="7"/>
      <c r="E596" s="7"/>
    </row>
    <row r="597" ht="22.5" customHeight="1">
      <c r="A597" s="7"/>
      <c r="B597" s="7"/>
      <c r="C597" s="7"/>
      <c r="D597" s="7"/>
      <c r="E597" s="7"/>
    </row>
    <row r="598" ht="22.5" customHeight="1">
      <c r="A598" s="7"/>
      <c r="B598" s="7"/>
      <c r="C598" s="7"/>
      <c r="D598" s="7"/>
      <c r="E598" s="7"/>
    </row>
    <row r="599" ht="22.5" customHeight="1">
      <c r="A599" s="7"/>
      <c r="B599" s="7"/>
      <c r="C599" s="7"/>
      <c r="D599" s="7"/>
      <c r="E599" s="7"/>
    </row>
    <row r="600" ht="22.5" customHeight="1">
      <c r="A600" s="7"/>
      <c r="B600" s="7"/>
      <c r="C600" s="7"/>
      <c r="D600" s="7"/>
      <c r="E600" s="7"/>
    </row>
    <row r="601" ht="22.5" customHeight="1">
      <c r="A601" s="7"/>
      <c r="B601" s="7"/>
      <c r="C601" s="7"/>
      <c r="D601" s="7"/>
      <c r="E601" s="7"/>
    </row>
    <row r="602" ht="22.5" customHeight="1">
      <c r="A602" s="7"/>
      <c r="B602" s="7"/>
      <c r="C602" s="7"/>
      <c r="D602" s="7"/>
      <c r="E602" s="7"/>
    </row>
    <row r="603" ht="22.5" customHeight="1">
      <c r="A603" s="7"/>
      <c r="B603" s="7"/>
      <c r="C603" s="7"/>
      <c r="D603" s="7"/>
      <c r="E603" s="7"/>
    </row>
    <row r="604" ht="22.5" customHeight="1">
      <c r="A604" s="7"/>
      <c r="B604" s="7"/>
      <c r="C604" s="7"/>
      <c r="D604" s="7"/>
      <c r="E604" s="7"/>
    </row>
    <row r="605" ht="22.5" customHeight="1">
      <c r="A605" s="7"/>
      <c r="B605" s="7"/>
      <c r="C605" s="7"/>
      <c r="D605" s="7"/>
      <c r="E605" s="7"/>
    </row>
    <row r="606" ht="22.5" customHeight="1">
      <c r="A606" s="7"/>
      <c r="B606" s="7"/>
      <c r="C606" s="7"/>
      <c r="D606" s="7"/>
      <c r="E606" s="7"/>
    </row>
    <row r="607" ht="22.5" customHeight="1">
      <c r="A607" s="7"/>
      <c r="B607" s="7"/>
      <c r="C607" s="7"/>
      <c r="D607" s="7"/>
      <c r="E607" s="7"/>
    </row>
    <row r="608" ht="22.5" customHeight="1">
      <c r="A608" s="7"/>
      <c r="B608" s="7"/>
      <c r="C608" s="7"/>
      <c r="D608" s="7"/>
      <c r="E608" s="7"/>
    </row>
    <row r="609" ht="22.5" customHeight="1">
      <c r="A609" s="7"/>
      <c r="B609" s="7"/>
      <c r="C609" s="7"/>
      <c r="D609" s="7"/>
      <c r="E609" s="7"/>
    </row>
    <row r="610" ht="22.5" customHeight="1">
      <c r="A610" s="7"/>
      <c r="B610" s="7"/>
      <c r="C610" s="7"/>
      <c r="D610" s="7"/>
      <c r="E610" s="7"/>
    </row>
    <row r="611" ht="22.5" customHeight="1">
      <c r="A611" s="7"/>
      <c r="B611" s="7"/>
      <c r="C611" s="7"/>
      <c r="D611" s="7"/>
      <c r="E611" s="7"/>
    </row>
    <row r="612" ht="22.5" customHeight="1">
      <c r="A612" s="7"/>
      <c r="B612" s="7"/>
      <c r="C612" s="7"/>
      <c r="D612" s="7"/>
      <c r="E612" s="7"/>
    </row>
    <row r="613" ht="22.5" customHeight="1">
      <c r="A613" s="7"/>
      <c r="B613" s="7"/>
      <c r="C613" s="7"/>
      <c r="D613" s="7"/>
      <c r="E613" s="7"/>
    </row>
    <row r="614" ht="22.5" customHeight="1">
      <c r="A614" s="7"/>
      <c r="B614" s="7"/>
      <c r="C614" s="7"/>
      <c r="D614" s="7"/>
      <c r="E614" s="7"/>
    </row>
    <row r="615" ht="22.5" customHeight="1">
      <c r="A615" s="7"/>
      <c r="B615" s="7"/>
      <c r="C615" s="7"/>
      <c r="D615" s="7"/>
      <c r="E615" s="7"/>
    </row>
    <row r="616" ht="22.5" customHeight="1">
      <c r="A616" s="7"/>
      <c r="B616" s="7"/>
      <c r="C616" s="7"/>
      <c r="D616" s="7"/>
      <c r="E616" s="7"/>
    </row>
    <row r="617" ht="22.5" customHeight="1">
      <c r="A617" s="7"/>
      <c r="B617" s="7"/>
      <c r="C617" s="7"/>
      <c r="D617" s="7"/>
      <c r="E617" s="7"/>
    </row>
    <row r="618" ht="22.5" customHeight="1">
      <c r="A618" s="7"/>
      <c r="B618" s="7"/>
      <c r="C618" s="7"/>
      <c r="D618" s="7"/>
      <c r="E618" s="7"/>
    </row>
    <row r="619" ht="22.5" customHeight="1">
      <c r="A619" s="7"/>
      <c r="B619" s="7"/>
      <c r="C619" s="7"/>
      <c r="D619" s="7"/>
      <c r="E619" s="7"/>
    </row>
    <row r="620" ht="22.5" customHeight="1">
      <c r="A620" s="7"/>
      <c r="B620" s="7"/>
      <c r="C620" s="7"/>
      <c r="D620" s="7"/>
      <c r="E620" s="7"/>
    </row>
    <row r="621" ht="22.5" customHeight="1">
      <c r="A621" s="7"/>
      <c r="B621" s="7"/>
      <c r="C621" s="7"/>
      <c r="D621" s="7"/>
      <c r="E621" s="7"/>
    </row>
    <row r="622" ht="22.5" customHeight="1">
      <c r="A622" s="7"/>
      <c r="B622" s="7"/>
      <c r="C622" s="7"/>
      <c r="D622" s="7"/>
      <c r="E622" s="7"/>
    </row>
    <row r="623" ht="22.5" customHeight="1">
      <c r="A623" s="7"/>
      <c r="B623" s="7"/>
      <c r="C623" s="7"/>
      <c r="D623" s="7"/>
      <c r="E623" s="7"/>
    </row>
    <row r="624" ht="22.5" customHeight="1">
      <c r="A624" s="7"/>
      <c r="B624" s="7"/>
      <c r="C624" s="7"/>
      <c r="D624" s="7"/>
      <c r="E624" s="7"/>
    </row>
    <row r="625" ht="22.5" customHeight="1">
      <c r="A625" s="7"/>
      <c r="B625" s="7"/>
      <c r="C625" s="7"/>
      <c r="D625" s="7"/>
      <c r="E625" s="7"/>
    </row>
    <row r="626" ht="22.5" customHeight="1">
      <c r="A626" s="7"/>
      <c r="B626" s="7"/>
      <c r="C626" s="7"/>
      <c r="D626" s="7"/>
      <c r="E626" s="7"/>
    </row>
    <row r="627" ht="22.5" customHeight="1">
      <c r="A627" s="7"/>
      <c r="B627" s="7"/>
      <c r="C627" s="7"/>
      <c r="D627" s="7"/>
      <c r="E627" s="7"/>
    </row>
    <row r="628" ht="22.5" customHeight="1">
      <c r="A628" s="7"/>
      <c r="B628" s="7"/>
      <c r="C628" s="7"/>
      <c r="D628" s="7"/>
      <c r="E628" s="7"/>
    </row>
    <row r="629" ht="22.5" customHeight="1">
      <c r="A629" s="7"/>
      <c r="B629" s="7"/>
      <c r="C629" s="7"/>
      <c r="D629" s="7"/>
      <c r="E629" s="7"/>
    </row>
    <row r="630" ht="22.5" customHeight="1">
      <c r="A630" s="7"/>
      <c r="B630" s="7"/>
      <c r="C630" s="7"/>
      <c r="D630" s="7"/>
      <c r="E630" s="7"/>
    </row>
    <row r="631" ht="22.5" customHeight="1">
      <c r="A631" s="7"/>
      <c r="B631" s="7"/>
      <c r="C631" s="7"/>
      <c r="D631" s="7"/>
      <c r="E631" s="7"/>
    </row>
    <row r="632" ht="22.5" customHeight="1">
      <c r="A632" s="7"/>
      <c r="B632" s="7"/>
      <c r="C632" s="7"/>
      <c r="D632" s="7"/>
      <c r="E632" s="7"/>
    </row>
    <row r="633" ht="22.5" customHeight="1">
      <c r="A633" s="7"/>
      <c r="B633" s="7"/>
      <c r="C633" s="7"/>
      <c r="D633" s="7"/>
      <c r="E633" s="7"/>
    </row>
    <row r="634" ht="22.5" customHeight="1">
      <c r="A634" s="7"/>
      <c r="B634" s="7"/>
      <c r="C634" s="7"/>
      <c r="D634" s="7"/>
      <c r="E634" s="7"/>
    </row>
    <row r="635" ht="22.5" customHeight="1">
      <c r="A635" s="7"/>
      <c r="B635" s="7"/>
      <c r="C635" s="7"/>
      <c r="D635" s="7"/>
      <c r="E635" s="7"/>
    </row>
    <row r="636" ht="22.5" customHeight="1">
      <c r="A636" s="7"/>
      <c r="B636" s="7"/>
      <c r="C636" s="7"/>
      <c r="D636" s="7"/>
      <c r="E636" s="7"/>
    </row>
    <row r="637" ht="22.5" customHeight="1">
      <c r="A637" s="7"/>
      <c r="B637" s="7"/>
      <c r="C637" s="7"/>
      <c r="D637" s="7"/>
      <c r="E637" s="7"/>
    </row>
    <row r="638" ht="22.5" customHeight="1">
      <c r="A638" s="7"/>
      <c r="B638" s="7"/>
      <c r="C638" s="7"/>
      <c r="D638" s="7"/>
      <c r="E638" s="7"/>
    </row>
    <row r="639" ht="22.5" customHeight="1">
      <c r="A639" s="7"/>
      <c r="B639" s="7"/>
      <c r="C639" s="7"/>
      <c r="D639" s="7"/>
      <c r="E639" s="7"/>
    </row>
    <row r="640" ht="22.5" customHeight="1">
      <c r="A640" s="7"/>
      <c r="B640" s="7"/>
      <c r="C640" s="7"/>
      <c r="D640" s="7"/>
      <c r="E640" s="7"/>
    </row>
    <row r="641" ht="22.5" customHeight="1">
      <c r="A641" s="7"/>
      <c r="B641" s="7"/>
      <c r="C641" s="7"/>
      <c r="D641" s="7"/>
      <c r="E641" s="7"/>
    </row>
    <row r="642" ht="22.5" customHeight="1">
      <c r="A642" s="7"/>
      <c r="B642" s="7"/>
      <c r="C642" s="7"/>
      <c r="D642" s="7"/>
      <c r="E642" s="7"/>
    </row>
    <row r="643" ht="22.5" customHeight="1">
      <c r="A643" s="7"/>
      <c r="B643" s="7"/>
      <c r="C643" s="7"/>
      <c r="D643" s="7"/>
      <c r="E643" s="7"/>
    </row>
    <row r="644" ht="22.5" customHeight="1">
      <c r="A644" s="7"/>
      <c r="B644" s="7"/>
      <c r="C644" s="7"/>
      <c r="D644" s="7"/>
      <c r="E644" s="7"/>
    </row>
    <row r="645" ht="22.5" customHeight="1">
      <c r="A645" s="7"/>
      <c r="B645" s="7"/>
      <c r="C645" s="7"/>
      <c r="D645" s="7"/>
      <c r="E645" s="7"/>
    </row>
    <row r="646" ht="22.5" customHeight="1">
      <c r="A646" s="7"/>
      <c r="B646" s="7"/>
      <c r="C646" s="7"/>
      <c r="D646" s="7"/>
      <c r="E646" s="7"/>
    </row>
    <row r="647" ht="22.5" customHeight="1">
      <c r="A647" s="7"/>
      <c r="B647" s="7"/>
      <c r="C647" s="7"/>
      <c r="D647" s="7"/>
      <c r="E647" s="7"/>
    </row>
    <row r="648" ht="22.5" customHeight="1">
      <c r="A648" s="7"/>
      <c r="B648" s="7"/>
      <c r="C648" s="7"/>
      <c r="D648" s="7"/>
      <c r="E648" s="7"/>
    </row>
    <row r="649" ht="22.5" customHeight="1">
      <c r="A649" s="7"/>
      <c r="B649" s="7"/>
      <c r="C649" s="7"/>
      <c r="D649" s="7"/>
      <c r="E649" s="7"/>
    </row>
    <row r="650" ht="22.5" customHeight="1">
      <c r="A650" s="7"/>
      <c r="B650" s="7"/>
      <c r="C650" s="7"/>
      <c r="D650" s="7"/>
      <c r="E650" s="7"/>
    </row>
    <row r="651" ht="22.5" customHeight="1">
      <c r="A651" s="7"/>
      <c r="B651" s="7"/>
      <c r="C651" s="7"/>
      <c r="D651" s="7"/>
      <c r="E651" s="7"/>
    </row>
    <row r="652" ht="22.5" customHeight="1">
      <c r="A652" s="7"/>
      <c r="B652" s="7"/>
      <c r="C652" s="7"/>
      <c r="D652" s="7"/>
      <c r="E652" s="7"/>
    </row>
    <row r="653" ht="22.5" customHeight="1">
      <c r="A653" s="7"/>
      <c r="B653" s="7"/>
      <c r="C653" s="7"/>
      <c r="D653" s="7"/>
      <c r="E653" s="7"/>
    </row>
    <row r="654" ht="22.5" customHeight="1">
      <c r="A654" s="7"/>
      <c r="B654" s="7"/>
      <c r="C654" s="7"/>
      <c r="D654" s="7"/>
      <c r="E654" s="7"/>
    </row>
    <row r="655" ht="22.5" customHeight="1">
      <c r="A655" s="7"/>
      <c r="B655" s="7"/>
      <c r="C655" s="7"/>
      <c r="D655" s="7"/>
      <c r="E655" s="7"/>
    </row>
    <row r="656" ht="22.5" customHeight="1">
      <c r="A656" s="7"/>
      <c r="B656" s="7"/>
      <c r="C656" s="7"/>
      <c r="D656" s="7"/>
      <c r="E656" s="7"/>
    </row>
    <row r="657" ht="22.5" customHeight="1">
      <c r="A657" s="7"/>
      <c r="B657" s="7"/>
      <c r="C657" s="7"/>
      <c r="D657" s="7"/>
      <c r="E657" s="7"/>
    </row>
    <row r="658" ht="22.5" customHeight="1">
      <c r="A658" s="7"/>
      <c r="B658" s="7"/>
      <c r="C658" s="7"/>
      <c r="D658" s="7"/>
      <c r="E658" s="7"/>
    </row>
    <row r="659" ht="22.5" customHeight="1">
      <c r="A659" s="7"/>
      <c r="B659" s="7"/>
      <c r="C659" s="7"/>
      <c r="D659" s="7"/>
      <c r="E659" s="7"/>
    </row>
    <row r="660" ht="22.5" customHeight="1">
      <c r="A660" s="7"/>
      <c r="B660" s="7"/>
      <c r="C660" s="7"/>
      <c r="D660" s="7"/>
      <c r="E660" s="7"/>
    </row>
    <row r="661" ht="22.5" customHeight="1">
      <c r="A661" s="7"/>
      <c r="B661" s="7"/>
      <c r="C661" s="7"/>
      <c r="D661" s="7"/>
      <c r="E661" s="7"/>
    </row>
    <row r="662" ht="22.5" customHeight="1">
      <c r="A662" s="7"/>
      <c r="B662" s="7"/>
      <c r="C662" s="7"/>
      <c r="D662" s="7"/>
      <c r="E662" s="7"/>
    </row>
    <row r="663" ht="22.5" customHeight="1">
      <c r="A663" s="7"/>
      <c r="B663" s="7"/>
      <c r="C663" s="7"/>
      <c r="D663" s="7"/>
      <c r="E663" s="7"/>
    </row>
    <row r="664" ht="22.5" customHeight="1">
      <c r="A664" s="7"/>
      <c r="B664" s="7"/>
      <c r="C664" s="7"/>
      <c r="D664" s="7"/>
      <c r="E664" s="7"/>
    </row>
    <row r="665" ht="22.5" customHeight="1">
      <c r="A665" s="7"/>
      <c r="B665" s="7"/>
      <c r="C665" s="7"/>
      <c r="D665" s="7"/>
      <c r="E665" s="7"/>
    </row>
    <row r="666" ht="22.5" customHeight="1">
      <c r="A666" s="7"/>
      <c r="B666" s="7"/>
      <c r="C666" s="7"/>
      <c r="D666" s="7"/>
      <c r="E666" s="7"/>
    </row>
    <row r="667" ht="22.5" customHeight="1">
      <c r="A667" s="7"/>
      <c r="B667" s="7"/>
      <c r="C667" s="7"/>
      <c r="D667" s="7"/>
      <c r="E667" s="7"/>
    </row>
    <row r="668" ht="22.5" customHeight="1">
      <c r="A668" s="7"/>
      <c r="B668" s="7"/>
      <c r="C668" s="7"/>
      <c r="D668" s="7"/>
      <c r="E668" s="7"/>
    </row>
    <row r="669" ht="22.5" customHeight="1">
      <c r="A669" s="7"/>
      <c r="B669" s="7"/>
      <c r="C669" s="7"/>
      <c r="D669" s="7"/>
      <c r="E669" s="7"/>
    </row>
    <row r="670" ht="22.5" customHeight="1">
      <c r="A670" s="7"/>
      <c r="B670" s="7"/>
      <c r="C670" s="7"/>
      <c r="D670" s="7"/>
      <c r="E670" s="7"/>
    </row>
    <row r="671" ht="22.5" customHeight="1">
      <c r="A671" s="7"/>
      <c r="B671" s="7"/>
      <c r="C671" s="7"/>
      <c r="D671" s="7"/>
      <c r="E671" s="7"/>
    </row>
    <row r="672" ht="22.5" customHeight="1">
      <c r="A672" s="7"/>
      <c r="B672" s="7"/>
      <c r="C672" s="7"/>
      <c r="D672" s="7"/>
      <c r="E672" s="7"/>
    </row>
    <row r="673" ht="22.5" customHeight="1">
      <c r="A673" s="7"/>
      <c r="B673" s="7"/>
      <c r="C673" s="7"/>
      <c r="D673" s="7"/>
      <c r="E673" s="7"/>
    </row>
    <row r="674" ht="22.5" customHeight="1">
      <c r="A674" s="7"/>
      <c r="B674" s="7"/>
      <c r="C674" s="7"/>
      <c r="D674" s="7"/>
      <c r="E674" s="7"/>
    </row>
    <row r="675" ht="22.5" customHeight="1">
      <c r="A675" s="7"/>
      <c r="B675" s="7"/>
      <c r="C675" s="7"/>
      <c r="D675" s="7"/>
      <c r="E675" s="7"/>
    </row>
    <row r="676" ht="22.5" customHeight="1">
      <c r="A676" s="7"/>
      <c r="B676" s="7"/>
      <c r="C676" s="7"/>
      <c r="D676" s="7"/>
      <c r="E676" s="7"/>
    </row>
    <row r="677" ht="22.5" customHeight="1">
      <c r="A677" s="7"/>
      <c r="B677" s="7"/>
      <c r="C677" s="7"/>
      <c r="D677" s="7"/>
      <c r="E677" s="7"/>
    </row>
    <row r="678" ht="22.5" customHeight="1">
      <c r="A678" s="7"/>
      <c r="B678" s="7"/>
      <c r="C678" s="7"/>
      <c r="D678" s="7"/>
      <c r="E678" s="7"/>
    </row>
    <row r="679" ht="22.5" customHeight="1">
      <c r="A679" s="7"/>
      <c r="B679" s="7"/>
      <c r="C679" s="7"/>
      <c r="D679" s="7"/>
      <c r="E679" s="7"/>
    </row>
    <row r="680" ht="22.5" customHeight="1">
      <c r="A680" s="7"/>
      <c r="B680" s="7"/>
      <c r="C680" s="7"/>
      <c r="D680" s="7"/>
      <c r="E680" s="7"/>
    </row>
    <row r="681" ht="22.5" customHeight="1">
      <c r="A681" s="7"/>
      <c r="B681" s="7"/>
      <c r="C681" s="7"/>
      <c r="D681" s="7"/>
      <c r="E681" s="7"/>
    </row>
    <row r="682" ht="22.5" customHeight="1">
      <c r="A682" s="7"/>
      <c r="B682" s="7"/>
      <c r="C682" s="7"/>
      <c r="D682" s="7"/>
      <c r="E682" s="7"/>
    </row>
    <row r="683" ht="22.5" customHeight="1">
      <c r="A683" s="7"/>
      <c r="B683" s="7"/>
      <c r="C683" s="7"/>
      <c r="D683" s="7"/>
      <c r="E683" s="7"/>
    </row>
    <row r="684" ht="22.5" customHeight="1">
      <c r="A684" s="7"/>
      <c r="B684" s="7"/>
      <c r="C684" s="7"/>
      <c r="D684" s="7"/>
      <c r="E684" s="7"/>
    </row>
    <row r="685" ht="22.5" customHeight="1">
      <c r="A685" s="7"/>
      <c r="B685" s="7"/>
      <c r="C685" s="7"/>
      <c r="D685" s="7"/>
      <c r="E685" s="7"/>
    </row>
    <row r="686" ht="22.5" customHeight="1">
      <c r="A686" s="7"/>
      <c r="B686" s="7"/>
      <c r="C686" s="7"/>
      <c r="D686" s="7"/>
      <c r="E686" s="7"/>
    </row>
    <row r="687" ht="22.5" customHeight="1">
      <c r="A687" s="7"/>
      <c r="B687" s="7"/>
      <c r="C687" s="7"/>
      <c r="D687" s="7"/>
      <c r="E687" s="7"/>
    </row>
    <row r="688" ht="22.5" customHeight="1">
      <c r="A688" s="7"/>
      <c r="B688" s="7"/>
      <c r="C688" s="7"/>
      <c r="D688" s="7"/>
      <c r="E688" s="7"/>
    </row>
    <row r="689" ht="22.5" customHeight="1">
      <c r="A689" s="7"/>
      <c r="B689" s="7"/>
      <c r="C689" s="7"/>
      <c r="D689" s="7"/>
      <c r="E689" s="7"/>
    </row>
    <row r="690" ht="22.5" customHeight="1">
      <c r="A690" s="7"/>
      <c r="B690" s="7"/>
      <c r="C690" s="7"/>
      <c r="D690" s="7"/>
      <c r="E690" s="7"/>
    </row>
    <row r="691" ht="22.5" customHeight="1">
      <c r="A691" s="7"/>
      <c r="B691" s="7"/>
      <c r="C691" s="7"/>
      <c r="D691" s="7"/>
      <c r="E691" s="7"/>
    </row>
    <row r="692" ht="22.5" customHeight="1">
      <c r="A692" s="7"/>
      <c r="B692" s="7"/>
      <c r="C692" s="7"/>
      <c r="D692" s="7"/>
      <c r="E692" s="7"/>
    </row>
    <row r="693" ht="22.5" customHeight="1">
      <c r="A693" s="7"/>
      <c r="B693" s="7"/>
      <c r="C693" s="7"/>
      <c r="D693" s="7"/>
      <c r="E693" s="7"/>
    </row>
    <row r="694" ht="22.5" customHeight="1">
      <c r="A694" s="7"/>
      <c r="B694" s="7"/>
      <c r="C694" s="7"/>
      <c r="D694" s="7"/>
      <c r="E694" s="7"/>
    </row>
    <row r="695" ht="22.5" customHeight="1">
      <c r="A695" s="7"/>
      <c r="B695" s="7"/>
      <c r="C695" s="7"/>
      <c r="D695" s="7"/>
      <c r="E695" s="7"/>
    </row>
    <row r="696" ht="22.5" customHeight="1">
      <c r="A696" s="7"/>
      <c r="B696" s="7"/>
      <c r="C696" s="7"/>
      <c r="D696" s="7"/>
      <c r="E696" s="7"/>
    </row>
    <row r="697" ht="22.5" customHeight="1">
      <c r="A697" s="7"/>
      <c r="B697" s="7"/>
      <c r="C697" s="7"/>
      <c r="D697" s="7"/>
      <c r="E697" s="7"/>
    </row>
    <row r="698" ht="22.5" customHeight="1">
      <c r="A698" s="7"/>
      <c r="B698" s="7"/>
      <c r="C698" s="7"/>
      <c r="D698" s="7"/>
      <c r="E698" s="7"/>
    </row>
    <row r="699" ht="22.5" customHeight="1">
      <c r="A699" s="7"/>
      <c r="B699" s="7"/>
      <c r="C699" s="7"/>
      <c r="D699" s="7"/>
      <c r="E699" s="7"/>
    </row>
    <row r="700" ht="22.5" customHeight="1">
      <c r="A700" s="7"/>
      <c r="B700" s="7"/>
      <c r="C700" s="7"/>
      <c r="D700" s="7"/>
      <c r="E700" s="7"/>
    </row>
    <row r="701" ht="22.5" customHeight="1">
      <c r="A701" s="7"/>
      <c r="B701" s="7"/>
      <c r="C701" s="7"/>
      <c r="D701" s="7"/>
      <c r="E701" s="7"/>
    </row>
    <row r="702" ht="22.5" customHeight="1">
      <c r="A702" s="7"/>
      <c r="B702" s="7"/>
      <c r="C702" s="7"/>
      <c r="D702" s="7"/>
      <c r="E702" s="7"/>
    </row>
    <row r="703" ht="22.5" customHeight="1">
      <c r="A703" s="7"/>
      <c r="B703" s="7"/>
      <c r="C703" s="7"/>
      <c r="D703" s="7"/>
      <c r="E703" s="7"/>
    </row>
    <row r="704" ht="22.5" customHeight="1">
      <c r="A704" s="7"/>
      <c r="B704" s="7"/>
      <c r="C704" s="7"/>
      <c r="D704" s="7"/>
      <c r="E704" s="7"/>
    </row>
    <row r="705" ht="22.5" customHeight="1">
      <c r="A705" s="7"/>
      <c r="B705" s="7"/>
      <c r="C705" s="7"/>
      <c r="D705" s="7"/>
      <c r="E705" s="7"/>
    </row>
    <row r="706" ht="22.5" customHeight="1">
      <c r="A706" s="7"/>
      <c r="B706" s="7"/>
      <c r="C706" s="7"/>
      <c r="D706" s="7"/>
      <c r="E706" s="7"/>
    </row>
    <row r="707" ht="22.5" customHeight="1">
      <c r="A707" s="7"/>
      <c r="B707" s="7"/>
      <c r="C707" s="7"/>
      <c r="D707" s="7"/>
      <c r="E707" s="7"/>
    </row>
    <row r="708" ht="22.5" customHeight="1">
      <c r="A708" s="7"/>
      <c r="B708" s="7"/>
      <c r="C708" s="7"/>
      <c r="D708" s="7"/>
      <c r="E708" s="7"/>
    </row>
    <row r="709" ht="22.5" customHeight="1">
      <c r="A709" s="7"/>
      <c r="B709" s="7"/>
      <c r="C709" s="7"/>
      <c r="D709" s="7"/>
      <c r="E709" s="7"/>
    </row>
    <row r="710" ht="22.5" customHeight="1">
      <c r="A710" s="7"/>
      <c r="B710" s="7"/>
      <c r="C710" s="7"/>
      <c r="D710" s="7"/>
      <c r="E710" s="7"/>
    </row>
    <row r="711" ht="22.5" customHeight="1">
      <c r="A711" s="7"/>
      <c r="B711" s="7"/>
      <c r="C711" s="7"/>
      <c r="D711" s="7"/>
      <c r="E711" s="7"/>
    </row>
    <row r="712" ht="22.5" customHeight="1">
      <c r="A712" s="7"/>
      <c r="B712" s="7"/>
      <c r="C712" s="7"/>
      <c r="D712" s="7"/>
      <c r="E712" s="7"/>
    </row>
    <row r="713" ht="22.5" customHeight="1">
      <c r="A713" s="7"/>
      <c r="B713" s="7"/>
      <c r="C713" s="7"/>
      <c r="D713" s="7"/>
      <c r="E713" s="7"/>
    </row>
    <row r="714" ht="22.5" customHeight="1">
      <c r="A714" s="7"/>
      <c r="B714" s="7"/>
      <c r="C714" s="7"/>
      <c r="D714" s="7"/>
      <c r="E714" s="7"/>
    </row>
    <row r="715" ht="22.5" customHeight="1">
      <c r="A715" s="7"/>
      <c r="B715" s="7"/>
      <c r="C715" s="7"/>
      <c r="D715" s="7"/>
      <c r="E715" s="7"/>
    </row>
    <row r="716" ht="22.5" customHeight="1">
      <c r="A716" s="7"/>
      <c r="B716" s="7"/>
      <c r="C716" s="7"/>
      <c r="D716" s="7"/>
      <c r="E716" s="7"/>
    </row>
    <row r="717" ht="22.5" customHeight="1">
      <c r="A717" s="7"/>
      <c r="B717" s="7"/>
      <c r="C717" s="7"/>
      <c r="D717" s="7"/>
      <c r="E717" s="7"/>
    </row>
    <row r="718" ht="22.5" customHeight="1">
      <c r="A718" s="7"/>
      <c r="B718" s="7"/>
      <c r="C718" s="7"/>
      <c r="D718" s="7"/>
      <c r="E718" s="7"/>
    </row>
    <row r="719" ht="22.5" customHeight="1">
      <c r="A719" s="7"/>
      <c r="B719" s="7"/>
      <c r="C719" s="7"/>
      <c r="D719" s="7"/>
      <c r="E719" s="7"/>
    </row>
    <row r="720" ht="22.5" customHeight="1">
      <c r="A720" s="7"/>
      <c r="B720" s="7"/>
      <c r="C720" s="7"/>
      <c r="D720" s="7"/>
      <c r="E720" s="7"/>
    </row>
    <row r="721" ht="22.5" customHeight="1">
      <c r="A721" s="7"/>
      <c r="B721" s="7"/>
      <c r="C721" s="7"/>
      <c r="D721" s="7"/>
      <c r="E721" s="7"/>
    </row>
    <row r="722" ht="22.5" customHeight="1">
      <c r="A722" s="7"/>
      <c r="B722" s="7"/>
      <c r="C722" s="7"/>
      <c r="D722" s="7"/>
      <c r="E722" s="7"/>
    </row>
    <row r="723" ht="22.5" customHeight="1">
      <c r="A723" s="7"/>
      <c r="B723" s="7"/>
      <c r="C723" s="7"/>
      <c r="D723" s="7"/>
      <c r="E723" s="7"/>
    </row>
    <row r="724" ht="22.5" customHeight="1">
      <c r="A724" s="7"/>
      <c r="B724" s="7"/>
      <c r="C724" s="7"/>
      <c r="D724" s="7"/>
      <c r="E724" s="7"/>
    </row>
    <row r="725" ht="22.5" customHeight="1">
      <c r="A725" s="7"/>
      <c r="B725" s="7"/>
      <c r="C725" s="7"/>
      <c r="D725" s="7"/>
      <c r="E725" s="7"/>
    </row>
    <row r="726" ht="22.5" customHeight="1">
      <c r="A726" s="7"/>
      <c r="B726" s="7"/>
      <c r="C726" s="7"/>
      <c r="D726" s="7"/>
      <c r="E726" s="7"/>
    </row>
    <row r="727" ht="22.5" customHeight="1">
      <c r="A727" s="7"/>
      <c r="B727" s="7"/>
      <c r="C727" s="7"/>
      <c r="D727" s="7"/>
      <c r="E727" s="7"/>
    </row>
    <row r="728" ht="22.5" customHeight="1">
      <c r="A728" s="7"/>
      <c r="B728" s="7"/>
      <c r="C728" s="7"/>
      <c r="D728" s="7"/>
      <c r="E728" s="7"/>
    </row>
    <row r="729" ht="22.5" customHeight="1">
      <c r="A729" s="7"/>
      <c r="B729" s="7"/>
      <c r="C729" s="7"/>
      <c r="D729" s="7"/>
      <c r="E729" s="7"/>
    </row>
    <row r="730" ht="22.5" customHeight="1">
      <c r="A730" s="7"/>
      <c r="B730" s="7"/>
      <c r="C730" s="7"/>
      <c r="D730" s="7"/>
      <c r="E730" s="7"/>
    </row>
    <row r="731" ht="22.5" customHeight="1">
      <c r="A731" s="7"/>
      <c r="B731" s="7"/>
      <c r="C731" s="7"/>
      <c r="D731" s="7"/>
      <c r="E731" s="7"/>
    </row>
    <row r="732" ht="22.5" customHeight="1">
      <c r="A732" s="7"/>
      <c r="B732" s="7"/>
      <c r="C732" s="7"/>
      <c r="D732" s="7"/>
      <c r="E732" s="7"/>
    </row>
    <row r="733" ht="22.5" customHeight="1">
      <c r="A733" s="7"/>
      <c r="B733" s="7"/>
      <c r="C733" s="7"/>
      <c r="D733" s="7"/>
      <c r="E733" s="7"/>
    </row>
    <row r="734" ht="22.5" customHeight="1">
      <c r="A734" s="7"/>
      <c r="B734" s="7"/>
      <c r="C734" s="7"/>
      <c r="D734" s="7"/>
      <c r="E734" s="7"/>
    </row>
    <row r="735" ht="22.5" customHeight="1">
      <c r="A735" s="7"/>
      <c r="B735" s="7"/>
      <c r="C735" s="7"/>
      <c r="D735" s="7"/>
      <c r="E735" s="7"/>
    </row>
    <row r="736" ht="22.5" customHeight="1">
      <c r="A736" s="7"/>
      <c r="B736" s="7"/>
      <c r="C736" s="7"/>
      <c r="D736" s="7"/>
      <c r="E736" s="7"/>
    </row>
    <row r="737" ht="22.5" customHeight="1">
      <c r="A737" s="7"/>
      <c r="B737" s="7"/>
      <c r="C737" s="7"/>
      <c r="D737" s="7"/>
      <c r="E737" s="7"/>
    </row>
    <row r="738" ht="22.5" customHeight="1">
      <c r="A738" s="7"/>
      <c r="B738" s="7"/>
      <c r="C738" s="7"/>
      <c r="D738" s="7"/>
      <c r="E738" s="7"/>
    </row>
    <row r="739" ht="22.5" customHeight="1">
      <c r="A739" s="7"/>
      <c r="B739" s="7"/>
      <c r="C739" s="7"/>
      <c r="D739" s="7"/>
      <c r="E739" s="7"/>
    </row>
    <row r="740" ht="22.5" customHeight="1">
      <c r="A740" s="7"/>
      <c r="B740" s="7"/>
      <c r="C740" s="7"/>
      <c r="D740" s="7"/>
      <c r="E740" s="7"/>
    </row>
    <row r="741" ht="22.5" customHeight="1">
      <c r="A741" s="7"/>
      <c r="B741" s="7"/>
      <c r="C741" s="7"/>
      <c r="D741" s="7"/>
      <c r="E741" s="7"/>
    </row>
    <row r="742" ht="22.5" customHeight="1">
      <c r="A742" s="7"/>
      <c r="B742" s="7"/>
      <c r="C742" s="7"/>
      <c r="D742" s="7"/>
      <c r="E742" s="7"/>
    </row>
    <row r="743" ht="22.5" customHeight="1">
      <c r="A743" s="7"/>
      <c r="B743" s="7"/>
      <c r="C743" s="7"/>
      <c r="D743" s="7"/>
      <c r="E743" s="7"/>
    </row>
    <row r="744" ht="22.5" customHeight="1">
      <c r="A744" s="7"/>
      <c r="B744" s="7"/>
      <c r="C744" s="7"/>
      <c r="D744" s="7"/>
      <c r="E744" s="7"/>
    </row>
    <row r="745" ht="22.5" customHeight="1">
      <c r="A745" s="7"/>
      <c r="B745" s="7"/>
      <c r="C745" s="7"/>
      <c r="D745" s="7"/>
      <c r="E745" s="7"/>
    </row>
    <row r="746" ht="22.5" customHeight="1">
      <c r="A746" s="7"/>
      <c r="B746" s="7"/>
      <c r="C746" s="7"/>
      <c r="D746" s="7"/>
      <c r="E746" s="7"/>
    </row>
    <row r="747" ht="22.5" customHeight="1">
      <c r="A747" s="7"/>
      <c r="B747" s="7"/>
      <c r="C747" s="7"/>
      <c r="D747" s="7"/>
      <c r="E747" s="7"/>
    </row>
    <row r="748" ht="22.5" customHeight="1">
      <c r="A748" s="7"/>
      <c r="B748" s="7"/>
      <c r="C748" s="7"/>
      <c r="D748" s="7"/>
      <c r="E748" s="7"/>
    </row>
    <row r="749" ht="22.5" customHeight="1">
      <c r="A749" s="7"/>
      <c r="B749" s="7"/>
      <c r="C749" s="7"/>
      <c r="D749" s="7"/>
      <c r="E749" s="7"/>
    </row>
    <row r="750" ht="22.5" customHeight="1">
      <c r="A750" s="7"/>
      <c r="B750" s="7"/>
      <c r="C750" s="7"/>
      <c r="D750" s="7"/>
      <c r="E750" s="7"/>
    </row>
    <row r="751" ht="22.5" customHeight="1">
      <c r="A751" s="7"/>
      <c r="B751" s="7"/>
      <c r="C751" s="7"/>
      <c r="D751" s="7"/>
      <c r="E751" s="7"/>
    </row>
    <row r="752" ht="22.5" customHeight="1">
      <c r="A752" s="7"/>
      <c r="B752" s="7"/>
      <c r="C752" s="7"/>
      <c r="D752" s="7"/>
      <c r="E752" s="7"/>
    </row>
    <row r="753" ht="22.5" customHeight="1">
      <c r="A753" s="7"/>
      <c r="B753" s="7"/>
      <c r="C753" s="7"/>
      <c r="D753" s="7"/>
      <c r="E753" s="7"/>
    </row>
    <row r="754" ht="22.5" customHeight="1">
      <c r="A754" s="7"/>
      <c r="B754" s="7"/>
      <c r="C754" s="7"/>
      <c r="D754" s="7"/>
      <c r="E754" s="7"/>
    </row>
    <row r="755" ht="22.5" customHeight="1">
      <c r="A755" s="7"/>
      <c r="B755" s="7"/>
      <c r="C755" s="7"/>
      <c r="D755" s="7"/>
      <c r="E755" s="7"/>
    </row>
    <row r="756" ht="22.5" customHeight="1">
      <c r="A756" s="7"/>
      <c r="B756" s="7"/>
      <c r="C756" s="7"/>
      <c r="D756" s="7"/>
      <c r="E756" s="7"/>
    </row>
    <row r="757" ht="22.5" customHeight="1">
      <c r="A757" s="7"/>
      <c r="B757" s="7"/>
      <c r="C757" s="7"/>
      <c r="D757" s="7"/>
      <c r="E757" s="7"/>
    </row>
    <row r="758" ht="22.5" customHeight="1">
      <c r="A758" s="7"/>
      <c r="B758" s="7"/>
      <c r="C758" s="7"/>
      <c r="D758" s="7"/>
      <c r="E758" s="7"/>
    </row>
    <row r="759" ht="22.5" customHeight="1">
      <c r="A759" s="7"/>
      <c r="B759" s="7"/>
      <c r="C759" s="7"/>
      <c r="D759" s="7"/>
      <c r="E759" s="7"/>
    </row>
    <row r="760" ht="22.5" customHeight="1">
      <c r="A760" s="7"/>
      <c r="B760" s="7"/>
      <c r="C760" s="7"/>
      <c r="D760" s="7"/>
      <c r="E760" s="7"/>
    </row>
    <row r="761" ht="22.5" customHeight="1">
      <c r="A761" s="7"/>
      <c r="B761" s="7"/>
      <c r="C761" s="7"/>
      <c r="D761" s="7"/>
      <c r="E761" s="7"/>
    </row>
    <row r="762" ht="22.5" customHeight="1">
      <c r="A762" s="7"/>
      <c r="B762" s="7"/>
      <c r="C762" s="7"/>
      <c r="D762" s="7"/>
      <c r="E762" s="7"/>
    </row>
    <row r="763" ht="22.5" customHeight="1">
      <c r="A763" s="7"/>
      <c r="B763" s="7"/>
      <c r="C763" s="7"/>
      <c r="D763" s="7"/>
      <c r="E763" s="7"/>
    </row>
    <row r="764" ht="22.5" customHeight="1">
      <c r="A764" s="7"/>
      <c r="B764" s="7"/>
      <c r="C764" s="7"/>
      <c r="D764" s="7"/>
      <c r="E764" s="7"/>
    </row>
    <row r="765" ht="22.5" customHeight="1">
      <c r="A765" s="7"/>
      <c r="B765" s="7"/>
      <c r="C765" s="7"/>
      <c r="D765" s="7"/>
      <c r="E765" s="7"/>
    </row>
    <row r="766" ht="22.5" customHeight="1">
      <c r="A766" s="7"/>
      <c r="B766" s="7"/>
      <c r="C766" s="7"/>
      <c r="D766" s="7"/>
      <c r="E766" s="7"/>
    </row>
    <row r="767" ht="22.5" customHeight="1">
      <c r="A767" s="7"/>
      <c r="B767" s="7"/>
      <c r="C767" s="7"/>
      <c r="D767" s="7"/>
      <c r="E767" s="7"/>
    </row>
    <row r="768" ht="22.5" customHeight="1">
      <c r="A768" s="7"/>
      <c r="B768" s="7"/>
      <c r="C768" s="7"/>
      <c r="D768" s="7"/>
      <c r="E768" s="7"/>
    </row>
    <row r="769" ht="22.5" customHeight="1">
      <c r="A769" s="7"/>
      <c r="B769" s="7"/>
      <c r="C769" s="7"/>
      <c r="D769" s="7"/>
      <c r="E769" s="7"/>
    </row>
    <row r="770" ht="22.5" customHeight="1">
      <c r="A770" s="7"/>
      <c r="B770" s="7"/>
      <c r="C770" s="7"/>
      <c r="D770" s="7"/>
      <c r="E770" s="7"/>
    </row>
    <row r="771" ht="22.5" customHeight="1">
      <c r="A771" s="7"/>
      <c r="B771" s="7"/>
      <c r="C771" s="7"/>
      <c r="D771" s="7"/>
      <c r="E771" s="7"/>
    </row>
    <row r="772" ht="22.5" customHeight="1">
      <c r="A772" s="7"/>
      <c r="B772" s="7"/>
      <c r="C772" s="7"/>
      <c r="D772" s="7"/>
      <c r="E772" s="7"/>
    </row>
    <row r="773" ht="22.5" customHeight="1">
      <c r="A773" s="7"/>
      <c r="B773" s="7"/>
      <c r="C773" s="7"/>
      <c r="D773" s="7"/>
      <c r="E773" s="7"/>
    </row>
    <row r="774" ht="22.5" customHeight="1">
      <c r="A774" s="7"/>
      <c r="B774" s="7"/>
      <c r="C774" s="7"/>
      <c r="D774" s="7"/>
      <c r="E774" s="7"/>
    </row>
    <row r="775" ht="22.5" customHeight="1">
      <c r="A775" s="7"/>
      <c r="B775" s="7"/>
      <c r="C775" s="7"/>
      <c r="D775" s="7"/>
      <c r="E775" s="7"/>
    </row>
    <row r="776" ht="22.5" customHeight="1">
      <c r="A776" s="7"/>
      <c r="B776" s="7"/>
      <c r="C776" s="7"/>
      <c r="D776" s="7"/>
      <c r="E776" s="7"/>
    </row>
    <row r="777" ht="22.5" customHeight="1">
      <c r="A777" s="7"/>
      <c r="B777" s="7"/>
      <c r="C777" s="7"/>
      <c r="D777" s="7"/>
      <c r="E777" s="7"/>
    </row>
    <row r="778" ht="22.5" customHeight="1">
      <c r="A778" s="7"/>
      <c r="B778" s="7"/>
      <c r="C778" s="7"/>
      <c r="D778" s="7"/>
      <c r="E778" s="7"/>
    </row>
    <row r="779" ht="22.5" customHeight="1">
      <c r="A779" s="7"/>
      <c r="B779" s="7"/>
      <c r="C779" s="7"/>
      <c r="D779" s="7"/>
      <c r="E779" s="7"/>
    </row>
    <row r="780" ht="22.5" customHeight="1">
      <c r="A780" s="7"/>
      <c r="B780" s="7"/>
      <c r="C780" s="7"/>
      <c r="D780" s="7"/>
      <c r="E780" s="7"/>
    </row>
    <row r="781" ht="22.5" customHeight="1">
      <c r="A781" s="7"/>
      <c r="B781" s="7"/>
      <c r="C781" s="7"/>
      <c r="D781" s="7"/>
      <c r="E781" s="7"/>
    </row>
    <row r="782" ht="22.5" customHeight="1">
      <c r="A782" s="7"/>
      <c r="B782" s="7"/>
      <c r="C782" s="7"/>
      <c r="D782" s="7"/>
      <c r="E782" s="7"/>
    </row>
    <row r="783" ht="22.5" customHeight="1">
      <c r="A783" s="7"/>
      <c r="B783" s="7"/>
      <c r="C783" s="7"/>
      <c r="D783" s="7"/>
      <c r="E783" s="7"/>
    </row>
    <row r="784" ht="22.5" customHeight="1">
      <c r="A784" s="7"/>
      <c r="B784" s="7"/>
      <c r="C784" s="7"/>
      <c r="D784" s="7"/>
      <c r="E784" s="7"/>
    </row>
    <row r="785" ht="22.5" customHeight="1">
      <c r="A785" s="7"/>
      <c r="B785" s="7"/>
      <c r="C785" s="7"/>
      <c r="D785" s="7"/>
      <c r="E785" s="7"/>
    </row>
    <row r="786" ht="22.5" customHeight="1">
      <c r="A786" s="7"/>
      <c r="B786" s="7"/>
      <c r="C786" s="7"/>
      <c r="D786" s="7"/>
      <c r="E786" s="7"/>
    </row>
    <row r="787" ht="22.5" customHeight="1">
      <c r="A787" s="7"/>
      <c r="B787" s="7"/>
      <c r="C787" s="7"/>
      <c r="D787" s="7"/>
      <c r="E787" s="7"/>
    </row>
    <row r="788" ht="22.5" customHeight="1">
      <c r="A788" s="7"/>
      <c r="B788" s="7"/>
      <c r="C788" s="7"/>
      <c r="D788" s="7"/>
      <c r="E788" s="7"/>
    </row>
    <row r="789" ht="22.5" customHeight="1">
      <c r="A789" s="7"/>
      <c r="B789" s="7"/>
      <c r="C789" s="7"/>
      <c r="D789" s="7"/>
      <c r="E789" s="7"/>
    </row>
    <row r="790" ht="22.5" customHeight="1">
      <c r="A790" s="7"/>
      <c r="B790" s="7"/>
      <c r="C790" s="7"/>
      <c r="D790" s="7"/>
      <c r="E790" s="7"/>
    </row>
    <row r="791" ht="22.5" customHeight="1">
      <c r="A791" s="7"/>
      <c r="B791" s="7"/>
      <c r="C791" s="7"/>
      <c r="D791" s="7"/>
      <c r="E791" s="7"/>
    </row>
    <row r="792" ht="22.5" customHeight="1">
      <c r="A792" s="7"/>
      <c r="B792" s="7"/>
      <c r="C792" s="7"/>
      <c r="D792" s="7"/>
      <c r="E792" s="7"/>
    </row>
    <row r="793" ht="22.5" customHeight="1">
      <c r="A793" s="7"/>
      <c r="B793" s="7"/>
      <c r="C793" s="7"/>
      <c r="D793" s="7"/>
      <c r="E793" s="7"/>
    </row>
    <row r="794" ht="22.5" customHeight="1">
      <c r="A794" s="7"/>
      <c r="B794" s="7"/>
      <c r="C794" s="7"/>
      <c r="D794" s="7"/>
      <c r="E794" s="7"/>
    </row>
    <row r="795" ht="22.5" customHeight="1">
      <c r="A795" s="7"/>
      <c r="B795" s="7"/>
      <c r="C795" s="7"/>
      <c r="D795" s="7"/>
      <c r="E795" s="7"/>
    </row>
    <row r="796" ht="22.5" customHeight="1">
      <c r="A796" s="7"/>
      <c r="B796" s="7"/>
      <c r="C796" s="7"/>
      <c r="D796" s="7"/>
      <c r="E796" s="7"/>
    </row>
    <row r="797" ht="22.5" customHeight="1">
      <c r="A797" s="7"/>
      <c r="B797" s="7"/>
      <c r="C797" s="7"/>
      <c r="D797" s="7"/>
      <c r="E797" s="7"/>
    </row>
    <row r="798" ht="22.5" customHeight="1">
      <c r="A798" s="7"/>
      <c r="B798" s="7"/>
      <c r="C798" s="7"/>
      <c r="D798" s="7"/>
      <c r="E798" s="7"/>
    </row>
    <row r="799" ht="22.5" customHeight="1">
      <c r="A799" s="7"/>
      <c r="B799" s="7"/>
      <c r="C799" s="7"/>
      <c r="D799" s="7"/>
      <c r="E799" s="7"/>
    </row>
    <row r="800" ht="22.5" customHeight="1">
      <c r="A800" s="7"/>
      <c r="B800" s="7"/>
      <c r="C800" s="7"/>
      <c r="D800" s="7"/>
      <c r="E800" s="7"/>
    </row>
    <row r="801" ht="22.5" customHeight="1">
      <c r="A801" s="7"/>
      <c r="B801" s="7"/>
      <c r="C801" s="7"/>
      <c r="D801" s="7"/>
      <c r="E801" s="7"/>
    </row>
    <row r="802" ht="22.5" customHeight="1">
      <c r="A802" s="7"/>
      <c r="B802" s="7"/>
      <c r="C802" s="7"/>
      <c r="D802" s="7"/>
      <c r="E802" s="7"/>
    </row>
    <row r="803" ht="22.5" customHeight="1">
      <c r="A803" s="7"/>
      <c r="B803" s="7"/>
      <c r="C803" s="7"/>
      <c r="D803" s="7"/>
      <c r="E803" s="7"/>
    </row>
    <row r="804" ht="22.5" customHeight="1">
      <c r="A804" s="7"/>
      <c r="B804" s="7"/>
      <c r="C804" s="7"/>
      <c r="D804" s="7"/>
      <c r="E804" s="7"/>
    </row>
    <row r="805" ht="22.5" customHeight="1">
      <c r="A805" s="7"/>
      <c r="B805" s="7"/>
      <c r="C805" s="7"/>
      <c r="D805" s="7"/>
      <c r="E805" s="7"/>
    </row>
    <row r="806" ht="22.5" customHeight="1">
      <c r="A806" s="7"/>
      <c r="B806" s="7"/>
      <c r="C806" s="7"/>
      <c r="D806" s="7"/>
      <c r="E806" s="7"/>
    </row>
    <row r="807" ht="22.5" customHeight="1">
      <c r="A807" s="7"/>
      <c r="B807" s="7"/>
      <c r="C807" s="7"/>
      <c r="D807" s="7"/>
      <c r="E807" s="7"/>
    </row>
    <row r="808" ht="22.5" customHeight="1">
      <c r="A808" s="7"/>
      <c r="B808" s="7"/>
      <c r="C808" s="7"/>
      <c r="D808" s="7"/>
      <c r="E808" s="7"/>
    </row>
    <row r="809" ht="22.5" customHeight="1">
      <c r="A809" s="7"/>
      <c r="B809" s="7"/>
      <c r="C809" s="7"/>
      <c r="D809" s="7"/>
      <c r="E809" s="7"/>
    </row>
    <row r="810" ht="22.5" customHeight="1">
      <c r="A810" s="7"/>
      <c r="B810" s="7"/>
      <c r="C810" s="7"/>
      <c r="D810" s="7"/>
      <c r="E810" s="7"/>
    </row>
    <row r="811" ht="22.5" customHeight="1">
      <c r="A811" s="7"/>
      <c r="B811" s="7"/>
      <c r="C811" s="7"/>
      <c r="D811" s="7"/>
      <c r="E811" s="7"/>
    </row>
    <row r="812" ht="22.5" customHeight="1">
      <c r="A812" s="7"/>
      <c r="B812" s="7"/>
      <c r="C812" s="7"/>
      <c r="D812" s="7"/>
      <c r="E812" s="7"/>
    </row>
    <row r="813" ht="22.5" customHeight="1">
      <c r="A813" s="7"/>
      <c r="B813" s="7"/>
      <c r="C813" s="7"/>
      <c r="D813" s="7"/>
      <c r="E813" s="7"/>
    </row>
    <row r="814" ht="22.5" customHeight="1">
      <c r="A814" s="7"/>
      <c r="B814" s="7"/>
      <c r="C814" s="7"/>
      <c r="D814" s="7"/>
      <c r="E814" s="7"/>
    </row>
    <row r="815" ht="22.5" customHeight="1">
      <c r="A815" s="7"/>
      <c r="B815" s="7"/>
      <c r="C815" s="7"/>
      <c r="D815" s="7"/>
      <c r="E815" s="7"/>
    </row>
    <row r="816" ht="22.5" customHeight="1">
      <c r="A816" s="7"/>
      <c r="B816" s="7"/>
      <c r="C816" s="7"/>
      <c r="D816" s="7"/>
      <c r="E816" s="7"/>
    </row>
    <row r="817" ht="22.5" customHeight="1">
      <c r="A817" s="7"/>
      <c r="B817" s="7"/>
      <c r="C817" s="7"/>
      <c r="D817" s="7"/>
      <c r="E817" s="7"/>
    </row>
    <row r="818" ht="22.5" customHeight="1">
      <c r="A818" s="7"/>
      <c r="B818" s="7"/>
      <c r="C818" s="7"/>
      <c r="D818" s="7"/>
      <c r="E818" s="7"/>
    </row>
    <row r="819" ht="22.5" customHeight="1">
      <c r="A819" s="7"/>
      <c r="B819" s="7"/>
      <c r="C819" s="7"/>
      <c r="D819" s="7"/>
      <c r="E819" s="7"/>
    </row>
    <row r="820" ht="22.5" customHeight="1">
      <c r="A820" s="7"/>
      <c r="B820" s="7"/>
      <c r="C820" s="7"/>
      <c r="D820" s="7"/>
      <c r="E820" s="7"/>
    </row>
    <row r="821" ht="22.5" customHeight="1">
      <c r="A821" s="7"/>
      <c r="B821" s="7"/>
      <c r="C821" s="7"/>
      <c r="D821" s="7"/>
      <c r="E821" s="7"/>
    </row>
    <row r="822" ht="22.5" customHeight="1">
      <c r="A822" s="7"/>
      <c r="B822" s="7"/>
      <c r="C822" s="7"/>
      <c r="D822" s="7"/>
      <c r="E822" s="7"/>
    </row>
    <row r="823" ht="22.5" customHeight="1">
      <c r="A823" s="7"/>
      <c r="B823" s="7"/>
      <c r="C823" s="7"/>
      <c r="D823" s="7"/>
      <c r="E823" s="7"/>
    </row>
    <row r="824" ht="22.5" customHeight="1">
      <c r="A824" s="7"/>
      <c r="B824" s="7"/>
      <c r="C824" s="7"/>
      <c r="D824" s="7"/>
      <c r="E824" s="7"/>
    </row>
    <row r="825" ht="22.5" customHeight="1">
      <c r="A825" s="7"/>
      <c r="B825" s="7"/>
      <c r="C825" s="7"/>
      <c r="D825" s="7"/>
      <c r="E825" s="7"/>
    </row>
    <row r="826" ht="22.5" customHeight="1">
      <c r="A826" s="7"/>
      <c r="B826" s="7"/>
      <c r="C826" s="7"/>
      <c r="D826" s="7"/>
      <c r="E826" s="7"/>
    </row>
    <row r="827" ht="22.5" customHeight="1">
      <c r="A827" s="7"/>
      <c r="B827" s="7"/>
      <c r="C827" s="7"/>
      <c r="D827" s="7"/>
      <c r="E827" s="7"/>
    </row>
    <row r="828" ht="22.5" customHeight="1">
      <c r="A828" s="7"/>
      <c r="B828" s="7"/>
      <c r="C828" s="7"/>
      <c r="D828" s="7"/>
      <c r="E828" s="7"/>
    </row>
    <row r="829" ht="22.5" customHeight="1">
      <c r="A829" s="7"/>
      <c r="B829" s="7"/>
      <c r="C829" s="7"/>
      <c r="D829" s="7"/>
      <c r="E829" s="7"/>
    </row>
    <row r="830" ht="22.5" customHeight="1">
      <c r="A830" s="7"/>
      <c r="B830" s="7"/>
      <c r="C830" s="7"/>
      <c r="D830" s="7"/>
      <c r="E830" s="7"/>
    </row>
    <row r="831" ht="22.5" customHeight="1">
      <c r="A831" s="7"/>
      <c r="B831" s="7"/>
      <c r="C831" s="7"/>
      <c r="D831" s="7"/>
      <c r="E831" s="7"/>
    </row>
    <row r="832" ht="22.5" customHeight="1">
      <c r="A832" s="7"/>
      <c r="B832" s="7"/>
      <c r="C832" s="7"/>
      <c r="D832" s="7"/>
      <c r="E832" s="7"/>
    </row>
    <row r="833" ht="22.5" customHeight="1">
      <c r="A833" s="7"/>
      <c r="B833" s="7"/>
      <c r="C833" s="7"/>
      <c r="D833" s="7"/>
      <c r="E833" s="7"/>
    </row>
    <row r="834" ht="22.5" customHeight="1">
      <c r="A834" s="7"/>
      <c r="B834" s="7"/>
      <c r="C834" s="7"/>
      <c r="D834" s="7"/>
      <c r="E834" s="7"/>
    </row>
    <row r="835" ht="22.5" customHeight="1">
      <c r="A835" s="7"/>
      <c r="B835" s="7"/>
      <c r="C835" s="7"/>
      <c r="D835" s="7"/>
      <c r="E835" s="7"/>
    </row>
    <row r="836" ht="22.5" customHeight="1">
      <c r="A836" s="7"/>
      <c r="B836" s="7"/>
      <c r="C836" s="7"/>
      <c r="D836" s="7"/>
      <c r="E836" s="7"/>
    </row>
    <row r="837" ht="22.5" customHeight="1">
      <c r="A837" s="7"/>
      <c r="B837" s="7"/>
      <c r="C837" s="7"/>
      <c r="D837" s="7"/>
      <c r="E837" s="7"/>
    </row>
    <row r="838" ht="22.5" customHeight="1">
      <c r="A838" s="7"/>
      <c r="B838" s="7"/>
      <c r="C838" s="7"/>
      <c r="D838" s="7"/>
      <c r="E838" s="7"/>
    </row>
    <row r="839" ht="22.5" customHeight="1">
      <c r="A839" s="7"/>
      <c r="B839" s="7"/>
      <c r="C839" s="7"/>
      <c r="D839" s="7"/>
      <c r="E839" s="7"/>
    </row>
    <row r="840" ht="22.5" customHeight="1">
      <c r="A840" s="7"/>
      <c r="B840" s="7"/>
      <c r="C840" s="7"/>
      <c r="D840" s="7"/>
      <c r="E840" s="7"/>
    </row>
    <row r="841" ht="22.5" customHeight="1">
      <c r="A841" s="7"/>
      <c r="B841" s="7"/>
      <c r="C841" s="7"/>
      <c r="D841" s="7"/>
      <c r="E841" s="7"/>
    </row>
    <row r="842" ht="22.5" customHeight="1">
      <c r="A842" s="7"/>
      <c r="B842" s="7"/>
      <c r="C842" s="7"/>
      <c r="D842" s="7"/>
      <c r="E842" s="7"/>
    </row>
    <row r="843" ht="22.5" customHeight="1">
      <c r="A843" s="7"/>
      <c r="B843" s="7"/>
      <c r="C843" s="7"/>
      <c r="D843" s="7"/>
      <c r="E843" s="7"/>
    </row>
    <row r="844" ht="22.5" customHeight="1">
      <c r="A844" s="7"/>
      <c r="B844" s="7"/>
      <c r="C844" s="7"/>
      <c r="D844" s="7"/>
      <c r="E844" s="7"/>
    </row>
    <row r="845" ht="22.5" customHeight="1">
      <c r="A845" s="7"/>
      <c r="B845" s="7"/>
      <c r="C845" s="7"/>
      <c r="D845" s="7"/>
      <c r="E845" s="7"/>
    </row>
    <row r="846" ht="22.5" customHeight="1">
      <c r="A846" s="7"/>
      <c r="B846" s="7"/>
      <c r="C846" s="7"/>
      <c r="D846" s="7"/>
      <c r="E846" s="7"/>
    </row>
    <row r="847" ht="22.5" customHeight="1">
      <c r="A847" s="7"/>
      <c r="B847" s="7"/>
      <c r="C847" s="7"/>
      <c r="D847" s="7"/>
      <c r="E847" s="7"/>
    </row>
    <row r="848" ht="22.5" customHeight="1">
      <c r="A848" s="7"/>
      <c r="B848" s="7"/>
      <c r="C848" s="7"/>
      <c r="D848" s="7"/>
      <c r="E848" s="7"/>
    </row>
    <row r="849" ht="22.5" customHeight="1">
      <c r="A849" s="7"/>
      <c r="B849" s="7"/>
      <c r="C849" s="7"/>
      <c r="D849" s="7"/>
      <c r="E849" s="7"/>
    </row>
    <row r="850" ht="22.5" customHeight="1">
      <c r="A850" s="7"/>
      <c r="B850" s="7"/>
      <c r="C850" s="7"/>
      <c r="D850" s="7"/>
      <c r="E850" s="7"/>
    </row>
    <row r="851" ht="22.5" customHeight="1">
      <c r="A851" s="7"/>
      <c r="B851" s="7"/>
      <c r="C851" s="7"/>
      <c r="D851" s="7"/>
      <c r="E851" s="7"/>
    </row>
    <row r="852" ht="22.5" customHeight="1">
      <c r="A852" s="7"/>
      <c r="B852" s="7"/>
      <c r="C852" s="7"/>
      <c r="D852" s="7"/>
      <c r="E852" s="7"/>
    </row>
    <row r="853" ht="22.5" customHeight="1">
      <c r="A853" s="7"/>
      <c r="B853" s="7"/>
      <c r="C853" s="7"/>
      <c r="D853" s="7"/>
      <c r="E853" s="7"/>
    </row>
    <row r="854" ht="22.5" customHeight="1">
      <c r="A854" s="7"/>
      <c r="B854" s="7"/>
      <c r="C854" s="7"/>
      <c r="D854" s="7"/>
      <c r="E854" s="7"/>
    </row>
    <row r="855" ht="22.5" customHeight="1">
      <c r="A855" s="7"/>
      <c r="B855" s="7"/>
      <c r="C855" s="7"/>
      <c r="D855" s="7"/>
      <c r="E855" s="7"/>
    </row>
    <row r="856" ht="22.5" customHeight="1">
      <c r="A856" s="7"/>
      <c r="B856" s="7"/>
      <c r="C856" s="7"/>
      <c r="D856" s="7"/>
      <c r="E856" s="7"/>
    </row>
    <row r="857" ht="22.5" customHeight="1">
      <c r="A857" s="7"/>
      <c r="B857" s="7"/>
      <c r="C857" s="7"/>
      <c r="D857" s="7"/>
      <c r="E857" s="7"/>
    </row>
    <row r="858" ht="22.5" customHeight="1">
      <c r="A858" s="7"/>
      <c r="B858" s="7"/>
      <c r="C858" s="7"/>
      <c r="D858" s="7"/>
      <c r="E858" s="7"/>
    </row>
    <row r="859" ht="22.5" customHeight="1">
      <c r="A859" s="7"/>
      <c r="B859" s="7"/>
      <c r="C859" s="7"/>
      <c r="D859" s="7"/>
      <c r="E859" s="7"/>
    </row>
    <row r="860" ht="22.5" customHeight="1">
      <c r="A860" s="7"/>
      <c r="B860" s="7"/>
      <c r="C860" s="7"/>
      <c r="D860" s="7"/>
      <c r="E860" s="7"/>
    </row>
    <row r="861" ht="22.5" customHeight="1">
      <c r="A861" s="7"/>
      <c r="B861" s="7"/>
      <c r="C861" s="7"/>
      <c r="D861" s="7"/>
      <c r="E861" s="7"/>
    </row>
    <row r="862" ht="22.5" customHeight="1">
      <c r="A862" s="7"/>
      <c r="B862" s="7"/>
      <c r="C862" s="7"/>
      <c r="D862" s="7"/>
      <c r="E862" s="7"/>
    </row>
    <row r="863" ht="22.5" customHeight="1">
      <c r="A863" s="7"/>
      <c r="B863" s="7"/>
      <c r="C863" s="7"/>
      <c r="D863" s="7"/>
      <c r="E863" s="7"/>
    </row>
    <row r="864" ht="22.5" customHeight="1">
      <c r="A864" s="7"/>
      <c r="B864" s="7"/>
      <c r="C864" s="7"/>
      <c r="D864" s="7"/>
      <c r="E864" s="7"/>
    </row>
    <row r="865" ht="22.5" customHeight="1">
      <c r="A865" s="7"/>
      <c r="B865" s="7"/>
      <c r="C865" s="7"/>
      <c r="D865" s="7"/>
      <c r="E865" s="7"/>
    </row>
    <row r="866" ht="22.5" customHeight="1">
      <c r="A866" s="7"/>
      <c r="B866" s="7"/>
      <c r="C866" s="7"/>
      <c r="D866" s="7"/>
      <c r="E866" s="7"/>
    </row>
    <row r="867" ht="22.5" customHeight="1">
      <c r="A867" s="7"/>
      <c r="B867" s="7"/>
      <c r="C867" s="7"/>
      <c r="D867" s="7"/>
      <c r="E867" s="7"/>
    </row>
    <row r="868" ht="22.5" customHeight="1">
      <c r="A868" s="7"/>
      <c r="B868" s="7"/>
      <c r="C868" s="7"/>
      <c r="D868" s="7"/>
      <c r="E868" s="7"/>
    </row>
    <row r="869" ht="22.5" customHeight="1">
      <c r="A869" s="7"/>
      <c r="B869" s="7"/>
      <c r="C869" s="7"/>
      <c r="D869" s="7"/>
      <c r="E869" s="7"/>
    </row>
    <row r="870" ht="22.5" customHeight="1">
      <c r="A870" s="7"/>
      <c r="B870" s="7"/>
      <c r="C870" s="7"/>
      <c r="D870" s="7"/>
      <c r="E870" s="7"/>
    </row>
    <row r="871" ht="22.5" customHeight="1">
      <c r="A871" s="7"/>
      <c r="B871" s="7"/>
      <c r="C871" s="7"/>
      <c r="D871" s="7"/>
      <c r="E871" s="7"/>
    </row>
    <row r="872" ht="22.5" customHeight="1">
      <c r="A872" s="7"/>
      <c r="B872" s="7"/>
      <c r="C872" s="7"/>
      <c r="D872" s="7"/>
      <c r="E872" s="7"/>
    </row>
    <row r="873" ht="22.5" customHeight="1">
      <c r="A873" s="7"/>
      <c r="B873" s="7"/>
      <c r="C873" s="7"/>
      <c r="D873" s="7"/>
      <c r="E873" s="7"/>
    </row>
    <row r="874" ht="22.5" customHeight="1">
      <c r="A874" s="7"/>
      <c r="B874" s="7"/>
      <c r="C874" s="7"/>
      <c r="D874" s="7"/>
      <c r="E874" s="7"/>
    </row>
    <row r="875" ht="22.5" customHeight="1">
      <c r="A875" s="7"/>
      <c r="B875" s="7"/>
      <c r="C875" s="7"/>
      <c r="D875" s="7"/>
      <c r="E875" s="7"/>
    </row>
    <row r="876" ht="22.5" customHeight="1">
      <c r="A876" s="7"/>
      <c r="B876" s="7"/>
      <c r="C876" s="7"/>
      <c r="D876" s="7"/>
      <c r="E876" s="7"/>
    </row>
    <row r="877" ht="22.5" customHeight="1">
      <c r="A877" s="7"/>
      <c r="B877" s="7"/>
      <c r="C877" s="7"/>
      <c r="D877" s="7"/>
      <c r="E877" s="7"/>
    </row>
    <row r="878" ht="22.5" customHeight="1">
      <c r="A878" s="7"/>
      <c r="B878" s="7"/>
      <c r="C878" s="7"/>
      <c r="D878" s="7"/>
      <c r="E878" s="7"/>
    </row>
    <row r="879" ht="22.5" customHeight="1">
      <c r="A879" s="7"/>
      <c r="B879" s="7"/>
      <c r="C879" s="7"/>
      <c r="D879" s="7"/>
      <c r="E879" s="7"/>
    </row>
    <row r="880" ht="22.5" customHeight="1">
      <c r="A880" s="7"/>
      <c r="B880" s="7"/>
      <c r="C880" s="7"/>
      <c r="D880" s="7"/>
      <c r="E880" s="7"/>
    </row>
    <row r="881" ht="22.5" customHeight="1">
      <c r="A881" s="7"/>
      <c r="B881" s="7"/>
      <c r="C881" s="7"/>
      <c r="D881" s="7"/>
      <c r="E881" s="7"/>
    </row>
    <row r="882" ht="22.5" customHeight="1">
      <c r="A882" s="7"/>
      <c r="B882" s="7"/>
      <c r="C882" s="7"/>
      <c r="D882" s="7"/>
      <c r="E882" s="7"/>
    </row>
    <row r="883" ht="22.5" customHeight="1">
      <c r="A883" s="7"/>
      <c r="B883" s="7"/>
      <c r="C883" s="7"/>
      <c r="D883" s="7"/>
      <c r="E883" s="7"/>
    </row>
    <row r="884" ht="22.5" customHeight="1">
      <c r="A884" s="7"/>
      <c r="B884" s="7"/>
      <c r="C884" s="7"/>
      <c r="D884" s="7"/>
      <c r="E884" s="7"/>
    </row>
    <row r="885" ht="22.5" customHeight="1">
      <c r="A885" s="7"/>
      <c r="B885" s="7"/>
      <c r="C885" s="7"/>
      <c r="D885" s="7"/>
      <c r="E885" s="7"/>
    </row>
    <row r="886" ht="22.5" customHeight="1">
      <c r="A886" s="7"/>
      <c r="B886" s="7"/>
      <c r="C886" s="7"/>
      <c r="D886" s="7"/>
      <c r="E886" s="7"/>
    </row>
    <row r="887" ht="22.5" customHeight="1">
      <c r="A887" s="7"/>
      <c r="B887" s="7"/>
      <c r="C887" s="7"/>
      <c r="D887" s="7"/>
      <c r="E887" s="7"/>
    </row>
    <row r="888" ht="22.5" customHeight="1">
      <c r="A888" s="7"/>
      <c r="B888" s="7"/>
      <c r="C888" s="7"/>
      <c r="D888" s="7"/>
      <c r="E888" s="7"/>
    </row>
    <row r="889" ht="22.5" customHeight="1">
      <c r="A889" s="7"/>
      <c r="B889" s="7"/>
      <c r="C889" s="7"/>
      <c r="D889" s="7"/>
      <c r="E889" s="7"/>
    </row>
    <row r="890" ht="22.5" customHeight="1">
      <c r="A890" s="7"/>
      <c r="B890" s="7"/>
      <c r="C890" s="7"/>
      <c r="D890" s="7"/>
      <c r="E890" s="7"/>
    </row>
    <row r="891" ht="22.5" customHeight="1">
      <c r="A891" s="7"/>
      <c r="B891" s="7"/>
      <c r="C891" s="7"/>
      <c r="D891" s="7"/>
      <c r="E891" s="7"/>
    </row>
    <row r="892" ht="22.5" customHeight="1">
      <c r="A892" s="7"/>
      <c r="B892" s="7"/>
      <c r="C892" s="7"/>
      <c r="D892" s="7"/>
      <c r="E892" s="7"/>
    </row>
    <row r="893" ht="22.5" customHeight="1">
      <c r="A893" s="7"/>
      <c r="B893" s="7"/>
      <c r="C893" s="7"/>
      <c r="D893" s="7"/>
      <c r="E893" s="7"/>
    </row>
    <row r="894" ht="22.5" customHeight="1">
      <c r="A894" s="7"/>
      <c r="B894" s="7"/>
      <c r="C894" s="7"/>
      <c r="D894" s="7"/>
      <c r="E894" s="7"/>
    </row>
    <row r="895" ht="22.5" customHeight="1">
      <c r="A895" s="7"/>
      <c r="B895" s="7"/>
      <c r="C895" s="7"/>
      <c r="D895" s="7"/>
      <c r="E895" s="7"/>
    </row>
    <row r="896" ht="22.5" customHeight="1">
      <c r="A896" s="7"/>
      <c r="B896" s="7"/>
      <c r="C896" s="7"/>
      <c r="D896" s="7"/>
      <c r="E896" s="7"/>
    </row>
    <row r="897" ht="22.5" customHeight="1">
      <c r="A897" s="7"/>
      <c r="B897" s="7"/>
      <c r="C897" s="7"/>
      <c r="D897" s="7"/>
      <c r="E897" s="7"/>
    </row>
    <row r="898" ht="22.5" customHeight="1">
      <c r="A898" s="7"/>
      <c r="B898" s="7"/>
      <c r="C898" s="7"/>
      <c r="D898" s="7"/>
      <c r="E898" s="7"/>
    </row>
    <row r="899" ht="22.5" customHeight="1">
      <c r="A899" s="7"/>
      <c r="B899" s="7"/>
      <c r="C899" s="7"/>
      <c r="D899" s="7"/>
      <c r="E899" s="7"/>
    </row>
    <row r="900" ht="22.5" customHeight="1">
      <c r="A900" s="7"/>
      <c r="B900" s="7"/>
      <c r="C900" s="7"/>
      <c r="D900" s="7"/>
      <c r="E900" s="7"/>
    </row>
    <row r="901" ht="22.5" customHeight="1">
      <c r="A901" s="7"/>
      <c r="B901" s="7"/>
      <c r="C901" s="7"/>
      <c r="D901" s="7"/>
      <c r="E901" s="7"/>
    </row>
    <row r="902" ht="22.5" customHeight="1">
      <c r="A902" s="7"/>
      <c r="B902" s="7"/>
      <c r="C902" s="7"/>
      <c r="D902" s="7"/>
      <c r="E902" s="7"/>
    </row>
    <row r="903" ht="22.5" customHeight="1">
      <c r="A903" s="7"/>
      <c r="B903" s="7"/>
      <c r="C903" s="7"/>
      <c r="D903" s="7"/>
      <c r="E903" s="7"/>
    </row>
    <row r="904" ht="22.5" customHeight="1">
      <c r="A904" s="7"/>
      <c r="B904" s="7"/>
      <c r="C904" s="7"/>
      <c r="D904" s="7"/>
      <c r="E904" s="7"/>
    </row>
    <row r="905" ht="22.5" customHeight="1">
      <c r="A905" s="7"/>
      <c r="B905" s="7"/>
      <c r="C905" s="7"/>
      <c r="D905" s="7"/>
      <c r="E905" s="7"/>
    </row>
    <row r="906" ht="22.5" customHeight="1">
      <c r="A906" s="7"/>
      <c r="B906" s="7"/>
      <c r="C906" s="7"/>
      <c r="D906" s="7"/>
      <c r="E906" s="7"/>
    </row>
    <row r="907" ht="22.5" customHeight="1">
      <c r="A907" s="7"/>
      <c r="B907" s="7"/>
      <c r="C907" s="7"/>
      <c r="D907" s="7"/>
      <c r="E907" s="7"/>
    </row>
    <row r="908" ht="22.5" customHeight="1">
      <c r="A908" s="7"/>
      <c r="B908" s="7"/>
      <c r="C908" s="7"/>
      <c r="D908" s="7"/>
      <c r="E908" s="7"/>
    </row>
    <row r="909" ht="22.5" customHeight="1">
      <c r="A909" s="7"/>
      <c r="B909" s="7"/>
      <c r="C909" s="7"/>
      <c r="D909" s="7"/>
      <c r="E909" s="7"/>
    </row>
    <row r="910" ht="22.5" customHeight="1">
      <c r="A910" s="7"/>
      <c r="B910" s="7"/>
      <c r="C910" s="7"/>
      <c r="D910" s="7"/>
      <c r="E910" s="7"/>
    </row>
    <row r="911" ht="22.5" customHeight="1">
      <c r="A911" s="7"/>
      <c r="B911" s="7"/>
      <c r="C911" s="7"/>
      <c r="D911" s="7"/>
      <c r="E911" s="7"/>
    </row>
    <row r="912" ht="22.5" customHeight="1">
      <c r="A912" s="7"/>
      <c r="B912" s="7"/>
      <c r="C912" s="7"/>
      <c r="D912" s="7"/>
      <c r="E912" s="7"/>
    </row>
    <row r="913" ht="22.5" customHeight="1">
      <c r="A913" s="7"/>
      <c r="B913" s="7"/>
      <c r="C913" s="7"/>
      <c r="D913" s="7"/>
      <c r="E913" s="7"/>
    </row>
    <row r="914" ht="22.5" customHeight="1">
      <c r="A914" s="7"/>
      <c r="B914" s="7"/>
      <c r="C914" s="7"/>
      <c r="D914" s="7"/>
      <c r="E914" s="7"/>
    </row>
    <row r="915" ht="22.5" customHeight="1">
      <c r="A915" s="7"/>
      <c r="B915" s="7"/>
      <c r="C915" s="7"/>
      <c r="D915" s="7"/>
      <c r="E915" s="7"/>
    </row>
    <row r="916" ht="22.5" customHeight="1">
      <c r="A916" s="7"/>
      <c r="B916" s="7"/>
      <c r="C916" s="7"/>
      <c r="D916" s="7"/>
      <c r="E916" s="7"/>
    </row>
    <row r="917" ht="22.5" customHeight="1">
      <c r="A917" s="7"/>
      <c r="B917" s="7"/>
      <c r="C917" s="7"/>
      <c r="D917" s="7"/>
      <c r="E917" s="7"/>
    </row>
    <row r="918" ht="22.5" customHeight="1">
      <c r="A918" s="7"/>
      <c r="B918" s="7"/>
      <c r="C918" s="7"/>
      <c r="D918" s="7"/>
      <c r="E918" s="7"/>
    </row>
    <row r="919" ht="22.5" customHeight="1">
      <c r="A919" s="7"/>
      <c r="B919" s="7"/>
      <c r="C919" s="7"/>
      <c r="D919" s="7"/>
      <c r="E919" s="7"/>
    </row>
    <row r="920" ht="22.5" customHeight="1">
      <c r="A920" s="7"/>
      <c r="B920" s="7"/>
      <c r="C920" s="7"/>
      <c r="D920" s="7"/>
      <c r="E920" s="7"/>
    </row>
    <row r="921" ht="22.5" customHeight="1">
      <c r="A921" s="7"/>
      <c r="B921" s="7"/>
      <c r="C921" s="7"/>
      <c r="D921" s="7"/>
      <c r="E921" s="7"/>
    </row>
    <row r="922" ht="22.5" customHeight="1">
      <c r="A922" s="7"/>
      <c r="B922" s="7"/>
      <c r="C922" s="7"/>
      <c r="D922" s="7"/>
      <c r="E922" s="7"/>
    </row>
    <row r="923" ht="22.5" customHeight="1">
      <c r="A923" s="7"/>
      <c r="B923" s="7"/>
      <c r="C923" s="7"/>
      <c r="D923" s="7"/>
      <c r="E923" s="7"/>
    </row>
    <row r="924" ht="22.5" customHeight="1">
      <c r="A924" s="7"/>
      <c r="B924" s="7"/>
      <c r="C924" s="7"/>
      <c r="D924" s="7"/>
      <c r="E924" s="7"/>
    </row>
    <row r="925" ht="22.5" customHeight="1">
      <c r="A925" s="7"/>
      <c r="B925" s="7"/>
      <c r="C925" s="7"/>
      <c r="D925" s="7"/>
      <c r="E925" s="7"/>
    </row>
    <row r="926" ht="22.5" customHeight="1">
      <c r="A926" s="7"/>
      <c r="B926" s="7"/>
      <c r="C926" s="7"/>
      <c r="D926" s="7"/>
      <c r="E926" s="7"/>
    </row>
    <row r="927" ht="22.5" customHeight="1">
      <c r="A927" s="7"/>
      <c r="B927" s="7"/>
      <c r="C927" s="7"/>
      <c r="D927" s="7"/>
      <c r="E927" s="7"/>
    </row>
    <row r="928" ht="22.5" customHeight="1">
      <c r="A928" s="7"/>
      <c r="B928" s="7"/>
      <c r="C928" s="7"/>
      <c r="D928" s="7"/>
      <c r="E928" s="7"/>
    </row>
    <row r="929" ht="22.5" customHeight="1">
      <c r="A929" s="7"/>
      <c r="B929" s="7"/>
      <c r="C929" s="7"/>
      <c r="D929" s="7"/>
      <c r="E929" s="7"/>
    </row>
    <row r="930" ht="22.5" customHeight="1">
      <c r="A930" s="7"/>
      <c r="B930" s="7"/>
      <c r="C930" s="7"/>
      <c r="D930" s="7"/>
      <c r="E930" s="7"/>
    </row>
    <row r="931" ht="22.5" customHeight="1">
      <c r="A931" s="7"/>
      <c r="B931" s="7"/>
      <c r="C931" s="7"/>
      <c r="D931" s="7"/>
      <c r="E931" s="7"/>
    </row>
    <row r="932" ht="22.5" customHeight="1">
      <c r="A932" s="7"/>
      <c r="B932" s="7"/>
      <c r="C932" s="7"/>
      <c r="D932" s="7"/>
      <c r="E932" s="7"/>
    </row>
    <row r="933" ht="22.5" customHeight="1">
      <c r="A933" s="7"/>
      <c r="B933" s="7"/>
      <c r="C933" s="7"/>
      <c r="D933" s="7"/>
      <c r="E933" s="7"/>
    </row>
    <row r="934" ht="22.5" customHeight="1">
      <c r="A934" s="7"/>
      <c r="B934" s="7"/>
      <c r="C934" s="7"/>
      <c r="D934" s="7"/>
      <c r="E934" s="7"/>
    </row>
    <row r="935" ht="22.5" customHeight="1">
      <c r="A935" s="7"/>
      <c r="B935" s="7"/>
      <c r="C935" s="7"/>
      <c r="D935" s="7"/>
      <c r="E935" s="7"/>
    </row>
    <row r="936" ht="22.5" customHeight="1">
      <c r="A936" s="7"/>
      <c r="B936" s="7"/>
      <c r="C936" s="7"/>
      <c r="D936" s="7"/>
      <c r="E936" s="7"/>
    </row>
    <row r="937" ht="22.5" customHeight="1">
      <c r="A937" s="7"/>
      <c r="B937" s="7"/>
      <c r="C937" s="7"/>
      <c r="D937" s="7"/>
      <c r="E937" s="7"/>
    </row>
    <row r="938" ht="22.5" customHeight="1">
      <c r="A938" s="7"/>
      <c r="B938" s="7"/>
      <c r="C938" s="7"/>
      <c r="D938" s="7"/>
      <c r="E938" s="7"/>
    </row>
    <row r="939" ht="22.5" customHeight="1">
      <c r="A939" s="7"/>
      <c r="B939" s="7"/>
      <c r="C939" s="7"/>
      <c r="D939" s="7"/>
      <c r="E939" s="7"/>
    </row>
    <row r="940" ht="22.5" customHeight="1">
      <c r="A940" s="7"/>
      <c r="B940" s="7"/>
      <c r="C940" s="7"/>
      <c r="D940" s="7"/>
      <c r="E940" s="7"/>
    </row>
    <row r="941" ht="22.5" customHeight="1">
      <c r="A941" s="7"/>
      <c r="B941" s="7"/>
      <c r="C941" s="7"/>
      <c r="D941" s="7"/>
      <c r="E941" s="7"/>
    </row>
    <row r="942" ht="22.5" customHeight="1">
      <c r="A942" s="7"/>
      <c r="B942" s="7"/>
      <c r="C942" s="7"/>
      <c r="D942" s="7"/>
      <c r="E942" s="7"/>
    </row>
    <row r="943" ht="22.5" customHeight="1">
      <c r="A943" s="7"/>
      <c r="B943" s="7"/>
      <c r="C943" s="7"/>
      <c r="D943" s="7"/>
      <c r="E943" s="7"/>
    </row>
    <row r="944" ht="22.5" customHeight="1">
      <c r="A944" s="7"/>
      <c r="B944" s="7"/>
      <c r="C944" s="7"/>
      <c r="D944" s="7"/>
      <c r="E944" s="7"/>
    </row>
    <row r="945" ht="22.5" customHeight="1">
      <c r="A945" s="7"/>
      <c r="B945" s="7"/>
      <c r="C945" s="7"/>
      <c r="D945" s="7"/>
      <c r="E945" s="7"/>
    </row>
    <row r="946" ht="22.5" customHeight="1">
      <c r="A946" s="7"/>
      <c r="B946" s="7"/>
      <c r="C946" s="7"/>
      <c r="D946" s="7"/>
      <c r="E946" s="7"/>
    </row>
    <row r="947" ht="22.5" customHeight="1">
      <c r="A947" s="7"/>
      <c r="B947" s="7"/>
      <c r="C947" s="7"/>
      <c r="D947" s="7"/>
      <c r="E947" s="7"/>
    </row>
    <row r="948" ht="22.5" customHeight="1">
      <c r="A948" s="7"/>
      <c r="B948" s="7"/>
      <c r="C948" s="7"/>
      <c r="D948" s="7"/>
      <c r="E948" s="7"/>
    </row>
    <row r="949" ht="22.5" customHeight="1">
      <c r="A949" s="7"/>
      <c r="B949" s="7"/>
      <c r="C949" s="7"/>
      <c r="D949" s="7"/>
      <c r="E949" s="7"/>
    </row>
    <row r="950" ht="22.5" customHeight="1">
      <c r="A950" s="7"/>
      <c r="B950" s="7"/>
      <c r="C950" s="7"/>
      <c r="D950" s="7"/>
      <c r="E950" s="7"/>
    </row>
    <row r="951" ht="22.5" customHeight="1">
      <c r="A951" s="7"/>
      <c r="B951" s="7"/>
      <c r="C951" s="7"/>
      <c r="D951" s="7"/>
      <c r="E951" s="7"/>
    </row>
    <row r="952" ht="22.5" customHeight="1">
      <c r="A952" s="7"/>
      <c r="B952" s="7"/>
      <c r="C952" s="7"/>
      <c r="D952" s="7"/>
      <c r="E952" s="7"/>
    </row>
    <row r="953" ht="22.5" customHeight="1">
      <c r="A953" s="7"/>
      <c r="B953" s="7"/>
      <c r="C953" s="7"/>
      <c r="D953" s="7"/>
      <c r="E953" s="7"/>
    </row>
    <row r="954" ht="22.5" customHeight="1">
      <c r="A954" s="7"/>
      <c r="B954" s="7"/>
      <c r="C954" s="7"/>
      <c r="D954" s="7"/>
      <c r="E954" s="7"/>
    </row>
    <row r="955" ht="22.5" customHeight="1">
      <c r="A955" s="7"/>
      <c r="B955" s="7"/>
      <c r="C955" s="7"/>
      <c r="D955" s="7"/>
      <c r="E955" s="7"/>
    </row>
    <row r="956" ht="22.5" customHeight="1">
      <c r="A956" s="7"/>
      <c r="B956" s="7"/>
      <c r="C956" s="7"/>
      <c r="D956" s="7"/>
      <c r="E956" s="7"/>
    </row>
    <row r="957" ht="22.5" customHeight="1">
      <c r="A957" s="7"/>
      <c r="B957" s="7"/>
      <c r="C957" s="7"/>
      <c r="D957" s="7"/>
      <c r="E957" s="7"/>
    </row>
    <row r="958" ht="22.5" customHeight="1">
      <c r="A958" s="7"/>
      <c r="B958" s="7"/>
      <c r="C958" s="7"/>
      <c r="D958" s="7"/>
      <c r="E958" s="7"/>
    </row>
    <row r="959" ht="22.5" customHeight="1">
      <c r="A959" s="7"/>
      <c r="B959" s="7"/>
      <c r="C959" s="7"/>
      <c r="D959" s="7"/>
      <c r="E959" s="7"/>
    </row>
    <row r="960" ht="22.5" customHeight="1">
      <c r="A960" s="7"/>
      <c r="B960" s="7"/>
      <c r="C960" s="7"/>
      <c r="D960" s="7"/>
      <c r="E960" s="7"/>
    </row>
    <row r="961" ht="22.5" customHeight="1">
      <c r="A961" s="7"/>
      <c r="B961" s="7"/>
      <c r="C961" s="7"/>
      <c r="D961" s="7"/>
      <c r="E961" s="7"/>
    </row>
    <row r="962" ht="22.5" customHeight="1">
      <c r="A962" s="7"/>
      <c r="B962" s="7"/>
      <c r="C962" s="7"/>
      <c r="D962" s="7"/>
      <c r="E962" s="7"/>
    </row>
    <row r="963" ht="22.5" customHeight="1">
      <c r="A963" s="7"/>
      <c r="B963" s="7"/>
      <c r="C963" s="7"/>
      <c r="D963" s="7"/>
      <c r="E963" s="7"/>
    </row>
    <row r="964" ht="22.5" customHeight="1">
      <c r="A964" s="7"/>
      <c r="B964" s="7"/>
      <c r="C964" s="7"/>
      <c r="D964" s="7"/>
      <c r="E964" s="7"/>
    </row>
    <row r="965" ht="22.5" customHeight="1">
      <c r="A965" s="7"/>
      <c r="B965" s="7"/>
      <c r="C965" s="7"/>
      <c r="D965" s="7"/>
      <c r="E965" s="7"/>
    </row>
    <row r="966" ht="22.5" customHeight="1">
      <c r="A966" s="7"/>
      <c r="B966" s="7"/>
      <c r="C966" s="7"/>
      <c r="D966" s="7"/>
      <c r="E966" s="7"/>
    </row>
    <row r="967" ht="22.5" customHeight="1">
      <c r="A967" s="7"/>
      <c r="B967" s="7"/>
      <c r="C967" s="7"/>
      <c r="D967" s="7"/>
      <c r="E967" s="7"/>
    </row>
    <row r="968" ht="22.5" customHeight="1">
      <c r="A968" s="7"/>
      <c r="B968" s="7"/>
      <c r="C968" s="7"/>
      <c r="D968" s="7"/>
      <c r="E968" s="7"/>
    </row>
    <row r="969" ht="22.5" customHeight="1">
      <c r="A969" s="7"/>
      <c r="B969" s="7"/>
      <c r="C969" s="7"/>
      <c r="D969" s="7"/>
      <c r="E969" s="7"/>
    </row>
    <row r="970" ht="22.5" customHeight="1">
      <c r="A970" s="7"/>
      <c r="B970" s="7"/>
      <c r="C970" s="7"/>
      <c r="D970" s="7"/>
      <c r="E970" s="7"/>
    </row>
    <row r="971" ht="22.5" customHeight="1">
      <c r="A971" s="7"/>
      <c r="B971" s="7"/>
      <c r="C971" s="7"/>
      <c r="D971" s="7"/>
      <c r="E971" s="7"/>
    </row>
    <row r="972" ht="22.5" customHeight="1">
      <c r="A972" s="7"/>
      <c r="B972" s="7"/>
      <c r="C972" s="7"/>
      <c r="D972" s="7"/>
      <c r="E972" s="7"/>
    </row>
    <row r="973" ht="22.5" customHeight="1">
      <c r="A973" s="7"/>
      <c r="B973" s="7"/>
      <c r="C973" s="7"/>
      <c r="D973" s="7"/>
      <c r="E973" s="7"/>
    </row>
    <row r="974" ht="22.5" customHeight="1">
      <c r="A974" s="7"/>
      <c r="B974" s="7"/>
      <c r="C974" s="7"/>
      <c r="D974" s="7"/>
      <c r="E974" s="7"/>
    </row>
    <row r="975" ht="22.5" customHeight="1">
      <c r="A975" s="7"/>
      <c r="B975" s="7"/>
      <c r="C975" s="7"/>
      <c r="D975" s="7"/>
      <c r="E975" s="7"/>
    </row>
    <row r="976" ht="22.5" customHeight="1">
      <c r="A976" s="7"/>
      <c r="B976" s="7"/>
      <c r="C976" s="7"/>
      <c r="D976" s="7"/>
      <c r="E976" s="7"/>
    </row>
    <row r="977" ht="22.5" customHeight="1">
      <c r="A977" s="7"/>
      <c r="B977" s="7"/>
      <c r="C977" s="7"/>
      <c r="D977" s="7"/>
      <c r="E977" s="7"/>
    </row>
    <row r="978" ht="22.5" customHeight="1">
      <c r="A978" s="7"/>
      <c r="B978" s="7"/>
      <c r="C978" s="7"/>
      <c r="D978" s="7"/>
      <c r="E978" s="7"/>
    </row>
    <row r="979" ht="22.5" customHeight="1">
      <c r="A979" s="7"/>
      <c r="B979" s="7"/>
      <c r="C979" s="7"/>
      <c r="D979" s="7"/>
      <c r="E979" s="7"/>
    </row>
    <row r="980" ht="22.5" customHeight="1">
      <c r="A980" s="7"/>
      <c r="B980" s="7"/>
      <c r="C980" s="7"/>
      <c r="D980" s="7"/>
      <c r="E980" s="7"/>
    </row>
    <row r="981" ht="22.5" customHeight="1">
      <c r="A981" s="7"/>
      <c r="B981" s="7"/>
      <c r="C981" s="7"/>
      <c r="D981" s="7"/>
      <c r="E981" s="7"/>
    </row>
    <row r="982" ht="22.5" customHeight="1">
      <c r="A982" s="7"/>
      <c r="B982" s="7"/>
      <c r="C982" s="7"/>
      <c r="D982" s="7"/>
      <c r="E982" s="7"/>
    </row>
    <row r="983" ht="22.5" customHeight="1">
      <c r="A983" s="7"/>
      <c r="B983" s="7"/>
      <c r="C983" s="7"/>
      <c r="D983" s="7"/>
      <c r="E983" s="7"/>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7.63"/>
    <col customWidth="1" min="3" max="3" width="18.38"/>
    <col customWidth="1" min="4" max="4" width="17.5"/>
    <col customWidth="1" min="5" max="5" width="33.38"/>
    <col customWidth="1" min="6" max="6" width="17.63"/>
    <col customWidth="1" min="7" max="7" width="14.0"/>
    <col customWidth="1" min="8" max="8" width="18.25"/>
    <col customWidth="1" min="9" max="9" width="17.25"/>
    <col customWidth="1" min="10" max="10" width="14.25"/>
    <col customWidth="1" min="11" max="11" width="14.0"/>
  </cols>
  <sheetData>
    <row r="1" ht="22.5" customHeight="1">
      <c r="A1" s="8" t="s">
        <v>0</v>
      </c>
      <c r="B1" s="8" t="s">
        <v>899</v>
      </c>
      <c r="C1" s="9" t="s">
        <v>2</v>
      </c>
      <c r="D1" s="8" t="s">
        <v>3</v>
      </c>
      <c r="E1" s="8" t="s">
        <v>4</v>
      </c>
      <c r="G1" s="10" t="s">
        <v>5</v>
      </c>
      <c r="H1" s="11" t="s">
        <v>6</v>
      </c>
      <c r="I1" s="11" t="s">
        <v>7</v>
      </c>
      <c r="J1" s="11" t="s">
        <v>8</v>
      </c>
      <c r="K1" s="12" t="s">
        <v>9</v>
      </c>
    </row>
    <row r="2" ht="22.5" customHeight="1">
      <c r="A2" s="3">
        <v>1.0</v>
      </c>
      <c r="B2" s="4" t="s">
        <v>900</v>
      </c>
      <c r="C2" s="4" t="s">
        <v>901</v>
      </c>
      <c r="D2" s="4" t="s">
        <v>902</v>
      </c>
      <c r="E2" s="4" t="s">
        <v>903</v>
      </c>
      <c r="G2" s="5" t="str">
        <f>IFERROR(__xludf.DUMMYFUNCTION(" GOOGLETRANSLATE(A2, ""en"", ""am"")"),"1")</f>
        <v>1</v>
      </c>
      <c r="H2" s="5" t="str">
        <f>IFERROR(__xludf.DUMMYFUNCTION(" GOOGLETRANSLATE(B2, ""en"", ""am"")"),"የዘመናዊ አትሌቲክስ አባት ማን ነው?")</f>
        <v>የዘመናዊ አትሌቲክስ አባት ማን ነው?</v>
      </c>
      <c r="I2" s="5" t="str">
        <f>IFERROR(__xludf.DUMMYFUNCTION(" GOOGLETRANSLATE(C2, ""en"", ""am"")"),"ኤ ጄምስ ክሊቭላንድ ኦወንስ ቢ ካርል ሉዊስ ሲ ዩሴይን ቦልት ዲ ፒየር ደ ኩበርቲን")</f>
        <v>ኤ ጄምስ ክሊቭላንድ ኦወንስ ቢ ካርል ሉዊስ ሲ ዩሴይን ቦልት ዲ ፒየር ደ ኩበርቲን</v>
      </c>
      <c r="J2" s="5" t="str">
        <f>IFERROR(__xludf.DUMMYFUNCTION(" GOOGLETRANSLATE(D2, ""en"", ""am"")"),"ፒየር ደ ኩበርቲን")</f>
        <v>ፒየር ደ ኩበርቲን</v>
      </c>
      <c r="K2" s="5" t="str">
        <f>IFERROR(__xludf.DUMMYFUNCTION(" GOOGLETRANSLATE(E2, ""en"", ""am"")"),"ፒየር ደ ኩበርቲን እ.ኤ.አ. በ 1896 ዘመናዊ የኦሎምፒክ ጨዋታዎችን እንደመሰረተ ይነገርለታል።")</f>
        <v>ፒየር ደ ኩበርቲን እ.ኤ.አ. በ 1896 ዘመናዊ የኦሎምፒክ ጨዋታዎችን እንደመሰረተ ይነገርለታል።</v>
      </c>
    </row>
    <row r="3" ht="22.5" customHeight="1">
      <c r="A3" s="3">
        <v>2.0</v>
      </c>
      <c r="B3" s="4" t="s">
        <v>904</v>
      </c>
      <c r="C3" s="4" t="s">
        <v>905</v>
      </c>
      <c r="D3" s="4" t="s">
        <v>906</v>
      </c>
      <c r="E3" s="4" t="s">
        <v>907</v>
      </c>
      <c r="G3" s="5" t="str">
        <f>IFERROR(__xludf.DUMMYFUNCTION(" GOOGLETRANSLATE(A3, ""en"", ""am"")"),"2")</f>
        <v>2</v>
      </c>
      <c r="H3" s="5" t="str">
        <f>IFERROR(__xludf.DUMMYFUNCTION(" GOOGLETRANSLATE(B3, ""en"", ""am"")"),"ለመጀመሪያዎቹ የተመዘገቡ የሩጫ ውድድሮች የትኛው ጥንታዊ ስልጣኔ ነው የሚታወቀው?")</f>
        <v>ለመጀመሪያዎቹ የተመዘገቡ የሩጫ ውድድሮች የትኛው ጥንታዊ ስልጣኔ ነው የሚታወቀው?</v>
      </c>
      <c r="I3" s="5" t="str">
        <f>IFERROR(__xludf.DUMMYFUNCTION(" GOOGLETRANSLATE(C3, ""en"", ""am"")"),"ሀ. የጥንት ግሪክ ለ. የጥንቷ ሮም ሲ. ማያ ሥልጣኔ D. ጥንታዊ ግሪክ")</f>
        <v>ሀ. የጥንት ግሪክ ለ. የጥንቷ ሮም ሲ. ማያ ሥልጣኔ D. ጥንታዊ ግሪክ</v>
      </c>
      <c r="J3" s="5" t="str">
        <f>IFERROR(__xludf.DUMMYFUNCTION(" GOOGLETRANSLATE(D3, ""en"", ""am"")"),"ጥንታዊ ግሪክ")</f>
        <v>ጥንታዊ ግሪክ</v>
      </c>
      <c r="K3" s="5" t="str">
        <f>IFERROR(__xludf.DUMMYFUNCTION(" GOOGLETRANSLATE(E3, ""en"", ""am"")"),"የጥንቶቹ ግሪኮች በ776 ዓክልበ. የመጀመሪያውን የኦሎምፒክ ጨዋታዎችን በማካሄዳቸው ታዋቂዎች ናቸው, እሱም የሩጫ ውድድሮችን አሳይቷል.")</f>
        <v>የጥንቶቹ ግሪኮች በ776 ዓክልበ. የመጀመሪያውን የኦሎምፒክ ጨዋታዎችን በማካሄዳቸው ታዋቂዎች ናቸው, እሱም የሩጫ ውድድሮችን አሳይቷል.</v>
      </c>
    </row>
    <row r="4" ht="22.5" customHeight="1">
      <c r="A4" s="3">
        <v>3.0</v>
      </c>
      <c r="B4" s="4" t="s">
        <v>908</v>
      </c>
      <c r="C4" s="4" t="s">
        <v>909</v>
      </c>
      <c r="D4" s="4" t="s">
        <v>910</v>
      </c>
      <c r="E4" s="4" t="s">
        <v>911</v>
      </c>
      <c r="G4" s="5" t="str">
        <f>IFERROR(__xludf.DUMMYFUNCTION(" GOOGLETRANSLATE(A4, ""en"", ""am"")"),"3")</f>
        <v>3</v>
      </c>
      <c r="H4" s="5" t="str">
        <f>IFERROR(__xludf.DUMMYFUNCTION(" GOOGLETRANSLATE(B4, ""en"", ""am"")"),"በ1896 የመጀመሪያውን ዘመናዊ ማራቶን የሮጠ የመጀመሪያው ሰው ማን ነበር?")</f>
        <v>በ1896 የመጀመሪያውን ዘመናዊ ማራቶን የሮጠ የመጀመሪያው ሰው ማን ነበር?</v>
      </c>
      <c r="I4" s="5" t="str">
        <f>IFERROR(__xludf.DUMMYFUNCTION(" GOOGLETRANSLATE(C4, ""en"", ""am"")"),"ኤ ዩሴን ቦልት ቢ ካርል ሉዊስ ሲ ጂም ቶርፔ ዲ. ስፓይሪዶን ሉዊስ")</f>
        <v>ኤ ዩሴን ቦልት ቢ ካርል ሉዊስ ሲ ጂም ቶርፔ ዲ. ስፓይሪዶን ሉዊስ</v>
      </c>
      <c r="J4" s="5" t="str">
        <f>IFERROR(__xludf.DUMMYFUNCTION(" GOOGLETRANSLATE(D4, ""en"", ""am"")"),"ስፓይሪዶን ሉዊስ")</f>
        <v>ስፓይሪዶን ሉዊስ</v>
      </c>
      <c r="K4" s="5" t="str">
        <f>IFERROR(__xludf.DUMMYFUNCTION(" GOOGLETRANSLATE(E4, ""en"", ""am"")"),"የግሪክ ስፓይሪዶን ሉዊስ በ1896 የመጀመሪያውን ዘመናዊ የኦሎምፒክ ማራቶን አሸንፏል።")</f>
        <v>የግሪክ ስፓይሪዶን ሉዊስ በ1896 የመጀመሪያውን ዘመናዊ የኦሎምፒክ ማራቶን አሸንፏል።</v>
      </c>
    </row>
    <row r="5" ht="22.5" customHeight="1">
      <c r="A5" s="3">
        <v>4.0</v>
      </c>
      <c r="B5" s="4" t="s">
        <v>912</v>
      </c>
      <c r="C5" s="4" t="s">
        <v>913</v>
      </c>
      <c r="D5" s="4" t="s">
        <v>914</v>
      </c>
      <c r="E5" s="4" t="s">
        <v>915</v>
      </c>
      <c r="G5" s="5" t="str">
        <f>IFERROR(__xludf.DUMMYFUNCTION(" GOOGLETRANSLATE(A5, ""en"", ""am"")"),"4")</f>
        <v>4</v>
      </c>
      <c r="H5" s="5" t="str">
        <f>IFERROR(__xludf.DUMMYFUNCTION(" GOOGLETRANSLATE(B5, ""en"", ""am"")"),"በ1983 የመጀመሪያውን የአለም አትሌቲክስ ሻምፒዮና ያዘጋጀው የትኛው ሀገር ነው?")</f>
        <v>በ1983 የመጀመሪያውን የአለም አትሌቲክስ ሻምፒዮና ያዘጋጀው የትኛው ሀገር ነው?</v>
      </c>
      <c r="I5" s="5" t="str">
        <f>IFERROR(__xludf.DUMMYFUNCTION(" GOOGLETRANSLATE(C5, ""en"", ""am"")"),"ሀ.ጀርመን ቢ.ፈረንሳይ ሲ.ጃፓን ዲ.አሜሪካ")</f>
        <v>ሀ.ጀርመን ቢ.ፈረንሳይ ሲ.ጃፓን ዲ.አሜሪካ</v>
      </c>
      <c r="J5" s="5" t="str">
        <f>IFERROR(__xludf.DUMMYFUNCTION(" GOOGLETRANSLATE(D5, ""en"", ""am"")"),"አሜሪካ")</f>
        <v>አሜሪካ</v>
      </c>
      <c r="K5" s="5" t="str">
        <f>IFERROR(__xludf.DUMMYFUNCTION(" GOOGLETRANSLATE(E5, ""en"", ""am"")"),"የመጀመሪያው የዓለም አትሌቲክስ ሻምፒዮና በፊንላንድ ሄልሲንኪ በ1983 ተካሂዷል።")</f>
        <v>የመጀመሪያው የዓለም አትሌቲክስ ሻምፒዮና በፊንላንድ ሄልሲንኪ በ1983 ተካሂዷል።</v>
      </c>
    </row>
    <row r="6" ht="22.5" customHeight="1">
      <c r="A6" s="3">
        <v>5.0</v>
      </c>
      <c r="B6" s="4" t="s">
        <v>916</v>
      </c>
      <c r="C6" s="4" t="s">
        <v>917</v>
      </c>
      <c r="D6" s="4" t="s">
        <v>918</v>
      </c>
      <c r="E6" s="4" t="s">
        <v>919</v>
      </c>
      <c r="G6" s="5" t="str">
        <f>IFERROR(__xludf.DUMMYFUNCTION(" GOOGLETRANSLATE(A6, ""en"", ""am"")"),"5")</f>
        <v>5</v>
      </c>
      <c r="H6" s="5" t="str">
        <f>IFERROR(__xludf.DUMMYFUNCTION(" GOOGLETRANSLATE(B6, ""en"", ""am"")"),"የመጀመሪያውን 100ሜ የአለም ክብረወሰን ያስመዘገበው ማን ነው?")</f>
        <v>የመጀመሪያውን 100ሜ የአለም ክብረወሰን ያስመዘገበው ማን ነው?</v>
      </c>
      <c r="I6" s="5" t="str">
        <f>IFERROR(__xludf.DUMMYFUNCTION(" GOOGLETRANSLATE(C6, ""en"", ""am"")"),"ኤ ጄሲ ኦውንስ ቢ ዶኖቫን ቤይሊ ሲ. ታይሰን ጌይ ዲ ዶኖቫን ቤይሊ")</f>
        <v>ኤ ጄሲ ኦውንስ ቢ ዶኖቫን ቤይሊ ሲ. ታይሰን ጌይ ዲ ዶኖቫን ቤይሊ</v>
      </c>
      <c r="J6" s="5" t="str">
        <f>IFERROR(__xludf.DUMMYFUNCTION(" GOOGLETRANSLATE(D6, ""en"", ""am"")"),"ዶኖቫን ቤይሊ")</f>
        <v>ዶኖቫን ቤይሊ</v>
      </c>
      <c r="K6" s="5" t="str">
        <f>IFERROR(__xludf.DUMMYFUNCTION(" GOOGLETRANSLATE(E6, ""en"", ""am"")"),"ዶኖቫን ቤይሊ እ.ኤ.አ.")</f>
        <v>ዶኖቫን ቤይሊ እ.ኤ.አ.</v>
      </c>
    </row>
    <row r="7" ht="22.5" customHeight="1">
      <c r="A7" s="3">
        <v>6.0</v>
      </c>
      <c r="B7" s="4" t="s">
        <v>920</v>
      </c>
      <c r="C7" s="4" t="s">
        <v>921</v>
      </c>
      <c r="D7" s="4" t="s">
        <v>922</v>
      </c>
      <c r="E7" s="4" t="s">
        <v>923</v>
      </c>
      <c r="G7" s="5" t="str">
        <f>IFERROR(__xludf.DUMMYFUNCTION(" GOOGLETRANSLATE(A7, ""en"", ""am"")"),"6")</f>
        <v>6</v>
      </c>
      <c r="H7" s="5" t="str">
        <f>IFERROR(__xludf.DUMMYFUNCTION(" GOOGLETRANSLATE(B7, ""en"", ""am"")"),"የማራቶን ውድድር ከየት ሀገር ነው የመጣው?")</f>
        <v>የማራቶን ውድድር ከየት ሀገር ነው የመጣው?</v>
      </c>
      <c r="I7" s="5" t="str">
        <f>IFERROR(__xludf.DUMMYFUNCTION(" GOOGLETRANSLATE(C7, ""en"", ""am"")"),"ሀ. ኢትዮጵያ ብ.ኬንያ ሐ. የሮማን ኢምፓየር ዲ. ግሪክ")</f>
        <v>ሀ. ኢትዮጵያ ብ.ኬንያ ሐ. የሮማን ኢምፓየር ዲ. ግሪክ</v>
      </c>
      <c r="J7" s="5" t="str">
        <f>IFERROR(__xludf.DUMMYFUNCTION(" GOOGLETRANSLATE(D7, ""en"", ""am"")"),"ግሪክ")</f>
        <v>ግሪክ</v>
      </c>
      <c r="K7" s="5" t="str">
        <f>IFERROR(__xludf.DUMMYFUNCTION(" GOOGLETRANSLATE(E7, ""en"", ""am"")"),"የማራቶን ውድድር መነሻው ከማራቶን ጦርነት ሲሆን ፊዲፒዲስ ከማራቶን ወደ አቴንስ ሮጦ ነበር።")</f>
        <v>የማራቶን ውድድር መነሻው ከማራቶን ጦርነት ሲሆን ፊዲፒዲስ ከማራቶን ወደ አቴንስ ሮጦ ነበር።</v>
      </c>
    </row>
    <row r="8" ht="22.5" customHeight="1">
      <c r="A8" s="3">
        <v>7.0</v>
      </c>
      <c r="B8" s="4" t="s">
        <v>924</v>
      </c>
      <c r="C8" s="4" t="s">
        <v>925</v>
      </c>
      <c r="D8" s="4" t="s">
        <v>926</v>
      </c>
      <c r="E8" s="4" t="s">
        <v>927</v>
      </c>
      <c r="G8" s="5" t="str">
        <f>IFERROR(__xludf.DUMMYFUNCTION(" GOOGLETRANSLATE(A8, ""en"", ""am"")"),"7")</f>
        <v>7</v>
      </c>
      <c r="H8" s="5" t="str">
        <f>IFERROR(__xludf.DUMMYFUNCTION(" GOOGLETRANSLATE(B8, ""en"", ""am"")"),"በቦስተን ማራቶን የመጀመሪያዋ ሴት ማን ነበረች?")</f>
        <v>በቦስተን ማራቶን የመጀመሪያዋ ሴት ማን ነበረች?</v>
      </c>
      <c r="I8" s="5" t="str">
        <f>IFERROR(__xludf.DUMMYFUNCTION(" GOOGLETRANSLATE(C8, ""en"", ""am"")"),"ኤ. ግሪት ዌትዝ ቢ. ዣን ቤኖይት ሳሙኤልሰን ሲ. በርቲ ኤል. ስቲቨንስ ዲ. ካትሪን ስዊዘርላንድ")</f>
        <v>ኤ. ግሪት ዌትዝ ቢ. ዣን ቤኖይት ሳሙኤልሰን ሲ. በርቲ ኤል. ስቲቨንስ ዲ. ካትሪን ስዊዘርላንድ</v>
      </c>
      <c r="J8" s="5" t="str">
        <f>IFERROR(__xludf.DUMMYFUNCTION(" GOOGLETRANSLATE(D8, ""en"", ""am"")"),"ካትሪን ስዊዘርላንድ")</f>
        <v>ካትሪን ስዊዘርላንድ</v>
      </c>
      <c r="K8" s="5" t="str">
        <f>IFERROR(__xludf.DUMMYFUNCTION(" GOOGLETRANSLATE(E8, ""en"", ""am"")"),"በ1967 በቦስተን ማራቶን በመሮጥ የሴት አትሌቶችን እንቅፋት በመስበር ካትሪን ስዊዘርላንድ የመጀመሪያዋ ሴት ነበረች።")</f>
        <v>በ1967 በቦስተን ማራቶን በመሮጥ የሴት አትሌቶችን እንቅፋት በመስበር ካትሪን ስዊዘርላንድ የመጀመሪያዋ ሴት ነበረች።</v>
      </c>
    </row>
    <row r="9" ht="22.5" customHeight="1">
      <c r="A9" s="3">
        <v>8.0</v>
      </c>
      <c r="B9" s="4" t="s">
        <v>928</v>
      </c>
      <c r="C9" s="4" t="s">
        <v>929</v>
      </c>
      <c r="D9" s="4" t="s">
        <v>930</v>
      </c>
      <c r="E9" s="4" t="s">
        <v>931</v>
      </c>
      <c r="G9" s="5" t="str">
        <f>IFERROR(__xludf.DUMMYFUNCTION(" GOOGLETRANSLATE(A9, ""en"", ""am"")"),"8")</f>
        <v>8</v>
      </c>
      <c r="H9" s="5" t="str">
        <f>IFERROR(__xludf.DUMMYFUNCTION(" GOOGLETRANSLATE(B9, ""en"", ""am"")"),"የጥንቷ ግሪክ ኦሊምፒክ የመጀመሪያ ደረጃ ምን ነበር?")</f>
        <v>የጥንቷ ግሪክ ኦሊምፒክ የመጀመሪያ ደረጃ ምን ነበር?</v>
      </c>
      <c r="I9" s="5" t="str">
        <f>IFERROR(__xludf.DUMMYFUNCTION(" GOOGLETRANSLATE(C9, ""en"", ""am"")"),"ሀ. የሰረገላ ውድድር ለ. ለመሮጥ C. ቦክስ ዲ. ለመሮጥ")</f>
        <v>ሀ. የሰረገላ ውድድር ለ. ለመሮጥ C. ቦክስ ዲ. ለመሮጥ</v>
      </c>
      <c r="J9" s="5" t="str">
        <f>IFERROR(__xludf.DUMMYFUNCTION(" GOOGLETRANSLATE(D9, ""en"", ""am"")"),"ለመሮጥ")</f>
        <v>ለመሮጥ</v>
      </c>
      <c r="K9" s="5" t="str">
        <f>IFERROR(__xludf.DUMMYFUNCTION(" GOOGLETRANSLATE(E9, ""en"", ""am"")"),"የሩጫ ውድድሮች በተለይም የስታዲዮም (የእግር ውድድር) በጥንታዊው ኦሎምፒክ ውስጥ ዋነኛው ክስተት ነበር።")</f>
        <v>የሩጫ ውድድሮች በተለይም የስታዲዮም (የእግር ውድድር) በጥንታዊው ኦሎምፒክ ውስጥ ዋነኛው ክስተት ነበር።</v>
      </c>
    </row>
    <row r="10" ht="22.5" customHeight="1">
      <c r="A10" s="3">
        <v>9.0</v>
      </c>
      <c r="B10" s="4" t="s">
        <v>932</v>
      </c>
      <c r="C10" s="4" t="s">
        <v>933</v>
      </c>
      <c r="D10" s="4" t="s">
        <v>934</v>
      </c>
      <c r="E10" s="4" t="s">
        <v>935</v>
      </c>
      <c r="G10" s="5" t="str">
        <f>IFERROR(__xludf.DUMMYFUNCTION(" GOOGLETRANSLATE(A10, ""en"", ""am"")"),"9")</f>
        <v>9</v>
      </c>
      <c r="H10" s="5" t="str">
        <f>IFERROR(__xludf.DUMMYFUNCTION(" GOOGLETRANSLATE(B10, ""en"", ""am"")"),"በ100ሜ የ10 ሰከንድ መሰናክል የሰበረ የመጀመሪያው ሰው ማን ነበር?")</f>
        <v>በ100ሜ የ10 ሰከንድ መሰናክል የሰበረ የመጀመሪያው ሰው ማን ነበር?</v>
      </c>
      <c r="I10" s="5" t="str">
        <f>IFERROR(__xludf.DUMMYFUNCTION(" GOOGLETRANSLATE(C10, ""en"", ""am"")"),"ሀ. ዩሴን ቦልት ቢ. ፍሎረንስ ግሪፍት ጆይነር ሲ.ጂም ሂንስ ዲ. ጂም ሂንስ")</f>
        <v>ሀ. ዩሴን ቦልት ቢ. ፍሎረንስ ግሪፍት ጆይነር ሲ.ጂም ሂንስ ዲ. ጂም ሂንስ</v>
      </c>
      <c r="J10" s="5" t="str">
        <f>IFERROR(__xludf.DUMMYFUNCTION(" GOOGLETRANSLATE(D10, ""en"", ""am"")"),"ጂም ሂንስ")</f>
        <v>ጂም ሂንስ</v>
      </c>
      <c r="K10" s="5" t="str">
        <f>IFERROR(__xludf.DUMMYFUNCTION(" GOOGLETRANSLATE(E10, ""en"", ""am"")"),"ጂም ሂንስ በ1968 በ100ሜ የ10 ሰከንድ መሰናክል የሰበረ የመጀመሪያው ሰው ሆነ።")</f>
        <v>ጂም ሂንስ በ1968 በ100ሜ የ10 ሰከንድ መሰናክል የሰበረ የመጀመሪያው ሰው ሆነ።</v>
      </c>
    </row>
    <row r="11" ht="22.5" customHeight="1">
      <c r="A11" s="3">
        <v>10.0</v>
      </c>
      <c r="B11" s="4" t="s">
        <v>936</v>
      </c>
      <c r="C11" s="4" t="s">
        <v>937</v>
      </c>
      <c r="D11" s="4" t="s">
        <v>938</v>
      </c>
      <c r="E11" s="4" t="s">
        <v>939</v>
      </c>
      <c r="G11" s="5" t="str">
        <f>IFERROR(__xludf.DUMMYFUNCTION(" GOOGLETRANSLATE(A11, ""en"", ""am"")"),"10")</f>
        <v>10</v>
      </c>
      <c r="H11" s="5" t="str">
        <f>IFERROR(__xludf.DUMMYFUNCTION(" GOOGLETRANSLATE(B11, ""en"", ""am"")"),"ዊልማ ሩዶልፍ ሶስት የወርቅ ሜዳሊያዎችን ያገኘበት የ1960 የበጋ ኦሎምፒክን ያስተናገደችው ከተማ የትኛው ነው?")</f>
        <v>ዊልማ ሩዶልፍ ሶስት የወርቅ ሜዳሊያዎችን ያገኘበት የ1960 የበጋ ኦሎምፒክን ያስተናገደችው ከተማ የትኛው ነው?</v>
      </c>
      <c r="I11" s="5" t="str">
        <f>IFERROR(__xludf.DUMMYFUNCTION(" GOOGLETRANSLATE(C11, ""en"", ""am"")"),"ሀ.ቶኪዮ ቢ.ሎስ አንጀለስ ሲ.ለንደን ዲ.ሮም")</f>
        <v>ሀ.ቶኪዮ ቢ.ሎስ አንጀለስ ሲ.ለንደን ዲ.ሮም</v>
      </c>
      <c r="J11" s="5" t="str">
        <f>IFERROR(__xludf.DUMMYFUNCTION(" GOOGLETRANSLATE(D11, ""en"", ""am"")"),"ሮም")</f>
        <v>ሮም</v>
      </c>
      <c r="K11" s="5" t="str">
        <f>IFERROR(__xludf.DUMMYFUNCTION(" GOOGLETRANSLATE(E11, ""en"", ""am"")"),"ዊልማ ሩዶልፍ በ1960 የሮም ኦሎምፒክ ሶስት የወርቅ ሜዳሊያዎችን በማግኘቷ የአለማችን ፈጣን ሴት ሆነች።")</f>
        <v>ዊልማ ሩዶልፍ በ1960 የሮም ኦሎምፒክ ሶስት የወርቅ ሜዳሊያዎችን በማግኘቷ የአለማችን ፈጣን ሴት ሆነች።</v>
      </c>
    </row>
    <row r="12" ht="22.5" customHeight="1">
      <c r="A12" s="3">
        <v>11.0</v>
      </c>
      <c r="B12" s="4" t="s">
        <v>940</v>
      </c>
      <c r="C12" s="4" t="s">
        <v>941</v>
      </c>
      <c r="D12" s="4" t="s">
        <v>942</v>
      </c>
      <c r="E12" s="4" t="s">
        <v>943</v>
      </c>
      <c r="G12" s="5" t="str">
        <f>IFERROR(__xludf.DUMMYFUNCTION(" GOOGLETRANSLATE(A12, ""en"", ""am"")"),"11")</f>
        <v>11</v>
      </c>
      <c r="H12" s="5" t="str">
        <f>IFERROR(__xludf.DUMMYFUNCTION(" GOOGLETRANSLATE(B12, ""en"", ""am"")"),"በትራክ እና ሜዳ የኦሎምፒክ የወርቅ ሜዳሊያ ያሸነፈ የመጀመሪያው አፍሪካዊ ማን ነበር?")</f>
        <v>በትራክ እና ሜዳ የኦሎምፒክ የወርቅ ሜዳሊያ ያሸነፈ የመጀመሪያው አፍሪካዊ ማን ነበር?</v>
      </c>
      <c r="I12" s="5" t="str">
        <f>IFERROR(__xludf.DUMMYFUNCTION(" GOOGLETRANSLATE(C12, ""en"", ""am"")"),"ኤ ጄሲ ኦውንስ ቢ ካርል ሌዊስ ሲ ጃኪ ጆይነር ከርሴይ ዲ ዴሃርት ሁባርድ")</f>
        <v>ኤ ጄሲ ኦውንስ ቢ ካርል ሌዊስ ሲ ጃኪ ጆይነር ከርሴይ ዲ ዴሃርት ሁባርድ</v>
      </c>
      <c r="J12" s="5" t="str">
        <f>IFERROR(__xludf.DUMMYFUNCTION(" GOOGLETRANSLATE(D12, ""en"", ""am"")"),"DeHart Hubbard")</f>
        <v>DeHart Hubbard</v>
      </c>
      <c r="K12" s="5" t="str">
        <f>IFERROR(__xludf.DUMMYFUNCTION(" GOOGLETRANSLATE(E12, ""en"", ""am"")"),"ዴሃርት ሁባርድ በ1911 ዓ.ም.")</f>
        <v>ዴሃርት ሁባርድ በ1911 ዓ.ም.</v>
      </c>
    </row>
    <row r="13" ht="22.5" customHeight="1">
      <c r="A13" s="3">
        <v>12.0</v>
      </c>
      <c r="B13" s="4" t="s">
        <v>944</v>
      </c>
      <c r="C13" s="4" t="s">
        <v>945</v>
      </c>
      <c r="D13" s="4" t="s">
        <v>922</v>
      </c>
      <c r="E13" s="4" t="s">
        <v>946</v>
      </c>
      <c r="G13" s="5" t="str">
        <f>IFERROR(__xludf.DUMMYFUNCTION(" GOOGLETRANSLATE(A13, ""en"", ""am"")"),"12")</f>
        <v>12</v>
      </c>
      <c r="H13" s="5" t="str">
        <f>IFERROR(__xludf.DUMMYFUNCTION(" GOOGLETRANSLATE(B13, ""en"", ""am"")"),"የማራቶን የትውልድ ቦታ የትኛው ሀገር ነው?")</f>
        <v>የማራቶን የትውልድ ቦታ የትኛው ሀገር ነው?</v>
      </c>
      <c r="I13" s="5" t="str">
        <f>IFERROR(__xludf.DUMMYFUNCTION(" GOOGLETRANSLATE(C13, ""en"", ""am"")"),"አ ኢትዮጵያ ብ ግሪክ ሐ. አሜሪካ ዲ. ግሪክ")</f>
        <v>አ ኢትዮጵያ ብ ግሪክ ሐ. አሜሪካ ዲ. ግሪክ</v>
      </c>
      <c r="J13" s="5" t="str">
        <f>IFERROR(__xludf.DUMMYFUNCTION(" GOOGLETRANSLATE(D13, ""en"", ""am"")"),"ግሪክ")</f>
        <v>ግሪክ</v>
      </c>
      <c r="K13" s="5" t="str">
        <f>IFERROR(__xludf.DUMMYFUNCTION(" GOOGLETRANSLATE(E13, ""en"", ""am"")"),"የማራቶን ውድድር የተጀመረው በጥንቷ ግሪክ በማራቶን ጦርነት ወቅት ነው።")</f>
        <v>የማራቶን ውድድር የተጀመረው በጥንቷ ግሪክ በማራቶን ጦርነት ወቅት ነው።</v>
      </c>
    </row>
    <row r="14" ht="22.5" customHeight="1">
      <c r="A14" s="3">
        <v>13.0</v>
      </c>
      <c r="B14" s="4" t="s">
        <v>947</v>
      </c>
      <c r="C14" s="4" t="s">
        <v>948</v>
      </c>
      <c r="D14" s="4" t="s">
        <v>949</v>
      </c>
      <c r="E14" s="4" t="s">
        <v>950</v>
      </c>
      <c r="G14" s="5" t="str">
        <f>IFERROR(__xludf.DUMMYFUNCTION(" GOOGLETRANSLATE(A14, ""en"", ""am"")"),"13")</f>
        <v>13</v>
      </c>
      <c r="H14" s="5" t="str">
        <f>IFERROR(__xludf.DUMMYFUNCTION(" GOOGLETRANSLATE(B14, ""en"", ""am"")"),"በኦሎምፒክ ማራቶን ሁለት ጊዜ ያሸነፈ የመጀመሪያው ሰው ማን ነበር?")</f>
        <v>በኦሎምፒክ ማራቶን ሁለት ጊዜ ያሸነፈ የመጀመሪያው ሰው ማን ነበር?</v>
      </c>
      <c r="I14" s="5" t="str">
        <f>IFERROR(__xludf.DUMMYFUNCTION(" GOOGLETRANSLATE(C14, ""en"", ""am"")"),"ሀ. አበበ ቢቂላ ብ ኃይሌ ገብረስላሴ ሲ. ፍራንክ ሾርት ዲ. አበበ ቢቂላ")</f>
        <v>ሀ. አበበ ቢቂላ ብ ኃይሌ ገብረስላሴ ሲ. ፍራንክ ሾርት ዲ. አበበ ቢቂላ</v>
      </c>
      <c r="J14" s="5" t="str">
        <f>IFERROR(__xludf.DUMMYFUNCTION(" GOOGLETRANSLATE(D14, ""en"", ""am"")"),"አበበ ቢቂላ")</f>
        <v>አበበ ቢቂላ</v>
      </c>
      <c r="K14" s="5" t="str">
        <f>IFERROR(__xludf.DUMMYFUNCTION(" GOOGLETRANSLATE(E14, ""en"", ""am"")"),"ኢትዮጵያዊው አበበ ቢቂላ በ1960 እና 1964 ሁለት የኦሎምፒክ ማራቶን ያሸነፈ የመጀመሪያው ሰው ሆነ።")</f>
        <v>ኢትዮጵያዊው አበበ ቢቂላ በ1960 እና 1964 ሁለት የኦሎምፒክ ማራቶን ያሸነፈ የመጀመሪያው ሰው ሆነ።</v>
      </c>
    </row>
    <row r="15" ht="22.5" customHeight="1">
      <c r="A15" s="3">
        <v>14.0</v>
      </c>
      <c r="B15" s="4" t="s">
        <v>951</v>
      </c>
      <c r="C15" s="4" t="s">
        <v>952</v>
      </c>
      <c r="D15" s="4" t="s">
        <v>953</v>
      </c>
      <c r="E15" s="4" t="s">
        <v>954</v>
      </c>
      <c r="G15" s="5" t="str">
        <f>IFERROR(__xludf.DUMMYFUNCTION(" GOOGLETRANSLATE(A15, ""en"", ""am"")"),"14")</f>
        <v>14</v>
      </c>
      <c r="H15" s="5" t="str">
        <f>IFERROR(__xludf.DUMMYFUNCTION(" GOOGLETRANSLATE(B15, ""en"", ""am"")"),"የጥንታዊ ኦሊምፒክ ጨዋታዎች አካል የሆነው የሩጫ ውድድር ስሙ ማን ነበር?")</f>
        <v>የጥንታዊ ኦሊምፒክ ጨዋታዎች አካል የሆነው የሩጫ ውድድር ስሙ ማን ነበር?</v>
      </c>
      <c r="I15" s="5" t="str">
        <f>IFERROR(__xludf.DUMMYFUNCTION(" GOOGLETRANSLATE(C15, ""en"", ""am"")"),"ሀ. ትሪያትሎን ቢ.ፓንታሎን ሲ.ሄፕታሎን ዲ. ስታዲየም")</f>
        <v>ሀ. ትሪያትሎን ቢ.ፓንታሎን ሲ.ሄፕታሎን ዲ. ስታዲየም</v>
      </c>
      <c r="J15" s="5" t="str">
        <f>IFERROR(__xludf.DUMMYFUNCTION(" GOOGLETRANSLATE(D15, ""en"", ""am"")"),"ስታዲየም")</f>
        <v>ስታዲየም</v>
      </c>
      <c r="K15" s="5" t="str">
        <f>IFERROR(__xludf.DUMMYFUNCTION(" GOOGLETRANSLATE(E15, ""en"", ""am"")"),"ስታዲየሙ የኦሎምፒክ ስታዲየም አንድ ርዝመት ያለው በግምት 192 ሜትር የሚለካ የውድድር ቦታ ነበር።")</f>
        <v>ስታዲየሙ የኦሎምፒክ ስታዲየም አንድ ርዝመት ያለው በግምት 192 ሜትር የሚለካ የውድድር ቦታ ነበር።</v>
      </c>
    </row>
    <row r="16" ht="22.5" customHeight="1">
      <c r="A16" s="3">
        <v>15.0</v>
      </c>
      <c r="B16" s="4" t="s">
        <v>955</v>
      </c>
      <c r="C16" s="4" t="s">
        <v>956</v>
      </c>
      <c r="D16" s="4" t="s">
        <v>957</v>
      </c>
      <c r="E16" s="4" t="s">
        <v>958</v>
      </c>
      <c r="G16" s="5" t="str">
        <f>IFERROR(__xludf.DUMMYFUNCTION(" GOOGLETRANSLATE(A16, ""en"", ""am"")"),"15")</f>
        <v>15</v>
      </c>
      <c r="H16" s="5" t="str">
        <f>IFERROR(__xludf.DUMMYFUNCTION(" GOOGLETRANSLATE(B16, ""en"", ""am"")"),"ጂም ቶርፕ በ1912 በስቶክሆልም በተካሄደው ኦሎምፒክ ምን አይነት ክስተት አሸነፈ?")</f>
        <v>ጂም ቶርፕ በ1912 በስቶክሆልም በተካሄደው ኦሎምፒክ ምን አይነት ክስተት አሸነፈ?</v>
      </c>
      <c r="I16" s="5" t="str">
        <f>IFERROR(__xludf.DUMMYFUNCTION(" GOOGLETRANSLATE(C16, ""en"", ""am"")"),"ሀ. ረጅም ዝላይ ለ. Shot Put C. 100m D. Decathlon")</f>
        <v>ሀ. ረጅም ዝላይ ለ. Shot Put C. 100m D. Decathlon</v>
      </c>
      <c r="J16" s="5" t="str">
        <f>IFERROR(__xludf.DUMMYFUNCTION(" GOOGLETRANSLATE(D16, ""en"", ""am"")"),"Decathlon")</f>
        <v>Decathlon</v>
      </c>
      <c r="K16" s="5" t="str">
        <f>IFERROR(__xludf.DUMMYFUNCTION(" GOOGLETRANSLATE(E16, ""en"", ""am"")"),"ጂም ቶርፕ በ1912 የስቶክሆልም ኦሎምፒክ የዴካቶሎንን ድል አሸነፈ፣ ስኬቶቹም አፈ ታሪክ ናቸው።")</f>
        <v>ጂም ቶርፕ በ1912 የስቶክሆልም ኦሎምፒክ የዴካቶሎንን ድል አሸነፈ፣ ስኬቶቹም አፈ ታሪክ ናቸው።</v>
      </c>
    </row>
    <row r="17" ht="22.5" customHeight="1">
      <c r="A17" s="3">
        <v>16.0</v>
      </c>
      <c r="B17" s="4" t="s">
        <v>959</v>
      </c>
      <c r="C17" s="4" t="s">
        <v>960</v>
      </c>
      <c r="D17" s="4" t="s">
        <v>961</v>
      </c>
      <c r="E17" s="4" t="s">
        <v>962</v>
      </c>
      <c r="G17" s="5" t="str">
        <f>IFERROR(__xludf.DUMMYFUNCTION(" GOOGLETRANSLATE(A17, ""en"", ""am"")"),"16")</f>
        <v>16</v>
      </c>
      <c r="H17" s="5" t="str">
        <f>IFERROR(__xludf.DUMMYFUNCTION(" GOOGLETRANSLATE(B17, ""en"", ""am"")"),"በ1999 በ100 ሜትር ውድድር በማጭበርበር ከኦሎምፒክ የታገደው አትሌት የትኛው ነው?")</f>
        <v>በ1999 በ100 ሜትር ውድድር በማጭበርበር ከኦሎምፒክ የታገደው አትሌት የትኛው ነው?</v>
      </c>
      <c r="I17" s="5" t="str">
        <f>IFERROR(__xludf.DUMMYFUNCTION(" GOOGLETRANSLATE(C17, ""en"", ""am"")"),"ኤ ሊንፎርድ ክሪስቲ ቢ ማሪዮን ጆንስ ሲ. ሌሮይ ቡሬል ዲ ሊንፎርድ ክሪስቲ")</f>
        <v>ኤ ሊንፎርድ ክሪስቲ ቢ ማሪዮን ጆንስ ሲ. ሌሮይ ቡሬል ዲ ሊንፎርድ ክሪስቲ</v>
      </c>
      <c r="J17" s="5" t="str">
        <f>IFERROR(__xludf.DUMMYFUNCTION(" GOOGLETRANSLATE(D17, ""en"", ""am"")"),"ሊንፎርድ ክሪስቲ")</f>
        <v>ሊንፎርድ ክሪስቲ</v>
      </c>
      <c r="K17" s="5" t="str">
        <f>IFERROR(__xludf.DUMMYFUNCTION(" GOOGLETRANSLATE(E17, ""en"", ""am"")"),"ሊንፎርድ ክሪስቲ በ1999 የአለም ሻምፒዮና የ100ሜ.")</f>
        <v>ሊንፎርድ ክሪስቲ በ1999 የአለም ሻምፒዮና የ100ሜ.</v>
      </c>
    </row>
    <row r="18" ht="22.5" customHeight="1">
      <c r="A18" s="3">
        <v>17.0</v>
      </c>
      <c r="B18" s="4" t="s">
        <v>963</v>
      </c>
      <c r="C18" s="4" t="s">
        <v>964</v>
      </c>
      <c r="D18" s="4" t="s">
        <v>965</v>
      </c>
      <c r="E18" s="4" t="s">
        <v>966</v>
      </c>
      <c r="G18" s="5" t="str">
        <f>IFERROR(__xludf.DUMMYFUNCTION(" GOOGLETRANSLATE(A18, ""en"", ""am"")"),"17")</f>
        <v>17</v>
      </c>
      <c r="H18" s="5" t="str">
        <f>IFERROR(__xludf.DUMMYFUNCTION(" GOOGLETRANSLATE(B18, ""en"", ""am"")"),"የ4 ደቂቃ ማይል የሰበረ የመጀመሪያው የኦሎምፒክ አትሌት ማን ነበር?")</f>
        <v>የ4 ደቂቃ ማይል የሰበረ የመጀመሪያው የኦሎምፒክ አትሌት ማን ነበር?</v>
      </c>
      <c r="I18" s="5" t="str">
        <f>IFERROR(__xludf.DUMMYFUNCTION(" GOOGLETRANSLATE(C18, ""en"", ""am"")"),"ኤ. ሮጀር ባኒስተር ቢ.ጂም ራዩን ሲ. ስቲቭ ፕሪፎንቴይን ዲ. ሮጀር ባኒስተር")</f>
        <v>ኤ. ሮጀር ባኒስተር ቢ.ጂም ራዩን ሲ. ስቲቭ ፕሪፎንቴይን ዲ. ሮጀር ባኒስተር</v>
      </c>
      <c r="J18" s="5" t="str">
        <f>IFERROR(__xludf.DUMMYFUNCTION(" GOOGLETRANSLATE(D18, ""en"", ""am"")"),"ሮጀር ባኒስተር")</f>
        <v>ሮጀር ባኒስተር</v>
      </c>
      <c r="K18" s="5" t="str">
        <f>IFERROR(__xludf.DUMMYFUNCTION(" GOOGLETRANSLATE(E18, ""en"", ""am"")"),"ሮጀር ባኒስተር ግንቦት 6 ቀን 1954 የ4 ደቂቃ ማይልን መከላከያ የሰበረ የመጀመሪያው ሰው ሆነ።")</f>
        <v>ሮጀር ባኒስተር ግንቦት 6 ቀን 1954 የ4 ደቂቃ ማይልን መከላከያ የሰበረ የመጀመሪያው ሰው ሆነ።</v>
      </c>
    </row>
    <row r="19" ht="22.5" customHeight="1">
      <c r="A19" s="3">
        <v>18.0</v>
      </c>
      <c r="B19" s="4" t="s">
        <v>967</v>
      </c>
      <c r="C19" s="4" t="s">
        <v>968</v>
      </c>
      <c r="D19" s="4" t="s">
        <v>969</v>
      </c>
      <c r="E19" s="4" t="s">
        <v>970</v>
      </c>
      <c r="G19" s="5" t="str">
        <f>IFERROR(__xludf.DUMMYFUNCTION(" GOOGLETRANSLATE(A19, ""en"", ""am"")"),"18")</f>
        <v>18</v>
      </c>
      <c r="H19" s="5" t="str">
        <f>IFERROR(__xludf.DUMMYFUNCTION(" GOOGLETRANSLATE(B19, ""en"", ""am"")"),"በኦሎምፒክ ጨዋታዎች ማራቶንን የተቆጣጠረው የትኛው ሀገር ነው?")</f>
        <v>በኦሎምፒክ ጨዋታዎች ማራቶንን የተቆጣጠረው የትኛው ሀገር ነው?</v>
      </c>
      <c r="I19" s="5" t="str">
        <f>IFERROR(__xludf.DUMMYFUNCTION(" GOOGLETRANSLATE(C19, ""en"", ""am"")"),"አ ኢትዮጵያ ብ አሜሪካ ሲ ጃፓን ዲ.ኬንያ")</f>
        <v>አ ኢትዮጵያ ብ አሜሪካ ሲ ጃፓን ዲ.ኬንያ</v>
      </c>
      <c r="J19" s="5" t="str">
        <f>IFERROR(__xludf.DUMMYFUNCTION(" GOOGLETRANSLATE(D19, ""en"", ""am"")"),"ኬንያ")</f>
        <v>ኬንያ</v>
      </c>
      <c r="K19" s="5" t="str">
        <f>IFERROR(__xludf.DUMMYFUNCTION(" GOOGLETRANSLATE(E19, ""en"", ""am"")"),"ኬንያ የኦሎምፒክ ማራቶንን በተለይም በወንዶችና በሴቶች ተቆጣጥራለች።")</f>
        <v>ኬንያ የኦሎምፒክ ማራቶንን በተለይም በወንዶችና በሴቶች ተቆጣጥራለች።</v>
      </c>
    </row>
    <row r="20" ht="22.5" customHeight="1">
      <c r="A20" s="3">
        <v>19.0</v>
      </c>
      <c r="B20" s="4" t="s">
        <v>971</v>
      </c>
      <c r="C20" s="4" t="s">
        <v>972</v>
      </c>
      <c r="D20" s="4" t="s">
        <v>973</v>
      </c>
      <c r="E20" s="4" t="s">
        <v>974</v>
      </c>
      <c r="G20" s="5" t="str">
        <f>IFERROR(__xludf.DUMMYFUNCTION(" GOOGLETRANSLATE(A20, ""en"", ""am"")"),"19")</f>
        <v>19</v>
      </c>
      <c r="H20" s="5" t="str">
        <f>IFERROR(__xludf.DUMMYFUNCTION(" GOOGLETRANSLATE(B20, ""en"", ""am"")"),"በኦሎምፒክ ማራቶን የመጀመሪያዋ ሴት ማን ናት?")</f>
        <v>በኦሎምፒክ ማራቶን የመጀመሪያዋ ሴት ማን ናት?</v>
      </c>
      <c r="I20" s="5" t="str">
        <f>IFERROR(__xludf.DUMMYFUNCTION(" GOOGLETRANSLATE(C20, ""en"", ""am"")"),"ኤ. ግሪት ዌትዝ ቢ. ካትሪን ስዊዘርላንድ ሲ. ኒና ኩሲች ዲ. ኒና ኩሲች")</f>
        <v>ኤ. ግሪት ዌትዝ ቢ. ካትሪን ስዊዘርላንድ ሲ. ኒና ኩሲች ዲ. ኒና ኩሲች</v>
      </c>
      <c r="J20" s="5" t="str">
        <f>IFERROR(__xludf.DUMMYFUNCTION(" GOOGLETRANSLATE(D20, ""en"", ""am"")"),"ኒና ኩሲች")</f>
        <v>ኒና ኩሲች</v>
      </c>
      <c r="K20" s="5" t="str">
        <f>IFERROR(__xludf.DUMMYFUNCTION(" GOOGLETRANSLATE(E20, ""en"", ""am"")"),"ኒና ኩሲች በ1984 የኦሎምፒክ ማራቶንን በይፋ በመሮጥ የመጀመሪያዋ ሴት ሆነች።")</f>
        <v>ኒና ኩሲች በ1984 የኦሎምፒክ ማራቶንን በይፋ በመሮጥ የመጀመሪያዋ ሴት ሆነች።</v>
      </c>
    </row>
    <row r="21" ht="22.5" customHeight="1">
      <c r="A21" s="3">
        <v>20.0</v>
      </c>
      <c r="B21" s="4" t="s">
        <v>975</v>
      </c>
      <c r="C21" s="4" t="s">
        <v>976</v>
      </c>
      <c r="D21" s="4" t="s">
        <v>977</v>
      </c>
      <c r="E21" s="4" t="s">
        <v>978</v>
      </c>
      <c r="G21" s="5" t="str">
        <f>IFERROR(__xludf.DUMMYFUNCTION(" GOOGLETRANSLATE(A21, ""en"", ""am"")"),"20")</f>
        <v>20</v>
      </c>
      <c r="H21" s="5" t="str">
        <f>IFERROR(__xludf.DUMMYFUNCTION(" GOOGLETRANSLATE(B21, ""en"", ""am"")"),"የ1992 የበጋ ኦሎምፒክን ያስተናገደችው ከተማ የትኛው ነው?")</f>
        <v>የ1992 የበጋ ኦሎምፒክን ያስተናገደችው ከተማ የትኛው ነው?</v>
      </c>
      <c r="I21" s="5" t="str">
        <f>IFERROR(__xludf.DUMMYFUNCTION(" GOOGLETRANSLATE(C21, ""en"", ""am"")"),"ሀ.ባርሴሎና ቢ.አትላንታ ሲድኒ ዲ.ባርሴሎና")</f>
        <v>ሀ.ባርሴሎና ቢ.አትላንታ ሲድኒ ዲ.ባርሴሎና</v>
      </c>
      <c r="J21" s="5" t="str">
        <f>IFERROR(__xludf.DUMMYFUNCTION(" GOOGLETRANSLATE(D21, ""en"", ""am"")"),"ባርሴሎና")</f>
        <v>ባርሴሎና</v>
      </c>
      <c r="K21" s="5" t="str">
        <f>IFERROR(__xludf.DUMMYFUNCTION(" GOOGLETRANSLATE(E21, ""en"", ""am"")"),"ባርሴሎና የ1992 የበጋ ኦሎምፒክን አስተናግዷል፣ ካርል ሌዊስ እና ሌሎች አፈታሪኮች የተወዳደሩበት።")</f>
        <v>ባርሴሎና የ1992 የበጋ ኦሎምፒክን አስተናግዷል፣ ካርል ሌዊስ እና ሌሎች አፈታሪኮች የተወዳደሩበት።</v>
      </c>
    </row>
    <row r="22" ht="22.5" customHeight="1">
      <c r="A22" s="3">
        <v>21.0</v>
      </c>
      <c r="B22" s="4" t="s">
        <v>979</v>
      </c>
      <c r="C22" s="4" t="s">
        <v>980</v>
      </c>
      <c r="D22" s="4" t="s">
        <v>914</v>
      </c>
      <c r="E22" s="4" t="s">
        <v>981</v>
      </c>
      <c r="G22" s="5" t="str">
        <f>IFERROR(__xludf.DUMMYFUNCTION(" GOOGLETRANSLATE(A22, ""en"", ""am"")"),"21")</f>
        <v>21</v>
      </c>
      <c r="H22" s="5" t="str">
        <f>IFERROR(__xludf.DUMMYFUNCTION(" GOOGLETRANSLATE(B22, ""en"", ""am"")"),"በ1936 የበርሊን ኦሊምፒክ በትራክ እና ሜዳ ብዙ የወርቅ ሜዳሊያዎችን ያስመዘገበው ሀገር የትኛው ነው?")</f>
        <v>በ1936 የበርሊን ኦሊምፒክ በትራክ እና ሜዳ ብዙ የወርቅ ሜዳሊያዎችን ያስመዘገበው ሀገር የትኛው ነው?</v>
      </c>
      <c r="I22" s="5" t="str">
        <f>IFERROR(__xludf.DUMMYFUNCTION(" GOOGLETRANSLATE(C22, ""en"", ""am"")"),"ሀ.ጀርመን ብ ካናዳ ሲ.አውስትራሊያ ዲ.አሜሪካ")</f>
        <v>ሀ.ጀርመን ብ ካናዳ ሲ.አውስትራሊያ ዲ.አሜሪካ</v>
      </c>
      <c r="J22" s="5" t="str">
        <f>IFERROR(__xludf.DUMMYFUNCTION(" GOOGLETRANSLATE(D22, ""en"", ""am"")"),"አሜሪካ")</f>
        <v>አሜሪካ</v>
      </c>
      <c r="K22" s="5" t="str">
        <f>IFERROR(__xludf.DUMMYFUNCTION(" GOOGLETRANSLATE(E22, ""en"", ""am"")"),"በጄሴ ኦውንስ መሪነት ዩኤስኤ በ1936 የበርሊን ኦሎምፒክ በትራክ እና በመስክ በርካታ የወርቅ ሜዳሊያዎችን አሸንፋለች።")</f>
        <v>በጄሴ ኦውንስ መሪነት ዩኤስኤ በ1936 የበርሊን ኦሎምፒክ በትራክ እና በመስክ በርካታ የወርቅ ሜዳሊያዎችን አሸንፋለች።</v>
      </c>
    </row>
    <row r="23" ht="22.5" customHeight="1">
      <c r="A23" s="3">
        <v>22.0</v>
      </c>
      <c r="B23" s="4" t="s">
        <v>982</v>
      </c>
      <c r="C23" s="4" t="s">
        <v>983</v>
      </c>
      <c r="D23" s="4" t="s">
        <v>984</v>
      </c>
      <c r="E23" s="4" t="s">
        <v>985</v>
      </c>
      <c r="G23" s="5" t="str">
        <f>IFERROR(__xludf.DUMMYFUNCTION(" GOOGLETRANSLATE(A23, ""en"", ""am"")"),"22")</f>
        <v>22</v>
      </c>
      <c r="H23" s="5" t="str">
        <f>IFERROR(__xludf.DUMMYFUNCTION(" GOOGLETRANSLATE(B23, ""en"", ""am"")"),"በ100ሜ ውድድር 9.6 ሰከንድ የሰበረ የመጀመሪያው ሯጭ ማን ነበር?")</f>
        <v>በ100ሜ ውድድር 9.6 ሰከንድ የሰበረ የመጀመሪያው ሯጭ ማን ነበር?</v>
      </c>
      <c r="I23" s="5" t="str">
        <f>IFERROR(__xludf.DUMMYFUNCTION(" GOOGLETRANSLATE(C23, ""en"", ""am"")"),"ሀ. ዩሴን ቦልት ቢ. ፍሎረንስ ግሪፊዝ ጆይነር ሲ. ታይሰን ጌይ ዲ. አሳፋ ፓውል")</f>
        <v>ሀ. ዩሴን ቦልት ቢ. ፍሎረንስ ግሪፊዝ ጆይነር ሲ. ታይሰን ጌይ ዲ. አሳፋ ፓውል</v>
      </c>
      <c r="J23" s="5" t="str">
        <f>IFERROR(__xludf.DUMMYFUNCTION(" GOOGLETRANSLATE(D23, ""en"", ""am"")"),"አሳፋ ፓውል")</f>
        <v>አሳፋ ፓውል</v>
      </c>
      <c r="K23" s="5" t="str">
        <f>IFERROR(__xludf.DUMMYFUNCTION(" GOOGLETRANSLATE(E23, ""en"", ""am"")"),"አሳፋ ፓውል በ2007 በ100ሜ ውድድር የ9.6 ሰከንድ መሰናክልን በመስበር የመጀመሪያው ሆኗል።")</f>
        <v>አሳፋ ፓውል በ2007 በ100ሜ ውድድር የ9.6 ሰከንድ መሰናክልን በመስበር የመጀመሪያው ሆኗል።</v>
      </c>
    </row>
    <row r="24" ht="22.5" customHeight="1">
      <c r="A24" s="3">
        <v>23.0</v>
      </c>
      <c r="B24" s="4" t="s">
        <v>986</v>
      </c>
      <c r="C24" s="4" t="s">
        <v>987</v>
      </c>
      <c r="D24" s="4" t="s">
        <v>988</v>
      </c>
      <c r="E24" s="4" t="s">
        <v>989</v>
      </c>
      <c r="G24" s="5" t="str">
        <f>IFERROR(__xludf.DUMMYFUNCTION(" GOOGLETRANSLATE(A24, ""en"", ""am"")"),"23")</f>
        <v>23</v>
      </c>
      <c r="H24" s="5" t="str">
        <f>IFERROR(__xludf.DUMMYFUNCTION(" GOOGLETRANSLATE(B24, ""en"", ""am"")"),"በ 1924 ኦሎምፒክ ላይ ፓቮ ኑርሚ የትኛውን ክስተት ተቆጣጠረ?")</f>
        <v>በ 1924 ኦሎምፒክ ላይ ፓቮ ኑርሚ የትኛውን ክስተት ተቆጣጠረ?</v>
      </c>
      <c r="I24" s="5" t="str">
        <f>IFERROR(__xludf.DUMMYFUNCTION(" GOOGLETRANSLATE(C24, ""en"", ""am"")"),"አ. 10,000ሜ ለ. መሰናክል ሐ. 5,000ሜ መ. 10,000ሜ")</f>
        <v>አ. 10,000ሜ ለ. መሰናክል ሐ. 5,000ሜ መ. 10,000ሜ</v>
      </c>
      <c r="J24" s="5" t="str">
        <f>IFERROR(__xludf.DUMMYFUNCTION(" GOOGLETRANSLATE(D24, ""en"", ""am"")"),"10,000ሜ")</f>
        <v>10,000ሜ</v>
      </c>
      <c r="K24" s="5" t="str">
        <f>IFERROR(__xludf.DUMMYFUNCTION(" GOOGLETRANSLATE(E24, ""en"", ""am"")"),"ፓአቮ ኑርሚ በ10,000ሜ ሩጫ የበላይ ሆኖ በ1924 የፓሪስ ኦሊምፒክ በርካታ የወርቅ ሜዳሊያዎችን አስገኝቷል።")</f>
        <v>ፓአቮ ኑርሚ በ10,000ሜ ሩጫ የበላይ ሆኖ በ1924 የፓሪስ ኦሊምፒክ በርካታ የወርቅ ሜዳሊያዎችን አስገኝቷል።</v>
      </c>
    </row>
    <row r="25" ht="22.5" customHeight="1">
      <c r="A25" s="3">
        <v>24.0</v>
      </c>
      <c r="B25" s="4" t="s">
        <v>990</v>
      </c>
      <c r="C25" s="4" t="s">
        <v>991</v>
      </c>
      <c r="D25" s="4" t="s">
        <v>992</v>
      </c>
      <c r="E25" s="4" t="s">
        <v>993</v>
      </c>
      <c r="G25" s="5" t="str">
        <f>IFERROR(__xludf.DUMMYFUNCTION(" GOOGLETRANSLATE(A25, ""en"", ""am"")"),"24")</f>
        <v>24</v>
      </c>
      <c r="H25" s="5" t="str">
        <f>IFERROR(__xludf.DUMMYFUNCTION(" GOOGLETRANSLATE(B25, ""en"", ""am"")"),"በአንድ ኦሎምፒክ በሁለቱም የ100ሜ እና የ200ሜ ሩጫዎች ወርቅ ያሸነፈ የመጀመሪያው የኦሎምፒክ አትሌት ማን ነበር?")</f>
        <v>በአንድ ኦሎምፒክ በሁለቱም የ100ሜ እና የ200ሜ ሩጫዎች ወርቅ ያሸነፈ የመጀመሪያው የኦሎምፒክ አትሌት ማን ነበር?</v>
      </c>
      <c r="I25" s="5" t="str">
        <f>IFERROR(__xludf.DUMMYFUNCTION(" GOOGLETRANSLATE(C25, ""en"", ""am"")"),"ኤ ጄሲ ኦውንስ ቢ ዩሴን ቦልት ሲ. ፍሎረንስ ግሪፍት ጆይነር ዲ. ካርል ሌዊስ")</f>
        <v>ኤ ጄሲ ኦውንስ ቢ ዩሴን ቦልት ሲ. ፍሎረንስ ግሪፍት ጆይነር ዲ. ካርል ሌዊስ</v>
      </c>
      <c r="J25" s="5" t="str">
        <f>IFERROR(__xludf.DUMMYFUNCTION(" GOOGLETRANSLATE(D25, ""en"", ""am"")"),"ካርል ሉዊስ")</f>
        <v>ካርል ሉዊስ</v>
      </c>
      <c r="K25" s="5" t="str">
        <f>IFERROR(__xludf.DUMMYFUNCTION(" GOOGLETRANSLATE(E25, ""en"", ""am"")"),"ካርል ሉዊስ በ1984ቱ የሎስ አንጀለስ ኦሎምፒክ ላይ ይህን ስኬት አስመዝግቧል።")</f>
        <v>ካርል ሉዊስ በ1984ቱ የሎስ አንጀለስ ኦሎምፒክ ላይ ይህን ስኬት አስመዝግቧል።</v>
      </c>
    </row>
    <row r="26" ht="22.5" customHeight="1">
      <c r="A26" s="3">
        <v>25.0</v>
      </c>
      <c r="B26" s="4" t="s">
        <v>994</v>
      </c>
      <c r="C26" s="4" t="s">
        <v>995</v>
      </c>
      <c r="D26" s="4" t="s">
        <v>996</v>
      </c>
      <c r="E26" s="4" t="s">
        <v>997</v>
      </c>
      <c r="G26" s="5" t="str">
        <f>IFERROR(__xludf.DUMMYFUNCTION(" GOOGLETRANSLATE(A26, ""en"", ""am"")"),"25")</f>
        <v>25</v>
      </c>
      <c r="H26" s="5" t="str">
        <f>IFERROR(__xludf.DUMMYFUNCTION(" GOOGLETRANSLATE(B26, ""en"", ""am"")"),"በ1996 የ200ሜውን የአለም ክብረወሰን ያስመዘገበው ማን ነው?")</f>
        <v>በ1996 የ200ሜውን የአለም ክብረወሰን ያስመዘገበው ማን ነው?</v>
      </c>
      <c r="I26" s="5" t="str">
        <f>IFERROR(__xludf.DUMMYFUNCTION(" GOOGLETRANSLATE(C26, ""en"", ""am"")"),"ሀ. ማይክል ጆንሰን ቢ ካርል ሉዊስ ሲ. ፍራንኪ ፍሬድሪክስ ዲ. ሚካኤል ጆንሰን")</f>
        <v>ሀ. ማይክል ጆንሰን ቢ ካርል ሉዊስ ሲ. ፍራንኪ ፍሬድሪክስ ዲ. ሚካኤል ጆንሰን</v>
      </c>
      <c r="J26" s="5" t="str">
        <f>IFERROR(__xludf.DUMMYFUNCTION(" GOOGLETRANSLATE(D26, ""en"", ""am"")"),"ማይክል ጆንሰን")</f>
        <v>ማይክል ጆንሰን</v>
      </c>
      <c r="K26" s="5" t="str">
        <f>IFERROR(__xludf.DUMMYFUNCTION(" GOOGLETRANSLATE(E26, ""en"", ""am"")"),"ማይክል ጆንሰን እ.ኤ.አ. በ1996 በአትላንታ ኦሎምፒክ የ200 ሜትር የአለም ክብረወሰን በ19.32 ሰከንድ አስመዘገበ።")</f>
        <v>ማይክል ጆንሰን እ.ኤ.አ. በ1996 በአትላንታ ኦሎምፒክ የ200 ሜትር የአለም ክብረወሰን በ19.32 ሰከንድ አስመዘገበ።</v>
      </c>
    </row>
    <row r="27" ht="22.5" customHeight="1">
      <c r="A27" s="3">
        <v>26.0</v>
      </c>
      <c r="B27" s="4" t="s">
        <v>998</v>
      </c>
      <c r="C27" s="4" t="s">
        <v>999</v>
      </c>
      <c r="D27" s="4" t="s">
        <v>969</v>
      </c>
      <c r="E27" s="4" t="s">
        <v>1000</v>
      </c>
      <c r="G27" s="5" t="str">
        <f>IFERROR(__xludf.DUMMYFUNCTION(" GOOGLETRANSLATE(A27, ""en"", ""am"")"),"26")</f>
        <v>26</v>
      </c>
      <c r="H27" s="5" t="str">
        <f>IFERROR(__xludf.DUMMYFUNCTION(" GOOGLETRANSLATE(B27, ""en"", ""am"")"),"የረጅም ርቀት ሩጫ ስፖርቱን በተለይም የማራቶንን ውድድር የሚቆጣጠሩት የየት ሀገር አትሌቶች ናቸው?")</f>
        <v>የረጅም ርቀት ሩጫ ስፖርቱን በተለይም የማራቶንን ውድድር የሚቆጣጠሩት የየት ሀገር አትሌቶች ናቸው?</v>
      </c>
      <c r="I27" s="5" t="str">
        <f>IFERROR(__xludf.DUMMYFUNCTION(" GOOGLETRANSLATE(C27, ""en"", ""am"")"),"አ.ጃፓን ብ ኢትዮጵያ ሐ.ጀርመን ዲ.ኬንያ")</f>
        <v>አ.ጃፓን ብ ኢትዮጵያ ሐ.ጀርመን ዲ.ኬንያ</v>
      </c>
      <c r="J27" s="5" t="str">
        <f>IFERROR(__xludf.DUMMYFUNCTION(" GOOGLETRANSLATE(D27, ""en"", ""am"")"),"ኬንያ")</f>
        <v>ኬንያ</v>
      </c>
      <c r="K27" s="5" t="str">
        <f>IFERROR(__xludf.DUMMYFUNCTION(" GOOGLETRANSLATE(E27, ""en"", ""am"")"),"ኬንያ በታሪክ ብዙ የኦሎምፒክ እና የዓለም የማራቶን ሻምፒዮኖችን አፍርታለች።")</f>
        <v>ኬንያ በታሪክ ብዙ የኦሎምፒክ እና የዓለም የማራቶን ሻምፒዮኖችን አፍርታለች።</v>
      </c>
    </row>
    <row r="28" ht="22.5" customHeight="1">
      <c r="A28" s="3">
        <v>27.0</v>
      </c>
      <c r="B28" s="4" t="s">
        <v>1001</v>
      </c>
      <c r="C28" s="4" t="s">
        <v>1002</v>
      </c>
      <c r="D28" s="4" t="s">
        <v>914</v>
      </c>
      <c r="E28" s="4" t="s">
        <v>1003</v>
      </c>
      <c r="G28" s="5" t="str">
        <f>IFERROR(__xludf.DUMMYFUNCTION(" GOOGLETRANSLATE(A28, ""en"", ""am"")"),"27")</f>
        <v>27</v>
      </c>
      <c r="H28" s="5" t="str">
        <f>IFERROR(__xludf.DUMMYFUNCTION(" GOOGLETRANSLATE(B28, ""en"", ""am"")"),"በ2008 የቤጂንግ ኦሊምፒክ በአትሌቲክስ ብዙ ሜዳሊያዎችን ያስመዘገበው ሀገር የትኛው ነው?")</f>
        <v>በ2008 የቤጂንግ ኦሊምፒክ በአትሌቲክስ ብዙ ሜዳሊያዎችን ያስመዘገበው ሀገር የትኛው ነው?</v>
      </c>
      <c r="I28" s="5" t="str">
        <f>IFERROR(__xludf.DUMMYFUNCTION(" GOOGLETRANSLATE(C28, ""en"", ""am"")"),"ኤ አሜሪካ ቢ. ሩሲያ ሲ ቻይና ዲ. አሜሪካ")</f>
        <v>ኤ አሜሪካ ቢ. ሩሲያ ሲ ቻይና ዲ. አሜሪካ</v>
      </c>
      <c r="J28" s="5" t="str">
        <f>IFERROR(__xludf.DUMMYFUNCTION(" GOOGLETRANSLATE(D28, ""en"", ""am"")"),"አሜሪካ")</f>
        <v>አሜሪካ</v>
      </c>
      <c r="K28" s="5" t="str">
        <f>IFERROR(__xludf.DUMMYFUNCTION(" GOOGLETRANSLATE(E28, ""en"", ""am"")"),"እ.ኤ.አ. በ2008 የቤጂንግ ኦሊምፒክ አሜሪካ በአትሌቲክስ ብዙ ሜዳሊያዎችን አግኝታለች።")</f>
        <v>እ.ኤ.አ. በ2008 የቤጂንግ ኦሊምፒክ አሜሪካ በአትሌቲክስ ብዙ ሜዳሊያዎችን አግኝታለች።</v>
      </c>
    </row>
    <row r="29" ht="22.5" customHeight="1">
      <c r="A29" s="3">
        <v>28.0</v>
      </c>
      <c r="B29" s="4" t="s">
        <v>1004</v>
      </c>
      <c r="C29" s="4" t="s">
        <v>1005</v>
      </c>
      <c r="D29" s="4" t="s">
        <v>965</v>
      </c>
      <c r="E29" s="4" t="s">
        <v>1006</v>
      </c>
      <c r="G29" s="5" t="str">
        <f>IFERROR(__xludf.DUMMYFUNCTION(" GOOGLETRANSLATE(A29, ""en"", ""am"")"),"28")</f>
        <v>28</v>
      </c>
      <c r="H29" s="5" t="str">
        <f>IFERROR(__xludf.DUMMYFUNCTION(" GOOGLETRANSLATE(B29, ""en"", ""am"")"),"በ 1954 ውድድር በታዋቂው 'ተአምረኛ ማይል' የሚታወቀው ማነው?")</f>
        <v>በ 1954 ውድድር በታዋቂው 'ተአምረኛ ማይል' የሚታወቀው ማነው?</v>
      </c>
      <c r="I29" s="5" t="str">
        <f>IFERROR(__xludf.DUMMYFUNCTION(" GOOGLETRANSLATE(C29, ""en"", ""am"")"),"ኤ. ሮጀር ባኒስተር ቢ. ጆን ላንዲ ሲ. ስቲቭ ፕሪፎንቴይን ዲ. ሮጀር ባኒስተር")</f>
        <v>ኤ. ሮጀር ባኒስተር ቢ. ጆን ላንዲ ሲ. ስቲቭ ፕሪፎንቴይን ዲ. ሮጀር ባኒስተር</v>
      </c>
      <c r="J29" s="5" t="str">
        <f>IFERROR(__xludf.DUMMYFUNCTION(" GOOGLETRANSLATE(D29, ""en"", ""am"")"),"ሮጀር ባኒስተር")</f>
        <v>ሮጀር ባኒስተር</v>
      </c>
      <c r="K29" s="5" t="str">
        <f>IFERROR(__xludf.DUMMYFUNCTION(" GOOGLETRANSLATE(E29, ""en"", ""am"")"),"እ.ኤ.አ. በ 1954 የሮጀር ባኒስተር 'ተአምራዊ ማይል' ከጆን ላንዲ ጋር ታሪካዊ ውድድር ነበር ፣ እንቅፋቶችን የሰበረ።")</f>
        <v>እ.ኤ.አ. በ 1954 የሮጀር ባኒስተር 'ተአምራዊ ማይል' ከጆን ላንዲ ጋር ታሪካዊ ውድድር ነበር ፣ እንቅፋቶችን የሰበረ።</v>
      </c>
    </row>
    <row r="30" ht="22.5" customHeight="1">
      <c r="A30" s="3">
        <v>29.0</v>
      </c>
      <c r="B30" s="4" t="s">
        <v>1007</v>
      </c>
      <c r="C30" s="4" t="s">
        <v>1008</v>
      </c>
      <c r="D30" s="4" t="s">
        <v>1009</v>
      </c>
      <c r="E30" s="4" t="s">
        <v>1010</v>
      </c>
      <c r="G30" s="5" t="str">
        <f>IFERROR(__xludf.DUMMYFUNCTION(" GOOGLETRANSLATE(A30, ""en"", ""am"")"),"29")</f>
        <v>29</v>
      </c>
      <c r="H30" s="5" t="str">
        <f>IFERROR(__xludf.DUMMYFUNCTION(" GOOGLETRANSLATE(B30, ""en"", ""am"")"),"በኦሎምፒክ በ100ሜ ረጅሙ ሪከርድ ያለው ማን ነው?")</f>
        <v>በኦሎምፒክ በ100ሜ ረጅሙ ሪከርድ ያለው ማን ነው?</v>
      </c>
      <c r="I30" s="5" t="str">
        <f>IFERROR(__xludf.DUMMYFUNCTION(" GOOGLETRANSLATE(C30, ""en"", ""am"")"),"ኤ. ፍሎረንስ ግሪፊት ጆይነር ቢ. ካርል ሌዊስ ሲ. ጄሲ ኦውንስ ዲ. ዩሴን ቦልት")</f>
        <v>ኤ. ፍሎረንስ ግሪፊት ጆይነር ቢ. ካርል ሌዊስ ሲ. ጄሲ ኦውንስ ዲ. ዩሴን ቦልት</v>
      </c>
      <c r="J30" s="5" t="str">
        <f>IFERROR(__xludf.DUMMYFUNCTION(" GOOGLETRANSLATE(D30, ""en"", ""am"")"),"Usain ቦልት")</f>
        <v>Usain ቦልት</v>
      </c>
      <c r="K30" s="5" t="str">
        <f>IFERROR(__xludf.DUMMYFUNCTION(" GOOGLETRANSLATE(E30, ""en"", ""am"")"),"ዩሴን ቦልት በ2012 የለንደን ኦሊምፒክ የአሁኑን የኦሎምፒክ 100ሜ 9.63 ሰከንድ ሪከርድ አስመዝግቧል።")</f>
        <v>ዩሴን ቦልት በ2012 የለንደን ኦሊምፒክ የአሁኑን የኦሎምፒክ 100ሜ 9.63 ሰከንድ ሪከርድ አስመዝግቧል።</v>
      </c>
    </row>
    <row r="31" ht="22.5" customHeight="1">
      <c r="A31" s="3">
        <v>30.0</v>
      </c>
      <c r="B31" s="4" t="s">
        <v>1011</v>
      </c>
      <c r="C31" s="4" t="s">
        <v>1012</v>
      </c>
      <c r="D31" s="4" t="s">
        <v>949</v>
      </c>
      <c r="E31" s="4" t="s">
        <v>1013</v>
      </c>
      <c r="G31" s="5" t="str">
        <f>IFERROR(__xludf.DUMMYFUNCTION(" GOOGLETRANSLATE(A31, ""en"", ""am"")"),"30")</f>
        <v>30</v>
      </c>
      <c r="H31" s="5" t="str">
        <f>IFERROR(__xludf.DUMMYFUNCTION(" GOOGLETRANSLATE(B31, ""en"", ""am"")"),"በ1960 በአፍሪካ አትሌቲክስ ትልቅ ስኬት የሆነውን የኦሎምፒክ ማራቶን ማን አሸነፈ?")</f>
        <v>በ1960 በአፍሪካ አትሌቲክስ ትልቅ ስኬት የሆነውን የኦሎምፒክ ማራቶን ማን አሸነፈ?</v>
      </c>
      <c r="I31" s="5" t="str">
        <f>IFERROR(__xludf.DUMMYFUNCTION(" GOOGLETRANSLATE(C31, ""en"", ""am"")"),"ኤሚል ዛቶፔክ ቢ ጂም ቶርፔ ሲ. ኃይሌ ገብረስላሴ ዲ. አበበ ቢቂላ")</f>
        <v>ኤሚል ዛቶፔክ ቢ ጂም ቶርፔ ሲ. ኃይሌ ገብረስላሴ ዲ. አበበ ቢቂላ</v>
      </c>
      <c r="J31" s="5" t="str">
        <f>IFERROR(__xludf.DUMMYFUNCTION(" GOOGLETRANSLATE(D31, ""en"", ""am"")"),"አበበ ቢቂላ")</f>
        <v>አበበ ቢቂላ</v>
      </c>
      <c r="K31" s="5" t="str">
        <f>IFERROR(__xludf.DUMMYFUNCTION(" GOOGLETRANSLATE(E31, ""en"", ""am"")"),"አበበ ቢቂላ በ1960 የሮም ኦሊምፒክ ማራቶን በባዶ እግሩ አሸንፏል።")</f>
        <v>አበበ ቢቂላ በ1960 የሮም ኦሊምፒክ ማራቶን በባዶ እግሩ አሸንፏል።</v>
      </c>
    </row>
    <row r="32" ht="22.5" customHeight="1">
      <c r="A32" s="3">
        <v>31.0</v>
      </c>
      <c r="B32" s="4" t="s">
        <v>1014</v>
      </c>
      <c r="C32" s="4" t="s">
        <v>1015</v>
      </c>
      <c r="D32" s="4" t="s">
        <v>992</v>
      </c>
      <c r="E32" s="4" t="s">
        <v>1016</v>
      </c>
      <c r="G32" s="5" t="str">
        <f>IFERROR(__xludf.DUMMYFUNCTION(" GOOGLETRANSLATE(A32, ""en"", ""am"")"),"31")</f>
        <v>31</v>
      </c>
      <c r="H32" s="5" t="str">
        <f>IFERROR(__xludf.DUMMYFUNCTION(" GOOGLETRANSLATE(B32, ""en"", ""am"")"),"በተመሳሳይ ኦሊምፒክ በ100ሜ፣ 200ሜ እና 4x100ሜ የወርቅ ሜዳሊያ ያስመዘገበ የመጀመሪያው አትሌት ማን ነበር?")</f>
        <v>በተመሳሳይ ኦሊምፒክ በ100ሜ፣ 200ሜ እና 4x100ሜ የወርቅ ሜዳሊያ ያስመዘገበ የመጀመሪያው አትሌት ማን ነበር?</v>
      </c>
      <c r="I32" s="5" t="str">
        <f>IFERROR(__xludf.DUMMYFUNCTION(" GOOGLETRANSLATE(C32, ""en"", ""am"")"),"ኤ ዩሴን ቦልት ቢ.ሚካኤል ጆንሰን ሲ ጄሲ ኦውንስ ዲ ካርል ሌዊስ")</f>
        <v>ኤ ዩሴን ቦልት ቢ.ሚካኤል ጆንሰን ሲ ጄሲ ኦውንስ ዲ ካርል ሌዊስ</v>
      </c>
      <c r="J32" s="5" t="str">
        <f>IFERROR(__xludf.DUMMYFUNCTION(" GOOGLETRANSLATE(D32, ""en"", ""am"")"),"ካርል ሉዊስ")</f>
        <v>ካርል ሉዊስ</v>
      </c>
      <c r="K32" s="5" t="str">
        <f>IFERROR(__xludf.DUMMYFUNCTION(" GOOGLETRANSLATE(E32, ""en"", ""am"")"),"ካርል ሌዊስ በ1984 የሎስ አንጀለስ ኦሎምፒክ በ100ሜ፣ 200ሜ እና 4x100ሜ ወርቅ አሸንፏል።")</f>
        <v>ካርል ሌዊስ በ1984 የሎስ አንጀለስ ኦሎምፒክ በ100ሜ፣ 200ሜ እና 4x100ሜ ወርቅ አሸንፏል።</v>
      </c>
    </row>
    <row r="33" ht="22.5" customHeight="1">
      <c r="A33" s="3">
        <v>32.0</v>
      </c>
      <c r="B33" s="4" t="s">
        <v>1017</v>
      </c>
      <c r="C33" s="4" t="s">
        <v>1018</v>
      </c>
      <c r="D33" s="4" t="s">
        <v>1019</v>
      </c>
      <c r="E33" s="4" t="s">
        <v>1020</v>
      </c>
      <c r="G33" s="5" t="str">
        <f>IFERROR(__xludf.DUMMYFUNCTION(" GOOGLETRANSLATE(A33, ""en"", ""am"")"),"32")</f>
        <v>32</v>
      </c>
      <c r="H33" s="5" t="str">
        <f>IFERROR(__xludf.DUMMYFUNCTION(" GOOGLETRANSLATE(B33, ""en"", ""am"")"),"አበበ ቢቂላ ማራቶን ያሸነፈበት የ1960ቱን የሮም ኦሎምፒክ ያዘጋጀው የትኛው ሀገር ነው?")</f>
        <v>አበበ ቢቂላ ማራቶን ያሸነፈበት የ1960ቱን የሮም ኦሎምፒክ ያዘጋጀው የትኛው ሀገር ነው?</v>
      </c>
      <c r="I33" s="5" t="str">
        <f>IFERROR(__xludf.DUMMYFUNCTION(" GOOGLETRANSLATE(C33, ""en"", ""am"")"),"ኣብ ፈረንሳ ብ ኣመሪካ ሲ ጣልያን ዲ.ጣልያን")</f>
        <v>ኣብ ፈረንሳ ብ ኣመሪካ ሲ ጣልያን ዲ.ጣልያን</v>
      </c>
      <c r="J33" s="5" t="str">
        <f>IFERROR(__xludf.DUMMYFUNCTION(" GOOGLETRANSLATE(D33, ""en"", ""am"")"),"ጣሊያን")</f>
        <v>ጣሊያን</v>
      </c>
      <c r="K33" s="5" t="str">
        <f>IFERROR(__xludf.DUMMYFUNCTION(" GOOGLETRANSLATE(E33, ""en"", ""am"")"),"እ.ኤ.አ. በ1960 የተካሄደው የሮም ኦሎምፒክ በአበበ ቢቂላ አሸናፊነት የመጀመሪያውን የአፍሪካ ማራቶን የወርቅ ሜዳሊያ አስገኝቷል።")</f>
        <v>እ.ኤ.አ. በ1960 የተካሄደው የሮም ኦሎምፒክ በአበበ ቢቂላ አሸናፊነት የመጀመሪያውን የአፍሪካ ማራቶን የወርቅ ሜዳሊያ አስገኝቷል።</v>
      </c>
    </row>
    <row r="34" ht="22.5" customHeight="1">
      <c r="A34" s="3">
        <v>33.0</v>
      </c>
      <c r="B34" s="4" t="s">
        <v>1021</v>
      </c>
      <c r="C34" s="4" t="s">
        <v>1022</v>
      </c>
      <c r="D34" s="4" t="s">
        <v>1023</v>
      </c>
      <c r="E34" s="4" t="s">
        <v>1024</v>
      </c>
      <c r="G34" s="5" t="str">
        <f>IFERROR(__xludf.DUMMYFUNCTION(" GOOGLETRANSLATE(A34, ""en"", ""am"")"),"33")</f>
        <v>33</v>
      </c>
      <c r="H34" s="5" t="str">
        <f>IFERROR(__xludf.DUMMYFUNCTION(" GOOGLETRANSLATE(B34, ""en"", ""am"")"),"በ1984 የሴቶች ኦሊምፒክ ማራቶን ማን አሸነፈ?")</f>
        <v>በ1984 የሴቶች ኦሊምፒክ ማራቶን ማን አሸነፈ?</v>
      </c>
      <c r="I34" s="5" t="str">
        <f>IFERROR(__xludf.DUMMYFUNCTION(" GOOGLETRANSLATE(C34, ""en"", ""am"")"),"ሀ. ዣን ቤኖይት ሳሙኤልሰን ቢ. ካትሪን ስዊዘርላንድ ሲ. ኒና ኩሲች ዲ. ዣን ቤኖይት ሳሙኤልሰን")</f>
        <v>ሀ. ዣን ቤኖይት ሳሙኤልሰን ቢ. ካትሪን ስዊዘርላንድ ሲ. ኒና ኩሲች ዲ. ዣን ቤኖይት ሳሙኤልሰን</v>
      </c>
      <c r="J34" s="5" t="str">
        <f>IFERROR(__xludf.DUMMYFUNCTION(" GOOGLETRANSLATE(D34, ""en"", ""am"")"),"ዣን ቤኖይት ሳሙኤልሰን")</f>
        <v>ዣን ቤኖይት ሳሙኤልሰን</v>
      </c>
      <c r="K34" s="5" t="str">
        <f>IFERROR(__xludf.DUMMYFUNCTION(" GOOGLETRANSLATE(E34, ""en"", ""am"")"),"ጆአን ቤኖይት ሳሙኤልሰን እ.ኤ.አ. በ1984 የመጀመሪያውን ይፋዊ የሴቶች ኦሊምፒክ ማራቶን አሸንፋለች።")</f>
        <v>ጆአን ቤኖይት ሳሙኤልሰን እ.ኤ.አ. በ1984 የመጀመሪያውን ይፋዊ የሴቶች ኦሊምፒክ ማራቶን አሸንፋለች።</v>
      </c>
    </row>
    <row r="35" ht="22.5" customHeight="1">
      <c r="A35" s="3">
        <v>34.0</v>
      </c>
      <c r="B35" s="4" t="s">
        <v>1025</v>
      </c>
      <c r="C35" s="4" t="s">
        <v>1026</v>
      </c>
      <c r="D35" s="4" t="s">
        <v>1027</v>
      </c>
      <c r="E35" s="4" t="s">
        <v>1028</v>
      </c>
      <c r="G35" s="5" t="str">
        <f>IFERROR(__xludf.DUMMYFUNCTION(" GOOGLETRANSLATE(A35, ""en"", ""am"")"),"34")</f>
        <v>34</v>
      </c>
      <c r="H35" s="5" t="str">
        <f>IFERROR(__xludf.DUMMYFUNCTION(" GOOGLETRANSLATE(B35, ""en"", ""am"")"),"በ1983 የመጀመሪያውን የአለም አትሌቲክስ ሻምፒዮና ያዘጋጀው የትኛው ከተማ ነው?")</f>
        <v>በ1983 የመጀመሪያውን የአለም አትሌቲክስ ሻምፒዮና ያዘጋጀው የትኛው ከተማ ነው?</v>
      </c>
      <c r="I35" s="5" t="str">
        <f>IFERROR(__xludf.DUMMYFUNCTION(" GOOGLETRANSLATE(C35, ""en"", ""am"")"),"ኤ. ሎስ አንጀለስ ቢ. በርሊን ሲ. ሄልሲንኪ ዲ. ሄልሲንኪ")</f>
        <v>ኤ. ሎስ አንጀለስ ቢ. በርሊን ሲ. ሄልሲንኪ ዲ. ሄልሲንኪ</v>
      </c>
      <c r="J35" s="5" t="str">
        <f>IFERROR(__xludf.DUMMYFUNCTION(" GOOGLETRANSLATE(D35, ""en"", ""am"")"),"ሄልሲንኪ")</f>
        <v>ሄልሲንኪ</v>
      </c>
      <c r="K35" s="5" t="str">
        <f>IFERROR(__xludf.DUMMYFUNCTION(" GOOGLETRANSLATE(E35, ""en"", ""am"")"),"ሄልሲንኪ በ1983 የመጀመሪያውን የዓለም አትሌቲክስ ሻምፒዮና አስተናግዳለች።")</f>
        <v>ሄልሲንኪ በ1983 የመጀመሪያውን የዓለም አትሌቲክስ ሻምፒዮና አስተናግዳለች።</v>
      </c>
    </row>
    <row r="36" ht="22.5" customHeight="1">
      <c r="A36" s="3">
        <v>35.0</v>
      </c>
      <c r="B36" s="4" t="s">
        <v>1029</v>
      </c>
      <c r="C36" s="4" t="s">
        <v>1030</v>
      </c>
      <c r="D36" s="4" t="s">
        <v>914</v>
      </c>
      <c r="E36" s="4" t="s">
        <v>1031</v>
      </c>
      <c r="G36" s="5" t="str">
        <f>IFERROR(__xludf.DUMMYFUNCTION(" GOOGLETRANSLATE(A36, ""en"", ""am"")"),"35")</f>
        <v>35</v>
      </c>
      <c r="H36" s="5" t="str">
        <f>IFERROR(__xludf.DUMMYFUNCTION(" GOOGLETRANSLATE(B36, ""en"", ""am"")"),"በ2008 የቤጂንግ ኦሊምፒክ ብዙ የወርቅ ሜዳሊያዎችን ያስመዘገበው ሀገር የትኛው ነው?")</f>
        <v>በ2008 የቤጂንግ ኦሊምፒክ ብዙ የወርቅ ሜዳሊያዎችን ያስመዘገበው ሀገር የትኛው ነው?</v>
      </c>
      <c r="I36" s="5" t="str">
        <f>IFERROR(__xludf.DUMMYFUNCTION(" GOOGLETRANSLATE(C36, ""en"", ""am"")"),"አ.ቻይና ቢ.ሩሲያ ሲ.ጃማይካ ዲ.አሜሪካ")</f>
        <v>አ.ቻይና ቢ.ሩሲያ ሲ.ጃማይካ ዲ.አሜሪካ</v>
      </c>
      <c r="J36" s="5" t="str">
        <f>IFERROR(__xludf.DUMMYFUNCTION(" GOOGLETRANSLATE(D36, ""en"", ""am"")"),"አሜሪካ")</f>
        <v>አሜሪካ</v>
      </c>
      <c r="K36" s="5" t="str">
        <f>IFERROR(__xludf.DUMMYFUNCTION(" GOOGLETRANSLATE(E36, ""en"", ""am"")"),"በ2008 የቤጂንግ ኦሊምፒክ ዩናይትድ ስቴትስ በ36 የወርቅ ሜዳሊያዎች አንደኛ ሆናለች።")</f>
        <v>በ2008 የቤጂንግ ኦሊምፒክ ዩናይትድ ስቴትስ በ36 የወርቅ ሜዳሊያዎች አንደኛ ሆናለች።</v>
      </c>
    </row>
    <row r="37" ht="22.5" customHeight="1">
      <c r="A37" s="3">
        <v>36.0</v>
      </c>
      <c r="B37" s="4" t="s">
        <v>1032</v>
      </c>
      <c r="C37" s="4" t="s">
        <v>1033</v>
      </c>
      <c r="D37" s="4" t="s">
        <v>1009</v>
      </c>
      <c r="E37" s="4" t="s">
        <v>1034</v>
      </c>
      <c r="G37" s="5" t="str">
        <f>IFERROR(__xludf.DUMMYFUNCTION(" GOOGLETRANSLATE(A37, ""en"", ""am"")"),"36")</f>
        <v>36</v>
      </c>
      <c r="H37" s="5" t="str">
        <f>IFERROR(__xludf.DUMMYFUNCTION(" GOOGLETRANSLATE(B37, ""en"", ""am"")"),"በ2008 የቤጂንግ ኦሊምፒክ ብዙ ሪከርዶችን የሰበረ ታዋቂው ጃማይካዊ ሯጭ የትኛው ነው?")</f>
        <v>በ2008 የቤጂንግ ኦሊምፒክ ብዙ ሪከርዶችን የሰበረ ታዋቂው ጃማይካዊ ሯጭ የትኛው ነው?</v>
      </c>
      <c r="I37" s="5" t="str">
        <f>IFERROR(__xludf.DUMMYFUNCTION(" GOOGLETRANSLATE(C37, ""en"", ""am"")"),"ኤ. ሼሊ-አን ፍሬዘር-ፕሪስ ቢ. አሳፋ ፓውል ሲ. ታይሰን ጌይ ዲ. ዩሴን ቦልት")</f>
        <v>ኤ. ሼሊ-አን ፍሬዘር-ፕሪስ ቢ. አሳፋ ፓውል ሲ. ታይሰን ጌይ ዲ. ዩሴን ቦልት</v>
      </c>
      <c r="J37" s="5" t="str">
        <f>IFERROR(__xludf.DUMMYFUNCTION(" GOOGLETRANSLATE(D37, ""en"", ""am"")"),"Usain ቦልት")</f>
        <v>Usain ቦልት</v>
      </c>
      <c r="K37" s="5" t="str">
        <f>IFERROR(__xludf.DUMMYFUNCTION(" GOOGLETRANSLATE(E37, ""en"", ""am"")"),"ዩሴይን ቦልት በ2008 የቤጂንግ ኦሊምፒክ በርካታ የሩጫ ሪከርዶችን በመስበር የ100ሜ እና 200ሜ.")</f>
        <v>ዩሴይን ቦልት በ2008 የቤጂንግ ኦሊምፒክ በርካታ የሩጫ ሪከርዶችን በመስበር የ100ሜ እና 200ሜ.</v>
      </c>
    </row>
    <row r="38" ht="22.5" customHeight="1">
      <c r="A38" s="3">
        <v>37.0</v>
      </c>
      <c r="B38" s="4" t="s">
        <v>1035</v>
      </c>
      <c r="C38" s="4" t="s">
        <v>1036</v>
      </c>
      <c r="D38" s="4" t="s">
        <v>1037</v>
      </c>
      <c r="E38" s="4" t="s">
        <v>1038</v>
      </c>
      <c r="G38" s="5" t="str">
        <f>IFERROR(__xludf.DUMMYFUNCTION(" GOOGLETRANSLATE(A38, ""en"", ""am"")"),"37")</f>
        <v>37</v>
      </c>
      <c r="H38" s="5" t="str">
        <f>IFERROR(__xludf.DUMMYFUNCTION(" GOOGLETRANSLATE(B38, ""en"", ""am"")"),"በ2012 የለንደን ኦሎምፒክ በ400ሜ የወርቅ ሜዳሊያ ያስገኘው ማን ነው?")</f>
        <v>በ2012 የለንደን ኦሎምፒክ በ400ሜ የወርቅ ሜዳሊያ ያስገኘው ማን ነው?</v>
      </c>
      <c r="I38" s="5" t="str">
        <f>IFERROR(__xludf.DUMMYFUNCTION(" GOOGLETRANSLATE(C38, ""en"", ""am"")"),"ሀ. ዴቪድ ሩዲሻ ቢ ኪራኒ ጄምስ ሲ. የላሻውን መሪ ዲ. የላሻውን መሪ")</f>
        <v>ሀ. ዴቪድ ሩዲሻ ቢ ኪራኒ ጄምስ ሲ. የላሻውን መሪ ዲ. የላሻውን መሪ</v>
      </c>
      <c r="J38" s="5" t="str">
        <f>IFERROR(__xludf.DUMMYFUNCTION(" GOOGLETRANSLATE(D38, ""en"", ""am"")"),"የላሻውን መሪ")</f>
        <v>የላሻውን መሪ</v>
      </c>
      <c r="K38" s="5" t="str">
        <f>IFERROR(__xludf.DUMMYFUNCTION(" GOOGLETRANSLATE(E38, ""en"", ""am"")"),"በ2012 የለንደን ኦሊምፒክ የ400 ሜትር የወርቅ ሜዳሊያ አሸንፎ ላሹን ሜሪትን በ43.01 ሰከንድ አሸንፏል።")</f>
        <v>በ2012 የለንደን ኦሊምፒክ የ400 ሜትር የወርቅ ሜዳሊያ አሸንፎ ላሹን ሜሪትን በ43.01 ሰከንድ አሸንፏል።</v>
      </c>
    </row>
    <row r="39" ht="22.5" customHeight="1">
      <c r="A39" s="3">
        <v>38.0</v>
      </c>
      <c r="B39" s="4" t="s">
        <v>1039</v>
      </c>
      <c r="C39" s="4" t="s">
        <v>1040</v>
      </c>
      <c r="D39" s="4" t="s">
        <v>914</v>
      </c>
      <c r="E39" s="4" t="s">
        <v>1041</v>
      </c>
      <c r="G39" s="5" t="str">
        <f>IFERROR(__xludf.DUMMYFUNCTION(" GOOGLETRANSLATE(A39, ""en"", ""am"")"),"38")</f>
        <v>38</v>
      </c>
      <c r="H39" s="5" t="str">
        <f>IFERROR(__xludf.DUMMYFUNCTION(" GOOGLETRANSLATE(B39, ""en"", ""am"")"),"በወንዶች 4x100ሜ ሪከርድ የያዘው ሀገር የትኛው ነው?")</f>
        <v>በወንዶች 4x100ሜ ሪከርድ የያዘው ሀገር የትኛው ነው?</v>
      </c>
      <c r="I39" s="5" t="str">
        <f>IFERROR(__xludf.DUMMYFUNCTION(" GOOGLETRANSLATE(C39, ""en"", ""am"")"),"አ.ጃማይካ ቢ ታላቋ ብሪታኒያ ሲ.ሩሲያ ዲ. አሜሪካ")</f>
        <v>አ.ጃማይካ ቢ ታላቋ ብሪታኒያ ሲ.ሩሲያ ዲ. አሜሪካ</v>
      </c>
      <c r="J39" s="5" t="str">
        <f>IFERROR(__xludf.DUMMYFUNCTION(" GOOGLETRANSLATE(D39, ""en"", ""am"")"),"አሜሪካ")</f>
        <v>አሜሪካ</v>
      </c>
      <c r="K39" s="5" t="str">
        <f>IFERROR(__xludf.DUMMYFUNCTION(" GOOGLETRANSLATE(E39, ""en"", ""am"")"),"ዩኤስኤ በ2012 37.04 ሰከንድ በመግባት በ4x100m ሪከርድ ሆናለች።")</f>
        <v>ዩኤስኤ በ2012 37.04 ሰከንድ በመግባት በ4x100m ሪከርድ ሆናለች።</v>
      </c>
    </row>
    <row r="40" ht="22.5" customHeight="1">
      <c r="A40" s="3">
        <v>39.0</v>
      </c>
      <c r="B40" s="4" t="s">
        <v>1042</v>
      </c>
      <c r="C40" s="4" t="s">
        <v>1043</v>
      </c>
      <c r="D40" s="4" t="s">
        <v>1044</v>
      </c>
      <c r="E40" s="4" t="s">
        <v>1045</v>
      </c>
      <c r="G40" s="5" t="str">
        <f>IFERROR(__xludf.DUMMYFUNCTION(" GOOGLETRANSLATE(A40, ""en"", ""am"")"),"39")</f>
        <v>39</v>
      </c>
      <c r="H40" s="5" t="str">
        <f>IFERROR(__xludf.DUMMYFUNCTION(" GOOGLETRANSLATE(B40, ""en"", ""am"")"),"የትኛው አትሌት ነው በራሪ ቅፅል ስም የሚታወቀው?")</f>
        <v>የትኛው አትሌት ነው በራሪ ቅፅል ስም የሚታወቀው?</v>
      </c>
      <c r="I40" s="5" t="str">
        <f>IFERROR(__xludf.DUMMYFUNCTION(" GOOGLETRANSLATE(C40, ""en"", ""am"")"),"ኤ ላሴ ቪረን ቢ ጃሪ ሊትማን ሲ. ቲሞ ሴላኔ ዲ. ፓአቮ ኑርሚ")</f>
        <v>ኤ ላሴ ቪረን ቢ ጃሪ ሊትማን ሲ. ቲሞ ሴላኔ ዲ. ፓአቮ ኑርሚ</v>
      </c>
      <c r="J40" s="5" t="str">
        <f>IFERROR(__xludf.DUMMYFUNCTION(" GOOGLETRANSLATE(D40, ""en"", ""am"")"),"ፓአቮ ኑርሚ")</f>
        <v>ፓአቮ ኑርሚ</v>
      </c>
      <c r="K40" s="5" t="str">
        <f>IFERROR(__xludf.DUMMYFUNCTION(" GOOGLETRANSLATE(E40, ""en"", ""am"")"),"'የሚበር ፊንላንድ' በመባል የሚታወቀው ፓአቮ ኑርሚ ከምን ጊዜም ታላቅ የርቀት ሯጮች አንዱ ነበር።")</f>
        <v>'የሚበር ፊንላንድ' በመባል የሚታወቀው ፓአቮ ኑርሚ ከምን ጊዜም ታላቅ የርቀት ሯጮች አንዱ ነበር።</v>
      </c>
    </row>
    <row r="41" ht="22.5" customHeight="1">
      <c r="A41" s="3">
        <v>40.0</v>
      </c>
      <c r="B41" s="4" t="s">
        <v>1046</v>
      </c>
      <c r="C41" s="4" t="s">
        <v>1047</v>
      </c>
      <c r="D41" s="4" t="s">
        <v>1009</v>
      </c>
      <c r="E41" s="4" t="s">
        <v>1048</v>
      </c>
      <c r="G41" s="5" t="str">
        <f>IFERROR(__xludf.DUMMYFUNCTION(" GOOGLETRANSLATE(A41, ""en"", ""am"")"),"40")</f>
        <v>40</v>
      </c>
      <c r="H41" s="5" t="str">
        <f>IFERROR(__xludf.DUMMYFUNCTION(" GOOGLETRANSLATE(B41, ""en"", ""am"")"),"በ2009 የ100 ሜትር የአለም ክብረ ወሰን ያስመዘገበው ማን ነው?")</f>
        <v>በ2009 የ100 ሜትር የአለም ክብረ ወሰን ያስመዘገበው ማን ነው?</v>
      </c>
      <c r="I41" s="5" t="str">
        <f>IFERROR(__xludf.DUMMYFUNCTION(" GOOGLETRANSLATE(C41, ""en"", ""am"")"),"ኤ. ታይሰን ጌይ ቢ. አሳፋ ፓውል ሲ. ጆን ብሌክ ዲ ዩሴን ቦልት")</f>
        <v>ኤ. ታይሰን ጌይ ቢ. አሳፋ ፓውል ሲ. ጆን ብሌክ ዲ ዩሴን ቦልት</v>
      </c>
      <c r="J41" s="5" t="str">
        <f>IFERROR(__xludf.DUMMYFUNCTION(" GOOGLETRANSLATE(D41, ""en"", ""am"")"),"Usain ቦልት")</f>
        <v>Usain ቦልት</v>
      </c>
      <c r="K41" s="5" t="str">
        <f>IFERROR(__xludf.DUMMYFUNCTION(" GOOGLETRANSLATE(E41, ""en"", ""am"")"),"በ2009 የበርሊን የአለም ሻምፒዮና ዩሴን ቦልት በ9.58 ሰከንድ የ100 ሜትር የአለም ክብረወሰን አስመዝግቧል።")</f>
        <v>በ2009 የበርሊን የአለም ሻምፒዮና ዩሴን ቦልት በ9.58 ሰከንድ የ100 ሜትር የአለም ክብረወሰን አስመዝግቧል።</v>
      </c>
    </row>
    <row r="42" ht="22.5" customHeight="1">
      <c r="A42" s="3">
        <v>41.0</v>
      </c>
      <c r="B42" s="4" t="s">
        <v>1049</v>
      </c>
      <c r="C42" s="4" t="s">
        <v>1050</v>
      </c>
      <c r="D42" s="4" t="s">
        <v>949</v>
      </c>
      <c r="E42" s="4" t="s">
        <v>1051</v>
      </c>
      <c r="G42" s="5" t="str">
        <f>IFERROR(__xludf.DUMMYFUNCTION(" GOOGLETRANSLATE(A42, ""en"", ""am"")"),"41")</f>
        <v>41</v>
      </c>
      <c r="H42" s="5" t="str">
        <f>IFERROR(__xludf.DUMMYFUNCTION(" GOOGLETRANSLATE(B42, ""en"", ""am"")"),"በኦሎምፒክ ማራቶን ያሸነፈ የመጀመሪያው አፍሪካዊ አትሌት ማን ነበር?")</f>
        <v>በኦሎምፒክ ማራቶን ያሸነፈ የመጀመሪያው አፍሪካዊ አትሌት ማን ነበር?</v>
      </c>
      <c r="I42" s="5" t="str">
        <f>IFERROR(__xludf.DUMMYFUNCTION(" GOOGLETRANSLATE(C42, ""en"", ""am"")"),"ሀ/ ኃይለ ገብረስላሴ ብ ኤሚል ዛቶፔክ ሲ. ፈይሳ ሊሌሳ ዲ. አበበ ቢቂላ")</f>
        <v>ሀ/ ኃይለ ገብረስላሴ ብ ኤሚል ዛቶፔክ ሲ. ፈይሳ ሊሌሳ ዲ. አበበ ቢቂላ</v>
      </c>
      <c r="J42" s="5" t="str">
        <f>IFERROR(__xludf.DUMMYFUNCTION(" GOOGLETRANSLATE(D42, ""en"", ""am"")"),"አበበ ቢቂላ")</f>
        <v>አበበ ቢቂላ</v>
      </c>
      <c r="K42" s="5" t="str">
        <f>IFERROR(__xludf.DUMMYFUNCTION(" GOOGLETRANSLATE(E42, ""en"", ""am"")"),"አበበ ቢቂላ በ1960 የሮም ኦሎምፒክ በኦሎምፒክ ማራቶን ያሸነፈ የመጀመሪያው አፍሪካዊ አትሌት ሆኗል።")</f>
        <v>አበበ ቢቂላ በ1960 የሮም ኦሎምፒክ በኦሎምፒክ ማራቶን ያሸነፈ የመጀመሪያው አፍሪካዊ አትሌት ሆኗል።</v>
      </c>
    </row>
    <row r="43" ht="22.5" customHeight="1">
      <c r="A43" s="3">
        <v>42.0</v>
      </c>
      <c r="B43" s="4" t="s">
        <v>1052</v>
      </c>
      <c r="C43" s="4" t="s">
        <v>1053</v>
      </c>
      <c r="D43" s="4" t="s">
        <v>1054</v>
      </c>
      <c r="E43" s="4" t="s">
        <v>1055</v>
      </c>
      <c r="G43" s="5" t="str">
        <f>IFERROR(__xludf.DUMMYFUNCTION(" GOOGLETRANSLATE(A43, ""en"", ""am"")"),"42")</f>
        <v>42</v>
      </c>
      <c r="H43" s="5" t="str">
        <f>IFERROR(__xludf.DUMMYFUNCTION(" GOOGLETRANSLATE(B43, ""en"", ""am"")"),"በ1988 በሴኡል ኦሎምፒክ የ100ሜ፣ 200ሜ እና 4x100ሜ ሩጫ ያሸነፈችው ሴት አትሌት ማን ናት?")</f>
        <v>በ1988 በሴኡል ኦሎምፒክ የ100ሜ፣ 200ሜ እና 4x100ሜ ሩጫ ያሸነፈችው ሴት አትሌት ማን ናት?</v>
      </c>
      <c r="I43" s="5" t="str">
        <f>IFERROR(__xludf.DUMMYFUNCTION(" GOOGLETRANSLATE(C43, ""en"", ""am"")"),"አ. ካርል ሌዊስ ቢ. ሼሊ-አን ፍሬዘር-ፕሪስ ሲ ማሪዮን ጆንስ ዲ. ፍሎረንስ ግሪፊዝስ ጆይነር")</f>
        <v>አ. ካርል ሌዊስ ቢ. ሼሊ-አን ፍሬዘር-ፕሪስ ሲ ማሪዮን ጆንስ ዲ. ፍሎረንስ ግሪፊዝስ ጆይነር</v>
      </c>
      <c r="J43" s="5" t="str">
        <f>IFERROR(__xludf.DUMMYFUNCTION(" GOOGLETRANSLATE(D43, ""en"", ""am"")"),"ፍሎረንስ Griffiths Joyner")</f>
        <v>ፍሎረንስ Griffiths Joyner</v>
      </c>
      <c r="K43" s="5" t="str">
        <f>IFERROR(__xludf.DUMMYFUNCTION(" GOOGLETRANSLATE(E43, ""en"", ""am"")"),"ፍሎረንስ ግሪፊዝ ጆይነር በ1988 በሴኡል ኦሎምፒክ በ100ሜ፣ 200ሜ እና 4x100ሜ ሶስት የወርቅ ሜዳሊያዎችን አስገኝታለች።")</f>
        <v>ፍሎረንስ ግሪፊዝ ጆይነር በ1988 በሴኡል ኦሎምፒክ በ100ሜ፣ 200ሜ እና 4x100ሜ ሶስት የወርቅ ሜዳሊያዎችን አስገኝታለች።</v>
      </c>
    </row>
    <row r="44" ht="22.5" customHeight="1">
      <c r="A44" s="3">
        <v>43.0</v>
      </c>
      <c r="B44" s="4" t="s">
        <v>1056</v>
      </c>
      <c r="C44" s="4" t="s">
        <v>1057</v>
      </c>
      <c r="D44" s="4" t="s">
        <v>914</v>
      </c>
      <c r="E44" s="4" t="s">
        <v>1058</v>
      </c>
      <c r="G44" s="5" t="str">
        <f>IFERROR(__xludf.DUMMYFUNCTION(" GOOGLETRANSLATE(A44, ""en"", ""am"")"),"43")</f>
        <v>43</v>
      </c>
      <c r="H44" s="5" t="str">
        <f>IFERROR(__xludf.DUMMYFUNCTION(" GOOGLETRANSLATE(B44, ""en"", ""am"")"),"በ2020 በአትሌቲክስ ብዙ የኦሎምፒክ ሜዳሊያዎችን ያሸነፈ ሀገር የትኛው ነው?")</f>
        <v>በ2020 በአትሌቲክስ ብዙ የኦሎምፒክ ሜዳሊያዎችን ያሸነፈ ሀገር የትኛው ነው?</v>
      </c>
      <c r="I44" s="5" t="str">
        <f>IFERROR(__xludf.DUMMYFUNCTION(" GOOGLETRANSLATE(C44, ""en"", ""am"")"),"አ.ጃማይካ ቢ.ኬንያ ሲ ቻይና ዲ.አሜሪካ")</f>
        <v>አ.ጃማይካ ቢ.ኬንያ ሲ ቻይና ዲ.አሜሪካ</v>
      </c>
      <c r="J44" s="5" t="str">
        <f>IFERROR(__xludf.DUMMYFUNCTION(" GOOGLETRANSLATE(D44, ""en"", ""am"")"),"አሜሪካ")</f>
        <v>አሜሪካ</v>
      </c>
      <c r="K44" s="5" t="str">
        <f>IFERROR(__xludf.DUMMYFUNCTION(" GOOGLETRANSLATE(E44, ""en"", ""am"")"),"ዩናይትድ ስቴትስ በ2020 የቶኪዮ ኦሊምፒክ በአትሌቲክስ ብዙ የኦሎምፒክ ሜዳሊያዎችን በ26 ሜዳሊያዎች አሸንፋለች።")</f>
        <v>ዩናይትድ ስቴትስ በ2020 የቶኪዮ ኦሊምፒክ በአትሌቲክስ ብዙ የኦሎምፒክ ሜዳሊያዎችን በ26 ሜዳሊያዎች አሸንፋለች።</v>
      </c>
    </row>
    <row r="45" ht="22.5" customHeight="1">
      <c r="A45" s="3">
        <v>44.0</v>
      </c>
      <c r="B45" s="4" t="s">
        <v>1059</v>
      </c>
      <c r="C45" s="4" t="s">
        <v>1060</v>
      </c>
      <c r="D45" s="4" t="s">
        <v>1061</v>
      </c>
      <c r="E45" s="4" t="s">
        <v>1062</v>
      </c>
      <c r="G45" s="5" t="str">
        <f>IFERROR(__xludf.DUMMYFUNCTION(" GOOGLETRANSLATE(A45, ""en"", ""am"")"),"44")</f>
        <v>44</v>
      </c>
      <c r="H45" s="5" t="str">
        <f>IFERROR(__xludf.DUMMYFUNCTION(" GOOGLETRANSLATE(B45, ""en"", ""am"")"),"በ1998 የወንዶች 1500ሜ የአለም ክብረወሰን ማን አስመዘገበ?")</f>
        <v>በ1998 የወንዶች 1500ሜ የአለም ክብረወሰን ማን አስመዘገበ?</v>
      </c>
      <c r="I45" s="5" t="str">
        <f>IFERROR(__xludf.DUMMYFUNCTION(" GOOGLETRANSLATE(C45, ""en"", ""am"")"),"ቀነኒሳ በቀለ ብ ኖህ ንጄኒ ሲ. አስቤል ኪፕሮፕ ዲ. ሂቻም ኤል ጉሮውጅ")</f>
        <v>ቀነኒሳ በቀለ ብ ኖህ ንጄኒ ሲ. አስቤል ኪፕሮፕ ዲ. ሂቻም ኤል ጉሮውጅ</v>
      </c>
      <c r="J45" s="5" t="str">
        <f>IFERROR(__xludf.DUMMYFUNCTION(" GOOGLETRANSLATE(D45, ""en"", ""am"")"),"Hicham El Guerrouj")</f>
        <v>Hicham El Guerrouj</v>
      </c>
      <c r="K45" s="5" t="str">
        <f>IFERROR(__xludf.DUMMYFUNCTION(" GOOGLETRANSLATE(E45, ""en"", ""am"")"),"Hicham El Guerrouj እ.ኤ.አ. በ1998 የ1500ሜውን የአለም ክብረወሰን በማስመዝገብ 3፡26፡00 በሆነ ሰአት አስመዘገበ።")</f>
        <v>Hicham El Guerrouj እ.ኤ.አ. በ1998 የ1500ሜውን የአለም ክብረወሰን በማስመዝገብ 3፡26፡00 በሆነ ሰአት አስመዘገበ።</v>
      </c>
    </row>
    <row r="46" ht="22.5" customHeight="1">
      <c r="A46" s="3">
        <v>45.0</v>
      </c>
      <c r="B46" s="4" t="s">
        <v>1063</v>
      </c>
      <c r="C46" s="4" t="s">
        <v>1064</v>
      </c>
      <c r="D46" s="4" t="s">
        <v>1054</v>
      </c>
      <c r="E46" s="4" t="s">
        <v>1065</v>
      </c>
      <c r="G46" s="5" t="str">
        <f>IFERROR(__xludf.DUMMYFUNCTION(" GOOGLETRANSLATE(A46, ""en"", ""am"")"),"45")</f>
        <v>45</v>
      </c>
      <c r="H46" s="5" t="str">
        <f>IFERROR(__xludf.DUMMYFUNCTION(" GOOGLETRANSLATE(B46, ""en"", ""am"")"),"100ሜውን ከ10.7 ሰከንድ በታች የሮጠች የመጀመሪያዋ ሴት ማን ናት?")</f>
        <v>100ሜውን ከ10.7 ሰከንድ በታች የሮጠች የመጀመሪያዋ ሴት ማን ናት?</v>
      </c>
      <c r="I46" s="5" t="str">
        <f>IFERROR(__xludf.DUMMYFUNCTION(" GOOGLETRANSLATE(C46, ""en"", ""am"")"),"ኤ. ማሪዮን ጆንስ ቢ. ሼሊ-አን ፍሬዘር-ፕሪስ ሲ ኤቭሊን አሽፎርድ ዲ. ፍሎረንስ ግሪፊስ ጆይነር")</f>
        <v>ኤ. ማሪዮን ጆንስ ቢ. ሼሊ-አን ፍሬዘር-ፕሪስ ሲ ኤቭሊን አሽፎርድ ዲ. ፍሎረንስ ግሪፊስ ጆይነር</v>
      </c>
      <c r="J46" s="5" t="str">
        <f>IFERROR(__xludf.DUMMYFUNCTION(" GOOGLETRANSLATE(D46, ""en"", ""am"")"),"ፍሎረንስ Griffiths Joyner")</f>
        <v>ፍሎረንስ Griffiths Joyner</v>
      </c>
      <c r="K46" s="5" t="str">
        <f>IFERROR(__xludf.DUMMYFUNCTION(" GOOGLETRANSLATE(E46, ""en"", ""am"")"),"ፍሎረንስ ግሪፊዝ ጆይነር የ100ሜውን ክብረወሰን በ10.7 ሰከንድ በመስበር በ1988 አዲስ ክብረ ወሰን 10.49 ሰከንድ አስመዝግቧል።")</f>
        <v>ፍሎረንስ ግሪፊዝ ጆይነር የ100ሜውን ክብረወሰን በ10.7 ሰከንድ በመስበር በ1988 አዲስ ክብረ ወሰን 10.49 ሰከንድ አስመዝግቧል።</v>
      </c>
    </row>
    <row r="47" ht="22.5" customHeight="1">
      <c r="A47" s="3">
        <v>46.0</v>
      </c>
      <c r="B47" s="4" t="s">
        <v>1066</v>
      </c>
      <c r="C47" s="4" t="s">
        <v>1067</v>
      </c>
      <c r="D47" s="4" t="s">
        <v>1068</v>
      </c>
      <c r="E47" s="4" t="s">
        <v>1069</v>
      </c>
      <c r="G47" s="5" t="str">
        <f>IFERROR(__xludf.DUMMYFUNCTION(" GOOGLETRANSLATE(A47, ""en"", ""am"")"),"46")</f>
        <v>46</v>
      </c>
      <c r="H47" s="5" t="str">
        <f>IFERROR(__xludf.DUMMYFUNCTION(" GOOGLETRANSLATE(B47, ""en"", ""am"")"),"'የዝምታ ንጉስ' በመባል የሚታወቀው ማነው?")</f>
        <v>'የዝምታ ንጉስ' በመባል የሚታወቀው ማነው?</v>
      </c>
      <c r="I47" s="5" t="str">
        <f>IFERROR(__xludf.DUMMYFUNCTION(" GOOGLETRANSLATE(C47, ""en"", ""am"")"),"ኤ. ሮጀር ባኒስተር ቢ. ጆን ላንዲ ሲ. ሴባስቲያን ኮ ዲ ሴባስቲያን ኮ")</f>
        <v>ኤ. ሮጀር ባኒስተር ቢ. ጆን ላንዲ ሲ. ሴባስቲያን ኮ ዲ ሴባስቲያን ኮ</v>
      </c>
      <c r="J47" s="5" t="str">
        <f>IFERROR(__xludf.DUMMYFUNCTION(" GOOGLETRANSLATE(D47, ""en"", ""am"")"),"ሴባስቲያን ኮ")</f>
        <v>ሴባስቲያን ኮ</v>
      </c>
      <c r="K47" s="5" t="str">
        <f>IFERROR(__xludf.DUMMYFUNCTION(" GOOGLETRANSLATE(E47, ""en"", ""am"")"),"ሴባስቲያን ኮ በ1980ዎቹ በነበረው የዝግጅቱ የበላይነት ምክንያት ብዙ ጊዜ 'የማይል ንጉስ' ተብሎ ይጠራል።")</f>
        <v>ሴባስቲያን ኮ በ1980ዎቹ በነበረው የዝግጅቱ የበላይነት ምክንያት ብዙ ጊዜ 'የማይል ንጉስ' ተብሎ ይጠራል።</v>
      </c>
    </row>
    <row r="48" ht="22.5" customHeight="1">
      <c r="A48" s="3">
        <v>47.0</v>
      </c>
      <c r="B48" s="4" t="s">
        <v>1070</v>
      </c>
      <c r="C48" s="4" t="s">
        <v>1071</v>
      </c>
      <c r="D48" s="4" t="s">
        <v>1009</v>
      </c>
      <c r="E48" s="4" t="s">
        <v>1072</v>
      </c>
      <c r="G48" s="5" t="str">
        <f>IFERROR(__xludf.DUMMYFUNCTION(" GOOGLETRANSLATE(A48, ""en"", ""am"")"),"47")</f>
        <v>47</v>
      </c>
      <c r="H48" s="5" t="str">
        <f>IFERROR(__xludf.DUMMYFUNCTION(" GOOGLETRANSLATE(B48, ""en"", ""am"")"),"በወንዶች 200ሜ የኦሎምፒክ ሪከርድ ማን ነው?")</f>
        <v>በወንዶች 200ሜ የኦሎምፒክ ሪከርድ ማን ነው?</v>
      </c>
      <c r="I48" s="5" t="str">
        <f>IFERROR(__xludf.DUMMYFUNCTION(" GOOGLETRANSLATE(C48, ""en"", ""am"")"),"ኤ ዩሴን ቦልት ቢ. ሚካኤል ጆንሰን ሲ. ፍራንኪ ፍሬድሪክስ ዲ ዩሴን ቦልት")</f>
        <v>ኤ ዩሴን ቦልት ቢ. ሚካኤል ጆንሰን ሲ. ፍራንኪ ፍሬድሪክስ ዲ ዩሴን ቦልት</v>
      </c>
      <c r="J48" s="5" t="str">
        <f>IFERROR(__xludf.DUMMYFUNCTION(" GOOGLETRANSLATE(D48, ""en"", ""am"")"),"Usain ቦልት")</f>
        <v>Usain ቦልት</v>
      </c>
      <c r="K48" s="5" t="str">
        <f>IFERROR(__xludf.DUMMYFUNCTION(" GOOGLETRANSLATE(E48, ""en"", ""am"")"),"ዩሴን ቦልት በ2008 የቤጂንግ ኦሊምፒክ በወንዶች 200ሜ 19.30 ሰከንድ የኦሎምፒክ ሪከርድ አስመዝግቧል።")</f>
        <v>ዩሴን ቦልት በ2008 የቤጂንግ ኦሊምፒክ በወንዶች 200ሜ 19.30 ሰከንድ የኦሎምፒክ ሪከርድ አስመዝግቧል።</v>
      </c>
    </row>
    <row r="49" ht="22.5" customHeight="1">
      <c r="A49" s="3">
        <v>48.0</v>
      </c>
      <c r="B49" s="4" t="s">
        <v>1073</v>
      </c>
      <c r="C49" s="4" t="s">
        <v>1074</v>
      </c>
      <c r="D49" s="4" t="s">
        <v>596</v>
      </c>
      <c r="E49" s="4" t="s">
        <v>596</v>
      </c>
      <c r="G49" s="5" t="str">
        <f>IFERROR(__xludf.DUMMYFUNCTION(" GOOGLETRANSLATE(A49, ""en"", ""am"")"),"48")</f>
        <v>48</v>
      </c>
      <c r="H49" s="5" t="str">
        <f>IFERROR(__xludf.DUMMYFUNCTION(" GOOGLETRANSLATE(B49, ""en"", ""am"")"),"በኦሎምፒክ ጨዋታዎች የ400ሜ መሰናክል ውድድር በየትኛው አመት ተጀመረ?")</f>
        <v>በኦሎምፒክ ጨዋታዎች የ400ሜ መሰናክል ውድድር በየትኛው አመት ተጀመረ?</v>
      </c>
      <c r="I49" s="5" t="str">
        <f>IFERROR(__xludf.DUMMYFUNCTION(" GOOGLETRANSLATE(C49, ""en"", ""am"")"),"ኣብ 1904 ብ 1912 ዓ.ም. 1924 ዓ.ም. 1900 ዓ.ም.")</f>
        <v>ኣብ 1904 ብ 1912 ዓ.ም. 1924 ዓ.ም. 1900 ዓ.ም.</v>
      </c>
      <c r="J49" s="5" t="str">
        <f>IFERROR(__xludf.DUMMYFUNCTION(" GOOGLETRANSLATE(D49, ""en"", ""am"")"),"በ1900 ዓ.ም")</f>
        <v>በ1900 ዓ.ም</v>
      </c>
      <c r="K49" s="5" t="str">
        <f>IFERROR(__xludf.DUMMYFUNCTION(" GOOGLETRANSLATE(E49, ""en"", ""am"")"),"በ1900 ዓ.ም")</f>
        <v>በ1900 ዓ.ም</v>
      </c>
    </row>
    <row r="50" ht="22.5" customHeight="1">
      <c r="A50" s="3">
        <v>49.0</v>
      </c>
      <c r="B50" s="4" t="s">
        <v>1075</v>
      </c>
      <c r="C50" s="4" t="s">
        <v>1076</v>
      </c>
      <c r="D50" s="4" t="s">
        <v>926</v>
      </c>
      <c r="E50" s="4" t="s">
        <v>1077</v>
      </c>
      <c r="G50" s="5" t="str">
        <f>IFERROR(__xludf.DUMMYFUNCTION(" GOOGLETRANSLATE(A50, ""en"", ""am"")"),"49")</f>
        <v>49</v>
      </c>
      <c r="H50" s="5" t="str">
        <f>IFERROR(__xludf.DUMMYFUNCTION(" GOOGLETRANSLATE(B50, ""en"", ""am"")"),"በኦሎምፒክ ማራቶን የመጀመሪያዋ ሴት ማን ነች?")</f>
        <v>በኦሎምፒክ ማራቶን የመጀመሪያዋ ሴት ማን ነች?</v>
      </c>
      <c r="I50" s="5" t="str">
        <f>IFERROR(__xludf.DUMMYFUNCTION(" GOOGLETRANSLATE(C50, ""en"", ""am"")"),"ሀ. ካትሪን ስዊዘርላንድ ቢ. ግሬት ዊትዝ ሲ. ኒና ኩሲች ዲ. ካትሪን ስዊዘርላንድ")</f>
        <v>ሀ. ካትሪን ስዊዘርላንድ ቢ. ግሬት ዊትዝ ሲ. ኒና ኩሲች ዲ. ካትሪን ስዊዘርላንድ</v>
      </c>
      <c r="J50" s="5" t="str">
        <f>IFERROR(__xludf.DUMMYFUNCTION(" GOOGLETRANSLATE(D50, ""en"", ""am"")"),"ካትሪን ስዊዘርላንድ")</f>
        <v>ካትሪን ስዊዘርላንድ</v>
      </c>
      <c r="K50" s="5" t="str">
        <f>IFERROR(__xludf.DUMMYFUNCTION(" GOOGLETRANSLATE(E50, ""en"", ""am"")"),"ካትሪን ስዌይገር በ1967 የኦሎምፒክ ማራቶንን በመሮጥ የመጀመሪያዋ ሴት ሆናለች ምንም እንኳን ሴቶች በይፋ ከመሳተፍ ቢታገዱም ።")</f>
        <v>ካትሪን ስዌይገር በ1967 የኦሎምፒክ ማራቶንን በመሮጥ የመጀመሪያዋ ሴት ሆናለች ምንም እንኳን ሴቶች በይፋ ከመሳተፍ ቢታገዱም ።</v>
      </c>
    </row>
    <row r="51" ht="22.5" customHeight="1">
      <c r="A51" s="3">
        <v>50.0</v>
      </c>
      <c r="B51" s="4" t="s">
        <v>1078</v>
      </c>
      <c r="C51" s="4" t="s">
        <v>1079</v>
      </c>
      <c r="D51" s="4" t="s">
        <v>1019</v>
      </c>
      <c r="E51" s="4" t="s">
        <v>1080</v>
      </c>
      <c r="G51" s="5" t="str">
        <f>IFERROR(__xludf.DUMMYFUNCTION(" GOOGLETRANSLATE(A51, ""en"", ""am"")"),"50")</f>
        <v>50</v>
      </c>
      <c r="H51" s="5" t="str">
        <f>IFERROR(__xludf.DUMMYFUNCTION(" GOOGLETRANSLATE(B51, ""en"", ""am"")"),"በ2020 የቶኪዮ ኦሊምፒክ የ4x100ሜ ሩጫ የየት ሀገር ወንዶች አሸንፈዋል?")</f>
        <v>በ2020 የቶኪዮ ኦሊምፒክ የ4x100ሜ ሩጫ የየት ሀገር ወንዶች አሸንፈዋል?</v>
      </c>
      <c r="I51" s="5" t="str">
        <f>IFERROR(__xludf.DUMMYFUNCTION(" GOOGLETRANSLATE(C51, ""en"", ""am"")"),"አ.ጃማይካ ቢ ታላቋ ብሪታኒያ ሲ.ኢጣሊያ ዲ.ጣሊያን")</f>
        <v>አ.ጃማይካ ቢ ታላቋ ብሪታኒያ ሲ.ኢጣሊያ ዲ.ጣሊያን</v>
      </c>
      <c r="J51" s="5" t="str">
        <f>IFERROR(__xludf.DUMMYFUNCTION(" GOOGLETRANSLATE(D51, ""en"", ""am"")"),"ጣሊያን")</f>
        <v>ጣሊያን</v>
      </c>
      <c r="K51" s="5" t="str">
        <f>IFERROR(__xludf.DUMMYFUNCTION(" GOOGLETRANSLATE(E51, ""en"", ""am"")"),"በ2020 የቶኪዮ ኦሊምፒክ ጣሊያን በወንዶች 4x100ሜ ወርቅ በማሸነፍ በውድድሩ የመጀመሪያ ድሉን አስመዝግቧል።")</f>
        <v>በ2020 የቶኪዮ ኦሊምፒክ ጣሊያን በወንዶች 4x100ሜ ወርቅ በማሸነፍ በውድድሩ የመጀመሪያ ድሉን አስመዝግቧል።</v>
      </c>
    </row>
    <row r="52" ht="22.5" customHeight="1">
      <c r="A52" s="3">
        <v>51.0</v>
      </c>
      <c r="B52" s="4" t="s">
        <v>1081</v>
      </c>
      <c r="C52" s="4" t="s">
        <v>1082</v>
      </c>
      <c r="D52" s="4" t="s">
        <v>1083</v>
      </c>
      <c r="E52" s="4" t="s">
        <v>1084</v>
      </c>
      <c r="G52" s="5" t="str">
        <f>IFERROR(__xludf.DUMMYFUNCTION(" GOOGLETRANSLATE(A52, ""en"", ""am"")"),"51")</f>
        <v>51</v>
      </c>
      <c r="H52" s="5" t="str">
        <f>IFERROR(__xludf.DUMMYFUNCTION(" GOOGLETRANSLATE(B52, ""en"", ""am"")"),"እ.ኤ.አ. በ2005 የ10,000 ሜትር የአለም ክብረ ወሰን ማን አስመዘገበ?")</f>
        <v>እ.ኤ.አ. በ2005 የ10,000 ሜትር የአለም ክብረ ወሰን ማን አስመዘገበ?</v>
      </c>
      <c r="I52" s="5" t="str">
        <f>IFERROR(__xludf.DUMMYFUNCTION(" GOOGLETRANSLATE(C52, ""en"", ""am"")"),"A. Haile Gebreselassie B. Wilson Kipketer C. Mo ፋራህ ዲ. ቀነኒሳ በቀለ")</f>
        <v>A. Haile Gebreselassie B. Wilson Kipketer C. Mo ፋራህ ዲ. ቀነኒሳ በቀለ</v>
      </c>
      <c r="J52" s="5" t="str">
        <f>IFERROR(__xludf.DUMMYFUNCTION(" GOOGLETRANSLATE(D52, ""en"", ""am"")"),"ቀነኒሳ በቀለ")</f>
        <v>ቀነኒሳ በቀለ</v>
      </c>
      <c r="K52" s="5" t="str">
        <f>IFERROR(__xludf.DUMMYFUNCTION(" GOOGLETRANSLATE(E52, ""en"", ""am"")"),"ቀነኒሳ በቀለ በ2005 በ10,000ሜ 26፡17፡53 በመግባት ሪከርድ አስመዝግቧል።")</f>
        <v>ቀነኒሳ በቀለ በ2005 በ10,000ሜ 26፡17፡53 በመግባት ሪከርድ አስመዝግቧል።</v>
      </c>
    </row>
    <row r="53" ht="22.5" customHeight="1">
      <c r="A53" s="3">
        <v>52.0</v>
      </c>
      <c r="B53" s="4" t="s">
        <v>1085</v>
      </c>
      <c r="C53" s="4" t="s">
        <v>1086</v>
      </c>
      <c r="D53" s="4" t="s">
        <v>1009</v>
      </c>
      <c r="E53" s="4" t="s">
        <v>1087</v>
      </c>
      <c r="G53" s="5" t="str">
        <f>IFERROR(__xludf.DUMMYFUNCTION(" GOOGLETRANSLATE(A53, ""en"", ""am"")"),"52")</f>
        <v>52</v>
      </c>
      <c r="H53" s="5" t="str">
        <f>IFERROR(__xludf.DUMMYFUNCTION(" GOOGLETRANSLATE(B53, ""en"", ""am"")"),"በወንዶች 100ሜ ኦሎምፒክ ወርቅን ከኋላ ያሸነፈ የመጀመሪያው አትሌት ማን ነበር?")</f>
        <v>በወንዶች 100ሜ ኦሎምፒክ ወርቅን ከኋላ ያሸነፈ የመጀመሪያው አትሌት ማን ነበር?</v>
      </c>
      <c r="I53" s="5" t="str">
        <f>IFERROR(__xludf.DUMMYFUNCTION(" GOOGLETRANSLATE(C53, ""en"", ""am"")"),"ኤ ዩሴን ቦልት ቢ ታይሰን ጌይ ሲ. አሳፋ ፓውል ዲ ዩሴን ቦልት።")</f>
        <v>ኤ ዩሴን ቦልት ቢ ታይሰን ጌይ ሲ. አሳፋ ፓውል ዲ ዩሴን ቦልት።</v>
      </c>
      <c r="J53" s="5" t="str">
        <f>IFERROR(__xludf.DUMMYFUNCTION(" GOOGLETRANSLATE(D53, ""en"", ""am"")"),"Usain ቦልት")</f>
        <v>Usain ቦልት</v>
      </c>
      <c r="K53" s="5" t="str">
        <f>IFERROR(__xludf.DUMMYFUNCTION(" GOOGLETRANSLATE(E53, ""en"", ""am"")"),"ዩሴን ቦልት በ2008 እና 2012 ኦሎምፒክ በ100 ሜትር የኦሎምፒክ የወርቅ ሜዳሊያዎችን ከኋላ አሸንፏል።")</f>
        <v>ዩሴን ቦልት በ2008 እና 2012 ኦሎምፒክ በ100 ሜትር የኦሎምፒክ የወርቅ ሜዳሊያዎችን ከኋላ አሸንፏል።</v>
      </c>
    </row>
    <row r="54" ht="22.5" customHeight="1">
      <c r="A54" s="3">
        <v>53.0</v>
      </c>
      <c r="B54" s="4" t="s">
        <v>1088</v>
      </c>
      <c r="C54" s="4" t="s">
        <v>1089</v>
      </c>
      <c r="D54" s="4" t="s">
        <v>914</v>
      </c>
      <c r="E54" s="4" t="s">
        <v>1090</v>
      </c>
      <c r="G54" s="5" t="str">
        <f>IFERROR(__xludf.DUMMYFUNCTION(" GOOGLETRANSLATE(A54, ""en"", ""am"")"),"53")</f>
        <v>53</v>
      </c>
      <c r="H54" s="5" t="str">
        <f>IFERROR(__xludf.DUMMYFUNCTION(" GOOGLETRANSLATE(B54, ""en"", ""am"")"),"በአትሌቲክስ ብዙ የኦሎምፒክ የወርቅ ሜዳሊያዎችን ያስመዘገበው ሀገር የትኛው ነው?")</f>
        <v>በአትሌቲክስ ብዙ የኦሎምፒክ የወርቅ ሜዳሊያዎችን ያስመዘገበው ሀገር የትኛው ነው?</v>
      </c>
      <c r="I54" s="5" t="str">
        <f>IFERROR(__xludf.DUMMYFUNCTION(" GOOGLETRANSLATE(C54, ""en"", ""am"")"),"ሀ.ሩሲያ ቢ.ኬንያ ሲ.ጃማይካ ዲ.አሜሪካ")</f>
        <v>ሀ.ሩሲያ ቢ.ኬንያ ሲ.ጃማይካ ዲ.አሜሪካ</v>
      </c>
      <c r="J54" s="5" t="str">
        <f>IFERROR(__xludf.DUMMYFUNCTION(" GOOGLETRANSLATE(D54, ""en"", ""am"")"),"አሜሪካ")</f>
        <v>አሜሪካ</v>
      </c>
      <c r="K54" s="5" t="str">
        <f>IFERROR(__xludf.DUMMYFUNCTION(" GOOGLETRANSLATE(E54, ""en"", ""am"")"),"ዩኤስኤ በአትሌቲክስ ብዙ የኦሎምፒክ የወርቅ ሜዳሊያዎችን ያስመዘገበች ሲሆን በተለያዩ ውድድሮች ከ400 በላይ የወርቅ ሜዳሊያዎችን አሸንፋለች።")</f>
        <v>ዩኤስኤ በአትሌቲክስ ብዙ የኦሎምፒክ የወርቅ ሜዳሊያዎችን ያስመዘገበች ሲሆን በተለያዩ ውድድሮች ከ400 በላይ የወርቅ ሜዳሊያዎችን አሸንፋለች።</v>
      </c>
    </row>
    <row r="55" ht="22.5" customHeight="1">
      <c r="A55" s="3">
        <v>54.0</v>
      </c>
      <c r="B55" s="4" t="s">
        <v>1091</v>
      </c>
      <c r="C55" s="4" t="s">
        <v>1092</v>
      </c>
      <c r="D55" s="4" t="s">
        <v>984</v>
      </c>
      <c r="E55" s="4" t="s">
        <v>1093</v>
      </c>
      <c r="G55" s="5" t="str">
        <f>IFERROR(__xludf.DUMMYFUNCTION(" GOOGLETRANSLATE(A55, ""en"", ""am"")"),"54")</f>
        <v>54</v>
      </c>
      <c r="H55" s="5" t="str">
        <f>IFERROR(__xludf.DUMMYFUNCTION(" GOOGLETRANSLATE(B55, ""en"", ""am"")"),"100ሜውን ከ9.8 ሰከንድ በታች የሮጠው ማን ነው?")</f>
        <v>100ሜውን ከ9.8 ሰከንድ በታች የሮጠው ማን ነው?</v>
      </c>
      <c r="I55" s="5" t="str">
        <f>IFERROR(__xludf.DUMMYFUNCTION(" GOOGLETRANSLATE(C55, ""en"", ""am"")"),"አ. ታይሰን ጌይ ቢ. አሳፋ ፓውል ሲ. ፍራንኪ ፍሬድሪክስ ዲ. አሳፋ ፓውል")</f>
        <v>አ. ታይሰን ጌይ ቢ. አሳፋ ፓውል ሲ. ፍራንኪ ፍሬድሪክስ ዲ. አሳፋ ፓውል</v>
      </c>
      <c r="J55" s="5" t="str">
        <f>IFERROR(__xludf.DUMMYFUNCTION(" GOOGLETRANSLATE(D55, ""en"", ""am"")"),"አሳፋ ፓውል")</f>
        <v>አሳፋ ፓውል</v>
      </c>
      <c r="K55" s="5" t="str">
        <f>IFERROR(__xludf.DUMMYFUNCTION(" GOOGLETRANSLATE(E55, ""en"", ""am"")"),"አሳፋ ፓውል 100ሜውን ከ9.8 ሰከንድ በታች በመሮጥ የመጀመሪያው ሲሆን በ2005 9.77 ሰከንድ ነው።")</f>
        <v>አሳፋ ፓውል 100ሜውን ከ9.8 ሰከንድ በታች በመሮጥ የመጀመሪያው ሲሆን በ2005 9.77 ሰከንድ ነው።</v>
      </c>
    </row>
    <row r="56" ht="22.5" customHeight="1">
      <c r="A56" s="3">
        <v>55.0</v>
      </c>
      <c r="B56" s="4" t="s">
        <v>1094</v>
      </c>
      <c r="C56" s="4" t="s">
        <v>1095</v>
      </c>
      <c r="D56" s="4" t="s">
        <v>1096</v>
      </c>
      <c r="E56" s="4" t="s">
        <v>1097</v>
      </c>
      <c r="G56" s="5" t="str">
        <f>IFERROR(__xludf.DUMMYFUNCTION(" GOOGLETRANSLATE(A56, ""en"", ""am"")"),"55")</f>
        <v>55</v>
      </c>
      <c r="H56" s="5" t="str">
        <f>IFERROR(__xludf.DUMMYFUNCTION(" GOOGLETRANSLATE(B56, ""en"", ""am"")"),"በ5000ሜ የሴቶች የአለም ሪከርድ ባለቤት ማን ናት?")</f>
        <v>በ5000ሜ የሴቶች የአለም ሪከርድ ባለቤት ማን ናት?</v>
      </c>
      <c r="I56" s="5" t="str">
        <f>IFERROR(__xludf.DUMMYFUNCTION(" GOOGLETRANSLATE(C56, ""en"", ""am"")"),"አ.በሴድ ዳፋር ቢ.ገንዘቤ ዲባባ ሲ.ሲፋን ሀሰን ዲ.ጥሩነሽ ዲባባ")</f>
        <v>አ.በሴድ ዳፋር ቢ.ገንዘቤ ዲባባ ሲ.ሲፋን ሀሰን ዲ.ጥሩነሽ ዲባባ</v>
      </c>
      <c r="J56" s="5" t="str">
        <f>IFERROR(__xludf.DUMMYFUNCTION(" GOOGLETRANSLATE(D56, ""en"", ""am"")"),"ጥሩነሽ ዲባባ")</f>
        <v>ጥሩነሽ ዲባባ</v>
      </c>
      <c r="K56" s="5" t="str">
        <f>IFERROR(__xludf.DUMMYFUNCTION(" GOOGLETRANSLATE(E56, ""en"", ""am"")"),"ጥሩነሽ ዲባባ በ2008 በሴቶች 5000 ሜትር 14፡11፡15 የአለም ክብረወሰን አስመዝግባለች።")</f>
        <v>ጥሩነሽ ዲባባ በ2008 በሴቶች 5000 ሜትር 14፡11፡15 የአለም ክብረወሰን አስመዝግባለች።</v>
      </c>
    </row>
    <row r="57" ht="22.5" customHeight="1">
      <c r="A57" s="3">
        <v>56.0</v>
      </c>
      <c r="B57" s="4" t="s">
        <v>1098</v>
      </c>
      <c r="C57" s="4" t="s">
        <v>1099</v>
      </c>
      <c r="D57" s="4" t="s">
        <v>1100</v>
      </c>
      <c r="E57" s="4" t="s">
        <v>1101</v>
      </c>
      <c r="G57" s="5" t="str">
        <f>IFERROR(__xludf.DUMMYFUNCTION(" GOOGLETRANSLATE(A57, ""en"", ""am"")"),"56")</f>
        <v>56</v>
      </c>
      <c r="H57" s="5" t="str">
        <f>IFERROR(__xludf.DUMMYFUNCTION(" GOOGLETRANSLATE(B57, ""en"", ""am"")"),"እ.ኤ.አ. በ 2000 ዎቹ ውስጥ በፖል ቫልት ውስጥ ባለው የበላይነት የሚታወቀው አትሌት የትኛው ነው?")</f>
        <v>እ.ኤ.አ. በ 2000 ዎቹ ውስጥ በፖል ቫልት ውስጥ ባለው የበላይነት የሚታወቀው አትሌት የትኛው ነው?</v>
      </c>
      <c r="I57" s="5" t="str">
        <f>IFERROR(__xludf.DUMMYFUNCTION(" GOOGLETRANSLATE(C57, ""en"", ""am"")"),"A. Terry Adam B. Renaud Lavillenie C. Eugene Delacroix D. Sergey Bubka")</f>
        <v>A. Terry Adam B. Renaud Lavillenie C. Eugene Delacroix D. Sergey Bubka</v>
      </c>
      <c r="J57" s="5" t="str">
        <f>IFERROR(__xludf.DUMMYFUNCTION(" GOOGLETRANSLATE(D57, ""en"", ""am"")"),"Sergey Bubka")</f>
        <v>Sergey Bubka</v>
      </c>
      <c r="K57" s="5" t="str">
        <f>IFERROR(__xludf.DUMMYFUNCTION(" GOOGLETRANSLATE(E57, ""en"", ""am"")"),"ሰርጌይ ቡብካ በፖል ቮልት ድሎች እና በውድድሩ በአለም ሪከርዱ ታዋቂ ነው።")</f>
        <v>ሰርጌይ ቡብካ በፖል ቮልት ድሎች እና በውድድሩ በአለም ሪከርዱ ታዋቂ ነው።</v>
      </c>
    </row>
    <row r="58" ht="22.5" customHeight="1">
      <c r="A58" s="3">
        <v>57.0</v>
      </c>
      <c r="B58" s="4" t="s">
        <v>1102</v>
      </c>
      <c r="C58" s="4" t="s">
        <v>1103</v>
      </c>
      <c r="D58" s="4" t="s">
        <v>1104</v>
      </c>
      <c r="E58" s="4" t="s">
        <v>1105</v>
      </c>
      <c r="G58" s="5" t="str">
        <f>IFERROR(__xludf.DUMMYFUNCTION(" GOOGLETRANSLATE(A58, ""en"", ""am"")"),"57")</f>
        <v>57</v>
      </c>
      <c r="H58" s="5" t="str">
        <f>IFERROR(__xludf.DUMMYFUNCTION(" GOOGLETRANSLATE(B58, ""en"", ""am"")"),"በ2016 የሪዮ ኦሊምፒክ በሴቶች 100ሜ ማን አሸነፈ?")</f>
        <v>በ2016 የሪዮ ኦሊምፒክ በሴቶች 100ሜ ማን አሸነፈ?</v>
      </c>
      <c r="I58" s="5" t="str">
        <f>IFERROR(__xludf.DUMMYFUNCTION(" GOOGLETRANSLATE(C58, ""en"", ""am"")"),"ኤ. ሼሊ-አን ፍሬዘር-ፕሪስ ቢ. ቶሪ ቦዊ ሲ. ካርሜሊታ ጄተር ዲ. ኢሌን ቶምፕሰን")</f>
        <v>ኤ. ሼሊ-አን ፍሬዘር-ፕሪስ ቢ. ቶሪ ቦዊ ሲ. ካርሜሊታ ጄተር ዲ. ኢሌን ቶምፕሰን</v>
      </c>
      <c r="J58" s="5" t="str">
        <f>IFERROR(__xludf.DUMMYFUNCTION(" GOOGLETRANSLATE(D58, ""en"", ""am"")"),"ኢሌን ቶምፕሰን")</f>
        <v>ኢሌን ቶምፕሰን</v>
      </c>
      <c r="K58" s="5" t="str">
        <f>IFERROR(__xludf.DUMMYFUNCTION(" GOOGLETRANSLATE(E58, ""en"", ""am"")"),"በ2016 የሪዮ ኦሊምፒክ በሴቶች 100 ሜትር ኢሌን ቶምፕሰን በማሸነፍ የመጀመሪያዋ ጃማይካዊት ሆናለች።")</f>
        <v>በ2016 የሪዮ ኦሊምፒክ በሴቶች 100 ሜትር ኢሌን ቶምፕሰን በማሸነፍ የመጀመሪያዋ ጃማይካዊት ሆናለች።</v>
      </c>
    </row>
    <row r="59" ht="22.5" customHeight="1">
      <c r="A59" s="3">
        <v>58.0</v>
      </c>
      <c r="B59" s="4" t="s">
        <v>1106</v>
      </c>
      <c r="C59" s="4" t="s">
        <v>1107</v>
      </c>
      <c r="D59" s="4" t="s">
        <v>1108</v>
      </c>
      <c r="E59" s="4" t="s">
        <v>1109</v>
      </c>
      <c r="G59" s="5" t="str">
        <f>IFERROR(__xludf.DUMMYFUNCTION(" GOOGLETRANSLATE(A59, ""en"", ""am"")"),"58")</f>
        <v>58</v>
      </c>
      <c r="H59" s="5" t="str">
        <f>IFERROR(__xludf.DUMMYFUNCTION(" GOOGLETRANSLATE(B59, ""en"", ""am"")"),"የ 2004 የበጋ ኦሎምፒክን ያስተናገደችው የትኛው ከተማ ነው ፣ የወንዶች ዴካታሎን በሮማን ሴብሬል ያሸነፈበት?")</f>
        <v>የ 2004 የበጋ ኦሎምፒክን ያስተናገደችው የትኛው ከተማ ነው ፣ የወንዶች ዴካታሎን በሮማን ሴብሬል ያሸነፈበት?</v>
      </c>
      <c r="I59" s="5" t="str">
        <f>IFERROR(__xludf.DUMMYFUNCTION(" GOOGLETRANSLATE(C59, ""en"", ""am"")"),"አ.ለንደን ቢ.ቤጂንግ ሲ ሲድኒ ዲ. አቴንስ")</f>
        <v>አ.ለንደን ቢ.ቤጂንግ ሲ ሲድኒ ዲ. አቴንስ</v>
      </c>
      <c r="J59" s="5" t="str">
        <f>IFERROR(__xludf.DUMMYFUNCTION(" GOOGLETRANSLATE(D59, ""en"", ""am"")"),"አቴንስ")</f>
        <v>አቴንስ</v>
      </c>
      <c r="K59" s="5" t="str">
        <f>IFERROR(__xludf.DUMMYFUNCTION(" GOOGLETRANSLATE(E59, ""en"", ""am"")"),"በአቴንስ አስተናጋጅነት በተካሄደው የ2004 የበጋ ኦሎምፒክ ውድድር ሮማን ሴብሬል የዴካትሎን አሸናፊ ነበር።")</f>
        <v>በአቴንስ አስተናጋጅነት በተካሄደው የ2004 የበጋ ኦሎምፒክ ውድድር ሮማን ሴብሬል የዴካትሎን አሸናፊ ነበር።</v>
      </c>
    </row>
    <row r="60" ht="22.5" customHeight="1">
      <c r="A60" s="3">
        <v>59.0</v>
      </c>
      <c r="B60" s="4" t="s">
        <v>1110</v>
      </c>
      <c r="C60" s="4" t="s">
        <v>1111</v>
      </c>
      <c r="D60" s="4" t="s">
        <v>1112</v>
      </c>
      <c r="E60" s="4" t="s">
        <v>1113</v>
      </c>
      <c r="G60" s="5" t="str">
        <f>IFERROR(__xludf.DUMMYFUNCTION(" GOOGLETRANSLATE(A60, ""en"", ""am"")"),"59")</f>
        <v>59</v>
      </c>
      <c r="H60" s="5" t="str">
        <f>IFERROR(__xludf.DUMMYFUNCTION(" GOOGLETRANSLATE(B60, ""en"", ""am"")"),"100ሜውን ከ10.8 ሰከንድ በታች የሮጠች የመጀመሪያዋ ሴት ማን ናት?")</f>
        <v>100ሜውን ከ10.8 ሰከንድ በታች የሮጠች የመጀመሪያዋ ሴት ማን ናት?</v>
      </c>
      <c r="I60" s="5" t="str">
        <f>IFERROR(__xludf.DUMMYFUNCTION(" GOOGLETRANSLATE(C60, ""en"", ""am"")"),"ኤ ኤቭሊን አሽፎርድ ቢ ጃኪ ጆይነር ኬርሲ ሲ ሼሊ-አኔ ፍሬዘር-ፕሪስ ዲ.ኤቭሊን አሽፎርድ")</f>
        <v>ኤ ኤቭሊን አሽፎርድ ቢ ጃኪ ጆይነር ኬርሲ ሲ ሼሊ-አኔ ፍሬዘር-ፕሪስ ዲ.ኤቭሊን አሽፎርድ</v>
      </c>
      <c r="J60" s="5" t="str">
        <f>IFERROR(__xludf.DUMMYFUNCTION(" GOOGLETRANSLATE(D60, ""en"", ""am"")"),"ኤቭሊን አሽፎርድ")</f>
        <v>ኤቭሊን አሽፎርድ</v>
      </c>
      <c r="K60" s="5" t="str">
        <f>IFERROR(__xludf.DUMMYFUNCTION(" GOOGLETRANSLATE(E60, ""en"", ""am"")"),"በ1984 ኤቭሊን አሽፎርድ 100ሜውን ከ10.8 ሰከንድ በታች በመሮጥ የመጀመሪያዋ ሴት ሆነች።")</f>
        <v>በ1984 ኤቭሊን አሽፎርድ 100ሜውን ከ10.8 ሰከንድ በታች በመሮጥ የመጀመሪያዋ ሴት ሆነች።</v>
      </c>
    </row>
    <row r="61" ht="22.5" customHeight="1">
      <c r="A61" s="3">
        <v>60.0</v>
      </c>
      <c r="B61" s="4" t="s">
        <v>1114</v>
      </c>
      <c r="C61" s="4" t="s">
        <v>1115</v>
      </c>
      <c r="D61" s="4" t="s">
        <v>1116</v>
      </c>
      <c r="E61" s="4" t="s">
        <v>1117</v>
      </c>
      <c r="G61" s="5" t="str">
        <f>IFERROR(__xludf.DUMMYFUNCTION(" GOOGLETRANSLATE(A61, ""en"", ""am"")"),"60")</f>
        <v>60</v>
      </c>
      <c r="H61" s="5" t="str">
        <f>IFERROR(__xludf.DUMMYFUNCTION(" GOOGLETRANSLATE(B61, ""en"", ""am"")"),"በወንዶች 100 ሜትር ውድድር አሁን ያለው የኦሎምፒክ ሪከርድ ምን ይመስላል?")</f>
        <v>በወንዶች 100 ሜትር ውድድር አሁን ያለው የኦሎምፒክ ሪከርድ ምን ይመስላል?</v>
      </c>
      <c r="I61" s="5" t="str">
        <f>IFERROR(__xludf.DUMMYFUNCTION(" GOOGLETRANSLATE(C61, ""en"", ""am"")"),"አ. 9.69 ሰከንድ ለ. 9.72 ሰከንድ ሐ. 9.76 ሴኮንድ መ. 9.58 ሴኮንድ")</f>
        <v>አ. 9.69 ሰከንድ ለ. 9.72 ሰከንድ ሐ. 9.76 ሴኮንድ መ. 9.58 ሴኮንድ</v>
      </c>
      <c r="J61" s="5" t="str">
        <f>IFERROR(__xludf.DUMMYFUNCTION(" GOOGLETRANSLATE(D61, ""en"", ""am"")"),"9.58 ሰከንድ")</f>
        <v>9.58 ሰከንድ</v>
      </c>
      <c r="K61" s="5" t="str">
        <f>IFERROR(__xludf.DUMMYFUNCTION(" GOOGLETRANSLATE(E61, ""en"", ""am"")"),"በ2008 የቤጂንግ ኦሊምፒክ በወንዶች 100 ሜትር በኡሴን ቦልት ያስመዘገበው የኦሎምፒክ ክብረ ወሰን 9.58 ሰከንድ ነው።")</f>
        <v>በ2008 የቤጂንግ ኦሊምፒክ በወንዶች 100 ሜትር በኡሴን ቦልት ያስመዘገበው የኦሎምፒክ ክብረ ወሰን 9.58 ሰከንድ ነው።</v>
      </c>
    </row>
    <row r="62" ht="22.5" customHeight="1">
      <c r="A62" s="3">
        <v>61.0</v>
      </c>
      <c r="B62" s="4" t="s">
        <v>1118</v>
      </c>
      <c r="C62" s="4" t="s">
        <v>1119</v>
      </c>
      <c r="D62" s="4" t="s">
        <v>1120</v>
      </c>
      <c r="E62" s="4" t="s">
        <v>1121</v>
      </c>
      <c r="G62" s="5" t="str">
        <f>IFERROR(__xludf.DUMMYFUNCTION(" GOOGLETRANSLATE(A62, ""en"", ""am"")"),"61")</f>
        <v>61</v>
      </c>
      <c r="H62" s="5" t="str">
        <f>IFERROR(__xludf.DUMMYFUNCTION(" GOOGLETRANSLATE(B62, ""en"", ""am"")"),"በከፍታ ዝላይ የኦሎምፒክ ሜዳሊያ ያሸነፈች የመጀመሪያዋ ሴት ማን ነች?")</f>
        <v>በከፍታ ዝላይ የኦሎምፒክ ሜዳሊያ ያሸነፈች የመጀመሪያዋ ሴት ማን ነች?</v>
      </c>
      <c r="I62" s="5" t="str">
        <f>IFERROR(__xludf.DUMMYFUNCTION(" GOOGLETRANSLATE(C62, ""en"", ""am"")"),"ኤ. ማሪ-ሆሴ ፔሬክ ቢ. ጄሲ ኦውንስ ሲ. ዲያና ታውራሲ ዲ. ዮላንዳ ባላስ")</f>
        <v>ኤ. ማሪ-ሆሴ ፔሬክ ቢ. ጄሲ ኦውንስ ሲ. ዲያና ታውራሲ ዲ. ዮላንዳ ባላስ</v>
      </c>
      <c r="J62" s="5" t="str">
        <f>IFERROR(__xludf.DUMMYFUNCTION(" GOOGLETRANSLATE(D62, ""en"", ""am"")"),"ዮላንዳ ባላስ")</f>
        <v>ዮላንዳ ባላስ</v>
      </c>
      <c r="K62" s="5" t="str">
        <f>IFERROR(__xludf.DUMMYFUNCTION(" GOOGLETRANSLATE(E62, ""en"", ""am"")"),"ዮላንዳ ባላስ በ1960 የሮም ኦሎምፒክ በሴቶች ከፍታ ዝላይ የመጀመሪያውን የኦሎምፒክ ሜዳሊያ አሸንፋለች።")</f>
        <v>ዮላንዳ ባላስ በ1960 የሮም ኦሎምፒክ በሴቶች ከፍታ ዝላይ የመጀመሪያውን የኦሎምፒክ ሜዳሊያ አሸንፋለች።</v>
      </c>
    </row>
    <row r="63" ht="22.5" customHeight="1">
      <c r="A63" s="3">
        <v>62.0</v>
      </c>
      <c r="B63" s="4" t="s">
        <v>1122</v>
      </c>
      <c r="C63" s="4" t="s">
        <v>1123</v>
      </c>
      <c r="D63" s="4" t="s">
        <v>914</v>
      </c>
      <c r="E63" s="4" t="s">
        <v>1124</v>
      </c>
      <c r="G63" s="5" t="str">
        <f>IFERROR(__xludf.DUMMYFUNCTION(" GOOGLETRANSLATE(A63, ""en"", ""am"")"),"62")</f>
        <v>62</v>
      </c>
      <c r="H63" s="5" t="str">
        <f>IFERROR(__xludf.DUMMYFUNCTION(" GOOGLETRANSLATE(B63, ""en"", ""am"")"),"በወንዶች 100ሜ ብዙ የኦሎምፒክ የወርቅ ሜዳሊያ ያስመዘገበው ሀገር የትኛው ነው?")</f>
        <v>በወንዶች 100ሜ ብዙ የኦሎምፒክ የወርቅ ሜዳሊያ ያስመዘገበው ሀገር የትኛው ነው?</v>
      </c>
      <c r="I63" s="5" t="str">
        <f>IFERROR(__xludf.DUMMYFUNCTION(" GOOGLETRANSLATE(C63, ""en"", ""am"")"),"አ.ጃማይካ ቢ.ሩሲያ ሲ.ኬንያ ዲ.አሜሪካ")</f>
        <v>አ.ጃማይካ ቢ.ሩሲያ ሲ.ኬንያ ዲ.አሜሪካ</v>
      </c>
      <c r="J63" s="5" t="str">
        <f>IFERROR(__xludf.DUMMYFUNCTION(" GOOGLETRANSLATE(D63, ""en"", ""am"")"),"አሜሪካ")</f>
        <v>አሜሪካ</v>
      </c>
      <c r="K63" s="5" t="str">
        <f>IFERROR(__xludf.DUMMYFUNCTION(" GOOGLETRANSLATE(E63, ""en"", ""am"")"),"ዩኤስኤ በኦሎምፒክ ከፍተኛውን የወርቅ ሜዳሊያ ያስመዘገበችው በወንዶች 100ሜ.")</f>
        <v>ዩኤስኤ በኦሎምፒክ ከፍተኛውን የወርቅ ሜዳሊያ ያስመዘገበችው በወንዶች 100ሜ.</v>
      </c>
    </row>
    <row r="64" ht="22.5" customHeight="1">
      <c r="A64" s="3">
        <v>63.0</v>
      </c>
      <c r="B64" s="4" t="s">
        <v>1125</v>
      </c>
      <c r="C64" s="4" t="s">
        <v>1126</v>
      </c>
      <c r="D64" s="4" t="s">
        <v>1009</v>
      </c>
      <c r="E64" s="4" t="s">
        <v>1127</v>
      </c>
      <c r="G64" s="5" t="str">
        <f>IFERROR(__xludf.DUMMYFUNCTION(" GOOGLETRANSLATE(A64, ""en"", ""am"")"),"63")</f>
        <v>63</v>
      </c>
      <c r="H64" s="5" t="str">
        <f>IFERROR(__xludf.DUMMYFUNCTION(" GOOGLETRANSLATE(B64, ""en"", ""am"")"),"በ2008 የቤጂንግ ኦሊምፒክ በወንዶች 200ሜ የወርቅ ሜዳሊያ ያስገኘው ማን ነው?")</f>
        <v>በ2008 የቤጂንግ ኦሊምፒክ በወንዶች 200ሜ የወርቅ ሜዳሊያ ያስገኘው ማን ነው?</v>
      </c>
      <c r="I64" s="5" t="str">
        <f>IFERROR(__xludf.DUMMYFUNCTION(" GOOGLETRANSLATE(C64, ""en"", ""am"")"),"ኤ. ታይሰን ጌይ ቢ ዋልተር ዲክስ ሲ. አሳፋ ፓውል ዲ ዩሴን ቦልት")</f>
        <v>ኤ. ታይሰን ጌይ ቢ ዋልተር ዲክስ ሲ. አሳፋ ፓውል ዲ ዩሴን ቦልት</v>
      </c>
      <c r="J64" s="5" t="str">
        <f>IFERROR(__xludf.DUMMYFUNCTION(" GOOGLETRANSLATE(D64, ""en"", ""am"")"),"Usain ቦልት")</f>
        <v>Usain ቦልት</v>
      </c>
      <c r="K64" s="5" t="str">
        <f>IFERROR(__xludf.DUMMYFUNCTION(" GOOGLETRANSLATE(E64, ""en"", ""am"")"),"በ2008 የቤጂንግ ኦሊምፒክ ዩሴን ቦልት በወንዶች 200 ሜትሮች ወርቅ በማሸነፍ በ19.30 ሰከንድ የአለም ክብረወሰን አስመዝግቧል።")</f>
        <v>በ2008 የቤጂንግ ኦሊምፒክ ዩሴን ቦልት በወንዶች 200 ሜትሮች ወርቅ በማሸነፍ በ19.30 ሰከንድ የአለም ክብረወሰን አስመዝግቧል።</v>
      </c>
    </row>
    <row r="65" ht="22.5" customHeight="1">
      <c r="A65" s="3">
        <v>64.0</v>
      </c>
      <c r="B65" s="4" t="s">
        <v>1128</v>
      </c>
      <c r="C65" s="4" t="s">
        <v>1129</v>
      </c>
      <c r="D65" s="4" t="s">
        <v>1044</v>
      </c>
      <c r="E65" s="4" t="s">
        <v>1130</v>
      </c>
      <c r="G65" s="5" t="str">
        <f>IFERROR(__xludf.DUMMYFUNCTION(" GOOGLETRANSLATE(A65, ""en"", ""am"")"),"64")</f>
        <v>64</v>
      </c>
      <c r="H65" s="5" t="str">
        <f>IFERROR(__xludf.DUMMYFUNCTION(" GOOGLETRANSLATE(B65, ""en"", ""am"")"),"በአትሌቲክስ ብዙ የኦሎምፒክ የወርቅ ሜዳሊያ ያስመዘገበችው ሴት አትሌት የትኛው ነው?")</f>
        <v>በአትሌቲክስ ብዙ የኦሎምፒክ የወርቅ ሜዳሊያ ያስመዘገበችው ሴት አትሌት የትኛው ነው?</v>
      </c>
      <c r="I65" s="5" t="str">
        <f>IFERROR(__xludf.DUMMYFUNCTION(" GOOGLETRANSLATE(C65, ""en"", ""am"")"),"አ.ሼሊ-አን ፍሬዘር-ፕሪስ ቢ. ጥሩነሽ ዲባባ ሲ.ማሪዮን ጆንስ ዲ. ፓአቮ ኑርሚ")</f>
        <v>አ.ሼሊ-አን ፍሬዘር-ፕሪስ ቢ. ጥሩነሽ ዲባባ ሲ.ማሪዮን ጆንስ ዲ. ፓአቮ ኑርሚ</v>
      </c>
      <c r="J65" s="5" t="str">
        <f>IFERROR(__xludf.DUMMYFUNCTION(" GOOGLETRANSLATE(D65, ""en"", ""am"")"),"ፓአቮ ኑርሚ")</f>
        <v>ፓአቮ ኑርሚ</v>
      </c>
      <c r="K65" s="5" t="str">
        <f>IFERROR(__xludf.DUMMYFUNCTION(" GOOGLETRANSLATE(E65, ""en"", ""am"")"),"ፓአቮ ኑርሚ በአትሌቲክስ 9 የወርቅ ሜዳሊያዎችን በማሸነፍ ሪከርድ ይይዛል።")</f>
        <v>ፓአቮ ኑርሚ በአትሌቲክስ 9 የወርቅ ሜዳሊያዎችን በማሸነፍ ሪከርድ ይይዛል።</v>
      </c>
    </row>
    <row r="66" ht="22.5" customHeight="1">
      <c r="A66" s="3">
        <v>65.0</v>
      </c>
      <c r="B66" s="4" t="s">
        <v>1131</v>
      </c>
      <c r="C66" s="4" t="s">
        <v>1132</v>
      </c>
      <c r="D66" s="4" t="s">
        <v>1133</v>
      </c>
      <c r="E66" s="4" t="s">
        <v>1134</v>
      </c>
      <c r="G66" s="5" t="str">
        <f>IFERROR(__xludf.DUMMYFUNCTION(" GOOGLETRANSLATE(A66, ""en"", ""am"")"),"65")</f>
        <v>65</v>
      </c>
      <c r="H66" s="5" t="str">
        <f>IFERROR(__xludf.DUMMYFUNCTION(" GOOGLETRANSLATE(B66, ""en"", ""am"")"),"እ.ኤ.አ. በ2012 የወንዶች 800ሜ የአለም ክብረወሰን ማን አስመዘገበ?")</f>
        <v>እ.ኤ.አ. በ2012 የወንዶች 800ሜ የአለም ክብረወሰን ማን አስመዘገበ?</v>
      </c>
      <c r="I66" s="5" t="str">
        <f>IFERROR(__xludf.DUMMYFUNCTION(" GOOGLETRANSLATE(C66, ""en"", ""am"")"),"ኤ. ዊልሰን ኪፕኬተር ቢ. አልፍሬድ ኪርዋ ሲ. ሚካኤል ጆንሰን ዲ ዴቪድ ሩዲሻ")</f>
        <v>ኤ. ዊልሰን ኪፕኬተር ቢ. አልፍሬድ ኪርዋ ሲ. ሚካኤል ጆንሰን ዲ ዴቪድ ሩዲሻ</v>
      </c>
      <c r="J66" s="5" t="str">
        <f>IFERROR(__xludf.DUMMYFUNCTION(" GOOGLETRANSLATE(D66, ""en"", ""am"")"),"ዴቪድ ሩዲሻ")</f>
        <v>ዴቪድ ሩዲሻ</v>
      </c>
      <c r="K66" s="5" t="str">
        <f>IFERROR(__xludf.DUMMYFUNCTION(" GOOGLETRANSLATE(E66, ""en"", ""am"")"),"ዴቪድ ሩዲሻ በ2012 የለንደን ኦሎምፒክ በወንዶች 800ሜ.")</f>
        <v>ዴቪድ ሩዲሻ በ2012 የለንደን ኦሎምፒክ በወንዶች 800ሜ.</v>
      </c>
    </row>
    <row r="67" ht="22.5" customHeight="1">
      <c r="A67" s="3">
        <v>66.0</v>
      </c>
      <c r="B67" s="4" t="s">
        <v>1135</v>
      </c>
      <c r="C67" s="4" t="s">
        <v>1136</v>
      </c>
      <c r="D67" s="4" t="s">
        <v>1137</v>
      </c>
      <c r="E67" s="4" t="s">
        <v>1138</v>
      </c>
      <c r="G67" s="5" t="str">
        <f>IFERROR(__xludf.DUMMYFUNCTION(" GOOGLETRANSLATE(A67, ""en"", ""am"")"),"66")</f>
        <v>66</v>
      </c>
      <c r="H67" s="5" t="str">
        <f>IFERROR(__xludf.DUMMYFUNCTION(" GOOGLETRANSLATE(B67, ""en"", ""am"")"),"በ2020 የቶኪዮ ኦሎምፒክ በሴቶች 1500ሜ ማን አሸነፈ?")</f>
        <v>በ2020 የቶኪዮ ኦሎምፒክ በሴቶች 1500ሜ ማን አሸነፈ?</v>
      </c>
      <c r="I67" s="5" t="str">
        <f>IFERROR(__xludf.DUMMYFUNCTION(" GOOGLETRANSLATE(C67, ""en"", ""am"")"),"A. Helen Aubrey B. Sifan Hassan C. Genzebe Dibaba D. Faith Kipyegon")</f>
        <v>A. Helen Aubrey B. Sifan Hassan C. Genzebe Dibaba D. Faith Kipyegon</v>
      </c>
      <c r="J67" s="5" t="str">
        <f>IFERROR(__xludf.DUMMYFUNCTION(" GOOGLETRANSLATE(D67, ""en"", ""am"")"),"እምነት ኪፕዬጎን")</f>
        <v>እምነት ኪፕዬጎን</v>
      </c>
      <c r="K67" s="5" t="str">
        <f>IFERROR(__xludf.DUMMYFUNCTION(" GOOGLETRANSLATE(E67, ""en"", ""am"")"),"እምነት ኪፒዬጎ በ2020 የቶኪዮ ኦሎምፒክ በሴቶች 1500ሜ ወርቅ አሸንፋለች።")</f>
        <v>እምነት ኪፒዬጎ በ2020 የቶኪዮ ኦሎምፒክ በሴቶች 1500ሜ ወርቅ አሸንፋለች።</v>
      </c>
    </row>
    <row r="68" ht="22.5" customHeight="1">
      <c r="A68" s="3">
        <v>67.0</v>
      </c>
      <c r="B68" s="4" t="s">
        <v>1139</v>
      </c>
      <c r="C68" s="4" t="s">
        <v>1140</v>
      </c>
      <c r="D68" s="4" t="s">
        <v>1141</v>
      </c>
      <c r="E68" s="4" t="s">
        <v>1142</v>
      </c>
      <c r="G68" s="5" t="str">
        <f>IFERROR(__xludf.DUMMYFUNCTION(" GOOGLETRANSLATE(A68, ""en"", ""am"")"),"67")</f>
        <v>67</v>
      </c>
      <c r="H68" s="5" t="str">
        <f>IFERROR(__xludf.DUMMYFUNCTION(" GOOGLETRANSLATE(B68, ""en"", ""am"")"),"በወንዶች 110ሜ መሰናክል የአለም ሪከርድ ማን ነው?")</f>
        <v>በወንዶች 110ሜ መሰናክል የአለም ሪከርድ ማን ነው?</v>
      </c>
      <c r="I68" s="5" t="str">
        <f>IFERROR(__xludf.DUMMYFUNCTION(" GOOGLETRANSLATE(C68, ""en"", ""am"")"),"A. Aries Merritt. ቢ ዩሴን ቦልት ሲ ዴቪድ ኦሊቨር ዲ. አሪስ ሜሪትት።")</f>
        <v>A. Aries Merritt. ቢ ዩሴን ቦልት ሲ ዴቪድ ኦሊቨር ዲ. አሪስ ሜሪትት።</v>
      </c>
      <c r="J68" s="5" t="str">
        <f>IFERROR(__xludf.DUMMYFUNCTION(" GOOGLETRANSLATE(D68, ""en"", ""am"")"),"አሪየስ ሜሪትት።")</f>
        <v>አሪየስ ሜሪትት።</v>
      </c>
      <c r="K68" s="5" t="str">
        <f>IFERROR(__xludf.DUMMYFUNCTION(" GOOGLETRANSLATE(E68, ""en"", ""am"")"),"አሪየስ ሜሪት በ110 ሜትር መሰናክል 12.80 ሰከንድ በመግባት የአለም ክብረ ወሰን አስመዝግባለች።")</f>
        <v>አሪየስ ሜሪት በ110 ሜትር መሰናክል 12.80 ሰከንድ በመግባት የአለም ክብረ ወሰን አስመዝግባለች።</v>
      </c>
    </row>
    <row r="69" ht="22.5" customHeight="1">
      <c r="A69" s="3">
        <v>68.0</v>
      </c>
      <c r="B69" s="4" t="s">
        <v>1143</v>
      </c>
      <c r="C69" s="4" t="s">
        <v>1144</v>
      </c>
      <c r="D69" s="4" t="s">
        <v>1145</v>
      </c>
      <c r="E69" s="4" t="s">
        <v>1146</v>
      </c>
      <c r="G69" s="5" t="str">
        <f>IFERROR(__xludf.DUMMYFUNCTION(" GOOGLETRANSLATE(A69, ""en"", ""am"")"),"68")</f>
        <v>68</v>
      </c>
      <c r="H69" s="5" t="str">
        <f>IFERROR(__xludf.DUMMYFUNCTION(" GOOGLETRANSLATE(B69, ""en"", ""am"")"),"በ800ሜ ኦሊምፒክ ወርቅ ያሸነፈች የመጀመሪያዋ ሴት አትሌት ማን ናት?")</f>
        <v>በ800ሜ ኦሊምፒክ ወርቅ ያሸነፈች የመጀመሪያዋ ሴት አትሌት ማን ናት?</v>
      </c>
      <c r="I69" s="5" t="str">
        <f>IFERROR(__xludf.DUMMYFUNCTION(" GOOGLETRANSLATE(C69, ""en"", ""am"")"),"ሀ. ማሪ-ሆሴ ፔሬክ ቢ ናዲያ ኮማኔሲ ሲ. ካትሪን ንደርባ ዲ. ማሪ-ሆሴ ፔሬክ")</f>
        <v>ሀ. ማሪ-ሆሴ ፔሬክ ቢ ናዲያ ኮማኔሲ ሲ. ካትሪን ንደርባ ዲ. ማሪ-ሆሴ ፔሬክ</v>
      </c>
      <c r="J69" s="5" t="str">
        <f>IFERROR(__xludf.DUMMYFUNCTION(" GOOGLETRANSLATE(D69, ""en"", ""am"")"),"ማሪ-ሆሴ ፔሬክ")</f>
        <v>ማሪ-ሆሴ ፔሬክ</v>
      </c>
      <c r="K69" s="5" t="str">
        <f>IFERROR(__xludf.DUMMYFUNCTION(" GOOGLETRANSLATE(E69, ""en"", ""am"")"),"ማሪ-ጆሴ ፔሬ በ1996 በአትላንታ ኦሎምፒክ በ800ሜ ወርቅ በማሸነፍ የመጀመሪያዋ ሴት አትሌት ሆነች።")</f>
        <v>ማሪ-ጆሴ ፔሬ በ1996 በአትላንታ ኦሎምፒክ በ800ሜ ወርቅ በማሸነፍ የመጀመሪያዋ ሴት አትሌት ሆነች።</v>
      </c>
    </row>
    <row r="70" ht="22.5" customHeight="1">
      <c r="A70" s="3">
        <v>69.0</v>
      </c>
      <c r="B70" s="4" t="s">
        <v>1147</v>
      </c>
      <c r="C70" s="4" t="s">
        <v>1148</v>
      </c>
      <c r="D70" s="4" t="s">
        <v>1054</v>
      </c>
      <c r="E70" s="4" t="s">
        <v>1149</v>
      </c>
      <c r="G70" s="5" t="str">
        <f>IFERROR(__xludf.DUMMYFUNCTION(" GOOGLETRANSLATE(A70, ""en"", ""am"")"),"69")</f>
        <v>69</v>
      </c>
      <c r="H70" s="5" t="str">
        <f>IFERROR(__xludf.DUMMYFUNCTION(" GOOGLETRANSLATE(B70, ""en"", ""am"")"),"በኦሎምፒክ ታሪክ ፈጣኑ ሴት ሯጭ ማን ናት?")</f>
        <v>በኦሎምፒክ ታሪክ ፈጣኑ ሴት ሯጭ ማን ናት?</v>
      </c>
      <c r="I70" s="5" t="str">
        <f>IFERROR(__xludf.DUMMYFUNCTION(" GOOGLETRANSLATE(C70, ""en"", ""am"")"),"ኤ ኤቭሊን አሽፎርድ ቢ. ማሪዮን ጆንስ ሲ. ጃኪ ጆይነር ከርሲ ዲ. ፍሎረንስ ግሪፊዝስ ጆይነር")</f>
        <v>ኤ ኤቭሊን አሽፎርድ ቢ. ማሪዮን ጆንስ ሲ. ጃኪ ጆይነር ከርሲ ዲ. ፍሎረንስ ግሪፊዝስ ጆይነር</v>
      </c>
      <c r="J70" s="5" t="str">
        <f>IFERROR(__xludf.DUMMYFUNCTION(" GOOGLETRANSLATE(D70, ""en"", ""am"")"),"ፍሎረንስ Griffiths Joyner")</f>
        <v>ፍሎረንስ Griffiths Joyner</v>
      </c>
      <c r="K70" s="5" t="str">
        <f>IFERROR(__xludf.DUMMYFUNCTION(" GOOGLETRANSLATE(E70, ""en"", ""am"")"),"ፍሎረንስ ግሪፊዝ ጆይነር የኦሎምፒክ ክብረ ወሰን 10.49 ሰከንድ አስመዝግባለች።")</f>
        <v>ፍሎረንስ ግሪፊዝ ጆይነር የኦሎምፒክ ክብረ ወሰን 10.49 ሰከንድ አስመዝግባለች።</v>
      </c>
    </row>
    <row r="71" ht="22.5" customHeight="1">
      <c r="A71" s="3">
        <v>70.0</v>
      </c>
      <c r="B71" s="4" t="s">
        <v>1150</v>
      </c>
      <c r="C71" s="4" t="s">
        <v>1151</v>
      </c>
      <c r="D71" s="4" t="s">
        <v>1152</v>
      </c>
      <c r="E71" s="4" t="s">
        <v>1153</v>
      </c>
      <c r="G71" s="5" t="str">
        <f>IFERROR(__xludf.DUMMYFUNCTION(" GOOGLETRANSLATE(A71, ""en"", ""am"")"),"70")</f>
        <v>70</v>
      </c>
      <c r="H71" s="5" t="str">
        <f>IFERROR(__xludf.DUMMYFUNCTION(" GOOGLETRANSLATE(B71, ""en"", ""am"")"),"የትኛው አትሌት ነው አሁን ያለውን የሴቶች ምሰሶ ቫልት የአለም ክብረወሰን የያዘ?")</f>
        <v>የትኛው አትሌት ነው አሁን ያለውን የሴቶች ምሰሶ ቫልት የአለም ክብረወሰን የያዘ?</v>
      </c>
      <c r="I71" s="5" t="str">
        <f>IFERROR(__xludf.DUMMYFUNCTION(" GOOGLETRANSLATE(C71, ""en"", ""am"")"),"ኤ. ናዲን ዴቦይስ ቢ ስቬትላና ፌዮፋኖቫ ሲ. ጄኒፈር ሱር ዲ ዬሌና ኢሲንባይቫ")</f>
        <v>ኤ. ናዲን ዴቦይስ ቢ ስቬትላና ፌዮፋኖቫ ሲ. ጄኒፈር ሱር ዲ ዬሌና ኢሲንባይቫ</v>
      </c>
      <c r="J71" s="5" t="str">
        <f>IFERROR(__xludf.DUMMYFUNCTION(" GOOGLETRANSLATE(D71, ""en"", ""am"")"),"ዬሌና ኢሲንባይቫ")</f>
        <v>ዬሌና ኢሲንባይቫ</v>
      </c>
      <c r="K71" s="5" t="str">
        <f>IFERROR(__xludf.DUMMYFUNCTION(" GOOGLETRANSLATE(E71, ""en"", ""am"")"),"ዬሌና ኢሲንባይቫ 5.06 ሜትር በመዝለል በሴቶች ምሰሶ መዝገብ አስመዝግባለች።")</f>
        <v>ዬሌና ኢሲንባይቫ 5.06 ሜትር በመዝለል በሴቶች ምሰሶ መዝገብ አስመዝግባለች።</v>
      </c>
    </row>
    <row r="72" ht="22.5" customHeight="1">
      <c r="A72" s="3">
        <v>71.0</v>
      </c>
      <c r="B72" s="4" t="s">
        <v>1154</v>
      </c>
      <c r="C72" s="4" t="s">
        <v>1155</v>
      </c>
      <c r="D72" s="4" t="s">
        <v>1156</v>
      </c>
      <c r="E72" s="4" t="s">
        <v>1157</v>
      </c>
      <c r="G72" s="5" t="str">
        <f>IFERROR(__xludf.DUMMYFUNCTION(" GOOGLETRANSLATE(A72, ""en"", ""am"")"),"71")</f>
        <v>71</v>
      </c>
      <c r="H72" s="5" t="str">
        <f>IFERROR(__xludf.DUMMYFUNCTION(" GOOGLETRANSLATE(B72, ""en"", ""am"")"),"በ2016 የሪዮ ኦሊምፒክ በ800ሜ የወርቅ ሜዳሊያ ያስገኘላት ሴት አትሌት የትኛው ነው?")</f>
        <v>በ2016 የሪዮ ኦሊምፒክ በ800ሜ የወርቅ ሜዳሊያ ያስገኘላት ሴት አትሌት የትኛው ነው?</v>
      </c>
      <c r="I72" s="5" t="str">
        <f>IFERROR(__xludf.DUMMYFUNCTION(" GOOGLETRANSLATE(C72, ""en"", ""am"")"),"ኤ. ማሪያ ሙቶላ ቢ. ዊልሰን ኪፕኬተር ሲ. ሄለን ኦብሪ ዲ. ካስተር ሴሜንያ")</f>
        <v>ኤ. ማሪያ ሙቶላ ቢ. ዊልሰን ኪፕኬተር ሲ. ሄለን ኦብሪ ዲ. ካስተር ሴሜንያ</v>
      </c>
      <c r="J72" s="5" t="str">
        <f>IFERROR(__xludf.DUMMYFUNCTION(" GOOGLETRANSLATE(D72, ""en"", ""am"")"),"ካስተር ሴሜንያ")</f>
        <v>ካስተር ሴሜንያ</v>
      </c>
      <c r="K72" s="5" t="str">
        <f>IFERROR(__xludf.DUMMYFUNCTION(" GOOGLETRANSLATE(E72, ""en"", ""am"")"),"በ2016 የሪዮ ኦሊምፒክ በሴቶች 800 ሜትር ካስተር ሴሜንያ ወርቅ አግኝታለች።")</f>
        <v>በ2016 የሪዮ ኦሊምፒክ በሴቶች 800 ሜትር ካስተር ሴሜንያ ወርቅ አግኝታለች።</v>
      </c>
    </row>
    <row r="73" ht="22.5" customHeight="1">
      <c r="A73" s="3">
        <v>72.0</v>
      </c>
      <c r="B73" s="4" t="s">
        <v>1158</v>
      </c>
      <c r="C73" s="4" t="s">
        <v>1159</v>
      </c>
      <c r="D73" s="4" t="s">
        <v>1054</v>
      </c>
      <c r="E73" s="4" t="s">
        <v>1160</v>
      </c>
      <c r="G73" s="5" t="str">
        <f>IFERROR(__xludf.DUMMYFUNCTION(" GOOGLETRANSLATE(A73, ""en"", ""am"")"),"72")</f>
        <v>72</v>
      </c>
      <c r="H73" s="5" t="str">
        <f>IFERROR(__xludf.DUMMYFUNCTION(" GOOGLETRANSLATE(B73, ""en"", ""am"")"),"እ.ኤ.አ. በ1988 የሴቶች 100ሜ የአለም ክብረወሰን ማን አስመዘገበ?")</f>
        <v>እ.ኤ.አ. በ1988 የሴቶች 100ሜ የአለም ክብረወሰን ማን አስመዘገበ?</v>
      </c>
      <c r="I73" s="5" t="str">
        <f>IFERROR(__xludf.DUMMYFUNCTION(" GOOGLETRANSLATE(C73, ""en"", ""am"")"),"ሀ. ማሪዮን ጆንስ ቢ ኤቭሊን አሽፎርድ ሲ ጃኪ ጆይነር ከርሴይ ዲ ፍሎረንስ ግሪፊዝስ ጆይነር")</f>
        <v>ሀ. ማሪዮን ጆንስ ቢ ኤቭሊን አሽፎርድ ሲ ጃኪ ጆይነር ከርሴይ ዲ ፍሎረንስ ግሪፊዝስ ጆይነር</v>
      </c>
      <c r="J73" s="5" t="str">
        <f>IFERROR(__xludf.DUMMYFUNCTION(" GOOGLETRANSLATE(D73, ""en"", ""am"")"),"ፍሎረንስ Griffiths Joyner")</f>
        <v>ፍሎረንስ Griffiths Joyner</v>
      </c>
      <c r="K73" s="5" t="str">
        <f>IFERROR(__xludf.DUMMYFUNCTION(" GOOGLETRANSLATE(E73, ""en"", ""am"")"),"ፍሎረንስ ግሪፊዝ ጆይነር እ.ኤ.አ. በ1988 በሴኡል ኦሎምፒክ የ100 ሜትር የአለም ክብረ ወሰን በ10.49 ሰከንድ አስመዘገበች።")</f>
        <v>ፍሎረንስ ግሪፊዝ ጆይነር እ.ኤ.አ. በ1988 በሴኡል ኦሎምፒክ የ100 ሜትር የአለም ክብረ ወሰን በ10.49 ሰከንድ አስመዘገበች።</v>
      </c>
    </row>
    <row r="74" ht="22.5" customHeight="1">
      <c r="A74" s="3">
        <v>73.0</v>
      </c>
      <c r="B74" s="4" t="s">
        <v>1161</v>
      </c>
      <c r="C74" s="4" t="s">
        <v>1162</v>
      </c>
      <c r="D74" s="4" t="s">
        <v>992</v>
      </c>
      <c r="E74" s="4" t="s">
        <v>1163</v>
      </c>
      <c r="G74" s="5" t="str">
        <f>IFERROR(__xludf.DUMMYFUNCTION(" GOOGLETRANSLATE(A74, ""en"", ""am"")"),"73")</f>
        <v>73</v>
      </c>
      <c r="H74" s="5" t="str">
        <f>IFERROR(__xludf.DUMMYFUNCTION(" GOOGLETRANSLATE(B74, ""en"", ""am"")"),"በአንድ ኦሊምፒክ በ100ሜ እና በ200ሜ ወርቅ ያሸነፈ የመጀመሪያው አትሌት ማን ነበር?")</f>
        <v>በአንድ ኦሊምፒክ በ100ሜ እና በ200ሜ ወርቅ ያሸነፈ የመጀመሪያው አትሌት ማን ነበር?</v>
      </c>
      <c r="I74" s="5" t="str">
        <f>IFERROR(__xludf.DUMMYFUNCTION(" GOOGLETRANSLATE(C74, ""en"", ""am"")"),"ኤ ካርል ሉዊስ ቢ. ሚካኤል ጆንሰን ሲ. ታይሰን ጌይ ዲ ካርል ሌዊስ")</f>
        <v>ኤ ካርል ሉዊስ ቢ. ሚካኤል ጆንሰን ሲ. ታይሰን ጌይ ዲ ካርል ሌዊስ</v>
      </c>
      <c r="J74" s="5" t="str">
        <f>IFERROR(__xludf.DUMMYFUNCTION(" GOOGLETRANSLATE(D74, ""en"", ""am"")"),"ካርል ሉዊስ")</f>
        <v>ካርል ሉዊስ</v>
      </c>
      <c r="K74" s="5" t="str">
        <f>IFERROR(__xludf.DUMMYFUNCTION(" GOOGLETRANSLATE(E74, ""en"", ""am"")"),"ካርል ሉዊስ በተመሳሳይ ኦሎምፒክ (1984) በሁለቱም የ100ሜ እና የ200ሜ ወርቅ ሜዳሊያዎች ያሸነፈ የመጀመሪያው አትሌት ነበር።")</f>
        <v>ካርል ሉዊስ በተመሳሳይ ኦሎምፒክ (1984) በሁለቱም የ100ሜ እና የ200ሜ ወርቅ ሜዳሊያዎች ያሸነፈ የመጀመሪያው አትሌት ነበር።</v>
      </c>
    </row>
    <row r="75" ht="22.5" customHeight="1">
      <c r="A75" s="3">
        <v>74.0</v>
      </c>
      <c r="B75" s="4" t="s">
        <v>1164</v>
      </c>
      <c r="C75" s="4" t="s">
        <v>1165</v>
      </c>
      <c r="D75" s="4" t="s">
        <v>1166</v>
      </c>
      <c r="E75" s="4" t="s">
        <v>1167</v>
      </c>
      <c r="G75" s="5" t="str">
        <f>IFERROR(__xludf.DUMMYFUNCTION(" GOOGLETRANSLATE(A75, ""en"", ""am"")"),"74")</f>
        <v>74</v>
      </c>
      <c r="H75" s="5" t="str">
        <f>IFERROR(__xludf.DUMMYFUNCTION(" GOOGLETRANSLATE(B75, ""en"", ""am"")"),"በ2020 የቶኪዮ ኦሎምፒክ በወንዶች 110ሜ መሰናክል ማን አሸነፈ?")</f>
        <v>በ2020 የቶኪዮ ኦሎምፒክ በወንዶች 110ሜ መሰናክል ማን አሸነፈ?</v>
      </c>
      <c r="I75" s="5" t="str">
        <f>IFERROR(__xludf.DUMMYFUNCTION(" GOOGLETRANSLATE(C75, ""en"", ""am"")"),"A. Aries Merritt. ብ ኦማር ማክሊዮድ ሲ ዴቪድ ኦሊቨር ዲ ግራንት ሆሎዋይ")</f>
        <v>A. Aries Merritt. ብ ኦማር ማክሊዮድ ሲ ዴቪድ ኦሊቨር ዲ ግራንት ሆሎዋይ</v>
      </c>
      <c r="J75" s="5" t="str">
        <f>IFERROR(__xludf.DUMMYFUNCTION(" GOOGLETRANSLATE(D75, ""en"", ""am"")"),"ግራንት Holloway")</f>
        <v>ግራንት Holloway</v>
      </c>
      <c r="K75" s="5" t="str">
        <f>IFERROR(__xludf.DUMMYFUNCTION(" GOOGLETRANSLATE(E75, ""en"", ""am"")"),"ግራንት ሆሎዋይ በ2020 የቶኪዮ ኦሎምፒክ በወንዶች 110ሜ መሰናክል ወርቅ አሸንፏል።")</f>
        <v>ግራንት ሆሎዋይ በ2020 የቶኪዮ ኦሎምፒክ በወንዶች 110ሜ መሰናክል ወርቅ አሸንፏል።</v>
      </c>
    </row>
    <row r="76" ht="22.5" customHeight="1">
      <c r="A76" s="3">
        <v>75.0</v>
      </c>
      <c r="B76" s="4" t="s">
        <v>1168</v>
      </c>
      <c r="C76" s="4" t="s">
        <v>1169</v>
      </c>
      <c r="D76" s="4" t="s">
        <v>1170</v>
      </c>
      <c r="E76" s="4" t="s">
        <v>1171</v>
      </c>
      <c r="G76" s="5" t="str">
        <f>IFERROR(__xludf.DUMMYFUNCTION(" GOOGLETRANSLATE(A76, ""en"", ""am"")"),"75")</f>
        <v>75</v>
      </c>
      <c r="H76" s="5" t="str">
        <f>IFERROR(__xludf.DUMMYFUNCTION(" GOOGLETRANSLATE(B76, ""en"", ""am"")"),"የርቀት ሯጭ ማን ነው የሚባለው?")</f>
        <v>የርቀት ሯጭ ማን ነው የሚባለው?</v>
      </c>
      <c r="I76" s="5" t="str">
        <f>IFERROR(__xludf.DUMMYFUNCTION(" GOOGLETRANSLATE(C76, ""en"", ""am"")"),"A. Kenenisa Bekele B. Tsegaye Kebede C. ስለ አንተ የኔ ውድ። ዲ/ን ሃይለ ገብረስላሴ")</f>
        <v>A. Kenenisa Bekele B. Tsegaye Kebede C. ስለ አንተ የኔ ውድ። ዲ/ን ሃይለ ገብረስላሴ</v>
      </c>
      <c r="J76" s="5" t="str">
        <f>IFERROR(__xludf.DUMMYFUNCTION(" GOOGLETRANSLATE(D76, ""en"", ""am"")"),"ሃይለ ገብረስላሴ")</f>
        <v>ሃይለ ገብረስላሴ</v>
      </c>
      <c r="K76" s="5" t="str">
        <f>IFERROR(__xludf.DUMMYFUNCTION(" GOOGLETRANSLATE(E76, ""en"", ""am"")"),"ኃይሌ ገብረስላሴ ሁለት የኦሎምፒክ የወርቅ ሜዳሊያዎችን እና በርካታ የአለም ሻምፒዮናዎችን በማሸነፍ ታላቁ ኢትዮጵያዊ የረጅም ርቀት ሯጭ ተብሎ ይታወቃል።")</f>
        <v>ኃይሌ ገብረስላሴ ሁለት የኦሎምፒክ የወርቅ ሜዳሊያዎችን እና በርካታ የአለም ሻምፒዮናዎችን በማሸነፍ ታላቁ ኢትዮጵያዊ የረጅም ርቀት ሯጭ ተብሎ ይታወቃል።</v>
      </c>
    </row>
    <row r="77" ht="22.5" customHeight="1">
      <c r="A77" s="3">
        <v>76.0</v>
      </c>
      <c r="B77" s="4" t="s">
        <v>1172</v>
      </c>
      <c r="C77" s="4" t="s">
        <v>1173</v>
      </c>
      <c r="D77" s="4" t="s">
        <v>1174</v>
      </c>
      <c r="E77" s="4" t="s">
        <v>1174</v>
      </c>
      <c r="G77" s="5" t="str">
        <f>IFERROR(__xludf.DUMMYFUNCTION(" GOOGLETRANSLATE(A77, ""en"", ""am"")"),"76")</f>
        <v>76</v>
      </c>
      <c r="H77" s="5" t="str">
        <f>IFERROR(__xludf.DUMMYFUNCTION(" GOOGLETRANSLATE(B77, ""en"", ""am"")"),"ኃይሌ ገብረስላሴ የ10,000 ሜትር የአለም ክብረ ወሰንን ለመጀመሪያ ጊዜ የሰበረው በየትኛው አመት ነው?")</f>
        <v>ኃይሌ ገብረስላሴ የ10,000 ሜትር የአለም ክብረ ወሰንን ለመጀመሪያ ጊዜ የሰበረው በየትኛው አመት ነው?</v>
      </c>
      <c r="I77" s="5" t="str">
        <f>IFERROR(__xludf.DUMMYFUNCTION(" GOOGLETRANSLATE(C77, ""en"", ""am"")"),"እ.ኤ.አ. 2000 ዓ.ም. 1997 ዓ.ም. 2002 ዲ. 1998 ዓ.ም.")</f>
        <v>እ.ኤ.አ. 2000 ዓ.ም. 1997 ዓ.ም. 2002 ዲ. 1998 ዓ.ም.</v>
      </c>
      <c r="J77" s="5" t="str">
        <f>IFERROR(__xludf.DUMMYFUNCTION(" GOOGLETRANSLATE(D77, ""en"", ""am"")"),"በ1998 ዓ.ም")</f>
        <v>በ1998 ዓ.ም</v>
      </c>
      <c r="K77" s="5" t="str">
        <f>IFERROR(__xludf.DUMMYFUNCTION(" GOOGLETRANSLATE(E77, ""en"", ""am"")"),"በ1998 ዓ.ም")</f>
        <v>በ1998 ዓ.ም</v>
      </c>
    </row>
    <row r="78" ht="22.5" customHeight="1">
      <c r="A78" s="3">
        <v>77.0</v>
      </c>
      <c r="B78" s="4" t="s">
        <v>1175</v>
      </c>
      <c r="C78" s="4" t="s">
        <v>1176</v>
      </c>
      <c r="D78" s="4" t="s">
        <v>1083</v>
      </c>
      <c r="E78" s="4" t="s">
        <v>1177</v>
      </c>
      <c r="G78" s="5" t="str">
        <f>IFERROR(__xludf.DUMMYFUNCTION(" GOOGLETRANSLATE(A78, ""en"", ""am"")"),"77")</f>
        <v>77</v>
      </c>
      <c r="H78" s="5" t="str">
        <f>IFERROR(__xludf.DUMMYFUNCTION(" GOOGLETRANSLATE(B78, ""en"", ""am"")"),"በ2008 በወንዶች 10,000 ሜትር የኦሎምፒክ የወርቅ ሜዳሊያ ያስገኘው ኢትዮጵያዊ ሯጭ የትኛው ነው?")</f>
        <v>በ2008 በወንዶች 10,000 ሜትር የኦሎምፒክ የወርቅ ሜዳሊያ ያስገኘው ኢትዮጵያዊ ሯጭ የትኛው ነው?</v>
      </c>
      <c r="I78" s="5" t="str">
        <f>IFERROR(__xludf.DUMMYFUNCTION(" GOOGLETRANSLATE(C78, ""en"", ""am"")"),"A. Haile Gebrselassie B. Tsegaye Kebede C. ስለ አንተ ውዴ። ዲ. ቀነኒሳ በቀለ")</f>
        <v>A. Haile Gebrselassie B. Tsegaye Kebede C. ስለ አንተ ውዴ። ዲ. ቀነኒሳ በቀለ</v>
      </c>
      <c r="J78" s="5" t="str">
        <f>IFERROR(__xludf.DUMMYFUNCTION(" GOOGLETRANSLATE(D78, ""en"", ""am"")"),"ቀነኒሳ በቀለ")</f>
        <v>ቀነኒሳ በቀለ</v>
      </c>
      <c r="K78" s="5" t="str">
        <f>IFERROR(__xludf.DUMMYFUNCTION(" GOOGLETRANSLATE(E78, ""en"", ""am"")"),"ቀነኒሳ በቀለ በ2008 የቤጂንግ ኦሊምፒክ በወንዶች 10,000 ሜትር የኦሎምፒክ የወርቅ ሜዳሊያ አስገኝቷል።")</f>
        <v>ቀነኒሳ በቀለ በ2008 የቤጂንግ ኦሊምፒክ በወንዶች 10,000 ሜትር የኦሎምፒክ የወርቅ ሜዳሊያ አስገኝቷል።</v>
      </c>
    </row>
    <row r="79" ht="22.5" customHeight="1">
      <c r="A79" s="3">
        <v>78.0</v>
      </c>
      <c r="B79" s="4" t="s">
        <v>1178</v>
      </c>
      <c r="C79" s="4" t="s">
        <v>1179</v>
      </c>
      <c r="D79" s="4" t="s">
        <v>1180</v>
      </c>
      <c r="E79" s="4" t="s">
        <v>1181</v>
      </c>
      <c r="G79" s="5" t="str">
        <f>IFERROR(__xludf.DUMMYFUNCTION(" GOOGLETRANSLATE(A79, ""en"", ""am"")"),"78")</f>
        <v>78</v>
      </c>
      <c r="H79" s="5" t="str">
        <f>IFERROR(__xludf.DUMMYFUNCTION(" GOOGLETRANSLATE(B79, ""en"", ""am"")"),"በአትሌቲክስ ኦሊምፒክ የወርቅ ሜዳሊያ ያሸነፈ የመጀመሪያው ኢትዮጵያዊ ማን ነው?")</f>
        <v>በአትሌቲክስ ኦሊምፒክ የወርቅ ሜዳሊያ ያሸነፈ የመጀመሪያው ኢትዮጵያዊ ማን ነው?</v>
      </c>
      <c r="I79" s="5" t="str">
        <f>IFERROR(__xludf.DUMMYFUNCTION(" GOOGLETRANSLATE(C79, ""en"", ""am"")"),"አ. ጥሩነሽ ዲባባ ቢ.ደራርቱ ቱሉ ሲ.በሴድ ዳፋር ዲ.ደራርቱ ቱሉ")</f>
        <v>አ. ጥሩነሽ ዲባባ ቢ.ደራርቱ ቱሉ ሲ.በሴድ ዳፋር ዲ.ደራርቱ ቱሉ</v>
      </c>
      <c r="J79" s="5" t="str">
        <f>IFERROR(__xludf.DUMMYFUNCTION(" GOOGLETRANSLATE(D79, ""en"", ""am"")"),"ደራርቱ ቱሉ")</f>
        <v>ደራርቱ ቱሉ</v>
      </c>
      <c r="K79" s="5" t="str">
        <f>IFERROR(__xludf.DUMMYFUNCTION(" GOOGLETRANSLATE(E79, ""en"", ""am"")"),"ደራርቱ ቱሉ በ1992 የባርሴሎና ኦሎምፒክ በ10,000 ሜትር የኦሎምፒክ የወርቅ ሜዳሊያ ያስገኘች የመጀመሪያዋ ኢትዮጵያዊት ሆናለች።")</f>
        <v>ደራርቱ ቱሉ በ1992 የባርሴሎና ኦሎምፒክ በ10,000 ሜትር የኦሎምፒክ የወርቅ ሜዳሊያ ያስገኘች የመጀመሪያዋ ኢትዮጵያዊት ሆናለች።</v>
      </c>
    </row>
    <row r="80" ht="22.5" customHeight="1">
      <c r="A80" s="3">
        <v>79.0</v>
      </c>
      <c r="B80" s="4" t="s">
        <v>1182</v>
      </c>
      <c r="C80" s="4" t="s">
        <v>1183</v>
      </c>
      <c r="D80" s="4" t="s">
        <v>1083</v>
      </c>
      <c r="E80" s="4" t="s">
        <v>1184</v>
      </c>
      <c r="G80" s="5" t="str">
        <f>IFERROR(__xludf.DUMMYFUNCTION(" GOOGLETRANSLATE(A80, ""en"", ""am"")"),"79")</f>
        <v>79</v>
      </c>
      <c r="H80" s="5" t="str">
        <f>IFERROR(__xludf.DUMMYFUNCTION(" GOOGLETRANSLATE(B80, ""en"", ""am"")"),"በ2004 የትኛው ኢትዮጵያዊ አትሌት ነው በ5000ሜ.")</f>
        <v>በ2004 የትኛው ኢትዮጵያዊ አትሌት ነው በ5000ሜ.</v>
      </c>
      <c r="I80" s="5" t="str">
        <f>IFERROR(__xludf.DUMMYFUNCTION(" GOOGLETRANSLATE(C80, ""en"", ""am"")"),"ሀ.በሴድ ዳፋር ብ ቀነኒሳ በቀለ ሐ.ኃይሌ ገብረሥላሴ ዲ.ቀነኒሳ በቀለ")</f>
        <v>ሀ.በሴድ ዳፋር ብ ቀነኒሳ በቀለ ሐ.ኃይሌ ገብረሥላሴ ዲ.ቀነኒሳ በቀለ</v>
      </c>
      <c r="J80" s="5" t="str">
        <f>IFERROR(__xludf.DUMMYFUNCTION(" GOOGLETRANSLATE(D80, ""en"", ""am"")"),"ቀነኒሳ በቀለ")</f>
        <v>ቀነኒሳ በቀለ</v>
      </c>
      <c r="K80" s="5" t="str">
        <f>IFERROR(__xludf.DUMMYFUNCTION(" GOOGLETRANSLATE(E80, ""en"", ""am"")"),"ቀነኒሳ በቀለ በ2004 በበርሊን የ5,000ሜ.")</f>
        <v>ቀነኒሳ በቀለ በ2004 በበርሊን የ5,000ሜ.</v>
      </c>
    </row>
    <row r="81" ht="22.5" customHeight="1">
      <c r="A81" s="3">
        <v>80.0</v>
      </c>
      <c r="B81" s="4" t="s">
        <v>1185</v>
      </c>
      <c r="C81" s="4" t="s">
        <v>1186</v>
      </c>
      <c r="D81" s="4" t="s">
        <v>1187</v>
      </c>
      <c r="E81" s="4" t="s">
        <v>1188</v>
      </c>
      <c r="G81" s="5" t="str">
        <f>IFERROR(__xludf.DUMMYFUNCTION(" GOOGLETRANSLATE(A81, ""en"", ""am"")"),"80")</f>
        <v>80</v>
      </c>
      <c r="H81" s="5" t="str">
        <f>IFERROR(__xludf.DUMMYFUNCTION(" GOOGLETRANSLATE(B81, ""en"", ""am"")"),"አለም አቀፍ ደረጃቸውን የጠበቁ የረጅም ርቀት ሯጮችን በማፍራት የሚታወቀው ታዋቂው የኢትዮጵያ የሩጫ ትምህርት ቤት ማን ይባላል?")</f>
        <v>አለም አቀፍ ደረጃቸውን የጠበቁ የረጅም ርቀት ሯጮችን በማፍራት የሚታወቀው ታዋቂው የኢትዮጵያ የሩጫ ትምህርት ቤት ማን ይባላል?</v>
      </c>
      <c r="I81" s="5" t="str">
        <f>IFERROR(__xludf.DUMMYFUNCTION(" GOOGLETRANSLATE(C81, ""en"", ""am"")"),"አ. አዲስ አበባ የሩጫ ትምህርት ቤት ቢ.ደራ ሩጫ አካዳሚ ሐ.ናይሮቢ ሩጫ አካዳሚ ዲ.በቆጂ ሩጫ ትምህርት ቤት")</f>
        <v>አ. አዲስ አበባ የሩጫ ትምህርት ቤት ቢ.ደራ ሩጫ አካዳሚ ሐ.ናይሮቢ ሩጫ አካዳሚ ዲ.በቆጂ ሩጫ ትምህርት ቤት</v>
      </c>
      <c r="J81" s="5" t="str">
        <f>IFERROR(__xludf.DUMMYFUNCTION(" GOOGLETRANSLATE(D81, ""en"", ""am"")"),"የበኮጂ ሩጫ ትምህርት ቤት")</f>
        <v>የበኮጂ ሩጫ ትምህርት ቤት</v>
      </c>
      <c r="K81" s="5" t="str">
        <f>IFERROR(__xludf.DUMMYFUNCTION(" GOOGLETRANSLATE(E81, ""en"", ""am"")"),"ኢትዮጵያ ውስጥ የምትገኝ ቤኮጂ ትንሽ ከተማ አለም አቀፍ ደረጃቸውን የጠበቁ የረጅም ርቀት ሯጮችን በማፍራት ትታወቃለች።")</f>
        <v>ኢትዮጵያ ውስጥ የምትገኝ ቤኮጂ ትንሽ ከተማ አለም አቀፍ ደረጃቸውን የጠበቁ የረጅም ርቀት ሯጮችን በማፍራት ትታወቃለች።</v>
      </c>
    </row>
    <row r="82" ht="22.5" customHeight="1">
      <c r="A82" s="3">
        <v>81.0</v>
      </c>
      <c r="B82" s="4" t="s">
        <v>1189</v>
      </c>
      <c r="C82" s="4" t="s">
        <v>1190</v>
      </c>
      <c r="D82" s="4" t="s">
        <v>1191</v>
      </c>
      <c r="E82" s="4" t="s">
        <v>1192</v>
      </c>
      <c r="G82" s="5" t="str">
        <f>IFERROR(__xludf.DUMMYFUNCTION(" GOOGLETRANSLATE(A82, ""en"", ""am"")"),"81")</f>
        <v>81</v>
      </c>
      <c r="H82" s="5" t="str">
        <f>IFERROR(__xludf.DUMMYFUNCTION(" GOOGLETRANSLATE(B82, ""en"", ""am"")"),"በ2004 አቴንስ ኦሎምፒክ የማራቶን ወርቅ ሜዳሊያ በማግኘቱ ታዋቂው ኢትዮጵያዊ አትሌት የትኛው ነው?")</f>
        <v>በ2004 አቴንስ ኦሎምፒክ የማራቶን ወርቅ ሜዳሊያ በማግኘቱ ታዋቂው ኢትዮጵያዊ አትሌት የትኛው ነው?</v>
      </c>
      <c r="I82" s="5" t="str">
        <f>IFERROR(__xludf.DUMMYFUNCTION(" GOOGLETRANSLATE(C82, ""en"", ""am"")"),"ሀ/ኃይሌ ገብረሥላሴ B. Besed Dafar C. Fatuma Roba D. Fatuma Roba")</f>
        <v>ሀ/ኃይሌ ገብረሥላሴ B. Besed Dafar C. Fatuma Roba D. Fatuma Roba</v>
      </c>
      <c r="J82" s="5" t="str">
        <f>IFERROR(__xludf.DUMMYFUNCTION(" GOOGLETRANSLATE(D82, ""en"", ""am"")"),"ፋጡማ ሮባ")</f>
        <v>ፋጡማ ሮባ</v>
      </c>
      <c r="K82" s="5" t="str">
        <f>IFERROR(__xludf.DUMMYFUNCTION(" GOOGLETRANSLATE(E82, ""en"", ""am"")"),"ፋጡማ ሮባ በ2004 አቴንስ ኦሊምፒክ የኦሎምፒክ ማራቶን የወርቅ ሜዳሊያ አግኝታለች።")</f>
        <v>ፋጡማ ሮባ በ2004 አቴንስ ኦሊምፒክ የኦሎምፒክ ማራቶን የወርቅ ሜዳሊያ አግኝታለች።</v>
      </c>
    </row>
    <row r="83" ht="22.5" customHeight="1">
      <c r="A83" s="3">
        <v>82.0</v>
      </c>
      <c r="B83" s="4" t="s">
        <v>1193</v>
      </c>
      <c r="C83" s="4" t="s">
        <v>1194</v>
      </c>
      <c r="D83" s="4" t="s">
        <v>1195</v>
      </c>
      <c r="E83" s="4" t="e">
        <v>#VALUE!</v>
      </c>
      <c r="G83" s="5" t="str">
        <f>IFERROR(__xludf.DUMMYFUNCTION(" GOOGLETRANSLATE(A83, ""en"", ""am"")"),"82")</f>
        <v>82</v>
      </c>
      <c r="H83" s="5" t="str">
        <f>IFERROR(__xludf.DUMMYFUNCTION(" GOOGLETRANSLATE(B83, ""en"", ""am"")"),"በ2012 የለንደን ኦሊምፒክ በሴቶች ማራቶን የወርቅ ሜዳልያ ያገኘው ማን ነው?")</f>
        <v>በ2012 የለንደን ኦሊምፒክ በሴቶች ማራቶን የወርቅ ሜዳልያ ያገኘው ማን ነው?</v>
      </c>
      <c r="I83" s="5" t="str">
        <f>IFERROR(__xludf.DUMMYFUNCTION(" GOOGLETRANSLATE(C83, ""en"", ""am"")"),"ሀ. ጥሩ ይመስላል። ቢ.ፕሪስካ ጄፕቶ ሲ. ጥሩነሽ ዲባባ ዲ. ጥሩነሽ ዲባባ በ2012 የለንደን ኦሎምፒክ በሴቶች ማራቶን የወርቅ ሜዳሊያ አስመዝግባለች።")</f>
        <v>ሀ. ጥሩ ይመስላል። ቢ.ፕሪስካ ጄፕቶ ሲ. ጥሩነሽ ዲባባ ዲ. ጥሩነሽ ዲባባ በ2012 የለንደን ኦሎምፒክ በሴቶች ማራቶን የወርቅ ሜዳሊያ አስመዝግባለች።</v>
      </c>
      <c r="J83" s="5" t="str">
        <f>IFERROR(__xludf.DUMMYFUNCTION(" GOOGLETRANSLATE(D83, ""en"", ""am"")"),"በ2012 የለንደን ኦሊምፒክ በሴቶች ማራቶን ጥሩነሽ ዲባባ የወርቅ ሜዳሊያ አግኝታለች።")</f>
        <v>በ2012 የለንደን ኦሊምፒክ በሴቶች ማራቶን ጥሩነሽ ዲባባ የወርቅ ሜዳሊያ አግኝታለች።</v>
      </c>
      <c r="K83" s="5" t="str">
        <f>IFERROR(__xludf.DUMMYFUNCTION(" GOOGLETRANSLATE(E83, ""en"", ""am"")"),"#VALUE!")</f>
        <v>#VALUE!</v>
      </c>
    </row>
    <row r="84" ht="22.5" customHeight="1">
      <c r="A84" s="3">
        <v>83.0</v>
      </c>
      <c r="B84" s="4" t="s">
        <v>1196</v>
      </c>
      <c r="C84" s="4" t="s">
        <v>1176</v>
      </c>
      <c r="D84" s="4" t="s">
        <v>1083</v>
      </c>
      <c r="E84" s="4" t="s">
        <v>1197</v>
      </c>
      <c r="G84" s="5" t="str">
        <f>IFERROR(__xludf.DUMMYFUNCTION(" GOOGLETRANSLATE(A84, ""en"", ""am"")"),"83")</f>
        <v>83</v>
      </c>
      <c r="H84" s="5" t="str">
        <f>IFERROR(__xludf.DUMMYFUNCTION(" GOOGLETRANSLATE(B84, ""en"", ""am"")"),"በ2008 የቤጂንግ ኦሊምፒክ በ5,000 እና 10,000 ሜትር ሁለት የወርቅ ሜዳሊያዎችን ያስመዘገበው ኢትዮጵያዊ አትሌት የትኛው ነው?")</f>
        <v>በ2008 የቤጂንግ ኦሊምፒክ በ5,000 እና 10,000 ሜትር ሁለት የወርቅ ሜዳሊያዎችን ያስመዘገበው ኢትዮጵያዊ አትሌት የትኛው ነው?</v>
      </c>
      <c r="I84" s="5" t="str">
        <f>IFERROR(__xludf.DUMMYFUNCTION(" GOOGLETRANSLATE(C84, ""en"", ""am"")"),"A. Haile Gebrselassie B. Tsegaye Kebede C. ስለ አንተ ውዴ። ዲ. ቀነኒሳ በቀለ")</f>
        <v>A. Haile Gebrselassie B. Tsegaye Kebede C. ስለ አንተ ውዴ። ዲ. ቀነኒሳ በቀለ</v>
      </c>
      <c r="J84" s="5" t="str">
        <f>IFERROR(__xludf.DUMMYFUNCTION(" GOOGLETRANSLATE(D84, ""en"", ""am"")"),"ቀነኒሳ በቀለ")</f>
        <v>ቀነኒሳ በቀለ</v>
      </c>
      <c r="K84" s="5" t="str">
        <f>IFERROR(__xludf.DUMMYFUNCTION(" GOOGLETRANSLATE(E84, ""en"", ""am"")"),"ቀነኒሳ በቀለ በ2008 የቤጂንግ ኦሊምፒክ በሁለቱም የ5,000 እና 10,000 ሜትሮች የወርቅ ሜዳሊያዎችን አስገኝቷል።")</f>
        <v>ቀነኒሳ በቀለ በ2008 የቤጂንግ ኦሊምፒክ በሁለቱም የ5,000 እና 10,000 ሜትሮች የወርቅ ሜዳሊያዎችን አስገኝቷል።</v>
      </c>
    </row>
    <row r="85" ht="22.5" customHeight="1">
      <c r="A85" s="3">
        <v>84.0</v>
      </c>
      <c r="B85" s="4" t="s">
        <v>1198</v>
      </c>
      <c r="C85" s="4" t="s">
        <v>1199</v>
      </c>
      <c r="D85" s="4" t="s">
        <v>1200</v>
      </c>
      <c r="E85" s="4" t="s">
        <v>1201</v>
      </c>
      <c r="G85" s="5" t="str">
        <f>IFERROR(__xludf.DUMMYFUNCTION(" GOOGLETRANSLATE(A85, ""en"", ""am"")"),"84")</f>
        <v>84</v>
      </c>
      <c r="H85" s="5" t="str">
        <f>IFERROR(__xludf.DUMMYFUNCTION(" GOOGLETRANSLATE(B85, ""en"", ""am"")"),"በ2016 የሪዮ ኦሊምፒክ የማራቶን ወርቅ ሜዳሊያ በማግኘቱ ታዋቂው ኢትዮጵያዊ ሯጭ የትኛው ነው?")</f>
        <v>በ2016 የሪዮ ኦሊምፒክ የማራቶን ወርቅ ሜዳሊያ በማግኘቱ ታዋቂው ኢትዮጵያዊ ሯጭ የትኛው ነው?</v>
      </c>
      <c r="I85" s="5" t="str">
        <f>IFERROR(__xludf.DUMMYFUNCTION(" GOOGLETRANSLATE(C85, ""en"", ""am"")"),"አ.ማሬ ዲባባ ቢ.ጥሩነሽ ዲባባ ሐ.ገንዘቤ ዲባባ ዲ.ማሬ ዲባባ")</f>
        <v>አ.ማሬ ዲባባ ቢ.ጥሩነሽ ዲባባ ሐ.ገንዘቤ ዲባባ ዲ.ማሬ ዲባባ</v>
      </c>
      <c r="J85" s="5" t="str">
        <f>IFERROR(__xludf.DUMMYFUNCTION(" GOOGLETRANSLATE(D85, ""en"", ""am"")"),"ማሬ ዲባባ")</f>
        <v>ማሬ ዲባባ</v>
      </c>
      <c r="K85" s="5" t="str">
        <f>IFERROR(__xludf.DUMMYFUNCTION(" GOOGLETRANSLATE(E85, ""en"", ""am"")"),"ማሬ ዲባባ በ2016 የሪዮ ኦሊምፒክ በሴቶች ማራቶን የወርቅ ሜዳሊያ አግኝታለች።")</f>
        <v>ማሬ ዲባባ በ2016 የሪዮ ኦሊምፒክ በሴቶች ማራቶን የወርቅ ሜዳሊያ አግኝታለች።</v>
      </c>
    </row>
    <row r="86" ht="22.5" customHeight="1">
      <c r="A86" s="3">
        <v>85.0</v>
      </c>
      <c r="B86" s="4" t="s">
        <v>1202</v>
      </c>
      <c r="C86" s="4" t="s">
        <v>1203</v>
      </c>
      <c r="D86" s="4" t="s">
        <v>1204</v>
      </c>
      <c r="E86" s="4" t="s">
        <v>1205</v>
      </c>
      <c r="G86" s="5" t="str">
        <f>IFERROR(__xludf.DUMMYFUNCTION(" GOOGLETRANSLATE(A86, ""en"", ""am"")"),"85")</f>
        <v>85</v>
      </c>
      <c r="H86" s="5" t="str">
        <f>IFERROR(__xludf.DUMMYFUNCTION(" GOOGLETRANSLATE(B86, ""en"", ""am"")"),"በኢትዮጵያ ባህላዊ የሩጫ ውድድር በጣም የተለመደው የርቀት ውድድር ምንድነው?")</f>
        <v>በኢትዮጵያ ባህላዊ የሩጫ ውድድር በጣም የተለመደው የርቀት ውድድር ምንድነው?</v>
      </c>
      <c r="I86" s="5" t="str">
        <f>IFERROR(__xludf.DUMMYFUNCTION(" GOOGLETRANSLATE(C86, ""en"", ""am"")"),"ሀ. 5,000ሜ ለ. 10,000ሜ ሲ. የግማሽ ማራቶን ዲ. ማራቶን")</f>
        <v>ሀ. 5,000ሜ ለ. 10,000ሜ ሲ. የግማሽ ማራቶን ዲ. ማራቶን</v>
      </c>
      <c r="J86" s="5" t="str">
        <f>IFERROR(__xludf.DUMMYFUNCTION(" GOOGLETRANSLATE(D86, ""en"", ""am"")"),"ማራቶን")</f>
        <v>ማራቶን</v>
      </c>
      <c r="K86" s="5" t="str">
        <f>IFERROR(__xludf.DUMMYFUNCTION(" GOOGLETRANSLATE(E86, ""en"", ""am"")"),"የማራቶን ውድድር በኢትዮጵያ ባህላዊ ሩጫ በጣም የተለመደ የርቀት ውድድር ነው።")</f>
        <v>የማራቶን ውድድር በኢትዮጵያ ባህላዊ ሩጫ በጣም የተለመደ የርቀት ውድድር ነው።</v>
      </c>
    </row>
    <row r="87" ht="22.5" customHeight="1">
      <c r="A87" s="3">
        <v>86.0</v>
      </c>
      <c r="B87" s="4" t="s">
        <v>1206</v>
      </c>
      <c r="C87" s="4" t="s">
        <v>1207</v>
      </c>
      <c r="D87" s="4" t="s">
        <v>1083</v>
      </c>
      <c r="E87" s="4" t="s">
        <v>1208</v>
      </c>
      <c r="G87" s="5" t="str">
        <f>IFERROR(__xludf.DUMMYFUNCTION(" GOOGLETRANSLATE(A87, ""en"", ""am"")"),"86")</f>
        <v>86</v>
      </c>
      <c r="H87" s="5" t="str">
        <f>IFERROR(__xludf.DUMMYFUNCTION(" GOOGLETRANSLATE(B87, ""en"", ""am"")"),"በ2015 የበርሊን ማራቶን አዲስ የኮርስ ሪከርድ ያስመዘገበው ኢትዮጵያዊ አትሌት የትኛው ነው?")</f>
        <v>በ2015 የበርሊን ማራቶን አዲስ የኮርስ ሪከርድ ያስመዘገበው ኢትዮጵያዊ አትሌት የትኛው ነው?</v>
      </c>
      <c r="I87" s="5" t="str">
        <f>IFERROR(__xludf.DUMMYFUNCTION(" GOOGLETRANSLATE(C87, ""en"", ""am"")"),"ሀ/ ሀይሌ ገብረስላሴ ብ ዊልሰን ኪፕቾጌ ሲ ዴኒስ ኪፕሩቶ ዲ. ቀነኒሳ በቀለ")</f>
        <v>ሀ/ ሀይሌ ገብረስላሴ ብ ዊልሰን ኪፕቾጌ ሲ ዴኒስ ኪፕሩቶ ዲ. ቀነኒሳ በቀለ</v>
      </c>
      <c r="J87" s="5" t="str">
        <f>IFERROR(__xludf.DUMMYFUNCTION(" GOOGLETRANSLATE(D87, ""en"", ""am"")"),"ቀነኒሳ በቀለ")</f>
        <v>ቀነኒሳ በቀለ</v>
      </c>
      <c r="K87" s="5" t="str">
        <f>IFERROR(__xludf.DUMMYFUNCTION(" GOOGLETRANSLATE(E87, ""en"", ""am"")"),"ቀነኒሳ በቀለ በ2015 የበርሊን ማራቶን በማሸነፍ አዲስ የኮርስ ሪከርድ አስመዝግቧል።")</f>
        <v>ቀነኒሳ በቀለ በ2015 የበርሊን ማራቶን በማሸነፍ አዲስ የኮርስ ሪከርድ አስመዝግቧል።</v>
      </c>
    </row>
    <row r="88" ht="22.5" customHeight="1">
      <c r="A88" s="3">
        <v>87.0</v>
      </c>
      <c r="B88" s="4" t="s">
        <v>1209</v>
      </c>
      <c r="C88" s="4" t="s">
        <v>1210</v>
      </c>
      <c r="D88" s="4" t="s">
        <v>1191</v>
      </c>
      <c r="E88" s="4" t="s">
        <v>1211</v>
      </c>
      <c r="G88" s="5" t="str">
        <f>IFERROR(__xludf.DUMMYFUNCTION(" GOOGLETRANSLATE(A88, ""en"", ""am"")"),"87")</f>
        <v>87</v>
      </c>
      <c r="H88" s="5" t="str">
        <f>IFERROR(__xludf.DUMMYFUNCTION(" GOOGLETRANSLATE(B88, ""en"", ""am"")"),"በቦስተን ማራቶን የሮጠ የመጀመሪያው ኢትዮጵያዊ ማን ነው?")</f>
        <v>በቦስተን ማራቶን የሮጠ የመጀመሪያው ኢትዮጵያዊ ማን ነው?</v>
      </c>
      <c r="I88" s="5" t="str">
        <f>IFERROR(__xludf.DUMMYFUNCTION(" GOOGLETRANSLATE(C88, ""en"", ""am"")"),"ሀ. ጥሩ ይመስላል። B. Fatuma Roba C. Dibaba Tirunesh D. Fatuma Roba")</f>
        <v>ሀ. ጥሩ ይመስላል። B. Fatuma Roba C. Dibaba Tirunesh D. Fatuma Roba</v>
      </c>
      <c r="J88" s="5" t="str">
        <f>IFERROR(__xludf.DUMMYFUNCTION(" GOOGLETRANSLATE(D88, ""en"", ""am"")"),"ፋጡማ ሮባ")</f>
        <v>ፋጡማ ሮባ</v>
      </c>
      <c r="K88" s="5" t="str">
        <f>IFERROR(__xludf.DUMMYFUNCTION(" GOOGLETRANSLATE(E88, ""en"", ""am"")"),"ፋጡማ ሮባ በ1996 የቦስተን ማራቶንን በማሸነፍ የመጀመሪያዋ ኢትዮጵያዊት ነበረች።")</f>
        <v>ፋጡማ ሮባ በ1996 የቦስተን ማራቶንን በማሸነፍ የመጀመሪያዋ ኢትዮጵያዊት ነበረች።</v>
      </c>
    </row>
    <row r="89" ht="22.5" customHeight="1">
      <c r="A89" s="3">
        <v>88.0</v>
      </c>
      <c r="B89" s="4" t="s">
        <v>1212</v>
      </c>
      <c r="C89" s="4" t="s">
        <v>1213</v>
      </c>
      <c r="D89" s="4" t="s">
        <v>1214</v>
      </c>
      <c r="E89" s="4" t="s">
        <v>1215</v>
      </c>
      <c r="G89" s="5" t="str">
        <f>IFERROR(__xludf.DUMMYFUNCTION(" GOOGLETRANSLATE(A89, ""en"", ""am"")"),"88")</f>
        <v>88</v>
      </c>
      <c r="H89" s="5" t="str">
        <f>IFERROR(__xludf.DUMMYFUNCTION(" GOOGLETRANSLATE(B89, ""en"", ""am"")"),"በ2018 በማራቶን የአለም ክብረ ወሰን ያስመዘገበው ኢትዮጵያዊ ሯጭ የትኛው ነው?")</f>
        <v>በ2018 በማራቶን የአለም ክብረ ወሰን ያስመዘገበው ኢትዮጵያዊ ሯጭ የትኛው ነው?</v>
      </c>
      <c r="I89" s="5" t="str">
        <f>IFERROR(__xludf.DUMMYFUNCTION(" GOOGLETRANSLATE(C89, ""en"", ""am"")"),"ሀ. ቀነኒሳ በቀለ ቢ. ዴኒስ ኪፕሩቶ ሲ. ኤሊዩድ ኪፕቾጌ ዲ. ዴኒስ ኪፕሩቶ")</f>
        <v>ሀ. ቀነኒሳ በቀለ ቢ. ዴኒስ ኪፕሩቶ ሲ. ኤሊዩድ ኪፕቾጌ ዲ. ዴኒስ ኪፕሩቶ</v>
      </c>
      <c r="J89" s="5" t="str">
        <f>IFERROR(__xludf.DUMMYFUNCTION(" GOOGLETRANSLATE(D89, ""en"", ""am"")"),"ዴኒስ ኪፕሩቶ")</f>
        <v>ዴኒስ ኪፕሩቶ</v>
      </c>
      <c r="K89" s="5" t="str">
        <f>IFERROR(__xludf.DUMMYFUNCTION(" GOOGLETRANSLATE(E89, ""en"", ""am"")"),"ዴኒስ ኪፕሩቶ በ2018 በማራቶን የአለም ክብረ ወሰን አስመዘገበ።")</f>
        <v>ዴኒስ ኪፕሩቶ በ2018 በማራቶን የአለም ክብረ ወሰን አስመዘገበ።</v>
      </c>
    </row>
    <row r="90" ht="22.5" customHeight="1">
      <c r="A90" s="3">
        <v>89.0</v>
      </c>
      <c r="B90" s="5" t="s">
        <v>1216</v>
      </c>
      <c r="C90" s="4" t="s">
        <v>1217</v>
      </c>
      <c r="D90" s="5" t="s">
        <v>1170</v>
      </c>
      <c r="E90" s="5" t="s">
        <v>1218</v>
      </c>
      <c r="G90" s="5" t="str">
        <f>IFERROR(__xludf.DUMMYFUNCTION(" GOOGLETRANSLATE(A90, ""en"", ""am"")"),"89")</f>
        <v>89</v>
      </c>
      <c r="H90" s="5" t="str">
        <f>IFERROR(__xludf.DUMMYFUNCTION(" GOOGLETRANSLATE(B90, ""en"", ""am"")"),"በአለም አትሌቲክስ ሻምፒዮና ያሸነፈ የመጀመሪያው ኢትዮጵያዊ አትሌት ማን ነበር?")</f>
        <v>በአለም አትሌቲክስ ሻምፒዮና ያሸነፈ የመጀመሪያው ኢትዮጵያዊ አትሌት ማን ነበር?</v>
      </c>
      <c r="I90" s="5" t="str">
        <f>IFERROR(__xludf.DUMMYFUNCTION(" GOOGLETRANSLATE(C90, ""en"", ""am"")"),"ሀ/ሀይሌ ገብረስላሴ ብ ደራርቱ ቱሉ ሲ.ስለሺ ስህኔ ዲ.ቀነኒሳ በቀለ")</f>
        <v>ሀ/ሀይሌ ገብረስላሴ ብ ደራርቱ ቱሉ ሲ.ስለሺ ስህኔ ዲ.ቀነኒሳ በቀለ</v>
      </c>
      <c r="J90" s="5" t="str">
        <f>IFERROR(__xludf.DUMMYFUNCTION(" GOOGLETRANSLATE(D90, ""en"", ""am"")"),"ሃይለ ገብረስላሴ")</f>
        <v>ሃይለ ገብረስላሴ</v>
      </c>
      <c r="K90" s="5" t="str">
        <f>IFERROR(__xludf.DUMMYFUNCTION(" GOOGLETRANSLATE(E90, ""en"", ""am"")"),"ኃይሌ ገብረስላሴ በአለም አትሌቲክስ ሻምፒዮና ያሸነፈ የመጀመሪያው ኢትዮጵያዊ አትሌት ነው።")</f>
        <v>ኃይሌ ገብረስላሴ በአለም አትሌቲክስ ሻምፒዮና ያሸነፈ የመጀመሪያው ኢትዮጵያዊ አትሌት ነው።</v>
      </c>
    </row>
    <row r="91" ht="22.5" customHeight="1">
      <c r="A91" s="3">
        <v>90.0</v>
      </c>
      <c r="B91" s="5" t="s">
        <v>1219</v>
      </c>
      <c r="C91" s="4" t="s">
        <v>1220</v>
      </c>
      <c r="D91" s="5" t="s">
        <v>1221</v>
      </c>
      <c r="E91" s="5" t="s">
        <v>1222</v>
      </c>
      <c r="G91" s="5" t="str">
        <f>IFERROR(__xludf.DUMMYFUNCTION(" GOOGLETRANSLATE(A91, ""en"", ""am"")"),"90")</f>
        <v>90</v>
      </c>
      <c r="H91" s="5" t="str">
        <f>IFERROR(__xludf.DUMMYFUNCTION(" GOOGLETRANSLATE(B91, ""en"", ""am"")"),"በአስደናቂው የሩጫ ብቃቱ 'የኢትዮጵያ አቦሸማኔ' በመባል የሚታወቀው አትሌት የትኛው ነው?")</f>
        <v>በአስደናቂው የሩጫ ብቃቱ 'የኢትዮጵያ አቦሸማኔ' በመባል የሚታወቀው አትሌት የትኛው ነው?</v>
      </c>
      <c r="I91" s="5" t="str">
        <f>IFERROR(__xludf.DUMMYFUNCTION(" GOOGLETRANSLATE(C91, ""en"", ""am"")"),"ሀ/ሀይሌ ገብረስላሴ ብ ቀነኒሳ በቀለ ሲ.ዘሪሁን ውብነህ ዲ.ፈይሰል አሊ")</f>
        <v>ሀ/ሀይሌ ገብረስላሴ ብ ቀነኒሳ በቀለ ሲ.ዘሪሁን ውብነህ ዲ.ፈይሰል አሊ</v>
      </c>
      <c r="J91" s="5" t="str">
        <f>IFERROR(__xludf.DUMMYFUNCTION(" GOOGLETRANSLATE(D91, ""en"", ""am"")"),"ዘሪሁን ውብነህ")</f>
        <v>ዘሪሁን ውብነህ</v>
      </c>
      <c r="K91" s="5" t="str">
        <f>IFERROR(__xludf.DUMMYFUNCTION(" GOOGLETRANSLATE(E91, ""en"", ""am"")"),"ዘሪሁን ውብነህ በአሸናፊነት ችሎታው 'የኢትዮጵያ አቦሸማኔ' በመባል ይታወቃል።")</f>
        <v>ዘሪሁን ውብነህ በአሸናፊነት ችሎታው 'የኢትዮጵያ አቦሸማኔ' በመባል ይታወቃል።</v>
      </c>
    </row>
    <row r="92" ht="22.5" customHeight="1">
      <c r="A92" s="3">
        <v>91.0</v>
      </c>
      <c r="B92" s="5" t="s">
        <v>1223</v>
      </c>
      <c r="C92" s="4" t="s">
        <v>1224</v>
      </c>
      <c r="D92" s="5" t="s">
        <v>1096</v>
      </c>
      <c r="E92" s="5" t="s">
        <v>1225</v>
      </c>
      <c r="G92" s="5" t="str">
        <f>IFERROR(__xludf.DUMMYFUNCTION(" GOOGLETRANSLATE(A92, ""en"", ""am"")"),"91")</f>
        <v>91</v>
      </c>
      <c r="H92" s="5" t="str">
        <f>IFERROR(__xludf.DUMMYFUNCTION(" GOOGLETRANSLATE(B92, ""en"", ""am"")"),"በ2015 የለንደን ማራቶን በሴቶች የዓለም ክብረ ወሰን የትኛው ኢትዮጵያዊ አትሌት ነው ያሸነፈው?")</f>
        <v>በ2015 የለንደን ማራቶን በሴቶች የዓለም ክብረ ወሰን የትኛው ኢትዮጵያዊ አትሌት ነው ያሸነፈው?</v>
      </c>
      <c r="I92" s="5" t="str">
        <f>IFERROR(__xludf.DUMMYFUNCTION(" GOOGLETRANSLATE(C92, ""en"", ""am"")"),"አ. ጥሩነሽ ዲባባ ብ መሰለች መልካሙ ሲ.ፀጋዬ ከበደ ዲ/ን ፋጡማ ሮባ")</f>
        <v>አ. ጥሩነሽ ዲባባ ብ መሰለች መልካሙ ሲ.ፀጋዬ ከበደ ዲ/ን ፋጡማ ሮባ</v>
      </c>
      <c r="J92" s="5" t="str">
        <f>IFERROR(__xludf.DUMMYFUNCTION(" GOOGLETRANSLATE(D92, ""en"", ""am"")"),"ጥሩነሽ ዲባባ")</f>
        <v>ጥሩነሽ ዲባባ</v>
      </c>
      <c r="K92" s="5" t="str">
        <f>IFERROR(__xludf.DUMMYFUNCTION(" GOOGLETRANSLATE(E92, ""en"", ""am"")"),"ጥሩነሽ ዲባባ በ2015 የለንደን ማራቶን በሴቶች የአለም ክብረወሰን አስመዝግባለች።")</f>
        <v>ጥሩነሽ ዲባባ በ2015 የለንደን ማራቶን በሴቶች የአለም ክብረወሰን አስመዝግባለች።</v>
      </c>
    </row>
    <row r="93" ht="22.5" customHeight="1">
      <c r="A93" s="3">
        <v>92.0</v>
      </c>
      <c r="B93" s="5" t="s">
        <v>1226</v>
      </c>
      <c r="C93" s="4" t="s">
        <v>1227</v>
      </c>
      <c r="D93" s="5" t="s">
        <v>1170</v>
      </c>
      <c r="E93" s="5" t="s">
        <v>1228</v>
      </c>
      <c r="G93" s="5" t="str">
        <f>IFERROR(__xludf.DUMMYFUNCTION(" GOOGLETRANSLATE(A93, ""en"", ""am"")"),"92")</f>
        <v>92</v>
      </c>
      <c r="H93" s="5" t="str">
        <f>IFERROR(__xludf.DUMMYFUNCTION(" GOOGLETRANSLATE(B93, ""en"", ""am"")"),"በ2003 በወንዶች ማራቶን የአለም ክብረ ወሰን ያስመዘገበው ኢትዮጵያዊው ሯጭ ማን ይባላል?")</f>
        <v>በ2003 በወንዶች ማራቶን የአለም ክብረ ወሰን ያስመዘገበው ኢትዮጵያዊው ሯጭ ማን ይባላል?</v>
      </c>
      <c r="I93" s="5" t="str">
        <f>IFERROR(__xludf.DUMMYFUNCTION(" GOOGLETRANSLATE(C93, ""en"", ""am"")"),"ሀ/ ኃይለ ገብረስላሴ ብ ቀነኒሳ በቀለ ሲ. ዴኒስ ኪፕሩቶ ዲ. ዊልሰን ኪፕቾጌ")</f>
        <v>ሀ/ ኃይለ ገብረስላሴ ብ ቀነኒሳ በቀለ ሲ. ዴኒስ ኪፕሩቶ ዲ. ዊልሰን ኪፕቾጌ</v>
      </c>
      <c r="J93" s="5" t="str">
        <f>IFERROR(__xludf.DUMMYFUNCTION(" GOOGLETRANSLATE(D93, ""en"", ""am"")"),"ሃይለ ገብረስላሴ")</f>
        <v>ሃይለ ገብረስላሴ</v>
      </c>
      <c r="K93" s="5" t="str">
        <f>IFERROR(__xludf.DUMMYFUNCTION(" GOOGLETRANSLATE(E93, ""en"", ""am"")"),"ሀይሌ ገብረስላሴ በ2003 በማራቶን የአለም ክብረ ወሰን አስመዘገበ።")</f>
        <v>ሀይሌ ገብረስላሴ በ2003 በማራቶን የአለም ክብረ ወሰን አስመዘገበ።</v>
      </c>
    </row>
    <row r="94" ht="22.5" customHeight="1">
      <c r="A94" s="3">
        <v>93.0</v>
      </c>
      <c r="B94" s="5" t="s">
        <v>1229</v>
      </c>
      <c r="C94" s="4" t="s">
        <v>1230</v>
      </c>
      <c r="D94" s="5" t="s">
        <v>1231</v>
      </c>
      <c r="E94" s="5" t="s">
        <v>1232</v>
      </c>
      <c r="G94" s="5" t="str">
        <f>IFERROR(__xludf.DUMMYFUNCTION(" GOOGLETRANSLATE(A94, ""en"", ""am"")"),"93")</f>
        <v>93</v>
      </c>
      <c r="H94" s="5" t="str">
        <f>IFERROR(__xludf.DUMMYFUNCTION(" GOOGLETRANSLATE(B94, ""en"", ""am"")"),"ብሔራዊ አትሌቲክስ ፌዴሬሽን በየትኛው የኢትዮጵያ ከተማ ነው የተመሰረተው?")</f>
        <v>ብሔራዊ አትሌቲክስ ፌዴሬሽን በየትኛው የኢትዮጵያ ከተማ ነው የተመሰረተው?</v>
      </c>
      <c r="I94" s="5" t="str">
        <f>IFERROR(__xludf.DUMMYFUNCTION(" GOOGLETRANSLATE(C94, ""en"", ""am"")"),"አ.አዲስ አበባ ብ.በቆጂ ሐ.ጎንደር ደ.ሐዋሳ")</f>
        <v>አ.አዲስ አበባ ብ.በቆጂ ሐ.ጎንደር ደ.ሐዋሳ</v>
      </c>
      <c r="J94" s="5" t="str">
        <f>IFERROR(__xludf.DUMMYFUNCTION(" GOOGLETRANSLATE(D94, ""en"", ""am"")"),"አዲስ አበባ")</f>
        <v>አዲስ አበባ</v>
      </c>
      <c r="K94" s="5" t="str">
        <f>IFERROR(__xludf.DUMMYFUNCTION(" GOOGLETRANSLATE(E94, ""en"", ""am"")"),"የኢትዮጵያ ብሔራዊ አትሌቲክስ ፌዴሬሽን መቀመጫውን አዲስ አበባ አድርጓል።")</f>
        <v>የኢትዮጵያ ብሔራዊ አትሌቲክስ ፌዴሬሽን መቀመጫውን አዲስ አበባ አድርጓል።</v>
      </c>
    </row>
    <row r="95" ht="22.5" customHeight="1">
      <c r="A95" s="3">
        <v>94.0</v>
      </c>
      <c r="B95" s="5" t="s">
        <v>1233</v>
      </c>
      <c r="C95" s="4" t="s">
        <v>1234</v>
      </c>
      <c r="D95" s="5" t="s">
        <v>1083</v>
      </c>
      <c r="E95" s="5" t="s">
        <v>1235</v>
      </c>
      <c r="G95" s="5" t="str">
        <f>IFERROR(__xludf.DUMMYFUNCTION(" GOOGLETRANSLATE(A95, ""en"", ""am"")"),"94")</f>
        <v>94</v>
      </c>
      <c r="H95" s="5" t="str">
        <f>IFERROR(__xludf.DUMMYFUNCTION(" GOOGLETRANSLATE(B95, ""en"", ""am"")"),"በ2004 የ5,000 እና 10,000 ሜትር የአለም ክብረ ወሰን የሰበረ የትኛው ኢትዮጵያዊ አትሌት ነው?")</f>
        <v>በ2004 የ5,000 እና 10,000 ሜትር የአለም ክብረ ወሰን የሰበረ የትኛው ኢትዮጵያዊ አትሌት ነው?</v>
      </c>
      <c r="I95" s="5" t="str">
        <f>IFERROR(__xludf.DUMMYFUNCTION(" GOOGLETRANSLATE(C95, ""en"", ""am"")"),"ቀነኒሳ በቀለ ሲ.ፀጋዬ ከበደ ዲ. ዊልሰን ኪፕቾጌ")</f>
        <v>ቀነኒሳ በቀለ ሲ.ፀጋዬ ከበደ ዲ. ዊልሰን ኪፕቾጌ</v>
      </c>
      <c r="J95" s="5" t="str">
        <f>IFERROR(__xludf.DUMMYFUNCTION(" GOOGLETRANSLATE(D95, ""en"", ""am"")"),"ቀነኒሳ በቀለ")</f>
        <v>ቀነኒሳ በቀለ</v>
      </c>
      <c r="K95" s="5" t="str">
        <f>IFERROR(__xludf.DUMMYFUNCTION(" GOOGLETRANSLATE(E95, ""en"", ""am"")"),"ቀነኒሳ በቀለ በ2004 የ5,000 እና 10,000 ሜትር የአለም ክብረ ወሰን ሰበረ።")</f>
        <v>ቀነኒሳ በቀለ በ2004 የ5,000 እና 10,000 ሜትር የአለም ክብረ ወሰን ሰበረ።</v>
      </c>
    </row>
    <row r="96" ht="22.5" customHeight="1">
      <c r="A96" s="3">
        <v>95.0</v>
      </c>
      <c r="B96" s="5" t="s">
        <v>1236</v>
      </c>
      <c r="C96" s="4" t="s">
        <v>1237</v>
      </c>
      <c r="D96" s="5" t="s">
        <v>1238</v>
      </c>
      <c r="E96" s="5" t="s">
        <v>1239</v>
      </c>
      <c r="G96" s="5" t="str">
        <f>IFERROR(__xludf.DUMMYFUNCTION(" GOOGLETRANSLATE(A96, ""en"", ""am"")"),"95")</f>
        <v>95</v>
      </c>
      <c r="H96" s="5" t="str">
        <f>IFERROR(__xludf.DUMMYFUNCTION(" GOOGLETRANSLATE(B96, ""en"", ""am"")"),"በ2009 የኒውዮርክ ከተማ ማራቶንን በማሸነፍ የመጀመሪያው ኢትዮጵያዊ ሯጭ ማን ነው?")</f>
        <v>በ2009 የኒውዮርክ ከተማ ማራቶንን በማሸነፍ የመጀመሪያው ኢትዮጵያዊ ሯጭ ማን ነው?</v>
      </c>
      <c r="I96" s="5" t="str">
        <f>IFERROR(__xludf.DUMMYFUNCTION(" GOOGLETRANSLATE(C96, ""en"", ""am"")"),"A. Tsegaye Kebede B. Wilson Kipchoge C. Meselech Melkamu D. Mare Dibaba")</f>
        <v>A. Tsegaye Kebede B. Wilson Kipchoge C. Meselech Melkamu D. Mare Dibaba</v>
      </c>
      <c r="J96" s="5" t="str">
        <f>IFERROR(__xludf.DUMMYFUNCTION(" GOOGLETRANSLATE(D96, ""en"", ""am"")"),"ፀጋዬ ከበደ")</f>
        <v>ፀጋዬ ከበደ</v>
      </c>
      <c r="K96" s="5" t="str">
        <f>IFERROR(__xludf.DUMMYFUNCTION(" GOOGLETRANSLATE(E96, ""en"", ""am"")"),"ፀጋዬ ከበደ በ2009 የኒውዮርክ ከተማ ማራቶን በማሸነፍ የመጀመሪያው ኢትዮጵያዊ ሯጭ ሆኗል።")</f>
        <v>ፀጋዬ ከበደ በ2009 የኒውዮርክ ከተማ ማራቶን በማሸነፍ የመጀመሪያው ኢትዮጵያዊ ሯጭ ሆኗል።</v>
      </c>
    </row>
    <row r="97" ht="22.5" customHeight="1">
      <c r="A97" s="3">
        <v>96.0</v>
      </c>
      <c r="B97" s="5" t="s">
        <v>1240</v>
      </c>
      <c r="C97" s="4" t="s">
        <v>1241</v>
      </c>
      <c r="D97" s="5" t="s">
        <v>1242</v>
      </c>
      <c r="E97" s="5" t="s">
        <v>1243</v>
      </c>
      <c r="G97" s="5" t="str">
        <f>IFERROR(__xludf.DUMMYFUNCTION(" GOOGLETRANSLATE(A97, ""en"", ""am"")"),"96")</f>
        <v>96</v>
      </c>
      <c r="H97" s="5" t="str">
        <f>IFERROR(__xludf.DUMMYFUNCTION(" GOOGLETRANSLATE(B97, ""en"", ""am"")"),"ኢትዮጵያዊ የሩጫ ባህል በምን ይታወቃል?")</f>
        <v>ኢትዮጵያዊ የሩጫ ባህል በምን ይታወቃል?</v>
      </c>
      <c r="I97" s="5" t="str">
        <f>IFERROR(__xludf.DUMMYFUNCTION(" GOOGLETRANSLATE(C97, ""en"", ""am"")"),"ሀ. በባዶ እግሩ መሮጥ B. በጫማ መሮጥ ሐ. በትራኮች ላይ ስልጠና መ. በክብደት መሮጥ")</f>
        <v>ሀ. በባዶ እግሩ መሮጥ B. በጫማ መሮጥ ሐ. በትራኮች ላይ ስልጠና መ. በክብደት መሮጥ</v>
      </c>
      <c r="J97" s="5" t="str">
        <f>IFERROR(__xludf.DUMMYFUNCTION(" GOOGLETRANSLATE(D97, ""en"", ""am"")"),"በባዶ እግሩ መሮጥ")</f>
        <v>በባዶ እግሩ መሮጥ</v>
      </c>
      <c r="K97" s="5" t="str">
        <f>IFERROR(__xludf.DUMMYFUNCTION(" GOOGLETRANSLATE(E97, ""en"", ""am"")"),"በርካታ ኢትዮጵያውያን ሯጮች በልምምድ እና በውድድሩ ወቅት በባዶ እግራቸው በመሮጥ ባህላቸው ይታወቃሉ።")</f>
        <v>በርካታ ኢትዮጵያውያን ሯጮች በልምምድ እና በውድድሩ ወቅት በባዶ እግራቸው በመሮጥ ባህላቸው ይታወቃሉ።</v>
      </c>
    </row>
    <row r="98" ht="22.5" customHeight="1">
      <c r="A98" s="3">
        <v>97.0</v>
      </c>
      <c r="B98" s="5" t="s">
        <v>1244</v>
      </c>
      <c r="C98" s="4" t="s">
        <v>1245</v>
      </c>
      <c r="D98" s="5" t="s">
        <v>1238</v>
      </c>
      <c r="E98" s="5" t="s">
        <v>1246</v>
      </c>
      <c r="G98" s="5" t="str">
        <f>IFERROR(__xludf.DUMMYFUNCTION(" GOOGLETRANSLATE(A98, ""en"", ""am"")"),"97")</f>
        <v>97</v>
      </c>
      <c r="H98" s="5" t="str">
        <f>IFERROR(__xludf.DUMMYFUNCTION(" GOOGLETRANSLATE(B98, ""en"", ""am"")"),"በ2010 የቺካጎ ማራቶን ከኢትዮጵያ ማን አሸነፈ?")</f>
        <v>በ2010 የቺካጎ ማራቶን ከኢትዮጵያ ማን አሸነፈ?</v>
      </c>
      <c r="I98" s="5" t="str">
        <f>IFERROR(__xludf.DUMMYFUNCTION(" GOOGLETRANSLATE(C98, ""en"", ""am"")"),"ሀ/ኃይሌ ገብረሥላሴ B. Tsegaye Kebede C. Meselech Melkamu D. Tirunesh Dibaba")</f>
        <v>ሀ/ኃይሌ ገብረሥላሴ B. Tsegaye Kebede C. Meselech Melkamu D. Tirunesh Dibaba</v>
      </c>
      <c r="J98" s="5" t="str">
        <f>IFERROR(__xludf.DUMMYFUNCTION(" GOOGLETRANSLATE(D98, ""en"", ""am"")"),"ፀጋዬ ከበደ")</f>
        <v>ፀጋዬ ከበደ</v>
      </c>
      <c r="K98" s="5" t="str">
        <f>IFERROR(__xludf.DUMMYFUNCTION(" GOOGLETRANSLATE(E98, ""en"", ""am"")"),"ፀጋዬ ከበደ በ2010 የቺካጎ ማራቶን አሸንፏል።")</f>
        <v>ፀጋዬ ከበደ በ2010 የቺካጎ ማራቶን አሸንፏል።</v>
      </c>
    </row>
    <row r="99" ht="22.5" customHeight="1">
      <c r="A99" s="3">
        <v>98.0</v>
      </c>
      <c r="B99" s="5" t="s">
        <v>1247</v>
      </c>
      <c r="C99" s="4" t="s">
        <v>1248</v>
      </c>
      <c r="D99" s="5" t="s">
        <v>1249</v>
      </c>
      <c r="E99" s="5" t="s">
        <v>1250</v>
      </c>
      <c r="G99" s="5" t="str">
        <f>IFERROR(__xludf.DUMMYFUNCTION(" GOOGLETRANSLATE(A99, ""en"", ""am"")"),"98")</f>
        <v>98</v>
      </c>
      <c r="H99" s="5" t="str">
        <f>IFERROR(__xludf.DUMMYFUNCTION(" GOOGLETRANSLATE(B99, ""en"", ""am"")"),"በ2021 የቶኪዮ ኦሊምፒክ ማራቶን ያሸነፈው ኢትዮጵያዊ አትሌት የትኛው ነው?")</f>
        <v>በ2021 የቶኪዮ ኦሊምፒክ ማራቶን ያሸነፈው ኢትዮጵያዊ አትሌት የትኛው ነው?</v>
      </c>
      <c r="I99" s="5" t="str">
        <f>IFERROR(__xludf.DUMMYFUNCTION(" GOOGLETRANSLATE(C99, ""en"", ""am"")"),"አ. ማሬ ዲባባ ቢ. ሲፋን ሀሰን ሲ. ፔሬስ ጄፕቺርቺር ዲ. ጥሩነሽ ዲባባ")</f>
        <v>አ. ማሬ ዲባባ ቢ. ሲፋን ሀሰን ሲ. ፔሬስ ጄፕቺርቺር ዲ. ጥሩነሽ ዲባባ</v>
      </c>
      <c r="J99" s="5" t="str">
        <f>IFERROR(__xludf.DUMMYFUNCTION(" GOOGLETRANSLATE(D99, ""en"", ""am"")"),"ፔሬስ ጄፕቺርቺር")</f>
        <v>ፔሬስ ጄፕቺርቺር</v>
      </c>
      <c r="K99" s="5" t="str">
        <f>IFERROR(__xludf.DUMMYFUNCTION(" GOOGLETRANSLATE(E99, ""en"", ""am"")"),"ፔሬስ ጄፕቺርቺር በ2021 የቶኪዮ ኦሎምፒክ ማራቶን አሸንፈዋል።")</f>
        <v>ፔሬስ ጄፕቺርቺር በ2021 የቶኪዮ ኦሎምፒክ ማራቶን አሸንፈዋል።</v>
      </c>
    </row>
    <row r="100" ht="22.5" customHeight="1">
      <c r="A100" s="3">
        <v>99.0</v>
      </c>
      <c r="B100" s="5" t="s">
        <v>1251</v>
      </c>
      <c r="C100" s="4" t="s">
        <v>1252</v>
      </c>
      <c r="D100" s="5" t="s">
        <v>969</v>
      </c>
      <c r="E100" s="5" t="s">
        <v>1253</v>
      </c>
      <c r="G100" s="5" t="str">
        <f>IFERROR(__xludf.DUMMYFUNCTION(" GOOGLETRANSLATE(A100, ""en"", ""am"")"),"99")</f>
        <v>99</v>
      </c>
      <c r="H100" s="5" t="str">
        <f>IFERROR(__xludf.DUMMYFUNCTION(" GOOGLETRANSLATE(B100, ""en"", ""am"")"),"በጠንካራ አትሌቲክስ በሩቅ ሩጫ ኢትዮጵያ ብዙ ጊዜ ከየት ሀገር ጋር ትወዳደራለች?")</f>
        <v>በጠንካራ አትሌቲክስ በሩቅ ሩጫ ኢትዮጵያ ብዙ ጊዜ ከየት ሀገር ጋር ትወዳደራለች?</v>
      </c>
      <c r="I100" s="5" t="str">
        <f>IFERROR(__xludf.DUMMYFUNCTION(" GOOGLETRANSLATE(C100, ""en"", ""am"")"),"አ.ኬንያ ቢ.ኡጋንዳ ሲ.ታንዛኒያ ዲ. ደቡብ አፍሪካ")</f>
        <v>አ.ኬንያ ቢ.ኡጋንዳ ሲ.ታንዛኒያ ዲ. ደቡብ አፍሪካ</v>
      </c>
      <c r="J100" s="5" t="str">
        <f>IFERROR(__xludf.DUMMYFUNCTION(" GOOGLETRANSLATE(D100, ""en"", ""am"")"),"ኬንያ")</f>
        <v>ኬንያ</v>
      </c>
      <c r="K100" s="5" t="str">
        <f>IFERROR(__xludf.DUMMYFUNCTION(" GOOGLETRANSLATE(E100, ""en"", ""am"")"),"ኬንያ በጠንካራ የርቀት ሩጫ ባህሏ ብዙ ጊዜ ከኢትዮጵያ ጋር ትወዳደራለች።")</f>
        <v>ኬንያ በጠንካራ የርቀት ሩጫ ባህሏ ብዙ ጊዜ ከኢትዮጵያ ጋር ትወዳደራለች።</v>
      </c>
    </row>
    <row r="101" ht="22.5" customHeight="1">
      <c r="A101" s="3">
        <v>100.0</v>
      </c>
      <c r="B101" s="5" t="s">
        <v>1254</v>
      </c>
      <c r="C101" s="4" t="s">
        <v>1255</v>
      </c>
      <c r="D101" s="5" t="s">
        <v>1256</v>
      </c>
      <c r="E101" s="5" t="s">
        <v>1257</v>
      </c>
      <c r="G101" s="5" t="str">
        <f>IFERROR(__xludf.DUMMYFUNCTION(" GOOGLETRANSLATE(A101, ""en"", ""am"")"),"100")</f>
        <v>100</v>
      </c>
      <c r="H101" s="5" t="str">
        <f>IFERROR(__xludf.DUMMYFUNCTION(" GOOGLETRANSLATE(B101, ""en"", ""am"")"),"በኢትዮጵያ ፈጣን ሯጮችን በማፍራት የምትታወቀው የትኛው ከተማ ነው?")</f>
        <v>በኢትዮጵያ ፈጣን ሯጮችን በማፍራት የምትታወቀው የትኛው ከተማ ነው?</v>
      </c>
      <c r="I101" s="5" t="str">
        <f>IFERROR(__xludf.DUMMYFUNCTION(" GOOGLETRANSLATE(C101, ""en"", ""am"")"),"አ.አዲስ አበባ ብ.በቆጂ ሐ.ጎንደር ዲ.መቀሌ")</f>
        <v>አ.አዲስ አበባ ብ.በቆጂ ሐ.ጎንደር ዲ.መቀሌ</v>
      </c>
      <c r="J101" s="5" t="str">
        <f>IFERROR(__xludf.DUMMYFUNCTION(" GOOGLETRANSLATE(D101, ""en"", ""am"")"),"ቤኮጂ")</f>
        <v>ቤኮጂ</v>
      </c>
      <c r="K101" s="5" t="str">
        <f>IFERROR(__xludf.DUMMYFUNCTION(" GOOGLETRANSLATE(E101, ""en"", ""am"")"),"ቤኮጂ በኢትዮጵያ ፈጣንና ውጤታማ ሯጮችን በማፍራት ይታወቃል።")</f>
        <v>ቤኮጂ በኢትዮጵያ ፈጣንና ውጤታማ ሯጮችን በማፍራት ይታወቃል።</v>
      </c>
    </row>
    <row r="102" ht="22.5" customHeight="1">
      <c r="A102" s="3">
        <v>101.0</v>
      </c>
      <c r="B102" s="5" t="s">
        <v>1258</v>
      </c>
      <c r="C102" s="4" t="s">
        <v>1259</v>
      </c>
      <c r="D102" s="5" t="s">
        <v>1260</v>
      </c>
      <c r="E102" s="5" t="s">
        <v>1261</v>
      </c>
      <c r="G102" s="5" t="str">
        <f>IFERROR(__xludf.DUMMYFUNCTION(" GOOGLETRANSLATE(A102, ""en"", ""am"")"),"101")</f>
        <v>101</v>
      </c>
      <c r="H102" s="5" t="str">
        <f>IFERROR(__xludf.DUMMYFUNCTION(" GOOGLETRANSLATE(B102, ""en"", ""am"")"),"ቀነኒሳ በቀለ በ2008 የኦሎምፒክ የ10,000 ሜትር ክብረ ወሰን የሰበረው በየትኛው አጋጣሚ ነው?")</f>
        <v>ቀነኒሳ በቀለ በ2008 የኦሎምፒክ የ10,000 ሜትር ክብረ ወሰን የሰበረው በየትኛው አጋጣሚ ነው?</v>
      </c>
      <c r="I102" s="5" t="str">
        <f>IFERROR(__xludf.DUMMYFUNCTION(" GOOGLETRANSLATE(C102, ""en"", ""am"")"),"ሀ በርሊን ቢ ቤጂንግ ሲ ለንደን ዲ. አቴንስ")</f>
        <v>ሀ በርሊን ቢ ቤጂንግ ሲ ለንደን ዲ. አቴንስ</v>
      </c>
      <c r="J102" s="5" t="str">
        <f>IFERROR(__xludf.DUMMYFUNCTION(" GOOGLETRANSLATE(D102, ""en"", ""am"")"),"ቤጂንግ")</f>
        <v>ቤጂንግ</v>
      </c>
      <c r="K102" s="5" t="str">
        <f>IFERROR(__xludf.DUMMYFUNCTION(" GOOGLETRANSLATE(E102, ""en"", ""am"")"),"ቀነኒሳ በቀለ በ2008 የበጋ ኦሊምፒክ በቤጂንግ የኦሎምፒክ የ10,000ሜ.")</f>
        <v>ቀነኒሳ በቀለ በ2008 የበጋ ኦሊምፒክ በቤጂንግ የኦሎምፒክ የ10,000ሜ.</v>
      </c>
    </row>
    <row r="103" ht="22.5" customHeight="1">
      <c r="A103" s="3">
        <v>102.0</v>
      </c>
      <c r="B103" s="5" t="s">
        <v>1262</v>
      </c>
      <c r="C103" s="4" t="s">
        <v>1263</v>
      </c>
      <c r="D103" s="5" t="s">
        <v>1264</v>
      </c>
      <c r="E103" s="5" t="s">
        <v>1265</v>
      </c>
      <c r="G103" s="5" t="str">
        <f>IFERROR(__xludf.DUMMYFUNCTION(" GOOGLETRANSLATE(A103, ""en"", ""am"")"),"102")</f>
        <v>102</v>
      </c>
      <c r="H103" s="5" t="str">
        <f>IFERROR(__xludf.DUMMYFUNCTION(" GOOGLETRANSLATE(B103, ""en"", ""am"")"),"በ2007 ሀይሌ ገብረስላሴ የትኛውን ማራቶን አሸንፎ አዲስ የኮርስ ሪከርድ አስመዝግቧል?")</f>
        <v>በ2007 ሀይሌ ገብረስላሴ የትኛውን ማራቶን አሸንፎ አዲስ የኮርስ ሪከርድ አስመዝግቧል?</v>
      </c>
      <c r="I103" s="5" t="str">
        <f>IFERROR(__xludf.DUMMYFUNCTION(" GOOGLETRANSLATE(C103, ""en"", ""am"")"),"ኣብ በርሊን ማራቶን ብ ለንደን ማራቶን ሲ ቦስተን ማራቶን ዲ.ቺካጎ ማራቶን")</f>
        <v>ኣብ በርሊን ማራቶን ብ ለንደን ማራቶን ሲ ቦስተን ማራቶን ዲ.ቺካጎ ማራቶን</v>
      </c>
      <c r="J103" s="5" t="str">
        <f>IFERROR(__xludf.DUMMYFUNCTION(" GOOGLETRANSLATE(D103, ""en"", ""am"")"),"የበርሊን ማራቶን")</f>
        <v>የበርሊን ማራቶን</v>
      </c>
      <c r="K103" s="5" t="str">
        <f>IFERROR(__xludf.DUMMYFUNCTION(" GOOGLETRANSLATE(E103, ""en"", ""am"")"),"ሀይሌ ገብረስላሴ በ2007 የበርሊን ማራቶን በማሸነፍ አዲስ የኮርስ ሪከርድ አስመዝግቧል።")</f>
        <v>ሀይሌ ገብረስላሴ በ2007 የበርሊን ማራቶን በማሸነፍ አዲስ የኮርስ ሪከርድ አስመዝግቧል።</v>
      </c>
    </row>
    <row r="104" ht="22.5" customHeight="1">
      <c r="A104" s="3">
        <v>103.0</v>
      </c>
      <c r="B104" s="5" t="s">
        <v>1266</v>
      </c>
      <c r="C104" s="4" t="s">
        <v>1267</v>
      </c>
      <c r="D104" s="5" t="s">
        <v>1268</v>
      </c>
      <c r="E104" s="5" t="s">
        <v>1269</v>
      </c>
      <c r="G104" s="5" t="str">
        <f>IFERROR(__xludf.DUMMYFUNCTION(" GOOGLETRANSLATE(A104, ""en"", ""am"")"),"103")</f>
        <v>103</v>
      </c>
      <c r="H104" s="5" t="str">
        <f>IFERROR(__xludf.DUMMYFUNCTION(" GOOGLETRANSLATE(B104, ""en"", ""am"")"),"ብዙውን ጊዜ የኢትዮጵያ የሩጫ ባህል በምን ይታወቃል?")</f>
        <v>ብዙውን ጊዜ የኢትዮጵያ የሩጫ ባህል በምን ይታወቃል?</v>
      </c>
      <c r="I104" s="5" t="str">
        <f>IFERROR(__xludf.DUMMYFUNCTION(" GOOGLETRANSLATE(C104, ""en"", ""am"")"),"ሀ. ፍጥነት እና ጽናት ለ. ጥንካሬ ሐ. ተለዋዋጭነት D. ቅልጥፍና")</f>
        <v>ሀ. ፍጥነት እና ጽናት ለ. ጥንካሬ ሐ. ተለዋዋጭነት D. ቅልጥፍና</v>
      </c>
      <c r="J104" s="5" t="str">
        <f>IFERROR(__xludf.DUMMYFUNCTION(" GOOGLETRANSLATE(D104, ""en"", ""am"")"),"ፍጥነት እና ጽናት")</f>
        <v>ፍጥነት እና ጽናት</v>
      </c>
      <c r="K104" s="5" t="str">
        <f>IFERROR(__xludf.DUMMYFUNCTION(" GOOGLETRANSLATE(E104, ""en"", ""am"")"),"የኢትዮጵያ የሩጫ ባህል ብዙ ጊዜ የሚታወቀው በፍጥነትና በፅናት ላይ በማተኮር ነው።")</f>
        <v>የኢትዮጵያ የሩጫ ባህል ብዙ ጊዜ የሚታወቀው በፍጥነትና በፅናት ላይ በማተኮር ነው።</v>
      </c>
    </row>
    <row r="105" ht="22.5" customHeight="1">
      <c r="A105" s="3">
        <v>104.0</v>
      </c>
      <c r="B105" s="5" t="s">
        <v>1270</v>
      </c>
      <c r="C105" s="4" t="s">
        <v>1271</v>
      </c>
      <c r="D105" s="5" t="s">
        <v>1272</v>
      </c>
      <c r="E105" s="5" t="s">
        <v>1273</v>
      </c>
      <c r="G105" s="5" t="str">
        <f>IFERROR(__xludf.DUMMYFUNCTION(" GOOGLETRANSLATE(A105, ""en"", ""am"")"),"104")</f>
        <v>104</v>
      </c>
      <c r="H105" s="5" t="str">
        <f>IFERROR(__xludf.DUMMYFUNCTION(" GOOGLETRANSLATE(B105, ""en"", ""am"")"),"በ2019 ከ2 ሰአት በታች ማራቶን የሮጠው የትኛው ኢትዮጵያዊ ሯጭ ነው?")</f>
        <v>በ2019 ከ2 ሰአት በታች ማራቶን የሮጠው የትኛው ኢትዮጵያዊ ሯጭ ነው?</v>
      </c>
      <c r="I105" s="5" t="str">
        <f>IFERROR(__xludf.DUMMYFUNCTION(" GOOGLETRANSLATE(C105, ""en"", ""am"")"),"አ. ዴኒስ ኪፕሩቶ ብ ኃይሌ ገብረስላሴ ሲ. ቀነኒሳ በቀለ ዲ. ዊልሰን ኪፕቾጌ")</f>
        <v>አ. ዴኒስ ኪፕሩቶ ብ ኃይሌ ገብረስላሴ ሲ. ቀነኒሳ በቀለ ዲ. ዊልሰን ኪፕቾጌ</v>
      </c>
      <c r="J105" s="5" t="str">
        <f>IFERROR(__xludf.DUMMYFUNCTION(" GOOGLETRANSLATE(D105, ""en"", ""am"")"),"ዊልሰን ኪፕቾጌ")</f>
        <v>ዊልሰን ኪፕቾጌ</v>
      </c>
      <c r="K105" s="5" t="str">
        <f>IFERROR(__xludf.DUMMYFUNCTION(" GOOGLETRANSLATE(E105, ""en"", ""am"")"),"ዊልሰን ኪፕቾጌ እ.ኤ.አ. በ2019 ከ2 ሰአት በታች ማራቶን በመሮጥ የመጀመሪያው ሆኗል።")</f>
        <v>ዊልሰን ኪፕቾጌ እ.ኤ.አ. በ2019 ከ2 ሰአት በታች ማራቶን በመሮጥ የመጀመሪያው ሆኗል።</v>
      </c>
    </row>
    <row r="106" ht="22.5" customHeight="1">
      <c r="A106" s="3">
        <v>105.0</v>
      </c>
      <c r="B106" s="5" t="s">
        <v>1274</v>
      </c>
      <c r="C106" s="4" t="s">
        <v>1275</v>
      </c>
      <c r="D106" s="5" t="s">
        <v>1170</v>
      </c>
      <c r="E106" s="5" t="s">
        <v>1276</v>
      </c>
      <c r="G106" s="5" t="str">
        <f>IFERROR(__xludf.DUMMYFUNCTION(" GOOGLETRANSLATE(A106, ""en"", ""am"")"),"105")</f>
        <v>105</v>
      </c>
      <c r="H106" s="5" t="str">
        <f>IFERROR(__xludf.DUMMYFUNCTION(" GOOGLETRANSLATE(B106, ""en"", ""am"")"),"የማራቶንን የአለም ክብረ ወሰን ሁለት ጊዜ በመስበር ታዋቂው ኢትዮጵያዊ ማን ነው?")</f>
        <v>የማራቶንን የአለም ክብረ ወሰን ሁለት ጊዜ በመስበር ታዋቂው ኢትዮጵያዊ ማን ነው?</v>
      </c>
      <c r="I106" s="5" t="str">
        <f>IFERROR(__xludf.DUMMYFUNCTION(" GOOGLETRANSLATE(C106, ""en"", ""am"")"),"አ. ዴኒስ ኪፕሩቶ ቢ ቀነኒሳ በቀለ ሲ. ኃይሌ ገብረስላሴ ዲ. ዊልሰን ኪፕቾጌ")</f>
        <v>አ. ዴኒስ ኪፕሩቶ ቢ ቀነኒሳ በቀለ ሲ. ኃይሌ ገብረስላሴ ዲ. ዊልሰን ኪፕቾጌ</v>
      </c>
      <c r="J106" s="5" t="str">
        <f>IFERROR(__xludf.DUMMYFUNCTION(" GOOGLETRANSLATE(D106, ""en"", ""am"")"),"ሃይለ ገብረስላሴ")</f>
        <v>ሃይለ ገብረስላሴ</v>
      </c>
      <c r="K106" s="5" t="str">
        <f>IFERROR(__xludf.DUMMYFUNCTION(" GOOGLETRANSLATE(E106, ""en"", ""am"")"),"ኃይሌ ገብረስላሴ በማራቶን የአለም ክብረ ወሰን በህይወቱ ሁለት ጊዜ ሰበረ።")</f>
        <v>ኃይሌ ገብረስላሴ በማራቶን የአለም ክብረ ወሰን በህይወቱ ሁለት ጊዜ ሰበረ።</v>
      </c>
    </row>
    <row r="107" ht="22.5" customHeight="1">
      <c r="A107" s="3">
        <v>106.0</v>
      </c>
      <c r="B107" s="5" t="s">
        <v>1277</v>
      </c>
      <c r="C107" s="4" t="s">
        <v>1278</v>
      </c>
      <c r="D107" s="5" t="s">
        <v>1256</v>
      </c>
      <c r="E107" s="5" t="s">
        <v>1279</v>
      </c>
      <c r="G107" s="5" t="str">
        <f>IFERROR(__xludf.DUMMYFUNCTION(" GOOGLETRANSLATE(A107, ""en"", ""am"")"),"106")</f>
        <v>106</v>
      </c>
      <c r="H107" s="5" t="str">
        <f>IFERROR(__xludf.DUMMYFUNCTION(" GOOGLETRANSLATE(B107, ""en"", ""am"")"),"የረጅም ርቀት ሯጮች የስልጠና ቦታ ተብሎ የሚታሰበው የትኛው ከተማ ነው?")</f>
        <v>የረጅም ርቀት ሯጮች የስልጠና ቦታ ተብሎ የሚታሰበው የትኛው ከተማ ነው?</v>
      </c>
      <c r="I107" s="5" t="str">
        <f>IFERROR(__xludf.DUMMYFUNCTION(" GOOGLETRANSLATE(C107, ""en"", ""am"")"),"አ.አዲስ አበባ ብ.በቆጂ ሲ.መቀሌ ደ.ጎንደር")</f>
        <v>አ.አዲስ አበባ ብ.በቆጂ ሲ.መቀሌ ደ.ጎንደር</v>
      </c>
      <c r="J107" s="5" t="str">
        <f>IFERROR(__xludf.DUMMYFUNCTION(" GOOGLETRANSLATE(D107, ""en"", ""am"")"),"ቤኮጂ")</f>
        <v>ቤኮጂ</v>
      </c>
      <c r="K107" s="5" t="str">
        <f>IFERROR(__xludf.DUMMYFUNCTION(" GOOGLETRANSLATE(E107, ""en"", ""am"")"),"ቤኮጂ ለብዙ ኢትዮጵያውያን የረጅም ርቀት ሯጮች የሥልጠና ቦታ ተደርጎ ይወሰዳል።")</f>
        <v>ቤኮጂ ለብዙ ኢትዮጵያውያን የረጅም ርቀት ሯጮች የሥልጠና ቦታ ተደርጎ ይወሰዳል።</v>
      </c>
    </row>
    <row r="108" ht="22.5" customHeight="1">
      <c r="A108" s="3">
        <v>107.0</v>
      </c>
      <c r="B108" s="5" t="s">
        <v>1280</v>
      </c>
      <c r="C108" s="4" t="s">
        <v>1281</v>
      </c>
      <c r="D108" s="5" t="s">
        <v>1282</v>
      </c>
      <c r="E108" s="5" t="s">
        <v>1283</v>
      </c>
      <c r="G108" s="5" t="str">
        <f>IFERROR(__xludf.DUMMYFUNCTION(" GOOGLETRANSLATE(A108, ""en"", ""am"")"),"107")</f>
        <v>107</v>
      </c>
      <c r="H108" s="5" t="str">
        <f>IFERROR(__xludf.DUMMYFUNCTION(" GOOGLETRANSLATE(B108, ""en"", ""am"")"),"በ2020 የቶኪዮ ኦሊምፒክ በወንዶች ማራቶን የወርቅ ሜዳሊያ ማን አሸነፈ?")</f>
        <v>በ2020 የቶኪዮ ኦሊምፒክ በወንዶች ማራቶን የወርቅ ሜዳሊያ ማን አሸነፈ?</v>
      </c>
      <c r="I108" s="5" t="str">
        <f>IFERROR(__xludf.DUMMYFUNCTION(" GOOGLETRANSLATE(C108, ""en"", ""am"")"),"ኤሊዩድ ኪፕቾጌ ብ. ማሬ ዲባባ ሲ. ቀነኒሳ በቀለ ዲ. ጥሩነሽ ዲባባ")</f>
        <v>ኤሊዩድ ኪፕቾጌ ብ. ማሬ ዲባባ ሲ. ቀነኒሳ በቀለ ዲ. ጥሩነሽ ዲባባ</v>
      </c>
      <c r="J108" s="5" t="str">
        <f>IFERROR(__xludf.DUMMYFUNCTION(" GOOGLETRANSLATE(D108, ""en"", ""am"")"),"ኤሊዩድ ኪፕቾጌ")</f>
        <v>ኤሊዩድ ኪፕቾጌ</v>
      </c>
      <c r="K108" s="5" t="str">
        <f>IFERROR(__xludf.DUMMYFUNCTION(" GOOGLETRANSLATE(E108, ""en"", ""am"")"),"በ2020 የቶኪዮ ኦሎምፒክ በወንዶች ማራቶን የወርቅ ሜዳሊያውን ኤሊዩድ ኪፕቾጌ አሸንፏል።")</f>
        <v>በ2020 የቶኪዮ ኦሎምፒክ በወንዶች ማራቶን የወርቅ ሜዳሊያውን ኤሊዩድ ኪፕቾጌ አሸንፏል።</v>
      </c>
    </row>
    <row r="109" ht="22.5" customHeight="1">
      <c r="A109" s="3">
        <v>108.0</v>
      </c>
      <c r="B109" s="5" t="s">
        <v>1284</v>
      </c>
      <c r="C109" s="4" t="s">
        <v>1285</v>
      </c>
      <c r="D109" s="5" t="s">
        <v>1286</v>
      </c>
      <c r="E109" s="5" t="s">
        <v>1287</v>
      </c>
      <c r="G109" s="5" t="str">
        <f>IFERROR(__xludf.DUMMYFUNCTION(" GOOGLETRANSLATE(A109, ""en"", ""am"")"),"108")</f>
        <v>108</v>
      </c>
      <c r="H109" s="5" t="str">
        <f>IFERROR(__xludf.DUMMYFUNCTION(" GOOGLETRANSLATE(B109, ""en"", ""am"")"),"በኢትዮጵያ በየዓመቱ የሚከበረው የሩቅ ውድድር የትኛው ነው?")</f>
        <v>በኢትዮጵያ በየዓመቱ የሚከበረው የሩቅ ውድድር የትኛው ነው?</v>
      </c>
      <c r="I109" s="5" t="str">
        <f>IFERROR(__xludf.DUMMYFUNCTION(" GOOGLETRANSLATE(C109, ""en"", ""am"")"),"አ. አዲስ አበባ 5 ኪሎ ለ. የጎንደር ግማሽ ማራቶን ሲ.በቆጂ ማራቶን ዲ. ታላቁ ሩጫ")</f>
        <v>አ. አዲስ አበባ 5 ኪሎ ለ. የጎንደር ግማሽ ማራቶን ሲ.በቆጂ ማራቶን ዲ. ታላቁ ሩጫ</v>
      </c>
      <c r="J109" s="5" t="str">
        <f>IFERROR(__xludf.DUMMYFUNCTION(" GOOGLETRANSLATE(D109, ""en"", ""am"")"),"ታላቁ ሩጫ በኢትዮጵያ")</f>
        <v>ታላቁ ሩጫ በኢትዮጵያ</v>
      </c>
      <c r="K109" s="5" t="str">
        <f>IFERROR(__xludf.DUMMYFUNCTION(" GOOGLETRANSLATE(E109, ""en"", ""am"")"),"የታላቁ ሩጫ በኢትዮጵያ በአዲስ አበባ የሚካሄድ ታላቅ ዓመታዊ የሩጫ ውድድር ነው።")</f>
        <v>የታላቁ ሩጫ በኢትዮጵያ በአዲስ አበባ የሚካሄድ ታላቅ ዓመታዊ የሩጫ ውድድር ነው።</v>
      </c>
    </row>
    <row r="110" ht="22.5" customHeight="1">
      <c r="A110" s="3">
        <v>109.0</v>
      </c>
      <c r="B110" s="5" t="s">
        <v>1288</v>
      </c>
      <c r="C110" s="4" t="s">
        <v>1289</v>
      </c>
      <c r="D110" s="5" t="s">
        <v>1286</v>
      </c>
      <c r="E110" s="5" t="s">
        <v>1290</v>
      </c>
      <c r="G110" s="5" t="str">
        <f>IFERROR(__xludf.DUMMYFUNCTION(" GOOGLETRANSLATE(A110, ""en"", ""am"")"),"109")</f>
        <v>109</v>
      </c>
      <c r="H110" s="5" t="str">
        <f>IFERROR(__xludf.DUMMYFUNCTION(" GOOGLETRANSLATE(B110, ""en"", ""am"")"),"በኢትዮጵያ የረጅም ርቀት ሩጫን ያሳተፈ፣ የተከበረ ዓመታዊ ውድድር የትኛው ዘር ነው?")</f>
        <v>በኢትዮጵያ የረጅም ርቀት ሩጫን ያሳተፈ፣ የተከበረ ዓመታዊ ውድድር የትኛው ዘር ነው?</v>
      </c>
      <c r="I110" s="5" t="str">
        <f>IFERROR(__xludf.DUMMYFUNCTION(" GOOGLETRANSLATE(C110, ""en"", ""am"")"),"አ.አዲስ አበባ ማራቶን ቢ. የታላቁ ሩጫ በኢትዮጵያ 10ሺህ ዲ.መቀሌ ከተማ ሩጫ")</f>
        <v>አ.አዲስ አበባ ማራቶን ቢ. የታላቁ ሩጫ በኢትዮጵያ 10ሺህ ዲ.መቀሌ ከተማ ሩጫ</v>
      </c>
      <c r="J110" s="5" t="str">
        <f>IFERROR(__xludf.DUMMYFUNCTION(" GOOGLETRANSLATE(D110, ""en"", ""am"")"),"ታላቁ ሩጫ በኢትዮጵያ")</f>
        <v>ታላቁ ሩጫ በኢትዮጵያ</v>
      </c>
      <c r="K110" s="5" t="str">
        <f>IFERROR(__xludf.DUMMYFUNCTION(" GOOGLETRANSLATE(E110, ""en"", ""am"")"),"የታላቁ ሩጫ በኢትዮጵያ በየዓመቱ ከሚካሄዱ ታዋቂ የረጅም ርቀት ሩጫዎች አንዱ ነው።")</f>
        <v>የታላቁ ሩጫ በኢትዮጵያ በየዓመቱ ከሚካሄዱ ታዋቂ የረጅም ርቀት ሩጫዎች አንዱ ነው።</v>
      </c>
    </row>
    <row r="111" ht="22.5" customHeight="1">
      <c r="A111" s="3">
        <v>110.0</v>
      </c>
      <c r="B111" s="5" t="s">
        <v>1291</v>
      </c>
      <c r="C111" s="4" t="s">
        <v>1292</v>
      </c>
      <c r="D111" s="5" t="s">
        <v>1293</v>
      </c>
      <c r="E111" s="5" t="s">
        <v>1294</v>
      </c>
      <c r="G111" s="5" t="str">
        <f>IFERROR(__xludf.DUMMYFUNCTION(" GOOGLETRANSLATE(A111, ""en"", ""am"")"),"110")</f>
        <v>110</v>
      </c>
      <c r="H111" s="5" t="str">
        <f>IFERROR(__xludf.DUMMYFUNCTION(" GOOGLETRANSLATE(B111, ""en"", ""am"")"),"ኢትዮጵያውያን ሯጮች በአለም አቀፍ ውድድሮች ብዙ ጊዜ የሚያጋጥሟቸው ትልቅ ፈተና ምንድን ነው?")</f>
        <v>ኢትዮጵያውያን ሯጮች በአለም አቀፍ ውድድሮች ብዙ ጊዜ የሚያጋጥሟቸው ትልቅ ፈተና ምንድን ነው?</v>
      </c>
      <c r="I111" s="5" t="str">
        <f>IFERROR(__xludf.DUMMYFUNCTION(" GOOGLETRANSLATE(C111, ""en"", ""am"")"),"ሀ. ከፍታ ቢ. ሙቀት ሐ. እርጥበት ዲ. ንፋስ")</f>
        <v>ሀ. ከፍታ ቢ. ሙቀት ሐ. እርጥበት ዲ. ንፋስ</v>
      </c>
      <c r="J111" s="5" t="str">
        <f>IFERROR(__xludf.DUMMYFUNCTION(" GOOGLETRANSLATE(D111, ""en"", ""am"")"),"ከፍታ")</f>
        <v>ከፍታ</v>
      </c>
      <c r="K111" s="5" t="str">
        <f>IFERROR(__xludf.DUMMYFUNCTION(" GOOGLETRANSLATE(E111, ""en"", ""am"")"),"ኢትዮጵያውያን ሯጮች በአለም አቀፍ ውድድር ብዙ ጊዜ የከፍታ ፈተና ይገጥማቸዋል።")</f>
        <v>ኢትዮጵያውያን ሯጮች በአለም አቀፍ ውድድር ብዙ ጊዜ የከፍታ ፈተና ይገጥማቸዋል።</v>
      </c>
    </row>
    <row r="112" ht="22.5" customHeight="1">
      <c r="A112" s="3">
        <v>111.0</v>
      </c>
      <c r="B112" s="5" t="s">
        <v>1295</v>
      </c>
      <c r="C112" s="4" t="s">
        <v>1296</v>
      </c>
      <c r="D112" s="5" t="s">
        <v>1096</v>
      </c>
      <c r="E112" s="5" t="s">
        <v>1297</v>
      </c>
      <c r="G112" s="5" t="str">
        <f>IFERROR(__xludf.DUMMYFUNCTION(" GOOGLETRANSLATE(A112, ""en"", ""am"")"),"111")</f>
        <v>111</v>
      </c>
      <c r="H112" s="5" t="str">
        <f>IFERROR(__xludf.DUMMYFUNCTION(" GOOGLETRANSLATE(B112, ""en"", ""am"")"),"በ2019 የበርሊን ማራቶን ያሸነፈችው ኢትዮጵያዊት ሴት የማራቶን ሯጭ ማን ናት?")</f>
        <v>በ2019 የበርሊን ማራቶን ያሸነፈችው ኢትዮጵያዊት ሴት የማራቶን ሯጭ ማን ናት?</v>
      </c>
      <c r="I112" s="5" t="str">
        <f>IFERROR(__xludf.DUMMYFUNCTION(" GOOGLETRANSLATE(C112, ""en"", ""am"")"),"A. Fatuma Roba B. Mare Dibaba C. ጥሩነሽ ዲባባ ዲ. ፀጋዬ ከበደ")</f>
        <v>A. Fatuma Roba B. Mare Dibaba C. ጥሩነሽ ዲባባ ዲ. ፀጋዬ ከበደ</v>
      </c>
      <c r="J112" s="5" t="str">
        <f>IFERROR(__xludf.DUMMYFUNCTION(" GOOGLETRANSLATE(D112, ""en"", ""am"")"),"ጥሩነሽ ዲባባ")</f>
        <v>ጥሩነሽ ዲባባ</v>
      </c>
      <c r="K112" s="5" t="str">
        <f>IFERROR(__xludf.DUMMYFUNCTION(" GOOGLETRANSLATE(E112, ""en"", ""am"")"),"ጥሩነሽ ዲባባ የ2019 የበርሊን ማራቶን አሸንፋለች።")</f>
        <v>ጥሩነሽ ዲባባ የ2019 የበርሊን ማራቶን አሸንፋለች።</v>
      </c>
    </row>
    <row r="113" ht="22.5" customHeight="1">
      <c r="A113" s="3">
        <v>112.0</v>
      </c>
      <c r="B113" s="5" t="s">
        <v>1298</v>
      </c>
      <c r="C113" s="4" t="s">
        <v>1299</v>
      </c>
      <c r="D113" s="5" t="s">
        <v>1300</v>
      </c>
      <c r="E113" s="5" t="s">
        <v>1301</v>
      </c>
      <c r="G113" s="5" t="str">
        <f>IFERROR(__xludf.DUMMYFUNCTION(" GOOGLETRANSLATE(A113, ""en"", ""am"")"),"112")</f>
        <v>112</v>
      </c>
      <c r="H113" s="5" t="str">
        <f>IFERROR(__xludf.DUMMYFUNCTION(" GOOGLETRANSLATE(B113, ""en"", ""am"")"),"የትኛው ስፖርት ከኢትዮጵያ ብሄራዊ ኩራት ጋር በቅርበት የተቆራኘ እና በባህላቸው ውስጥ ስር የሰደደ?")</f>
        <v>የትኛው ስፖርት ከኢትዮጵያ ብሄራዊ ኩራት ጋር በቅርበት የተቆራኘ እና በባህላቸው ውስጥ ስር የሰደደ?</v>
      </c>
      <c r="I113" s="5" t="str">
        <f>IFERROR(__xludf.DUMMYFUNCTION(" GOOGLETRANSLATE(C113, ""en"", ""am"")"),"ሀ. እግር ኳስ ለ. መሮጥ ሲ.ሳይክል D. የቅርጫት ኳስ")</f>
        <v>ሀ. እግር ኳስ ለ. መሮጥ ሲ.ሳይክል D. የቅርጫት ኳስ</v>
      </c>
      <c r="J113" s="5" t="str">
        <f>IFERROR(__xludf.DUMMYFUNCTION(" GOOGLETRANSLATE(D113, ""en"", ""am"")"),"መሮጥ")</f>
        <v>መሮጥ</v>
      </c>
      <c r="K113" s="5" t="str">
        <f>IFERROR(__xludf.DUMMYFUNCTION(" GOOGLETRANSLATE(E113, ""en"", ""am"")"),"ሩጫ በኢትዮጵያ ብሄራዊ ኩራት እና ባህል ውስጥ ስር የሰደደ ነው።")</f>
        <v>ሩጫ በኢትዮጵያ ብሄራዊ ኩራት እና ባህል ውስጥ ስር የሰደደ ነው።</v>
      </c>
    </row>
    <row r="114" ht="22.5" customHeight="1">
      <c r="A114" s="3">
        <v>113.0</v>
      </c>
      <c r="B114" s="5" t="s">
        <v>1302</v>
      </c>
      <c r="C114" s="4" t="s">
        <v>1303</v>
      </c>
      <c r="D114" s="5" t="s">
        <v>1304</v>
      </c>
      <c r="E114" s="5" t="s">
        <v>1305</v>
      </c>
      <c r="G114" s="5" t="str">
        <f>IFERROR(__xludf.DUMMYFUNCTION(" GOOGLETRANSLATE(A114, ""en"", ""am"")"),"113")</f>
        <v>113</v>
      </c>
      <c r="H114" s="5" t="str">
        <f>IFERROR(__xludf.DUMMYFUNCTION(" GOOGLETRANSLATE(B114, ""en"", ""am"")"),"ምርጥ አትሌቶችን በማፍራት የምትታወቀው የበቆጂ ከተማ በምን ከፍታ ላይ ትገኛለች?")</f>
        <v>ምርጥ አትሌቶችን በማፍራት የምትታወቀው የበቆጂ ከተማ በምን ከፍታ ላይ ትገኛለች?</v>
      </c>
      <c r="I114" s="5" t="str">
        <f>IFERROR(__xludf.DUMMYFUNCTION(" GOOGLETRANSLATE(C114, ""en"", ""am"")"),"አ. 1,800 ሜትር ለ. 2,500 ሜትር ሲ. 3,200 ሜትር ዲ. 4,000 ሜትር")</f>
        <v>አ. 1,800 ሜትር ለ. 2,500 ሜትር ሲ. 3,200 ሜትር ዲ. 4,000 ሜትር</v>
      </c>
      <c r="J114" s="5" t="str">
        <f>IFERROR(__xludf.DUMMYFUNCTION(" GOOGLETRANSLATE(D114, ""en"", ""am"")"),"2,500 ሜትር")</f>
        <v>2,500 ሜትር</v>
      </c>
      <c r="K114" s="5" t="str">
        <f>IFERROR(__xludf.DUMMYFUNCTION(" GOOGLETRANSLATE(E114, ""en"", ""am"")"),"ቤኮጂ ከባህር ጠለል በላይ በ2,500 ሜትር አካባቢ ከፍታ ላይ ትገኛለች።")</f>
        <v>ቤኮጂ ከባህር ጠለል በላይ በ2,500 ሜትር አካባቢ ከፍታ ላይ ትገኛለች።</v>
      </c>
    </row>
    <row r="115" ht="22.5" customHeight="1">
      <c r="A115" s="3">
        <v>114.0</v>
      </c>
      <c r="B115" s="5" t="s">
        <v>1306</v>
      </c>
      <c r="C115" s="4" t="s">
        <v>1307</v>
      </c>
      <c r="D115" s="5" t="s">
        <v>1238</v>
      </c>
      <c r="E115" s="5" t="s">
        <v>1308</v>
      </c>
      <c r="G115" s="5" t="str">
        <f>IFERROR(__xludf.DUMMYFUNCTION(" GOOGLETRANSLATE(A115, ""en"", ""am"")"),"114")</f>
        <v>114</v>
      </c>
      <c r="H115" s="5" t="str">
        <f>IFERROR(__xludf.DUMMYFUNCTION(" GOOGLETRANSLATE(B115, ""en"", ""am"")"),"በማራቶን 2፡20 ሳትገባ የመጀመሪያዋ ኢትዮጵያዊት ማን ሆነች?")</f>
        <v>በማራቶን 2፡20 ሳትገባ የመጀመሪያዋ ኢትዮጵያዊት ማን ሆነች?</v>
      </c>
      <c r="I115" s="5" t="str">
        <f>IFERROR(__xludf.DUMMYFUNCTION(" GOOGLETRANSLATE(C115, ""en"", ""am"")"),"አ. ጥሩነሽ ዲባባ ብ. ማሬ ዲባባ ሲ. ፀጋዬ ከበደ ዲ. መሰለች መልካሙ")</f>
        <v>አ. ጥሩነሽ ዲባባ ብ. ማሬ ዲባባ ሲ. ፀጋዬ ከበደ ዲ. መሰለች መልካሙ</v>
      </c>
      <c r="J115" s="5" t="str">
        <f>IFERROR(__xludf.DUMMYFUNCTION(" GOOGLETRANSLATE(D115, ""en"", ""am"")"),"ፀጋዬ ከበደ")</f>
        <v>ፀጋዬ ከበደ</v>
      </c>
      <c r="K115" s="5" t="str">
        <f>IFERROR(__xludf.DUMMYFUNCTION(" GOOGLETRANSLATE(E115, ""en"", ""am"")"),"ፀጋዬ ከበደ በማራቶን 2፡20 በመግባት የመጀመርያዋ ኢትዮጵያዊት ነች።")</f>
        <v>ፀጋዬ ከበደ በማራቶን 2፡20 በመግባት የመጀመርያዋ ኢትዮጵያዊት ነች።</v>
      </c>
    </row>
    <row r="116" ht="22.5" customHeight="1">
      <c r="A116" s="3">
        <v>115.0</v>
      </c>
      <c r="B116" s="5" t="s">
        <v>1309</v>
      </c>
      <c r="C116" s="4" t="s">
        <v>1310</v>
      </c>
      <c r="D116" s="5" t="s">
        <v>1238</v>
      </c>
      <c r="E116" s="5" t="s">
        <v>1311</v>
      </c>
      <c r="G116" s="5" t="str">
        <f>IFERROR(__xludf.DUMMYFUNCTION(" GOOGLETRANSLATE(A116, ""en"", ""am"")"),"115")</f>
        <v>115</v>
      </c>
      <c r="H116" s="5" t="str">
        <f>IFERROR(__xludf.DUMMYFUNCTION(" GOOGLETRANSLATE(B116, ""en"", ""am"")"),"በ2019 የቶኪዮ ማራቶን ያሸነፈው ኢትዮጵያዊው የማራቶን ሯጭ የትኛው ነው?")</f>
        <v>በ2019 የቶኪዮ ማራቶን ያሸነፈው ኢትዮጵያዊው የማራቶን ሯጭ የትኛው ነው?</v>
      </c>
      <c r="I116" s="5" t="str">
        <f>IFERROR(__xludf.DUMMYFUNCTION(" GOOGLETRANSLATE(C116, ""en"", ""am"")"),"A. Tsegaye Kebede B. Mare Dibaba C. Haile Gebreselassie ዲ. ጥሩነሽ ዲባባ")</f>
        <v>A. Tsegaye Kebede B. Mare Dibaba C. Haile Gebreselassie ዲ. ጥሩነሽ ዲባባ</v>
      </c>
      <c r="J116" s="5" t="str">
        <f>IFERROR(__xludf.DUMMYFUNCTION(" GOOGLETRANSLATE(D116, ""en"", ""am"")"),"ፀጋዬ ከበደ")</f>
        <v>ፀጋዬ ከበደ</v>
      </c>
      <c r="K116" s="5" t="str">
        <f>IFERROR(__xludf.DUMMYFUNCTION(" GOOGLETRANSLATE(E116, ""en"", ""am"")"),"ፀጋዬ ከበደ የ2019 የቶኪዮ ማራቶን አሸንፏል።")</f>
        <v>ፀጋዬ ከበደ የ2019 የቶኪዮ ማራቶን አሸንፏል።</v>
      </c>
    </row>
    <row r="117" ht="22.5" customHeight="1">
      <c r="A117" s="3">
        <v>116.0</v>
      </c>
      <c r="B117" s="5" t="s">
        <v>1312</v>
      </c>
      <c r="C117" s="4" t="s">
        <v>1313</v>
      </c>
      <c r="D117" s="5" t="s">
        <v>1314</v>
      </c>
      <c r="E117" s="5" t="s">
        <v>1315</v>
      </c>
      <c r="G117" s="5" t="str">
        <f>IFERROR(__xludf.DUMMYFUNCTION(" GOOGLETRANSLATE(A117, ""en"", ""am"")"),"116")</f>
        <v>116</v>
      </c>
      <c r="H117" s="5" t="str">
        <f>IFERROR(__xludf.DUMMYFUNCTION(" GOOGLETRANSLATE(B117, ""en"", ""am"")"),"በ2021 የቺካጎ ማራቶን የትኛው ኢትዮጵያዊት ሴት ሯጭ አሸንፋለች?")</f>
        <v>በ2021 የቺካጎ ማራቶን የትኛው ኢትዮጵያዊት ሴት ሯጭ አሸንፋለች?</v>
      </c>
      <c r="I117" s="5" t="str">
        <f>IFERROR(__xludf.DUMMYFUNCTION(" GOOGLETRANSLATE(C117, ""en"", ""am"")"),"A. Mare Dibaba B. Tsegaye Kebede C. Brigid Kosgei D. Sifan Hassan")</f>
        <v>A. Mare Dibaba B. Tsegaye Kebede C. Brigid Kosgei D. Sifan Hassan</v>
      </c>
      <c r="J117" s="5" t="str">
        <f>IFERROR(__xludf.DUMMYFUNCTION(" GOOGLETRANSLATE(D117, ""en"", ""am"")"),"ብሪጊድ ኮስጌይ")</f>
        <v>ብሪጊድ ኮስጌይ</v>
      </c>
      <c r="K117" s="5" t="str">
        <f>IFERROR(__xludf.DUMMYFUNCTION(" GOOGLETRANSLATE(E117, ""en"", ""am"")"),"ብሪጊድ ኮስጌ የ2021 የቺካጎ ማራቶን አሸንፏል።")</f>
        <v>ብሪጊድ ኮስጌ የ2021 የቺካጎ ማራቶን አሸንፏል።</v>
      </c>
    </row>
    <row r="118" ht="22.5" customHeight="1">
      <c r="A118" s="3">
        <v>117.0</v>
      </c>
      <c r="B118" s="5" t="s">
        <v>1316</v>
      </c>
      <c r="C118" s="4" t="s">
        <v>1317</v>
      </c>
      <c r="D118" s="5" t="s">
        <v>1272</v>
      </c>
      <c r="E118" s="5" t="s">
        <v>1318</v>
      </c>
      <c r="G118" s="5" t="str">
        <f>IFERROR(__xludf.DUMMYFUNCTION(" GOOGLETRANSLATE(A118, ""en"", ""am"")"),"117")</f>
        <v>117</v>
      </c>
      <c r="H118" s="5" t="str">
        <f>IFERROR(__xludf.DUMMYFUNCTION(" GOOGLETRANSLATE(B118, ""en"", ""am"")"),"በወንዶች ማራቶን የአለም ሪከርድ ባለቤት ማን ነው?")</f>
        <v>በወንዶች ማራቶን የአለም ሪከርድ ባለቤት ማን ነው?</v>
      </c>
      <c r="I118" s="5" t="str">
        <f>IFERROR(__xludf.DUMMYFUNCTION(" GOOGLETRANSLATE(C118, ""en"", ""am"")"),"ሀ.")</f>
        <v>ሀ.</v>
      </c>
      <c r="J118" s="5" t="str">
        <f>IFERROR(__xludf.DUMMYFUNCTION(" GOOGLETRANSLATE(D118, ""en"", ""am"")"),"ዊልሰን ኪፕቾጌ")</f>
        <v>ዊልሰን ኪፕቾጌ</v>
      </c>
      <c r="K118" s="5" t="str">
        <f>IFERROR(__xludf.DUMMYFUNCTION(" GOOGLETRANSLATE(E118, ""en"", ""am"")"),"ዊልሰን ኪፕቾጌ በማራቶን የአለም ክብረ ወሰንን ይዟል።")</f>
        <v>ዊልሰን ኪፕቾጌ በማራቶን የአለም ክብረ ወሰንን ይዟል።</v>
      </c>
    </row>
    <row r="119" ht="22.5" customHeight="1">
      <c r="A119" s="3">
        <v>118.0</v>
      </c>
      <c r="B119" s="5" t="s">
        <v>1319</v>
      </c>
      <c r="C119" s="4" t="s">
        <v>1320</v>
      </c>
      <c r="D119" s="5" t="s">
        <v>1231</v>
      </c>
      <c r="E119" s="5" t="s">
        <v>1321</v>
      </c>
      <c r="G119" s="5" t="str">
        <f>IFERROR(__xludf.DUMMYFUNCTION(" GOOGLETRANSLATE(A119, ""en"", ""am"")"),"118")</f>
        <v>118</v>
      </c>
      <c r="H119" s="5" t="str">
        <f>IFERROR(__xludf.DUMMYFUNCTION(" GOOGLETRANSLATE(B119, ""en"", ""am"")"),"የታዋቂው የታላቁ የኢትዮጵያ ሩጫ ማራቶን መገኛ የትኛው ከተማ ነው?")</f>
        <v>የታዋቂው የታላቁ የኢትዮጵያ ሩጫ ማራቶን መገኛ የትኛው ከተማ ነው?</v>
      </c>
      <c r="I119" s="5" t="str">
        <f>IFERROR(__xludf.DUMMYFUNCTION(" GOOGLETRANSLATE(C119, ""en"", ""am"")"),"አ.አዲስ አበባ ብ.መቀሌ ሐ.በቆጂ ደ.ጎንደር")</f>
        <v>አ.አዲስ አበባ ብ.መቀሌ ሐ.በቆጂ ደ.ጎንደር</v>
      </c>
      <c r="J119" s="5" t="str">
        <f>IFERROR(__xludf.DUMMYFUNCTION(" GOOGLETRANSLATE(D119, ""en"", ""am"")"),"አዲስ አበባ")</f>
        <v>አዲስ አበባ</v>
      </c>
      <c r="K119" s="5" t="str">
        <f>IFERROR(__xludf.DUMMYFUNCTION(" GOOGLETRANSLATE(E119, ""en"", ""am"")"),"ታላቁ ሩጫ በኢትዮጵያ አዲስ አበባ ተካሄዷል።")</f>
        <v>ታላቁ ሩጫ በኢትዮጵያ አዲስ አበባ ተካሄዷል።</v>
      </c>
    </row>
    <row r="120" ht="22.5" customHeight="1">
      <c r="A120" s="3">
        <v>119.0</v>
      </c>
      <c r="B120" s="5" t="s">
        <v>1322</v>
      </c>
      <c r="C120" s="4" t="s">
        <v>1323</v>
      </c>
      <c r="D120" s="5" t="s">
        <v>1191</v>
      </c>
      <c r="E120" s="5" t="s">
        <v>1324</v>
      </c>
      <c r="G120" s="5" t="str">
        <f>IFERROR(__xludf.DUMMYFUNCTION(" GOOGLETRANSLATE(A120, ""en"", ""am"")"),"119")</f>
        <v>119</v>
      </c>
      <c r="H120" s="5" t="str">
        <f>IFERROR(__xludf.DUMMYFUNCTION(" GOOGLETRANSLATE(B120, ""en"", ""am"")"),"በቦስተን ማራቶን የመጀመሪያዋ ኢትዮጵያዊት ሴት ማን ሆነች?")</f>
        <v>በቦስተን ማራቶን የመጀመሪያዋ ኢትዮጵያዊት ሴት ማን ሆነች?</v>
      </c>
      <c r="I120" s="5" t="str">
        <f>IFERROR(__xludf.DUMMYFUNCTION(" GOOGLETRANSLATE(C120, ""en"", ""am"")"),"አ.ማሬ ዲባባ ብ ጥሩነሽ ዲባባ ሲ ፋጡማ ሮባ ዲ.መሰለች መልካሙ")</f>
        <v>አ.ማሬ ዲባባ ብ ጥሩነሽ ዲባባ ሲ ፋጡማ ሮባ ዲ.መሰለች መልካሙ</v>
      </c>
      <c r="J120" s="5" t="str">
        <f>IFERROR(__xludf.DUMMYFUNCTION(" GOOGLETRANSLATE(D120, ""en"", ""am"")"),"ፋጡማ ሮባ")</f>
        <v>ፋጡማ ሮባ</v>
      </c>
      <c r="K120" s="5" t="str">
        <f>IFERROR(__xludf.DUMMYFUNCTION(" GOOGLETRANSLATE(E120, ""en"", ""am"")"),"ፋጡማ ሮባ በቦስተን ማራቶን ያሸነፈች የመጀመሪያዋ ኢትዮጵያዊት ነች።")</f>
        <v>ፋጡማ ሮባ በቦስተን ማራቶን ያሸነፈች የመጀመሪያዋ ኢትዮጵያዊት ነች።</v>
      </c>
    </row>
    <row r="121" ht="22.5" customHeight="1">
      <c r="A121" s="3">
        <v>120.0</v>
      </c>
      <c r="B121" s="5" t="s">
        <v>1325</v>
      </c>
      <c r="C121" s="4" t="s">
        <v>1326</v>
      </c>
      <c r="D121" s="5" t="s">
        <v>1264</v>
      </c>
      <c r="E121" s="5" t="s">
        <v>1327</v>
      </c>
      <c r="G121" s="5" t="str">
        <f>IFERROR(__xludf.DUMMYFUNCTION(" GOOGLETRANSLATE(A121, ""en"", ""am"")"),"120")</f>
        <v>120</v>
      </c>
      <c r="H121" s="5" t="str">
        <f>IFERROR(__xludf.DUMMYFUNCTION(" GOOGLETRANSLATE(B121, ""en"", ""am"")"),"ቀነኒሳ በቀለ በ2014 የትኛውን ማራቶን አሸንፏል?")</f>
        <v>ቀነኒሳ በቀለ በ2014 የትኛውን ማራቶን አሸንፏል?</v>
      </c>
      <c r="I121" s="5" t="str">
        <f>IFERROR(__xludf.DUMMYFUNCTION(" GOOGLETRANSLATE(C121, ""en"", ""am"")"),"ኣብ ለንደን ማራቶን ብ በርሊን ማራቶን ሲ ቦስተን ማራቶን ዲ.ቺካጎ ማራቶን")</f>
        <v>ኣብ ለንደን ማራቶን ብ በርሊን ማራቶን ሲ ቦስተን ማራቶን ዲ.ቺካጎ ማራቶን</v>
      </c>
      <c r="J121" s="5" t="str">
        <f>IFERROR(__xludf.DUMMYFUNCTION(" GOOGLETRANSLATE(D121, ""en"", ""am"")"),"የበርሊን ማራቶን")</f>
        <v>የበርሊን ማራቶን</v>
      </c>
      <c r="K121" s="5" t="str">
        <f>IFERROR(__xludf.DUMMYFUNCTION(" GOOGLETRANSLATE(E121, ""en"", ""am"")"),"ቀነኒሳ በቀለ በ2014 የበርሊን ማራቶን አሸንፏል።")</f>
        <v>ቀነኒሳ በቀለ በ2014 የበርሊን ማራቶን አሸንፏል።</v>
      </c>
    </row>
    <row r="122" ht="22.5" customHeight="1">
      <c r="A122" s="3">
        <v>121.0</v>
      </c>
      <c r="B122" s="5" t="s">
        <v>1328</v>
      </c>
      <c r="C122" s="4" t="s">
        <v>1329</v>
      </c>
      <c r="D122" s="5" t="s">
        <v>1330</v>
      </c>
      <c r="E122" s="5" t="s">
        <v>1331</v>
      </c>
      <c r="G122" s="5" t="str">
        <f>IFERROR(__xludf.DUMMYFUNCTION(" GOOGLETRANSLATE(A122, ""en"", ""am"")"),"121")</f>
        <v>121</v>
      </c>
      <c r="H122" s="5" t="str">
        <f>IFERROR(__xludf.DUMMYFUNCTION(" GOOGLETRANSLATE(B122, ""en"", ""am"")"),"በኦሎምፒክ በ10,000 ሜትር የወርቅ ሜዳሊያ ያስገኘ የመጀመሪያው ኢትዮጵያዊ ሯጭ ማን ነበር?")</f>
        <v>በኦሎምፒክ በ10,000 ሜትር የወርቅ ሜዳሊያ ያስገኘ የመጀመሪያው ኢትዮጵያዊ ሯጭ ማን ነበር?</v>
      </c>
      <c r="I122" s="5" t="str">
        <f>IFERROR(__xludf.DUMMYFUNCTION(" GOOGLETRANSLATE(C122, ""en"", ""am"")"),"ሀ/ሀይሌ ገብረስላሴ ብ ቀነኒሳ በቀለ ሲ.ማሞ ወልደ ዲ.ጥሩነሽ ዲባባ")</f>
        <v>ሀ/ሀይሌ ገብረስላሴ ብ ቀነኒሳ በቀለ ሲ.ማሞ ወልደ ዲ.ጥሩነሽ ዲባባ</v>
      </c>
      <c r="J122" s="5" t="str">
        <f>IFERROR(__xludf.DUMMYFUNCTION(" GOOGLETRANSLATE(D122, ""en"", ""am"")"),"ማሞ ወልዴ")</f>
        <v>ማሞ ወልዴ</v>
      </c>
      <c r="K122" s="5" t="str">
        <f>IFERROR(__xludf.DUMMYFUNCTION(" GOOGLETRANSLATE(E122, ""en"", ""am"")"),"ማሞ ወልዴ በኦሎምፒክ 10,000 ሜትር ወርቅ ያሸነፈ የመጀመሪያው ኢትዮጵያዊ ነው።")</f>
        <v>ማሞ ወልዴ በኦሎምፒክ 10,000 ሜትር ወርቅ ያሸነፈ የመጀመሪያው ኢትዮጵያዊ ነው።</v>
      </c>
    </row>
    <row r="123" ht="22.5" customHeight="1">
      <c r="A123" s="3">
        <v>122.0</v>
      </c>
      <c r="B123" s="5" t="s">
        <v>1332</v>
      </c>
      <c r="C123" s="4" t="s">
        <v>1263</v>
      </c>
      <c r="D123" s="5" t="s">
        <v>1264</v>
      </c>
      <c r="E123" s="5" t="s">
        <v>1333</v>
      </c>
      <c r="G123" s="5" t="str">
        <f>IFERROR(__xludf.DUMMYFUNCTION(" GOOGLETRANSLATE(A123, ""en"", ""am"")"),"122")</f>
        <v>122</v>
      </c>
      <c r="H123" s="5" t="str">
        <f>IFERROR(__xludf.DUMMYFUNCTION(" GOOGLETRANSLATE(B123, ""en"", ""am"")"),"በ2008 ሀይሌ ገብረስላሴ የትኛውን ማራቶን በማሸነፍ የኮርስ ሪከርዱን ሰበረ?")</f>
        <v>በ2008 ሀይሌ ገብረስላሴ የትኛውን ማራቶን በማሸነፍ የኮርስ ሪከርዱን ሰበረ?</v>
      </c>
      <c r="I123" s="5" t="str">
        <f>IFERROR(__xludf.DUMMYFUNCTION(" GOOGLETRANSLATE(C123, ""en"", ""am"")"),"ኣብ በርሊን ማራቶን ብ ለንደን ማራቶን ሲ ቦስተን ማራቶን ዲ.ቺካጎ ማራቶን")</f>
        <v>ኣብ በርሊን ማራቶን ብ ለንደን ማራቶን ሲ ቦስተን ማራቶን ዲ.ቺካጎ ማራቶን</v>
      </c>
      <c r="J123" s="5" t="str">
        <f>IFERROR(__xludf.DUMMYFUNCTION(" GOOGLETRANSLATE(D123, ""en"", ""am"")"),"የበርሊን ማራቶን")</f>
        <v>የበርሊን ማራቶን</v>
      </c>
      <c r="K123" s="5" t="str">
        <f>IFERROR(__xludf.DUMMYFUNCTION(" GOOGLETRANSLATE(E123, ""en"", ""am"")"),"ሃይሌ ገብረስላሴ በ2008 የበርሊን ማራቶን በማሸነፍ የኮርስ ሪከርድ አስመዝግቧል።")</f>
        <v>ሃይሌ ገብረስላሴ በ2008 የበርሊን ማራቶን በማሸነፍ የኮርስ ሪከርድ አስመዝግቧል።</v>
      </c>
    </row>
    <row r="124" ht="22.5" customHeight="1">
      <c r="A124" s="3">
        <v>123.0</v>
      </c>
      <c r="B124" s="5" t="s">
        <v>1334</v>
      </c>
      <c r="C124" s="4" t="s">
        <v>1335</v>
      </c>
      <c r="D124" s="5" t="s">
        <v>1083</v>
      </c>
      <c r="E124" s="5" t="s">
        <v>1336</v>
      </c>
      <c r="G124" s="5" t="str">
        <f>IFERROR(__xludf.DUMMYFUNCTION(" GOOGLETRANSLATE(A124, ""en"", ""am"")"),"123")</f>
        <v>123</v>
      </c>
      <c r="H124" s="5" t="str">
        <f>IFERROR(__xludf.DUMMYFUNCTION(" GOOGLETRANSLATE(B124, ""en"", ""am"")"),"በወንዶች 5,000 ሜትር የዓለም ክብረ ወሰን ያለው የትኛው ኢትዮጵያዊ አትሌት ነው?")</f>
        <v>በወንዶች 5,000 ሜትር የዓለም ክብረ ወሰን ያለው የትኛው ኢትዮጵያዊ አትሌት ነው?</v>
      </c>
      <c r="I124" s="5" t="str">
        <f>IFERROR(__xludf.DUMMYFUNCTION(" GOOGLETRANSLATE(C124, ""en"", ""am"")"),"ቀነኒሳ በቀለ ብ ሃይለ ገብረስላሴ ሲ.ኤልዩድ ኪፕቾጌ ዲ ዴኒስ ኪፕሩቶ")</f>
        <v>ቀነኒሳ በቀለ ብ ሃይለ ገብረስላሴ ሲ.ኤልዩድ ኪፕቾጌ ዲ ዴኒስ ኪፕሩቶ</v>
      </c>
      <c r="J124" s="5" t="str">
        <f>IFERROR(__xludf.DUMMYFUNCTION(" GOOGLETRANSLATE(D124, ""en"", ""am"")"),"ቀነኒሳ በቀለ")</f>
        <v>ቀነኒሳ በቀለ</v>
      </c>
      <c r="K124" s="5" t="str">
        <f>IFERROR(__xludf.DUMMYFUNCTION(" GOOGLETRANSLATE(E124, ""en"", ""am"")"),"ቀነኒሳ በቀለ በወንዶች 5,000 ሜትር የአለም ክብረ ወሰን አስመዝግባለች።")</f>
        <v>ቀነኒሳ በቀለ በወንዶች 5,000 ሜትር የአለም ክብረ ወሰን አስመዝግባለች።</v>
      </c>
    </row>
    <row r="125" ht="22.5" customHeight="1">
      <c r="A125" s="3">
        <v>124.0</v>
      </c>
      <c r="B125" s="5" t="s">
        <v>1337</v>
      </c>
      <c r="C125" s="4" t="s">
        <v>1338</v>
      </c>
      <c r="D125" s="5" t="s">
        <v>1083</v>
      </c>
      <c r="E125" s="5" t="s">
        <v>1339</v>
      </c>
      <c r="G125" s="5" t="str">
        <f>IFERROR(__xludf.DUMMYFUNCTION(" GOOGLETRANSLATE(A125, ""en"", ""am"")"),"124")</f>
        <v>124</v>
      </c>
      <c r="H125" s="5" t="str">
        <f>IFERROR(__xludf.DUMMYFUNCTION(" GOOGLETRANSLATE(B125, ""en"", ""am"")"),"የ2017 የበርሊን ማራቶን የትኛው ኢትዮጵያዊ ነው ያሸነፈው?")</f>
        <v>የ2017 የበርሊን ማራቶን የትኛው ኢትዮጵያዊ ነው ያሸነፈው?</v>
      </c>
      <c r="I125" s="5" t="str">
        <f>IFERROR(__xludf.DUMMYFUNCTION(" GOOGLETRANSLATE(C125, ""en"", ""am"")"),"ሀ/ ቀነኒሳ በቀለ ብ.")</f>
        <v>ሀ/ ቀነኒሳ በቀለ ብ.</v>
      </c>
      <c r="J125" s="5" t="str">
        <f>IFERROR(__xludf.DUMMYFUNCTION(" GOOGLETRANSLATE(D125, ""en"", ""am"")"),"ቀነኒሳ በቀለ")</f>
        <v>ቀነኒሳ በቀለ</v>
      </c>
      <c r="K125" s="5" t="str">
        <f>IFERROR(__xludf.DUMMYFUNCTION(" GOOGLETRANSLATE(E125, ""en"", ""am"")"),"ቀነኒሳ በቀለ በ2017 የበርሊን ማራቶን አሸንፏል።")</f>
        <v>ቀነኒሳ በቀለ በ2017 የበርሊን ማራቶን አሸንፏል።</v>
      </c>
    </row>
    <row r="126" ht="22.5" customHeight="1">
      <c r="A126" s="3">
        <v>125.0</v>
      </c>
      <c r="B126" s="5" t="s">
        <v>1340</v>
      </c>
      <c r="C126" s="4" t="s">
        <v>1341</v>
      </c>
      <c r="D126" s="5" t="s">
        <v>1083</v>
      </c>
      <c r="E126" s="5" t="s">
        <v>1342</v>
      </c>
      <c r="G126" s="5" t="str">
        <f>IFERROR(__xludf.DUMMYFUNCTION(" GOOGLETRANSLATE(A126, ""en"", ""am"")"),"125")</f>
        <v>125</v>
      </c>
      <c r="H126" s="5" t="str">
        <f>IFERROR(__xludf.DUMMYFUNCTION(" GOOGLETRANSLATE(B126, ""en"", ""am"")"),"በ2004 የ5,000 ሜትር የአለም ክብረወሰን የሰበረ ኢትዮጵያዊው ሯጭ ማን ነው?")</f>
        <v>በ2004 የ5,000 ሜትር የአለም ክብረወሰን የሰበረ ኢትዮጵያዊው ሯጭ ማን ነው?</v>
      </c>
      <c r="I126" s="5" t="str">
        <f>IFERROR(__xludf.DUMMYFUNCTION(" GOOGLETRANSLATE(C126, ""en"", ""am"")"),"ሀ/ ኃይለ ገብረስላሴ ብ ቀነኒሳ በቀለ ሲ.ስለሺ ስህኔ ዲ.ማሞ ወልዴ")</f>
        <v>ሀ/ ኃይለ ገብረስላሴ ብ ቀነኒሳ በቀለ ሲ.ስለሺ ስህኔ ዲ.ማሞ ወልዴ</v>
      </c>
      <c r="J126" s="5" t="str">
        <f>IFERROR(__xludf.DUMMYFUNCTION(" GOOGLETRANSLATE(D126, ""en"", ""am"")"),"ቀነኒሳ በቀለ")</f>
        <v>ቀነኒሳ በቀለ</v>
      </c>
      <c r="K126" s="5" t="str">
        <f>IFERROR(__xludf.DUMMYFUNCTION(" GOOGLETRANSLATE(E126, ""en"", ""am"")"),"ቀነኒሳ በቀለ በ2004 የ5,000 ሜትር የአለም ክብረ ወሰን ሰበረ።")</f>
        <v>ቀነኒሳ በቀለ በ2004 የ5,000 ሜትር የአለም ክብረ ወሰን ሰበረ።</v>
      </c>
    </row>
    <row r="127" ht="22.5" customHeight="1">
      <c r="A127" s="3">
        <v>126.0</v>
      </c>
      <c r="B127" s="5" t="s">
        <v>1343</v>
      </c>
      <c r="C127" s="4" t="s">
        <v>1344</v>
      </c>
      <c r="D127" s="5" t="s">
        <v>1345</v>
      </c>
      <c r="E127" s="5" t="s">
        <v>1346</v>
      </c>
      <c r="G127" s="5" t="str">
        <f>IFERROR(__xludf.DUMMYFUNCTION(" GOOGLETRANSLATE(A127, ""en"", ""am"")"),"126")</f>
        <v>126</v>
      </c>
      <c r="H127" s="5" t="str">
        <f>IFERROR(__xludf.DUMMYFUNCTION(" GOOGLETRANSLATE(B127, ""en"", ""am"")"),"ኢትዮጵያ በረጅም ርቀት ሩጫ የበላይ ሆና እንድትገኝ ዋናው ምክንያት ምንድን ነው?")</f>
        <v>ኢትዮጵያ በረጅም ርቀት ሩጫ የበላይ ሆና እንድትገኝ ዋናው ምክንያት ምንድን ነው?</v>
      </c>
      <c r="I127" s="5" t="str">
        <f>IFERROR(__xludf.DUMMYFUNCTION(" GOOGLETRANSLATE(C127, ""en"", ""am"")"),"ሀ. ከፍታ እና ጄኔቲክስ ለ. የሥልጠና ዘዴዎች ሐ. አመጋገብ ዲ. የአየር ንብረት")</f>
        <v>ሀ. ከፍታ እና ጄኔቲክስ ለ. የሥልጠና ዘዴዎች ሐ. አመጋገብ ዲ. የአየር ንብረት</v>
      </c>
      <c r="J127" s="5" t="str">
        <f>IFERROR(__xludf.DUMMYFUNCTION(" GOOGLETRANSLATE(D127, ""en"", ""am"")"),"ከፍታ እና ጄኔቲክስ")</f>
        <v>ከፍታ እና ጄኔቲክስ</v>
      </c>
      <c r="K127" s="5" t="str">
        <f>IFERROR(__xludf.DUMMYFUNCTION(" GOOGLETRANSLATE(E127, ""en"", ""am"")"),"ከፍታና ጀነቲክስ ኢትዮጵያ በረጅም ርቀት ሩጫ ላይ የበላይ እንድትሆን አስተዋፅዖ ያደርጋሉ።")</f>
        <v>ከፍታና ጀነቲክስ ኢትዮጵያ በረጅም ርቀት ሩጫ ላይ የበላይ እንድትሆን አስተዋፅዖ ያደርጋሉ።</v>
      </c>
    </row>
    <row r="128" ht="22.5" customHeight="1">
      <c r="A128" s="3">
        <v>127.0</v>
      </c>
      <c r="B128" s="5" t="s">
        <v>1347</v>
      </c>
      <c r="C128" s="4" t="s">
        <v>1348</v>
      </c>
      <c r="D128" s="5" t="s">
        <v>1170</v>
      </c>
      <c r="E128" s="5" t="s">
        <v>1349</v>
      </c>
      <c r="G128" s="5" t="str">
        <f>IFERROR(__xludf.DUMMYFUNCTION(" GOOGLETRANSLATE(A128, ""en"", ""am"")"),"127")</f>
        <v>127</v>
      </c>
      <c r="H128" s="5" t="str">
        <f>IFERROR(__xludf.DUMMYFUNCTION(" GOOGLETRANSLATE(B128, ""en"", ""am"")"),"የትኛው አትሌት ነው በማራቶን ከ2 ሰአት ከ5 ደቂቃ ባነሰ ጊዜ በማሸነፍ የመጀመሪያው ኢትዮጵያዊ የሆነው?")</f>
        <v>የትኛው አትሌት ነው በማራቶን ከ2 ሰአት ከ5 ደቂቃ ባነሰ ጊዜ በማሸነፍ የመጀመሪያው ኢትዮጵያዊ የሆነው?</v>
      </c>
      <c r="I128" s="5" t="str">
        <f>IFERROR(__xludf.DUMMYFUNCTION(" GOOGLETRANSLATE(C128, ""en"", ""am"")"),"ሀ.")</f>
        <v>ሀ.</v>
      </c>
      <c r="J128" s="5" t="str">
        <f>IFERROR(__xludf.DUMMYFUNCTION(" GOOGLETRANSLATE(D128, ""en"", ""am"")"),"ሃይለ ገብረስላሴ")</f>
        <v>ሃይለ ገብረስላሴ</v>
      </c>
      <c r="K128" s="5" t="str">
        <f>IFERROR(__xludf.DUMMYFUNCTION(" GOOGLETRANSLATE(E128, ""en"", ""am"")"),"ሀይሌ ገብረስላሴ በማራቶን 2፡05 በሆነ ሰአት የሮጠ የመጀመሪያው ኢትዮጵያዊ ነው።")</f>
        <v>ሀይሌ ገብረስላሴ በማራቶን 2፡05 በሆነ ሰአት የሮጠ የመጀመሪያው ኢትዮጵያዊ ነው።</v>
      </c>
    </row>
    <row r="129" ht="22.5" customHeight="1">
      <c r="A129" s="3">
        <v>128.0</v>
      </c>
      <c r="B129" s="5" t="s">
        <v>1350</v>
      </c>
      <c r="C129" s="4" t="s">
        <v>1351</v>
      </c>
      <c r="D129" s="5" t="s">
        <v>1352</v>
      </c>
      <c r="E129" s="5" t="s">
        <v>1353</v>
      </c>
      <c r="G129" s="5" t="str">
        <f>IFERROR(__xludf.DUMMYFUNCTION(" GOOGLETRANSLATE(A129, ""en"", ""am"")"),"128")</f>
        <v>128</v>
      </c>
      <c r="H129" s="5" t="str">
        <f>IFERROR(__xludf.DUMMYFUNCTION(" GOOGLETRANSLATE(B129, ""en"", ""am"")"),"የማራቶን ሻምፒዮን ሀይሌ ገብረስላሴ የትውልድ ቦታ ተብሎ የሚታወቀው የትኛው የኢትዮጵያ ከተማ ነው?")</f>
        <v>የማራቶን ሻምፒዮን ሀይሌ ገብረስላሴ የትውልድ ቦታ ተብሎ የሚታወቀው የትኛው የኢትዮጵያ ከተማ ነው?</v>
      </c>
      <c r="I129" s="5" t="str">
        <f>IFERROR(__xludf.DUMMYFUNCTION(" GOOGLETRANSLATE(C129, ""en"", ""am"")"),"አ.በቆጂ ብ መቀሌ ሐ.አዲስ አበባ ደ.አስመራ")</f>
        <v>አ.በቆጂ ብ መቀሌ ሐ.አዲስ አበባ ደ.አስመራ</v>
      </c>
      <c r="J129" s="5" t="str">
        <f>IFERROR(__xludf.DUMMYFUNCTION(" GOOGLETRANSLATE(D129, ""en"", ""am"")"),"አሰላ")</f>
        <v>አሰላ</v>
      </c>
      <c r="K129" s="5" t="str">
        <f>IFERROR(__xludf.DUMMYFUNCTION(" GOOGLETRANSLATE(E129, ""en"", ""am"")"),"ሃይለ ገብረስላሴ በአሰላ ኢትዮጵያ ተወለደ።")</f>
        <v>ሃይለ ገብረስላሴ በአሰላ ኢትዮጵያ ተወለደ።</v>
      </c>
    </row>
    <row r="130" ht="22.5" customHeight="1">
      <c r="A130" s="3">
        <v>129.0</v>
      </c>
      <c r="B130" s="5" t="s">
        <v>1354</v>
      </c>
      <c r="C130" s="4" t="s">
        <v>1355</v>
      </c>
      <c r="D130" s="5" t="s">
        <v>1356</v>
      </c>
      <c r="E130" s="5" t="s">
        <v>1357</v>
      </c>
      <c r="G130" s="5" t="str">
        <f>IFERROR(__xludf.DUMMYFUNCTION(" GOOGLETRANSLATE(A130, ""en"", ""am"")"),"129")</f>
        <v>129</v>
      </c>
      <c r="H130" s="5" t="str">
        <f>IFERROR(__xludf.DUMMYFUNCTION(" GOOGLETRANSLATE(B130, ""en"", ""am"")"),"በ2012 የለንደን ኦሎምፒክ በወንዶች ማራቶን ማን አሸነፈ?")</f>
        <v>በ2012 የለንደን ኦሎምፒክ በወንዶች ማራቶን ማን አሸነፈ?</v>
      </c>
      <c r="I130" s="5" t="str">
        <f>IFERROR(__xludf.DUMMYFUNCTION(" GOOGLETRANSLATE(C130, ""en"", ""am"")"),"ሀ. ዊልሰን ኪፕቾጌ ብ. ማሬ ዲባባ ሲ. እስጢፋኖስ ኪፕሮቲች ዲ. ሲሳይ ለማ")</f>
        <v>ሀ. ዊልሰን ኪፕቾጌ ብ. ማሬ ዲባባ ሲ. እስጢፋኖስ ኪፕሮቲች ዲ. ሲሳይ ለማ</v>
      </c>
      <c r="J130" s="5" t="str">
        <f>IFERROR(__xludf.DUMMYFUNCTION(" GOOGLETRANSLATE(D130, ""en"", ""am"")"),"እስጢፋኖስ ኪፕሮቲች")</f>
        <v>እስጢፋኖስ ኪፕሮቲች</v>
      </c>
      <c r="K130" s="5" t="str">
        <f>IFERROR(__xludf.DUMMYFUNCTION(" GOOGLETRANSLATE(E130, ""en"", ""am"")"),"በ2012 የለንደን ኦሎምፒክ በወንዶች ማራቶን የወርቅ ሜዳሊያ ስቴፈን ኪፕሮቲች አሸንፏል።")</f>
        <v>በ2012 የለንደን ኦሎምፒክ በወንዶች ማራቶን የወርቅ ሜዳሊያ ስቴፈን ኪፕሮቲች አሸንፏል።</v>
      </c>
    </row>
    <row r="131" ht="22.5" customHeight="1">
      <c r="A131" s="3">
        <v>130.0</v>
      </c>
      <c r="B131" s="5" t="s">
        <v>1358</v>
      </c>
      <c r="C131" s="4" t="s">
        <v>1359</v>
      </c>
      <c r="D131" s="5" t="s">
        <v>1286</v>
      </c>
      <c r="E131" s="5" t="s">
        <v>1360</v>
      </c>
      <c r="G131" s="5" t="str">
        <f>IFERROR(__xludf.DUMMYFUNCTION(" GOOGLETRANSLATE(A131, ""en"", ""am"")"),"130")</f>
        <v>130</v>
      </c>
      <c r="H131" s="5" t="str">
        <f>IFERROR(__xludf.DUMMYFUNCTION(" GOOGLETRANSLATE(B131, ""en"", ""am"")"),"በኢትዮጵያ ታዋቂው ማራቶን በምን ይታወቃል?")</f>
        <v>በኢትዮጵያ ታዋቂው ማራቶን በምን ይታወቃል?</v>
      </c>
      <c r="I131" s="5" t="str">
        <f>IFERROR(__xludf.DUMMYFUNCTION(" GOOGLETRANSLATE(C131, ""en"", ""am"")"),"ሀ. የታላቁ ሩጫ በኢትዮጵያ በበቆጂ ማራቶን ሐ. አዲስ አበባ ማራቶን ዲ. የጎንደር ግማሽ ማራቶን ውድድር")</f>
        <v>ሀ. የታላቁ ሩጫ በኢትዮጵያ በበቆጂ ማራቶን ሐ. አዲስ አበባ ማራቶን ዲ. የጎንደር ግማሽ ማራቶን ውድድር</v>
      </c>
      <c r="J131" s="5" t="str">
        <f>IFERROR(__xludf.DUMMYFUNCTION(" GOOGLETRANSLATE(D131, ""en"", ""am"")"),"ታላቁ ሩጫ በኢትዮጵያ")</f>
        <v>ታላቁ ሩጫ በኢትዮጵያ</v>
      </c>
      <c r="K131" s="5" t="str">
        <f>IFERROR(__xludf.DUMMYFUNCTION(" GOOGLETRANSLATE(E131, ""en"", ""am"")"),"ታላቁ ሩጫ በኢትዮጵያ ታዋቂው የማራቶን ውድድር ነው።")</f>
        <v>ታላቁ ሩጫ በኢትዮጵያ ታዋቂው የማራቶን ውድድር ነው።</v>
      </c>
    </row>
    <row r="132" ht="22.5" customHeight="1">
      <c r="A132" s="3">
        <v>131.0</v>
      </c>
      <c r="B132" s="5" t="s">
        <v>1361</v>
      </c>
      <c r="C132" s="4" t="s">
        <v>1362</v>
      </c>
      <c r="D132" s="5" t="s">
        <v>1191</v>
      </c>
      <c r="E132" s="5" t="s">
        <v>1363</v>
      </c>
      <c r="G132" s="5" t="str">
        <f>IFERROR(__xludf.DUMMYFUNCTION(" GOOGLETRANSLATE(A132, ""en"", ""am"")"),"131")</f>
        <v>131</v>
      </c>
      <c r="H132" s="5" t="str">
        <f>IFERROR(__xludf.DUMMYFUNCTION(" GOOGLETRANSLATE(B132, ""en"", ""am"")"),"በ2004 የኦሎምፒክ ማራቶን የወርቅ ሜዳሊያ ያገኘው የትኛው ኢትዮጵያዊ አትሌት ነው?")</f>
        <v>በ2004 የኦሎምፒክ ማራቶን የወርቅ ሜዳሊያ ያገኘው የትኛው ኢትዮጵያዊ አትሌት ነው?</v>
      </c>
      <c r="I132" s="5" t="str">
        <f>IFERROR(__xludf.DUMMYFUNCTION(" GOOGLETRANSLATE(C132, ""en"", ""am"")"),"A. Meselech Melkamu B. ጥሩነሽ ዲባባ ሲ. ማሬ ዲባባ ዲ. ፋጡማ ሮባ")</f>
        <v>A. Meselech Melkamu B. ጥሩነሽ ዲባባ ሲ. ማሬ ዲባባ ዲ. ፋጡማ ሮባ</v>
      </c>
      <c r="J132" s="5" t="str">
        <f>IFERROR(__xludf.DUMMYFUNCTION(" GOOGLETRANSLATE(D132, ""en"", ""am"")"),"ፋጡማ ሮባ")</f>
        <v>ፋጡማ ሮባ</v>
      </c>
      <c r="K132" s="5" t="str">
        <f>IFERROR(__xludf.DUMMYFUNCTION(" GOOGLETRANSLATE(E132, ""en"", ""am"")"),"ፋጡማ ሮባ በ2004 የኦሎምፒክ ማራቶን የወርቅ ሜዳሊያ አሸንፋለች።")</f>
        <v>ፋጡማ ሮባ በ2004 የኦሎምፒክ ማራቶን የወርቅ ሜዳሊያ አሸንፋለች።</v>
      </c>
    </row>
    <row r="133" ht="22.5" customHeight="1">
      <c r="A133" s="3">
        <v>132.0</v>
      </c>
      <c r="B133" s="5" t="s">
        <v>1364</v>
      </c>
      <c r="C133" s="4" t="s">
        <v>1365</v>
      </c>
      <c r="D133" s="5" t="s">
        <v>1083</v>
      </c>
      <c r="E133" s="5" t="s">
        <v>1366</v>
      </c>
      <c r="G133" s="5" t="str">
        <f>IFERROR(__xludf.DUMMYFUNCTION(" GOOGLETRANSLATE(A133, ""en"", ""am"")"),"132")</f>
        <v>132</v>
      </c>
      <c r="H133" s="5" t="str">
        <f>IFERROR(__xludf.DUMMYFUNCTION(" GOOGLETRANSLATE(B133, ""en"", ""am"")"),"በሁለቱም የ5,000ሜ እና 10,000ሜ ሩጫዎች የአለም ክብረወሰን በመስበብ የሚታወቀው ኢትዮጵያዊ አትሌት የትኛው ነው?")</f>
        <v>በሁለቱም የ5,000ሜ እና 10,000ሜ ሩጫዎች የአለም ክብረወሰን በመስበብ የሚታወቀው ኢትዮጵያዊ አትሌት የትኛው ነው?</v>
      </c>
      <c r="I133" s="5" t="str">
        <f>IFERROR(__xludf.DUMMYFUNCTION(" GOOGLETRANSLATE(C133, ""en"", ""am"")"),"ሀ/ ኃይለ ገብረስላሴ ብ ቀነኒሳ በቀለ ሲ. ዊልሰን ኪፕቾጌ ዲ. ዴኒስ ኪፕሩቶ")</f>
        <v>ሀ/ ኃይለ ገብረስላሴ ብ ቀነኒሳ በቀለ ሲ. ዊልሰን ኪፕቾጌ ዲ. ዴኒስ ኪፕሩቶ</v>
      </c>
      <c r="J133" s="5" t="str">
        <f>IFERROR(__xludf.DUMMYFUNCTION(" GOOGLETRANSLATE(D133, ""en"", ""am"")"),"ቀነኒሳ በቀለ")</f>
        <v>ቀነኒሳ በቀለ</v>
      </c>
      <c r="K133" s="5" t="str">
        <f>IFERROR(__xludf.DUMMYFUNCTION(" GOOGLETRANSLATE(E133, ""en"", ""am"")"),"ቀነኒሳ በቀለ የ5,000 እና 10,000 ሜትር የአለም ሪከርዶችን በመስበር ይታወቃል።")</f>
        <v>ቀነኒሳ በቀለ የ5,000 እና 10,000 ሜትር የአለም ሪከርዶችን በመስበር ይታወቃል።</v>
      </c>
    </row>
    <row r="134" ht="22.5" customHeight="1">
      <c r="A134" s="3">
        <v>133.0</v>
      </c>
      <c r="B134" s="5" t="s">
        <v>1367</v>
      </c>
      <c r="C134" s="4" t="s">
        <v>1368</v>
      </c>
      <c r="D134" s="5" t="s">
        <v>1369</v>
      </c>
      <c r="E134" s="5" t="s">
        <v>1370</v>
      </c>
      <c r="G134" s="5" t="str">
        <f>IFERROR(__xludf.DUMMYFUNCTION(" GOOGLETRANSLATE(A134, ""en"", ""am"")"),"133")</f>
        <v>133</v>
      </c>
      <c r="H134" s="5" t="str">
        <f>IFERROR(__xludf.DUMMYFUNCTION(" GOOGLETRANSLATE(B134, ""en"", ""am"")"),"የ2018 የኒውዮርክ ከተማ ማራቶን የትኛው ኢትዮጵያዊ ነው ያሸነፈው?")</f>
        <v>የ2018 የኒውዮርክ ከተማ ማራቶን የትኛው ኢትዮጵያዊ ነው ያሸነፈው?</v>
      </c>
      <c r="I134" s="5" t="str">
        <f>IFERROR(__xludf.DUMMYFUNCTION(" GOOGLETRANSLATE(C134, ""en"", ""am"")"),"አ.ማሬ ዲባባ ቢ.ጥሩነሽ ዲባባ ሲ.ሻላኔ ፍላናጋን ዲ.ሲፋን ሀሰን")</f>
        <v>አ.ማሬ ዲባባ ቢ.ጥሩነሽ ዲባባ ሲ.ሻላኔ ፍላናጋን ዲ.ሲፋን ሀሰን</v>
      </c>
      <c r="J134" s="5" t="str">
        <f>IFERROR(__xludf.DUMMYFUNCTION(" GOOGLETRANSLATE(D134, ""en"", ""am"")"),"ሻላን ፍላናጋን")</f>
        <v>ሻላን ፍላናጋን</v>
      </c>
      <c r="K134" s="5" t="str">
        <f>IFERROR(__xludf.DUMMYFUNCTION(" GOOGLETRANSLATE(E134, ""en"", ""am"")"),"ሻላን ፍላናጋን የ2018 የኒውዮርክ ከተማ ማራቶን አሸንፏል።")</f>
        <v>ሻላን ፍላናጋን የ2018 የኒውዮርክ ከተማ ማራቶን አሸንፏል።</v>
      </c>
    </row>
    <row r="135" ht="22.5" customHeight="1">
      <c r="A135" s="3">
        <v>134.0</v>
      </c>
      <c r="B135" s="5" t="s">
        <v>1371</v>
      </c>
      <c r="C135" s="4" t="s">
        <v>1263</v>
      </c>
      <c r="D135" s="5" t="s">
        <v>1264</v>
      </c>
      <c r="E135" s="5" t="s">
        <v>1372</v>
      </c>
      <c r="G135" s="5" t="str">
        <f>IFERROR(__xludf.DUMMYFUNCTION(" GOOGLETRANSLATE(A135, ""en"", ""am"")"),"134")</f>
        <v>134</v>
      </c>
      <c r="H135" s="5" t="str">
        <f>IFERROR(__xludf.DUMMYFUNCTION(" GOOGLETRANSLATE(B135, ""en"", ""am"")"),"ኃይሌ ገብረስላሴ በ2006 የትኛውን ማራቶን አሸንፎ የአለም ሪከርድን አስመዘገበ?")</f>
        <v>ኃይሌ ገብረስላሴ በ2006 የትኛውን ማራቶን አሸንፎ የአለም ሪከርድን አስመዘገበ?</v>
      </c>
      <c r="I135" s="5" t="str">
        <f>IFERROR(__xludf.DUMMYFUNCTION(" GOOGLETRANSLATE(C135, ""en"", ""am"")"),"ኣብ በርሊን ማራቶን ብ ለንደን ማራቶን ሲ ቦስተን ማራቶን ዲ.ቺካጎ ማራቶን")</f>
        <v>ኣብ በርሊን ማራቶን ብ ለንደን ማራቶን ሲ ቦስተን ማራቶን ዲ.ቺካጎ ማራቶን</v>
      </c>
      <c r="J135" s="5" t="str">
        <f>IFERROR(__xludf.DUMMYFUNCTION(" GOOGLETRANSLATE(D135, ""en"", ""am"")"),"የበርሊን ማራቶን")</f>
        <v>የበርሊን ማራቶን</v>
      </c>
      <c r="K135" s="5" t="str">
        <f>IFERROR(__xludf.DUMMYFUNCTION(" GOOGLETRANSLATE(E135, ""en"", ""am"")"),"ሀይሌ ገብረስላሴ በ2006 የበርሊን ማራቶን የአለም ክብረ ወሰን አስመዘገበ።")</f>
        <v>ሀይሌ ገብረስላሴ በ2006 የበርሊን ማራቶን የአለም ክብረ ወሰን አስመዘገበ።</v>
      </c>
    </row>
    <row r="136" ht="22.5" customHeight="1">
      <c r="A136" s="3">
        <v>135.0</v>
      </c>
      <c r="B136" s="5" t="s">
        <v>1373</v>
      </c>
      <c r="C136" s="4" t="s">
        <v>1348</v>
      </c>
      <c r="D136" s="5" t="s">
        <v>1272</v>
      </c>
      <c r="E136" s="5" t="s">
        <v>1374</v>
      </c>
      <c r="G136" s="5" t="str">
        <f>IFERROR(__xludf.DUMMYFUNCTION(" GOOGLETRANSLATE(A136, ""en"", ""am"")"),"135")</f>
        <v>135</v>
      </c>
      <c r="H136" s="5" t="str">
        <f>IFERROR(__xludf.DUMMYFUNCTION(" GOOGLETRANSLATE(B136, ""en"", ""am"")"),"በ2019 የ2 ሰአት የማራቶን ውድድር የአለም ክብረ ወሰን ያስመዘገበው ኢትዮጵያዊ አትሌት የትኛው ነው?")</f>
        <v>በ2019 የ2 ሰአት የማራቶን ውድድር የአለም ክብረ ወሰን ያስመዘገበው ኢትዮጵያዊ አትሌት የትኛው ነው?</v>
      </c>
      <c r="I136" s="5" t="str">
        <f>IFERROR(__xludf.DUMMYFUNCTION(" GOOGLETRANSLATE(C136, ""en"", ""am"")"),"ሀ.")</f>
        <v>ሀ.</v>
      </c>
      <c r="J136" s="5" t="str">
        <f>IFERROR(__xludf.DUMMYFUNCTION(" GOOGLETRANSLATE(D136, ""en"", ""am"")"),"ዊልሰን ኪፕቾጌ")</f>
        <v>ዊልሰን ኪፕቾጌ</v>
      </c>
      <c r="K136" s="5" t="str">
        <f>IFERROR(__xludf.DUMMYFUNCTION(" GOOGLETRANSLATE(E136, ""en"", ""am"")"),"ዊልሰን ኪፕቾጌ በ2019 የ2 ሰአት የማራቶን አጥር አዘጋጅቷል።")</f>
        <v>ዊልሰን ኪፕቾጌ በ2019 የ2 ሰአት የማራቶን አጥር አዘጋጅቷል።</v>
      </c>
    </row>
    <row r="137" ht="22.5" customHeight="1">
      <c r="A137" s="3">
        <v>136.0</v>
      </c>
      <c r="B137" s="5" t="s">
        <v>1375</v>
      </c>
      <c r="C137" s="4" t="s">
        <v>1376</v>
      </c>
      <c r="D137" s="13">
        <v>2008.0</v>
      </c>
      <c r="E137" s="5" t="s">
        <v>1377</v>
      </c>
      <c r="G137" s="5" t="str">
        <f>IFERROR(__xludf.DUMMYFUNCTION(" GOOGLETRANSLATE(A137, ""en"", ""am"")"),"136")</f>
        <v>136</v>
      </c>
      <c r="H137" s="5" t="str">
        <f>IFERROR(__xludf.DUMMYFUNCTION(" GOOGLETRANSLATE(B137, ""en"", ""am"")"),"ሀይሌ ገብረስላሴ የበርሊን የማራቶን የአለም ክብረ ወሰን በስንት አመት አስመዘገበ?")</f>
        <v>ሀይሌ ገብረስላሴ የበርሊን የማራቶን የአለም ክብረ ወሰን በስንት አመት አስመዘገበ?</v>
      </c>
      <c r="I137" s="5" t="str">
        <f>IFERROR(__xludf.DUMMYFUNCTION(" GOOGLETRANSLATE(C137, ""en"", ""am"")"),"እ.ኤ.አ. 2007 ዓ.ም. 2009 ዓ.ም. 2010 ዲ. 2008 ዓ.ም.")</f>
        <v>እ.ኤ.አ. 2007 ዓ.ም. 2009 ዓ.ም. 2010 ዲ. 2008 ዓ.ም.</v>
      </c>
      <c r="J137" s="5" t="str">
        <f>IFERROR(__xludf.DUMMYFUNCTION(" GOOGLETRANSLATE(D137, ""en"", ""am"")"),"2008 ዓ.ም")</f>
        <v>2008 ዓ.ም</v>
      </c>
      <c r="K137" s="5" t="str">
        <f>IFERROR(__xludf.DUMMYFUNCTION(" GOOGLETRANSLATE(E137, ""en"", ""am"")"),"ሀይሌ ገብረስላሴ በ2008 በበርሊን የማራቶን የአለም ክብረወሰን አስመዘገበ።")</f>
        <v>ሀይሌ ገብረስላሴ በ2008 በበርሊን የማራቶን የአለም ክብረወሰን አስመዘገበ።</v>
      </c>
    </row>
    <row r="138" ht="22.5" customHeight="1">
      <c r="A138" s="3">
        <v>137.0</v>
      </c>
      <c r="B138" s="5" t="s">
        <v>1378</v>
      </c>
      <c r="C138" s="4" t="s">
        <v>1379</v>
      </c>
      <c r="D138" s="5" t="s">
        <v>1096</v>
      </c>
      <c r="E138" s="5" t="s">
        <v>1380</v>
      </c>
      <c r="G138" s="5" t="str">
        <f>IFERROR(__xludf.DUMMYFUNCTION(" GOOGLETRANSLATE(A138, ""en"", ""am"")"),"137")</f>
        <v>137</v>
      </c>
      <c r="H138" s="5" t="str">
        <f>IFERROR(__xludf.DUMMYFUNCTION(" GOOGLETRANSLATE(B138, ""en"", ""am"")"),"በአለም አትሌቲክስ ሻምፒዮና የመጀመሪያዋ ኢትዮጵያዊት ሴት የወርቅ ሜዳሊያ ያስገኘች ማን ናት?")</f>
        <v>በአለም አትሌቲክስ ሻምፒዮና የመጀመሪያዋ ኢትዮጵያዊት ሴት የወርቅ ሜዳሊያ ያስገኘች ማን ናት?</v>
      </c>
      <c r="I138" s="5" t="str">
        <f>IFERROR(__xludf.DUMMYFUNCTION(" GOOGLETRANSLATE(C138, ""en"", ""am"")"),"አ.ማሬ ዲባባ ብ.ጥሩነሽ ዲባባ ሲ.ሲፋን ሀሰን ዲ.መሰለች መልካሙ")</f>
        <v>አ.ማሬ ዲባባ ብ.ጥሩነሽ ዲባባ ሲ.ሲፋን ሀሰን ዲ.መሰለች መልካሙ</v>
      </c>
      <c r="J138" s="5" t="str">
        <f>IFERROR(__xludf.DUMMYFUNCTION(" GOOGLETRANSLATE(D138, ""en"", ""am"")"),"ጥሩነሽ ዲባባ")</f>
        <v>ጥሩነሽ ዲባባ</v>
      </c>
      <c r="K138" s="5" t="str">
        <f>IFERROR(__xludf.DUMMYFUNCTION(" GOOGLETRANSLATE(E138, ""en"", ""am"")"),"ጥሩነሽ ዲባባ በአለም አትሌቲክስ ሻምፒዮና የወርቅ ሜዳሊያ አግኝታለች።")</f>
        <v>ጥሩነሽ ዲባባ በአለም አትሌቲክስ ሻምፒዮና የወርቅ ሜዳሊያ አግኝታለች።</v>
      </c>
    </row>
    <row r="139" ht="22.5" customHeight="1">
      <c r="A139" s="3">
        <v>138.0</v>
      </c>
      <c r="B139" s="5" t="s">
        <v>1381</v>
      </c>
      <c r="C139" s="4" t="s">
        <v>1382</v>
      </c>
      <c r="D139" s="5" t="s">
        <v>1282</v>
      </c>
      <c r="E139" s="5" t="s">
        <v>1383</v>
      </c>
      <c r="G139" s="5" t="str">
        <f>IFERROR(__xludf.DUMMYFUNCTION(" GOOGLETRANSLATE(A139, ""en"", ""am"")"),"138")</f>
        <v>138</v>
      </c>
      <c r="H139" s="5" t="str">
        <f>IFERROR(__xludf.DUMMYFUNCTION(" GOOGLETRANSLATE(B139, ""en"", ""am"")"),"የ2020 የቶኪዮ ማራቶን የወንዶች ውድድር ማን አሸነፈ?")</f>
        <v>የ2020 የቶኪዮ ማራቶን የወንዶች ውድድር ማን አሸነፈ?</v>
      </c>
      <c r="I139" s="5" t="str">
        <f>IFERROR(__xludf.DUMMYFUNCTION(" GOOGLETRANSLATE(C139, ""en"", ""am"")"),"ኤሊዩድ ኪፕቾጌ ቢ.ፀጋዬ ከበደ ሲ.ማሬ ዲባባ ዲ.ቀነኒሳ በቀለ")</f>
        <v>ኤሊዩድ ኪፕቾጌ ቢ.ፀጋዬ ከበደ ሲ.ማሬ ዲባባ ዲ.ቀነኒሳ በቀለ</v>
      </c>
      <c r="J139" s="5" t="str">
        <f>IFERROR(__xludf.DUMMYFUNCTION(" GOOGLETRANSLATE(D139, ""en"", ""am"")"),"ኤሊዩድ ኪፕቾጌ")</f>
        <v>ኤሊዩድ ኪፕቾጌ</v>
      </c>
      <c r="K139" s="5" t="str">
        <f>IFERROR(__xludf.DUMMYFUNCTION(" GOOGLETRANSLATE(E139, ""en"", ""am"")"),"በ2020 የቶኪዮ ማራቶን በወንዶች ኤሊዩድ ኪፕቾጌ አሸንፏል።")</f>
        <v>በ2020 የቶኪዮ ማራቶን በወንዶች ኤሊዩድ ኪፕቾጌ አሸንፏል።</v>
      </c>
    </row>
    <row r="140" ht="22.5" customHeight="1">
      <c r="A140" s="3">
        <v>139.0</v>
      </c>
      <c r="B140" s="5" t="s">
        <v>1384</v>
      </c>
      <c r="C140" s="4" t="s">
        <v>1385</v>
      </c>
      <c r="D140" s="5" t="s">
        <v>1170</v>
      </c>
      <c r="E140" s="5" t="s">
        <v>1386</v>
      </c>
      <c r="G140" s="5" t="str">
        <f>IFERROR(__xludf.DUMMYFUNCTION(" GOOGLETRANSLATE(A140, ""en"", ""am"")"),"139")</f>
        <v>139</v>
      </c>
      <c r="H140" s="5" t="str">
        <f>IFERROR(__xludf.DUMMYFUNCTION(" GOOGLETRANSLATE(B140, ""en"", ""am"")"),"በ5,000ሜ እና በ10,000ሜ ውድድር የበላይነቱን በመያዙ የሚታወቀው ኢትዮጵያዊ ሯጭ የትኛው ነው?")</f>
        <v>በ5,000ሜ እና በ10,000ሜ ውድድር የበላይነቱን በመያዙ የሚታወቀው ኢትዮጵያዊ ሯጭ የትኛው ነው?</v>
      </c>
      <c r="I140" s="5" t="str">
        <f>IFERROR(__xludf.DUMMYFUNCTION(" GOOGLETRANSLATE(C140, ""en"", ""am"")"),"ቀነኒሳ በቀለ ብ ሃይለ ገብረስላሴ ሲ ዴኒስ ኪፕሩቶ ዲ. ዊልሰን ኪፕቾጌ")</f>
        <v>ቀነኒሳ በቀለ ብ ሃይለ ገብረስላሴ ሲ ዴኒስ ኪፕሩቶ ዲ. ዊልሰን ኪፕቾጌ</v>
      </c>
      <c r="J140" s="5" t="str">
        <f>IFERROR(__xludf.DUMMYFUNCTION(" GOOGLETRANSLATE(D140, ""en"", ""am"")"),"ሃይለ ገብረስላሴ")</f>
        <v>ሃይለ ገብረስላሴ</v>
      </c>
      <c r="K140" s="5" t="str">
        <f>IFERROR(__xludf.DUMMYFUNCTION(" GOOGLETRANSLATE(E140, ""en"", ""am"")"),"ኃይሌ ገብረስላሴ በ5,000 እና 10,000ሜ.")</f>
        <v>ኃይሌ ገብረስላሴ በ5,000 እና 10,000ሜ.</v>
      </c>
    </row>
    <row r="141" ht="22.5" customHeight="1">
      <c r="A141" s="3">
        <v>140.0</v>
      </c>
      <c r="B141" s="5" t="s">
        <v>1387</v>
      </c>
      <c r="C141" s="4" t="s">
        <v>1388</v>
      </c>
      <c r="D141" s="5" t="s">
        <v>1096</v>
      </c>
      <c r="E141" s="5" t="s">
        <v>1389</v>
      </c>
      <c r="G141" s="5" t="str">
        <f>IFERROR(__xludf.DUMMYFUNCTION(" GOOGLETRANSLATE(A141, ""en"", ""am"")"),"140")</f>
        <v>140</v>
      </c>
      <c r="H141" s="5" t="str">
        <f>IFERROR(__xludf.DUMMYFUNCTION(" GOOGLETRANSLATE(B141, ""en"", ""am"")"),"የ2015 የቺካጎ ማራቶን የሴቶች ውድድር ማን አሸነፈ?")</f>
        <v>የ2015 የቺካጎ ማራቶን የሴቶች ውድድር ማን አሸነፈ?</v>
      </c>
      <c r="I141" s="5" t="str">
        <f>IFERROR(__xludf.DUMMYFUNCTION(" GOOGLETRANSLATE(C141, ""en"", ""am"")"),"አ. ጥሩነሽ ዲባባ ብ. ማሬ ዲባባ ሐ. መሰለች መልካሙ ዲ. ፋጡማ ሮባ")</f>
        <v>አ. ጥሩነሽ ዲባባ ብ. ማሬ ዲባባ ሐ. መሰለች መልካሙ ዲ. ፋጡማ ሮባ</v>
      </c>
      <c r="J141" s="5" t="str">
        <f>IFERROR(__xludf.DUMMYFUNCTION(" GOOGLETRANSLATE(D141, ""en"", ""am"")"),"ጥሩነሽ ዲባባ")</f>
        <v>ጥሩነሽ ዲባባ</v>
      </c>
      <c r="K141" s="5" t="str">
        <f>IFERROR(__xludf.DUMMYFUNCTION(" GOOGLETRANSLATE(E141, ""en"", ""am"")"),"ጥሩነሽ ዲባባ በ2015 የቺካጎ ማራቶን በሴቶች አሸናፊ ሆነች።")</f>
        <v>ጥሩነሽ ዲባባ በ2015 የቺካጎ ማራቶን በሴቶች አሸናፊ ሆነች።</v>
      </c>
    </row>
    <row r="142" ht="22.5" customHeight="1">
      <c r="A142" s="3">
        <v>141.0</v>
      </c>
      <c r="B142" s="5" t="s">
        <v>1390</v>
      </c>
      <c r="C142" s="4" t="s">
        <v>1391</v>
      </c>
      <c r="D142" s="5" t="s">
        <v>1314</v>
      </c>
      <c r="E142" s="5" t="s">
        <v>1392</v>
      </c>
      <c r="G142" s="5" t="str">
        <f>IFERROR(__xludf.DUMMYFUNCTION(" GOOGLETRANSLATE(A142, ""en"", ""am"")"),"141")</f>
        <v>141</v>
      </c>
      <c r="H142" s="5" t="str">
        <f>IFERROR(__xludf.DUMMYFUNCTION(" GOOGLETRANSLATE(B142, ""en"", ""am"")"),"የትኛው አትሌት ነው የአሁኑን የሴቶች ማራቶን የአለም ክብረወሰን የያዘ?")</f>
        <v>የትኛው አትሌት ነው የአሁኑን የሴቶች ማራቶን የአለም ክብረወሰን የያዘ?</v>
      </c>
      <c r="I142" s="5" t="str">
        <f>IFERROR(__xludf.DUMMYFUNCTION(" GOOGLETRANSLATE(C142, ""en"", ""am"")"),"A. Brigid Kosgei B. Mare Dibaba C. Sifan Hassan D. Tirunesh Dibaba")</f>
        <v>A. Brigid Kosgei B. Mare Dibaba C. Sifan Hassan D. Tirunesh Dibaba</v>
      </c>
      <c r="J142" s="5" t="str">
        <f>IFERROR(__xludf.DUMMYFUNCTION(" GOOGLETRANSLATE(D142, ""en"", ""am"")"),"ብሪጊድ ኮስጌይ")</f>
        <v>ብሪጊድ ኮስጌይ</v>
      </c>
      <c r="K142" s="5" t="str">
        <f>IFERROR(__xludf.DUMMYFUNCTION(" GOOGLETRANSLATE(E142, ""en"", ""am"")"),"ብሪጊድ ኮስጌ የአሁኑን የሴቶች ማራቶን የአለም ክብረወሰን ይዛለች።")</f>
        <v>ብሪጊድ ኮስጌ የአሁኑን የሴቶች ማራቶን የአለም ክብረወሰን ይዛለች።</v>
      </c>
    </row>
    <row r="143" ht="22.5" customHeight="1">
      <c r="A143" s="3">
        <v>142.0</v>
      </c>
      <c r="B143" s="5" t="s">
        <v>1393</v>
      </c>
      <c r="C143" s="4" t="s">
        <v>1394</v>
      </c>
      <c r="D143" s="5" t="s">
        <v>1096</v>
      </c>
      <c r="E143" s="5" t="s">
        <v>1395</v>
      </c>
      <c r="G143" s="5" t="str">
        <f>IFERROR(__xludf.DUMMYFUNCTION(" GOOGLETRANSLATE(A143, ""en"", ""am"")"),"142")</f>
        <v>142</v>
      </c>
      <c r="H143" s="5" t="str">
        <f>IFERROR(__xludf.DUMMYFUNCTION(" GOOGLETRANSLATE(B143, ""en"", ""am"")"),"የትኛው ኢትዮጵያዊ አትሌት ነው በ2007 የአለም ሻምፒዮና የ10,000ሜ ወርቅ ሜዳሊያ ያሸነፈው?")</f>
        <v>የትኛው ኢትዮጵያዊ አትሌት ነው በ2007 የአለም ሻምፒዮና የ10,000ሜ ወርቅ ሜዳሊያ ያሸነፈው?</v>
      </c>
      <c r="I143" s="5" t="str">
        <f>IFERROR(__xludf.DUMMYFUNCTION(" GOOGLETRANSLATE(C143, ""en"", ""am"")"),"አ. ጥሩነሽ ዲባባ ቢ. ሲፋን ሀሰን ሲ. መሰለች መልካሙ ዲ. ቀነኒሳ በቀለ")</f>
        <v>አ. ጥሩነሽ ዲባባ ቢ. ሲፋን ሀሰን ሲ. መሰለች መልካሙ ዲ. ቀነኒሳ በቀለ</v>
      </c>
      <c r="J143" s="5" t="str">
        <f>IFERROR(__xludf.DUMMYFUNCTION(" GOOGLETRANSLATE(D143, ""en"", ""am"")"),"ጥሩነሽ ዲባባ")</f>
        <v>ጥሩነሽ ዲባባ</v>
      </c>
      <c r="K143" s="5" t="str">
        <f>IFERROR(__xludf.DUMMYFUNCTION(" GOOGLETRANSLATE(E143, ""en"", ""am"")"),"ጥሩነሽ ዲባባ በ2007 የአለም ሻምፒዮና የ10,000ሜ ወርቅ ሜዳሊያ አስመዝግባለች።")</f>
        <v>ጥሩነሽ ዲባባ በ2007 የአለም ሻምፒዮና የ10,000ሜ ወርቅ ሜዳሊያ አስመዝግባለች።</v>
      </c>
    </row>
    <row r="144" ht="22.5" customHeight="1">
      <c r="A144" s="3">
        <v>143.0</v>
      </c>
      <c r="B144" s="5" t="s">
        <v>1396</v>
      </c>
      <c r="C144" s="4" t="s">
        <v>1397</v>
      </c>
      <c r="D144" s="5" t="s">
        <v>1238</v>
      </c>
      <c r="E144" s="5" t="s">
        <v>1398</v>
      </c>
      <c r="G144" s="5" t="str">
        <f>IFERROR(__xludf.DUMMYFUNCTION(" GOOGLETRANSLATE(A144, ""en"", ""am"")"),"143")</f>
        <v>143</v>
      </c>
      <c r="H144" s="5" t="str">
        <f>IFERROR(__xludf.DUMMYFUNCTION(" GOOGLETRANSLATE(B144, ""en"", ""am"")"),"በቦስተን ማራቶን ያሸነፈ የመጀመሪያው ኢትዮጵያዊ ማን ሆነ?")</f>
        <v>በቦስተን ማራቶን ያሸነፈ የመጀመሪያው ኢትዮጵያዊ ማን ሆነ?</v>
      </c>
      <c r="I144" s="5" t="str">
        <f>IFERROR(__xludf.DUMMYFUNCTION(" GOOGLETRANSLATE(C144, ""en"", ""am"")"),"አ.ማሬ ዲባባ ብ ኃይሌ ገብረስላሴ ሲ.ፀጋዬ ከበደ ዲ/ን መሰለች መልካሙ")</f>
        <v>አ.ማሬ ዲባባ ብ ኃይሌ ገብረስላሴ ሲ.ፀጋዬ ከበደ ዲ/ን መሰለች መልካሙ</v>
      </c>
      <c r="J144" s="5" t="str">
        <f>IFERROR(__xludf.DUMMYFUNCTION(" GOOGLETRANSLATE(D144, ""en"", ""am"")"),"ፀጋዬ ከበደ")</f>
        <v>ፀጋዬ ከበደ</v>
      </c>
      <c r="K144" s="5" t="str">
        <f>IFERROR(__xludf.DUMMYFUNCTION(" GOOGLETRANSLATE(E144, ""en"", ""am"")"),"ፀጋዬ ከበደ በቦስተን ማራቶን ያሸነፈ የመጀመሪያው ኢትዮጵያዊ ነው።")</f>
        <v>ፀጋዬ ከበደ በቦስተን ማራቶን ያሸነፈ የመጀመሪያው ኢትዮጵያዊ ነው።</v>
      </c>
    </row>
    <row r="145" ht="22.5" customHeight="1">
      <c r="A145" s="3">
        <v>144.0</v>
      </c>
      <c r="B145" s="5" t="s">
        <v>1399</v>
      </c>
      <c r="C145" s="4" t="s">
        <v>1400</v>
      </c>
      <c r="D145" s="5" t="s">
        <v>1170</v>
      </c>
      <c r="E145" s="5" t="s">
        <v>1401</v>
      </c>
      <c r="G145" s="5" t="str">
        <f>IFERROR(__xludf.DUMMYFUNCTION(" GOOGLETRANSLATE(A145, ""en"", ""am"")"),"144")</f>
        <v>144</v>
      </c>
      <c r="H145" s="5" t="str">
        <f>IFERROR(__xludf.DUMMYFUNCTION(" GOOGLETRANSLATE(B145, ""en"", ""am"")"),"በትላልቅ ሩጫዎች ብዙ የማራቶን ድሎችን ያስመዘገበው የትኛው ኢትዮጵያዊ አትሌት ነው?")</f>
        <v>በትላልቅ ሩጫዎች ብዙ የማራቶን ድሎችን ያስመዘገበው የትኛው ኢትዮጵያዊ አትሌት ነው?</v>
      </c>
      <c r="I145" s="5" t="str">
        <f>IFERROR(__xludf.DUMMYFUNCTION(" GOOGLETRANSLATE(C145, ""en"", ""am"")"),"ቀነኒሳ በቀለ ሲ. ዊልሰን ኪፕቾጌ ዲ. ፀጋዬ ከበደ")</f>
        <v>ቀነኒሳ በቀለ ሲ. ዊልሰን ኪፕቾጌ ዲ. ፀጋዬ ከበደ</v>
      </c>
      <c r="J145" s="5" t="str">
        <f>IFERROR(__xludf.DUMMYFUNCTION(" GOOGLETRANSLATE(D145, ""en"", ""am"")"),"ሃይለ ገብረስላሴ")</f>
        <v>ሃይለ ገብረስላሴ</v>
      </c>
      <c r="K145" s="5" t="str">
        <f>IFERROR(__xludf.DUMMYFUNCTION(" GOOGLETRANSLATE(E145, ""en"", ""am"")"),"ሀይሌ ገብረስላሴ በማራቶን በትልልቅ ሩጫዎች ሪከርድ አስመዝግቧል።")</f>
        <v>ሀይሌ ገብረስላሴ በማራቶን በትልልቅ ሩጫዎች ሪከርድ አስመዝግቧል።</v>
      </c>
    </row>
    <row r="146" ht="22.5" customHeight="1">
      <c r="A146" s="6"/>
      <c r="B146" s="6"/>
      <c r="C146" s="7"/>
      <c r="D146" s="6"/>
      <c r="E146" s="6"/>
    </row>
    <row r="147" ht="22.5" customHeight="1">
      <c r="A147" s="6"/>
      <c r="B147" s="6"/>
      <c r="C147" s="7"/>
      <c r="D147" s="6"/>
      <c r="E147" s="6"/>
    </row>
    <row r="148" ht="22.5" customHeight="1">
      <c r="A148" s="6"/>
      <c r="B148" s="6"/>
      <c r="C148" s="7"/>
      <c r="D148" s="6"/>
      <c r="E148" s="6"/>
    </row>
    <row r="149" ht="22.5" customHeight="1">
      <c r="A149" s="6"/>
      <c r="B149" s="6"/>
      <c r="C149" s="7"/>
      <c r="D149" s="6"/>
      <c r="E149" s="6"/>
    </row>
    <row r="150" ht="22.5" customHeight="1">
      <c r="A150" s="6"/>
      <c r="B150" s="6"/>
      <c r="C150" s="7"/>
      <c r="D150" s="6"/>
      <c r="E150" s="6"/>
    </row>
    <row r="151" ht="22.5" customHeight="1">
      <c r="A151" s="6"/>
      <c r="B151" s="6"/>
      <c r="C151" s="7"/>
      <c r="D151" s="6"/>
      <c r="E151" s="6"/>
    </row>
    <row r="152" ht="22.5" customHeight="1">
      <c r="A152" s="6"/>
      <c r="B152" s="6"/>
      <c r="C152" s="7"/>
      <c r="D152" s="6"/>
      <c r="E152" s="6"/>
    </row>
    <row r="153" ht="22.5" customHeight="1">
      <c r="A153" s="6"/>
      <c r="B153" s="6"/>
      <c r="C153" s="7"/>
      <c r="D153" s="6"/>
      <c r="E153" s="6"/>
    </row>
    <row r="154" ht="22.5" customHeight="1">
      <c r="A154" s="6"/>
      <c r="B154" s="6"/>
      <c r="C154" s="7"/>
      <c r="D154" s="6"/>
      <c r="E154" s="6"/>
    </row>
    <row r="155" ht="22.5" customHeight="1">
      <c r="A155" s="6"/>
      <c r="B155" s="6"/>
      <c r="C155" s="7"/>
      <c r="D155" s="6"/>
      <c r="E155" s="6"/>
    </row>
    <row r="156" ht="22.5" customHeight="1">
      <c r="A156" s="6"/>
      <c r="B156" s="6"/>
      <c r="C156" s="7"/>
      <c r="D156" s="6"/>
      <c r="E156" s="6"/>
    </row>
    <row r="157" ht="22.5" customHeight="1">
      <c r="A157" s="6"/>
      <c r="B157" s="6"/>
      <c r="C157" s="7"/>
      <c r="D157" s="6"/>
      <c r="E157" s="6"/>
    </row>
    <row r="158" ht="22.5" customHeight="1">
      <c r="A158" s="6"/>
      <c r="B158" s="6"/>
      <c r="C158" s="7"/>
      <c r="D158" s="6"/>
      <c r="E158" s="6"/>
    </row>
    <row r="159" ht="22.5" customHeight="1">
      <c r="A159" s="6"/>
      <c r="B159" s="6"/>
      <c r="C159" s="7"/>
      <c r="D159" s="6"/>
      <c r="E159" s="6"/>
    </row>
    <row r="160" ht="22.5" customHeight="1">
      <c r="A160" s="6"/>
      <c r="B160" s="6"/>
      <c r="C160" s="7"/>
      <c r="D160" s="6"/>
      <c r="E160" s="6"/>
    </row>
    <row r="161" ht="22.5" customHeight="1">
      <c r="A161" s="6"/>
      <c r="B161" s="6"/>
      <c r="C161" s="7"/>
      <c r="D161" s="6"/>
      <c r="E161" s="6"/>
    </row>
    <row r="162" ht="22.5" customHeight="1">
      <c r="A162" s="6"/>
      <c r="B162" s="6"/>
      <c r="C162" s="7"/>
      <c r="D162" s="6"/>
      <c r="E162" s="6"/>
    </row>
    <row r="163" ht="22.5" customHeight="1">
      <c r="A163" s="6"/>
      <c r="B163" s="6"/>
      <c r="C163" s="7"/>
      <c r="D163" s="6"/>
      <c r="E163" s="6"/>
    </row>
    <row r="164" ht="22.5" customHeight="1">
      <c r="A164" s="6"/>
      <c r="B164" s="6"/>
      <c r="C164" s="7"/>
      <c r="D164" s="6"/>
      <c r="E164" s="6"/>
    </row>
    <row r="165" ht="22.5" customHeight="1">
      <c r="A165" s="6"/>
      <c r="B165" s="6"/>
      <c r="C165" s="7"/>
      <c r="D165" s="6"/>
      <c r="E165" s="6"/>
    </row>
    <row r="166" ht="22.5" customHeight="1">
      <c r="A166" s="6"/>
      <c r="B166" s="6"/>
      <c r="C166" s="7"/>
      <c r="D166" s="6"/>
      <c r="E166" s="6"/>
    </row>
    <row r="167" ht="22.5" customHeight="1">
      <c r="A167" s="6"/>
      <c r="B167" s="6"/>
      <c r="C167" s="7"/>
      <c r="D167" s="6"/>
      <c r="E167" s="6"/>
    </row>
    <row r="168" ht="22.5" customHeight="1">
      <c r="A168" s="6"/>
      <c r="B168" s="6"/>
      <c r="C168" s="7"/>
      <c r="D168" s="6"/>
      <c r="E168" s="6"/>
    </row>
    <row r="169" ht="22.5" customHeight="1">
      <c r="A169" s="6"/>
      <c r="B169" s="6"/>
      <c r="C169" s="7"/>
      <c r="D169" s="6"/>
      <c r="E169" s="6"/>
    </row>
    <row r="170" ht="22.5" customHeight="1">
      <c r="A170" s="6"/>
      <c r="B170" s="6"/>
      <c r="C170" s="7"/>
      <c r="D170" s="6"/>
      <c r="E170" s="6"/>
    </row>
    <row r="171" ht="22.5" customHeight="1">
      <c r="A171" s="6"/>
      <c r="B171" s="6"/>
      <c r="C171" s="7"/>
      <c r="D171" s="6"/>
      <c r="E171" s="6"/>
    </row>
    <row r="172" ht="22.5" customHeight="1">
      <c r="A172" s="6"/>
      <c r="B172" s="6"/>
      <c r="C172" s="7"/>
      <c r="D172" s="6"/>
      <c r="E172" s="6"/>
    </row>
    <row r="173" ht="22.5" customHeight="1">
      <c r="A173" s="6"/>
      <c r="B173" s="6"/>
      <c r="C173" s="7"/>
      <c r="D173" s="6"/>
      <c r="E173" s="6"/>
    </row>
    <row r="174" ht="22.5" customHeight="1">
      <c r="A174" s="6"/>
      <c r="B174" s="6"/>
      <c r="C174" s="7"/>
      <c r="D174" s="6"/>
      <c r="E174" s="6"/>
    </row>
    <row r="175" ht="22.5" customHeight="1">
      <c r="A175" s="6"/>
      <c r="B175" s="6"/>
      <c r="C175" s="7"/>
      <c r="D175" s="6"/>
      <c r="E175" s="6"/>
    </row>
    <row r="176" ht="22.5" customHeight="1">
      <c r="A176" s="6"/>
      <c r="B176" s="6"/>
      <c r="C176" s="7"/>
      <c r="D176" s="6"/>
      <c r="E176" s="6"/>
    </row>
    <row r="177" ht="22.5" customHeight="1">
      <c r="A177" s="6"/>
      <c r="B177" s="6"/>
      <c r="C177" s="7"/>
      <c r="D177" s="6"/>
      <c r="E177" s="6"/>
    </row>
    <row r="178" ht="22.5" customHeight="1">
      <c r="A178" s="6"/>
      <c r="B178" s="6"/>
      <c r="C178" s="7"/>
      <c r="D178" s="6"/>
      <c r="E178" s="6"/>
    </row>
    <row r="179" ht="22.5" customHeight="1">
      <c r="A179" s="6"/>
      <c r="B179" s="6"/>
      <c r="C179" s="7"/>
      <c r="D179" s="6"/>
      <c r="E179" s="6"/>
    </row>
    <row r="180" ht="22.5" customHeight="1">
      <c r="A180" s="6"/>
      <c r="B180" s="6"/>
      <c r="C180" s="7"/>
      <c r="D180" s="6"/>
      <c r="E180" s="6"/>
    </row>
    <row r="181" ht="22.5" customHeight="1">
      <c r="A181" s="6"/>
      <c r="B181" s="6"/>
      <c r="C181" s="7"/>
      <c r="D181" s="6"/>
      <c r="E181" s="6"/>
    </row>
    <row r="182" ht="22.5" customHeight="1">
      <c r="A182" s="6"/>
      <c r="B182" s="6"/>
      <c r="C182" s="7"/>
      <c r="D182" s="6"/>
      <c r="E182" s="6"/>
    </row>
    <row r="183" ht="22.5" customHeight="1">
      <c r="A183" s="6"/>
      <c r="B183" s="6"/>
      <c r="C183" s="7"/>
      <c r="D183" s="6"/>
      <c r="E183" s="6"/>
    </row>
    <row r="184" ht="22.5" customHeight="1">
      <c r="A184" s="6"/>
      <c r="B184" s="6"/>
      <c r="C184" s="7"/>
      <c r="D184" s="6"/>
      <c r="E184" s="6"/>
    </row>
    <row r="185" ht="22.5" customHeight="1">
      <c r="A185" s="6"/>
      <c r="B185" s="6"/>
      <c r="C185" s="7"/>
      <c r="D185" s="6"/>
      <c r="E185" s="6"/>
    </row>
    <row r="186" ht="22.5" customHeight="1">
      <c r="A186" s="6"/>
      <c r="B186" s="6"/>
      <c r="C186" s="7"/>
      <c r="D186" s="6"/>
      <c r="E186" s="6"/>
    </row>
    <row r="187" ht="22.5" customHeight="1">
      <c r="A187" s="6"/>
      <c r="B187" s="6"/>
      <c r="C187" s="7"/>
      <c r="D187" s="6"/>
      <c r="E187" s="6"/>
    </row>
    <row r="188" ht="22.5" customHeight="1">
      <c r="A188" s="6"/>
      <c r="B188" s="6"/>
      <c r="C188" s="7"/>
      <c r="D188" s="6"/>
      <c r="E188" s="6"/>
    </row>
    <row r="189" ht="22.5" customHeight="1">
      <c r="A189" s="6"/>
      <c r="B189" s="6"/>
      <c r="C189" s="7"/>
      <c r="D189" s="6"/>
      <c r="E189" s="6"/>
    </row>
    <row r="190" ht="22.5" customHeight="1">
      <c r="A190" s="6"/>
      <c r="B190" s="6"/>
      <c r="C190" s="7"/>
      <c r="D190" s="6"/>
      <c r="E190" s="6"/>
    </row>
    <row r="191" ht="22.5" customHeight="1">
      <c r="A191" s="6"/>
      <c r="B191" s="6"/>
      <c r="C191" s="7"/>
      <c r="D191" s="6"/>
      <c r="E191" s="6"/>
    </row>
    <row r="192" ht="22.5" customHeight="1">
      <c r="A192" s="6"/>
      <c r="B192" s="6"/>
      <c r="C192" s="7"/>
      <c r="D192" s="6"/>
      <c r="E192" s="6"/>
    </row>
    <row r="193" ht="22.5" customHeight="1">
      <c r="A193" s="6"/>
      <c r="B193" s="6"/>
      <c r="C193" s="7"/>
      <c r="D193" s="6"/>
      <c r="E193" s="6"/>
    </row>
    <row r="194" ht="22.5" customHeight="1">
      <c r="A194" s="6"/>
      <c r="B194" s="6"/>
      <c r="C194" s="7"/>
      <c r="D194" s="6"/>
      <c r="E194" s="6"/>
    </row>
    <row r="195" ht="22.5" customHeight="1">
      <c r="A195" s="6"/>
      <c r="B195" s="6"/>
      <c r="C195" s="7"/>
      <c r="D195" s="6"/>
      <c r="E195" s="6"/>
    </row>
    <row r="196" ht="22.5" customHeight="1">
      <c r="A196" s="6"/>
      <c r="B196" s="6"/>
      <c r="C196" s="7"/>
      <c r="D196" s="6"/>
      <c r="E196" s="6"/>
    </row>
    <row r="197" ht="22.5" customHeight="1">
      <c r="A197" s="6"/>
      <c r="B197" s="6"/>
      <c r="C197" s="7"/>
      <c r="D197" s="6"/>
      <c r="E197" s="6"/>
    </row>
    <row r="198" ht="22.5" customHeight="1">
      <c r="A198" s="6"/>
      <c r="B198" s="6"/>
      <c r="C198" s="7"/>
      <c r="D198" s="6"/>
      <c r="E198" s="6"/>
    </row>
    <row r="199" ht="22.5" customHeight="1">
      <c r="A199" s="6"/>
      <c r="B199" s="6"/>
      <c r="C199" s="7"/>
      <c r="D199" s="6"/>
      <c r="E199" s="6"/>
    </row>
    <row r="200" ht="22.5" customHeight="1">
      <c r="A200" s="6"/>
      <c r="B200" s="6"/>
      <c r="C200" s="7"/>
      <c r="D200" s="6"/>
      <c r="E200" s="6"/>
    </row>
    <row r="201" ht="22.5" customHeight="1">
      <c r="A201" s="6"/>
      <c r="B201" s="6"/>
      <c r="C201" s="7"/>
      <c r="D201" s="6"/>
      <c r="E201" s="6"/>
    </row>
    <row r="202" ht="22.5" customHeight="1">
      <c r="A202" s="6"/>
      <c r="B202" s="6"/>
      <c r="C202" s="7"/>
      <c r="D202" s="6"/>
      <c r="E202" s="6"/>
    </row>
    <row r="203" ht="22.5" customHeight="1">
      <c r="A203" s="6"/>
      <c r="B203" s="6"/>
      <c r="C203" s="7"/>
      <c r="D203" s="6"/>
      <c r="E203" s="6"/>
    </row>
    <row r="204" ht="22.5" customHeight="1">
      <c r="A204" s="6"/>
      <c r="B204" s="6"/>
      <c r="C204" s="7"/>
      <c r="D204" s="6"/>
      <c r="E204" s="6"/>
    </row>
    <row r="205" ht="22.5" customHeight="1">
      <c r="A205" s="6"/>
      <c r="B205" s="6"/>
      <c r="C205" s="7"/>
      <c r="D205" s="6"/>
      <c r="E205" s="6"/>
    </row>
    <row r="206" ht="22.5" customHeight="1">
      <c r="A206" s="6"/>
      <c r="B206" s="6"/>
      <c r="C206" s="7"/>
      <c r="D206" s="6"/>
      <c r="E206" s="6"/>
    </row>
    <row r="207" ht="22.5" customHeight="1">
      <c r="A207" s="6"/>
      <c r="B207" s="6"/>
      <c r="C207" s="7"/>
      <c r="D207" s="6"/>
      <c r="E207" s="6"/>
    </row>
    <row r="208" ht="22.5" customHeight="1">
      <c r="A208" s="6"/>
      <c r="B208" s="6"/>
      <c r="C208" s="7"/>
      <c r="D208" s="6"/>
      <c r="E208" s="6"/>
    </row>
    <row r="209" ht="22.5" customHeight="1">
      <c r="A209" s="6"/>
      <c r="B209" s="6"/>
      <c r="C209" s="7"/>
      <c r="D209" s="6"/>
      <c r="E209" s="6"/>
    </row>
    <row r="210" ht="22.5" customHeight="1">
      <c r="A210" s="6"/>
      <c r="B210" s="6"/>
      <c r="C210" s="7"/>
      <c r="D210" s="6"/>
      <c r="E210" s="6"/>
    </row>
    <row r="211" ht="22.5" customHeight="1">
      <c r="A211" s="6"/>
      <c r="B211" s="6"/>
      <c r="C211" s="7"/>
      <c r="D211" s="6"/>
      <c r="E211" s="6"/>
    </row>
    <row r="212" ht="22.5" customHeight="1">
      <c r="A212" s="6"/>
      <c r="B212" s="6"/>
      <c r="C212" s="7"/>
      <c r="D212" s="6"/>
      <c r="E212" s="6"/>
    </row>
    <row r="213" ht="22.5" customHeight="1">
      <c r="A213" s="6"/>
      <c r="B213" s="6"/>
      <c r="C213" s="7"/>
      <c r="D213" s="6"/>
      <c r="E213" s="6"/>
    </row>
    <row r="214" ht="22.5" customHeight="1">
      <c r="A214" s="6"/>
      <c r="B214" s="6"/>
      <c r="C214" s="7"/>
      <c r="D214" s="6"/>
      <c r="E214" s="6"/>
    </row>
    <row r="215" ht="22.5" customHeight="1">
      <c r="A215" s="6"/>
      <c r="B215" s="6"/>
      <c r="C215" s="7"/>
      <c r="D215" s="6"/>
      <c r="E215" s="6"/>
    </row>
    <row r="216" ht="22.5" customHeight="1">
      <c r="A216" s="6"/>
      <c r="B216" s="6"/>
      <c r="C216" s="7"/>
      <c r="D216" s="6"/>
      <c r="E216" s="6"/>
    </row>
    <row r="217" ht="22.5" customHeight="1">
      <c r="A217" s="6"/>
      <c r="B217" s="6"/>
      <c r="C217" s="7"/>
      <c r="D217" s="6"/>
      <c r="E217" s="6"/>
    </row>
    <row r="218" ht="22.5" customHeight="1">
      <c r="A218" s="6"/>
      <c r="B218" s="6"/>
      <c r="C218" s="7"/>
      <c r="D218" s="6"/>
      <c r="E218" s="6"/>
    </row>
    <row r="219" ht="22.5" customHeight="1">
      <c r="A219" s="6"/>
      <c r="B219" s="6"/>
      <c r="C219" s="7"/>
      <c r="D219" s="6"/>
      <c r="E219" s="6"/>
    </row>
    <row r="220" ht="22.5" customHeight="1">
      <c r="A220" s="6"/>
      <c r="B220" s="6"/>
      <c r="C220" s="7"/>
      <c r="D220" s="6"/>
      <c r="E220" s="6"/>
    </row>
    <row r="221" ht="22.5" customHeight="1">
      <c r="A221" s="6"/>
      <c r="B221" s="6"/>
      <c r="C221" s="7"/>
      <c r="D221" s="6"/>
      <c r="E221" s="6"/>
    </row>
    <row r="222" ht="22.5" customHeight="1">
      <c r="A222" s="6"/>
      <c r="B222" s="6"/>
      <c r="C222" s="7"/>
      <c r="D222" s="6"/>
      <c r="E222" s="6"/>
    </row>
    <row r="223" ht="22.5" customHeight="1">
      <c r="A223" s="6"/>
      <c r="B223" s="6"/>
      <c r="C223" s="7"/>
      <c r="D223" s="6"/>
      <c r="E223" s="6"/>
    </row>
    <row r="224" ht="22.5" customHeight="1">
      <c r="A224" s="6"/>
      <c r="B224" s="6"/>
      <c r="C224" s="7"/>
      <c r="D224" s="6"/>
      <c r="E224" s="6"/>
    </row>
    <row r="225" ht="22.5" customHeight="1">
      <c r="A225" s="6"/>
      <c r="B225" s="6"/>
      <c r="C225" s="7"/>
      <c r="D225" s="6"/>
      <c r="E225" s="6"/>
    </row>
    <row r="226" ht="22.5" customHeight="1">
      <c r="A226" s="6"/>
      <c r="B226" s="6"/>
      <c r="C226" s="7"/>
      <c r="D226" s="6"/>
      <c r="E226" s="6"/>
    </row>
    <row r="227" ht="22.5" customHeight="1">
      <c r="A227" s="6"/>
      <c r="B227" s="6"/>
      <c r="C227" s="7"/>
      <c r="D227" s="6"/>
      <c r="E227" s="6"/>
    </row>
    <row r="228" ht="22.5" customHeight="1">
      <c r="A228" s="6"/>
      <c r="B228" s="6"/>
      <c r="C228" s="7"/>
      <c r="D228" s="6"/>
      <c r="E228" s="6"/>
    </row>
    <row r="229" ht="22.5" customHeight="1">
      <c r="A229" s="6"/>
      <c r="B229" s="6"/>
      <c r="C229" s="7"/>
      <c r="D229" s="6"/>
      <c r="E229" s="6"/>
    </row>
    <row r="230" ht="22.5" customHeight="1">
      <c r="A230" s="6"/>
      <c r="B230" s="6"/>
      <c r="C230" s="7"/>
      <c r="D230" s="6"/>
      <c r="E230" s="6"/>
    </row>
    <row r="231" ht="22.5" customHeight="1">
      <c r="A231" s="6"/>
      <c r="B231" s="6"/>
      <c r="C231" s="7"/>
      <c r="D231" s="6"/>
      <c r="E231" s="6"/>
    </row>
    <row r="232" ht="22.5" customHeight="1">
      <c r="A232" s="6"/>
      <c r="B232" s="6"/>
      <c r="C232" s="7"/>
      <c r="D232" s="6"/>
      <c r="E232" s="6"/>
    </row>
    <row r="233" ht="22.5" customHeight="1">
      <c r="A233" s="6"/>
      <c r="B233" s="6"/>
      <c r="C233" s="7"/>
      <c r="D233" s="6"/>
      <c r="E233" s="6"/>
    </row>
    <row r="234" ht="22.5" customHeight="1">
      <c r="A234" s="6"/>
      <c r="B234" s="6"/>
      <c r="C234" s="7"/>
      <c r="D234" s="6"/>
      <c r="E234" s="6"/>
    </row>
    <row r="235" ht="22.5" customHeight="1">
      <c r="A235" s="6"/>
      <c r="B235" s="6"/>
      <c r="C235" s="7"/>
      <c r="D235" s="6"/>
      <c r="E235" s="6"/>
    </row>
    <row r="236" ht="22.5" customHeight="1">
      <c r="A236" s="6"/>
      <c r="B236" s="6"/>
      <c r="C236" s="7"/>
      <c r="D236" s="6"/>
      <c r="E236" s="6"/>
    </row>
    <row r="237" ht="22.5" customHeight="1">
      <c r="A237" s="6"/>
      <c r="B237" s="6"/>
      <c r="C237" s="7"/>
      <c r="D237" s="6"/>
      <c r="E237" s="6"/>
    </row>
    <row r="238" ht="22.5" customHeight="1">
      <c r="A238" s="6"/>
      <c r="B238" s="6"/>
      <c r="C238" s="7"/>
      <c r="D238" s="6"/>
      <c r="E238" s="6"/>
    </row>
    <row r="239" ht="22.5" customHeight="1">
      <c r="A239" s="6"/>
      <c r="B239" s="6"/>
      <c r="C239" s="7"/>
      <c r="D239" s="6"/>
      <c r="E239" s="6"/>
    </row>
    <row r="240" ht="22.5" customHeight="1">
      <c r="A240" s="6"/>
      <c r="B240" s="6"/>
      <c r="C240" s="7"/>
      <c r="D240" s="6"/>
      <c r="E240" s="6"/>
    </row>
    <row r="241" ht="22.5" customHeight="1">
      <c r="A241" s="6"/>
      <c r="B241" s="6"/>
      <c r="C241" s="7"/>
      <c r="D241" s="6"/>
      <c r="E241" s="6"/>
    </row>
    <row r="242" ht="22.5" customHeight="1">
      <c r="A242" s="6"/>
      <c r="B242" s="6"/>
      <c r="C242" s="7"/>
      <c r="D242" s="6"/>
      <c r="E242" s="6"/>
    </row>
    <row r="243" ht="22.5" customHeight="1">
      <c r="A243" s="6"/>
      <c r="B243" s="6"/>
      <c r="C243" s="7"/>
      <c r="D243" s="6"/>
      <c r="E243" s="6"/>
    </row>
    <row r="244" ht="22.5" customHeight="1">
      <c r="A244" s="6"/>
      <c r="B244" s="6"/>
      <c r="C244" s="7"/>
      <c r="D244" s="6"/>
      <c r="E244" s="6"/>
    </row>
    <row r="245" ht="22.5" customHeight="1">
      <c r="A245" s="6"/>
      <c r="B245" s="6"/>
      <c r="C245" s="7"/>
      <c r="D245" s="6"/>
      <c r="E245" s="6"/>
    </row>
    <row r="246" ht="22.5" customHeight="1">
      <c r="A246" s="6"/>
      <c r="B246" s="6"/>
      <c r="C246" s="7"/>
      <c r="D246" s="6"/>
      <c r="E246" s="6"/>
    </row>
    <row r="247" ht="22.5" customHeight="1">
      <c r="A247" s="6"/>
      <c r="B247" s="6"/>
      <c r="C247" s="7"/>
      <c r="D247" s="6"/>
      <c r="E247" s="6"/>
    </row>
    <row r="248" ht="22.5" customHeight="1">
      <c r="A248" s="6"/>
      <c r="B248" s="6"/>
      <c r="C248" s="7"/>
      <c r="D248" s="6"/>
      <c r="E248" s="6"/>
    </row>
    <row r="249" ht="22.5" customHeight="1">
      <c r="A249" s="6"/>
      <c r="B249" s="6"/>
      <c r="C249" s="7"/>
      <c r="D249" s="6"/>
      <c r="E249" s="6"/>
    </row>
    <row r="250" ht="22.5" customHeight="1">
      <c r="A250" s="6"/>
      <c r="B250" s="6"/>
      <c r="C250" s="7"/>
      <c r="D250" s="6"/>
      <c r="E250" s="6"/>
    </row>
    <row r="251" ht="22.5" customHeight="1">
      <c r="A251" s="6"/>
      <c r="B251" s="6"/>
      <c r="C251" s="7"/>
      <c r="D251" s="6"/>
      <c r="E251" s="6"/>
    </row>
    <row r="252" ht="22.5" customHeight="1">
      <c r="A252" s="6"/>
      <c r="B252" s="6"/>
      <c r="C252" s="7"/>
      <c r="D252" s="6"/>
      <c r="E252" s="6"/>
    </row>
    <row r="253" ht="22.5" customHeight="1">
      <c r="A253" s="6"/>
      <c r="B253" s="6"/>
      <c r="C253" s="7"/>
      <c r="D253" s="6"/>
      <c r="E253" s="6"/>
    </row>
    <row r="254" ht="22.5" customHeight="1">
      <c r="A254" s="6"/>
      <c r="B254" s="6"/>
      <c r="C254" s="7"/>
      <c r="D254" s="6"/>
      <c r="E254" s="6"/>
    </row>
    <row r="255" ht="22.5" customHeight="1">
      <c r="A255" s="6"/>
      <c r="B255" s="6"/>
      <c r="C255" s="7"/>
      <c r="D255" s="6"/>
      <c r="E255" s="6"/>
    </row>
    <row r="256" ht="22.5" customHeight="1">
      <c r="A256" s="6"/>
      <c r="B256" s="6"/>
      <c r="C256" s="7"/>
      <c r="D256" s="6"/>
      <c r="E256" s="6"/>
    </row>
    <row r="257" ht="22.5" customHeight="1">
      <c r="A257" s="6"/>
      <c r="B257" s="6"/>
      <c r="C257" s="7"/>
      <c r="D257" s="6"/>
      <c r="E257" s="6"/>
    </row>
    <row r="258" ht="22.5" customHeight="1">
      <c r="A258" s="6"/>
      <c r="B258" s="6"/>
      <c r="C258" s="7"/>
      <c r="D258" s="6"/>
      <c r="E258" s="6"/>
    </row>
    <row r="259" ht="22.5" customHeight="1">
      <c r="A259" s="6"/>
      <c r="B259" s="6"/>
      <c r="C259" s="7"/>
      <c r="D259" s="6"/>
      <c r="E259" s="6"/>
    </row>
    <row r="260" ht="22.5" customHeight="1">
      <c r="A260" s="6"/>
      <c r="B260" s="6"/>
      <c r="C260" s="7"/>
      <c r="D260" s="6"/>
      <c r="E260" s="6"/>
    </row>
    <row r="261" ht="22.5" customHeight="1">
      <c r="A261" s="6"/>
      <c r="B261" s="6"/>
      <c r="C261" s="7"/>
      <c r="D261" s="6"/>
      <c r="E261" s="6"/>
    </row>
    <row r="262" ht="22.5" customHeight="1">
      <c r="A262" s="6"/>
      <c r="B262" s="6"/>
      <c r="C262" s="7"/>
      <c r="D262" s="6"/>
      <c r="E262" s="6"/>
    </row>
    <row r="263" ht="22.5" customHeight="1">
      <c r="A263" s="6"/>
      <c r="B263" s="6"/>
      <c r="C263" s="7"/>
      <c r="D263" s="6"/>
      <c r="E263" s="6"/>
    </row>
    <row r="264" ht="22.5" customHeight="1">
      <c r="A264" s="6"/>
      <c r="B264" s="6"/>
      <c r="C264" s="7"/>
      <c r="D264" s="6"/>
      <c r="E264" s="6"/>
    </row>
    <row r="265" ht="22.5" customHeight="1">
      <c r="A265" s="6"/>
      <c r="B265" s="6"/>
      <c r="C265" s="7"/>
      <c r="D265" s="6"/>
      <c r="E265" s="6"/>
    </row>
    <row r="266" ht="22.5" customHeight="1">
      <c r="A266" s="6"/>
      <c r="B266" s="6"/>
      <c r="C266" s="7"/>
      <c r="D266" s="6"/>
      <c r="E266" s="6"/>
    </row>
    <row r="267" ht="22.5" customHeight="1">
      <c r="A267" s="6"/>
      <c r="B267" s="6"/>
      <c r="C267" s="7"/>
      <c r="D267" s="6"/>
      <c r="E267" s="6"/>
    </row>
    <row r="268" ht="22.5" customHeight="1">
      <c r="A268" s="6"/>
      <c r="B268" s="6"/>
      <c r="C268" s="7"/>
      <c r="D268" s="6"/>
      <c r="E268" s="6"/>
    </row>
    <row r="269" ht="22.5" customHeight="1">
      <c r="A269" s="6"/>
      <c r="B269" s="6"/>
      <c r="C269" s="7"/>
      <c r="D269" s="6"/>
      <c r="E269" s="6"/>
    </row>
    <row r="270" ht="22.5" customHeight="1">
      <c r="A270" s="6"/>
      <c r="B270" s="6"/>
      <c r="C270" s="7"/>
      <c r="D270" s="6"/>
      <c r="E270" s="6"/>
    </row>
    <row r="271" ht="22.5" customHeight="1">
      <c r="A271" s="6"/>
      <c r="B271" s="6"/>
      <c r="C271" s="7"/>
      <c r="D271" s="6"/>
      <c r="E271" s="6"/>
    </row>
    <row r="272" ht="22.5" customHeight="1">
      <c r="A272" s="6"/>
      <c r="B272" s="6"/>
      <c r="C272" s="7"/>
      <c r="D272" s="6"/>
      <c r="E272" s="6"/>
    </row>
    <row r="273" ht="22.5" customHeight="1">
      <c r="A273" s="6"/>
      <c r="B273" s="6"/>
      <c r="C273" s="7"/>
      <c r="D273" s="6"/>
      <c r="E273" s="6"/>
    </row>
    <row r="274" ht="22.5" customHeight="1">
      <c r="A274" s="6"/>
      <c r="B274" s="6"/>
      <c r="C274" s="7"/>
      <c r="D274" s="6"/>
      <c r="E274" s="6"/>
    </row>
    <row r="275" ht="22.5" customHeight="1">
      <c r="A275" s="6"/>
      <c r="B275" s="6"/>
      <c r="C275" s="7"/>
      <c r="D275" s="6"/>
      <c r="E275" s="6"/>
    </row>
    <row r="276" ht="22.5" customHeight="1">
      <c r="A276" s="6"/>
      <c r="B276" s="6"/>
      <c r="C276" s="7"/>
      <c r="D276" s="6"/>
      <c r="E276" s="6"/>
    </row>
    <row r="277" ht="22.5" customHeight="1">
      <c r="A277" s="6"/>
      <c r="B277" s="6"/>
      <c r="C277" s="7"/>
      <c r="D277" s="6"/>
      <c r="E277" s="6"/>
    </row>
    <row r="278" ht="22.5" customHeight="1">
      <c r="A278" s="6"/>
      <c r="B278" s="6"/>
      <c r="C278" s="7"/>
      <c r="D278" s="6"/>
      <c r="E278" s="6"/>
    </row>
    <row r="279" ht="22.5" customHeight="1">
      <c r="A279" s="6"/>
      <c r="B279" s="6"/>
      <c r="C279" s="7"/>
      <c r="D279" s="6"/>
      <c r="E279" s="6"/>
    </row>
    <row r="280" ht="22.5" customHeight="1">
      <c r="A280" s="6"/>
      <c r="B280" s="6"/>
      <c r="C280" s="7"/>
      <c r="D280" s="6"/>
      <c r="E280" s="6"/>
    </row>
    <row r="281" ht="22.5" customHeight="1">
      <c r="A281" s="6"/>
      <c r="B281" s="6"/>
      <c r="C281" s="7"/>
      <c r="D281" s="6"/>
      <c r="E281" s="6"/>
    </row>
    <row r="282" ht="22.5" customHeight="1">
      <c r="A282" s="6"/>
      <c r="B282" s="6"/>
      <c r="C282" s="7"/>
      <c r="D282" s="6"/>
      <c r="E282" s="6"/>
    </row>
    <row r="283" ht="22.5" customHeight="1">
      <c r="A283" s="6"/>
      <c r="B283" s="6"/>
      <c r="C283" s="7"/>
      <c r="D283" s="6"/>
      <c r="E283" s="6"/>
    </row>
    <row r="284" ht="22.5" customHeight="1">
      <c r="A284" s="6"/>
      <c r="B284" s="6"/>
      <c r="C284" s="7"/>
      <c r="D284" s="6"/>
      <c r="E284" s="6"/>
    </row>
    <row r="285" ht="22.5" customHeight="1">
      <c r="A285" s="6"/>
      <c r="B285" s="6"/>
      <c r="C285" s="7"/>
      <c r="D285" s="6"/>
      <c r="E285" s="6"/>
    </row>
    <row r="286" ht="22.5" customHeight="1">
      <c r="A286" s="6"/>
      <c r="B286" s="6"/>
      <c r="C286" s="7"/>
      <c r="D286" s="6"/>
      <c r="E286" s="6"/>
    </row>
    <row r="287" ht="22.5" customHeight="1">
      <c r="A287" s="6"/>
      <c r="B287" s="6"/>
      <c r="C287" s="7"/>
      <c r="D287" s="6"/>
      <c r="E287" s="6"/>
    </row>
    <row r="288" ht="22.5" customHeight="1">
      <c r="A288" s="6"/>
      <c r="B288" s="6"/>
      <c r="C288" s="7"/>
      <c r="D288" s="6"/>
      <c r="E288" s="6"/>
    </row>
    <row r="289" ht="22.5" customHeight="1">
      <c r="A289" s="6"/>
      <c r="B289" s="6"/>
      <c r="C289" s="7"/>
      <c r="D289" s="6"/>
      <c r="E289" s="6"/>
    </row>
    <row r="290" ht="22.5" customHeight="1">
      <c r="A290" s="6"/>
      <c r="B290" s="6"/>
      <c r="C290" s="7"/>
      <c r="D290" s="6"/>
      <c r="E290" s="6"/>
    </row>
    <row r="291" ht="22.5" customHeight="1">
      <c r="A291" s="6"/>
      <c r="B291" s="6"/>
      <c r="C291" s="7"/>
      <c r="D291" s="6"/>
      <c r="E291" s="6"/>
    </row>
    <row r="292" ht="22.5" customHeight="1">
      <c r="A292" s="6"/>
      <c r="B292" s="6"/>
      <c r="C292" s="7"/>
      <c r="D292" s="6"/>
      <c r="E292" s="6"/>
    </row>
    <row r="293" ht="22.5" customHeight="1">
      <c r="A293" s="6"/>
      <c r="B293" s="6"/>
      <c r="C293" s="7"/>
      <c r="D293" s="6"/>
      <c r="E293" s="6"/>
    </row>
    <row r="294" ht="22.5" customHeight="1">
      <c r="A294" s="6"/>
      <c r="B294" s="6"/>
      <c r="C294" s="7"/>
      <c r="D294" s="6"/>
      <c r="E294" s="6"/>
    </row>
    <row r="295" ht="22.5" customHeight="1">
      <c r="A295" s="6"/>
      <c r="B295" s="6"/>
      <c r="C295" s="7"/>
      <c r="D295" s="6"/>
      <c r="E295" s="6"/>
    </row>
    <row r="296" ht="22.5" customHeight="1">
      <c r="A296" s="6"/>
      <c r="B296" s="6"/>
      <c r="C296" s="7"/>
      <c r="D296" s="6"/>
      <c r="E296" s="6"/>
    </row>
    <row r="297" ht="22.5" customHeight="1">
      <c r="A297" s="6"/>
      <c r="B297" s="6"/>
      <c r="C297" s="7"/>
      <c r="D297" s="6"/>
      <c r="E297" s="6"/>
    </row>
    <row r="298" ht="22.5" customHeight="1">
      <c r="A298" s="6"/>
      <c r="B298" s="6"/>
      <c r="C298" s="7"/>
      <c r="D298" s="6"/>
      <c r="E298" s="6"/>
    </row>
    <row r="299" ht="22.5" customHeight="1">
      <c r="A299" s="6"/>
      <c r="B299" s="6"/>
      <c r="C299" s="7"/>
      <c r="D299" s="6"/>
      <c r="E299" s="6"/>
    </row>
    <row r="300" ht="22.5" customHeight="1">
      <c r="A300" s="6"/>
      <c r="B300" s="6"/>
      <c r="C300" s="7"/>
      <c r="D300" s="6"/>
      <c r="E300" s="6"/>
    </row>
    <row r="301" ht="22.5" customHeight="1">
      <c r="A301" s="6"/>
      <c r="B301" s="6"/>
      <c r="C301" s="7"/>
      <c r="D301" s="6"/>
      <c r="E301" s="6"/>
    </row>
    <row r="302" ht="22.5" customHeight="1">
      <c r="A302" s="6"/>
      <c r="B302" s="6"/>
      <c r="C302" s="7"/>
      <c r="D302" s="6"/>
      <c r="E302" s="6"/>
    </row>
    <row r="303" ht="22.5" customHeight="1">
      <c r="A303" s="6"/>
      <c r="B303" s="6"/>
      <c r="C303" s="7"/>
      <c r="D303" s="6"/>
      <c r="E303" s="6"/>
    </row>
    <row r="304" ht="22.5" customHeight="1">
      <c r="A304" s="6"/>
      <c r="B304" s="6"/>
      <c r="C304" s="7"/>
      <c r="D304" s="6"/>
      <c r="E304" s="6"/>
    </row>
    <row r="305" ht="22.5" customHeight="1">
      <c r="A305" s="6"/>
      <c r="B305" s="6"/>
      <c r="C305" s="7"/>
      <c r="D305" s="6"/>
      <c r="E305" s="6"/>
    </row>
    <row r="306" ht="22.5" customHeight="1">
      <c r="A306" s="6"/>
      <c r="B306" s="6"/>
      <c r="C306" s="7"/>
      <c r="D306" s="6"/>
      <c r="E306" s="6"/>
    </row>
    <row r="307" ht="22.5" customHeight="1">
      <c r="A307" s="6"/>
      <c r="B307" s="6"/>
      <c r="C307" s="7"/>
      <c r="D307" s="6"/>
      <c r="E307" s="6"/>
    </row>
    <row r="308" ht="22.5" customHeight="1">
      <c r="A308" s="6"/>
      <c r="B308" s="6"/>
      <c r="C308" s="7"/>
      <c r="D308" s="6"/>
      <c r="E308" s="6"/>
    </row>
    <row r="309" ht="22.5" customHeight="1">
      <c r="A309" s="6"/>
      <c r="B309" s="6"/>
      <c r="C309" s="7"/>
      <c r="D309" s="6"/>
      <c r="E309" s="6"/>
    </row>
    <row r="310" ht="22.5" customHeight="1">
      <c r="A310" s="6"/>
      <c r="B310" s="6"/>
      <c r="C310" s="7"/>
      <c r="D310" s="6"/>
      <c r="E310" s="6"/>
    </row>
    <row r="311" ht="22.5" customHeight="1">
      <c r="A311" s="6"/>
      <c r="B311" s="6"/>
      <c r="C311" s="7"/>
      <c r="D311" s="6"/>
      <c r="E311" s="6"/>
    </row>
    <row r="312" ht="22.5" customHeight="1">
      <c r="A312" s="6"/>
      <c r="B312" s="6"/>
      <c r="C312" s="7"/>
      <c r="D312" s="6"/>
      <c r="E312" s="6"/>
    </row>
    <row r="313" ht="22.5" customHeight="1">
      <c r="A313" s="6"/>
      <c r="B313" s="6"/>
      <c r="C313" s="7"/>
      <c r="D313" s="6"/>
      <c r="E313" s="6"/>
    </row>
    <row r="314" ht="22.5" customHeight="1">
      <c r="A314" s="6"/>
      <c r="B314" s="6"/>
      <c r="C314" s="7"/>
      <c r="D314" s="6"/>
      <c r="E314" s="6"/>
    </row>
    <row r="315" ht="22.5" customHeight="1">
      <c r="A315" s="6"/>
      <c r="B315" s="6"/>
      <c r="C315" s="7"/>
      <c r="D315" s="6"/>
      <c r="E315" s="6"/>
    </row>
    <row r="316" ht="22.5" customHeight="1">
      <c r="A316" s="6"/>
      <c r="B316" s="6"/>
      <c r="C316" s="7"/>
      <c r="D316" s="6"/>
      <c r="E316" s="6"/>
    </row>
    <row r="317" ht="22.5" customHeight="1">
      <c r="A317" s="6"/>
      <c r="B317" s="6"/>
      <c r="C317" s="7"/>
      <c r="D317" s="6"/>
      <c r="E317" s="6"/>
    </row>
    <row r="318" ht="22.5" customHeight="1">
      <c r="A318" s="6"/>
      <c r="B318" s="6"/>
      <c r="C318" s="7"/>
      <c r="D318" s="6"/>
      <c r="E318" s="6"/>
    </row>
    <row r="319" ht="22.5" customHeight="1">
      <c r="A319" s="6"/>
      <c r="B319" s="6"/>
      <c r="C319" s="7"/>
      <c r="D319" s="6"/>
      <c r="E319" s="6"/>
    </row>
    <row r="320" ht="22.5" customHeight="1">
      <c r="A320" s="6"/>
      <c r="B320" s="6"/>
      <c r="C320" s="7"/>
      <c r="D320" s="6"/>
      <c r="E320" s="6"/>
    </row>
    <row r="321" ht="22.5" customHeight="1">
      <c r="A321" s="6"/>
      <c r="B321" s="6"/>
      <c r="C321" s="7"/>
      <c r="D321" s="6"/>
      <c r="E321" s="6"/>
    </row>
    <row r="322" ht="22.5" customHeight="1">
      <c r="A322" s="6"/>
      <c r="B322" s="6"/>
      <c r="C322" s="7"/>
      <c r="D322" s="6"/>
      <c r="E322" s="6"/>
    </row>
    <row r="323" ht="22.5" customHeight="1">
      <c r="A323" s="6"/>
      <c r="B323" s="6"/>
      <c r="C323" s="7"/>
      <c r="D323" s="6"/>
      <c r="E323" s="6"/>
    </row>
    <row r="324" ht="22.5" customHeight="1">
      <c r="A324" s="6"/>
      <c r="B324" s="6"/>
      <c r="C324" s="7"/>
      <c r="D324" s="6"/>
      <c r="E324" s="6"/>
    </row>
    <row r="325" ht="22.5" customHeight="1">
      <c r="A325" s="6"/>
      <c r="B325" s="6"/>
      <c r="C325" s="7"/>
      <c r="D325" s="6"/>
      <c r="E325" s="6"/>
    </row>
    <row r="326" ht="22.5" customHeight="1">
      <c r="A326" s="6"/>
      <c r="B326" s="6"/>
      <c r="C326" s="7"/>
      <c r="D326" s="6"/>
      <c r="E326" s="6"/>
    </row>
    <row r="327" ht="22.5" customHeight="1">
      <c r="A327" s="6"/>
      <c r="B327" s="6"/>
      <c r="C327" s="7"/>
      <c r="D327" s="6"/>
      <c r="E327" s="6"/>
    </row>
    <row r="328" ht="22.5" customHeight="1">
      <c r="A328" s="6"/>
      <c r="B328" s="6"/>
      <c r="C328" s="7"/>
      <c r="D328" s="6"/>
      <c r="E328" s="6"/>
    </row>
    <row r="329" ht="22.5" customHeight="1">
      <c r="A329" s="6"/>
      <c r="B329" s="6"/>
      <c r="C329" s="7"/>
      <c r="D329" s="6"/>
      <c r="E329" s="6"/>
    </row>
    <row r="330" ht="22.5" customHeight="1">
      <c r="A330" s="6"/>
      <c r="B330" s="6"/>
      <c r="C330" s="7"/>
      <c r="D330" s="6"/>
      <c r="E330" s="6"/>
    </row>
    <row r="331" ht="22.5" customHeight="1">
      <c r="A331" s="6"/>
      <c r="B331" s="6"/>
      <c r="C331" s="7"/>
      <c r="D331" s="6"/>
      <c r="E331" s="6"/>
    </row>
    <row r="332" ht="22.5" customHeight="1">
      <c r="A332" s="6"/>
      <c r="B332" s="6"/>
      <c r="C332" s="7"/>
      <c r="D332" s="6"/>
      <c r="E332" s="6"/>
    </row>
    <row r="333" ht="22.5" customHeight="1">
      <c r="A333" s="6"/>
      <c r="B333" s="6"/>
      <c r="C333" s="7"/>
      <c r="D333" s="6"/>
      <c r="E333" s="6"/>
    </row>
    <row r="334" ht="22.5" customHeight="1">
      <c r="A334" s="6"/>
      <c r="B334" s="6"/>
      <c r="C334" s="7"/>
      <c r="D334" s="6"/>
      <c r="E334" s="6"/>
    </row>
    <row r="335" ht="22.5" customHeight="1">
      <c r="A335" s="6"/>
      <c r="B335" s="6"/>
      <c r="C335" s="7"/>
      <c r="D335" s="6"/>
      <c r="E335" s="6"/>
    </row>
    <row r="336" ht="22.5" customHeight="1">
      <c r="A336" s="6"/>
      <c r="B336" s="6"/>
      <c r="C336" s="7"/>
      <c r="D336" s="6"/>
      <c r="E336" s="6"/>
    </row>
    <row r="337" ht="22.5" customHeight="1">
      <c r="A337" s="6"/>
      <c r="B337" s="6"/>
      <c r="C337" s="7"/>
      <c r="D337" s="6"/>
      <c r="E337" s="6"/>
    </row>
    <row r="338" ht="22.5" customHeight="1">
      <c r="A338" s="6"/>
      <c r="B338" s="6"/>
      <c r="C338" s="7"/>
      <c r="D338" s="6"/>
      <c r="E338" s="6"/>
    </row>
    <row r="339" ht="22.5" customHeight="1">
      <c r="A339" s="6"/>
      <c r="B339" s="6"/>
      <c r="C339" s="7"/>
      <c r="D339" s="6"/>
      <c r="E339" s="6"/>
    </row>
    <row r="340" ht="22.5" customHeight="1">
      <c r="A340" s="6"/>
      <c r="B340" s="6"/>
      <c r="C340" s="7"/>
      <c r="D340" s="6"/>
      <c r="E340" s="6"/>
    </row>
    <row r="341" ht="22.5" customHeight="1">
      <c r="A341" s="6"/>
      <c r="B341" s="6"/>
      <c r="C341" s="7"/>
      <c r="D341" s="6"/>
      <c r="E341" s="6"/>
    </row>
    <row r="342" ht="22.5" customHeight="1">
      <c r="A342" s="6"/>
      <c r="B342" s="6"/>
      <c r="C342" s="7"/>
      <c r="D342" s="6"/>
      <c r="E342" s="6"/>
    </row>
    <row r="343" ht="22.5" customHeight="1">
      <c r="A343" s="6"/>
      <c r="B343" s="6"/>
      <c r="C343" s="7"/>
      <c r="D343" s="6"/>
      <c r="E343" s="6"/>
    </row>
    <row r="344" ht="22.5" customHeight="1">
      <c r="A344" s="6"/>
      <c r="B344" s="6"/>
      <c r="C344" s="7"/>
      <c r="D344" s="6"/>
      <c r="E344" s="6"/>
    </row>
    <row r="345" ht="22.5" customHeight="1">
      <c r="A345" s="6"/>
      <c r="B345" s="6"/>
      <c r="C345" s="7"/>
      <c r="D345" s="6"/>
      <c r="E345" s="6"/>
    </row>
    <row r="346" ht="22.5" customHeight="1">
      <c r="A346" s="6"/>
      <c r="B346" s="6"/>
      <c r="C346" s="7"/>
      <c r="D346" s="6"/>
      <c r="E346" s="6"/>
    </row>
    <row r="347" ht="22.5" customHeight="1">
      <c r="A347" s="6"/>
      <c r="B347" s="6"/>
      <c r="C347" s="7"/>
      <c r="D347" s="6"/>
      <c r="E347" s="6"/>
    </row>
    <row r="348" ht="22.5" customHeight="1">
      <c r="A348" s="6"/>
      <c r="B348" s="6"/>
      <c r="C348" s="7"/>
      <c r="D348" s="6"/>
      <c r="E348" s="6"/>
    </row>
    <row r="349" ht="22.5" customHeight="1">
      <c r="A349" s="6"/>
      <c r="B349" s="6"/>
      <c r="C349" s="7"/>
      <c r="D349" s="6"/>
      <c r="E349" s="6"/>
    </row>
    <row r="350" ht="22.5" customHeight="1">
      <c r="A350" s="6"/>
      <c r="B350" s="6"/>
      <c r="C350" s="7"/>
      <c r="D350" s="6"/>
      <c r="E350" s="6"/>
    </row>
    <row r="351" ht="22.5" customHeight="1">
      <c r="A351" s="6"/>
      <c r="B351" s="6"/>
      <c r="C351" s="7"/>
      <c r="D351" s="6"/>
      <c r="E351" s="6"/>
    </row>
    <row r="352" ht="22.5" customHeight="1">
      <c r="A352" s="6"/>
      <c r="B352" s="6"/>
      <c r="C352" s="7"/>
      <c r="D352" s="6"/>
      <c r="E352" s="6"/>
    </row>
    <row r="353" ht="22.5" customHeight="1">
      <c r="A353" s="6"/>
      <c r="B353" s="6"/>
      <c r="C353" s="7"/>
      <c r="D353" s="6"/>
      <c r="E353" s="6"/>
    </row>
    <row r="354" ht="22.5" customHeight="1">
      <c r="A354" s="6"/>
      <c r="B354" s="6"/>
      <c r="C354" s="7"/>
      <c r="D354" s="6"/>
      <c r="E354" s="6"/>
    </row>
    <row r="355" ht="22.5" customHeight="1">
      <c r="A355" s="6"/>
      <c r="B355" s="6"/>
      <c r="C355" s="7"/>
      <c r="D355" s="6"/>
      <c r="E355" s="6"/>
    </row>
    <row r="356" ht="22.5" customHeight="1">
      <c r="A356" s="6"/>
      <c r="B356" s="6"/>
      <c r="C356" s="7"/>
      <c r="D356" s="6"/>
      <c r="E356" s="6"/>
    </row>
    <row r="357" ht="22.5" customHeight="1">
      <c r="A357" s="6"/>
      <c r="B357" s="6"/>
      <c r="C357" s="7"/>
      <c r="D357" s="6"/>
      <c r="E357" s="6"/>
    </row>
    <row r="358" ht="22.5" customHeight="1">
      <c r="A358" s="6"/>
      <c r="B358" s="6"/>
      <c r="C358" s="7"/>
      <c r="D358" s="6"/>
      <c r="E358" s="6"/>
    </row>
    <row r="359" ht="22.5" customHeight="1">
      <c r="A359" s="6"/>
      <c r="B359" s="6"/>
      <c r="C359" s="7"/>
      <c r="D359" s="6"/>
      <c r="E359" s="6"/>
    </row>
    <row r="360" ht="22.5" customHeight="1">
      <c r="A360" s="6"/>
      <c r="B360" s="6"/>
      <c r="C360" s="7"/>
      <c r="D360" s="6"/>
      <c r="E360" s="6"/>
    </row>
    <row r="361" ht="22.5" customHeight="1">
      <c r="A361" s="6"/>
      <c r="B361" s="6"/>
      <c r="C361" s="7"/>
      <c r="D361" s="6"/>
      <c r="E361" s="6"/>
    </row>
    <row r="362" ht="22.5" customHeight="1">
      <c r="A362" s="6"/>
      <c r="B362" s="6"/>
      <c r="C362" s="7"/>
      <c r="D362" s="6"/>
      <c r="E362" s="6"/>
    </row>
    <row r="363" ht="22.5" customHeight="1">
      <c r="A363" s="6"/>
      <c r="B363" s="6"/>
      <c r="C363" s="7"/>
      <c r="D363" s="6"/>
      <c r="E363" s="6"/>
    </row>
    <row r="364" ht="22.5" customHeight="1">
      <c r="A364" s="6"/>
      <c r="B364" s="6"/>
      <c r="C364" s="7"/>
      <c r="D364" s="6"/>
      <c r="E364" s="6"/>
    </row>
    <row r="365" ht="22.5" customHeight="1">
      <c r="A365" s="6"/>
      <c r="B365" s="6"/>
      <c r="C365" s="7"/>
      <c r="D365" s="6"/>
      <c r="E365" s="6"/>
    </row>
    <row r="366" ht="22.5" customHeight="1">
      <c r="A366" s="6"/>
      <c r="B366" s="6"/>
      <c r="C366" s="7"/>
      <c r="D366" s="6"/>
      <c r="E366" s="6"/>
    </row>
    <row r="367" ht="22.5" customHeight="1">
      <c r="A367" s="6"/>
      <c r="B367" s="6"/>
      <c r="C367" s="7"/>
      <c r="D367" s="6"/>
      <c r="E367" s="6"/>
    </row>
    <row r="368" ht="22.5" customHeight="1">
      <c r="A368" s="6"/>
      <c r="B368" s="6"/>
      <c r="C368" s="7"/>
      <c r="D368" s="6"/>
      <c r="E368" s="6"/>
    </row>
    <row r="369" ht="22.5" customHeight="1">
      <c r="A369" s="6"/>
      <c r="B369" s="6"/>
      <c r="C369" s="7"/>
      <c r="D369" s="6"/>
      <c r="E369" s="6"/>
    </row>
    <row r="370" ht="22.5" customHeight="1">
      <c r="A370" s="6"/>
      <c r="B370" s="6"/>
      <c r="C370" s="7"/>
      <c r="D370" s="6"/>
      <c r="E370" s="6"/>
    </row>
    <row r="371" ht="22.5" customHeight="1">
      <c r="A371" s="6"/>
      <c r="B371" s="6"/>
      <c r="C371" s="7"/>
      <c r="D371" s="6"/>
      <c r="E371" s="6"/>
    </row>
    <row r="372" ht="22.5" customHeight="1">
      <c r="A372" s="6"/>
      <c r="B372" s="6"/>
      <c r="C372" s="7"/>
      <c r="D372" s="6"/>
      <c r="E372" s="6"/>
    </row>
    <row r="373" ht="22.5" customHeight="1">
      <c r="A373" s="6"/>
      <c r="B373" s="6"/>
      <c r="C373" s="7"/>
      <c r="D373" s="6"/>
      <c r="E373" s="6"/>
    </row>
    <row r="374" ht="22.5" customHeight="1">
      <c r="A374" s="6"/>
      <c r="B374" s="6"/>
      <c r="C374" s="7"/>
      <c r="D374" s="6"/>
      <c r="E374" s="6"/>
    </row>
    <row r="375" ht="22.5" customHeight="1">
      <c r="A375" s="6"/>
      <c r="B375" s="6"/>
      <c r="C375" s="7"/>
      <c r="D375" s="6"/>
      <c r="E375" s="6"/>
    </row>
    <row r="376" ht="22.5" customHeight="1">
      <c r="A376" s="6"/>
      <c r="B376" s="6"/>
      <c r="C376" s="7"/>
      <c r="D376" s="6"/>
      <c r="E376" s="6"/>
    </row>
    <row r="377" ht="22.5" customHeight="1">
      <c r="A377" s="6"/>
      <c r="B377" s="6"/>
      <c r="C377" s="7"/>
      <c r="D377" s="6"/>
      <c r="E377" s="6"/>
    </row>
    <row r="378" ht="22.5" customHeight="1">
      <c r="A378" s="6"/>
      <c r="B378" s="6"/>
      <c r="C378" s="7"/>
      <c r="D378" s="6"/>
      <c r="E378" s="6"/>
    </row>
    <row r="379" ht="22.5" customHeight="1">
      <c r="A379" s="6"/>
      <c r="B379" s="6"/>
      <c r="C379" s="7"/>
      <c r="D379" s="6"/>
      <c r="E379" s="6"/>
    </row>
    <row r="380" ht="22.5" customHeight="1">
      <c r="A380" s="6"/>
      <c r="B380" s="6"/>
      <c r="C380" s="7"/>
      <c r="D380" s="6"/>
      <c r="E380" s="6"/>
    </row>
    <row r="381" ht="22.5" customHeight="1">
      <c r="A381" s="6"/>
      <c r="B381" s="6"/>
      <c r="C381" s="7"/>
      <c r="D381" s="6"/>
      <c r="E381" s="6"/>
    </row>
    <row r="382" ht="22.5" customHeight="1">
      <c r="A382" s="6"/>
      <c r="B382" s="6"/>
      <c r="C382" s="7"/>
      <c r="D382" s="6"/>
      <c r="E382" s="6"/>
    </row>
    <row r="383" ht="22.5" customHeight="1">
      <c r="A383" s="6"/>
      <c r="B383" s="6"/>
      <c r="C383" s="7"/>
      <c r="D383" s="6"/>
      <c r="E383" s="6"/>
    </row>
    <row r="384" ht="22.5" customHeight="1">
      <c r="A384" s="6"/>
      <c r="B384" s="6"/>
      <c r="C384" s="7"/>
      <c r="D384" s="6"/>
      <c r="E384" s="6"/>
    </row>
    <row r="385" ht="22.5" customHeight="1">
      <c r="A385" s="6"/>
      <c r="B385" s="6"/>
      <c r="C385" s="7"/>
      <c r="D385" s="6"/>
      <c r="E385" s="6"/>
    </row>
    <row r="386" ht="22.5" customHeight="1">
      <c r="A386" s="6"/>
      <c r="B386" s="6"/>
      <c r="C386" s="7"/>
      <c r="D386" s="6"/>
      <c r="E386" s="6"/>
    </row>
    <row r="387" ht="22.5" customHeight="1">
      <c r="A387" s="6"/>
      <c r="B387" s="6"/>
      <c r="C387" s="7"/>
      <c r="D387" s="6"/>
      <c r="E387" s="6"/>
    </row>
    <row r="388" ht="22.5" customHeight="1">
      <c r="A388" s="6"/>
      <c r="B388" s="6"/>
      <c r="C388" s="7"/>
      <c r="D388" s="6"/>
      <c r="E388" s="6"/>
    </row>
    <row r="389" ht="22.5" customHeight="1">
      <c r="A389" s="6"/>
      <c r="B389" s="6"/>
      <c r="C389" s="7"/>
      <c r="D389" s="6"/>
      <c r="E389" s="6"/>
    </row>
    <row r="390" ht="22.5" customHeight="1">
      <c r="A390" s="6"/>
      <c r="B390" s="6"/>
      <c r="C390" s="7"/>
      <c r="D390" s="6"/>
      <c r="E390" s="6"/>
    </row>
    <row r="391" ht="22.5" customHeight="1">
      <c r="A391" s="6"/>
      <c r="B391" s="6"/>
      <c r="C391" s="7"/>
      <c r="D391" s="6"/>
      <c r="E391" s="6"/>
    </row>
    <row r="392" ht="22.5" customHeight="1">
      <c r="A392" s="6"/>
      <c r="B392" s="6"/>
      <c r="C392" s="7"/>
      <c r="D392" s="6"/>
      <c r="E392" s="6"/>
    </row>
    <row r="393" ht="22.5" customHeight="1">
      <c r="A393" s="6"/>
      <c r="B393" s="6"/>
      <c r="C393" s="7"/>
      <c r="D393" s="6"/>
      <c r="E393" s="6"/>
    </row>
    <row r="394" ht="22.5" customHeight="1">
      <c r="A394" s="6"/>
      <c r="B394" s="6"/>
      <c r="C394" s="7"/>
      <c r="D394" s="6"/>
      <c r="E394" s="6"/>
    </row>
    <row r="395" ht="22.5" customHeight="1">
      <c r="A395" s="6"/>
      <c r="B395" s="6"/>
      <c r="C395" s="7"/>
      <c r="D395" s="6"/>
      <c r="E395" s="6"/>
    </row>
    <row r="396" ht="22.5" customHeight="1">
      <c r="A396" s="6"/>
      <c r="B396" s="6"/>
      <c r="C396" s="7"/>
      <c r="D396" s="6"/>
      <c r="E396" s="6"/>
    </row>
    <row r="397" ht="22.5" customHeight="1">
      <c r="A397" s="6"/>
      <c r="B397" s="6"/>
      <c r="C397" s="7"/>
      <c r="D397" s="6"/>
      <c r="E397" s="6"/>
    </row>
    <row r="398" ht="22.5" customHeight="1">
      <c r="A398" s="6"/>
      <c r="B398" s="6"/>
      <c r="C398" s="7"/>
      <c r="D398" s="6"/>
      <c r="E398" s="6"/>
    </row>
    <row r="399" ht="22.5" customHeight="1">
      <c r="A399" s="6"/>
      <c r="B399" s="6"/>
      <c r="C399" s="7"/>
      <c r="D399" s="6"/>
      <c r="E399" s="6"/>
    </row>
    <row r="400" ht="22.5" customHeight="1">
      <c r="A400" s="6"/>
      <c r="B400" s="6"/>
      <c r="C400" s="7"/>
      <c r="D400" s="6"/>
      <c r="E400" s="6"/>
    </row>
    <row r="401" ht="22.5" customHeight="1">
      <c r="A401" s="6"/>
      <c r="B401" s="6"/>
      <c r="C401" s="7"/>
      <c r="D401" s="6"/>
      <c r="E401" s="6"/>
    </row>
    <row r="402" ht="22.5" customHeight="1">
      <c r="A402" s="6"/>
      <c r="B402" s="6"/>
      <c r="C402" s="7"/>
      <c r="D402" s="6"/>
      <c r="E402" s="6"/>
    </row>
    <row r="403" ht="22.5" customHeight="1">
      <c r="A403" s="6"/>
      <c r="B403" s="6"/>
      <c r="C403" s="7"/>
      <c r="D403" s="6"/>
      <c r="E403" s="6"/>
    </row>
    <row r="404" ht="22.5" customHeight="1">
      <c r="A404" s="6"/>
      <c r="B404" s="6"/>
      <c r="C404" s="7"/>
      <c r="D404" s="6"/>
      <c r="E404" s="6"/>
    </row>
    <row r="405" ht="22.5" customHeight="1">
      <c r="A405" s="6"/>
      <c r="B405" s="6"/>
      <c r="C405" s="7"/>
      <c r="D405" s="6"/>
      <c r="E405" s="6"/>
    </row>
    <row r="406" ht="22.5" customHeight="1">
      <c r="A406" s="6"/>
      <c r="B406" s="6"/>
      <c r="C406" s="7"/>
      <c r="D406" s="6"/>
      <c r="E406" s="6"/>
    </row>
    <row r="407" ht="22.5" customHeight="1">
      <c r="A407" s="6"/>
      <c r="B407" s="6"/>
      <c r="C407" s="7"/>
      <c r="D407" s="6"/>
      <c r="E407" s="6"/>
    </row>
    <row r="408" ht="22.5" customHeight="1">
      <c r="A408" s="6"/>
      <c r="B408" s="6"/>
      <c r="C408" s="7"/>
      <c r="D408" s="6"/>
      <c r="E408" s="6"/>
    </row>
    <row r="409" ht="22.5" customHeight="1">
      <c r="A409" s="6"/>
      <c r="B409" s="6"/>
      <c r="C409" s="7"/>
      <c r="D409" s="6"/>
      <c r="E409" s="6"/>
    </row>
    <row r="410" ht="22.5" customHeight="1">
      <c r="A410" s="6"/>
      <c r="B410" s="6"/>
      <c r="C410" s="7"/>
      <c r="D410" s="6"/>
      <c r="E410" s="6"/>
    </row>
    <row r="411" ht="22.5" customHeight="1">
      <c r="A411" s="6"/>
      <c r="B411" s="6"/>
      <c r="C411" s="7"/>
      <c r="D411" s="6"/>
      <c r="E411" s="6"/>
    </row>
    <row r="412" ht="22.5" customHeight="1">
      <c r="A412" s="6"/>
      <c r="B412" s="6"/>
      <c r="C412" s="7"/>
      <c r="D412" s="6"/>
      <c r="E412" s="6"/>
    </row>
    <row r="413" ht="22.5" customHeight="1">
      <c r="A413" s="6"/>
      <c r="B413" s="6"/>
      <c r="C413" s="7"/>
      <c r="D413" s="6"/>
      <c r="E413" s="6"/>
    </row>
    <row r="414" ht="22.5" customHeight="1">
      <c r="A414" s="6"/>
      <c r="B414" s="6"/>
      <c r="C414" s="7"/>
      <c r="D414" s="6"/>
      <c r="E414" s="6"/>
    </row>
    <row r="415" ht="22.5" customHeight="1">
      <c r="A415" s="6"/>
      <c r="B415" s="6"/>
      <c r="C415" s="7"/>
      <c r="D415" s="6"/>
      <c r="E415" s="6"/>
    </row>
    <row r="416" ht="22.5" customHeight="1">
      <c r="A416" s="6"/>
      <c r="B416" s="6"/>
      <c r="C416" s="7"/>
      <c r="D416" s="6"/>
      <c r="E416" s="6"/>
    </row>
    <row r="417" ht="22.5" customHeight="1">
      <c r="A417" s="6"/>
      <c r="B417" s="6"/>
      <c r="C417" s="7"/>
      <c r="D417" s="6"/>
      <c r="E417" s="6"/>
    </row>
    <row r="418" ht="22.5" customHeight="1">
      <c r="A418" s="6"/>
      <c r="B418" s="6"/>
      <c r="C418" s="7"/>
      <c r="D418" s="6"/>
      <c r="E418" s="6"/>
    </row>
    <row r="419" ht="22.5" customHeight="1">
      <c r="A419" s="6"/>
      <c r="B419" s="6"/>
      <c r="C419" s="7"/>
      <c r="D419" s="6"/>
      <c r="E419" s="6"/>
    </row>
    <row r="420" ht="22.5" customHeight="1">
      <c r="A420" s="6"/>
      <c r="B420" s="6"/>
      <c r="C420" s="7"/>
      <c r="D420" s="6"/>
      <c r="E420" s="6"/>
    </row>
    <row r="421" ht="22.5" customHeight="1">
      <c r="A421" s="6"/>
      <c r="B421" s="6"/>
      <c r="C421" s="7"/>
      <c r="D421" s="6"/>
      <c r="E421" s="6"/>
    </row>
    <row r="422" ht="22.5" customHeight="1">
      <c r="A422" s="6"/>
      <c r="B422" s="6"/>
      <c r="C422" s="7"/>
      <c r="D422" s="6"/>
      <c r="E422" s="6"/>
    </row>
    <row r="423" ht="22.5" customHeight="1">
      <c r="A423" s="6"/>
      <c r="B423" s="6"/>
      <c r="C423" s="7"/>
      <c r="D423" s="6"/>
      <c r="E423" s="6"/>
    </row>
    <row r="424" ht="22.5" customHeight="1">
      <c r="A424" s="6"/>
      <c r="B424" s="6"/>
      <c r="C424" s="7"/>
      <c r="D424" s="6"/>
      <c r="E424" s="6"/>
    </row>
    <row r="425" ht="22.5" customHeight="1">
      <c r="A425" s="6"/>
      <c r="B425" s="6"/>
      <c r="C425" s="7"/>
      <c r="D425" s="6"/>
      <c r="E425" s="6"/>
    </row>
    <row r="426" ht="22.5" customHeight="1">
      <c r="A426" s="6"/>
      <c r="B426" s="6"/>
      <c r="C426" s="7"/>
      <c r="D426" s="6"/>
      <c r="E426" s="6"/>
    </row>
    <row r="427" ht="22.5" customHeight="1">
      <c r="A427" s="6"/>
      <c r="B427" s="6"/>
      <c r="C427" s="7"/>
      <c r="D427" s="6"/>
      <c r="E427" s="6"/>
    </row>
    <row r="428" ht="22.5" customHeight="1">
      <c r="A428" s="6"/>
      <c r="B428" s="6"/>
      <c r="C428" s="7"/>
      <c r="D428" s="6"/>
      <c r="E428" s="6"/>
    </row>
    <row r="429" ht="22.5" customHeight="1">
      <c r="A429" s="6"/>
      <c r="B429" s="6"/>
      <c r="C429" s="7"/>
      <c r="D429" s="6"/>
      <c r="E429" s="6"/>
    </row>
    <row r="430" ht="22.5" customHeight="1">
      <c r="A430" s="6"/>
      <c r="B430" s="6"/>
      <c r="C430" s="7"/>
      <c r="D430" s="6"/>
      <c r="E430" s="6"/>
    </row>
    <row r="431" ht="22.5" customHeight="1">
      <c r="A431" s="6"/>
      <c r="B431" s="6"/>
      <c r="C431" s="7"/>
      <c r="D431" s="6"/>
      <c r="E431" s="6"/>
    </row>
    <row r="432" ht="22.5" customHeight="1">
      <c r="A432" s="6"/>
      <c r="B432" s="6"/>
      <c r="C432" s="7"/>
      <c r="D432" s="6"/>
      <c r="E432" s="6"/>
    </row>
    <row r="433" ht="22.5" customHeight="1">
      <c r="A433" s="6"/>
      <c r="B433" s="6"/>
      <c r="C433" s="7"/>
      <c r="D433" s="6"/>
      <c r="E433" s="6"/>
    </row>
    <row r="434" ht="22.5" customHeight="1">
      <c r="A434" s="6"/>
      <c r="B434" s="6"/>
      <c r="C434" s="7"/>
      <c r="D434" s="6"/>
      <c r="E434" s="6"/>
    </row>
    <row r="435" ht="22.5" customHeight="1">
      <c r="A435" s="6"/>
      <c r="B435" s="6"/>
      <c r="C435" s="7"/>
      <c r="D435" s="6"/>
      <c r="E435" s="6"/>
    </row>
    <row r="436" ht="22.5" customHeight="1">
      <c r="A436" s="6"/>
      <c r="B436" s="6"/>
      <c r="C436" s="7"/>
      <c r="D436" s="6"/>
      <c r="E436" s="6"/>
    </row>
    <row r="437" ht="22.5" customHeight="1">
      <c r="A437" s="6"/>
      <c r="B437" s="6"/>
      <c r="C437" s="7"/>
      <c r="D437" s="6"/>
      <c r="E437" s="6"/>
    </row>
    <row r="438" ht="22.5" customHeight="1">
      <c r="A438" s="6"/>
      <c r="B438" s="6"/>
      <c r="C438" s="7"/>
      <c r="D438" s="6"/>
      <c r="E438" s="6"/>
    </row>
    <row r="439" ht="22.5" customHeight="1">
      <c r="A439" s="6"/>
      <c r="B439" s="6"/>
      <c r="C439" s="7"/>
      <c r="D439" s="6"/>
      <c r="E439" s="6"/>
    </row>
    <row r="440" ht="22.5" customHeight="1">
      <c r="A440" s="6"/>
      <c r="B440" s="6"/>
      <c r="C440" s="7"/>
      <c r="D440" s="6"/>
      <c r="E440" s="6"/>
    </row>
    <row r="441" ht="22.5" customHeight="1">
      <c r="A441" s="6"/>
      <c r="B441" s="6"/>
      <c r="C441" s="7"/>
      <c r="D441" s="6"/>
      <c r="E441" s="6"/>
    </row>
    <row r="442" ht="22.5" customHeight="1">
      <c r="A442" s="6"/>
      <c r="B442" s="6"/>
      <c r="C442" s="7"/>
      <c r="D442" s="6"/>
      <c r="E442" s="6"/>
    </row>
    <row r="443" ht="22.5" customHeight="1">
      <c r="A443" s="6"/>
      <c r="B443" s="6"/>
      <c r="C443" s="7"/>
      <c r="D443" s="6"/>
      <c r="E443" s="6"/>
    </row>
    <row r="444" ht="22.5" customHeight="1">
      <c r="A444" s="6"/>
      <c r="B444" s="6"/>
      <c r="C444" s="7"/>
      <c r="D444" s="6"/>
      <c r="E444" s="6"/>
    </row>
    <row r="445" ht="22.5" customHeight="1">
      <c r="A445" s="6"/>
      <c r="B445" s="6"/>
      <c r="C445" s="7"/>
      <c r="D445" s="6"/>
      <c r="E445" s="6"/>
    </row>
    <row r="446" ht="22.5" customHeight="1">
      <c r="A446" s="6"/>
      <c r="B446" s="6"/>
      <c r="C446" s="7"/>
      <c r="D446" s="6"/>
      <c r="E446" s="6"/>
    </row>
    <row r="447" ht="22.5" customHeight="1">
      <c r="A447" s="6"/>
      <c r="B447" s="6"/>
      <c r="C447" s="7"/>
      <c r="D447" s="6"/>
      <c r="E447" s="6"/>
    </row>
    <row r="448" ht="22.5" customHeight="1">
      <c r="A448" s="6"/>
      <c r="B448" s="6"/>
      <c r="C448" s="7"/>
      <c r="D448" s="6"/>
      <c r="E448" s="6"/>
    </row>
    <row r="449" ht="22.5" customHeight="1">
      <c r="A449" s="6"/>
      <c r="B449" s="6"/>
      <c r="C449" s="7"/>
      <c r="D449" s="6"/>
      <c r="E449" s="6"/>
    </row>
    <row r="450" ht="22.5" customHeight="1">
      <c r="A450" s="6"/>
      <c r="B450" s="6"/>
      <c r="C450" s="7"/>
      <c r="D450" s="6"/>
      <c r="E450" s="6"/>
    </row>
    <row r="451" ht="22.5" customHeight="1">
      <c r="A451" s="6"/>
      <c r="B451" s="6"/>
      <c r="C451" s="7"/>
      <c r="D451" s="6"/>
      <c r="E451" s="6"/>
    </row>
    <row r="452" ht="22.5" customHeight="1">
      <c r="A452" s="6"/>
      <c r="B452" s="6"/>
      <c r="C452" s="7"/>
      <c r="D452" s="6"/>
      <c r="E452" s="6"/>
    </row>
    <row r="453" ht="22.5" customHeight="1">
      <c r="A453" s="6"/>
      <c r="B453" s="6"/>
      <c r="C453" s="7"/>
      <c r="D453" s="6"/>
      <c r="E453" s="6"/>
    </row>
    <row r="454" ht="22.5" customHeight="1">
      <c r="A454" s="6"/>
      <c r="B454" s="6"/>
      <c r="C454" s="7"/>
      <c r="D454" s="6"/>
      <c r="E454" s="6"/>
    </row>
    <row r="455" ht="22.5" customHeight="1">
      <c r="A455" s="6"/>
      <c r="B455" s="6"/>
      <c r="C455" s="7"/>
      <c r="D455" s="6"/>
      <c r="E455" s="6"/>
    </row>
    <row r="456" ht="22.5" customHeight="1">
      <c r="A456" s="6"/>
      <c r="B456" s="6"/>
      <c r="C456" s="7"/>
      <c r="D456" s="6"/>
      <c r="E456" s="6"/>
    </row>
    <row r="457" ht="22.5" customHeight="1">
      <c r="A457" s="6"/>
      <c r="B457" s="6"/>
      <c r="C457" s="7"/>
      <c r="D457" s="6"/>
      <c r="E457" s="6"/>
    </row>
    <row r="458" ht="22.5" customHeight="1">
      <c r="A458" s="6"/>
      <c r="B458" s="6"/>
      <c r="C458" s="7"/>
      <c r="D458" s="6"/>
      <c r="E458" s="6"/>
    </row>
    <row r="459" ht="22.5" customHeight="1">
      <c r="A459" s="6"/>
      <c r="B459" s="6"/>
      <c r="C459" s="7"/>
      <c r="D459" s="6"/>
      <c r="E459" s="6"/>
    </row>
    <row r="460" ht="22.5" customHeight="1">
      <c r="A460" s="6"/>
      <c r="B460" s="6"/>
      <c r="C460" s="7"/>
      <c r="D460" s="6"/>
      <c r="E460" s="6"/>
    </row>
    <row r="461" ht="22.5" customHeight="1">
      <c r="A461" s="6"/>
      <c r="B461" s="6"/>
      <c r="C461" s="7"/>
      <c r="D461" s="6"/>
      <c r="E461" s="6"/>
    </row>
    <row r="462" ht="22.5" customHeight="1">
      <c r="A462" s="6"/>
      <c r="B462" s="6"/>
      <c r="C462" s="7"/>
      <c r="D462" s="6"/>
      <c r="E462" s="6"/>
    </row>
    <row r="463" ht="22.5" customHeight="1">
      <c r="A463" s="6"/>
      <c r="B463" s="6"/>
      <c r="C463" s="7"/>
      <c r="D463" s="6"/>
      <c r="E463" s="6"/>
    </row>
    <row r="464" ht="22.5" customHeight="1">
      <c r="A464" s="6"/>
      <c r="B464" s="6"/>
      <c r="C464" s="7"/>
      <c r="D464" s="6"/>
      <c r="E464" s="6"/>
    </row>
    <row r="465" ht="22.5" customHeight="1">
      <c r="A465" s="6"/>
      <c r="B465" s="6"/>
      <c r="C465" s="7"/>
      <c r="D465" s="6"/>
      <c r="E465" s="6"/>
    </row>
    <row r="466" ht="22.5" customHeight="1">
      <c r="A466" s="6"/>
      <c r="B466" s="6"/>
      <c r="C466" s="7"/>
      <c r="D466" s="6"/>
      <c r="E466" s="6"/>
    </row>
    <row r="467" ht="22.5" customHeight="1">
      <c r="A467" s="6"/>
      <c r="B467" s="6"/>
      <c r="C467" s="7"/>
      <c r="D467" s="6"/>
      <c r="E467" s="6"/>
    </row>
    <row r="468" ht="22.5" customHeight="1">
      <c r="A468" s="6"/>
      <c r="B468" s="6"/>
      <c r="C468" s="7"/>
      <c r="D468" s="6"/>
      <c r="E468" s="6"/>
    </row>
    <row r="469" ht="22.5" customHeight="1">
      <c r="A469" s="6"/>
      <c r="B469" s="6"/>
      <c r="C469" s="7"/>
      <c r="D469" s="6"/>
      <c r="E469" s="6"/>
    </row>
    <row r="470" ht="22.5" customHeight="1">
      <c r="A470" s="6"/>
      <c r="B470" s="6"/>
      <c r="C470" s="7"/>
      <c r="D470" s="6"/>
      <c r="E470" s="6"/>
    </row>
    <row r="471" ht="22.5" customHeight="1">
      <c r="A471" s="6"/>
      <c r="B471" s="6"/>
      <c r="C471" s="7"/>
      <c r="D471" s="6"/>
      <c r="E471" s="6"/>
    </row>
    <row r="472" ht="22.5" customHeight="1">
      <c r="A472" s="6"/>
      <c r="B472" s="6"/>
      <c r="C472" s="7"/>
      <c r="D472" s="6"/>
      <c r="E472" s="6"/>
    </row>
    <row r="473" ht="22.5" customHeight="1">
      <c r="A473" s="6"/>
      <c r="B473" s="6"/>
      <c r="C473" s="7"/>
      <c r="D473" s="6"/>
      <c r="E473" s="6"/>
    </row>
    <row r="474" ht="22.5" customHeight="1">
      <c r="A474" s="6"/>
      <c r="B474" s="6"/>
      <c r="C474" s="7"/>
      <c r="D474" s="6"/>
      <c r="E474" s="6"/>
    </row>
    <row r="475" ht="22.5" customHeight="1">
      <c r="A475" s="6"/>
      <c r="B475" s="6"/>
      <c r="C475" s="7"/>
      <c r="D475" s="6"/>
      <c r="E475" s="6"/>
    </row>
    <row r="476" ht="22.5" customHeight="1">
      <c r="A476" s="6"/>
      <c r="B476" s="6"/>
      <c r="C476" s="7"/>
      <c r="D476" s="6"/>
      <c r="E476" s="6"/>
    </row>
    <row r="477" ht="22.5" customHeight="1">
      <c r="A477" s="6"/>
      <c r="B477" s="6"/>
      <c r="C477" s="7"/>
      <c r="D477" s="6"/>
      <c r="E477" s="6"/>
    </row>
    <row r="478" ht="22.5" customHeight="1">
      <c r="A478" s="6"/>
      <c r="B478" s="6"/>
      <c r="C478" s="7"/>
      <c r="D478" s="6"/>
      <c r="E478" s="6"/>
    </row>
    <row r="479" ht="22.5" customHeight="1">
      <c r="A479" s="6"/>
      <c r="B479" s="6"/>
      <c r="C479" s="7"/>
      <c r="D479" s="6"/>
      <c r="E479" s="6"/>
    </row>
    <row r="480" ht="22.5" customHeight="1">
      <c r="A480" s="6"/>
      <c r="B480" s="6"/>
      <c r="C480" s="7"/>
      <c r="D480" s="6"/>
      <c r="E480" s="6"/>
    </row>
    <row r="481" ht="22.5" customHeight="1">
      <c r="A481" s="6"/>
      <c r="B481" s="6"/>
      <c r="C481" s="7"/>
      <c r="D481" s="6"/>
      <c r="E481" s="6"/>
    </row>
    <row r="482" ht="22.5" customHeight="1">
      <c r="A482" s="6"/>
      <c r="B482" s="6"/>
      <c r="C482" s="7"/>
      <c r="D482" s="6"/>
      <c r="E482" s="6"/>
    </row>
    <row r="483" ht="22.5" customHeight="1">
      <c r="A483" s="6"/>
      <c r="B483" s="6"/>
      <c r="C483" s="7"/>
      <c r="D483" s="6"/>
      <c r="E483" s="6"/>
    </row>
    <row r="484" ht="22.5" customHeight="1">
      <c r="A484" s="6"/>
      <c r="B484" s="6"/>
      <c r="C484" s="7"/>
      <c r="D484" s="6"/>
      <c r="E484" s="6"/>
    </row>
    <row r="485" ht="22.5" customHeight="1">
      <c r="A485" s="6"/>
      <c r="B485" s="6"/>
      <c r="C485" s="7"/>
      <c r="D485" s="6"/>
      <c r="E485" s="6"/>
    </row>
    <row r="486" ht="22.5" customHeight="1">
      <c r="A486" s="6"/>
      <c r="B486" s="6"/>
      <c r="C486" s="7"/>
      <c r="D486" s="6"/>
      <c r="E486" s="6"/>
    </row>
    <row r="487" ht="22.5" customHeight="1">
      <c r="A487" s="6"/>
      <c r="B487" s="6"/>
      <c r="C487" s="7"/>
      <c r="D487" s="6"/>
      <c r="E487" s="6"/>
    </row>
    <row r="488" ht="22.5" customHeight="1">
      <c r="A488" s="6"/>
      <c r="B488" s="6"/>
      <c r="C488" s="7"/>
      <c r="D488" s="6"/>
      <c r="E488" s="6"/>
    </row>
    <row r="489" ht="22.5" customHeight="1">
      <c r="A489" s="6"/>
      <c r="B489" s="6"/>
      <c r="C489" s="7"/>
      <c r="D489" s="6"/>
      <c r="E489" s="6"/>
    </row>
    <row r="490" ht="22.5" customHeight="1">
      <c r="A490" s="6"/>
      <c r="B490" s="6"/>
      <c r="C490" s="7"/>
      <c r="D490" s="6"/>
      <c r="E490" s="6"/>
    </row>
    <row r="491" ht="22.5" customHeight="1">
      <c r="A491" s="6"/>
      <c r="B491" s="6"/>
      <c r="C491" s="7"/>
      <c r="D491" s="6"/>
      <c r="E491" s="6"/>
    </row>
    <row r="492" ht="22.5" customHeight="1">
      <c r="A492" s="6"/>
      <c r="B492" s="6"/>
      <c r="C492" s="7"/>
      <c r="D492" s="6"/>
      <c r="E492" s="6"/>
    </row>
    <row r="493" ht="22.5" customHeight="1">
      <c r="A493" s="6"/>
      <c r="B493" s="6"/>
      <c r="C493" s="7"/>
      <c r="D493" s="6"/>
      <c r="E493" s="6"/>
    </row>
    <row r="494" ht="22.5" customHeight="1">
      <c r="A494" s="6"/>
      <c r="B494" s="6"/>
      <c r="C494" s="7"/>
      <c r="D494" s="6"/>
      <c r="E494" s="6"/>
    </row>
    <row r="495" ht="22.5" customHeight="1">
      <c r="A495" s="6"/>
      <c r="B495" s="6"/>
      <c r="C495" s="7"/>
      <c r="D495" s="6"/>
      <c r="E495" s="6"/>
    </row>
    <row r="496" ht="22.5" customHeight="1">
      <c r="A496" s="6"/>
      <c r="B496" s="6"/>
      <c r="C496" s="7"/>
      <c r="D496" s="6"/>
      <c r="E496" s="6"/>
    </row>
    <row r="497" ht="22.5" customHeight="1">
      <c r="A497" s="6"/>
      <c r="B497" s="6"/>
      <c r="C497" s="7"/>
      <c r="D497" s="6"/>
      <c r="E497" s="6"/>
    </row>
    <row r="498" ht="22.5" customHeight="1">
      <c r="A498" s="6"/>
      <c r="B498" s="6"/>
      <c r="C498" s="7"/>
      <c r="D498" s="6"/>
      <c r="E498" s="6"/>
    </row>
    <row r="499" ht="22.5" customHeight="1">
      <c r="A499" s="6"/>
      <c r="B499" s="6"/>
      <c r="C499" s="7"/>
      <c r="D499" s="6"/>
      <c r="E499" s="6"/>
    </row>
    <row r="500" ht="22.5" customHeight="1">
      <c r="A500" s="6"/>
      <c r="B500" s="6"/>
      <c r="C500" s="7"/>
      <c r="D500" s="6"/>
      <c r="E500" s="6"/>
    </row>
    <row r="501" ht="22.5" customHeight="1">
      <c r="A501" s="6"/>
      <c r="B501" s="6"/>
      <c r="C501" s="7"/>
      <c r="D501" s="6"/>
      <c r="E501" s="6"/>
    </row>
    <row r="502" ht="22.5" customHeight="1">
      <c r="A502" s="6"/>
      <c r="B502" s="6"/>
      <c r="C502" s="7"/>
      <c r="D502" s="6"/>
      <c r="E502" s="6"/>
    </row>
    <row r="503" ht="22.5" customHeight="1">
      <c r="A503" s="6"/>
      <c r="B503" s="6"/>
      <c r="C503" s="7"/>
      <c r="D503" s="6"/>
      <c r="E503" s="6"/>
    </row>
    <row r="504" ht="22.5" customHeight="1">
      <c r="A504" s="6"/>
      <c r="B504" s="6"/>
      <c r="C504" s="7"/>
      <c r="D504" s="6"/>
      <c r="E504" s="6"/>
    </row>
    <row r="505" ht="22.5" customHeight="1">
      <c r="A505" s="6"/>
      <c r="B505" s="6"/>
      <c r="C505" s="7"/>
      <c r="D505" s="6"/>
      <c r="E505" s="6"/>
    </row>
    <row r="506" ht="22.5" customHeight="1">
      <c r="A506" s="6"/>
      <c r="B506" s="6"/>
      <c r="C506" s="7"/>
      <c r="D506" s="6"/>
      <c r="E506" s="6"/>
    </row>
    <row r="507" ht="22.5" customHeight="1">
      <c r="A507" s="6"/>
      <c r="B507" s="6"/>
      <c r="C507" s="7"/>
      <c r="D507" s="6"/>
      <c r="E507" s="6"/>
    </row>
    <row r="508" ht="22.5" customHeight="1">
      <c r="A508" s="6"/>
      <c r="B508" s="6"/>
      <c r="C508" s="7"/>
      <c r="D508" s="6"/>
      <c r="E508" s="6"/>
    </row>
    <row r="509" ht="22.5" customHeight="1">
      <c r="A509" s="6"/>
      <c r="B509" s="6"/>
      <c r="C509" s="7"/>
      <c r="D509" s="6"/>
      <c r="E509" s="6"/>
    </row>
    <row r="510" ht="22.5" customHeight="1">
      <c r="A510" s="6"/>
      <c r="B510" s="6"/>
      <c r="C510" s="7"/>
      <c r="D510" s="6"/>
      <c r="E510" s="6"/>
    </row>
    <row r="511" ht="22.5" customHeight="1">
      <c r="A511" s="6"/>
      <c r="B511" s="6"/>
      <c r="C511" s="7"/>
      <c r="D511" s="6"/>
      <c r="E511" s="6"/>
    </row>
    <row r="512" ht="22.5" customHeight="1">
      <c r="A512" s="6"/>
      <c r="B512" s="6"/>
      <c r="C512" s="7"/>
      <c r="D512" s="6"/>
      <c r="E512" s="6"/>
    </row>
    <row r="513" ht="22.5" customHeight="1">
      <c r="A513" s="6"/>
      <c r="B513" s="6"/>
      <c r="C513" s="7"/>
      <c r="D513" s="6"/>
      <c r="E513" s="6"/>
    </row>
    <row r="514" ht="22.5" customHeight="1">
      <c r="A514" s="6"/>
      <c r="B514" s="6"/>
      <c r="C514" s="7"/>
      <c r="D514" s="6"/>
      <c r="E514" s="6"/>
    </row>
    <row r="515" ht="22.5" customHeight="1">
      <c r="A515" s="6"/>
      <c r="B515" s="6"/>
      <c r="C515" s="7"/>
      <c r="D515" s="6"/>
      <c r="E515" s="6"/>
    </row>
    <row r="516" ht="22.5" customHeight="1">
      <c r="A516" s="6"/>
      <c r="B516" s="6"/>
      <c r="C516" s="7"/>
      <c r="D516" s="6"/>
      <c r="E516" s="6"/>
    </row>
    <row r="517" ht="22.5" customHeight="1">
      <c r="A517" s="6"/>
      <c r="B517" s="6"/>
      <c r="C517" s="7"/>
      <c r="D517" s="6"/>
      <c r="E517" s="6"/>
    </row>
    <row r="518" ht="22.5" customHeight="1">
      <c r="A518" s="6"/>
      <c r="B518" s="6"/>
      <c r="C518" s="7"/>
      <c r="D518" s="6"/>
      <c r="E518" s="6"/>
    </row>
    <row r="519" ht="22.5" customHeight="1">
      <c r="A519" s="6"/>
      <c r="B519" s="6"/>
      <c r="C519" s="7"/>
      <c r="D519" s="6"/>
      <c r="E519" s="6"/>
    </row>
    <row r="520" ht="22.5" customHeight="1">
      <c r="A520" s="6"/>
      <c r="B520" s="6"/>
      <c r="C520" s="7"/>
      <c r="D520" s="6"/>
      <c r="E520" s="6"/>
    </row>
    <row r="521" ht="22.5" customHeight="1">
      <c r="A521" s="6"/>
      <c r="B521" s="6"/>
      <c r="C521" s="7"/>
      <c r="D521" s="6"/>
      <c r="E521" s="6"/>
    </row>
    <row r="522" ht="22.5" customHeight="1">
      <c r="A522" s="6"/>
      <c r="B522" s="6"/>
      <c r="C522" s="7"/>
      <c r="D522" s="6"/>
      <c r="E522" s="6"/>
    </row>
    <row r="523" ht="22.5" customHeight="1">
      <c r="A523" s="6"/>
      <c r="B523" s="6"/>
      <c r="C523" s="7"/>
      <c r="D523" s="6"/>
      <c r="E523" s="6"/>
    </row>
    <row r="524" ht="22.5" customHeight="1">
      <c r="A524" s="6"/>
      <c r="B524" s="6"/>
      <c r="C524" s="7"/>
      <c r="D524" s="6"/>
      <c r="E524" s="6"/>
    </row>
    <row r="525" ht="22.5" customHeight="1">
      <c r="A525" s="6"/>
      <c r="B525" s="6"/>
      <c r="C525" s="7"/>
      <c r="D525" s="6"/>
      <c r="E525" s="6"/>
    </row>
    <row r="526" ht="22.5" customHeight="1">
      <c r="A526" s="6"/>
      <c r="B526" s="6"/>
      <c r="C526" s="7"/>
      <c r="D526" s="6"/>
      <c r="E526" s="6"/>
    </row>
    <row r="527" ht="22.5" customHeight="1">
      <c r="A527" s="6"/>
      <c r="B527" s="6"/>
      <c r="C527" s="7"/>
      <c r="D527" s="6"/>
      <c r="E527" s="6"/>
    </row>
    <row r="528" ht="22.5" customHeight="1">
      <c r="A528" s="6"/>
      <c r="B528" s="6"/>
      <c r="C528" s="7"/>
      <c r="D528" s="6"/>
      <c r="E528" s="6"/>
    </row>
    <row r="529" ht="22.5" customHeight="1">
      <c r="A529" s="6"/>
      <c r="B529" s="6"/>
      <c r="C529" s="7"/>
      <c r="D529" s="6"/>
      <c r="E529" s="6"/>
    </row>
    <row r="530" ht="22.5" customHeight="1">
      <c r="A530" s="6"/>
      <c r="B530" s="6"/>
      <c r="C530" s="7"/>
      <c r="D530" s="6"/>
      <c r="E530" s="6"/>
    </row>
    <row r="531" ht="22.5" customHeight="1">
      <c r="A531" s="6"/>
      <c r="B531" s="6"/>
      <c r="C531" s="7"/>
      <c r="D531" s="6"/>
      <c r="E531" s="6"/>
    </row>
    <row r="532" ht="22.5" customHeight="1">
      <c r="A532" s="6"/>
      <c r="B532" s="6"/>
      <c r="C532" s="7"/>
      <c r="D532" s="6"/>
      <c r="E532" s="6"/>
    </row>
    <row r="533" ht="22.5" customHeight="1">
      <c r="A533" s="6"/>
      <c r="B533" s="6"/>
      <c r="C533" s="7"/>
      <c r="D533" s="6"/>
      <c r="E533" s="6"/>
    </row>
    <row r="534" ht="22.5" customHeight="1">
      <c r="A534" s="6"/>
      <c r="B534" s="6"/>
      <c r="C534" s="7"/>
      <c r="D534" s="6"/>
      <c r="E534" s="6"/>
    </row>
    <row r="535" ht="22.5" customHeight="1">
      <c r="A535" s="6"/>
      <c r="B535" s="6"/>
      <c r="C535" s="7"/>
      <c r="D535" s="6"/>
      <c r="E535" s="6"/>
    </row>
    <row r="536" ht="22.5" customHeight="1">
      <c r="A536" s="6"/>
      <c r="B536" s="6"/>
      <c r="C536" s="7"/>
      <c r="D536" s="6"/>
      <c r="E536" s="6"/>
    </row>
    <row r="537" ht="22.5" customHeight="1">
      <c r="A537" s="6"/>
      <c r="B537" s="6"/>
      <c r="C537" s="7"/>
      <c r="D537" s="6"/>
      <c r="E537" s="6"/>
    </row>
    <row r="538" ht="22.5" customHeight="1">
      <c r="A538" s="6"/>
      <c r="B538" s="6"/>
      <c r="C538" s="7"/>
      <c r="D538" s="6"/>
      <c r="E538" s="6"/>
    </row>
    <row r="539" ht="22.5" customHeight="1">
      <c r="A539" s="6"/>
      <c r="B539" s="6"/>
      <c r="C539" s="7"/>
      <c r="D539" s="6"/>
      <c r="E539" s="6"/>
    </row>
    <row r="540" ht="22.5" customHeight="1">
      <c r="A540" s="6"/>
      <c r="B540" s="6"/>
      <c r="C540" s="7"/>
      <c r="D540" s="6"/>
      <c r="E540" s="6"/>
    </row>
    <row r="541" ht="22.5" customHeight="1">
      <c r="A541" s="6"/>
      <c r="B541" s="6"/>
      <c r="C541" s="7"/>
      <c r="D541" s="6"/>
      <c r="E541" s="6"/>
    </row>
    <row r="542" ht="22.5" customHeight="1">
      <c r="A542" s="6"/>
      <c r="B542" s="6"/>
      <c r="C542" s="7"/>
      <c r="D542" s="6"/>
      <c r="E542" s="6"/>
    </row>
    <row r="543" ht="22.5" customHeight="1">
      <c r="A543" s="6"/>
      <c r="B543" s="6"/>
      <c r="C543" s="7"/>
      <c r="D543" s="6"/>
      <c r="E543" s="6"/>
    </row>
    <row r="544" ht="22.5" customHeight="1">
      <c r="A544" s="6"/>
      <c r="B544" s="6"/>
      <c r="C544" s="7"/>
      <c r="D544" s="6"/>
      <c r="E544" s="6"/>
    </row>
    <row r="545" ht="22.5" customHeight="1">
      <c r="A545" s="6"/>
      <c r="B545" s="6"/>
      <c r="C545" s="7"/>
      <c r="D545" s="6"/>
      <c r="E545" s="6"/>
    </row>
    <row r="546" ht="22.5" customHeight="1">
      <c r="A546" s="6"/>
      <c r="B546" s="6"/>
      <c r="C546" s="7"/>
      <c r="D546" s="6"/>
      <c r="E546" s="6"/>
    </row>
    <row r="547" ht="22.5" customHeight="1">
      <c r="A547" s="6"/>
      <c r="B547" s="6"/>
      <c r="C547" s="7"/>
      <c r="D547" s="6"/>
      <c r="E547" s="6"/>
    </row>
    <row r="548" ht="22.5" customHeight="1">
      <c r="A548" s="6"/>
      <c r="B548" s="6"/>
      <c r="C548" s="7"/>
      <c r="D548" s="6"/>
      <c r="E548" s="6"/>
    </row>
    <row r="549" ht="22.5" customHeight="1">
      <c r="A549" s="6"/>
      <c r="B549" s="6"/>
      <c r="C549" s="7"/>
      <c r="D549" s="6"/>
      <c r="E549" s="6"/>
    </row>
    <row r="550" ht="22.5" customHeight="1">
      <c r="A550" s="6"/>
      <c r="B550" s="6"/>
      <c r="C550" s="7"/>
      <c r="D550" s="6"/>
      <c r="E550" s="6"/>
    </row>
    <row r="551" ht="22.5" customHeight="1">
      <c r="A551" s="6"/>
      <c r="B551" s="6"/>
      <c r="C551" s="7"/>
      <c r="D551" s="6"/>
      <c r="E551" s="6"/>
    </row>
    <row r="552" ht="22.5" customHeight="1">
      <c r="A552" s="6"/>
      <c r="B552" s="6"/>
      <c r="C552" s="7"/>
      <c r="D552" s="6"/>
      <c r="E552" s="6"/>
    </row>
    <row r="553" ht="22.5" customHeight="1">
      <c r="A553" s="6"/>
      <c r="B553" s="6"/>
      <c r="C553" s="7"/>
      <c r="D553" s="6"/>
      <c r="E553" s="6"/>
    </row>
    <row r="554" ht="22.5" customHeight="1">
      <c r="A554" s="6"/>
      <c r="B554" s="6"/>
      <c r="C554" s="7"/>
      <c r="D554" s="6"/>
      <c r="E554" s="6"/>
    </row>
    <row r="555" ht="22.5" customHeight="1">
      <c r="A555" s="6"/>
      <c r="B555" s="6"/>
      <c r="C555" s="7"/>
      <c r="D555" s="6"/>
      <c r="E555" s="6"/>
    </row>
    <row r="556" ht="22.5" customHeight="1">
      <c r="A556" s="6"/>
      <c r="B556" s="6"/>
      <c r="C556" s="7"/>
      <c r="D556" s="6"/>
      <c r="E556" s="6"/>
    </row>
    <row r="557" ht="22.5" customHeight="1">
      <c r="A557" s="6"/>
      <c r="B557" s="6"/>
      <c r="C557" s="7"/>
      <c r="D557" s="6"/>
      <c r="E557" s="6"/>
    </row>
    <row r="558" ht="22.5" customHeight="1">
      <c r="A558" s="6"/>
      <c r="B558" s="6"/>
      <c r="C558" s="7"/>
      <c r="D558" s="6"/>
      <c r="E558" s="6"/>
    </row>
    <row r="559" ht="22.5" customHeight="1">
      <c r="A559" s="6"/>
      <c r="B559" s="6"/>
      <c r="C559" s="7"/>
      <c r="D559" s="6"/>
      <c r="E559" s="6"/>
    </row>
    <row r="560" ht="22.5" customHeight="1">
      <c r="A560" s="6"/>
      <c r="B560" s="6"/>
      <c r="C560" s="7"/>
      <c r="D560" s="6"/>
      <c r="E560" s="6"/>
    </row>
    <row r="561" ht="22.5" customHeight="1">
      <c r="A561" s="6"/>
      <c r="B561" s="6"/>
      <c r="C561" s="7"/>
      <c r="D561" s="6"/>
      <c r="E561" s="6"/>
    </row>
    <row r="562" ht="22.5" customHeight="1">
      <c r="A562" s="6"/>
      <c r="B562" s="6"/>
      <c r="C562" s="7"/>
      <c r="D562" s="6"/>
      <c r="E562" s="6"/>
    </row>
    <row r="563" ht="22.5" customHeight="1">
      <c r="A563" s="6"/>
      <c r="B563" s="6"/>
      <c r="C563" s="7"/>
      <c r="D563" s="6"/>
      <c r="E563" s="6"/>
    </row>
    <row r="564" ht="22.5" customHeight="1">
      <c r="A564" s="6"/>
      <c r="B564" s="6"/>
      <c r="C564" s="7"/>
      <c r="D564" s="6"/>
      <c r="E564" s="6"/>
    </row>
    <row r="565" ht="22.5" customHeight="1">
      <c r="A565" s="6"/>
      <c r="B565" s="6"/>
      <c r="C565" s="7"/>
      <c r="D565" s="6"/>
      <c r="E565" s="6"/>
    </row>
    <row r="566" ht="22.5" customHeight="1">
      <c r="A566" s="6"/>
      <c r="B566" s="6"/>
      <c r="C566" s="7"/>
      <c r="D566" s="6"/>
      <c r="E566" s="6"/>
    </row>
    <row r="567" ht="22.5" customHeight="1">
      <c r="A567" s="6"/>
      <c r="B567" s="6"/>
      <c r="C567" s="7"/>
      <c r="D567" s="6"/>
      <c r="E567" s="6"/>
    </row>
    <row r="568" ht="22.5" customHeight="1">
      <c r="A568" s="6"/>
      <c r="B568" s="6"/>
      <c r="C568" s="7"/>
      <c r="D568" s="6"/>
      <c r="E568" s="6"/>
    </row>
    <row r="569" ht="22.5" customHeight="1">
      <c r="A569" s="6"/>
      <c r="B569" s="6"/>
      <c r="C569" s="7"/>
      <c r="D569" s="6"/>
      <c r="E569" s="6"/>
    </row>
    <row r="570" ht="22.5" customHeight="1">
      <c r="A570" s="6"/>
      <c r="B570" s="6"/>
      <c r="C570" s="7"/>
      <c r="D570" s="6"/>
      <c r="E570" s="6"/>
    </row>
    <row r="571" ht="22.5" customHeight="1">
      <c r="A571" s="6"/>
      <c r="B571" s="6"/>
      <c r="C571" s="7"/>
      <c r="D571" s="6"/>
      <c r="E571" s="6"/>
    </row>
    <row r="572" ht="22.5" customHeight="1">
      <c r="A572" s="6"/>
      <c r="B572" s="6"/>
      <c r="C572" s="7"/>
      <c r="D572" s="6"/>
      <c r="E572" s="6"/>
    </row>
    <row r="573" ht="22.5" customHeight="1">
      <c r="A573" s="6"/>
      <c r="B573" s="6"/>
      <c r="C573" s="7"/>
      <c r="D573" s="6"/>
      <c r="E573" s="6"/>
    </row>
    <row r="574" ht="22.5" customHeight="1">
      <c r="A574" s="6"/>
      <c r="B574" s="6"/>
      <c r="C574" s="7"/>
      <c r="D574" s="6"/>
      <c r="E574" s="6"/>
    </row>
    <row r="575" ht="22.5" customHeight="1">
      <c r="A575" s="6"/>
      <c r="B575" s="6"/>
      <c r="C575" s="7"/>
      <c r="D575" s="6"/>
      <c r="E575" s="6"/>
    </row>
    <row r="576" ht="22.5" customHeight="1">
      <c r="A576" s="6"/>
      <c r="B576" s="6"/>
      <c r="C576" s="7"/>
      <c r="D576" s="6"/>
      <c r="E576" s="6"/>
    </row>
    <row r="577" ht="22.5" customHeight="1">
      <c r="A577" s="6"/>
      <c r="B577" s="6"/>
      <c r="C577" s="7"/>
      <c r="D577" s="6"/>
      <c r="E577" s="6"/>
    </row>
    <row r="578" ht="22.5" customHeight="1">
      <c r="A578" s="6"/>
      <c r="B578" s="6"/>
      <c r="C578" s="7"/>
      <c r="D578" s="6"/>
      <c r="E578" s="6"/>
    </row>
    <row r="579" ht="22.5" customHeight="1">
      <c r="A579" s="6"/>
      <c r="B579" s="6"/>
      <c r="C579" s="7"/>
      <c r="D579" s="6"/>
      <c r="E579" s="6"/>
    </row>
    <row r="580" ht="22.5" customHeight="1">
      <c r="A580" s="6"/>
      <c r="B580" s="6"/>
      <c r="C580" s="7"/>
      <c r="D580" s="6"/>
      <c r="E580" s="6"/>
    </row>
    <row r="581" ht="22.5" customHeight="1">
      <c r="A581" s="6"/>
      <c r="B581" s="6"/>
      <c r="C581" s="7"/>
      <c r="D581" s="6"/>
      <c r="E581" s="6"/>
    </row>
    <row r="582" ht="22.5" customHeight="1">
      <c r="A582" s="6"/>
      <c r="B582" s="6"/>
      <c r="C582" s="7"/>
      <c r="D582" s="6"/>
      <c r="E582" s="6"/>
    </row>
    <row r="583" ht="22.5" customHeight="1">
      <c r="A583" s="6"/>
      <c r="B583" s="6"/>
      <c r="C583" s="7"/>
      <c r="D583" s="6"/>
      <c r="E583" s="6"/>
    </row>
    <row r="584" ht="22.5" customHeight="1">
      <c r="A584" s="6"/>
      <c r="B584" s="6"/>
      <c r="C584" s="7"/>
      <c r="D584" s="6"/>
      <c r="E584" s="6"/>
    </row>
    <row r="585" ht="22.5" customHeight="1">
      <c r="A585" s="6"/>
      <c r="B585" s="6"/>
      <c r="C585" s="7"/>
      <c r="D585" s="6"/>
      <c r="E585" s="6"/>
    </row>
    <row r="586" ht="22.5" customHeight="1">
      <c r="A586" s="6"/>
      <c r="B586" s="6"/>
      <c r="C586" s="7"/>
      <c r="D586" s="6"/>
      <c r="E586" s="6"/>
    </row>
    <row r="587" ht="22.5" customHeight="1">
      <c r="A587" s="6"/>
      <c r="B587" s="6"/>
      <c r="C587" s="7"/>
      <c r="D587" s="6"/>
      <c r="E587" s="6"/>
    </row>
    <row r="588" ht="22.5" customHeight="1">
      <c r="A588" s="6"/>
      <c r="B588" s="6"/>
      <c r="C588" s="7"/>
      <c r="D588" s="6"/>
      <c r="E588" s="6"/>
    </row>
    <row r="589" ht="22.5" customHeight="1">
      <c r="A589" s="6"/>
      <c r="B589" s="6"/>
      <c r="C589" s="7"/>
      <c r="D589" s="6"/>
      <c r="E589" s="6"/>
    </row>
    <row r="590" ht="22.5" customHeight="1">
      <c r="A590" s="6"/>
      <c r="B590" s="6"/>
      <c r="C590" s="7"/>
      <c r="D590" s="6"/>
      <c r="E590" s="6"/>
    </row>
    <row r="591" ht="22.5" customHeight="1">
      <c r="A591" s="6"/>
      <c r="B591" s="6"/>
      <c r="C591" s="7"/>
      <c r="D591" s="6"/>
      <c r="E591" s="6"/>
    </row>
    <row r="592" ht="22.5" customHeight="1">
      <c r="A592" s="6"/>
      <c r="B592" s="6"/>
      <c r="C592" s="7"/>
      <c r="D592" s="6"/>
      <c r="E592" s="6"/>
    </row>
    <row r="593" ht="22.5" customHeight="1">
      <c r="A593" s="6"/>
      <c r="B593" s="6"/>
      <c r="C593" s="7"/>
      <c r="D593" s="6"/>
      <c r="E593" s="6"/>
    </row>
    <row r="594" ht="22.5" customHeight="1">
      <c r="A594" s="6"/>
      <c r="B594" s="6"/>
      <c r="C594" s="7"/>
      <c r="D594" s="6"/>
      <c r="E594" s="6"/>
    </row>
    <row r="595" ht="22.5" customHeight="1">
      <c r="A595" s="6"/>
      <c r="B595" s="6"/>
      <c r="C595" s="7"/>
      <c r="D595" s="6"/>
      <c r="E595" s="6"/>
    </row>
    <row r="596" ht="22.5" customHeight="1">
      <c r="A596" s="6"/>
      <c r="B596" s="6"/>
      <c r="C596" s="7"/>
      <c r="D596" s="6"/>
      <c r="E596" s="6"/>
    </row>
    <row r="597" ht="22.5" customHeight="1">
      <c r="A597" s="6"/>
      <c r="B597" s="6"/>
      <c r="C597" s="7"/>
      <c r="D597" s="6"/>
      <c r="E597" s="6"/>
    </row>
    <row r="598" ht="22.5" customHeight="1">
      <c r="A598" s="6"/>
      <c r="B598" s="6"/>
      <c r="C598" s="7"/>
      <c r="D598" s="6"/>
      <c r="E598" s="6"/>
    </row>
    <row r="599" ht="22.5" customHeight="1">
      <c r="A599" s="6"/>
      <c r="B599" s="6"/>
      <c r="C599" s="7"/>
      <c r="D599" s="6"/>
      <c r="E599" s="6"/>
    </row>
    <row r="600" ht="22.5" customHeight="1">
      <c r="A600" s="6"/>
      <c r="B600" s="6"/>
      <c r="C600" s="7"/>
      <c r="D600" s="6"/>
      <c r="E600" s="6"/>
    </row>
    <row r="601" ht="22.5" customHeight="1">
      <c r="A601" s="6"/>
      <c r="B601" s="6"/>
      <c r="C601" s="7"/>
      <c r="D601" s="6"/>
      <c r="E601" s="6"/>
    </row>
    <row r="602" ht="22.5" customHeight="1">
      <c r="A602" s="6"/>
      <c r="B602" s="6"/>
      <c r="C602" s="7"/>
      <c r="D602" s="6"/>
      <c r="E602" s="6"/>
    </row>
    <row r="603" ht="22.5" customHeight="1">
      <c r="A603" s="6"/>
      <c r="B603" s="6"/>
      <c r="C603" s="7"/>
      <c r="D603" s="6"/>
      <c r="E603" s="6"/>
    </row>
    <row r="604" ht="22.5" customHeight="1">
      <c r="A604" s="6"/>
      <c r="B604" s="6"/>
      <c r="C604" s="7"/>
      <c r="D604" s="6"/>
      <c r="E604" s="6"/>
    </row>
    <row r="605" ht="22.5" customHeight="1">
      <c r="A605" s="6"/>
      <c r="B605" s="6"/>
      <c r="C605" s="7"/>
      <c r="D605" s="6"/>
      <c r="E605" s="6"/>
    </row>
    <row r="606" ht="22.5" customHeight="1">
      <c r="A606" s="6"/>
      <c r="B606" s="6"/>
      <c r="C606" s="7"/>
      <c r="D606" s="6"/>
      <c r="E606" s="6"/>
    </row>
    <row r="607" ht="22.5" customHeight="1">
      <c r="A607" s="6"/>
      <c r="B607" s="6"/>
      <c r="C607" s="7"/>
      <c r="D607" s="6"/>
      <c r="E607" s="6"/>
    </row>
    <row r="608" ht="22.5" customHeight="1">
      <c r="A608" s="6"/>
      <c r="B608" s="6"/>
      <c r="C608" s="7"/>
      <c r="D608" s="6"/>
      <c r="E608" s="6"/>
    </row>
    <row r="609" ht="22.5" customHeight="1">
      <c r="A609" s="6"/>
      <c r="B609" s="6"/>
      <c r="C609" s="7"/>
      <c r="D609" s="6"/>
      <c r="E609" s="6"/>
    </row>
    <row r="610" ht="22.5" customHeight="1">
      <c r="A610" s="6"/>
      <c r="B610" s="6"/>
      <c r="C610" s="7"/>
      <c r="D610" s="6"/>
      <c r="E610" s="6"/>
    </row>
    <row r="611" ht="22.5" customHeight="1">
      <c r="A611" s="6"/>
      <c r="B611" s="6"/>
      <c r="C611" s="7"/>
      <c r="D611" s="6"/>
      <c r="E611" s="6"/>
    </row>
    <row r="612" ht="22.5" customHeight="1">
      <c r="A612" s="6"/>
      <c r="B612" s="6"/>
      <c r="C612" s="7"/>
      <c r="D612" s="6"/>
      <c r="E612" s="6"/>
    </row>
    <row r="613" ht="22.5" customHeight="1">
      <c r="A613" s="6"/>
      <c r="B613" s="6"/>
      <c r="C613" s="7"/>
      <c r="D613" s="6"/>
      <c r="E613" s="6"/>
    </row>
    <row r="614" ht="22.5" customHeight="1">
      <c r="A614" s="6"/>
      <c r="B614" s="6"/>
      <c r="C614" s="7"/>
      <c r="D614" s="6"/>
      <c r="E614" s="6"/>
    </row>
    <row r="615" ht="22.5" customHeight="1">
      <c r="A615" s="6"/>
      <c r="B615" s="6"/>
      <c r="C615" s="7"/>
      <c r="D615" s="6"/>
      <c r="E615" s="6"/>
    </row>
    <row r="616" ht="22.5" customHeight="1">
      <c r="A616" s="6"/>
      <c r="B616" s="6"/>
      <c r="C616" s="7"/>
      <c r="D616" s="6"/>
      <c r="E616" s="6"/>
    </row>
    <row r="617" ht="22.5" customHeight="1">
      <c r="A617" s="6"/>
      <c r="B617" s="6"/>
      <c r="C617" s="7"/>
      <c r="D617" s="6"/>
      <c r="E617" s="6"/>
    </row>
    <row r="618" ht="22.5" customHeight="1">
      <c r="A618" s="6"/>
      <c r="B618" s="6"/>
      <c r="C618" s="7"/>
      <c r="D618" s="6"/>
      <c r="E618" s="6"/>
    </row>
    <row r="619" ht="22.5" customHeight="1">
      <c r="A619" s="6"/>
      <c r="B619" s="6"/>
      <c r="C619" s="7"/>
      <c r="D619" s="6"/>
      <c r="E619" s="6"/>
    </row>
    <row r="620" ht="22.5" customHeight="1">
      <c r="A620" s="6"/>
      <c r="B620" s="6"/>
      <c r="C620" s="7"/>
      <c r="D620" s="6"/>
      <c r="E620" s="6"/>
    </row>
    <row r="621" ht="22.5" customHeight="1">
      <c r="A621" s="6"/>
      <c r="B621" s="6"/>
      <c r="C621" s="7"/>
      <c r="D621" s="6"/>
      <c r="E621" s="6"/>
    </row>
    <row r="622" ht="22.5" customHeight="1">
      <c r="A622" s="6"/>
      <c r="B622" s="6"/>
      <c r="C622" s="7"/>
      <c r="D622" s="6"/>
      <c r="E622" s="6"/>
    </row>
    <row r="623" ht="22.5" customHeight="1">
      <c r="A623" s="6"/>
      <c r="B623" s="6"/>
      <c r="C623" s="7"/>
      <c r="D623" s="6"/>
      <c r="E623" s="6"/>
    </row>
    <row r="624" ht="22.5" customHeight="1">
      <c r="A624" s="6"/>
      <c r="B624" s="6"/>
      <c r="C624" s="7"/>
      <c r="D624" s="6"/>
      <c r="E624" s="6"/>
    </row>
    <row r="625" ht="22.5" customHeight="1">
      <c r="A625" s="6"/>
      <c r="B625" s="6"/>
      <c r="C625" s="7"/>
      <c r="D625" s="6"/>
      <c r="E625" s="6"/>
    </row>
    <row r="626" ht="22.5" customHeight="1">
      <c r="A626" s="6"/>
      <c r="B626" s="6"/>
      <c r="C626" s="7"/>
      <c r="D626" s="6"/>
      <c r="E626" s="6"/>
    </row>
    <row r="627" ht="22.5" customHeight="1">
      <c r="A627" s="6"/>
      <c r="B627" s="6"/>
      <c r="C627" s="7"/>
      <c r="D627" s="6"/>
      <c r="E627" s="6"/>
    </row>
    <row r="628" ht="22.5" customHeight="1">
      <c r="A628" s="6"/>
      <c r="B628" s="6"/>
      <c r="C628" s="7"/>
      <c r="D628" s="6"/>
      <c r="E628" s="6"/>
    </row>
    <row r="629" ht="22.5" customHeight="1">
      <c r="A629" s="6"/>
      <c r="B629" s="6"/>
      <c r="C629" s="7"/>
      <c r="D629" s="6"/>
      <c r="E629" s="6"/>
    </row>
    <row r="630" ht="22.5" customHeight="1">
      <c r="A630" s="6"/>
      <c r="B630" s="6"/>
      <c r="C630" s="7"/>
      <c r="D630" s="6"/>
      <c r="E630" s="6"/>
    </row>
    <row r="631" ht="22.5" customHeight="1">
      <c r="A631" s="6"/>
      <c r="B631" s="6"/>
      <c r="C631" s="7"/>
      <c r="D631" s="6"/>
      <c r="E631" s="6"/>
    </row>
    <row r="632" ht="22.5" customHeight="1">
      <c r="A632" s="6"/>
      <c r="B632" s="6"/>
      <c r="C632" s="7"/>
      <c r="D632" s="6"/>
      <c r="E632" s="6"/>
    </row>
    <row r="633" ht="22.5" customHeight="1">
      <c r="A633" s="6"/>
      <c r="B633" s="6"/>
      <c r="C633" s="7"/>
      <c r="D633" s="6"/>
      <c r="E633" s="6"/>
    </row>
    <row r="634" ht="22.5" customHeight="1">
      <c r="A634" s="6"/>
      <c r="B634" s="6"/>
      <c r="C634" s="7"/>
      <c r="D634" s="6"/>
      <c r="E634" s="6"/>
    </row>
    <row r="635" ht="22.5" customHeight="1">
      <c r="A635" s="6"/>
      <c r="B635" s="6"/>
      <c r="C635" s="7"/>
      <c r="D635" s="6"/>
      <c r="E635" s="6"/>
    </row>
    <row r="636" ht="22.5" customHeight="1">
      <c r="A636" s="6"/>
      <c r="B636" s="6"/>
      <c r="C636" s="7"/>
      <c r="D636" s="6"/>
      <c r="E636" s="6"/>
    </row>
    <row r="637" ht="22.5" customHeight="1">
      <c r="A637" s="6"/>
      <c r="B637" s="6"/>
      <c r="C637" s="7"/>
      <c r="D637" s="6"/>
      <c r="E637" s="6"/>
    </row>
    <row r="638" ht="22.5" customHeight="1">
      <c r="A638" s="6"/>
      <c r="B638" s="6"/>
      <c r="C638" s="7"/>
      <c r="D638" s="6"/>
      <c r="E638" s="6"/>
    </row>
    <row r="639" ht="22.5" customHeight="1">
      <c r="A639" s="6"/>
      <c r="B639" s="6"/>
      <c r="C639" s="7"/>
      <c r="D639" s="6"/>
      <c r="E639" s="6"/>
    </row>
    <row r="640" ht="22.5" customHeight="1">
      <c r="A640" s="6"/>
      <c r="B640" s="6"/>
      <c r="C640" s="7"/>
      <c r="D640" s="6"/>
      <c r="E640" s="6"/>
    </row>
    <row r="641" ht="22.5" customHeight="1">
      <c r="A641" s="6"/>
      <c r="B641" s="6"/>
      <c r="C641" s="7"/>
      <c r="D641" s="6"/>
      <c r="E641" s="6"/>
    </row>
    <row r="642" ht="22.5" customHeight="1">
      <c r="A642" s="6"/>
      <c r="B642" s="6"/>
      <c r="C642" s="7"/>
      <c r="D642" s="6"/>
      <c r="E642" s="6"/>
    </row>
    <row r="643" ht="22.5" customHeight="1">
      <c r="A643" s="6"/>
      <c r="B643" s="6"/>
      <c r="C643" s="7"/>
      <c r="D643" s="6"/>
      <c r="E643" s="6"/>
    </row>
    <row r="644" ht="22.5" customHeight="1">
      <c r="A644" s="6"/>
      <c r="B644" s="6"/>
      <c r="C644" s="7"/>
      <c r="D644" s="6"/>
      <c r="E644" s="6"/>
    </row>
    <row r="645" ht="22.5" customHeight="1">
      <c r="A645" s="6"/>
      <c r="B645" s="6"/>
      <c r="C645" s="7"/>
      <c r="D645" s="6"/>
      <c r="E645" s="6"/>
    </row>
    <row r="646" ht="22.5" customHeight="1">
      <c r="A646" s="6"/>
      <c r="B646" s="6"/>
      <c r="C646" s="7"/>
      <c r="D646" s="6"/>
      <c r="E646" s="6"/>
    </row>
    <row r="647" ht="22.5" customHeight="1">
      <c r="A647" s="6"/>
      <c r="B647" s="6"/>
      <c r="C647" s="7"/>
      <c r="D647" s="6"/>
      <c r="E647" s="6"/>
    </row>
    <row r="648" ht="22.5" customHeight="1">
      <c r="A648" s="6"/>
      <c r="B648" s="6"/>
      <c r="C648" s="7"/>
      <c r="D648" s="6"/>
      <c r="E648" s="6"/>
    </row>
    <row r="649" ht="22.5" customHeight="1">
      <c r="A649" s="6"/>
      <c r="B649" s="6"/>
      <c r="C649" s="7"/>
      <c r="D649" s="6"/>
      <c r="E649" s="6"/>
    </row>
    <row r="650" ht="22.5" customHeight="1">
      <c r="A650" s="6"/>
      <c r="B650" s="6"/>
      <c r="C650" s="7"/>
      <c r="D650" s="6"/>
      <c r="E650" s="6"/>
    </row>
    <row r="651" ht="22.5" customHeight="1">
      <c r="A651" s="6"/>
      <c r="B651" s="6"/>
      <c r="C651" s="7"/>
      <c r="D651" s="6"/>
      <c r="E651" s="6"/>
    </row>
    <row r="652" ht="22.5" customHeight="1">
      <c r="A652" s="6"/>
      <c r="B652" s="6"/>
      <c r="C652" s="7"/>
      <c r="D652" s="6"/>
      <c r="E652" s="6"/>
    </row>
    <row r="653" ht="22.5" customHeight="1">
      <c r="A653" s="6"/>
      <c r="B653" s="6"/>
      <c r="C653" s="7"/>
      <c r="D653" s="6"/>
      <c r="E653" s="6"/>
    </row>
    <row r="654" ht="22.5" customHeight="1">
      <c r="A654" s="6"/>
      <c r="B654" s="6"/>
      <c r="C654" s="7"/>
      <c r="D654" s="6"/>
      <c r="E654" s="6"/>
    </row>
    <row r="655" ht="22.5" customHeight="1">
      <c r="A655" s="6"/>
      <c r="B655" s="6"/>
      <c r="C655" s="7"/>
      <c r="D655" s="6"/>
      <c r="E655" s="6"/>
    </row>
    <row r="656" ht="22.5" customHeight="1">
      <c r="A656" s="6"/>
      <c r="B656" s="6"/>
      <c r="C656" s="7"/>
      <c r="D656" s="6"/>
      <c r="E656" s="6"/>
    </row>
    <row r="657" ht="22.5" customHeight="1">
      <c r="A657" s="6"/>
      <c r="B657" s="6"/>
      <c r="C657" s="7"/>
      <c r="D657" s="6"/>
      <c r="E657" s="6"/>
    </row>
    <row r="658" ht="22.5" customHeight="1">
      <c r="A658" s="6"/>
      <c r="B658" s="6"/>
      <c r="C658" s="7"/>
      <c r="D658" s="6"/>
      <c r="E658" s="6"/>
    </row>
    <row r="659" ht="22.5" customHeight="1">
      <c r="A659" s="6"/>
      <c r="B659" s="6"/>
      <c r="C659" s="7"/>
      <c r="D659" s="6"/>
      <c r="E659" s="6"/>
    </row>
    <row r="660" ht="22.5" customHeight="1">
      <c r="A660" s="6"/>
      <c r="B660" s="6"/>
      <c r="C660" s="7"/>
      <c r="D660" s="6"/>
      <c r="E660" s="6"/>
    </row>
    <row r="661" ht="22.5" customHeight="1">
      <c r="A661" s="6"/>
      <c r="B661" s="6"/>
      <c r="C661" s="7"/>
      <c r="D661" s="6"/>
      <c r="E661" s="6"/>
    </row>
    <row r="662" ht="22.5" customHeight="1">
      <c r="A662" s="6"/>
      <c r="B662" s="6"/>
      <c r="C662" s="7"/>
      <c r="D662" s="6"/>
      <c r="E662" s="6"/>
    </row>
    <row r="663" ht="22.5" customHeight="1">
      <c r="A663" s="6"/>
      <c r="B663" s="6"/>
      <c r="C663" s="7"/>
      <c r="D663" s="6"/>
      <c r="E663" s="6"/>
    </row>
    <row r="664" ht="22.5" customHeight="1">
      <c r="A664" s="6"/>
      <c r="B664" s="6"/>
      <c r="C664" s="7"/>
      <c r="D664" s="6"/>
      <c r="E664" s="6"/>
    </row>
    <row r="665" ht="22.5" customHeight="1">
      <c r="A665" s="6"/>
      <c r="B665" s="6"/>
      <c r="C665" s="7"/>
      <c r="D665" s="6"/>
      <c r="E665" s="6"/>
    </row>
    <row r="666" ht="22.5" customHeight="1">
      <c r="A666" s="6"/>
      <c r="B666" s="6"/>
      <c r="C666" s="7"/>
      <c r="D666" s="6"/>
      <c r="E666" s="6"/>
    </row>
    <row r="667" ht="22.5" customHeight="1">
      <c r="A667" s="6"/>
      <c r="B667" s="6"/>
      <c r="C667" s="7"/>
      <c r="D667" s="6"/>
      <c r="E667" s="6"/>
    </row>
    <row r="668" ht="22.5" customHeight="1">
      <c r="A668" s="6"/>
      <c r="B668" s="6"/>
      <c r="C668" s="7"/>
      <c r="D668" s="6"/>
      <c r="E668" s="6"/>
    </row>
    <row r="669" ht="22.5" customHeight="1">
      <c r="A669" s="6"/>
      <c r="B669" s="6"/>
      <c r="C669" s="7"/>
      <c r="D669" s="6"/>
      <c r="E669" s="6"/>
    </row>
    <row r="670" ht="22.5" customHeight="1">
      <c r="A670" s="6"/>
      <c r="B670" s="6"/>
      <c r="C670" s="7"/>
      <c r="D670" s="6"/>
      <c r="E670" s="6"/>
    </row>
    <row r="671" ht="22.5" customHeight="1">
      <c r="A671" s="6"/>
      <c r="B671" s="6"/>
      <c r="C671" s="7"/>
      <c r="D671" s="6"/>
      <c r="E671" s="6"/>
    </row>
    <row r="672" ht="22.5" customHeight="1">
      <c r="A672" s="6"/>
      <c r="B672" s="6"/>
      <c r="C672" s="7"/>
      <c r="D672" s="6"/>
      <c r="E672" s="6"/>
    </row>
    <row r="673" ht="22.5" customHeight="1">
      <c r="A673" s="6"/>
      <c r="B673" s="6"/>
      <c r="C673" s="7"/>
      <c r="D673" s="6"/>
      <c r="E673" s="6"/>
    </row>
    <row r="674" ht="22.5" customHeight="1">
      <c r="A674" s="6"/>
      <c r="B674" s="6"/>
      <c r="C674" s="7"/>
      <c r="D674" s="6"/>
      <c r="E674" s="6"/>
    </row>
    <row r="675" ht="22.5" customHeight="1">
      <c r="A675" s="6"/>
      <c r="B675" s="6"/>
      <c r="C675" s="7"/>
      <c r="D675" s="6"/>
      <c r="E675" s="6"/>
    </row>
    <row r="676" ht="22.5" customHeight="1">
      <c r="A676" s="6"/>
      <c r="B676" s="6"/>
      <c r="C676" s="7"/>
      <c r="D676" s="6"/>
      <c r="E676" s="6"/>
    </row>
    <row r="677" ht="22.5" customHeight="1">
      <c r="A677" s="6"/>
      <c r="B677" s="6"/>
      <c r="C677" s="7"/>
      <c r="D677" s="6"/>
      <c r="E677" s="6"/>
    </row>
    <row r="678" ht="22.5" customHeight="1">
      <c r="A678" s="6"/>
      <c r="B678" s="6"/>
      <c r="C678" s="7"/>
      <c r="D678" s="6"/>
      <c r="E678" s="6"/>
    </row>
    <row r="679" ht="22.5" customHeight="1">
      <c r="A679" s="6"/>
      <c r="B679" s="6"/>
      <c r="C679" s="7"/>
      <c r="D679" s="6"/>
      <c r="E679" s="6"/>
    </row>
    <row r="680" ht="22.5" customHeight="1">
      <c r="A680" s="6"/>
      <c r="B680" s="6"/>
      <c r="C680" s="7"/>
      <c r="D680" s="6"/>
      <c r="E680" s="6"/>
    </row>
    <row r="681" ht="22.5" customHeight="1">
      <c r="A681" s="6"/>
      <c r="B681" s="6"/>
      <c r="C681" s="7"/>
      <c r="D681" s="6"/>
      <c r="E681" s="6"/>
    </row>
    <row r="682" ht="22.5" customHeight="1">
      <c r="A682" s="6"/>
      <c r="B682" s="6"/>
      <c r="C682" s="7"/>
      <c r="D682" s="6"/>
      <c r="E682" s="6"/>
    </row>
    <row r="683" ht="22.5" customHeight="1">
      <c r="A683" s="6"/>
      <c r="B683" s="6"/>
      <c r="C683" s="7"/>
      <c r="D683" s="6"/>
      <c r="E683" s="6"/>
    </row>
    <row r="684" ht="22.5" customHeight="1">
      <c r="A684" s="6"/>
      <c r="B684" s="6"/>
      <c r="C684" s="7"/>
      <c r="D684" s="6"/>
      <c r="E684" s="6"/>
    </row>
    <row r="685" ht="22.5" customHeight="1">
      <c r="A685" s="6"/>
      <c r="B685" s="6"/>
      <c r="C685" s="7"/>
      <c r="D685" s="6"/>
      <c r="E685" s="6"/>
    </row>
    <row r="686" ht="22.5" customHeight="1">
      <c r="A686" s="6"/>
      <c r="B686" s="6"/>
      <c r="C686" s="7"/>
      <c r="D686" s="6"/>
      <c r="E686" s="6"/>
    </row>
    <row r="687" ht="22.5" customHeight="1">
      <c r="A687" s="6"/>
      <c r="B687" s="6"/>
      <c r="C687" s="7"/>
      <c r="D687" s="6"/>
      <c r="E687" s="6"/>
    </row>
    <row r="688" ht="22.5" customHeight="1">
      <c r="A688" s="6"/>
      <c r="B688" s="6"/>
      <c r="C688" s="7"/>
      <c r="D688" s="6"/>
      <c r="E688" s="6"/>
    </row>
    <row r="689" ht="22.5" customHeight="1">
      <c r="A689" s="6"/>
      <c r="B689" s="6"/>
      <c r="C689" s="7"/>
      <c r="D689" s="6"/>
      <c r="E689" s="6"/>
    </row>
    <row r="690" ht="22.5" customHeight="1">
      <c r="A690" s="6"/>
      <c r="B690" s="6"/>
      <c r="C690" s="7"/>
      <c r="D690" s="6"/>
      <c r="E690" s="6"/>
    </row>
    <row r="691" ht="22.5" customHeight="1">
      <c r="A691" s="6"/>
      <c r="B691" s="6"/>
      <c r="C691" s="7"/>
      <c r="D691" s="6"/>
      <c r="E691" s="6"/>
    </row>
    <row r="692" ht="22.5" customHeight="1">
      <c r="A692" s="6"/>
      <c r="B692" s="6"/>
      <c r="C692" s="7"/>
      <c r="D692" s="6"/>
      <c r="E692" s="6"/>
    </row>
    <row r="693" ht="22.5" customHeight="1">
      <c r="A693" s="6"/>
      <c r="B693" s="6"/>
      <c r="C693" s="7"/>
      <c r="D693" s="6"/>
      <c r="E693" s="6"/>
    </row>
    <row r="694" ht="22.5" customHeight="1">
      <c r="A694" s="6"/>
      <c r="B694" s="6"/>
      <c r="C694" s="7"/>
      <c r="D694" s="6"/>
      <c r="E694" s="6"/>
    </row>
    <row r="695" ht="22.5" customHeight="1">
      <c r="A695" s="6"/>
      <c r="B695" s="6"/>
      <c r="C695" s="7"/>
      <c r="D695" s="6"/>
      <c r="E695" s="6"/>
    </row>
    <row r="696" ht="22.5" customHeight="1">
      <c r="A696" s="6"/>
      <c r="B696" s="6"/>
      <c r="C696" s="7"/>
      <c r="D696" s="6"/>
      <c r="E696" s="6"/>
    </row>
    <row r="697" ht="22.5" customHeight="1">
      <c r="A697" s="6"/>
      <c r="B697" s="6"/>
      <c r="C697" s="7"/>
      <c r="D697" s="6"/>
      <c r="E697" s="6"/>
    </row>
    <row r="698" ht="22.5" customHeight="1">
      <c r="A698" s="6"/>
      <c r="B698" s="6"/>
      <c r="C698" s="7"/>
      <c r="D698" s="6"/>
      <c r="E698" s="6"/>
    </row>
    <row r="699" ht="22.5" customHeight="1">
      <c r="A699" s="6"/>
      <c r="B699" s="6"/>
      <c r="C699" s="7"/>
      <c r="D699" s="6"/>
      <c r="E699" s="6"/>
    </row>
    <row r="700" ht="22.5" customHeight="1">
      <c r="A700" s="6"/>
      <c r="B700" s="6"/>
      <c r="C700" s="7"/>
      <c r="D700" s="6"/>
      <c r="E700" s="6"/>
    </row>
    <row r="701" ht="22.5" customHeight="1">
      <c r="A701" s="6"/>
      <c r="B701" s="6"/>
      <c r="C701" s="7"/>
      <c r="D701" s="6"/>
      <c r="E701" s="6"/>
    </row>
    <row r="702" ht="22.5" customHeight="1">
      <c r="A702" s="6"/>
      <c r="B702" s="6"/>
      <c r="C702" s="7"/>
      <c r="D702" s="6"/>
      <c r="E702" s="6"/>
    </row>
    <row r="703" ht="22.5" customHeight="1">
      <c r="A703" s="6"/>
      <c r="B703" s="6"/>
      <c r="C703" s="7"/>
      <c r="D703" s="6"/>
      <c r="E703" s="6"/>
    </row>
    <row r="704" ht="22.5" customHeight="1">
      <c r="A704" s="6"/>
      <c r="B704" s="6"/>
      <c r="C704" s="7"/>
      <c r="D704" s="6"/>
      <c r="E704" s="6"/>
    </row>
    <row r="705" ht="22.5" customHeight="1">
      <c r="A705" s="6"/>
      <c r="B705" s="6"/>
      <c r="C705" s="7"/>
      <c r="D705" s="6"/>
      <c r="E705" s="6"/>
    </row>
    <row r="706" ht="22.5" customHeight="1">
      <c r="A706" s="6"/>
      <c r="B706" s="6"/>
      <c r="C706" s="7"/>
      <c r="D706" s="6"/>
      <c r="E706" s="6"/>
    </row>
    <row r="707" ht="22.5" customHeight="1">
      <c r="A707" s="6"/>
      <c r="B707" s="6"/>
      <c r="C707" s="7"/>
      <c r="D707" s="6"/>
      <c r="E707" s="6"/>
    </row>
    <row r="708" ht="22.5" customHeight="1">
      <c r="A708" s="6"/>
      <c r="B708" s="6"/>
      <c r="C708" s="7"/>
      <c r="D708" s="6"/>
      <c r="E708" s="6"/>
    </row>
    <row r="709" ht="22.5" customHeight="1">
      <c r="A709" s="6"/>
      <c r="B709" s="6"/>
      <c r="C709" s="7"/>
      <c r="D709" s="6"/>
      <c r="E709" s="6"/>
    </row>
    <row r="710" ht="22.5" customHeight="1">
      <c r="A710" s="6"/>
      <c r="B710" s="6"/>
      <c r="C710" s="7"/>
      <c r="D710" s="6"/>
      <c r="E710" s="6"/>
    </row>
    <row r="711" ht="22.5" customHeight="1">
      <c r="A711" s="6"/>
      <c r="B711" s="6"/>
      <c r="C711" s="7"/>
      <c r="D711" s="6"/>
      <c r="E711" s="6"/>
    </row>
    <row r="712" ht="22.5" customHeight="1">
      <c r="A712" s="6"/>
      <c r="B712" s="6"/>
      <c r="C712" s="7"/>
      <c r="D712" s="6"/>
      <c r="E712" s="6"/>
    </row>
    <row r="713" ht="22.5" customHeight="1">
      <c r="A713" s="6"/>
      <c r="B713" s="6"/>
      <c r="C713" s="7"/>
      <c r="D713" s="6"/>
      <c r="E713" s="6"/>
    </row>
    <row r="714" ht="22.5" customHeight="1">
      <c r="A714" s="6"/>
      <c r="B714" s="6"/>
      <c r="C714" s="7"/>
      <c r="D714" s="6"/>
      <c r="E714" s="6"/>
    </row>
    <row r="715" ht="22.5" customHeight="1">
      <c r="A715" s="6"/>
      <c r="B715" s="6"/>
      <c r="C715" s="7"/>
      <c r="D715" s="6"/>
      <c r="E715" s="6"/>
    </row>
    <row r="716" ht="22.5" customHeight="1">
      <c r="A716" s="6"/>
      <c r="B716" s="6"/>
      <c r="C716" s="7"/>
      <c r="D716" s="6"/>
      <c r="E716" s="6"/>
    </row>
    <row r="717" ht="22.5" customHeight="1">
      <c r="A717" s="6"/>
      <c r="B717" s="6"/>
      <c r="C717" s="7"/>
      <c r="D717" s="6"/>
      <c r="E717" s="6"/>
    </row>
    <row r="718" ht="22.5" customHeight="1">
      <c r="A718" s="6"/>
      <c r="B718" s="6"/>
      <c r="C718" s="7"/>
      <c r="D718" s="6"/>
      <c r="E718" s="6"/>
    </row>
    <row r="719" ht="22.5" customHeight="1">
      <c r="A719" s="6"/>
      <c r="B719" s="6"/>
      <c r="C719" s="7"/>
      <c r="D719" s="6"/>
      <c r="E719" s="6"/>
    </row>
    <row r="720" ht="22.5" customHeight="1">
      <c r="A720" s="6"/>
      <c r="B720" s="6"/>
      <c r="C720" s="7"/>
      <c r="D720" s="6"/>
      <c r="E720" s="6"/>
    </row>
    <row r="721" ht="22.5" customHeight="1">
      <c r="A721" s="6"/>
      <c r="B721" s="6"/>
      <c r="C721" s="7"/>
      <c r="D721" s="6"/>
      <c r="E721" s="6"/>
    </row>
    <row r="722" ht="22.5" customHeight="1">
      <c r="A722" s="6"/>
      <c r="B722" s="6"/>
      <c r="C722" s="7"/>
      <c r="D722" s="6"/>
      <c r="E722" s="6"/>
    </row>
    <row r="723" ht="22.5" customHeight="1">
      <c r="A723" s="6"/>
      <c r="B723" s="6"/>
      <c r="C723" s="7"/>
      <c r="D723" s="6"/>
      <c r="E723" s="6"/>
    </row>
    <row r="724" ht="22.5" customHeight="1">
      <c r="A724" s="6"/>
      <c r="B724" s="6"/>
      <c r="C724" s="7"/>
      <c r="D724" s="6"/>
      <c r="E724" s="6"/>
    </row>
    <row r="725" ht="22.5" customHeight="1">
      <c r="A725" s="6"/>
      <c r="B725" s="6"/>
      <c r="C725" s="7"/>
      <c r="D725" s="6"/>
      <c r="E725" s="6"/>
    </row>
    <row r="726" ht="22.5" customHeight="1">
      <c r="A726" s="6"/>
      <c r="B726" s="6"/>
      <c r="C726" s="7"/>
      <c r="D726" s="6"/>
      <c r="E726" s="6"/>
    </row>
    <row r="727" ht="22.5" customHeight="1">
      <c r="A727" s="6"/>
      <c r="B727" s="6"/>
      <c r="C727" s="7"/>
      <c r="D727" s="6"/>
      <c r="E727" s="6"/>
    </row>
    <row r="728" ht="22.5" customHeight="1">
      <c r="A728" s="6"/>
      <c r="B728" s="6"/>
      <c r="C728" s="7"/>
      <c r="D728" s="6"/>
      <c r="E728" s="6"/>
    </row>
    <row r="729" ht="22.5" customHeight="1">
      <c r="A729" s="6"/>
      <c r="B729" s="6"/>
      <c r="C729" s="7"/>
      <c r="D729" s="6"/>
      <c r="E729" s="6"/>
    </row>
    <row r="730" ht="22.5" customHeight="1">
      <c r="A730" s="6"/>
      <c r="B730" s="6"/>
      <c r="C730" s="7"/>
      <c r="D730" s="6"/>
      <c r="E730" s="6"/>
    </row>
    <row r="731" ht="22.5" customHeight="1">
      <c r="A731" s="6"/>
      <c r="B731" s="6"/>
      <c r="C731" s="7"/>
      <c r="D731" s="6"/>
      <c r="E731" s="6"/>
    </row>
    <row r="732" ht="22.5" customHeight="1">
      <c r="A732" s="6"/>
      <c r="B732" s="6"/>
      <c r="C732" s="7"/>
      <c r="D732" s="6"/>
      <c r="E732" s="6"/>
    </row>
    <row r="733" ht="22.5" customHeight="1">
      <c r="A733" s="6"/>
      <c r="B733" s="6"/>
      <c r="C733" s="7"/>
      <c r="D733" s="6"/>
      <c r="E733" s="6"/>
    </row>
    <row r="734" ht="22.5" customHeight="1">
      <c r="A734" s="6"/>
      <c r="B734" s="6"/>
      <c r="C734" s="7"/>
      <c r="D734" s="6"/>
      <c r="E734" s="6"/>
    </row>
    <row r="735" ht="22.5" customHeight="1">
      <c r="A735" s="6"/>
      <c r="B735" s="6"/>
      <c r="C735" s="7"/>
      <c r="D735" s="6"/>
      <c r="E735" s="6"/>
    </row>
    <row r="736" ht="22.5" customHeight="1">
      <c r="A736" s="6"/>
      <c r="B736" s="6"/>
      <c r="C736" s="7"/>
      <c r="D736" s="6"/>
      <c r="E736" s="6"/>
    </row>
    <row r="737" ht="22.5" customHeight="1">
      <c r="A737" s="6"/>
      <c r="B737" s="6"/>
      <c r="C737" s="7"/>
      <c r="D737" s="6"/>
      <c r="E737" s="6"/>
    </row>
    <row r="738" ht="22.5" customHeight="1">
      <c r="A738" s="6"/>
      <c r="B738" s="6"/>
      <c r="C738" s="7"/>
      <c r="D738" s="6"/>
      <c r="E738" s="6"/>
    </row>
    <row r="739" ht="22.5" customHeight="1">
      <c r="A739" s="6"/>
      <c r="B739" s="6"/>
      <c r="C739" s="7"/>
      <c r="D739" s="6"/>
      <c r="E739" s="6"/>
    </row>
    <row r="740" ht="22.5" customHeight="1">
      <c r="A740" s="6"/>
      <c r="B740" s="6"/>
      <c r="C740" s="7"/>
      <c r="D740" s="6"/>
      <c r="E740" s="6"/>
    </row>
    <row r="741" ht="22.5" customHeight="1">
      <c r="A741" s="6"/>
      <c r="B741" s="6"/>
      <c r="C741" s="7"/>
      <c r="D741" s="6"/>
      <c r="E741" s="6"/>
    </row>
    <row r="742" ht="22.5" customHeight="1">
      <c r="A742" s="6"/>
      <c r="B742" s="6"/>
      <c r="C742" s="7"/>
      <c r="D742" s="6"/>
      <c r="E742" s="6"/>
    </row>
    <row r="743" ht="22.5" customHeight="1">
      <c r="A743" s="6"/>
      <c r="B743" s="6"/>
      <c r="C743" s="7"/>
      <c r="D743" s="6"/>
      <c r="E743" s="6"/>
    </row>
    <row r="744" ht="22.5" customHeight="1">
      <c r="A744" s="6"/>
      <c r="B744" s="6"/>
      <c r="C744" s="7"/>
      <c r="D744" s="6"/>
      <c r="E744" s="6"/>
    </row>
    <row r="745" ht="22.5" customHeight="1">
      <c r="A745" s="6"/>
      <c r="B745" s="6"/>
      <c r="C745" s="7"/>
      <c r="D745" s="6"/>
      <c r="E745" s="6"/>
    </row>
    <row r="746" ht="22.5" customHeight="1">
      <c r="A746" s="6"/>
      <c r="B746" s="6"/>
      <c r="C746" s="7"/>
      <c r="D746" s="6"/>
      <c r="E746" s="6"/>
    </row>
    <row r="747" ht="22.5" customHeight="1">
      <c r="A747" s="6"/>
      <c r="B747" s="6"/>
      <c r="C747" s="7"/>
      <c r="D747" s="6"/>
      <c r="E747" s="6"/>
    </row>
    <row r="748" ht="22.5" customHeight="1">
      <c r="A748" s="6"/>
      <c r="B748" s="6"/>
      <c r="C748" s="7"/>
      <c r="D748" s="6"/>
      <c r="E748" s="6"/>
    </row>
    <row r="749" ht="22.5" customHeight="1">
      <c r="A749" s="6"/>
      <c r="B749" s="6"/>
      <c r="C749" s="7"/>
      <c r="D749" s="6"/>
      <c r="E749" s="6"/>
    </row>
    <row r="750" ht="22.5" customHeight="1">
      <c r="A750" s="6"/>
      <c r="B750" s="6"/>
      <c r="C750" s="7"/>
      <c r="D750" s="6"/>
      <c r="E750" s="6"/>
    </row>
    <row r="751" ht="22.5" customHeight="1">
      <c r="A751" s="6"/>
      <c r="B751" s="6"/>
      <c r="C751" s="7"/>
      <c r="D751" s="6"/>
      <c r="E751" s="6"/>
    </row>
    <row r="752" ht="22.5" customHeight="1">
      <c r="A752" s="6"/>
      <c r="B752" s="6"/>
      <c r="C752" s="7"/>
      <c r="D752" s="6"/>
      <c r="E752" s="6"/>
    </row>
    <row r="753" ht="22.5" customHeight="1">
      <c r="A753" s="6"/>
      <c r="B753" s="6"/>
      <c r="C753" s="7"/>
      <c r="D753" s="6"/>
      <c r="E753" s="6"/>
    </row>
    <row r="754" ht="22.5" customHeight="1">
      <c r="A754" s="6"/>
      <c r="B754" s="6"/>
      <c r="C754" s="7"/>
      <c r="D754" s="6"/>
      <c r="E754" s="6"/>
    </row>
    <row r="755" ht="22.5" customHeight="1">
      <c r="A755" s="6"/>
      <c r="B755" s="6"/>
      <c r="C755" s="7"/>
      <c r="D755" s="6"/>
      <c r="E755" s="6"/>
    </row>
    <row r="756" ht="22.5" customHeight="1">
      <c r="A756" s="6"/>
      <c r="B756" s="6"/>
      <c r="C756" s="7"/>
      <c r="D756" s="6"/>
      <c r="E756" s="6"/>
    </row>
    <row r="757" ht="22.5" customHeight="1">
      <c r="A757" s="6"/>
      <c r="B757" s="6"/>
      <c r="C757" s="7"/>
      <c r="D757" s="6"/>
      <c r="E757" s="6"/>
    </row>
    <row r="758" ht="22.5" customHeight="1">
      <c r="A758" s="6"/>
      <c r="B758" s="6"/>
      <c r="C758" s="7"/>
      <c r="D758" s="6"/>
      <c r="E758" s="6"/>
    </row>
    <row r="759" ht="22.5" customHeight="1">
      <c r="A759" s="6"/>
      <c r="B759" s="6"/>
      <c r="C759" s="7"/>
      <c r="D759" s="6"/>
      <c r="E759" s="6"/>
    </row>
    <row r="760" ht="22.5" customHeight="1">
      <c r="A760" s="6"/>
      <c r="B760" s="6"/>
      <c r="C760" s="7"/>
      <c r="D760" s="6"/>
      <c r="E760" s="6"/>
    </row>
    <row r="761" ht="22.5" customHeight="1">
      <c r="A761" s="6"/>
      <c r="B761" s="6"/>
      <c r="C761" s="7"/>
      <c r="D761" s="6"/>
      <c r="E761" s="6"/>
    </row>
    <row r="762" ht="22.5" customHeight="1">
      <c r="A762" s="6"/>
      <c r="B762" s="6"/>
      <c r="C762" s="7"/>
      <c r="D762" s="6"/>
      <c r="E762" s="6"/>
    </row>
    <row r="763" ht="22.5" customHeight="1">
      <c r="A763" s="6"/>
      <c r="B763" s="6"/>
      <c r="C763" s="7"/>
      <c r="D763" s="6"/>
      <c r="E763" s="6"/>
    </row>
    <row r="764" ht="22.5" customHeight="1">
      <c r="A764" s="6"/>
      <c r="B764" s="6"/>
      <c r="C764" s="7"/>
      <c r="D764" s="6"/>
      <c r="E764" s="6"/>
    </row>
    <row r="765" ht="22.5" customHeight="1">
      <c r="A765" s="6"/>
      <c r="B765" s="6"/>
      <c r="C765" s="7"/>
      <c r="D765" s="6"/>
      <c r="E765" s="6"/>
    </row>
    <row r="766" ht="22.5" customHeight="1">
      <c r="A766" s="6"/>
      <c r="B766" s="6"/>
      <c r="C766" s="7"/>
      <c r="D766" s="6"/>
      <c r="E766" s="6"/>
    </row>
    <row r="767" ht="22.5" customHeight="1">
      <c r="A767" s="6"/>
      <c r="B767" s="6"/>
      <c r="C767" s="7"/>
      <c r="D767" s="6"/>
      <c r="E767" s="6"/>
    </row>
    <row r="768" ht="22.5" customHeight="1">
      <c r="A768" s="6"/>
      <c r="B768" s="6"/>
      <c r="C768" s="7"/>
      <c r="D768" s="6"/>
      <c r="E768" s="6"/>
    </row>
    <row r="769" ht="22.5" customHeight="1">
      <c r="A769" s="6"/>
      <c r="B769" s="6"/>
      <c r="C769" s="7"/>
      <c r="D769" s="6"/>
      <c r="E769" s="6"/>
    </row>
    <row r="770" ht="22.5" customHeight="1">
      <c r="A770" s="6"/>
      <c r="B770" s="6"/>
      <c r="C770" s="7"/>
      <c r="D770" s="6"/>
      <c r="E770" s="6"/>
    </row>
    <row r="771" ht="22.5" customHeight="1">
      <c r="A771" s="6"/>
      <c r="B771" s="6"/>
      <c r="C771" s="7"/>
      <c r="D771" s="6"/>
      <c r="E771" s="6"/>
    </row>
    <row r="772" ht="22.5" customHeight="1">
      <c r="A772" s="6"/>
      <c r="B772" s="6"/>
      <c r="C772" s="7"/>
      <c r="D772" s="6"/>
      <c r="E772" s="6"/>
    </row>
    <row r="773" ht="22.5" customHeight="1">
      <c r="A773" s="6"/>
      <c r="B773" s="6"/>
      <c r="C773" s="7"/>
      <c r="D773" s="6"/>
      <c r="E773" s="6"/>
    </row>
    <row r="774" ht="22.5" customHeight="1">
      <c r="A774" s="6"/>
      <c r="B774" s="6"/>
      <c r="C774" s="7"/>
      <c r="D774" s="6"/>
      <c r="E774" s="6"/>
    </row>
    <row r="775" ht="22.5" customHeight="1">
      <c r="A775" s="6"/>
      <c r="B775" s="6"/>
      <c r="C775" s="7"/>
      <c r="D775" s="6"/>
      <c r="E775" s="6"/>
    </row>
    <row r="776" ht="22.5" customHeight="1">
      <c r="A776" s="6"/>
      <c r="B776" s="6"/>
      <c r="C776" s="7"/>
      <c r="D776" s="6"/>
      <c r="E776" s="6"/>
    </row>
    <row r="777" ht="22.5" customHeight="1">
      <c r="A777" s="6"/>
      <c r="B777" s="6"/>
      <c r="C777" s="7"/>
      <c r="D777" s="6"/>
      <c r="E777" s="6"/>
    </row>
    <row r="778" ht="22.5" customHeight="1">
      <c r="A778" s="6"/>
      <c r="B778" s="6"/>
      <c r="C778" s="7"/>
      <c r="D778" s="6"/>
      <c r="E778" s="6"/>
    </row>
    <row r="779" ht="22.5" customHeight="1">
      <c r="A779" s="6"/>
      <c r="B779" s="6"/>
      <c r="C779" s="7"/>
      <c r="D779" s="6"/>
      <c r="E779" s="6"/>
    </row>
    <row r="780" ht="22.5" customHeight="1">
      <c r="A780" s="6"/>
      <c r="B780" s="6"/>
      <c r="C780" s="7"/>
      <c r="D780" s="6"/>
      <c r="E780" s="6"/>
    </row>
    <row r="781" ht="22.5" customHeight="1">
      <c r="A781" s="6"/>
      <c r="B781" s="6"/>
      <c r="C781" s="7"/>
      <c r="D781" s="6"/>
      <c r="E781" s="6"/>
    </row>
    <row r="782" ht="22.5" customHeight="1">
      <c r="A782" s="6"/>
      <c r="B782" s="6"/>
      <c r="C782" s="7"/>
      <c r="D782" s="6"/>
      <c r="E782" s="6"/>
    </row>
    <row r="783" ht="22.5" customHeight="1">
      <c r="A783" s="6"/>
      <c r="B783" s="6"/>
      <c r="C783" s="7"/>
      <c r="D783" s="6"/>
      <c r="E783" s="6"/>
    </row>
    <row r="784" ht="22.5" customHeight="1">
      <c r="A784" s="6"/>
      <c r="B784" s="6"/>
      <c r="C784" s="7"/>
      <c r="D784" s="6"/>
      <c r="E784" s="6"/>
    </row>
    <row r="785" ht="22.5" customHeight="1">
      <c r="A785" s="6"/>
      <c r="B785" s="6"/>
      <c r="C785" s="7"/>
      <c r="D785" s="6"/>
      <c r="E785" s="6"/>
    </row>
    <row r="786" ht="22.5" customHeight="1">
      <c r="A786" s="6"/>
      <c r="B786" s="6"/>
      <c r="C786" s="7"/>
      <c r="D786" s="6"/>
      <c r="E786" s="6"/>
    </row>
    <row r="787" ht="22.5" customHeight="1">
      <c r="A787" s="6"/>
      <c r="B787" s="6"/>
      <c r="C787" s="7"/>
      <c r="D787" s="6"/>
      <c r="E787" s="6"/>
    </row>
    <row r="788" ht="22.5" customHeight="1">
      <c r="A788" s="6"/>
      <c r="B788" s="6"/>
      <c r="C788" s="7"/>
      <c r="D788" s="6"/>
      <c r="E788" s="6"/>
    </row>
    <row r="789" ht="22.5" customHeight="1">
      <c r="A789" s="6"/>
      <c r="B789" s="6"/>
      <c r="C789" s="7"/>
      <c r="D789" s="6"/>
      <c r="E789" s="6"/>
    </row>
    <row r="790" ht="22.5" customHeight="1">
      <c r="A790" s="6"/>
      <c r="B790" s="6"/>
      <c r="C790" s="7"/>
      <c r="D790" s="6"/>
      <c r="E790" s="6"/>
    </row>
    <row r="791" ht="22.5" customHeight="1">
      <c r="A791" s="6"/>
      <c r="B791" s="6"/>
      <c r="C791" s="7"/>
      <c r="D791" s="6"/>
      <c r="E791" s="6"/>
    </row>
    <row r="792" ht="22.5" customHeight="1">
      <c r="A792" s="6"/>
      <c r="B792" s="6"/>
      <c r="C792" s="7"/>
      <c r="D792" s="6"/>
      <c r="E792" s="6"/>
    </row>
    <row r="793" ht="22.5" customHeight="1">
      <c r="A793" s="6"/>
      <c r="B793" s="6"/>
      <c r="C793" s="7"/>
      <c r="D793" s="6"/>
      <c r="E793" s="6"/>
    </row>
    <row r="794" ht="22.5" customHeight="1">
      <c r="A794" s="6"/>
      <c r="B794" s="6"/>
      <c r="C794" s="7"/>
      <c r="D794" s="6"/>
      <c r="E794" s="6"/>
    </row>
    <row r="795" ht="22.5" customHeight="1">
      <c r="A795" s="6"/>
      <c r="B795" s="6"/>
      <c r="C795" s="7"/>
      <c r="D795" s="6"/>
      <c r="E795" s="6"/>
    </row>
    <row r="796" ht="22.5" customHeight="1">
      <c r="A796" s="6"/>
      <c r="B796" s="6"/>
      <c r="C796" s="7"/>
      <c r="D796" s="6"/>
      <c r="E796" s="6"/>
    </row>
    <row r="797" ht="22.5" customHeight="1">
      <c r="A797" s="6"/>
      <c r="B797" s="6"/>
      <c r="C797" s="7"/>
      <c r="D797" s="6"/>
      <c r="E797" s="6"/>
    </row>
    <row r="798" ht="22.5" customHeight="1">
      <c r="A798" s="6"/>
      <c r="B798" s="6"/>
      <c r="C798" s="7"/>
      <c r="D798" s="6"/>
      <c r="E798" s="6"/>
    </row>
    <row r="799" ht="22.5" customHeight="1">
      <c r="A799" s="6"/>
      <c r="B799" s="6"/>
      <c r="C799" s="7"/>
      <c r="D799" s="6"/>
      <c r="E799" s="6"/>
    </row>
    <row r="800" ht="22.5" customHeight="1">
      <c r="A800" s="6"/>
      <c r="B800" s="6"/>
      <c r="C800" s="7"/>
      <c r="D800" s="6"/>
      <c r="E800" s="6"/>
    </row>
    <row r="801" ht="22.5" customHeight="1">
      <c r="A801" s="6"/>
      <c r="B801" s="6"/>
      <c r="C801" s="7"/>
      <c r="D801" s="6"/>
      <c r="E801" s="6"/>
    </row>
    <row r="802" ht="22.5" customHeight="1">
      <c r="A802" s="6"/>
      <c r="B802" s="6"/>
      <c r="C802" s="7"/>
      <c r="D802" s="6"/>
      <c r="E802" s="6"/>
    </row>
    <row r="803" ht="22.5" customHeight="1">
      <c r="A803" s="6"/>
      <c r="B803" s="6"/>
      <c r="C803" s="7"/>
      <c r="D803" s="6"/>
      <c r="E803" s="6"/>
    </row>
    <row r="804" ht="22.5" customHeight="1">
      <c r="A804" s="6"/>
      <c r="B804" s="6"/>
      <c r="C804" s="7"/>
      <c r="D804" s="6"/>
      <c r="E804" s="6"/>
    </row>
    <row r="805" ht="22.5" customHeight="1">
      <c r="A805" s="6"/>
      <c r="B805" s="6"/>
      <c r="C805" s="7"/>
      <c r="D805" s="6"/>
      <c r="E805" s="6"/>
    </row>
    <row r="806" ht="22.5" customHeight="1">
      <c r="A806" s="6"/>
      <c r="B806" s="6"/>
      <c r="C806" s="7"/>
      <c r="D806" s="6"/>
      <c r="E806" s="6"/>
    </row>
    <row r="807" ht="22.5" customHeight="1">
      <c r="A807" s="6"/>
      <c r="B807" s="6"/>
      <c r="C807" s="7"/>
      <c r="D807" s="6"/>
      <c r="E807" s="6"/>
    </row>
    <row r="808" ht="22.5" customHeight="1">
      <c r="A808" s="6"/>
      <c r="B808" s="6"/>
      <c r="C808" s="7"/>
      <c r="D808" s="6"/>
      <c r="E808" s="6"/>
    </row>
    <row r="809" ht="22.5" customHeight="1">
      <c r="A809" s="6"/>
      <c r="B809" s="6"/>
      <c r="C809" s="7"/>
      <c r="D809" s="6"/>
      <c r="E809" s="6"/>
    </row>
    <row r="810" ht="22.5" customHeight="1">
      <c r="A810" s="6"/>
      <c r="B810" s="6"/>
      <c r="C810" s="7"/>
      <c r="D810" s="6"/>
      <c r="E810" s="6"/>
    </row>
    <row r="811" ht="22.5" customHeight="1">
      <c r="A811" s="6"/>
      <c r="B811" s="6"/>
      <c r="C811" s="7"/>
      <c r="D811" s="6"/>
      <c r="E811" s="6"/>
    </row>
    <row r="812" ht="22.5" customHeight="1">
      <c r="A812" s="6"/>
      <c r="B812" s="6"/>
      <c r="C812" s="7"/>
      <c r="D812" s="6"/>
      <c r="E812" s="6"/>
    </row>
    <row r="813" ht="22.5" customHeight="1">
      <c r="A813" s="6"/>
      <c r="B813" s="6"/>
      <c r="C813" s="7"/>
      <c r="D813" s="6"/>
      <c r="E813" s="6"/>
    </row>
    <row r="814" ht="22.5" customHeight="1">
      <c r="A814" s="6"/>
      <c r="B814" s="6"/>
      <c r="C814" s="7"/>
      <c r="D814" s="6"/>
      <c r="E814" s="6"/>
    </row>
    <row r="815" ht="22.5" customHeight="1">
      <c r="A815" s="6"/>
      <c r="B815" s="6"/>
      <c r="C815" s="7"/>
      <c r="D815" s="6"/>
      <c r="E815" s="6"/>
    </row>
    <row r="816" ht="22.5" customHeight="1">
      <c r="A816" s="6"/>
      <c r="B816" s="6"/>
      <c r="C816" s="7"/>
      <c r="D816" s="6"/>
      <c r="E816" s="6"/>
    </row>
    <row r="817" ht="22.5" customHeight="1">
      <c r="A817" s="6"/>
      <c r="B817" s="6"/>
      <c r="C817" s="7"/>
      <c r="D817" s="6"/>
      <c r="E817" s="6"/>
    </row>
    <row r="818" ht="22.5" customHeight="1">
      <c r="A818" s="6"/>
      <c r="B818" s="6"/>
      <c r="C818" s="7"/>
      <c r="D818" s="6"/>
      <c r="E818" s="6"/>
    </row>
    <row r="819" ht="22.5" customHeight="1">
      <c r="A819" s="6"/>
      <c r="B819" s="6"/>
      <c r="C819" s="7"/>
      <c r="D819" s="6"/>
      <c r="E819" s="6"/>
    </row>
    <row r="820" ht="22.5" customHeight="1">
      <c r="A820" s="6"/>
      <c r="B820" s="6"/>
      <c r="C820" s="7"/>
      <c r="D820" s="6"/>
      <c r="E820" s="6"/>
    </row>
    <row r="821" ht="22.5" customHeight="1">
      <c r="A821" s="6"/>
      <c r="B821" s="6"/>
      <c r="C821" s="7"/>
      <c r="D821" s="6"/>
      <c r="E821" s="6"/>
    </row>
    <row r="822" ht="22.5" customHeight="1">
      <c r="A822" s="6"/>
      <c r="B822" s="6"/>
      <c r="C822" s="7"/>
      <c r="D822" s="6"/>
      <c r="E822" s="6"/>
    </row>
    <row r="823" ht="22.5" customHeight="1">
      <c r="A823" s="6"/>
      <c r="B823" s="6"/>
      <c r="C823" s="7"/>
      <c r="D823" s="6"/>
      <c r="E823" s="6"/>
    </row>
    <row r="824" ht="22.5" customHeight="1">
      <c r="A824" s="6"/>
      <c r="B824" s="6"/>
      <c r="C824" s="7"/>
      <c r="D824" s="6"/>
      <c r="E824" s="6"/>
    </row>
    <row r="825" ht="22.5" customHeight="1">
      <c r="A825" s="6"/>
      <c r="B825" s="6"/>
      <c r="C825" s="7"/>
      <c r="D825" s="6"/>
      <c r="E825" s="6"/>
    </row>
    <row r="826" ht="22.5" customHeight="1">
      <c r="A826" s="6"/>
      <c r="B826" s="6"/>
      <c r="C826" s="7"/>
      <c r="D826" s="6"/>
      <c r="E826" s="6"/>
    </row>
    <row r="827" ht="22.5" customHeight="1">
      <c r="A827" s="6"/>
      <c r="B827" s="6"/>
      <c r="C827" s="7"/>
      <c r="D827" s="6"/>
      <c r="E827" s="6"/>
    </row>
    <row r="828" ht="22.5" customHeight="1">
      <c r="A828" s="6"/>
      <c r="B828" s="6"/>
      <c r="C828" s="7"/>
      <c r="D828" s="6"/>
      <c r="E828" s="6"/>
    </row>
    <row r="829" ht="22.5" customHeight="1">
      <c r="A829" s="6"/>
      <c r="B829" s="6"/>
      <c r="C829" s="7"/>
      <c r="D829" s="6"/>
      <c r="E829" s="6"/>
    </row>
    <row r="830" ht="22.5" customHeight="1">
      <c r="A830" s="6"/>
      <c r="B830" s="6"/>
      <c r="C830" s="7"/>
      <c r="D830" s="6"/>
      <c r="E830" s="6"/>
    </row>
    <row r="831" ht="22.5" customHeight="1">
      <c r="A831" s="6"/>
      <c r="B831" s="6"/>
      <c r="C831" s="7"/>
      <c r="D831" s="6"/>
      <c r="E831" s="6"/>
    </row>
    <row r="832" ht="22.5" customHeight="1">
      <c r="A832" s="6"/>
      <c r="B832" s="6"/>
      <c r="C832" s="7"/>
      <c r="D832" s="6"/>
      <c r="E832" s="6"/>
    </row>
    <row r="833" ht="22.5" customHeight="1">
      <c r="A833" s="6"/>
      <c r="B833" s="6"/>
      <c r="C833" s="7"/>
      <c r="D833" s="6"/>
      <c r="E833" s="6"/>
    </row>
    <row r="834" ht="22.5" customHeight="1">
      <c r="A834" s="6"/>
      <c r="B834" s="6"/>
      <c r="C834" s="7"/>
      <c r="D834" s="6"/>
      <c r="E834" s="6"/>
    </row>
    <row r="835" ht="22.5" customHeight="1">
      <c r="A835" s="6"/>
      <c r="B835" s="6"/>
      <c r="C835" s="7"/>
      <c r="D835" s="6"/>
      <c r="E835" s="6"/>
    </row>
    <row r="836" ht="22.5" customHeight="1">
      <c r="A836" s="6"/>
      <c r="B836" s="6"/>
      <c r="C836" s="7"/>
      <c r="D836" s="6"/>
      <c r="E836" s="6"/>
    </row>
    <row r="837" ht="22.5" customHeight="1">
      <c r="A837" s="6"/>
      <c r="B837" s="6"/>
      <c r="C837" s="7"/>
      <c r="D837" s="6"/>
      <c r="E837" s="6"/>
    </row>
    <row r="838" ht="22.5" customHeight="1">
      <c r="A838" s="6"/>
      <c r="B838" s="6"/>
      <c r="C838" s="7"/>
      <c r="D838" s="6"/>
      <c r="E838" s="6"/>
    </row>
    <row r="839" ht="22.5" customHeight="1">
      <c r="A839" s="6"/>
      <c r="B839" s="6"/>
      <c r="C839" s="7"/>
      <c r="D839" s="6"/>
      <c r="E839" s="6"/>
    </row>
    <row r="840" ht="22.5" customHeight="1">
      <c r="A840" s="6"/>
      <c r="B840" s="6"/>
      <c r="C840" s="7"/>
      <c r="D840" s="6"/>
      <c r="E840" s="6"/>
    </row>
    <row r="841" ht="22.5" customHeight="1">
      <c r="A841" s="6"/>
      <c r="B841" s="6"/>
      <c r="C841" s="7"/>
      <c r="D841" s="6"/>
      <c r="E841" s="6"/>
    </row>
    <row r="842" ht="22.5" customHeight="1">
      <c r="A842" s="6"/>
      <c r="B842" s="6"/>
      <c r="C842" s="7"/>
      <c r="D842" s="6"/>
      <c r="E842" s="6"/>
    </row>
    <row r="843" ht="22.5" customHeight="1">
      <c r="A843" s="6"/>
      <c r="B843" s="6"/>
      <c r="C843" s="7"/>
      <c r="D843" s="6"/>
      <c r="E843" s="6"/>
    </row>
    <row r="844" ht="22.5" customHeight="1">
      <c r="A844" s="6"/>
      <c r="B844" s="6"/>
      <c r="C844" s="7"/>
      <c r="D844" s="6"/>
      <c r="E844" s="6"/>
    </row>
    <row r="845" ht="22.5" customHeight="1">
      <c r="A845" s="6"/>
      <c r="B845" s="6"/>
      <c r="C845" s="7"/>
      <c r="D845" s="6"/>
      <c r="E845" s="6"/>
    </row>
    <row r="846" ht="22.5" customHeight="1">
      <c r="A846" s="6"/>
      <c r="B846" s="6"/>
      <c r="C846" s="7"/>
      <c r="D846" s="6"/>
      <c r="E846" s="6"/>
    </row>
    <row r="847" ht="22.5" customHeight="1">
      <c r="A847" s="6"/>
      <c r="B847" s="6"/>
      <c r="C847" s="7"/>
      <c r="D847" s="6"/>
      <c r="E847" s="6"/>
    </row>
    <row r="848" ht="22.5" customHeight="1">
      <c r="A848" s="6"/>
      <c r="B848" s="6"/>
      <c r="C848" s="7"/>
      <c r="D848" s="6"/>
      <c r="E848" s="6"/>
    </row>
    <row r="849" ht="22.5" customHeight="1">
      <c r="A849" s="6"/>
      <c r="B849" s="6"/>
      <c r="C849" s="7"/>
      <c r="D849" s="6"/>
      <c r="E849" s="6"/>
    </row>
    <row r="850" ht="22.5" customHeight="1">
      <c r="A850" s="6"/>
      <c r="B850" s="6"/>
      <c r="C850" s="7"/>
      <c r="D850" s="6"/>
      <c r="E850" s="6"/>
    </row>
    <row r="851" ht="22.5" customHeight="1">
      <c r="A851" s="6"/>
      <c r="B851" s="6"/>
      <c r="C851" s="7"/>
      <c r="D851" s="6"/>
      <c r="E851" s="6"/>
    </row>
    <row r="852" ht="22.5" customHeight="1">
      <c r="A852" s="6"/>
      <c r="B852" s="6"/>
      <c r="C852" s="7"/>
      <c r="D852" s="6"/>
      <c r="E852" s="6"/>
    </row>
    <row r="853" ht="22.5" customHeight="1">
      <c r="A853" s="6"/>
      <c r="B853" s="6"/>
      <c r="C853" s="7"/>
      <c r="D853" s="6"/>
      <c r="E853" s="6"/>
    </row>
    <row r="854" ht="22.5" customHeight="1">
      <c r="A854" s="6"/>
      <c r="B854" s="6"/>
      <c r="C854" s="7"/>
      <c r="D854" s="6"/>
      <c r="E854" s="6"/>
    </row>
    <row r="855" ht="22.5" customHeight="1">
      <c r="A855" s="6"/>
      <c r="B855" s="6"/>
      <c r="C855" s="7"/>
      <c r="D855" s="6"/>
      <c r="E855" s="6"/>
    </row>
    <row r="856" ht="22.5" customHeight="1">
      <c r="A856" s="6"/>
      <c r="B856" s="6"/>
      <c r="C856" s="7"/>
      <c r="D856" s="6"/>
      <c r="E856" s="6"/>
    </row>
    <row r="857" ht="22.5" customHeight="1">
      <c r="A857" s="6"/>
      <c r="B857" s="6"/>
      <c r="C857" s="7"/>
      <c r="D857" s="6"/>
      <c r="E857" s="6"/>
    </row>
    <row r="858" ht="22.5" customHeight="1">
      <c r="A858" s="6"/>
      <c r="B858" s="6"/>
      <c r="C858" s="7"/>
      <c r="D858" s="6"/>
      <c r="E858" s="6"/>
    </row>
    <row r="859" ht="22.5" customHeight="1">
      <c r="A859" s="6"/>
      <c r="B859" s="6"/>
      <c r="C859" s="7"/>
      <c r="D859" s="6"/>
      <c r="E859" s="6"/>
    </row>
    <row r="860" ht="22.5" customHeight="1">
      <c r="A860" s="6"/>
      <c r="B860" s="6"/>
      <c r="C860" s="7"/>
      <c r="D860" s="6"/>
      <c r="E860" s="6"/>
    </row>
    <row r="861" ht="22.5" customHeight="1">
      <c r="A861" s="6"/>
      <c r="B861" s="6"/>
      <c r="C861" s="7"/>
      <c r="D861" s="6"/>
      <c r="E861" s="6"/>
    </row>
    <row r="862" ht="22.5" customHeight="1">
      <c r="A862" s="6"/>
      <c r="B862" s="6"/>
      <c r="C862" s="7"/>
      <c r="D862" s="6"/>
      <c r="E862" s="6"/>
    </row>
    <row r="863" ht="22.5" customHeight="1">
      <c r="A863" s="6"/>
      <c r="B863" s="6"/>
      <c r="C863" s="7"/>
      <c r="D863" s="6"/>
      <c r="E863" s="6"/>
    </row>
    <row r="864" ht="22.5" customHeight="1">
      <c r="A864" s="6"/>
      <c r="B864" s="6"/>
      <c r="C864" s="7"/>
      <c r="D864" s="6"/>
      <c r="E864" s="6"/>
    </row>
    <row r="865" ht="22.5" customHeight="1">
      <c r="A865" s="6"/>
      <c r="B865" s="6"/>
      <c r="C865" s="7"/>
      <c r="D865" s="6"/>
      <c r="E865" s="6"/>
    </row>
    <row r="866" ht="22.5" customHeight="1">
      <c r="A866" s="6"/>
      <c r="B866" s="6"/>
      <c r="C866" s="7"/>
      <c r="D866" s="6"/>
      <c r="E866" s="6"/>
    </row>
    <row r="867" ht="22.5" customHeight="1">
      <c r="A867" s="6"/>
      <c r="B867" s="6"/>
      <c r="C867" s="7"/>
      <c r="D867" s="6"/>
      <c r="E867" s="6"/>
    </row>
    <row r="868" ht="22.5" customHeight="1">
      <c r="A868" s="6"/>
      <c r="B868" s="6"/>
      <c r="C868" s="7"/>
      <c r="D868" s="6"/>
      <c r="E868" s="6"/>
    </row>
    <row r="869" ht="22.5" customHeight="1">
      <c r="A869" s="6"/>
      <c r="B869" s="6"/>
      <c r="C869" s="7"/>
      <c r="D869" s="6"/>
      <c r="E869" s="6"/>
    </row>
    <row r="870" ht="22.5" customHeight="1">
      <c r="A870" s="6"/>
      <c r="B870" s="6"/>
      <c r="C870" s="7"/>
      <c r="D870" s="6"/>
      <c r="E870" s="6"/>
    </row>
    <row r="871" ht="22.5" customHeight="1">
      <c r="A871" s="6"/>
      <c r="B871" s="6"/>
      <c r="C871" s="7"/>
      <c r="D871" s="6"/>
      <c r="E871" s="6"/>
    </row>
    <row r="872" ht="22.5" customHeight="1">
      <c r="A872" s="6"/>
      <c r="B872" s="6"/>
      <c r="C872" s="7"/>
      <c r="D872" s="6"/>
      <c r="E872" s="6"/>
    </row>
    <row r="873" ht="22.5" customHeight="1">
      <c r="A873" s="6"/>
      <c r="B873" s="6"/>
      <c r="C873" s="7"/>
      <c r="D873" s="6"/>
      <c r="E873" s="6"/>
    </row>
    <row r="874" ht="22.5" customHeight="1">
      <c r="A874" s="6"/>
      <c r="B874" s="6"/>
      <c r="C874" s="7"/>
      <c r="D874" s="6"/>
      <c r="E874" s="6"/>
    </row>
    <row r="875" ht="22.5" customHeight="1">
      <c r="A875" s="6"/>
      <c r="B875" s="6"/>
      <c r="C875" s="7"/>
      <c r="D875" s="6"/>
      <c r="E875" s="6"/>
    </row>
    <row r="876" ht="22.5" customHeight="1">
      <c r="A876" s="6"/>
      <c r="B876" s="6"/>
      <c r="C876" s="7"/>
      <c r="D876" s="6"/>
      <c r="E876" s="6"/>
    </row>
    <row r="877" ht="22.5" customHeight="1">
      <c r="A877" s="6"/>
      <c r="B877" s="6"/>
      <c r="C877" s="7"/>
      <c r="D877" s="6"/>
      <c r="E877" s="6"/>
    </row>
    <row r="878" ht="22.5" customHeight="1">
      <c r="A878" s="6"/>
      <c r="B878" s="6"/>
      <c r="C878" s="7"/>
      <c r="D878" s="6"/>
      <c r="E878" s="6"/>
    </row>
    <row r="879" ht="22.5" customHeight="1">
      <c r="A879" s="6"/>
      <c r="B879" s="6"/>
      <c r="C879" s="7"/>
      <c r="D879" s="6"/>
      <c r="E879" s="6"/>
    </row>
    <row r="880" ht="22.5" customHeight="1">
      <c r="A880" s="6"/>
      <c r="B880" s="6"/>
      <c r="C880" s="7"/>
      <c r="D880" s="6"/>
      <c r="E880" s="6"/>
    </row>
    <row r="881" ht="22.5" customHeight="1">
      <c r="A881" s="6"/>
      <c r="B881" s="6"/>
      <c r="C881" s="7"/>
      <c r="D881" s="6"/>
      <c r="E881" s="6"/>
    </row>
    <row r="882" ht="22.5" customHeight="1">
      <c r="A882" s="6"/>
      <c r="B882" s="6"/>
      <c r="C882" s="7"/>
      <c r="D882" s="6"/>
      <c r="E882" s="6"/>
    </row>
    <row r="883" ht="22.5" customHeight="1">
      <c r="A883" s="6"/>
      <c r="B883" s="6"/>
      <c r="C883" s="7"/>
      <c r="D883" s="6"/>
      <c r="E883" s="6"/>
    </row>
    <row r="884" ht="22.5" customHeight="1">
      <c r="A884" s="6"/>
      <c r="B884" s="6"/>
      <c r="C884" s="7"/>
      <c r="D884" s="6"/>
      <c r="E884" s="6"/>
    </row>
    <row r="885" ht="22.5" customHeight="1">
      <c r="A885" s="6"/>
      <c r="B885" s="6"/>
      <c r="C885" s="7"/>
      <c r="D885" s="6"/>
      <c r="E885" s="6"/>
    </row>
    <row r="886" ht="22.5" customHeight="1">
      <c r="A886" s="6"/>
      <c r="B886" s="6"/>
      <c r="C886" s="7"/>
      <c r="D886" s="6"/>
      <c r="E886" s="6"/>
    </row>
    <row r="887" ht="22.5" customHeight="1">
      <c r="A887" s="6"/>
      <c r="B887" s="6"/>
      <c r="C887" s="7"/>
      <c r="D887" s="6"/>
      <c r="E887" s="6"/>
    </row>
    <row r="888" ht="22.5" customHeight="1">
      <c r="A888" s="6"/>
      <c r="B888" s="6"/>
      <c r="C888" s="7"/>
      <c r="D888" s="6"/>
      <c r="E888" s="6"/>
    </row>
    <row r="889" ht="22.5" customHeight="1">
      <c r="A889" s="6"/>
      <c r="B889" s="6"/>
      <c r="C889" s="7"/>
      <c r="D889" s="6"/>
      <c r="E889" s="6"/>
    </row>
    <row r="890" ht="22.5" customHeight="1">
      <c r="A890" s="6"/>
      <c r="B890" s="6"/>
      <c r="C890" s="7"/>
      <c r="D890" s="6"/>
      <c r="E890" s="6"/>
    </row>
    <row r="891" ht="22.5" customHeight="1">
      <c r="A891" s="6"/>
      <c r="B891" s="6"/>
      <c r="C891" s="7"/>
      <c r="D891" s="6"/>
      <c r="E891" s="6"/>
    </row>
    <row r="892" ht="22.5" customHeight="1">
      <c r="A892" s="6"/>
      <c r="B892" s="6"/>
      <c r="C892" s="7"/>
      <c r="D892" s="6"/>
      <c r="E892" s="6"/>
    </row>
    <row r="893" ht="22.5" customHeight="1">
      <c r="A893" s="6"/>
      <c r="B893" s="6"/>
      <c r="C893" s="7"/>
      <c r="D893" s="6"/>
      <c r="E893" s="6"/>
    </row>
    <row r="894" ht="22.5" customHeight="1">
      <c r="A894" s="6"/>
      <c r="B894" s="6"/>
      <c r="C894" s="7"/>
      <c r="D894" s="6"/>
      <c r="E894" s="6"/>
    </row>
    <row r="895" ht="22.5" customHeight="1">
      <c r="A895" s="6"/>
      <c r="B895" s="6"/>
      <c r="C895" s="7"/>
      <c r="D895" s="6"/>
      <c r="E895" s="6"/>
    </row>
    <row r="896" ht="22.5" customHeight="1">
      <c r="A896" s="6"/>
      <c r="B896" s="6"/>
      <c r="C896" s="7"/>
      <c r="D896" s="6"/>
      <c r="E896" s="6"/>
    </row>
    <row r="897" ht="22.5" customHeight="1">
      <c r="A897" s="6"/>
      <c r="B897" s="6"/>
      <c r="C897" s="7"/>
      <c r="D897" s="6"/>
      <c r="E897" s="6"/>
    </row>
    <row r="898" ht="22.5" customHeight="1">
      <c r="A898" s="6"/>
      <c r="B898" s="6"/>
      <c r="C898" s="7"/>
      <c r="D898" s="6"/>
      <c r="E898" s="6"/>
    </row>
    <row r="899" ht="22.5" customHeight="1">
      <c r="A899" s="6"/>
      <c r="B899" s="6"/>
      <c r="C899" s="7"/>
      <c r="D899" s="6"/>
      <c r="E899" s="6"/>
    </row>
    <row r="900" ht="22.5" customHeight="1">
      <c r="A900" s="6"/>
      <c r="B900" s="6"/>
      <c r="C900" s="7"/>
      <c r="D900" s="6"/>
      <c r="E900" s="6"/>
    </row>
    <row r="901" ht="22.5" customHeight="1">
      <c r="A901" s="6"/>
      <c r="B901" s="6"/>
      <c r="C901" s="7"/>
      <c r="D901" s="6"/>
      <c r="E901" s="6"/>
    </row>
    <row r="902" ht="22.5" customHeight="1">
      <c r="A902" s="6"/>
      <c r="B902" s="6"/>
      <c r="C902" s="7"/>
      <c r="D902" s="6"/>
      <c r="E902" s="6"/>
    </row>
    <row r="903" ht="22.5" customHeight="1">
      <c r="A903" s="6"/>
      <c r="B903" s="6"/>
      <c r="C903" s="7"/>
      <c r="D903" s="6"/>
      <c r="E903" s="6"/>
    </row>
    <row r="904" ht="22.5" customHeight="1">
      <c r="A904" s="6"/>
      <c r="B904" s="6"/>
      <c r="C904" s="7"/>
      <c r="D904" s="6"/>
      <c r="E904" s="6"/>
    </row>
    <row r="905" ht="22.5" customHeight="1">
      <c r="A905" s="6"/>
      <c r="B905" s="6"/>
      <c r="C905" s="7"/>
      <c r="D905" s="6"/>
      <c r="E905" s="6"/>
    </row>
    <row r="906" ht="22.5" customHeight="1">
      <c r="A906" s="6"/>
      <c r="B906" s="6"/>
      <c r="C906" s="7"/>
      <c r="D906" s="6"/>
      <c r="E906" s="6"/>
    </row>
    <row r="907" ht="22.5" customHeight="1">
      <c r="A907" s="6"/>
      <c r="B907" s="6"/>
      <c r="C907" s="7"/>
      <c r="D907" s="6"/>
      <c r="E907" s="6"/>
    </row>
    <row r="908" ht="22.5" customHeight="1">
      <c r="A908" s="6"/>
      <c r="B908" s="6"/>
      <c r="C908" s="7"/>
      <c r="D908" s="6"/>
      <c r="E908" s="6"/>
    </row>
    <row r="909" ht="22.5" customHeight="1">
      <c r="A909" s="6"/>
      <c r="B909" s="6"/>
      <c r="C909" s="7"/>
      <c r="D909" s="6"/>
      <c r="E909" s="6"/>
    </row>
    <row r="910" ht="22.5" customHeight="1">
      <c r="A910" s="6"/>
      <c r="B910" s="6"/>
      <c r="C910" s="7"/>
      <c r="D910" s="6"/>
      <c r="E910" s="6"/>
    </row>
    <row r="911" ht="22.5" customHeight="1">
      <c r="A911" s="6"/>
      <c r="B911" s="6"/>
      <c r="C911" s="7"/>
      <c r="D911" s="6"/>
      <c r="E911" s="6"/>
    </row>
    <row r="912" ht="22.5" customHeight="1">
      <c r="A912" s="6"/>
      <c r="B912" s="6"/>
      <c r="C912" s="7"/>
      <c r="D912" s="6"/>
      <c r="E912" s="6"/>
    </row>
    <row r="913" ht="22.5" customHeight="1">
      <c r="A913" s="6"/>
      <c r="B913" s="6"/>
      <c r="C913" s="7"/>
      <c r="D913" s="6"/>
      <c r="E913" s="6"/>
    </row>
    <row r="914" ht="22.5" customHeight="1">
      <c r="A914" s="6"/>
      <c r="B914" s="6"/>
      <c r="C914" s="7"/>
      <c r="D914" s="6"/>
      <c r="E914" s="6"/>
    </row>
    <row r="915" ht="22.5" customHeight="1">
      <c r="A915" s="6"/>
      <c r="B915" s="6"/>
      <c r="C915" s="7"/>
      <c r="D915" s="6"/>
      <c r="E915" s="6"/>
    </row>
    <row r="916" ht="22.5" customHeight="1">
      <c r="A916" s="6"/>
      <c r="B916" s="6"/>
      <c r="C916" s="7"/>
      <c r="D916" s="6"/>
      <c r="E916" s="6"/>
    </row>
    <row r="917" ht="22.5" customHeight="1">
      <c r="A917" s="6"/>
      <c r="B917" s="6"/>
      <c r="C917" s="7"/>
      <c r="D917" s="6"/>
      <c r="E917" s="6"/>
    </row>
    <row r="918" ht="22.5" customHeight="1">
      <c r="A918" s="6"/>
      <c r="B918" s="6"/>
      <c r="C918" s="7"/>
      <c r="D918" s="6"/>
      <c r="E918" s="6"/>
    </row>
    <row r="919" ht="22.5" customHeight="1">
      <c r="A919" s="6"/>
      <c r="B919" s="6"/>
      <c r="C919" s="7"/>
      <c r="D919" s="6"/>
      <c r="E919" s="6"/>
    </row>
    <row r="920" ht="22.5" customHeight="1">
      <c r="A920" s="6"/>
      <c r="B920" s="6"/>
      <c r="C920" s="7"/>
      <c r="D920" s="6"/>
      <c r="E920" s="6"/>
    </row>
    <row r="921" ht="22.5" customHeight="1">
      <c r="A921" s="6"/>
      <c r="B921" s="6"/>
      <c r="C921" s="7"/>
      <c r="D921" s="6"/>
      <c r="E921" s="6"/>
    </row>
    <row r="922" ht="22.5" customHeight="1">
      <c r="A922" s="6"/>
      <c r="B922" s="6"/>
      <c r="C922" s="7"/>
      <c r="D922" s="6"/>
      <c r="E922" s="6"/>
    </row>
    <row r="923" ht="22.5" customHeight="1">
      <c r="A923" s="6"/>
      <c r="B923" s="6"/>
      <c r="C923" s="7"/>
      <c r="D923" s="6"/>
      <c r="E923" s="6"/>
    </row>
    <row r="924" ht="22.5" customHeight="1">
      <c r="A924" s="6"/>
      <c r="B924" s="6"/>
      <c r="C924" s="7"/>
      <c r="D924" s="6"/>
      <c r="E924" s="6"/>
    </row>
    <row r="925" ht="22.5" customHeight="1">
      <c r="A925" s="6"/>
      <c r="B925" s="6"/>
      <c r="C925" s="7"/>
      <c r="D925" s="6"/>
      <c r="E925" s="6"/>
    </row>
    <row r="926" ht="22.5" customHeight="1">
      <c r="A926" s="6"/>
      <c r="B926" s="6"/>
      <c r="C926" s="7"/>
      <c r="D926" s="6"/>
      <c r="E926" s="6"/>
    </row>
    <row r="927" ht="22.5" customHeight="1">
      <c r="A927" s="6"/>
      <c r="B927" s="6"/>
      <c r="C927" s="7"/>
      <c r="D927" s="6"/>
      <c r="E927" s="6"/>
    </row>
    <row r="928" ht="22.5" customHeight="1">
      <c r="A928" s="6"/>
      <c r="B928" s="6"/>
      <c r="C928" s="7"/>
      <c r="D928" s="6"/>
      <c r="E928" s="6"/>
    </row>
    <row r="929" ht="22.5" customHeight="1">
      <c r="A929" s="6"/>
      <c r="B929" s="6"/>
      <c r="C929" s="7"/>
      <c r="D929" s="6"/>
      <c r="E929" s="6"/>
    </row>
    <row r="930" ht="22.5" customHeight="1">
      <c r="A930" s="6"/>
      <c r="B930" s="6"/>
      <c r="C930" s="7"/>
      <c r="D930" s="6"/>
      <c r="E930" s="6"/>
    </row>
    <row r="931" ht="22.5" customHeight="1">
      <c r="A931" s="6"/>
      <c r="B931" s="6"/>
      <c r="C931" s="7"/>
      <c r="D931" s="6"/>
      <c r="E931" s="6"/>
    </row>
    <row r="932" ht="22.5" customHeight="1">
      <c r="A932" s="6"/>
      <c r="B932" s="6"/>
      <c r="C932" s="7"/>
      <c r="D932" s="6"/>
      <c r="E932" s="6"/>
    </row>
    <row r="933" ht="22.5" customHeight="1">
      <c r="A933" s="6"/>
      <c r="B933" s="6"/>
      <c r="C933" s="7"/>
      <c r="D933" s="6"/>
      <c r="E933" s="6"/>
    </row>
    <row r="934" ht="22.5" customHeight="1">
      <c r="A934" s="6"/>
      <c r="B934" s="6"/>
      <c r="C934" s="7"/>
      <c r="D934" s="6"/>
      <c r="E934" s="6"/>
    </row>
    <row r="935" ht="22.5" customHeight="1">
      <c r="A935" s="6"/>
      <c r="B935" s="6"/>
      <c r="C935" s="7"/>
      <c r="D935" s="6"/>
      <c r="E935" s="6"/>
    </row>
    <row r="936" ht="22.5" customHeight="1">
      <c r="A936" s="6"/>
      <c r="B936" s="6"/>
      <c r="C936" s="7"/>
      <c r="D936" s="6"/>
      <c r="E936" s="6"/>
    </row>
    <row r="937" ht="22.5" customHeight="1">
      <c r="A937" s="6"/>
      <c r="B937" s="6"/>
      <c r="C937" s="7"/>
      <c r="D937" s="6"/>
      <c r="E937" s="6"/>
    </row>
    <row r="938" ht="22.5" customHeight="1">
      <c r="A938" s="6"/>
      <c r="B938" s="6"/>
      <c r="C938" s="7"/>
      <c r="D938" s="6"/>
      <c r="E938" s="6"/>
    </row>
    <row r="939" ht="22.5" customHeight="1">
      <c r="A939" s="6"/>
      <c r="B939" s="6"/>
      <c r="C939" s="7"/>
      <c r="D939" s="6"/>
      <c r="E939" s="6"/>
    </row>
    <row r="940" ht="22.5" customHeight="1">
      <c r="A940" s="6"/>
      <c r="B940" s="6"/>
      <c r="C940" s="7"/>
      <c r="D940" s="6"/>
      <c r="E940" s="6"/>
    </row>
    <row r="941" ht="22.5" customHeight="1">
      <c r="A941" s="6"/>
      <c r="B941" s="6"/>
      <c r="C941" s="7"/>
      <c r="D941" s="6"/>
      <c r="E941" s="6"/>
    </row>
    <row r="942" ht="22.5" customHeight="1">
      <c r="A942" s="6"/>
      <c r="B942" s="6"/>
      <c r="C942" s="7"/>
      <c r="D942" s="6"/>
      <c r="E942" s="6"/>
    </row>
    <row r="943" ht="22.5" customHeight="1">
      <c r="A943" s="6"/>
      <c r="B943" s="6"/>
      <c r="C943" s="7"/>
      <c r="D943" s="6"/>
      <c r="E943" s="6"/>
    </row>
    <row r="944" ht="22.5" customHeight="1">
      <c r="A944" s="6"/>
      <c r="B944" s="6"/>
      <c r="C944" s="7"/>
      <c r="D944" s="6"/>
      <c r="E944" s="6"/>
    </row>
    <row r="945" ht="22.5" customHeight="1">
      <c r="A945" s="6"/>
      <c r="B945" s="6"/>
      <c r="C945" s="7"/>
      <c r="D945" s="6"/>
      <c r="E945" s="6"/>
    </row>
    <row r="946" ht="22.5" customHeight="1">
      <c r="A946" s="6"/>
      <c r="B946" s="6"/>
      <c r="C946" s="7"/>
      <c r="D946" s="6"/>
      <c r="E946" s="6"/>
    </row>
    <row r="947" ht="22.5" customHeight="1">
      <c r="A947" s="6"/>
      <c r="B947" s="6"/>
      <c r="C947" s="7"/>
      <c r="D947" s="6"/>
      <c r="E947" s="6"/>
    </row>
    <row r="948" ht="22.5" customHeight="1">
      <c r="A948" s="6"/>
      <c r="B948" s="6"/>
      <c r="C948" s="7"/>
      <c r="D948" s="6"/>
      <c r="E948" s="6"/>
    </row>
    <row r="949" ht="22.5" customHeight="1">
      <c r="A949" s="6"/>
      <c r="B949" s="6"/>
      <c r="C949" s="7"/>
      <c r="D949" s="6"/>
      <c r="E949" s="6"/>
    </row>
    <row r="950" ht="22.5" customHeight="1">
      <c r="A950" s="6"/>
      <c r="B950" s="6"/>
      <c r="C950" s="7"/>
      <c r="D950" s="6"/>
      <c r="E950" s="6"/>
    </row>
    <row r="951" ht="22.5" customHeight="1">
      <c r="A951" s="6"/>
      <c r="B951" s="6"/>
      <c r="C951" s="7"/>
      <c r="D951" s="6"/>
      <c r="E951" s="6"/>
    </row>
    <row r="952" ht="22.5" customHeight="1">
      <c r="A952" s="6"/>
      <c r="B952" s="6"/>
      <c r="C952" s="7"/>
      <c r="D952" s="6"/>
      <c r="E952" s="6"/>
    </row>
    <row r="953" ht="22.5" customHeight="1">
      <c r="A953" s="6"/>
      <c r="B953" s="6"/>
      <c r="C953" s="7"/>
      <c r="D953" s="6"/>
      <c r="E953" s="6"/>
    </row>
    <row r="954" ht="22.5" customHeight="1">
      <c r="A954" s="6"/>
      <c r="B954" s="6"/>
      <c r="C954" s="7"/>
      <c r="D954" s="6"/>
      <c r="E954" s="6"/>
    </row>
    <row r="955" ht="22.5" customHeight="1">
      <c r="A955" s="6"/>
      <c r="B955" s="6"/>
      <c r="C955" s="7"/>
      <c r="D955" s="6"/>
      <c r="E955" s="6"/>
    </row>
    <row r="956" ht="22.5" customHeight="1">
      <c r="A956" s="6"/>
      <c r="B956" s="6"/>
      <c r="C956" s="7"/>
      <c r="D956" s="6"/>
      <c r="E956" s="6"/>
    </row>
    <row r="957" ht="22.5" customHeight="1">
      <c r="A957" s="6"/>
      <c r="B957" s="6"/>
      <c r="C957" s="7"/>
      <c r="D957" s="6"/>
      <c r="E957" s="6"/>
    </row>
    <row r="958" ht="22.5" customHeight="1">
      <c r="A958" s="6"/>
      <c r="B958" s="6"/>
      <c r="C958" s="7"/>
      <c r="D958" s="6"/>
      <c r="E958" s="6"/>
    </row>
    <row r="959" ht="22.5" customHeight="1">
      <c r="A959" s="6"/>
      <c r="B959" s="6"/>
      <c r="C959" s="7"/>
      <c r="D959" s="6"/>
      <c r="E959" s="6"/>
    </row>
    <row r="960" ht="22.5" customHeight="1">
      <c r="A960" s="6"/>
      <c r="B960" s="6"/>
      <c r="C960" s="7"/>
      <c r="D960" s="6"/>
      <c r="E960" s="6"/>
    </row>
    <row r="961" ht="22.5" customHeight="1">
      <c r="A961" s="6"/>
      <c r="B961" s="6"/>
      <c r="C961" s="7"/>
      <c r="D961" s="6"/>
      <c r="E961" s="6"/>
    </row>
    <row r="962" ht="22.5" customHeight="1">
      <c r="A962" s="6"/>
      <c r="B962" s="6"/>
      <c r="C962" s="7"/>
      <c r="D962" s="6"/>
      <c r="E962" s="6"/>
    </row>
    <row r="963" ht="22.5" customHeight="1">
      <c r="A963" s="6"/>
      <c r="B963" s="6"/>
      <c r="C963" s="7"/>
      <c r="D963" s="6"/>
      <c r="E963" s="6"/>
    </row>
    <row r="964" ht="22.5" customHeight="1">
      <c r="A964" s="6"/>
      <c r="B964" s="6"/>
      <c r="C964" s="7"/>
      <c r="D964" s="6"/>
      <c r="E964" s="6"/>
    </row>
    <row r="965" ht="22.5" customHeight="1">
      <c r="A965" s="6"/>
      <c r="B965" s="6"/>
      <c r="C965" s="7"/>
      <c r="D965" s="6"/>
      <c r="E965" s="6"/>
    </row>
    <row r="966" ht="22.5" customHeight="1">
      <c r="A966" s="6"/>
      <c r="B966" s="6"/>
      <c r="C966" s="7"/>
      <c r="D966" s="6"/>
      <c r="E966" s="6"/>
    </row>
    <row r="967" ht="22.5" customHeight="1">
      <c r="A967" s="6"/>
      <c r="B967" s="6"/>
      <c r="C967" s="7"/>
      <c r="D967" s="6"/>
      <c r="E967" s="6"/>
    </row>
    <row r="968" ht="22.5" customHeight="1">
      <c r="A968" s="6"/>
      <c r="B968" s="6"/>
      <c r="C968" s="7"/>
      <c r="D968" s="6"/>
      <c r="E968" s="6"/>
    </row>
    <row r="969" ht="22.5" customHeight="1">
      <c r="A969" s="6"/>
      <c r="B969" s="6"/>
      <c r="C969" s="7"/>
      <c r="D969" s="6"/>
      <c r="E969" s="6"/>
    </row>
    <row r="970" ht="22.5" customHeight="1">
      <c r="A970" s="6"/>
      <c r="B970" s="6"/>
      <c r="C970" s="7"/>
      <c r="D970" s="6"/>
      <c r="E970" s="6"/>
    </row>
    <row r="971" ht="22.5" customHeight="1">
      <c r="A971" s="6"/>
      <c r="B971" s="6"/>
      <c r="C971" s="7"/>
      <c r="D971" s="6"/>
      <c r="E971" s="6"/>
    </row>
    <row r="972" ht="22.5" customHeight="1">
      <c r="A972" s="6"/>
      <c r="B972" s="6"/>
      <c r="C972" s="7"/>
      <c r="D972" s="6"/>
      <c r="E972" s="6"/>
    </row>
    <row r="973" ht="22.5" customHeight="1">
      <c r="A973" s="6"/>
      <c r="B973" s="6"/>
      <c r="C973" s="7"/>
      <c r="D973" s="6"/>
      <c r="E973" s="6"/>
    </row>
    <row r="974" ht="22.5" customHeight="1">
      <c r="A974" s="6"/>
      <c r="B974" s="6"/>
      <c r="C974" s="7"/>
      <c r="D974" s="6"/>
      <c r="E974" s="6"/>
    </row>
    <row r="975" ht="22.5" customHeight="1">
      <c r="A975" s="6"/>
      <c r="B975" s="6"/>
      <c r="C975" s="7"/>
      <c r="D975" s="6"/>
      <c r="E975" s="6"/>
    </row>
    <row r="976" ht="22.5" customHeight="1">
      <c r="A976" s="6"/>
      <c r="B976" s="6"/>
      <c r="C976" s="7"/>
      <c r="D976" s="6"/>
      <c r="E976" s="6"/>
    </row>
    <row r="977" ht="22.5" customHeight="1">
      <c r="A977" s="6"/>
      <c r="B977" s="6"/>
      <c r="C977" s="7"/>
      <c r="D977" s="6"/>
      <c r="E977" s="6"/>
    </row>
    <row r="978" ht="22.5" customHeight="1">
      <c r="A978" s="6"/>
      <c r="B978" s="6"/>
      <c r="C978" s="7"/>
      <c r="D978" s="6"/>
      <c r="E978" s="6"/>
    </row>
    <row r="979" ht="22.5" customHeight="1">
      <c r="A979" s="6"/>
      <c r="B979" s="6"/>
      <c r="C979" s="7"/>
      <c r="D979" s="6"/>
      <c r="E979" s="6"/>
    </row>
    <row r="980" ht="22.5" customHeight="1">
      <c r="A980" s="6"/>
      <c r="B980" s="6"/>
      <c r="C980" s="7"/>
      <c r="D980" s="6"/>
      <c r="E980" s="6"/>
    </row>
    <row r="981" ht="22.5" customHeight="1">
      <c r="A981" s="6"/>
      <c r="B981" s="6"/>
      <c r="C981" s="7"/>
      <c r="D981" s="6"/>
      <c r="E981" s="6"/>
    </row>
    <row r="982" ht="22.5" customHeight="1">
      <c r="A982" s="6"/>
      <c r="B982" s="6"/>
      <c r="C982" s="7"/>
      <c r="D982" s="6"/>
      <c r="E982" s="6"/>
    </row>
    <row r="983" ht="22.5" customHeight="1">
      <c r="A983" s="6"/>
      <c r="B983" s="6"/>
      <c r="C983" s="7"/>
      <c r="D983" s="6"/>
      <c r="E983" s="6"/>
    </row>
    <row r="984" ht="22.5" customHeight="1">
      <c r="A984" s="6"/>
      <c r="B984" s="6"/>
      <c r="C984" s="7"/>
      <c r="D984" s="6"/>
      <c r="E984" s="6"/>
    </row>
    <row r="985" ht="22.5" customHeight="1">
      <c r="A985" s="6"/>
      <c r="B985" s="6"/>
      <c r="C985" s="7"/>
      <c r="D985" s="6"/>
      <c r="E985" s="6"/>
    </row>
    <row r="986" ht="22.5" customHeight="1">
      <c r="A986" s="6"/>
      <c r="B986" s="6"/>
      <c r="C986" s="7"/>
      <c r="D986" s="6"/>
      <c r="E986" s="6"/>
    </row>
    <row r="987" ht="22.5" customHeight="1">
      <c r="A987" s="6"/>
      <c r="B987" s="6"/>
      <c r="C987" s="7"/>
      <c r="D987" s="6"/>
      <c r="E987" s="6"/>
    </row>
    <row r="988" ht="22.5" customHeight="1">
      <c r="A988" s="6"/>
      <c r="B988" s="6"/>
      <c r="C988" s="7"/>
      <c r="D988" s="6"/>
      <c r="E988" s="6"/>
    </row>
    <row r="989" ht="22.5" customHeight="1">
      <c r="A989" s="6"/>
      <c r="B989" s="6"/>
      <c r="C989" s="7"/>
      <c r="D989" s="6"/>
      <c r="E989" s="6"/>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4" width="37.63"/>
    <col customWidth="1" min="7" max="7" width="28.75"/>
    <col customWidth="1" min="8" max="8" width="29.75"/>
    <col customWidth="1" min="9" max="9" width="28.13"/>
    <col customWidth="1" min="10" max="10" width="26.0"/>
    <col customWidth="1" min="11" max="11" width="28.75"/>
  </cols>
  <sheetData>
    <row r="1" ht="22.5" customHeight="1">
      <c r="A1" s="1" t="s">
        <v>0</v>
      </c>
      <c r="B1" s="1" t="s">
        <v>1</v>
      </c>
      <c r="C1" s="1" t="s">
        <v>2</v>
      </c>
      <c r="D1" s="1" t="s">
        <v>3</v>
      </c>
      <c r="E1" s="8" t="s">
        <v>4</v>
      </c>
      <c r="G1" s="14" t="s">
        <v>5</v>
      </c>
      <c r="H1" s="15" t="s">
        <v>6</v>
      </c>
      <c r="I1" s="15" t="s">
        <v>7</v>
      </c>
      <c r="J1" s="15" t="s">
        <v>8</v>
      </c>
      <c r="K1" s="16" t="s">
        <v>9</v>
      </c>
    </row>
    <row r="2" ht="22.5" customHeight="1">
      <c r="A2" s="3">
        <v>1.0</v>
      </c>
      <c r="B2" s="4" t="s">
        <v>1402</v>
      </c>
      <c r="C2" s="4" t="s">
        <v>1403</v>
      </c>
      <c r="D2" s="4" t="s">
        <v>1404</v>
      </c>
      <c r="E2" s="4" t="s">
        <v>1405</v>
      </c>
      <c r="G2" s="5" t="str">
        <f>IFERROR(__xludf.DUMMYFUNCTION(" GOOGLETRANSLATE(A2, ""en"", ""am"")"),"1")</f>
        <v>1</v>
      </c>
      <c r="H2" s="5" t="str">
        <f>IFERROR(__xludf.DUMMYFUNCTION(" GOOGLETRANSLATE(B2, ""en"", ""am"")"),"የአባ ገዳ የትግል ስፖርት መቼ ነው በይፋ የታወቀው?")</f>
        <v>የአባ ገዳ የትግል ስፖርት መቼ ነው በይፋ የታወቀው?</v>
      </c>
      <c r="I2" s="5" t="str">
        <f>IFERROR(__xludf.DUMMYFUNCTION(" GOOGLETRANSLATE(C2, ""en"", ""am"")"),"ሀ. በ1975 ዓ.ም. በ1990 ዓ.ም. በ2000 ዓ.ም. በ1950 ዓ.ም.")</f>
        <v>ሀ. በ1975 ዓ.ም. በ1990 ዓ.ም. በ2000 ዓ.ም. በ1950 ዓ.ም.</v>
      </c>
      <c r="J2" s="5" t="str">
        <f>IFERROR(__xludf.DUMMYFUNCTION(" GOOGLETRANSLATE(D2, ""en"", ""am"")"),"በ1950 ዓ.ም")</f>
        <v>በ1950 ዓ.ም</v>
      </c>
      <c r="K2" s="5" t="str">
        <f>IFERROR(__xludf.DUMMYFUNCTION(" GOOGLETRANSLATE(E2, ""en"", ""am"")"),"የአባ ገዳ ትግል በይፋ በኢትዮጵያ ትግል ፌዴሬሽን በ1950 ዓ.ም.")</f>
        <v>የአባ ገዳ ትግል በይፋ በኢትዮጵያ ትግል ፌዴሬሽን በ1950 ዓ.ም.</v>
      </c>
    </row>
    <row r="3" ht="22.5" customHeight="1">
      <c r="A3" s="3">
        <v>2.0</v>
      </c>
      <c r="B3" s="4" t="s">
        <v>1406</v>
      </c>
      <c r="C3" s="4" t="s">
        <v>1407</v>
      </c>
      <c r="D3" s="4" t="s">
        <v>1408</v>
      </c>
      <c r="E3" s="4" t="s">
        <v>1409</v>
      </c>
      <c r="G3" s="5" t="str">
        <f>IFERROR(__xludf.DUMMYFUNCTION(" GOOGLETRANSLATE(A3, ""en"", ""am"")"),"2")</f>
        <v>2</v>
      </c>
      <c r="H3" s="5" t="str">
        <f>IFERROR(__xludf.DUMMYFUNCTION(" GOOGLETRANSLATE(B3, ""en"", ""am"")"),"የአባ ገዳ ትግል አባት ተብሎ የሚታሰበው ማነው?")</f>
        <v>የአባ ገዳ ትግል አባት ተብሎ የሚታሰበው ማነው?</v>
      </c>
      <c r="I3" s="5" t="str">
        <f>IFERROR(__xludf.DUMMYFUNCTION(" GOOGLETRANSLATE(C3, ""en"", ""am"")"),"ጀማል አሊ ቢ ታደሰ ከበደ ሐ.አህመድ ዘኢቱ ዲ. ከበደ ፀጋዬ")</f>
        <v>ጀማል አሊ ቢ ታደሰ ከበደ ሐ.አህመድ ዘኢቱ ዲ. ከበደ ፀጋዬ</v>
      </c>
      <c r="J3" s="5" t="str">
        <f>IFERROR(__xludf.DUMMYFUNCTION(" GOOGLETRANSLATE(D3, ""en"", ""am"")"),"ከበደ ፀጋዬ")</f>
        <v>ከበደ ፀጋዬ</v>
      </c>
      <c r="K3" s="5" t="str">
        <f>IFERROR(__xludf.DUMMYFUNCTION(" GOOGLETRANSLATE(E3, ""en"", ""am"")"),"ከበደ ፀጋዬ ስፖርቱን ተወዳጅ ለማድረግ የትግል አባት ተደርገው ይወሰዳሉ።")</f>
        <v>ከበደ ፀጋዬ ስፖርቱን ተወዳጅ ለማድረግ የትግል አባት ተደርገው ይወሰዳሉ።</v>
      </c>
    </row>
    <row r="4" ht="22.5" customHeight="1">
      <c r="A4" s="3">
        <v>3.0</v>
      </c>
      <c r="B4" s="4" t="s">
        <v>1410</v>
      </c>
      <c r="C4" s="4" t="s">
        <v>1411</v>
      </c>
      <c r="D4" s="4" t="s">
        <v>1412</v>
      </c>
      <c r="E4" s="4" t="s">
        <v>1413</v>
      </c>
      <c r="G4" s="5" t="str">
        <f>IFERROR(__xludf.DUMMYFUNCTION(" GOOGLETRANSLATE(A4, ""en"", ""am"")"),"3")</f>
        <v>3</v>
      </c>
      <c r="H4" s="5" t="str">
        <f>IFERROR(__xludf.DUMMYFUNCTION(" GOOGLETRANSLATE(B4, ""en"", ""am"")"),"በኢትዮጵያ ውስጥ በአባ ገዳ ትግል ታዋቂ የሆነው የትኛው ክልል ነው?")</f>
        <v>በኢትዮጵያ ውስጥ በአባ ገዳ ትግል ታዋቂ የሆነው የትኛው ክልል ነው?</v>
      </c>
      <c r="I4" s="5" t="str">
        <f>IFERROR(__xludf.DUMMYFUNCTION(" GOOGLETRANSLATE(C4, ""en"", ""am"")"),"አ.ኦሮሚያ ብ ትግራይ ሐ.ደቡብ ብሄረሰቦች ደ.ኦሮሚያ")</f>
        <v>አ.ኦሮሚያ ብ ትግራይ ሐ.ደቡብ ብሄረሰቦች ደ.ኦሮሚያ</v>
      </c>
      <c r="J4" s="5" t="str">
        <f>IFERROR(__xludf.DUMMYFUNCTION(" GOOGLETRANSLATE(D4, ""en"", ""am"")"),"ኦሮሚያ")</f>
        <v>ኦሮሚያ</v>
      </c>
      <c r="K4" s="5" t="str">
        <f>IFERROR(__xludf.DUMMYFUNCTION(" GOOGLETRANSLATE(E4, ""en"", ""am"")"),"የኦሮሚያ ክልል በአባ ገዳ ትግል የሚታወቅ ሲሆን ስፖርቱ ብዙ ባህል አለው።")</f>
        <v>የኦሮሚያ ክልል በአባ ገዳ ትግል የሚታወቅ ሲሆን ስፖርቱ ብዙ ባህል አለው።</v>
      </c>
    </row>
    <row r="5" ht="22.5" customHeight="1">
      <c r="A5" s="3">
        <v>4.0</v>
      </c>
      <c r="B5" s="4" t="s">
        <v>1414</v>
      </c>
      <c r="C5" s="4" t="s">
        <v>1415</v>
      </c>
      <c r="D5" s="4" t="s">
        <v>1416</v>
      </c>
      <c r="E5" s="4" t="s">
        <v>1417</v>
      </c>
      <c r="G5" s="5" t="str">
        <f>IFERROR(__xludf.DUMMYFUNCTION(" GOOGLETRANSLATE(A5, ""en"", ""am"")"),"4")</f>
        <v>4</v>
      </c>
      <c r="H5" s="5" t="str">
        <f>IFERROR(__xludf.DUMMYFUNCTION(" GOOGLETRANSLATE(B5, ""en"", ""am"")"),"ለአባ ገዳ ትግል ተወዳጅነት አስተዋጽኦ ያደረገው የትኛው ታሪካዊ ክስተት ነው?")</f>
        <v>ለአባ ገዳ ትግል ተወዳጅነት አስተዋጽኦ ያደረገው የትኛው ታሪካዊ ክስተት ነው?</v>
      </c>
      <c r="I5" s="5" t="str">
        <f>IFERROR(__xludf.DUMMYFUNCTION(" GOOGLETRANSLATE(C5, ""en"", ""am"")"),"ሀ. የዘመናዊው ኦሊምፒክ ጨዋታዎች መፈጠር ለ. የኢትዮጵያ ታላቁ የትግል ሻምፒዮና ሐ. የሀገር ውስጥ የትግል ውድድሮች መጨመር መ. የኢትዮጵያ ትግል ፌዴሬሽን መመስረት")</f>
        <v>ሀ. የዘመናዊው ኦሊምፒክ ጨዋታዎች መፈጠር ለ. የኢትዮጵያ ታላቁ የትግል ሻምፒዮና ሐ. የሀገር ውስጥ የትግል ውድድሮች መጨመር መ. የኢትዮጵያ ትግል ፌዴሬሽን መመስረት</v>
      </c>
      <c r="J5" s="5" t="str">
        <f>IFERROR(__xludf.DUMMYFUNCTION(" GOOGLETRANSLATE(D5, ""en"", ""am"")"),"የኢትዮጵያ ትግል ፌዴሬሽን መቋቋም")</f>
        <v>የኢትዮጵያ ትግል ፌዴሬሽን መቋቋም</v>
      </c>
      <c r="K5" s="5" t="str">
        <f>IFERROR(__xludf.DUMMYFUNCTION(" GOOGLETRANSLATE(E5, ""en"", ""am"")"),"በ1950 የተቋቋመው የኢትዮጵያ ተጋድሎ ፌዴሬሽን የአባ ገዳን ትግል በማደራጀትና በማስተዋወቅ ረድቷል።")</f>
        <v>በ1950 የተቋቋመው የኢትዮጵያ ተጋድሎ ፌዴሬሽን የአባ ገዳን ትግል በማደራጀትና በማስተዋወቅ ረድቷል።</v>
      </c>
    </row>
    <row r="6" ht="22.5" customHeight="1">
      <c r="A6" s="3">
        <v>5.0</v>
      </c>
      <c r="B6" s="4" t="s">
        <v>1418</v>
      </c>
      <c r="C6" s="4" t="s">
        <v>1419</v>
      </c>
      <c r="D6" s="4" t="s">
        <v>676</v>
      </c>
      <c r="E6" s="4" t="s">
        <v>676</v>
      </c>
      <c r="G6" s="5" t="str">
        <f>IFERROR(__xludf.DUMMYFUNCTION(" GOOGLETRANSLATE(A6, ""en"", ""am"")"),"5")</f>
        <v>5</v>
      </c>
      <c r="H6" s="5" t="str">
        <f>IFERROR(__xludf.DUMMYFUNCTION(" GOOGLETRANSLATE(B6, ""en"", ""am"")"),"የመጀመሪያው ሀገር አቀፍ የአባ ገዳ የትግል ሻምፒዮና የተካሄደው በየትኛው አመት ነበር?")</f>
        <v>የመጀመሪያው ሀገር አቀፍ የአባ ገዳ የትግል ሻምፒዮና የተካሄደው በየትኛው አመት ነበር?</v>
      </c>
      <c r="I6" s="5" t="str">
        <f>IFERROR(__xludf.DUMMYFUNCTION(" GOOGLETRANSLATE(C6, ""en"", ""am"")"),"ኣብ 1970 ብ 1980 ዓ.ም. 1990 ድ.1960 ዓ.ም.")</f>
        <v>ኣብ 1970 ብ 1980 ዓ.ም. 1990 ድ.1960 ዓ.ም.</v>
      </c>
      <c r="J6" s="5" t="str">
        <f>IFERROR(__xludf.DUMMYFUNCTION(" GOOGLETRANSLATE(D6, ""en"", ""am"")"),"በ1960 ዓ.ም")</f>
        <v>በ1960 ዓ.ም</v>
      </c>
      <c r="K6" s="5" t="str">
        <f>IFERROR(__xludf.DUMMYFUNCTION(" GOOGLETRANSLATE(E6, ""en"", ""am"")"),"በ1960 ዓ.ም")</f>
        <v>በ1960 ዓ.ም</v>
      </c>
    </row>
    <row r="7" ht="22.5" customHeight="1">
      <c r="A7" s="3">
        <v>6.0</v>
      </c>
      <c r="B7" s="4" t="s">
        <v>1420</v>
      </c>
      <c r="C7" s="4" t="s">
        <v>1421</v>
      </c>
      <c r="D7" s="4" t="s">
        <v>1422</v>
      </c>
      <c r="E7" s="4" t="s">
        <v>1423</v>
      </c>
      <c r="G7" s="5" t="str">
        <f>IFERROR(__xludf.DUMMYFUNCTION(" GOOGLETRANSLATE(A7, ""en"", ""am"")"),"6")</f>
        <v>6</v>
      </c>
      <c r="H7" s="5" t="str">
        <f>IFERROR(__xludf.DUMMYFUNCTION(" GOOGLETRANSLATE(B7, ""en"", ""am"")"),"አባ ገዳ ሬስሊንግ በመጀመሪያ የተሳተፈው በየትኛው ዓለም አቀፍ ውድድር ነው?")</f>
        <v>አባ ገዳ ሬስሊንግ በመጀመሪያ የተሳተፈው በየትኛው ዓለም አቀፍ ውድድር ነው?</v>
      </c>
      <c r="I7" s="5" t="str">
        <f>IFERROR(__xludf.DUMMYFUNCTION(" GOOGLETRANSLATE(C7, ""en"", ""am"")"),"ሀ. የአፍሪካ ሬስሊንግ ሻምፒዮና ለ. የፓን አፍሪካ ሬስሊንግ ሻምፒዮና ሐ. የኦሎምፒክ ጨዋታዎች መ. የአፍሪካ ሬስሊንግ ሻምፒዮና")</f>
        <v>ሀ. የአፍሪካ ሬስሊንግ ሻምፒዮና ለ. የፓን አፍሪካ ሬስሊንግ ሻምፒዮና ሐ. የኦሎምፒክ ጨዋታዎች መ. የአፍሪካ ሬስሊንግ ሻምፒዮና</v>
      </c>
      <c r="J7" s="5" t="str">
        <f>IFERROR(__xludf.DUMMYFUNCTION(" GOOGLETRANSLATE(D7, ""en"", ""am"")"),"የአፍሪካ ሬስሊንግ ሻምፒዮና")</f>
        <v>የአፍሪካ ሬስሊንግ ሻምፒዮና</v>
      </c>
      <c r="K7" s="5" t="str">
        <f>IFERROR(__xludf.DUMMYFUNCTION(" GOOGLETRANSLATE(E7, ""en"", ""am"")"),"አባ ገዳ ሬስሊንግ በመጀመሪያ የተሳተፈው በአፍሪካ ሬስሊንግ ሻምፒዮና ነበር።")</f>
        <v>አባ ገዳ ሬስሊንግ በመጀመሪያ የተሳተፈው በአፍሪካ ሬስሊንግ ሻምፒዮና ነበር።</v>
      </c>
    </row>
    <row r="8" ht="22.5" customHeight="1">
      <c r="A8" s="3">
        <v>7.0</v>
      </c>
      <c r="B8" s="4" t="s">
        <v>1424</v>
      </c>
      <c r="C8" s="4" t="s">
        <v>1425</v>
      </c>
      <c r="D8" s="4" t="s">
        <v>1426</v>
      </c>
      <c r="E8" s="4" t="s">
        <v>1427</v>
      </c>
      <c r="G8" s="5" t="str">
        <f>IFERROR(__xludf.DUMMYFUNCTION(" GOOGLETRANSLATE(A8, ""en"", ""am"")"),"7")</f>
        <v>7</v>
      </c>
      <c r="H8" s="5" t="str">
        <f>IFERROR(__xludf.DUMMYFUNCTION(" GOOGLETRANSLATE(B8, ""en"", ""am"")"),"የአባ ገዳ ትግል በምን አይነት ትግል ላይ የተመሰረተ ነው?")</f>
        <v>የአባ ገዳ ትግል በምን አይነት ትግል ላይ የተመሰረተ ነው?</v>
      </c>
      <c r="I8" s="5" t="str">
        <f>IFERROR(__xludf.DUMMYFUNCTION(" GOOGLETRANSLATE(C8, ""en"", ""am"")"),"ሀ. ፍሪስታይል ለ. Traditional Ethiopian C. Sumo Wrestling D. Traditional Ethiopian")</f>
        <v>ሀ. ፍሪስታይል ለ. Traditional Ethiopian C. Sumo Wrestling D. Traditional Ethiopian</v>
      </c>
      <c r="J8" s="5" t="str">
        <f>IFERROR(__xludf.DUMMYFUNCTION(" GOOGLETRANSLATE(D8, ""en"", ""am"")"),"ባህላዊ ኢትዮጵያዊ")</f>
        <v>ባህላዊ ኢትዮጵያዊ</v>
      </c>
      <c r="K8" s="5" t="str">
        <f>IFERROR(__xludf.DUMMYFUNCTION(" GOOGLETRANSLATE(E8, ""en"", ""am"")"),"የአባ ገዳ ትግል በኢትዮጵያ ባህላዊ የትግል ዘዴዎች ላይ የተመሰረተ ነው።")</f>
        <v>የአባ ገዳ ትግል በኢትዮጵያ ባህላዊ የትግል ዘዴዎች ላይ የተመሰረተ ነው።</v>
      </c>
    </row>
    <row r="9" ht="22.5" customHeight="1">
      <c r="A9" s="3">
        <v>8.0</v>
      </c>
      <c r="B9" s="4" t="s">
        <v>1428</v>
      </c>
      <c r="C9" s="4" t="s">
        <v>1429</v>
      </c>
      <c r="D9" s="4" t="s">
        <v>1430</v>
      </c>
      <c r="E9" s="4" t="s">
        <v>1431</v>
      </c>
      <c r="G9" s="5" t="str">
        <f>IFERROR(__xludf.DUMMYFUNCTION(" GOOGLETRANSLATE(A9, ""en"", ""am"")"),"8")</f>
        <v>8</v>
      </c>
      <c r="H9" s="5" t="str">
        <f>IFERROR(__xludf.DUMMYFUNCTION(" GOOGLETRANSLATE(B9, ""en"", ""am"")"),"በመጀመሪያዎቹ ዓመታት የአባ ገዳ ትግል ዋና ግብ ምን ነበር?")</f>
        <v>በመጀመሪያዎቹ ዓመታት የአባ ገዳ ትግል ዋና ግብ ምን ነበር?</v>
      </c>
      <c r="I9" s="5" t="str">
        <f>IFERROR(__xludf.DUMMYFUNCTION(" GOOGLETRANSLATE(C9, ""en"", ""am"")"),"ሀ. አማልክትን ማክበር ለ. ንጉሣዊ ቤተሰብን ማዝናናት ሐ. አለመግባባቶችን ለመፍታት መ. ለሠራዊቱ ተዋጊዎችን መምረጥ")</f>
        <v>ሀ. አማልክትን ማክበር ለ. ንጉሣዊ ቤተሰብን ማዝናናት ሐ. አለመግባባቶችን ለመፍታት መ. ለሠራዊቱ ተዋጊዎችን መምረጥ</v>
      </c>
      <c r="J9" s="5" t="str">
        <f>IFERROR(__xludf.DUMMYFUNCTION(" GOOGLETRANSLATE(D9, ""en"", ""am"")"),"ለሠራዊቱ ተዋጊዎችን ለመምረጥ")</f>
        <v>ለሠራዊቱ ተዋጊዎችን ለመምረጥ</v>
      </c>
      <c r="K9" s="5" t="str">
        <f>IFERROR(__xludf.DUMMYFUNCTION(" GOOGLETRANSLATE(E9, ""en"", ""am"")"),"የአባ ገዳ ትግል በመጀመሪያ ለሠራዊቱ ተዋጊዎችን ለመምረጥ ነበር።")</f>
        <v>የአባ ገዳ ትግል በመጀመሪያ ለሠራዊቱ ተዋጊዎችን ለመምረጥ ነበር።</v>
      </c>
    </row>
    <row r="10" ht="22.5" customHeight="1">
      <c r="A10" s="3">
        <v>9.0</v>
      </c>
      <c r="B10" s="4" t="s">
        <v>1432</v>
      </c>
      <c r="C10" s="4" t="s">
        <v>1433</v>
      </c>
      <c r="D10" s="4" t="s">
        <v>1434</v>
      </c>
      <c r="E10" s="4" t="s">
        <v>1435</v>
      </c>
      <c r="G10" s="5" t="str">
        <f>IFERROR(__xludf.DUMMYFUNCTION(" GOOGLETRANSLATE(A10, ""en"", ""am"")"),"9")</f>
        <v>9</v>
      </c>
      <c r="H10" s="5" t="str">
        <f>IFERROR(__xludf.DUMMYFUNCTION(" GOOGLETRANSLATE(B10, ""en"", ""am"")"),"ከሚከተሉት ውስጥ በአባ ገዳ ትግል ላይ ተጽዕኖ ያሳደረው የትኛው ነው?")</f>
        <v>ከሚከተሉት ውስጥ በአባ ገዳ ትግል ላይ ተጽዕኖ ያሳደረው የትኛው ነው?</v>
      </c>
      <c r="I10" s="5" t="str">
        <f>IFERROR(__xludf.DUMMYFUNCTION(" GOOGLETRANSLATE(C10, ""en"", ""am"")"),"ሀ. የሶማሌ ፍልሚያ ዘዴዎች ለ. የአረብኛ የውጊያ ቴክኒኮች ሐ. የአካባቢ ኢትዮጵያውያን ወጎች መ. የአካባቢ ኢትዮጵያዊ ወጎች")</f>
        <v>ሀ. የሶማሌ ፍልሚያ ዘዴዎች ለ. የአረብኛ የውጊያ ቴክኒኮች ሐ. የአካባቢ ኢትዮጵያውያን ወጎች መ. የአካባቢ ኢትዮጵያዊ ወጎች</v>
      </c>
      <c r="J10" s="5" t="str">
        <f>IFERROR(__xludf.DUMMYFUNCTION(" GOOGLETRANSLATE(D10, ""en"", ""am"")"),"የአካባቢ ኢትዮጵያዊ ወጎች")</f>
        <v>የአካባቢ ኢትዮጵያዊ ወጎች</v>
      </c>
      <c r="K10" s="5" t="str">
        <f>IFERROR(__xludf.DUMMYFUNCTION(" GOOGLETRANSLATE(E10, ""en"", ""am"")"),"የአባ ገዳ ትግል ከተለያዩ የሀገር ውስጥ ኢትዮጵያዊ ወጎች እና ልማዶች የተገኘ ነው።")</f>
        <v>የአባ ገዳ ትግል ከተለያዩ የሀገር ውስጥ ኢትዮጵያዊ ወጎች እና ልማዶች የተገኘ ነው።</v>
      </c>
    </row>
    <row r="11" ht="22.5" customHeight="1">
      <c r="A11" s="3">
        <v>10.0</v>
      </c>
      <c r="B11" s="4" t="s">
        <v>1436</v>
      </c>
      <c r="C11" s="4" t="s">
        <v>1437</v>
      </c>
      <c r="D11" s="4" t="s">
        <v>1438</v>
      </c>
      <c r="E11" s="4" t="s">
        <v>1439</v>
      </c>
      <c r="G11" s="5" t="str">
        <f>IFERROR(__xludf.DUMMYFUNCTION(" GOOGLETRANSLATE(A11, ""en"", ""am"")"),"10")</f>
        <v>10</v>
      </c>
      <c r="H11" s="5" t="str">
        <f>IFERROR(__xludf.DUMMYFUNCTION(" GOOGLETRANSLATE(B11, ""en"", ""am"")"),"የአባ ገዳ ሬስሊንግ የመጀመሪያ አለም አቀፍ ሻምፒዮን ማን ነበር?")</f>
        <v>የአባ ገዳ ሬስሊንግ የመጀመሪያ አለም አቀፍ ሻምፒዮን ማን ነበር?</v>
      </c>
      <c r="I11" s="5" t="str">
        <f>IFERROR(__xludf.DUMMYFUNCTION(" GOOGLETRANSLATE(C11, ""en"", ""am"")"),"ሀ. ከኢሳ ብ ጀማል አሊ ሐ. አብዱላህ ዘኢቱ ዲ ጀማል አሊ")</f>
        <v>ሀ. ከኢሳ ብ ጀማል አሊ ሐ. አብዱላህ ዘኢቱ ዲ ጀማል አሊ</v>
      </c>
      <c r="J11" s="5" t="str">
        <f>IFERROR(__xludf.DUMMYFUNCTION(" GOOGLETRANSLATE(D11, ""en"", ""am"")"),"ጀማል አሊ")</f>
        <v>ጀማል አሊ</v>
      </c>
      <c r="K11" s="5" t="str">
        <f>IFERROR(__xludf.DUMMYFUNCTION(" GOOGLETRANSLATE(E11, ""en"", ""am"")"),"ጀማል አሊ የአባ ገዳን ትግል በመወከል የመጀመሪያው ኢንተርናሽናል ሻምፒዮን ነበር።")</f>
        <v>ጀማል አሊ የአባ ገዳን ትግል በመወከል የመጀመሪያው ኢንተርናሽናል ሻምፒዮን ነበር።</v>
      </c>
    </row>
    <row r="12" ht="22.5" customHeight="1">
      <c r="A12" s="3">
        <v>11.0</v>
      </c>
      <c r="B12" s="4" t="s">
        <v>1440</v>
      </c>
      <c r="C12" s="4" t="s">
        <v>1441</v>
      </c>
      <c r="D12" s="4" t="s">
        <v>1442</v>
      </c>
      <c r="E12" s="4" t="s">
        <v>1443</v>
      </c>
      <c r="G12" s="5" t="str">
        <f>IFERROR(__xludf.DUMMYFUNCTION(" GOOGLETRANSLATE(A12, ""en"", ""am"")"),"11")</f>
        <v>11</v>
      </c>
      <c r="H12" s="5" t="str">
        <f>IFERROR(__xludf.DUMMYFUNCTION(" GOOGLETRANSLATE(B12, ""en"", ""am"")"),"የአባ ገዳ ትግል ሻምፒዮና በአካባቢው ማህበረሰቦች ውስጥ ምን ሚና ተጫውቷል?")</f>
        <v>የአባ ገዳ ትግል ሻምፒዮና በአካባቢው ማህበረሰቦች ውስጥ ምን ሚና ተጫውቷል?</v>
      </c>
      <c r="I12" s="5" t="str">
        <f>IFERROR(__xludf.DUMMYFUNCTION(" GOOGLETRANSLATE(C12, ""en"", ""am"")"),"ሀ. ሃይማኖታዊ ሥነ ሥርዓት ነበር። ለ. የመኸር ወቅት መጀመሩን ያመለክታል. ሐ. የፖለቲካ ተቃውሞ ዓይነት ነበር። መ. የጥንካሬ እና የክህሎት በዓል ነበር።")</f>
        <v>ሀ. ሃይማኖታዊ ሥነ ሥርዓት ነበር። ለ. የመኸር ወቅት መጀመሩን ያመለክታል. ሐ. የፖለቲካ ተቃውሞ ዓይነት ነበር። መ. የጥንካሬ እና የክህሎት በዓል ነበር።</v>
      </c>
      <c r="J12" s="5" t="str">
        <f>IFERROR(__xludf.DUMMYFUNCTION(" GOOGLETRANSLATE(D12, ""en"", ""am"")"),"የጥንካሬ እና የክህሎት በዓል ነበር።")</f>
        <v>የጥንካሬ እና የክህሎት በዓል ነበር።</v>
      </c>
      <c r="K12" s="5" t="str">
        <f>IFERROR(__xludf.DUMMYFUNCTION(" GOOGLETRANSLATE(E12, ""en"", ""am"")"),"የአባ ገዳ ሬስሊንግ ሻምፒዮና በዋናነት የተከበረው የአካል ብቃት እንቅስቃሴ ነበር።")</f>
        <v>የአባ ገዳ ሬስሊንግ ሻምፒዮና በዋናነት የተከበረው የአካል ብቃት እንቅስቃሴ ነበር።</v>
      </c>
    </row>
    <row r="13" ht="22.5" customHeight="1">
      <c r="A13" s="3">
        <v>12.0</v>
      </c>
      <c r="B13" s="4" t="s">
        <v>1444</v>
      </c>
      <c r="C13" s="4" t="s">
        <v>1445</v>
      </c>
      <c r="D13" s="4" t="s">
        <v>884</v>
      </c>
      <c r="E13" s="4" t="s">
        <v>884</v>
      </c>
      <c r="G13" s="5" t="str">
        <f>IFERROR(__xludf.DUMMYFUNCTION(" GOOGLETRANSLATE(A13, ""en"", ""am"")"),"12")</f>
        <v>12</v>
      </c>
      <c r="H13" s="5" t="str">
        <f>IFERROR(__xludf.DUMMYFUNCTION(" GOOGLETRANSLATE(B13, ""en"", ""am"")"),"የአባ ገዳ ሬስሊንግ በኦፊሴላዊ ስፖርት በኢትዮጵያ በየትኛው አመት እውቅና ተሰጠው?")</f>
        <v>የአባ ገዳ ሬስሊንግ በኦፊሴላዊ ስፖርት በኢትዮጵያ በየትኛው አመት እውቅና ተሰጠው?</v>
      </c>
      <c r="I13" s="5" t="str">
        <f>IFERROR(__xludf.DUMMYFUNCTION(" GOOGLETRANSLATE(C13, ""en"", ""am"")"),"ኣብ 1975 ብ 1985 ዓ.ም. 1995 ድ.1975 ዓ.ም.")</f>
        <v>ኣብ 1975 ብ 1985 ዓ.ም. 1995 ድ.1975 ዓ.ም.</v>
      </c>
      <c r="J13" s="5" t="str">
        <f>IFERROR(__xludf.DUMMYFUNCTION(" GOOGLETRANSLATE(D13, ""en"", ""am"")"),"በ1975 ዓ.ም")</f>
        <v>በ1975 ዓ.ም</v>
      </c>
      <c r="K13" s="5" t="str">
        <f>IFERROR(__xludf.DUMMYFUNCTION(" GOOGLETRANSLATE(E13, ""en"", ""am"")"),"በ1975 ዓ.ም")</f>
        <v>በ1975 ዓ.ም</v>
      </c>
    </row>
    <row r="14" ht="22.5" customHeight="1">
      <c r="A14" s="3">
        <v>13.0</v>
      </c>
      <c r="B14" s="4" t="s">
        <v>1446</v>
      </c>
      <c r="C14" s="4" t="s">
        <v>1447</v>
      </c>
      <c r="D14" s="4" t="s">
        <v>1448</v>
      </c>
      <c r="E14" s="4" t="s">
        <v>1449</v>
      </c>
      <c r="G14" s="5" t="str">
        <f>IFERROR(__xludf.DUMMYFUNCTION(" GOOGLETRANSLATE(A14, ""en"", ""am"")"),"13")</f>
        <v>13</v>
      </c>
      <c r="H14" s="5" t="str">
        <f>IFERROR(__xludf.DUMMYFUNCTION(" GOOGLETRANSLATE(B14, ""en"", ""am"")"),"በኢትዮጵያ ባህል የአብጋ ገዳ ትግል ተምሳሌታዊ ትርጉሙ ምንድነው?")</f>
        <v>በኢትዮጵያ ባህል የአብጋ ገዳ ትግል ተምሳሌታዊ ትርጉሙ ምንድነው?</v>
      </c>
      <c r="I14" s="5" t="str">
        <f>IFERROR(__xludf.DUMMYFUNCTION(" GOOGLETRANSLATE(C14, ""en"", ""am"")"),"ሀ/ የህዝብን አንድነት ይወክላል። ለ. በተፈጥሮ ላይ ኃይልን ያመለክታል. ሐ. ለአማልክት ክብር ነው። መ. የህብረተሰቡን ጥንካሬ ያሳያል።")</f>
        <v>ሀ/ የህዝብን አንድነት ይወክላል። ለ. በተፈጥሮ ላይ ኃይልን ያመለክታል. ሐ. ለአማልክት ክብር ነው። መ. የህብረተሰቡን ጥንካሬ ያሳያል።</v>
      </c>
      <c r="J14" s="5" t="str">
        <f>IFERROR(__xludf.DUMMYFUNCTION(" GOOGLETRANSLATE(D14, ""en"", ""am"")"),"የማህበረሰቡን ጥንካሬ ያሳያል።")</f>
        <v>የማህበረሰቡን ጥንካሬ ያሳያል።</v>
      </c>
      <c r="K14" s="5" t="str">
        <f>IFERROR(__xludf.DUMMYFUNCTION(" GOOGLETRANSLATE(E14, ""en"", ""am"")"),"የአባ ገዳ ትግል የኢትዮጵያን ማህበረሰብ ጥንካሬ እና አንድነት ያሳያል።")</f>
        <v>የአባ ገዳ ትግል የኢትዮጵያን ማህበረሰብ ጥንካሬ እና አንድነት ያሳያል።</v>
      </c>
    </row>
    <row r="15" ht="22.5" customHeight="1">
      <c r="A15" s="3">
        <v>14.0</v>
      </c>
      <c r="B15" s="4" t="s">
        <v>1450</v>
      </c>
      <c r="C15" s="4" t="s">
        <v>1451</v>
      </c>
      <c r="D15" s="4" t="s">
        <v>1452</v>
      </c>
      <c r="E15" s="4" t="s">
        <v>1453</v>
      </c>
      <c r="G15" s="5" t="str">
        <f>IFERROR(__xludf.DUMMYFUNCTION(" GOOGLETRANSLATE(A15, ""en"", ""am"")"),"14")</f>
        <v>14</v>
      </c>
      <c r="H15" s="5" t="str">
        <f>IFERROR(__xludf.DUMMYFUNCTION(" GOOGLETRANSLATE(B15, ""en"", ""am"")"),"የአብጋ ገዳን ትግል የተለማመደው ኢትዮጵያ ውስጥ የትኛው ብሄረሰብ ነው?")</f>
        <v>የአብጋ ገዳን ትግል የተለማመደው ኢትዮጵያ ውስጥ የትኛው ብሄረሰብ ነው?</v>
      </c>
      <c r="I15" s="5" t="str">
        <f>IFERROR(__xludf.DUMMYFUNCTION(" GOOGLETRANSLATE(C15, ""en"", ""am"")"),"አ.አማራ ብ.ትግራይ ሐ.ሲዳማ ደ.ኦሮሞ")</f>
        <v>አ.አማራ ብ.ትግራይ ሐ.ሲዳማ ደ.ኦሮሞ</v>
      </c>
      <c r="J15" s="5" t="str">
        <f>IFERROR(__xludf.DUMMYFUNCTION(" GOOGLETRANSLATE(D15, ""en"", ""am"")"),"ኦሮሞ")</f>
        <v>ኦሮሞ</v>
      </c>
      <c r="K15" s="5" t="str">
        <f>IFERROR(__xludf.DUMMYFUNCTION(" GOOGLETRANSLATE(E15, ""en"", ""am"")"),"የኦሮሞ ህዝብ በአባ ገዳ ትግል ታሪክ እና ልምድ ይታወቃል።")</f>
        <v>የኦሮሞ ህዝብ በአባ ገዳ ትግል ታሪክ እና ልምድ ይታወቃል።</v>
      </c>
    </row>
    <row r="16" ht="22.5" customHeight="1">
      <c r="A16" s="3">
        <v>15.0</v>
      </c>
      <c r="B16" s="4" t="s">
        <v>1454</v>
      </c>
      <c r="C16" s="4" t="s">
        <v>1455</v>
      </c>
      <c r="D16" s="4" t="s">
        <v>1456</v>
      </c>
      <c r="E16" s="4" t="s">
        <v>1457</v>
      </c>
      <c r="G16" s="5" t="str">
        <f>IFERROR(__xludf.DUMMYFUNCTION(" GOOGLETRANSLATE(A16, ""en"", ""am"")"),"15")</f>
        <v>15</v>
      </c>
      <c r="H16" s="5" t="str">
        <f>IFERROR(__xludf.DUMMYFUNCTION(" GOOGLETRANSLATE(B16, ""en"", ""am"")"),"በ20ኛው ክፍለ ዘመን ለነጻነት ሲደረግ የነበረው ትልቅ ለውጥ ምን ነበር?")</f>
        <v>በ20ኛው ክፍለ ዘመን ለነጻነት ሲደረግ የነበረው ትልቅ ለውጥ ምን ነበር?</v>
      </c>
      <c r="I16" s="5" t="str">
        <f>IFERROR(__xludf.DUMMYFUNCTION(" GOOGLETRANSLATE(C16, ""en"", ""am"")"),"ሀ. አለማቀፋዊ ዘይቤዎችን ማካተት ለ. የብሄራዊ ትግል ቡድኖች መመስረት ሐ. ከገጠር ወደ ከተማ መንቀሳቀስ መ. የብሔር ትግል ቡድኖች መመስረት.")</f>
        <v>ሀ. አለማቀፋዊ ዘይቤዎችን ማካተት ለ. የብሄራዊ ትግል ቡድኖች መመስረት ሐ. ከገጠር ወደ ከተማ መንቀሳቀስ መ. የብሔር ትግል ቡድኖች መመስረት.</v>
      </c>
      <c r="J16" s="5" t="str">
        <f>IFERROR(__xludf.DUMMYFUNCTION(" GOOGLETRANSLATE(D16, ""en"", ""am"")"),"የብሔር ትግል ቡድኖች መፈጠር")</f>
        <v>የብሔር ትግል ቡድኖች መፈጠር</v>
      </c>
      <c r="K16" s="5" t="str">
        <f>IFERROR(__xludf.DUMMYFUNCTION(" GOOGLETRANSLATE(E16, ""en"", ""am"")"),"የብሔራዊ የትግል ቡድኖች መመስረት በ20ኛው ክፍለ ዘመን ትልቅ እድገት ነበር።")</f>
        <v>የብሔራዊ የትግል ቡድኖች መመስረት በ20ኛው ክፍለ ዘመን ትልቅ እድገት ነበር።</v>
      </c>
    </row>
    <row r="17" ht="22.5" customHeight="1">
      <c r="A17" s="3">
        <v>16.0</v>
      </c>
      <c r="B17" s="4" t="s">
        <v>1458</v>
      </c>
      <c r="C17" s="4" t="s">
        <v>1459</v>
      </c>
      <c r="D17" s="4" t="s">
        <v>1460</v>
      </c>
      <c r="E17" s="4" t="s">
        <v>1461</v>
      </c>
      <c r="G17" s="5" t="str">
        <f>IFERROR(__xludf.DUMMYFUNCTION(" GOOGLETRANSLATE(A17, ""en"", ""am"")"),"16")</f>
        <v>16</v>
      </c>
      <c r="H17" s="5" t="str">
        <f>IFERROR(__xludf.DUMMYFUNCTION(" GOOGLETRANSLATE(B17, ""en"", ""am"")"),"በትግል ውድድር አሸናፊው ብዙውን ጊዜ ምን ይቀበላል?")</f>
        <v>በትግል ውድድር አሸናፊው ብዙውን ጊዜ ምን ይቀበላል?</v>
      </c>
      <c r="I17" s="5" t="str">
        <f>IFERROR(__xludf.DUMMYFUNCTION(" GOOGLETRANSLATE(C17, ""en"", ""am"")"),"ሀ. የገንዘብ ሽልማት ለ. ዋንጫ ሐ. ህዝባዊ በዓል መ. የክብር ርዕስ")</f>
        <v>ሀ. የገንዘብ ሽልማት ለ. ዋንጫ ሐ. ህዝባዊ በዓል መ. የክብር ርዕስ</v>
      </c>
      <c r="J17" s="5" t="str">
        <f>IFERROR(__xludf.DUMMYFUNCTION(" GOOGLETRANSLATE(D17, ""en"", ""am"")"),"የክብር ርዕስ")</f>
        <v>የክብር ርዕስ</v>
      </c>
      <c r="K17" s="5" t="str">
        <f>IFERROR(__xludf.DUMMYFUNCTION(" GOOGLETRANSLATE(E17, ""en"", ""am"")"),"የአባ ገዳ ትግል አሸናፊ በህብረተሰቡ ዘንድ በተለምዶ የክብር ማዕረግ ይሰጠዋል ።")</f>
        <v>የአባ ገዳ ትግል አሸናፊ በህብረተሰቡ ዘንድ በተለምዶ የክብር ማዕረግ ይሰጠዋል ።</v>
      </c>
    </row>
    <row r="18" ht="22.5" customHeight="1">
      <c r="A18" s="3">
        <v>17.0</v>
      </c>
      <c r="B18" s="4" t="s">
        <v>1462</v>
      </c>
      <c r="C18" s="4" t="s">
        <v>1463</v>
      </c>
      <c r="D18" s="4" t="s">
        <v>1464</v>
      </c>
      <c r="E18" s="4" t="s">
        <v>1465</v>
      </c>
      <c r="G18" s="5" t="str">
        <f>IFERROR(__xludf.DUMMYFUNCTION(" GOOGLETRANSLATE(A18, ""en"", ""am"")"),"17")</f>
        <v>17</v>
      </c>
      <c r="H18" s="5" t="str">
        <f>IFERROR(__xludf.DUMMYFUNCTION(" GOOGLETRANSLATE(B18, ""en"", ""am"")"),"ለዘመናዊው የአባ ገዳ ትግል እድገት ቁልፍ ተዋናይ የነበረው የትኛው ታዋቂ ታጋይ ነው?")</f>
        <v>ለዘመናዊው የአባ ገዳ ትግል እድገት ቁልፍ ተዋናይ የነበረው የትኛው ታዋቂ ታጋይ ነው?</v>
      </c>
      <c r="I18" s="5" t="str">
        <f>IFERROR(__xludf.DUMMYFUNCTION(" GOOGLETRANSLATE(C18, ""en"", ""am"")"),"A. Tadesse Mamo B. Abdi Mohammed C. Simon Tesfaye D. Tadesse Mamo")</f>
        <v>A. Tadesse Mamo B. Abdi Mohammed C. Simon Tesfaye D. Tadesse Mamo</v>
      </c>
      <c r="J18" s="5" t="str">
        <f>IFERROR(__xludf.DUMMYFUNCTION(" GOOGLETRANSLATE(D18, ""en"", ""am"")"),"ታደሰ ማሞ")</f>
        <v>ታደሰ ማሞ</v>
      </c>
      <c r="K18" s="5" t="str">
        <f>IFERROR(__xludf.DUMMYFUNCTION(" GOOGLETRANSLATE(E18, ""en"", ""am"")"),"ታደሰ ማሞ ለአባ ገዳ ትግሉ መዘመን እና ተወዳጅነት ትልቅ ሚና ተጫውቷል።")</f>
        <v>ታደሰ ማሞ ለአባ ገዳ ትግሉ መዘመን እና ተወዳጅነት ትልቅ ሚና ተጫውቷል።</v>
      </c>
    </row>
    <row r="19" ht="22.5" customHeight="1">
      <c r="A19" s="3">
        <v>18.0</v>
      </c>
      <c r="B19" s="4" t="s">
        <v>1466</v>
      </c>
      <c r="C19" s="4" t="s">
        <v>1467</v>
      </c>
      <c r="D19" s="4" t="s">
        <v>1468</v>
      </c>
      <c r="E19" s="4" t="s">
        <v>1469</v>
      </c>
      <c r="G19" s="5" t="str">
        <f>IFERROR(__xludf.DUMMYFUNCTION(" GOOGLETRANSLATE(A19, ""en"", ""am"")"),"18")</f>
        <v>18</v>
      </c>
      <c r="H19" s="5" t="str">
        <f>IFERROR(__xludf.DUMMYFUNCTION(" GOOGLETRANSLATE(B19, ""en"", ""am"")"),"በ1970ዎቹ የአባ ገዳ ትግል ምን ጉልህ ፈተናዎች አጋጥመውት ነበር?")</f>
        <v>በ1970ዎቹ የአባ ገዳ ትግል ምን ጉልህ ፈተናዎች አጋጥመውት ነበር?</v>
      </c>
      <c r="I19" s="5" t="str">
        <f>IFERROR(__xludf.DUMMYFUNCTION(" GOOGLETRANSLATE(C19, ""en"", ""am"")"),"ሀ. በወጣቶች መካከል ያለው ፍላጎት ማጣት ለ. ከምዕራባውያን የትግል ዘይቤዎች ውድድር ሐ. የገንዘብ እና የሃብት እጥረት መ. በባህላዊ ስፖርቶች ላይ የመንግስት እገዳዎች")</f>
        <v>ሀ. በወጣቶች መካከል ያለው ፍላጎት ማጣት ለ. ከምዕራባውያን የትግል ዘይቤዎች ውድድር ሐ. የገንዘብ እና የሃብት እጥረት መ. በባህላዊ ስፖርቶች ላይ የመንግስት እገዳዎች</v>
      </c>
      <c r="J19" s="5" t="str">
        <f>IFERROR(__xludf.DUMMYFUNCTION(" GOOGLETRANSLATE(D19, ""en"", ""am"")"),"በባህላዊ ስፖርቶች ላይ የመንግስት እገዳዎች")</f>
        <v>በባህላዊ ስፖርቶች ላይ የመንግስት እገዳዎች</v>
      </c>
      <c r="K19" s="5" t="str">
        <f>IFERROR(__xludf.DUMMYFUNCTION(" GOOGLETRANSLATE(E19, ""en"", ""am"")"),"የአባ ገዳ ትግል ኢትዮጵያን ለማዘመን ባደረገው ጥረት በ1970ዎቹ የመንግስት እገዳዎች ገጥሞት ነበር።")</f>
        <v>የአባ ገዳ ትግል ኢትዮጵያን ለማዘመን ባደረገው ጥረት በ1970ዎቹ የመንግስት እገዳዎች ገጥሞት ነበር።</v>
      </c>
    </row>
    <row r="20" ht="22.5" customHeight="1">
      <c r="A20" s="3">
        <v>19.0</v>
      </c>
      <c r="B20" s="4" t="s">
        <v>1470</v>
      </c>
      <c r="C20" s="4" t="s">
        <v>1471</v>
      </c>
      <c r="D20" s="4" t="s">
        <v>1472</v>
      </c>
      <c r="E20" s="4" t="s">
        <v>1472</v>
      </c>
      <c r="G20" s="5" t="str">
        <f>IFERROR(__xludf.DUMMYFUNCTION(" GOOGLETRANSLATE(A20, ""en"", ""am"")"),"19")</f>
        <v>19</v>
      </c>
      <c r="H20" s="5" t="str">
        <f>IFERROR(__xludf.DUMMYFUNCTION(" GOOGLETRANSLATE(B20, ""en"", ""am"")"),"በአፍሪካ የትግል ሻምፒዮና ለመጀመሪያ ጊዜ የአባ ገዳ ትግል የታየው በየትኛው አመት ነበር?")</f>
        <v>በአፍሪካ የትግል ሻምፒዮና ለመጀመሪያ ጊዜ የአባ ገዳ ትግል የታየው በየትኛው አመት ነበር?</v>
      </c>
      <c r="I20" s="5" t="str">
        <f>IFERROR(__xludf.DUMMYFUNCTION(" GOOGLETRANSLATE(C20, ""en"", ""am"")"),"ኣብ 1970 ብ 1980 ዓ.ም. 1990 ዲ. 1980 ዓ.ም.")</f>
        <v>ኣብ 1970 ብ 1980 ዓ.ም. 1990 ዲ. 1980 ዓ.ም.</v>
      </c>
      <c r="J20" s="5" t="str">
        <f>IFERROR(__xludf.DUMMYFUNCTION(" GOOGLETRANSLATE(D20, ""en"", ""am"")"),"በ1980 ዓ.ም")</f>
        <v>በ1980 ዓ.ም</v>
      </c>
      <c r="K20" s="5" t="str">
        <f>IFERROR(__xludf.DUMMYFUNCTION(" GOOGLETRANSLATE(E20, ""en"", ""am"")"),"በ1980 ዓ.ም")</f>
        <v>በ1980 ዓ.ም</v>
      </c>
    </row>
    <row r="21" ht="22.5" customHeight="1">
      <c r="A21" s="3">
        <v>20.0</v>
      </c>
      <c r="B21" s="4" t="s">
        <v>1473</v>
      </c>
      <c r="C21" s="4" t="s">
        <v>1474</v>
      </c>
      <c r="D21" s="4" t="s">
        <v>1475</v>
      </c>
      <c r="E21" s="4" t="s">
        <v>1476</v>
      </c>
      <c r="G21" s="5" t="str">
        <f>IFERROR(__xludf.DUMMYFUNCTION(" GOOGLETRANSLATE(A21, ""en"", ""am"")"),"20")</f>
        <v>20</v>
      </c>
      <c r="H21" s="5" t="str">
        <f>IFERROR(__xludf.DUMMYFUNCTION(" GOOGLETRANSLATE(B21, ""en"", ""am"")"),"የአባ ገዳ ገድል ምን አይነት ታሪካዊ ወቅት ተወዳጅ ስፖርት ሆነ?")</f>
        <v>የአባ ገዳ ገድል ምን አይነት ታሪካዊ ወቅት ተወዳጅ ስፖርት ሆነ?</v>
      </c>
      <c r="I21" s="5" t="str">
        <f>IFERROR(__xludf.DUMMYFUNCTION(" GOOGLETRANSLATE(C21, ""en"", ""am"")"),"ሀ. በ 20 ኛው ክፍለ ዘመን መጀመሪያ ለ. በመካከለኛው ዘመን ሐ. በ 20 ኛው ክፍለ ዘመን መገባደጃ ላይ መ በ 19 ኛው ክፍለ ዘመን.")</f>
        <v>ሀ. በ 20 ኛው ክፍለ ዘመን መጀመሪያ ለ. በመካከለኛው ዘመን ሐ. በ 20 ኛው ክፍለ ዘመን መገባደጃ ላይ መ በ 19 ኛው ክፍለ ዘመን.</v>
      </c>
      <c r="J21" s="5" t="str">
        <f>IFERROR(__xludf.DUMMYFUNCTION(" GOOGLETRANSLATE(D21, ""en"", ""am"")"),"በ 19 ኛው ክፍለ ዘመን")</f>
        <v>በ 19 ኛው ክፍለ ዘመን</v>
      </c>
      <c r="K21" s="5" t="str">
        <f>IFERROR(__xludf.DUMMYFUNCTION(" GOOGLETRANSLATE(E21, ""en"", ""am"")"),"የአባ ገዳ ትግል በኢትዮጵያ ተወዳጅ ስፖርት ሆኖ ብቅ ያለው በ19ኛው ክፍለ ዘመን ነው።")</f>
        <v>የአባ ገዳ ትግል በኢትዮጵያ ተወዳጅ ስፖርት ሆኖ ብቅ ያለው በ19ኛው ክፍለ ዘመን ነው።</v>
      </c>
    </row>
    <row r="22" ht="22.5" customHeight="1">
      <c r="A22" s="3">
        <v>21.0</v>
      </c>
      <c r="B22" s="4" t="s">
        <v>1477</v>
      </c>
      <c r="C22" s="4" t="s">
        <v>1478</v>
      </c>
      <c r="D22" s="4" t="s">
        <v>1479</v>
      </c>
      <c r="E22" s="4" t="s">
        <v>1480</v>
      </c>
      <c r="G22" s="5" t="str">
        <f>IFERROR(__xludf.DUMMYFUNCTION(" GOOGLETRANSLATE(A22, ""en"", ""am"")"),"21")</f>
        <v>21</v>
      </c>
      <c r="H22" s="5" t="str">
        <f>IFERROR(__xludf.DUMMYFUNCTION(" GOOGLETRANSLATE(B22, ""en"", ""am"")"),"በአባጋ ገዳ ትግል በሀገር አቀፍ ደረጃ የመጀመሪያዋ ሴት ማን ናት?")</f>
        <v>በአባጋ ገዳ ትግል በሀገር አቀፍ ደረጃ የመጀመሪያዋ ሴት ማን ናት?</v>
      </c>
      <c r="I22" s="5" t="str">
        <f>IFERROR(__xludf.DUMMYFUNCTION(" GOOGLETRANSLATE(C22, ""en"", ""am"")"),"A. Ruqayya Mohammed B. Amina Tesfaye C. Saba Ali D. Amina Tesfaye")</f>
        <v>A. Ruqayya Mohammed B. Amina Tesfaye C. Saba Ali D. Amina Tesfaye</v>
      </c>
      <c r="J22" s="5" t="str">
        <f>IFERROR(__xludf.DUMMYFUNCTION(" GOOGLETRANSLATE(D22, ""en"", ""am"")"),"Amina ተስፋዬ")</f>
        <v>Amina ተስፋዬ</v>
      </c>
      <c r="K22" s="5" t="str">
        <f>IFERROR(__xludf.DUMMYFUNCTION(" GOOGLETRANSLATE(E22, ""en"", ""am"")"),"በአባ ገዳ ትግል በአገር አቀፍ ደረጃ የመጀመሪያዋ ሴት ወ/ሮ አሚና ተስፋዬ ነበሩ።")</f>
        <v>በአባ ገዳ ትግል በአገር አቀፍ ደረጃ የመጀመሪያዋ ሴት ወ/ሮ አሚና ተስፋዬ ነበሩ።</v>
      </c>
    </row>
    <row r="23" ht="22.5" customHeight="1">
      <c r="A23" s="3">
        <v>22.0</v>
      </c>
      <c r="B23" s="4" t="s">
        <v>1481</v>
      </c>
      <c r="C23" s="4" t="s">
        <v>1482</v>
      </c>
      <c r="D23" s="4" t="s">
        <v>1483</v>
      </c>
      <c r="E23" s="4" t="s">
        <v>1484</v>
      </c>
      <c r="G23" s="5" t="str">
        <f>IFERROR(__xludf.DUMMYFUNCTION(" GOOGLETRANSLATE(A23, ""en"", ""am"")"),"22")</f>
        <v>22</v>
      </c>
      <c r="H23" s="5" t="str">
        <f>IFERROR(__xludf.DUMMYFUNCTION(" GOOGLETRANSLATE(B23, ""en"", ""am"")"),"የአባ ገዳን ትግል የሚያሳየው የትኛው ትልቅ የባህል ዝግጅት ነው?")</f>
        <v>የአባ ገዳን ትግል የሚያሳየው የትኛው ትልቅ የባህል ዝግጅት ነው?</v>
      </c>
      <c r="I23" s="5" t="str">
        <f>IFERROR(__xludf.DUMMYFUNCTION(" GOOGLETRANSLATE(C23, ""en"", ""am"")"),"ሀ.የአዲስ አመት በዓላት ለ.የኦሮሞ ባህል ፌስቲቫል ሐ.የመስቀል በአል አከባበር መ.የጋዳ አመታዊ በዓል")</f>
        <v>ሀ.የአዲስ አመት በዓላት ለ.የኦሮሞ ባህል ፌስቲቫል ሐ.የመስቀል በአል አከባበር መ.የጋዳ አመታዊ በዓል</v>
      </c>
      <c r="J23" s="5" t="str">
        <f>IFERROR(__xludf.DUMMYFUNCTION(" GOOGLETRANSLATE(D23, ""en"", ""am"")"),"ዓመታዊው የጋዳ በዓል")</f>
        <v>ዓመታዊው የጋዳ በዓል</v>
      </c>
      <c r="K23" s="5" t="str">
        <f>IFERROR(__xludf.DUMMYFUNCTION(" GOOGLETRANSLATE(E23, ""en"", ""am"")"),"የጋዳ ነገድ ትግል በኢትዮጵያ በየዓመቱ የሚከበረው የገዳ በዓል ቁልፍ ገጽታ ነው።")</f>
        <v>የጋዳ ነገድ ትግል በኢትዮጵያ በየዓመቱ የሚከበረው የገዳ በዓል ቁልፍ ገጽታ ነው።</v>
      </c>
    </row>
    <row r="24" ht="22.5" customHeight="1">
      <c r="A24" s="3">
        <v>23.0</v>
      </c>
      <c r="B24" s="4" t="s">
        <v>1485</v>
      </c>
      <c r="C24" s="4" t="s">
        <v>1486</v>
      </c>
      <c r="D24" s="4" t="s">
        <v>858</v>
      </c>
      <c r="E24" s="4" t="s">
        <v>858</v>
      </c>
      <c r="G24" s="5" t="str">
        <f>IFERROR(__xludf.DUMMYFUNCTION(" GOOGLETRANSLATE(A24, ""en"", ""am"")"),"23")</f>
        <v>23</v>
      </c>
      <c r="H24" s="5" t="str">
        <f>IFERROR(__xludf.DUMMYFUNCTION(" GOOGLETRANSLATE(B24, ""en"", ""am"")"),"የአባ ገዳ ትግል ለመጀመሪያ ጊዜ በኢትዮጵያ የመንግስት ትምህርት ቤቶች የታየው በየትኛው አመት ነው?")</f>
        <v>የአባ ገዳ ትግል ለመጀመሪያ ጊዜ በኢትዮጵያ የመንግስት ትምህርት ቤቶች የታየው በየትኛው አመት ነው?</v>
      </c>
      <c r="I24" s="5" t="str">
        <f>IFERROR(__xludf.DUMMYFUNCTION(" GOOGLETRANSLATE(C24, ""en"", ""am"")"),"ኣብ 1975 ብ 1985 ዓ.ም. 1995 ድ.1985 ዓ.ም.")</f>
        <v>ኣብ 1975 ብ 1985 ዓ.ም. 1995 ድ.1985 ዓ.ም.</v>
      </c>
      <c r="J24" s="5" t="str">
        <f>IFERROR(__xludf.DUMMYFUNCTION(" GOOGLETRANSLATE(D24, ""en"", ""am"")"),"በ1985 ዓ.ም")</f>
        <v>በ1985 ዓ.ም</v>
      </c>
      <c r="K24" s="5" t="str">
        <f>IFERROR(__xludf.DUMMYFUNCTION(" GOOGLETRANSLATE(E24, ""en"", ""am"")"),"በ1985 ዓ.ም")</f>
        <v>በ1985 ዓ.ም</v>
      </c>
    </row>
    <row r="25" ht="22.5" customHeight="1">
      <c r="A25" s="3">
        <v>24.0</v>
      </c>
      <c r="B25" s="4" t="s">
        <v>1487</v>
      </c>
      <c r="C25" s="4" t="s">
        <v>1488</v>
      </c>
      <c r="D25" s="4" t="s">
        <v>1489</v>
      </c>
      <c r="E25" s="4" t="s">
        <v>1490</v>
      </c>
      <c r="G25" s="5" t="str">
        <f>IFERROR(__xludf.DUMMYFUNCTION(" GOOGLETRANSLATE(A25, ""en"", ""am"")"),"24")</f>
        <v>24</v>
      </c>
      <c r="H25" s="5" t="str">
        <f>IFERROR(__xludf.DUMMYFUNCTION(" GOOGLETRANSLATE(B25, ""en"", ""am"")"),"የአባ ገዳ ትግል በኢትዮጵያ ያለው ታሪካዊ ፋይዳ ምንድን ነው?")</f>
        <v>የአባ ገዳ ትግል በኢትዮጵያ ያለው ታሪካዊ ፋይዳ ምንድን ነው?</v>
      </c>
      <c r="I25" s="5" t="str">
        <f>IFERROR(__xludf.DUMMYFUNCTION(" GOOGLETRANSLATE(C25, ""en"", ""am"")"),"ሀ. የወጣት ወንዶች ሥነ ሥርዓት ነው. ለ/ የኢትዮጵያዊነት ጥንካሬ ማሳያ ነው። ሐ. የኢትዮጵያ ነገዶች አንድነትን ያመለክታል። መ. የወጣት ወንዶች ሥነ ሥርዓት ነው.")</f>
        <v>ሀ. የወጣት ወንዶች ሥነ ሥርዓት ነው. ለ/ የኢትዮጵያዊነት ጥንካሬ ማሳያ ነው። ሐ. የኢትዮጵያ ነገዶች አንድነትን ያመለክታል። መ. የወጣት ወንዶች ሥነ ሥርዓት ነው.</v>
      </c>
      <c r="J25" s="5" t="str">
        <f>IFERROR(__xludf.DUMMYFUNCTION(" GOOGLETRANSLATE(D25, ""en"", ""am"")"),"የወጣት ወንዶች ሥነ ሥርዓት ነው.")</f>
        <v>የወጣት ወንዶች ሥነ ሥርዓት ነው.</v>
      </c>
      <c r="K25" s="5" t="str">
        <f>IFERROR(__xludf.DUMMYFUNCTION(" GOOGLETRANSLATE(E25, ""en"", ""am"")"),"አባ ገዳ ሬስሊንግ በታሪክ ለወጣት ኢትዮጵያውያን ወጣቶች ዲሲፕሊን ሆኖ አገልግሏል።")</f>
        <v>አባ ገዳ ሬስሊንግ በታሪክ ለወጣት ኢትዮጵያውያን ወጣቶች ዲሲፕሊን ሆኖ አገልግሏል።</v>
      </c>
    </row>
    <row r="26" ht="22.5" customHeight="1">
      <c r="A26" s="3">
        <v>25.0</v>
      </c>
      <c r="B26" s="4" t="s">
        <v>1491</v>
      </c>
      <c r="C26" s="4" t="s">
        <v>1492</v>
      </c>
      <c r="D26" s="4" t="s">
        <v>1493</v>
      </c>
      <c r="E26" s="4" t="s">
        <v>1494</v>
      </c>
      <c r="G26" s="5" t="str">
        <f>IFERROR(__xludf.DUMMYFUNCTION(" GOOGLETRANSLATE(A26, ""en"", ""am"")"),"25")</f>
        <v>25</v>
      </c>
      <c r="H26" s="5" t="str">
        <f>IFERROR(__xludf.DUMMYFUNCTION(" GOOGLETRANSLATE(B26, ""en"", ""am"")"),"የአባ ገዳን ትግል የደገፈው የትኛው ታሪካዊ መሪ ነው?")</f>
        <v>የአባ ገዳን ትግል የደገፈው የትኛው ታሪካዊ መሪ ነው?</v>
      </c>
      <c r="I26" s="5" t="str">
        <f>IFERROR(__xludf.DUMMYFUNCTION(" GOOGLETRANSLATE(C26, ""en"", ""am"")"),"አ. አፄ ምኒልክ ለ. አፄ ቴዎድሮስ 2ኛ ሐ. ንጉስ አምዳ ጽዮን ዲ. አፄ ኃይለ ሥላሴ")</f>
        <v>አ. አፄ ምኒልክ ለ. አፄ ቴዎድሮስ 2ኛ ሐ. ንጉስ አምዳ ጽዮን ዲ. አፄ ኃይለ ሥላሴ</v>
      </c>
      <c r="J26" s="5" t="str">
        <f>IFERROR(__xludf.DUMMYFUNCTION(" GOOGLETRANSLATE(D26, ""en"", ""am"")"),"አፄ ኃይለ ሥላሴ")</f>
        <v>አፄ ኃይለ ሥላሴ</v>
      </c>
      <c r="K26" s="5" t="str">
        <f>IFERROR(__xludf.DUMMYFUNCTION(" GOOGLETRANSLATE(E26, ""en"", ""am"")"),"አፄ ኃይለ ሥላሴ እንደ አባ ገዳ ትግል ያሉ ባህላዊ ስፖርቶችን ደግፈዋል።")</f>
        <v>አፄ ኃይለ ሥላሴ እንደ አባ ገዳ ትግል ያሉ ባህላዊ ስፖርቶችን ደግፈዋል።</v>
      </c>
    </row>
    <row r="27" ht="22.5" customHeight="1">
      <c r="A27" s="3">
        <v>26.0</v>
      </c>
      <c r="B27" s="4" t="s">
        <v>1495</v>
      </c>
      <c r="C27" s="4" t="s">
        <v>1496</v>
      </c>
      <c r="D27" s="4" t="s">
        <v>1497</v>
      </c>
      <c r="E27" s="4" t="s">
        <v>1498</v>
      </c>
      <c r="G27" s="5" t="str">
        <f>IFERROR(__xludf.DUMMYFUNCTION(" GOOGLETRANSLATE(A27, ""en"", ""am"")"),"26")</f>
        <v>26</v>
      </c>
      <c r="H27" s="5" t="str">
        <f>IFERROR(__xludf.DUMMYFUNCTION(" GOOGLETRANSLATE(B27, ""en"", ""am"")"),"በአባ ገዳ ትግል ወቅት ምን አይነት ልብስ ይለብሳሉ?")</f>
        <v>በአባ ገዳ ትግል ወቅት ምን አይነት ልብስ ይለብሳሉ?</v>
      </c>
      <c r="I27" s="5" t="str">
        <f>IFERROR(__xludf.DUMMYFUNCTION(" GOOGLETRANSLATE(C27, ""en"", ""am"")"),"A. Waistcoat B. Tunic C. ለስላሳ ሱሪ D. Waistcoat")</f>
        <v>A. Waistcoat B. Tunic C. ለስላሳ ሱሪ D. Waistcoat</v>
      </c>
      <c r="J27" s="5" t="str">
        <f>IFERROR(__xludf.DUMMYFUNCTION(" GOOGLETRANSLATE(D27, ""en"", ""am"")"),"የወገብ ኮት")</f>
        <v>የወገብ ኮት</v>
      </c>
      <c r="K27" s="5" t="str">
        <f>IFERROR(__xludf.DUMMYFUNCTION(" GOOGLETRANSLATE(E27, ""en"", ""am"")"),"በአባ ገዳ የትግል ውድድር ወቅት ታጋዮች ወገብ ይለብሳሉ።")</f>
        <v>በአባ ገዳ የትግል ውድድር ወቅት ታጋዮች ወገብ ይለብሳሉ።</v>
      </c>
    </row>
    <row r="28" ht="22.5" customHeight="1">
      <c r="A28" s="3">
        <v>27.0</v>
      </c>
      <c r="B28" s="4" t="s">
        <v>1499</v>
      </c>
      <c r="C28" s="4" t="s">
        <v>1500</v>
      </c>
      <c r="D28" s="4" t="s">
        <v>1501</v>
      </c>
      <c r="E28" s="4" t="s">
        <v>1502</v>
      </c>
      <c r="G28" s="5" t="str">
        <f>IFERROR(__xludf.DUMMYFUNCTION(" GOOGLETRANSLATE(A28, ""en"", ""am"")"),"27")</f>
        <v>27</v>
      </c>
      <c r="H28" s="5" t="str">
        <f>IFERROR(__xludf.DUMMYFUNCTION(" GOOGLETRANSLATE(B28, ""en"", ""am"")"),"የጥንት ኢትዮጵያውያን ተዋጊዎች በአባ ገዳ ትግል ላይ ምን ተጽእኖ ነበራቸው?")</f>
        <v>የጥንት ኢትዮጵያውያን ተዋጊዎች በአባ ገዳ ትግል ላይ ምን ተጽእኖ ነበራቸው?</v>
      </c>
      <c r="I28" s="5" t="str">
        <f>IFERROR(__xludf.DUMMYFUNCTION(" GOOGLETRANSLATE(C28, ""en"", ""am"")"),"ሀ. የጦር መሣሪያ አጠቃቀማቸው ለ. የጦርነት ስልታቸው ሐ. አካላዊ ጽናታቸው መ. የማርሻል አርት ቴክኒኮች")</f>
        <v>ሀ. የጦር መሣሪያ አጠቃቀማቸው ለ. የጦርነት ስልታቸው ሐ. አካላዊ ጽናታቸው መ. የማርሻል አርት ቴክኒኮች</v>
      </c>
      <c r="J28" s="5" t="str">
        <f>IFERROR(__xludf.DUMMYFUNCTION(" GOOGLETRANSLATE(D28, ""en"", ""am"")"),"የእነሱ ማርሻል አርት ቴክኒኮች")</f>
        <v>የእነሱ ማርሻል አርት ቴክኒኮች</v>
      </c>
      <c r="K28" s="5" t="str">
        <f>IFERROR(__xludf.DUMMYFUNCTION(" GOOGLETRANSLATE(E28, ""en"", ""am"")"),"የጥንት ኢትዮጵያውያን ተዋጊዎች የአባ ገዳን የውጊያ ስልት የሚነኩ የማርሻል አርት ቴክኒኮችን አበርክተዋል።")</f>
        <v>የጥንት ኢትዮጵያውያን ተዋጊዎች የአባ ገዳን የውጊያ ስልት የሚነኩ የማርሻል አርት ቴክኒኮችን አበርክተዋል።</v>
      </c>
    </row>
    <row r="29" ht="22.5" customHeight="1">
      <c r="A29" s="3">
        <v>28.0</v>
      </c>
      <c r="B29" s="4" t="s">
        <v>1503</v>
      </c>
      <c r="C29" s="4" t="s">
        <v>1504</v>
      </c>
      <c r="D29" s="4" t="s">
        <v>1505</v>
      </c>
      <c r="E29" s="4" t="s">
        <v>1505</v>
      </c>
      <c r="G29" s="5" t="str">
        <f>IFERROR(__xludf.DUMMYFUNCTION(" GOOGLETRANSLATE(A29, ""en"", ""am"")"),"28")</f>
        <v>28</v>
      </c>
      <c r="H29" s="5" t="str">
        <f>IFERROR(__xludf.DUMMYFUNCTION(" GOOGLETRANSLATE(B29, ""en"", ""am"")"),"አባ ገዳ ሬስሊንግ በኢትዮጵያ መነቃቃትን ያየው በየትኛው አመት ነው?")</f>
        <v>አባ ገዳ ሬስሊንግ በኢትዮጵያ መነቃቃትን ያየው በየትኛው አመት ነው?</v>
      </c>
      <c r="I29" s="5" t="str">
        <f>IFERROR(__xludf.DUMMYFUNCTION(" GOOGLETRANSLATE(C29, ""en"", ""am"")"),"እ.ኤ.አ. 2010 B. 2020 ግ. 1990 ዲ. 2010")</f>
        <v>እ.ኤ.አ. 2010 B. 2020 ግ. 1990 ዲ. 2010</v>
      </c>
      <c r="J29" s="5" t="str">
        <f>IFERROR(__xludf.DUMMYFUNCTION(" GOOGLETRANSLATE(D29, ""en"", ""am"")"),"2010")</f>
        <v>2010</v>
      </c>
      <c r="K29" s="5" t="str">
        <f>IFERROR(__xludf.DUMMYFUNCTION(" GOOGLETRANSLATE(E29, ""en"", ""am"")"),"2010")</f>
        <v>2010</v>
      </c>
    </row>
    <row r="30" ht="22.5" customHeight="1">
      <c r="A30" s="3">
        <v>29.0</v>
      </c>
      <c r="B30" s="4" t="s">
        <v>1506</v>
      </c>
      <c r="C30" s="4" t="s">
        <v>1507</v>
      </c>
      <c r="D30" s="4" t="s">
        <v>125</v>
      </c>
      <c r="E30" s="4" t="s">
        <v>1508</v>
      </c>
      <c r="G30" s="5" t="str">
        <f>IFERROR(__xludf.DUMMYFUNCTION(" GOOGLETRANSLATE(A30, ""en"", ""am"")"),"29")</f>
        <v>29</v>
      </c>
      <c r="H30" s="5" t="str">
        <f>IFERROR(__xludf.DUMMYFUNCTION(" GOOGLETRANSLATE(B30, ""en"", ""am"")"),"በባህላዊ ትግል ተሳትፎ የሚታወቀው የትኛው ጥንታዊ ኢትዮጵያዊ ንጉስ ነው?")</f>
        <v>በባህላዊ ትግል ተሳትፎ የሚታወቀው የትኛው ጥንታዊ ኢትዮጵያዊ ንጉስ ነው?</v>
      </c>
      <c r="I30" s="5" t="str">
        <f>IFERROR(__xludf.DUMMYFUNCTION(" GOOGLETRANSLATE(C30, ""en"", ""am"")"),"አ. ንጉስ ምኒልክ ብ ንጉስ ሃይለስላሴ ንጉስ ንጉስ ላሊበላ ዲ.ንጉስ ምኒልክ")</f>
        <v>አ. ንጉስ ምኒልክ ብ ንጉስ ሃይለስላሴ ንጉስ ንጉስ ላሊበላ ዲ.ንጉስ ምኒልክ</v>
      </c>
      <c r="J30" s="5" t="str">
        <f>IFERROR(__xludf.DUMMYFUNCTION(" GOOGLETRANSLATE(D30, ""en"", ""am"")"),"ንጉስ ምኒልክ")</f>
        <v>ንጉስ ምኒልክ</v>
      </c>
      <c r="K30" s="5" t="str">
        <f>IFERROR(__xludf.DUMMYFUNCTION(" GOOGLETRANSLATE(E30, ""en"", ""am"")"),"ዳግማዊ ምኒልክ በኢትዮጵያ ባህላዊ ጦርነቶች በመሳተፍ ይታወቃሉ።")</f>
        <v>ዳግማዊ ምኒልክ በኢትዮጵያ ባህላዊ ጦርነቶች በመሳተፍ ይታወቃሉ።</v>
      </c>
    </row>
    <row r="31" ht="22.5" customHeight="1">
      <c r="A31" s="3">
        <v>30.0</v>
      </c>
      <c r="B31" s="4" t="s">
        <v>1509</v>
      </c>
      <c r="C31" s="4" t="s">
        <v>1510</v>
      </c>
      <c r="D31" s="4" t="s">
        <v>1511</v>
      </c>
      <c r="E31" s="4" t="s">
        <v>1512</v>
      </c>
      <c r="G31" s="5" t="str">
        <f>IFERROR(__xludf.DUMMYFUNCTION(" GOOGLETRANSLATE(A31, ""en"", ""am"")"),"30")</f>
        <v>30</v>
      </c>
      <c r="H31" s="5" t="str">
        <f>IFERROR(__xludf.DUMMYFUNCTION(" GOOGLETRANSLATE(B31, ""en"", ""am"")"),"በአባ ገዳ የትግል ዝግጅት ላይ ምን አይነት ታዳሚ ነበር?")</f>
        <v>በአባ ገዳ የትግል ዝግጅት ላይ ምን አይነት ታዳሚ ነበር?</v>
      </c>
      <c r="I31" s="5" t="str">
        <f>IFERROR(__xludf.DUMMYFUNCTION(" GOOGLETRANSLATE(C31, ""en"", ""am"")"),"ሀ. የአካባቢ ማህበረሰብ ለ. የውጭ ጎብኚዎች ሐ. ከአጎራባች ብሔሮች የመጡ ተዋጊዎች D. የአካባቢ ማህበረሰብ")</f>
        <v>ሀ. የአካባቢ ማህበረሰብ ለ. የውጭ ጎብኚዎች ሐ. ከአጎራባች ብሔሮች የመጡ ተዋጊዎች D. የአካባቢ ማህበረሰብ</v>
      </c>
      <c r="J31" s="5" t="str">
        <f>IFERROR(__xludf.DUMMYFUNCTION(" GOOGLETRANSLATE(D31, ""en"", ""am"")"),"የአካባቢ ማህበረሰብ")</f>
        <v>የአካባቢ ማህበረሰብ</v>
      </c>
      <c r="K31" s="5" t="str">
        <f>IFERROR(__xludf.DUMMYFUNCTION(" GOOGLETRANSLATE(E31, ""en"", ""am"")"),"የአባ ገዳ የትግል ዝግጅቶች በተለምዶ የአካባቢው ማህበረሰብ ይሳተፋል።")</f>
        <v>የአባ ገዳ የትግል ዝግጅቶች በተለምዶ የአካባቢው ማህበረሰብ ይሳተፋል።</v>
      </c>
    </row>
    <row r="32" ht="22.5" customHeight="1">
      <c r="A32" s="3">
        <v>31.0</v>
      </c>
      <c r="B32" s="4" t="s">
        <v>1513</v>
      </c>
      <c r="C32" s="4" t="s">
        <v>1514</v>
      </c>
      <c r="D32" s="4" t="s">
        <v>1515</v>
      </c>
      <c r="E32" s="4" t="s">
        <v>1516</v>
      </c>
      <c r="G32" s="5" t="str">
        <f>IFERROR(__xludf.DUMMYFUNCTION(" GOOGLETRANSLATE(A32, ""en"", ""am"")"),"31")</f>
        <v>31</v>
      </c>
      <c r="H32" s="5" t="str">
        <f>IFERROR(__xludf.DUMMYFUNCTION(" GOOGLETRANSLATE(B32, ""en"", ""am"")"),"የአባ ገዳ ትግል መነሻ ዓላማዎች ምን ምን ነበሩ?")</f>
        <v>የአባ ገዳ ትግል መነሻ ዓላማዎች ምን ምን ነበሩ?</v>
      </c>
      <c r="I32" s="5" t="str">
        <f>IFERROR(__xludf.DUMMYFUNCTION(" GOOGLETRANSLATE(C32, ""en"", ""am"")"),"ሀ. የግብርና በዓላት ለ. ሃይማኖታዊ ሥርዓቶች ሐ. የመኸር ወቅትን ማክበር መ. ወታደራዊ ሥልጠና")</f>
        <v>ሀ. የግብርና በዓላት ለ. ሃይማኖታዊ ሥርዓቶች ሐ. የመኸር ወቅትን ማክበር መ. ወታደራዊ ሥልጠና</v>
      </c>
      <c r="J32" s="5" t="str">
        <f>IFERROR(__xludf.DUMMYFUNCTION(" GOOGLETRANSLATE(D32, ""en"", ""am"")"),"ወታደራዊ ስልጠና")</f>
        <v>ወታደራዊ ስልጠና</v>
      </c>
      <c r="K32" s="5" t="str">
        <f>IFERROR(__xludf.DUMMYFUNCTION(" GOOGLETRANSLATE(E32, ""en"", ""am"")"),"አባ ገዳ ሬስሊንግ በመጀመሪያ ለወጣቶች ወታደራዊ ማሰልጠኛ ሆኖ አገልግሏል።")</f>
        <v>አባ ገዳ ሬስሊንግ በመጀመሪያ ለወጣቶች ወታደራዊ ማሰልጠኛ ሆኖ አገልግሏል።</v>
      </c>
    </row>
    <row r="33" ht="22.5" customHeight="1">
      <c r="A33" s="3">
        <v>32.0</v>
      </c>
      <c r="B33" s="4" t="s">
        <v>1517</v>
      </c>
      <c r="C33" s="4" t="s">
        <v>1518</v>
      </c>
      <c r="D33" s="4" t="s">
        <v>1519</v>
      </c>
      <c r="E33" s="4" t="s">
        <v>1520</v>
      </c>
      <c r="G33" s="5" t="str">
        <f>IFERROR(__xludf.DUMMYFUNCTION(" GOOGLETRANSLATE(A33, ""en"", ""am"")"),"32")</f>
        <v>32</v>
      </c>
      <c r="H33" s="5" t="str">
        <f>IFERROR(__xludf.DUMMYFUNCTION(" GOOGLETRANSLATE(B33, ""en"", ""am"")"),"የነፃነት ትግል ህግ ላይ ተጽእኖ ያሳደረው የትኛው አለም አቀፍ አዝማሚያ ነው?")</f>
        <v>የነፃነት ትግል ህግ ላይ ተጽእኖ ያሳደረው የትኛው አለም አቀፍ አዝማሚያ ነው?</v>
      </c>
      <c r="I33" s="5" t="str">
        <f>IFERROR(__xludf.DUMMYFUNCTION(" GOOGLETRANSLATE(C33, ""en"", ""am"")"),"ሀ. ሳሞራ ፍልሚያ B. Sambo C. ባህላዊ የቱርክ ሬስሊንግ D. Greco-Roman")</f>
        <v>ሀ. ሳሞራ ፍልሚያ B. Sambo C. ባህላዊ የቱርክ ሬስሊንግ D. Greco-Roman</v>
      </c>
      <c r="J33" s="5" t="str">
        <f>IFERROR(__xludf.DUMMYFUNCTION(" GOOGLETRANSLATE(D33, ""en"", ""am"")"),"ግሪኮ-ሮማን")</f>
        <v>ግሪኮ-ሮማን</v>
      </c>
      <c r="K33" s="5" t="str">
        <f>IFERROR(__xludf.DUMMYFUNCTION(" GOOGLETRANSLATE(E33, ""en"", ""am"")"),"የግሪኮ-ሮማን ትግል በጊዜ ሂደት በአባ ገዳ የትግል ህግ ላይ ተጽእኖ አሳድሯል።")</f>
        <v>የግሪኮ-ሮማን ትግል በጊዜ ሂደት በአባ ገዳ የትግል ህግ ላይ ተጽእኖ አሳድሯል።</v>
      </c>
    </row>
    <row r="34" ht="22.5" customHeight="1">
      <c r="A34" s="3">
        <v>33.0</v>
      </c>
      <c r="B34" s="4" t="s">
        <v>1521</v>
      </c>
      <c r="C34" s="4" t="s">
        <v>1522</v>
      </c>
      <c r="D34" s="4" t="s">
        <v>1523</v>
      </c>
      <c r="E34" s="4" t="s">
        <v>1524</v>
      </c>
      <c r="G34" s="5" t="str">
        <f>IFERROR(__xludf.DUMMYFUNCTION(" GOOGLETRANSLATE(A34, ""en"", ""am"")"),"33")</f>
        <v>33</v>
      </c>
      <c r="H34" s="5" t="str">
        <f>IFERROR(__xludf.DUMMYFUNCTION(" GOOGLETRANSLATE(B34, ""en"", ""am"")"),"የአባ ገዳ ትግል በኢትዮጵያ ማህበረሰብ ውስጥ በጉልህ ዘመናቸው ምን ሚና ተጫውተዋል?")</f>
        <v>የአባ ገዳ ትግል በኢትዮጵያ ማህበረሰብ ውስጥ በጉልህ ዘመናቸው ምን ሚና ተጫውተዋል?</v>
      </c>
      <c r="I34" s="5" t="str">
        <f>IFERROR(__xludf.DUMMYFUNCTION(" GOOGLETRANSLATE(C34, ""en"", ""am"")"),"ሀ. ለንጉሣውያን የመዝናኛ ዓይነት ነበር። ለ. ሃይማኖታዊ ሥርዓት ነበር። ሐ. የጦረኛ ባህል ማሳያ ነበር። መ/ አመራርን መወሰን የተለመደ ተግባር ነበር።")</f>
        <v>ሀ. ለንጉሣውያን የመዝናኛ ዓይነት ነበር። ለ. ሃይማኖታዊ ሥርዓት ነበር። ሐ. የጦረኛ ባህል ማሳያ ነበር። መ/ አመራርን መወሰን የተለመደ ተግባር ነበር።</v>
      </c>
      <c r="J34" s="5" t="str">
        <f>IFERROR(__xludf.DUMMYFUNCTION(" GOOGLETRANSLATE(D34, ""en"", ""am"")"),"አመራርን መወሰን ልማዳዊ አሰራር ነበር።")</f>
        <v>አመራርን መወሰን ልማዳዊ አሰራር ነበር።</v>
      </c>
      <c r="K34" s="5" t="str">
        <f>IFERROR(__xludf.DUMMYFUNCTION(" GOOGLETRANSLATE(E34, ""en"", ""am"")"),"በአንዳንድ የኢትዮጵያ ማህበረሰቦች ውስጥ የአመራር ቦታዎችን በመወሰን ረገድ ለውዱእ የተደረገው ትግል የራሱን ሚና ተጫውቷል።")</f>
        <v>በአንዳንድ የኢትዮጵያ ማህበረሰቦች ውስጥ የአመራር ቦታዎችን በመወሰን ረገድ ለውዱእ የተደረገው ትግል የራሱን ሚና ተጫውቷል።</v>
      </c>
    </row>
    <row r="35" ht="22.5" customHeight="1">
      <c r="A35" s="3">
        <v>34.0</v>
      </c>
      <c r="B35" s="4" t="s">
        <v>1525</v>
      </c>
      <c r="C35" s="4" t="s">
        <v>1526</v>
      </c>
      <c r="D35" s="4" t="s">
        <v>1527</v>
      </c>
      <c r="E35" s="4" t="s">
        <v>1528</v>
      </c>
      <c r="G35" s="5" t="str">
        <f>IFERROR(__xludf.DUMMYFUNCTION(" GOOGLETRANSLATE(A35, ""en"", ""am"")"),"34")</f>
        <v>34</v>
      </c>
      <c r="H35" s="5" t="str">
        <f>IFERROR(__xludf.DUMMYFUNCTION(" GOOGLETRANSLATE(B35, ""en"", ""am"")"),"በአባ ገዳ ትግል ላይ ተጽዕኖ ያሳደረው የኢትዮጵያ ገዳ ስርዓት በየትኛው ክፍለ ዘመን ተቀየረ?")</f>
        <v>በአባ ገዳ ትግል ላይ ተጽዕኖ ያሳደረው የኢትዮጵያ ገዳ ስርዓት በየትኛው ክፍለ ዘመን ተቀየረ?</v>
      </c>
      <c r="I35" s="5" t="str">
        <f>IFERROR(__xludf.DUMMYFUNCTION(" GOOGLETRANSLATE(C35, ""en"", ""am"")"),"ኣብ መበል 17 ክፍለ ዘመን ብ18 ክፍለ ዘመን ዓ.ም.")</f>
        <v>ኣብ መበል 17 ክፍለ ዘመን ብ18 ክፍለ ዘመን ዓ.ም.</v>
      </c>
      <c r="J35" s="5" t="str">
        <f>IFERROR(__xludf.DUMMYFUNCTION(" GOOGLETRANSLATE(D35, ""en"", ""am"")"),"16ኛው ክፍለ ዘመን")</f>
        <v>16ኛው ክፍለ ዘመን</v>
      </c>
      <c r="K35" s="5" t="str">
        <f>IFERROR(__xludf.DUMMYFUNCTION(" GOOGLETRANSLATE(E35, ""en"", ""am"")"),"በአባ ገዳ ትግል ላይ ተጽዕኖ ያሳደረው የኢትዮጵያ ገዳ ሥርዓት የተፈጠረው በ16ኛው ክፍለ ዘመን ነው።")</f>
        <v>በአባ ገዳ ትግል ላይ ተጽዕኖ ያሳደረው የኢትዮጵያ ገዳ ሥርዓት የተፈጠረው በ16ኛው ክፍለ ዘመን ነው።</v>
      </c>
    </row>
    <row r="36" ht="22.5" customHeight="1">
      <c r="A36" s="3">
        <v>35.0</v>
      </c>
      <c r="B36" s="4" t="s">
        <v>1529</v>
      </c>
      <c r="C36" s="4" t="s">
        <v>1530</v>
      </c>
      <c r="D36" s="4" t="s">
        <v>1531</v>
      </c>
      <c r="E36" s="4" t="s">
        <v>1532</v>
      </c>
      <c r="G36" s="5" t="str">
        <f>IFERROR(__xludf.DUMMYFUNCTION(" GOOGLETRANSLATE(A36, ""en"", ""am"")"),"35")</f>
        <v>35</v>
      </c>
      <c r="H36" s="5" t="str">
        <f>IFERROR(__xludf.DUMMYFUNCTION(" GOOGLETRANSLATE(B36, ""en"", ""am"")"),"የገዳ ስርዓት በአባ ገዳ ትግል ላይ ምን ተጽእኖ አሳደረ?")</f>
        <v>የገዳ ስርዓት በአባ ገዳ ትግል ላይ ምን ተጽእኖ አሳደረ?</v>
      </c>
      <c r="I36" s="5" t="str">
        <f>IFERROR(__xludf.DUMMYFUNCTION(" GOOGLETRANSLATE(C36, ""en"", ""am"")"),"ሀ. ለትግል ግጥሚያዎች ደረጃውን የጠበቀ መዋቅር አስተዋውቋል B. የሽልማት ትግል አስተዋወቀ። ሐ. የትግል ስልቶቹን ደረጃውን አወጣ። መ/ የተዋጊ ተዋረድ አቋቋመ።")</f>
        <v>ሀ. ለትግል ግጥሚያዎች ደረጃውን የጠበቀ መዋቅር አስተዋውቋል B. የሽልማት ትግል አስተዋወቀ። ሐ. የትግል ስልቶቹን ደረጃውን አወጣ። መ/ የተዋጊ ተዋረድ አቋቋመ።</v>
      </c>
      <c r="J36" s="5" t="str">
        <f>IFERROR(__xludf.DUMMYFUNCTION(" GOOGLETRANSLATE(D36, ""en"", ""am"")"),"ተዋጊ ተዋረድ አቋቋመ።")</f>
        <v>ተዋጊ ተዋረድ አቋቋመ።</v>
      </c>
      <c r="K36" s="5" t="str">
        <f>IFERROR(__xludf.DUMMYFUNCTION(" GOOGLETRANSLATE(E36, ""en"", ""am"")"),"የጋዳ ስርዓት በታጋዮች መካከል ተዋረዳዊ ድርጅት እና አመራር አቋቋመ።")</f>
        <v>የጋዳ ስርዓት በታጋዮች መካከል ተዋረዳዊ ድርጅት እና አመራር አቋቋመ።</v>
      </c>
    </row>
    <row r="37" ht="22.5" customHeight="1">
      <c r="A37" s="3">
        <v>36.0</v>
      </c>
      <c r="B37" s="4" t="s">
        <v>1533</v>
      </c>
      <c r="C37" s="4" t="s">
        <v>1534</v>
      </c>
      <c r="D37" s="4" t="s">
        <v>1535</v>
      </c>
      <c r="E37" s="4" t="s">
        <v>1536</v>
      </c>
      <c r="G37" s="5" t="str">
        <f>IFERROR(__xludf.DUMMYFUNCTION(" GOOGLETRANSLATE(A37, ""en"", ""am"")"),"36")</f>
        <v>36</v>
      </c>
      <c r="H37" s="5" t="str">
        <f>IFERROR(__xludf.DUMMYFUNCTION(" GOOGLETRANSLATE(B37, ""en"", ""am"")"),"የአባ ገዳን ትግል በኢትዮጵያ የሕዝብ ትምህርት ቤቶች ለማስተዋወቅ ዋናው ምክንያት ምን ነበር?")</f>
        <v>የአባ ገዳን ትግል በኢትዮጵያ የሕዝብ ትምህርት ቤቶች ለማስተዋወቅ ዋናው ምክንያት ምን ነበር?</v>
      </c>
      <c r="I37" s="5" t="str">
        <f>IFERROR(__xludf.DUMMYFUNCTION(" GOOGLETRANSLATE(C37, ""en"", ""am"")"),"ሀ.ባህላዊ ቅርሶችን መጠበቅ ለ.ሀገራዊ አንድነትን ማሳደግ ሐ.ወደፊት ተዋጊዎችን ማሰልጠን መ.ባህላዊ ቅርሶችን መጠበቅ")</f>
        <v>ሀ.ባህላዊ ቅርሶችን መጠበቅ ለ.ሀገራዊ አንድነትን ማሳደግ ሐ.ወደፊት ተዋጊዎችን ማሰልጠን መ.ባህላዊ ቅርሶችን መጠበቅ</v>
      </c>
      <c r="J37" s="5" t="str">
        <f>IFERROR(__xludf.DUMMYFUNCTION(" GOOGLETRANSLATE(D37, ""en"", ""am"")"),"ባህላዊ ቅርሶችን ጠብቅ")</f>
        <v>ባህላዊ ቅርሶችን ጠብቅ</v>
      </c>
      <c r="K37" s="5" t="str">
        <f>IFERROR(__xludf.DUMMYFUNCTION(" GOOGLETRANSLATE(E37, ""en"", ""am"")"),"የአባ ገዳ ትግል ከትምህርት ቤቶች ጋር የተዋወቀው የኢትዮጵያን ባህላዊ ቅርሶች ለመጠበቅ ነው።")</f>
        <v>የአባ ገዳ ትግል ከትምህርት ቤቶች ጋር የተዋወቀው የኢትዮጵያን ባህላዊ ቅርሶች ለመጠበቅ ነው።</v>
      </c>
    </row>
    <row r="38" ht="22.5" customHeight="1">
      <c r="A38" s="3">
        <v>37.0</v>
      </c>
      <c r="B38" s="4" t="s">
        <v>1537</v>
      </c>
      <c r="C38" s="4" t="s">
        <v>1538</v>
      </c>
      <c r="D38" s="4" t="s">
        <v>1539</v>
      </c>
      <c r="E38" s="4" t="s">
        <v>1540</v>
      </c>
      <c r="G38" s="5" t="str">
        <f>IFERROR(__xludf.DUMMYFUNCTION(" GOOGLETRANSLATE(A38, ""en"", ""am"")"),"37")</f>
        <v>37</v>
      </c>
      <c r="H38" s="5" t="str">
        <f>IFERROR(__xludf.DUMMYFUNCTION(" GOOGLETRANSLATE(B38, ""en"", ""am"")"),"የአባ ገዳ ትግል ቁልፍ ገጽታ ምንድን ነው?")</f>
        <v>የአባ ገዳ ትግል ቁልፍ ገጽታ ምንድን ነው?</v>
      </c>
      <c r="I38" s="5" t="str">
        <f>IFERROR(__xludf.DUMMYFUNCTION(" GOOGLETRANSLATE(C38, ""en"", ""am"")"),"ሀ. በግጭት ቴክኒኮች ላይ አተኩር ለ. ኬብሎችን መጠቀም ሐ. የመከላከያ ማርሽ መጠቀም መ. በግጭት ቴክኒኮች ላይ አተኩር")</f>
        <v>ሀ. በግጭት ቴክኒኮች ላይ አተኩር ለ. ኬብሎችን መጠቀም ሐ. የመከላከያ ማርሽ መጠቀም መ. በግጭት ቴክኒኮች ላይ አተኩር</v>
      </c>
      <c r="J38" s="5" t="str">
        <f>IFERROR(__xludf.DUMMYFUNCTION(" GOOGLETRANSLATE(D38, ""en"", ""am"")"),"በግጭት ዘዴዎች ላይ ያተኩሩ")</f>
        <v>በግጭት ዘዴዎች ላይ ያተኩሩ</v>
      </c>
      <c r="K38" s="5" t="str">
        <f>IFERROR(__xludf.DUMMYFUNCTION(" GOOGLETRANSLATE(E38, ""en"", ""am"")"),"የአባ ገዳ ትግል የትግል ቴክኒኮች ላይ ከፍተኛ ትኩረት በመስጠት ይታወቃል።")</f>
        <v>የአባ ገዳ ትግል የትግል ቴክኒኮች ላይ ከፍተኛ ትኩረት በመስጠት ይታወቃል።</v>
      </c>
    </row>
    <row r="39" ht="22.5" customHeight="1">
      <c r="A39" s="3">
        <v>38.0</v>
      </c>
      <c r="B39" s="4" t="s">
        <v>1541</v>
      </c>
      <c r="C39" s="4" t="s">
        <v>1542</v>
      </c>
      <c r="D39" s="4" t="s">
        <v>1543</v>
      </c>
      <c r="E39" s="4" t="s">
        <v>1544</v>
      </c>
      <c r="G39" s="5" t="str">
        <f>IFERROR(__xludf.DUMMYFUNCTION(" GOOGLETRANSLATE(A39, ""en"", ""am"")"),"38")</f>
        <v>38</v>
      </c>
      <c r="H39" s="5" t="str">
        <f>IFERROR(__xludf.DUMMYFUNCTION(" GOOGLETRANSLATE(B39, ""en"", ""am"")"),"የአባ ገዳ ትግል ቀደምት አሰልጣኞች እነማን ነበሩ?")</f>
        <v>የአባ ገዳ ትግል ቀደምት አሰልጣኞች እነማን ነበሩ?</v>
      </c>
      <c r="I39" s="5" t="str">
        <f>IFERROR(__xludf.DUMMYFUNCTION(" GOOGLETRANSLATE(C39, ""en"", ""am"")"),"ሀ. ሮያል አሰልጣኞች ለ. የውጭ የውጊያ ስፔሻሊስቶች ሐ. ፕሮፌሽናል አሰልጣኞች መ. ከአካባቢው ማህበረሰቦች የተውጣጡ ተዋጊዎች")</f>
        <v>ሀ. ሮያል አሰልጣኞች ለ. የውጭ የውጊያ ስፔሻሊስቶች ሐ. ፕሮፌሽናል አሰልጣኞች መ. ከአካባቢው ማህበረሰቦች የተውጣጡ ተዋጊዎች</v>
      </c>
      <c r="J39" s="5" t="str">
        <f>IFERROR(__xludf.DUMMYFUNCTION(" GOOGLETRANSLATE(D39, ""en"", ""am"")"),"ከአካባቢው ማህበረሰቦች የተውጣጡ ልምድ ያላቸው ተዋጊዎች")</f>
        <v>ከአካባቢው ማህበረሰቦች የተውጣጡ ልምድ ያላቸው ተዋጊዎች</v>
      </c>
      <c r="K39" s="5" t="str">
        <f>IFERROR(__xludf.DUMMYFUNCTION(" GOOGLETRANSLATE(E39, ""en"", ""am"")"),"የአባ ገዳ ትግል ቀደምት አሰልጣኞች ከአካባቢው የኢትዮጵያ ማህበረሰቦች የተውጣጡ ልምድ ያላቸው ታጋዮች ነበሩ።")</f>
        <v>የአባ ገዳ ትግል ቀደምት አሰልጣኞች ከአካባቢው የኢትዮጵያ ማህበረሰቦች የተውጣጡ ልምድ ያላቸው ታጋዮች ነበሩ።</v>
      </c>
    </row>
    <row r="40" ht="22.5" customHeight="1">
      <c r="A40" s="3">
        <v>39.0</v>
      </c>
      <c r="B40" s="4" t="s">
        <v>1545</v>
      </c>
      <c r="C40" s="4" t="s">
        <v>1546</v>
      </c>
      <c r="D40" s="4" t="s">
        <v>1547</v>
      </c>
      <c r="E40" s="4" t="s">
        <v>1548</v>
      </c>
      <c r="G40" s="5" t="str">
        <f>IFERROR(__xludf.DUMMYFUNCTION(" GOOGLETRANSLATE(A40, ""en"", ""am"")"),"39")</f>
        <v>39</v>
      </c>
      <c r="H40" s="5" t="str">
        <f>IFERROR(__xludf.DUMMYFUNCTION(" GOOGLETRANSLATE(B40, ""en"", ""am"")"),"የአባ ገዳ የትግል ውድድር ባህላዊ ገጽታው ምን ይመስላል?")</f>
        <v>የአባ ገዳ የትግል ውድድር ባህላዊ ገጽታው ምን ይመስላል?</v>
      </c>
      <c r="I40" s="5" t="str">
        <f>IFERROR(__xludf.DUMMYFUNCTION(" GOOGLETRANSLATE(C40, ""en"", ""am"")"),"ሀ. ሬስለርስ ከግጥሚያ በፊት ይጨፍራሉ B. ተዋጊዎች አዛውንቱን መቃወም አለባቸው C. ግጥሚያዎች በሕዝብ አደባባዮች ይካሄዳሉ። መ. ተዋጊዎች አንዱ እስኪሰካ ድረስ ይዋጋሉ።")</f>
        <v>ሀ. ሬስለርስ ከግጥሚያ በፊት ይጨፍራሉ B. ተዋጊዎች አዛውንቱን መቃወም አለባቸው C. ግጥሚያዎች በሕዝብ አደባባዮች ይካሄዳሉ። መ. ተዋጊዎች አንዱ እስኪሰካ ድረስ ይዋጋሉ።</v>
      </c>
      <c r="J40" s="5" t="str">
        <f>IFERROR(__xludf.DUMMYFUNCTION(" GOOGLETRANSLATE(D40, ""en"", ""am"")"),"ተዋጊዎች አንዱ እስኪሰካ ድረስ ይዋጋሉ።")</f>
        <v>ተዋጊዎች አንዱ እስኪሰካ ድረስ ይዋጋሉ።</v>
      </c>
      <c r="K40" s="5" t="str">
        <f>IFERROR(__xludf.DUMMYFUNCTION(" GOOGLETRANSLATE(E40, ""en"", ""am"")"),"በአባ ገዳ ሬስሊንግ ውድድሩ አንድ ታጋይ እስኪሰካ ድረስ ይቀጥላል።")</f>
        <v>በአባ ገዳ ሬስሊንግ ውድድሩ አንድ ታጋይ እስኪሰካ ድረስ ይቀጥላል።</v>
      </c>
    </row>
    <row r="41" ht="22.5" customHeight="1">
      <c r="A41" s="3">
        <v>40.0</v>
      </c>
      <c r="B41" s="4" t="s">
        <v>1549</v>
      </c>
      <c r="C41" s="4" t="s">
        <v>1550</v>
      </c>
      <c r="D41" s="4" t="s">
        <v>1551</v>
      </c>
      <c r="E41" s="4" t="s">
        <v>1552</v>
      </c>
      <c r="G41" s="5" t="str">
        <f>IFERROR(__xludf.DUMMYFUNCTION(" GOOGLETRANSLATE(A41, ""en"", ""am"")"),"40")</f>
        <v>40</v>
      </c>
      <c r="H41" s="5" t="str">
        <f>IFERROR(__xludf.DUMMYFUNCTION(" GOOGLETRANSLATE(B41, ""en"", ""am"")"),"ለአባ ገዳ በትግሉ ትልቁን ዓለም አቀፍ እውቅና ያመጣው የትኛው ክስተት ነው?")</f>
        <v>ለአባ ገዳ በትግሉ ትልቁን ዓለም አቀፍ እውቅና ያመጣው የትኛው ክስተት ነው?</v>
      </c>
      <c r="I41" s="5" t="str">
        <f>IFERROR(__xludf.DUMMYFUNCTION(" GOOGLETRANSLATE(C41, ""en"", ""am"")"),"ሀ. የአለም ሬስሊንግ ሻምፒዮና አሸናፊ ለ. በኦሎምፒክ ጨዋታዎች ማካተት ሐ. የአለም ትግል ሻምፒዮና አስተናጋጅ ዲ. በፓን አፍሪካ ሬስሊንግ ሻምፒዮና ተሳትፎ")</f>
        <v>ሀ. የአለም ሬስሊንግ ሻምፒዮና አሸናፊ ለ. በኦሎምፒክ ጨዋታዎች ማካተት ሐ. የአለም ትግል ሻምፒዮና አስተናጋጅ ዲ. በፓን አፍሪካ ሬስሊንግ ሻምፒዮና ተሳትፎ</v>
      </c>
      <c r="J41" s="5" t="str">
        <f>IFERROR(__xludf.DUMMYFUNCTION(" GOOGLETRANSLATE(D41, ""en"", ""am"")"),"በፓን አፍሪካ ሬስሊንግ ሻምፒዮና ውስጥ ተሳትፎ")</f>
        <v>በፓን አፍሪካ ሬስሊንግ ሻምፒዮና ውስጥ ተሳትፎ</v>
      </c>
      <c r="K41" s="5" t="str">
        <f>IFERROR(__xludf.DUMMYFUNCTION(" GOOGLETRANSLATE(E41, ""en"", ""am"")"),"አባ ገዳ ሬስሊንግ በፓን አፍሪካ ሬስሊንግ ሻምፒዮና በመሳተፉ አለም አቀፍ እውቅናን አግኝቷል።")</f>
        <v>አባ ገዳ ሬስሊንግ በፓን አፍሪካ ሬስሊንግ ሻምፒዮና በመሳተፉ አለም አቀፍ እውቅናን አግኝቷል።</v>
      </c>
    </row>
    <row r="42" ht="22.5" customHeight="1">
      <c r="A42" s="3">
        <v>41.0</v>
      </c>
      <c r="B42" s="4" t="s">
        <v>1553</v>
      </c>
      <c r="C42" s="4" t="s">
        <v>1554</v>
      </c>
      <c r="D42" s="4" t="s">
        <v>63</v>
      </c>
      <c r="E42" s="4" t="s">
        <v>1555</v>
      </c>
      <c r="G42" s="5" t="str">
        <f>IFERROR(__xludf.DUMMYFUNCTION(" GOOGLETRANSLATE(A42, ""en"", ""am"")"),"41")</f>
        <v>41</v>
      </c>
      <c r="H42" s="5" t="str">
        <f>IFERROR(__xludf.DUMMYFUNCTION(" GOOGLETRANSLATE(B42, ""en"", ""am"")"),"የአባ ገዳ ትግል የኢትዮጵያን ባህላዊ እሴቶች ያንጸባረቀው በምን መልኩ ነበር?")</f>
        <v>የአባ ገዳ ትግል የኢትዮጵያን ባህላዊ እሴቶች ያንጸባረቀው በምን መልኩ ነበር?</v>
      </c>
      <c r="I42" s="5" t="str">
        <f>IFERROR(__xludf.DUMMYFUNCTION(" GOOGLETRANSLATE(C42, ""en"", ""am"")"),"ሀ. ክብር እና ድፍረት ለ. የማህበረሰብ ክብር ሐ. ሁሉም ከላይ ያሉት መ. ሁሉም ከላይ ያሉት")</f>
        <v>ሀ. ክብር እና ድፍረት ለ. የማህበረሰብ ክብር ሐ. ሁሉም ከላይ ያሉት መ. ሁሉም ከላይ ያሉት</v>
      </c>
      <c r="J42" s="5" t="str">
        <f>IFERROR(__xludf.DUMMYFUNCTION(" GOOGLETRANSLATE(D42, ""en"", ""am"")"),"ከላይ ያሉት ሁሉም")</f>
        <v>ከላይ ያሉት ሁሉም</v>
      </c>
      <c r="K42" s="5" t="str">
        <f>IFERROR(__xludf.DUMMYFUNCTION(" GOOGLETRANSLATE(E42, ""en"", ""am"")"),"የአባ ገዳ ትግል እንደ ጥንካሬ፣ ክብር እና የማህበረሰብ መከባበር ያሉትን ባህላዊ ኢትዮጵያዊ እሴቶች ያንፀባርቃል።")</f>
        <v>የአባ ገዳ ትግል እንደ ጥንካሬ፣ ክብር እና የማህበረሰብ መከባበር ያሉትን ባህላዊ ኢትዮጵያዊ እሴቶች ያንፀባርቃል።</v>
      </c>
    </row>
    <row r="43" ht="22.5" customHeight="1">
      <c r="A43" s="3">
        <v>42.0</v>
      </c>
      <c r="B43" s="4" t="s">
        <v>1556</v>
      </c>
      <c r="C43" s="4" t="s">
        <v>1557</v>
      </c>
      <c r="D43" s="4" t="s">
        <v>1558</v>
      </c>
      <c r="E43" s="4" t="s">
        <v>1559</v>
      </c>
      <c r="G43" s="5" t="str">
        <f>IFERROR(__xludf.DUMMYFUNCTION(" GOOGLETRANSLATE(A43, ""en"", ""am"")"),"42")</f>
        <v>42</v>
      </c>
      <c r="H43" s="5" t="str">
        <f>IFERROR(__xludf.DUMMYFUNCTION(" GOOGLETRANSLATE(B43, ""en"", ""am"")"),"የአባ ገዳ ትግል ከመመስረቱ በፊት ምን አይነት ትግል ሲደረግ ነበር?")</f>
        <v>የአባ ገዳ ትግል ከመመስረቱ በፊት ምን አይነት ትግል ሲደረግ ነበር?</v>
      </c>
      <c r="I43" s="5" t="str">
        <f>IFERROR(__xludf.DUMMYFUNCTION(" GOOGLETRANSLATE(C43, ""en"", ""am"")"),"A. Sumo B. Greco-Roman C. የኢትዮጵያ ባህላዊ ትግል መ. የኢትዮጵያ ባህላዊ ትግል")</f>
        <v>A. Sumo B. Greco-Roman C. የኢትዮጵያ ባህላዊ ትግል መ. የኢትዮጵያ ባህላዊ ትግል</v>
      </c>
      <c r="J43" s="5" t="str">
        <f>IFERROR(__xludf.DUMMYFUNCTION(" GOOGLETRANSLATE(D43, ""en"", ""am"")"),"የኢትዮጵያ ባህላዊ ትግል")</f>
        <v>የኢትዮጵያ ባህላዊ ትግል</v>
      </c>
      <c r="K43" s="5" t="str">
        <f>IFERROR(__xludf.DUMMYFUNCTION(" GOOGLETRANSLATE(E43, ""en"", ""am"")"),"ከአባ ገዳ ትግል በፊት የኢትዮጵያ ባህላዊ የትግል ዘዴዎች ጥቅም ላይ ይውሉ ነበር።")</f>
        <v>ከአባ ገዳ ትግል በፊት የኢትዮጵያ ባህላዊ የትግል ዘዴዎች ጥቅም ላይ ይውሉ ነበር።</v>
      </c>
    </row>
    <row r="44" ht="22.5" customHeight="1">
      <c r="A44" s="3">
        <v>43.0</v>
      </c>
      <c r="B44" s="4" t="s">
        <v>1560</v>
      </c>
      <c r="C44" s="4" t="s">
        <v>1561</v>
      </c>
      <c r="D44" s="4" t="s">
        <v>1562</v>
      </c>
      <c r="E44" s="4" t="s">
        <v>1563</v>
      </c>
      <c r="G44" s="5" t="str">
        <f>IFERROR(__xludf.DUMMYFUNCTION(" GOOGLETRANSLATE(A44, ""en"", ""am"")"),"43")</f>
        <v>43</v>
      </c>
      <c r="H44" s="5" t="str">
        <f>IFERROR(__xludf.DUMMYFUNCTION(" GOOGLETRANSLATE(B44, ""en"", ""am"")"),"በ1980ዎቹ የአባ ገዳ ትግል ምን አስደናቂ ስኬት አስመዘገበ?")</f>
        <v>በ1980ዎቹ የአባ ገዳ ትግል ምን አስደናቂ ስኬት አስመዘገበ?</v>
      </c>
      <c r="I44" s="5" t="str">
        <f>IFERROR(__xludf.DUMMYFUNCTION(" GOOGLETRANSLATE(C44, ""en"", ""am"")"),"ሀ/ አለም አቀፍ ውድድሮች ተካሂደዋል። ለ. የኦሎምፒክ ጨዋታዎች መግቢያ ሐ. ወደ ጎረቤት አገሮች መስፋፋት መ. የብሔራዊ ቡድን ምስረታ")</f>
        <v>ሀ/ አለም አቀፍ ውድድሮች ተካሂደዋል። ለ. የኦሎምፒክ ጨዋታዎች መግቢያ ሐ. ወደ ጎረቤት አገሮች መስፋፋት መ. የብሔራዊ ቡድን ምስረታ</v>
      </c>
      <c r="J44" s="5" t="str">
        <f>IFERROR(__xludf.DUMMYFUNCTION(" GOOGLETRANSLATE(D44, ""en"", ""am"")"),"የብሔራዊ ቡድን ምስረታ")</f>
        <v>የብሔራዊ ቡድን ምስረታ</v>
      </c>
      <c r="K44" s="5" t="str">
        <f>IFERROR(__xludf.DUMMYFUNCTION(" GOOGLETRANSLATE(E44, ""en"", ""am"")"),"አባ ገዳ ሬስሊንግ ብሔራዊ ቡድኑን በ1980ዎቹ ማቋቋም ችሏል።")</f>
        <v>አባ ገዳ ሬስሊንግ ብሔራዊ ቡድኑን በ1980ዎቹ ማቋቋም ችሏል።</v>
      </c>
    </row>
    <row r="45" ht="22.5" customHeight="1">
      <c r="A45" s="3">
        <v>44.0</v>
      </c>
      <c r="B45" s="4" t="s">
        <v>1564</v>
      </c>
      <c r="C45" s="4" t="s">
        <v>1565</v>
      </c>
      <c r="D45" s="4" t="s">
        <v>51</v>
      </c>
      <c r="E45" s="4" t="s">
        <v>1566</v>
      </c>
      <c r="G45" s="5" t="str">
        <f>IFERROR(__xludf.DUMMYFUNCTION(" GOOGLETRANSLATE(A45, ""en"", ""am"")"),"44")</f>
        <v>44</v>
      </c>
      <c r="H45" s="5" t="str">
        <f>IFERROR(__xludf.DUMMYFUNCTION(" GOOGLETRANSLATE(B45, ""en"", ""am"")"),"እንደ አባ ገዳ ተጋድሎ ባህላዊ ስፖርቶችን የማዘመን ኃላፊነት የነበረው የትኛው ኢትዮጵያዊ ንጉስ ነው?")</f>
        <v>እንደ አባ ገዳ ተጋድሎ ባህላዊ ስፖርቶችን የማዘመን ኃላፊነት የነበረው የትኛው ኢትዮጵያዊ ንጉስ ነው?</v>
      </c>
      <c r="I45" s="5" t="str">
        <f>IFERROR(__xludf.DUMMYFUNCTION(" GOOGLETRANSLATE(C45, ""en"", ""am"")"),"አ.ቴዎድሮስ 2ኛ ለ. ዳግማዊ ምኒልክ ሐ. ላሊበላ ዲ. ኃይለ ሥላሴ")</f>
        <v>አ.ቴዎድሮስ 2ኛ ለ. ዳግማዊ ምኒልክ ሐ. ላሊበላ ዲ. ኃይለ ሥላሴ</v>
      </c>
      <c r="J45" s="5" t="str">
        <f>IFERROR(__xludf.DUMMYFUNCTION(" GOOGLETRANSLATE(D45, ""en"", ""am"")"),"ኃይለ ሥላሴ")</f>
        <v>ኃይለ ሥላሴ</v>
      </c>
      <c r="K45" s="5" t="str">
        <f>IFERROR(__xludf.DUMMYFUNCTION(" GOOGLETRANSLATE(E45, ""en"", ""am"")"),"የአባ ገዳ ትግልን ጨምሮ የኢትዮጵያን ባህላዊ ስፖርቶች በማዘመን ረገድ አፄ ኃይለ ሥላሴ ትልቅ ሚና ተጫውተዋል።")</f>
        <v>የአባ ገዳ ትግልን ጨምሮ የኢትዮጵያን ባህላዊ ስፖርቶች በማዘመን ረገድ አፄ ኃይለ ሥላሴ ትልቅ ሚና ተጫውተዋል።</v>
      </c>
    </row>
    <row r="46" ht="22.5" customHeight="1">
      <c r="A46" s="3">
        <v>45.0</v>
      </c>
      <c r="B46" s="4" t="s">
        <v>1567</v>
      </c>
      <c r="C46" s="4" t="s">
        <v>1568</v>
      </c>
      <c r="D46" s="4" t="s">
        <v>63</v>
      </c>
      <c r="E46" s="4" t="s">
        <v>1569</v>
      </c>
      <c r="G46" s="5" t="str">
        <f>IFERROR(__xludf.DUMMYFUNCTION(" GOOGLETRANSLATE(A46, ""en"", ""am"")"),"45")</f>
        <v>45</v>
      </c>
      <c r="H46" s="5" t="str">
        <f>IFERROR(__xludf.DUMMYFUNCTION(" GOOGLETRANSLATE(B46, ""en"", ""am"")"),"የአባ ገዳ ትግል የትኛውን የኢትዮጵያ ባህል ክፍል አጽንዖት ይሰጣል?")</f>
        <v>የአባ ገዳ ትግል የትኛውን የኢትዮጵያ ባህል ክፍል አጽንዖት ይሰጣል?</v>
      </c>
      <c r="I46" s="5" t="str">
        <f>IFERROR(__xludf.DUMMYFUNCTION(" GOOGLETRANSLATE(C46, ""en"", ""am"")"),"ሀ. አካላዊ ጽናት ለ. ተዋጊ ወጎች ሐ. ሁሉም ከላይ ያሉት መ. ሁሉም ከላይ ያሉት")</f>
        <v>ሀ. አካላዊ ጽናት ለ. ተዋጊ ወጎች ሐ. ሁሉም ከላይ ያሉት መ. ሁሉም ከላይ ያሉት</v>
      </c>
      <c r="J46" s="5" t="str">
        <f>IFERROR(__xludf.DUMMYFUNCTION(" GOOGLETRANSLATE(D46, ""en"", ""am"")"),"ከላይ ያሉት ሁሉም")</f>
        <v>ከላይ ያሉት ሁሉም</v>
      </c>
      <c r="K46" s="5" t="str">
        <f>IFERROR(__xludf.DUMMYFUNCTION(" GOOGLETRANSLATE(E46, ""en"", ""am"")"),"የአባ ገዳ ተጋድሎ የአረጋውያንን ክብር፣ የአካል ጽናትን እና የጦረኛ ወጎችን ያጎላል።")</f>
        <v>የአባ ገዳ ተጋድሎ የአረጋውያንን ክብር፣ የአካል ጽናትን እና የጦረኛ ወጎችን ያጎላል።</v>
      </c>
    </row>
    <row r="47" ht="22.5" customHeight="1">
      <c r="A47" s="3">
        <v>46.0</v>
      </c>
      <c r="B47" s="4" t="s">
        <v>1570</v>
      </c>
      <c r="C47" s="4" t="s">
        <v>1571</v>
      </c>
      <c r="D47" s="4" t="s">
        <v>1572</v>
      </c>
      <c r="E47" s="4" t="s">
        <v>1573</v>
      </c>
      <c r="G47" s="5" t="str">
        <f>IFERROR(__xludf.DUMMYFUNCTION(" GOOGLETRANSLATE(A47, ""en"", ""am"")"),"46")</f>
        <v>46</v>
      </c>
      <c r="H47" s="5" t="str">
        <f>IFERROR(__xludf.DUMMYFUNCTION(" GOOGLETRANSLATE(B47, ""en"", ""am"")"),"የአባ ገዳ ትግል በኢትዮጵያ የባህል ትምህርት ውስጥ ምን ሚና ተጫውቷል?")</f>
        <v>የአባ ገዳ ትግል በኢትዮጵያ የባህል ትምህርት ውስጥ ምን ሚና ተጫውቷል?</v>
      </c>
      <c r="I47" s="5" t="str">
        <f>IFERROR(__xludf.DUMMYFUNCTION(" GOOGLETRANSLATE(C47, ""en"", ""am"")"),"ሀ. የአካል ማጎልመሻ ትምህርት አካል ነበር። ለ. ተረት ነበር። ሐ. የግብርና ክህሎትን የማስተማር ዘዴ ነበር። መ. ተግሣጽን እና አክብሮትን አስተምሯል.")</f>
        <v>ሀ. የአካል ማጎልመሻ ትምህርት አካል ነበር። ለ. ተረት ነበር። ሐ. የግብርና ክህሎትን የማስተማር ዘዴ ነበር። መ. ተግሣጽን እና አክብሮትን አስተምሯል.</v>
      </c>
      <c r="J47" s="5" t="str">
        <f>IFERROR(__xludf.DUMMYFUNCTION(" GOOGLETRANSLATE(D47, ""en"", ""am"")"),"ተግሣጽን እና አክብሮትን አስተምሯል.")</f>
        <v>ተግሣጽን እና አክብሮትን አስተምሯል.</v>
      </c>
      <c r="K47" s="5" t="str">
        <f>IFERROR(__xludf.DUMMYFUNCTION(" GOOGLETRANSLATE(E47, ""en"", ""am"")"),"አባ ገዳ ሬስሊንግ በኢትዮጵያ ማህበረሰብ ውስጥ በወጣቶች መካከል ዲሲፕሊን እና መከባበርን በማስተማር ሚና ተጫውቷል።")</f>
        <v>አባ ገዳ ሬስሊንግ በኢትዮጵያ ማህበረሰብ ውስጥ በወጣቶች መካከል ዲሲፕሊን እና መከባበርን በማስተማር ሚና ተጫውቷል።</v>
      </c>
    </row>
    <row r="48" ht="22.5" customHeight="1">
      <c r="A48" s="3">
        <v>47.0</v>
      </c>
      <c r="B48" s="4" t="s">
        <v>1574</v>
      </c>
      <c r="C48" s="4" t="s">
        <v>1575</v>
      </c>
      <c r="D48" s="4" t="s">
        <v>224</v>
      </c>
      <c r="E48" s="4" t="s">
        <v>1576</v>
      </c>
      <c r="G48" s="5" t="str">
        <f>IFERROR(__xludf.DUMMYFUNCTION(" GOOGLETRANSLATE(A48, ""en"", ""am"")"),"47")</f>
        <v>47</v>
      </c>
      <c r="H48" s="5" t="str">
        <f>IFERROR(__xludf.DUMMYFUNCTION(" GOOGLETRANSLATE(B48, ""en"", ""am"")"),"የአባ ገዳ የትግል ውድድር በብዛት የሚቀርበው የትኛው የኢትዮጵያ ፌስቲቫል ነው?")</f>
        <v>የአባ ገዳ የትግል ውድድር በብዛት የሚቀርበው የትኛው የኢትዮጵያ ፌስቲቫል ነው?</v>
      </c>
      <c r="I48" s="5" t="str">
        <f>IFERROR(__xludf.DUMMYFUNCTION(" GOOGLETRANSLATE(C48, ""en"", ""am"")"),"A. Epiphany B. አዲስ ዓመት ሐ. የአድዋ ድል ቀን D. Epiphany")</f>
        <v>A. Epiphany B. አዲስ ዓመት ሐ. የአድዋ ድል ቀን D. Epiphany</v>
      </c>
      <c r="J48" s="5" t="str">
        <f>IFERROR(__xludf.DUMMYFUNCTION(" GOOGLETRANSLATE(D48, ""en"", ""am"")"),"ጥምቀት")</f>
        <v>ጥምቀት</v>
      </c>
      <c r="K48" s="5" t="str">
        <f>IFERROR(__xludf.DUMMYFUNCTION(" GOOGLETRANSLATE(E48, ""en"", ""am"")"),"የኢትዮጵያውያን የጥምቀት በዓል ብዙ ጊዜ የአባ ገዳን ተጋድሎ የበዓሉ አካል አድርጎ ያሳያል።")</f>
        <v>የኢትዮጵያውያን የጥምቀት በዓል ብዙ ጊዜ የአባ ገዳን ተጋድሎ የበዓሉ አካል አድርጎ ያሳያል።</v>
      </c>
    </row>
    <row r="49" ht="22.5" customHeight="1">
      <c r="A49" s="3">
        <v>48.0</v>
      </c>
      <c r="B49" s="4" t="s">
        <v>1577</v>
      </c>
      <c r="C49" s="4" t="s">
        <v>1578</v>
      </c>
      <c r="D49" s="4" t="s">
        <v>1579</v>
      </c>
      <c r="E49" s="4" t="s">
        <v>1580</v>
      </c>
      <c r="G49" s="5" t="str">
        <f>IFERROR(__xludf.DUMMYFUNCTION(" GOOGLETRANSLATE(A49, ""en"", ""am"")"),"48")</f>
        <v>48</v>
      </c>
      <c r="H49" s="5" t="str">
        <f>IFERROR(__xludf.DUMMYFUNCTION(" GOOGLETRANSLATE(B49, ""en"", ""am"")"),"የአባ ገዳ የትግል ዝግጅቶችን በማዘጋጀት በወጉ ተጠያቂው ማን ነበር?")</f>
        <v>የአባ ገዳ የትግል ዝግጅቶችን በማዘጋጀት በወጉ ተጠያቂው ማን ነበር?</v>
      </c>
      <c r="I49" s="5" t="str">
        <f>IFERROR(__xludf.DUMMYFUNCTION(" GOOGLETRANSLATE(C49, ""en"", ""am"")"),"ሀ. የሃይማኖት መሪዎች ለ. የመንግስት ባለስልጣናት ሲ. ሮያልቲ ዲ. የአካባቢ ሽማግሌዎች")</f>
        <v>ሀ. የሃይማኖት መሪዎች ለ. የመንግስት ባለስልጣናት ሲ. ሮያልቲ ዲ. የአካባቢ ሽማግሌዎች</v>
      </c>
      <c r="J49" s="5" t="str">
        <f>IFERROR(__xludf.DUMMYFUNCTION(" GOOGLETRANSLATE(D49, ""en"", ""am"")"),"የአካባቢው ሽማግሌዎች")</f>
        <v>የአካባቢው ሽማግሌዎች</v>
      </c>
      <c r="K49" s="5" t="str">
        <f>IFERROR(__xludf.DUMMYFUNCTION(" GOOGLETRANSLATE(E49, ""en"", ""am"")"),"በኢትዮጵያ ማህበረሰቦች ውስጥ የአባ ገዳ የትግል ዝግጅቶችን በማዘጋጀት የአካባቢው የሀገር ሽማግሌዎች በባህላዊ መንገድ ሀላፊነት ነበራቸው።")</f>
        <v>በኢትዮጵያ ማህበረሰቦች ውስጥ የአባ ገዳ የትግል ዝግጅቶችን በማዘጋጀት የአካባቢው የሀገር ሽማግሌዎች በባህላዊ መንገድ ሀላፊነት ነበራቸው።</v>
      </c>
    </row>
    <row r="50" ht="22.5" customHeight="1">
      <c r="A50" s="3">
        <v>49.0</v>
      </c>
      <c r="B50" s="4" t="s">
        <v>1581</v>
      </c>
      <c r="C50" s="4" t="s">
        <v>1582</v>
      </c>
      <c r="D50" s="4" t="s">
        <v>1583</v>
      </c>
      <c r="E50" s="4" t="s">
        <v>1584</v>
      </c>
      <c r="G50" s="5" t="str">
        <f>IFERROR(__xludf.DUMMYFUNCTION(" GOOGLETRANSLATE(A50, ""en"", ""am"")"),"49")</f>
        <v>49</v>
      </c>
      <c r="H50" s="5" t="str">
        <f>IFERROR(__xludf.DUMMYFUNCTION(" GOOGLETRANSLATE(B50, ""en"", ""am"")"),"በምሳሌያዊ ሁኔታ ለነፃነት በሚደረገው ትግል ውስጥ ከጥንካሬ ጋር የተያያዘው የትኛው እንስሳ ነው?")</f>
        <v>በምሳሌያዊ ሁኔታ ለነፃነት በሚደረገው ትግል ውስጥ ከጥንካሬ ጋር የተያያዘው የትኛው እንስሳ ነው?</v>
      </c>
      <c r="I50" s="5" t="str">
        <f>IFERROR(__xludf.DUMMYFUNCTION(" GOOGLETRANSLATE(C50, ""en"", ""am"")"),"ሀ.ዝሆን ቢ.ፈረስ ሐ.አቦሸማኔ ዲ.አንበሳ")</f>
        <v>ሀ.ዝሆን ቢ.ፈረስ ሐ.አቦሸማኔ ዲ.አንበሳ</v>
      </c>
      <c r="J50" s="5" t="str">
        <f>IFERROR(__xludf.DUMMYFUNCTION(" GOOGLETRANSLATE(D50, ""en"", ""am"")"),"አንበሳ")</f>
        <v>አንበሳ</v>
      </c>
      <c r="K50" s="5" t="str">
        <f>IFERROR(__xludf.DUMMYFUNCTION(" GOOGLETRANSLATE(E50, ""en"", ""am"")"),"በአባ ገዳ ትግል አንበሳ በምሳሌያዊ ሁኔታ ከጥንካሬና ከጀግንነት ጋር የተያያዘ ነው።")</f>
        <v>በአባ ገዳ ትግል አንበሳ በምሳሌያዊ ሁኔታ ከጥንካሬና ከጀግንነት ጋር የተያያዘ ነው።</v>
      </c>
    </row>
    <row r="51" ht="22.5" customHeight="1">
      <c r="A51" s="3">
        <v>50.0</v>
      </c>
      <c r="B51" s="4" t="s">
        <v>1585</v>
      </c>
      <c r="C51" s="4" t="s">
        <v>1586</v>
      </c>
      <c r="D51" s="4" t="s">
        <v>1587</v>
      </c>
      <c r="E51" s="4" t="s">
        <v>1588</v>
      </c>
      <c r="G51" s="5" t="str">
        <f>IFERROR(__xludf.DUMMYFUNCTION(" GOOGLETRANSLATE(A51, ""en"", ""am"")"),"50")</f>
        <v>50</v>
      </c>
      <c r="H51" s="5" t="str">
        <f>IFERROR(__xludf.DUMMYFUNCTION(" GOOGLETRANSLATE(B51, ""en"", ""am"")"),"በአባ ገዳ ተጋድሎ ላይ ያተኮረው ቀዳሚ ክህሎት ምንድን ነው?")</f>
        <v>በአባ ገዳ ተጋድሎ ላይ ያተኮረው ቀዳሚ ክህሎት ምንድን ነው?</v>
      </c>
      <c r="I51" s="5" t="str">
        <f>IFERROR(__xludf.DUMMYFUNCTION(" GOOGLETRANSLATE(C51, ""en"", ""am"")"),"ሀ.መታ ለ. ፅናት። ሐ. ስፒድ ዲ ግጭት")</f>
        <v>ሀ.መታ ለ. ፅናት። ሐ. ስፒድ ዲ ግጭት</v>
      </c>
      <c r="J51" s="5" t="str">
        <f>IFERROR(__xludf.DUMMYFUNCTION(" GOOGLETRANSLATE(D51, ""en"", ""am"")"),"ግጭት")</f>
        <v>ግጭት</v>
      </c>
      <c r="K51" s="5" t="str">
        <f>IFERROR(__xludf.DUMMYFUNCTION(" GOOGLETRANSLATE(E51, ""en"", ""am"")"),"አባ ገዳ ትግል በዋናነት በውድድሮች ወቅት የትግል ቴክኒኮችን ያጎላል።")</f>
        <v>አባ ገዳ ትግል በዋናነት በውድድሮች ወቅት የትግል ቴክኒኮችን ያጎላል።</v>
      </c>
    </row>
    <row r="52" ht="22.5" customHeight="1">
      <c r="A52" s="3">
        <v>51.0</v>
      </c>
      <c r="B52" s="4" t="s">
        <v>1589</v>
      </c>
      <c r="C52" s="4" t="s">
        <v>1590</v>
      </c>
      <c r="D52" s="4" t="s">
        <v>1412</v>
      </c>
      <c r="E52" s="4" t="s">
        <v>1591</v>
      </c>
      <c r="G52" s="5" t="str">
        <f>IFERROR(__xludf.DUMMYFUNCTION(" GOOGLETRANSLATE(A52, ""en"", ""am"")"),"51")</f>
        <v>51</v>
      </c>
      <c r="H52" s="5" t="str">
        <f>IFERROR(__xludf.DUMMYFUNCTION(" GOOGLETRANSLATE(B52, ""en"", ""am"")"),"በአባ ገዳ ትግል የሚታወቀው የትኛው የኢትዮጵያ ክልል ነው?")</f>
        <v>በአባ ገዳ ትግል የሚታወቀው የትኛው የኢትዮጵያ ክልል ነው?</v>
      </c>
      <c r="I52" s="5" t="str">
        <f>IFERROR(__xludf.DUMMYFUNCTION(" GOOGLETRANSLATE(C52, ""en"", ""am"")"),"ኣምሓራ ብ ትግራይ ሲ ሶማሌ ዲ ኦሮምያ")</f>
        <v>ኣምሓራ ብ ትግራይ ሲ ሶማሌ ዲ ኦሮምያ</v>
      </c>
      <c r="J52" s="5" t="str">
        <f>IFERROR(__xludf.DUMMYFUNCTION(" GOOGLETRANSLATE(D52, ""en"", ""am"")"),"ኦሮሚያ")</f>
        <v>ኦሮሚያ</v>
      </c>
      <c r="K52" s="5" t="str">
        <f>IFERROR(__xludf.DUMMYFUNCTION(" GOOGLETRANSLATE(E52, ""en"", ""am"")"),"የአባ ገዳ ትግል ኢትዮጵያ ውስጥ ካለው የኦሮሚያ ክልል ጋር በጥብቅ የተያያዘ ነው።")</f>
        <v>የአባ ገዳ ትግል ኢትዮጵያ ውስጥ ካለው የኦሮሚያ ክልል ጋር በጥብቅ የተያያዘ ነው።</v>
      </c>
    </row>
    <row r="53" ht="22.5" customHeight="1">
      <c r="A53" s="3">
        <v>52.0</v>
      </c>
      <c r="B53" s="4" t="s">
        <v>1592</v>
      </c>
      <c r="C53" s="4" t="s">
        <v>1593</v>
      </c>
      <c r="D53" s="4" t="s">
        <v>1594</v>
      </c>
      <c r="E53" s="4" t="s">
        <v>1595</v>
      </c>
      <c r="G53" s="5" t="str">
        <f>IFERROR(__xludf.DUMMYFUNCTION(" GOOGLETRANSLATE(A53, ""en"", ""am"")"),"52")</f>
        <v>52</v>
      </c>
      <c r="H53" s="5" t="str">
        <f>IFERROR(__xludf.DUMMYFUNCTION(" GOOGLETRANSLATE(B53, ""en"", ""am"")"),"የአባ ገዳ ትግል በኢትዮጵያ አመራር ውስጥ ምን ባህላዊ ሚና ተጫውቷል?")</f>
        <v>የአባ ገዳ ትግል በኢትዮጵያ አመራር ውስጥ ምን ባህላዊ ሚና ተጫውቷል?</v>
      </c>
      <c r="I53" s="5" t="str">
        <f>IFERROR(__xludf.DUMMYFUNCTION(" GOOGLETRANSLATE(C53, ""en"", ""am"")"),"ሀ. አለመግባባቶችን ለመፍታት ያገለግል ነበር። ለ/ ወታደራዊ ሥልጠና ዓይነት ነበር። ሐ. ጀግንነትን ለመፈተሽ ያገለግል ነበር። መ. መሪ የመሆን ሥርዓት ነበር።")</f>
        <v>ሀ. አለመግባባቶችን ለመፍታት ያገለግል ነበር። ለ/ ወታደራዊ ሥልጠና ዓይነት ነበር። ሐ. ጀግንነትን ለመፈተሽ ያገለግል ነበር። መ. መሪ የመሆን ሥርዓት ነበር።</v>
      </c>
      <c r="J53" s="5" t="str">
        <f>IFERROR(__xludf.DUMMYFUNCTION(" GOOGLETRANSLATE(D53, ""en"", ""am"")"),"መሪ የመሆን ሥርዓት ነበር።")</f>
        <v>መሪ የመሆን ሥርዓት ነበር።</v>
      </c>
      <c r="K53" s="5" t="str">
        <f>IFERROR(__xludf.DUMMYFUNCTION(" GOOGLETRANSLATE(E53, ""en"", ""am"")"),"የአባ ገዳ ትግል በተወሰኑ የኢትዮጵያ ማህበረሰቦች ውስጥ እንደ አመራር ሥርዓት ታይቷል።")</f>
        <v>የአባ ገዳ ትግል በተወሰኑ የኢትዮጵያ ማህበረሰቦች ውስጥ እንደ አመራር ሥርዓት ታይቷል።</v>
      </c>
    </row>
    <row r="54" ht="22.5" customHeight="1">
      <c r="A54" s="3">
        <v>53.0</v>
      </c>
      <c r="B54" s="4" t="s">
        <v>1596</v>
      </c>
      <c r="C54" s="4" t="s">
        <v>1597</v>
      </c>
      <c r="D54" s="4" t="s">
        <v>1598</v>
      </c>
      <c r="E54" s="4" t="s">
        <v>1599</v>
      </c>
      <c r="G54" s="5" t="str">
        <f>IFERROR(__xludf.DUMMYFUNCTION(" GOOGLETRANSLATE(A54, ""en"", ""am"")"),"53")</f>
        <v>53</v>
      </c>
      <c r="H54" s="5" t="str">
        <f>IFERROR(__xludf.DUMMYFUNCTION(" GOOGLETRANSLATE(B54, ""en"", ""am"")"),"የአባ ገዳን ትግል እንደ ስፖርት ያየው የትኛው ታሪካዊ ወቅት ነው?")</f>
        <v>የአባ ገዳን ትግል እንደ ስፖርት ያየው የትኛው ታሪካዊ ወቅት ነው?</v>
      </c>
      <c r="I54" s="5" t="str">
        <f>IFERROR(__xludf.DUMMYFUNCTION(" GOOGLETRANSLATE(C54, ""en"", ""am"")"),"ሀ/ በዐፄ ኃይለ ሥላሴ ዘመነ መንግሥት በ20ኛው መቶ ክፍለ ዘመን ዓ. በጣሊያን ወረራ ጊዜ መ.በአፄ ምኒልክ ዘመነ መንግሥት")</f>
        <v>ሀ/ በዐፄ ኃይለ ሥላሴ ዘመነ መንግሥት በ20ኛው መቶ ክፍለ ዘመን ዓ. በጣሊያን ወረራ ጊዜ መ.በአፄ ምኒልክ ዘመነ መንግሥት</v>
      </c>
      <c r="J54" s="5" t="str">
        <f>IFERROR(__xludf.DUMMYFUNCTION(" GOOGLETRANSLATE(D54, ""en"", ""am"")"),"በዳግማዊ አፄ ምኒልክ ዘመን")</f>
        <v>በዳግማዊ አፄ ምኒልክ ዘመን</v>
      </c>
      <c r="K54" s="5" t="str">
        <f>IFERROR(__xludf.DUMMYFUNCTION(" GOOGLETRANSLATE(E54, ""en"", ""am"")"),"የአባ ገዳ ተጋድሎ ስፖርት መደበኛ የሆነው በዳግማዊ አፄ ምኒልክ ዘመን ነበር።")</f>
        <v>የአባ ገዳ ተጋድሎ ስፖርት መደበኛ የሆነው በዳግማዊ አፄ ምኒልክ ዘመን ነበር።</v>
      </c>
    </row>
    <row r="55" ht="22.5" customHeight="1">
      <c r="A55" s="3">
        <v>54.0</v>
      </c>
      <c r="B55" s="4" t="s">
        <v>1600</v>
      </c>
      <c r="C55" s="4" t="s">
        <v>1601</v>
      </c>
      <c r="D55" s="4" t="s">
        <v>1083</v>
      </c>
      <c r="E55" s="4" t="s">
        <v>1602</v>
      </c>
      <c r="G55" s="5" t="str">
        <f>IFERROR(__xludf.DUMMYFUNCTION(" GOOGLETRANSLATE(A55, ""en"", ""am"")"),"54")</f>
        <v>54</v>
      </c>
      <c r="H55" s="5" t="str">
        <f>IFERROR(__xludf.DUMMYFUNCTION(" GOOGLETRANSLATE(B55, ""en"", ""am"")"),"የአባ ገዳን ትግል ለማዘመን የትኛው ታዋቂ ኢትዮጵያዊ ስፖርተኛ ነው?")</f>
        <v>የአባ ገዳን ትግል ለማዘመን የትኛው ታዋቂ ኢትዮጵያዊ ስፖርተኛ ነው?</v>
      </c>
      <c r="I55" s="5" t="str">
        <f>IFERROR(__xludf.DUMMYFUNCTION(" GOOGLETRANSLATE(C55, ""en"", ""am"")"),"ሀ/ ኃይለ ገብረስላሴ B. Tiki Galana C. የባለቤቴ ዲ/ን ቀነኒሳ በቀለ")</f>
        <v>ሀ/ ኃይለ ገብረስላሴ B. Tiki Galana C. የባለቤቴ ዲ/ን ቀነኒሳ በቀለ</v>
      </c>
      <c r="J55" s="5" t="str">
        <f>IFERROR(__xludf.DUMMYFUNCTION(" GOOGLETRANSLATE(D55, ""en"", ""am"")"),"ቀነኒሳ በቀለ")</f>
        <v>ቀነኒሳ በቀለ</v>
      </c>
      <c r="K55" s="5" t="str">
        <f>IFERROR(__xludf.DUMMYFUNCTION(" GOOGLETRANSLATE(E55, ""en"", ""am"")"),"ቀነኒሳ በቀለ የአባ ገዳ ትግልን ጨምሮ የኢትዮጵያን ባህላዊ ስፖርቶች በማስተዋወቅ እና በማዘመን እገዛ አድርጓል።")</f>
        <v>ቀነኒሳ በቀለ የአባ ገዳ ትግልን ጨምሮ የኢትዮጵያን ባህላዊ ስፖርቶች በማስተዋወቅ እና በማዘመን እገዛ አድርጓል።</v>
      </c>
    </row>
    <row r="56" ht="22.5" customHeight="1">
      <c r="A56" s="3">
        <v>55.0</v>
      </c>
      <c r="B56" s="4" t="s">
        <v>1603</v>
      </c>
      <c r="C56" s="4" t="s">
        <v>1604</v>
      </c>
      <c r="D56" s="4" t="s">
        <v>1605</v>
      </c>
      <c r="E56" s="4" t="s">
        <v>1606</v>
      </c>
      <c r="G56" s="5" t="str">
        <f>IFERROR(__xludf.DUMMYFUNCTION(" GOOGLETRANSLATE(A56, ""en"", ""am"")"),"55")</f>
        <v>55</v>
      </c>
      <c r="H56" s="5" t="str">
        <f>IFERROR(__xludf.DUMMYFUNCTION(" GOOGLETRANSLATE(B56, ""en"", ""am"")"),"ከአባ ገዳ ትግል ጋር የተያያዘው የትኛው የኢትዮጵያ በዓል ነው?")</f>
        <v>ከአባ ገዳ ትግል ጋር የተያያዘው የትኛው የኢትዮጵያ በዓል ነው?</v>
      </c>
      <c r="I56" s="5" t="str">
        <f>IFERROR(__xludf.DUMMYFUNCTION(" GOOGLETRANSLATE(C56, ""en"", ""am"")"),"አ.እንቁጣጣሽ (የኢትዮጵያ አዲስ ዓመት) ለ. ጥምቀት (ኤጲፋንያ) ሐ. የእውነተኛ መስቀል ፍለጋ D. Easter (የኢትዮጵያ ኦርቶዶክስ ገና)")</f>
        <v>አ.እንቁጣጣሽ (የኢትዮጵያ አዲስ ዓመት) ለ. ጥምቀት (ኤጲፋንያ) ሐ. የእውነተኛ መስቀል ፍለጋ D. Easter (የኢትዮጵያ ኦርቶዶክስ ገና)</v>
      </c>
      <c r="J56" s="5" t="str">
        <f>IFERROR(__xludf.DUMMYFUNCTION(" GOOGLETRANSLATE(D56, ""en"", ""am"")"),"ፋሲካ (የኢትዮጵያ ኦርቶዶክስ ገና)")</f>
        <v>ፋሲካ (የኢትዮጵያ ኦርቶዶክስ ገና)</v>
      </c>
      <c r="K56" s="5" t="str">
        <f>IFERROR(__xludf.DUMMYFUNCTION(" GOOGLETRANSLATE(E56, ""en"", ""am"")"),"የኢትዮጵያ ኦርቶዶክስ ተዋህዶ የገና በአል የሆነው የትንሳኤ በዓል በአባ ገዳ ብዙ ጊዜ የትግል ውድድር ይታይበት ነበር።")</f>
        <v>የኢትዮጵያ ኦርቶዶክስ ተዋህዶ የገና በአል የሆነው የትንሳኤ በዓል በአባ ገዳ ብዙ ጊዜ የትግል ውድድር ይታይበት ነበር።</v>
      </c>
    </row>
    <row r="57" ht="22.5" customHeight="1">
      <c r="A57" s="3">
        <v>56.0</v>
      </c>
      <c r="B57" s="4" t="s">
        <v>1607</v>
      </c>
      <c r="C57" s="4" t="s">
        <v>1608</v>
      </c>
      <c r="D57" s="4" t="s">
        <v>1609</v>
      </c>
      <c r="E57" s="4" t="s">
        <v>1610</v>
      </c>
      <c r="G57" s="5" t="str">
        <f>IFERROR(__xludf.DUMMYFUNCTION(" GOOGLETRANSLATE(A57, ""en"", ""am"")"),"56")</f>
        <v>56</v>
      </c>
      <c r="H57" s="5" t="str">
        <f>IFERROR(__xludf.DUMMYFUNCTION(" GOOGLETRANSLATE(B57, ""en"", ""am"")"),"ለነጻነት በሚደረገው ትግል ውስጥ የስኬት ቁልፍ አካላዊ ባህሪ ምንድነው?")</f>
        <v>ለነጻነት በሚደረገው ትግል ውስጥ የስኬት ቁልፍ አካላዊ ባህሪ ምንድነው?</v>
      </c>
      <c r="I57" s="5" t="str">
        <f>IFERROR(__xludf.DUMMYFUNCTION(" GOOGLETRANSLATE(C57, ""en"", ""am"")"),"ሀ. ተለዋዋጭነት ለ. ጽናት። C. ቴክኒክ D. ጥንካሬ")</f>
        <v>ሀ. ተለዋዋጭነት ለ. ጽናት። C. ቴክኒክ D. ጥንካሬ</v>
      </c>
      <c r="J57" s="5" t="str">
        <f>IFERROR(__xludf.DUMMYFUNCTION(" GOOGLETRANSLATE(D57, ""en"", ""am"")"),"ጥንካሬ")</f>
        <v>ጥንካሬ</v>
      </c>
      <c r="K57" s="5" t="str">
        <f>IFERROR(__xludf.DUMMYFUNCTION(" GOOGLETRANSLATE(E57, ""en"", ""am"")"),"ጥንካሬ በትግል ውስጥ ለስኬት ቁልፍ አካላዊ ባህሪ ነው።")</f>
        <v>ጥንካሬ በትግል ውስጥ ለስኬት ቁልፍ አካላዊ ባህሪ ነው።</v>
      </c>
    </row>
    <row r="58" ht="22.5" customHeight="1">
      <c r="A58" s="3">
        <v>57.0</v>
      </c>
      <c r="B58" s="4" t="s">
        <v>1611</v>
      </c>
      <c r="C58" s="4" t="s">
        <v>1612</v>
      </c>
      <c r="D58" s="4" t="s">
        <v>1613</v>
      </c>
      <c r="E58" s="4" t="s">
        <v>1614</v>
      </c>
      <c r="G58" s="5" t="str">
        <f>IFERROR(__xludf.DUMMYFUNCTION(" GOOGLETRANSLATE(A58, ""en"", ""am"")"),"57")</f>
        <v>57</v>
      </c>
      <c r="H58" s="5" t="str">
        <f>IFERROR(__xludf.DUMMYFUNCTION(" GOOGLETRANSLATE(B58, ""en"", ""am"")"),"የአባ ገዳን ትግል የነካው የትኛው የአለም አቀፍ የትግል ስልት ነው?")</f>
        <v>የአባ ገዳን ትግል የነካው የትኛው የአለም አቀፍ የትግል ስልት ነው?</v>
      </c>
      <c r="I58" s="5" t="str">
        <f>IFERROR(__xludf.DUMMYFUNCTION(" GOOGLETRANSLATE(C58, ""en"", ""am"")"),"ሀ. የግሪኮ-ሮማን ትግል B. Judo C. Sambo D. የግሪኮ-ሮማን ትግል")</f>
        <v>ሀ. የግሪኮ-ሮማን ትግል B. Judo C. Sambo D. የግሪኮ-ሮማን ትግል</v>
      </c>
      <c r="J58" s="5" t="str">
        <f>IFERROR(__xludf.DUMMYFUNCTION(" GOOGLETRANSLATE(D58, ""en"", ""am"")"),"የግሪክ-ሮማን ትግል")</f>
        <v>የግሪክ-ሮማን ትግል</v>
      </c>
      <c r="K58" s="5" t="str">
        <f>IFERROR(__xludf.DUMMYFUNCTION(" GOOGLETRANSLATE(E58, ""en"", ""am"")"),"የግሪኮ-ሮማን ትግል በአባ ገዳ ትግል ህግጋት እና ቴክኒኮች ላይ ተጽዕኖ አሳድሯል።")</f>
        <v>የግሪኮ-ሮማን ትግል በአባ ገዳ ትግል ህግጋት እና ቴክኒኮች ላይ ተጽዕኖ አሳድሯል።</v>
      </c>
    </row>
    <row r="59" ht="22.5" customHeight="1">
      <c r="A59" s="3">
        <v>58.0</v>
      </c>
      <c r="B59" s="4" t="s">
        <v>1615</v>
      </c>
      <c r="C59" s="4" t="s">
        <v>1616</v>
      </c>
      <c r="D59" s="4" t="s">
        <v>1617</v>
      </c>
      <c r="E59" s="4" t="s">
        <v>1618</v>
      </c>
      <c r="G59" s="5" t="str">
        <f>IFERROR(__xludf.DUMMYFUNCTION(" GOOGLETRANSLATE(A59, ""en"", ""am"")"),"58")</f>
        <v>58</v>
      </c>
      <c r="H59" s="5" t="str">
        <f>IFERROR(__xludf.DUMMYFUNCTION(" GOOGLETRANSLATE(B59, ""en"", ""am"")"),"ከአባ ገዳ ጦርነት በፊት ምን አይነት ሥርዓት ነው የሚደረገው?")</f>
        <v>ከአባ ገዳ ጦርነት በፊት ምን አይነት ሥርዓት ነው የሚደረገው?</v>
      </c>
      <c r="I59" s="5" t="str">
        <f>IFERROR(__xludf.DUMMYFUNCTION(" GOOGLETRANSLATE(C59, ""en"", ""am"")"),"ሀ. የዳንስ ሥነ ሥርዓቶች ለ. ማሰላሰል ሐ. የእንስሳት መሥዋዕት መ. በሽማግሌዎች በረከቶች")</f>
        <v>ሀ. የዳንስ ሥነ ሥርዓቶች ለ. ማሰላሰል ሐ. የእንስሳት መሥዋዕት መ. በሽማግሌዎች በረከቶች</v>
      </c>
      <c r="J59" s="5" t="str">
        <f>IFERROR(__xludf.DUMMYFUNCTION(" GOOGLETRANSLATE(D59, ""en"", ""am"")"),"በሽማግሌዎች በረከት")</f>
        <v>በሽማግሌዎች በረከት</v>
      </c>
      <c r="K59" s="5" t="str">
        <f>IFERROR(__xludf.DUMMYFUNCTION(" GOOGLETRANSLATE(E59, ""en"", ""am"")"),"ከአባ ገዳ የትግል ውድድር በፊት ተፎካካሪዎቹ ከአካባቢው የሀገር ሽማግሌዎች በረከት እና መልካም እድል ያገኛሉ።")</f>
        <v>ከአባ ገዳ የትግል ውድድር በፊት ተፎካካሪዎቹ ከአካባቢው የሀገር ሽማግሌዎች በረከት እና መልካም እድል ያገኛሉ።</v>
      </c>
    </row>
    <row r="60" ht="22.5" customHeight="1">
      <c r="A60" s="3">
        <v>59.0</v>
      </c>
      <c r="B60" s="4" t="s">
        <v>1619</v>
      </c>
      <c r="C60" s="4" t="s">
        <v>1620</v>
      </c>
      <c r="D60" s="4" t="s">
        <v>1621</v>
      </c>
      <c r="E60" s="4" t="s">
        <v>1622</v>
      </c>
      <c r="G60" s="5" t="str">
        <f>IFERROR(__xludf.DUMMYFUNCTION(" GOOGLETRANSLATE(A60, ""en"", ""am"")"),"59")</f>
        <v>59</v>
      </c>
      <c r="H60" s="5" t="str">
        <f>IFERROR(__xludf.DUMMYFUNCTION(" GOOGLETRANSLATE(B60, ""en"", ""am"")"),"የአባ ገዳ ትግል ዋና ግብ ምንድን ነው?")</f>
        <v>የአባ ገዳ ትግል ዋና ግብ ምንድን ነው?</v>
      </c>
      <c r="I60" s="5" t="str">
        <f>IFERROR(__xludf.DUMMYFUNCTION(" GOOGLETRANSLATE(C60, ""en"", ""am"")"),"ሀ. ተቀናቃኙን ከቀለበት ለመጣል ብዙ ነጥቦችን ለማግኘት ሐ. ተቃዋሚውን ለማዳከም መ. ተቃዋሚውን ለመሰካት")</f>
        <v>ሀ. ተቀናቃኙን ከቀለበት ለመጣል ብዙ ነጥቦችን ለማግኘት ሐ. ተቃዋሚውን ለማዳከም መ. ተቃዋሚውን ለመሰካት</v>
      </c>
      <c r="J60" s="5" t="str">
        <f>IFERROR(__xludf.DUMMYFUNCTION(" GOOGLETRANSLATE(D60, ""en"", ""am"")"),"ተቃዋሚውን ለመሰካት")</f>
        <v>ተቃዋሚውን ለመሰካት</v>
      </c>
      <c r="K60" s="5" t="str">
        <f>IFERROR(__xludf.DUMMYFUNCTION(" GOOGLETRANSLATE(E60, ""en"", ""am"")"),"የትግል ግጥሚያ ዋና ግብ ተጋጣሚውን መሬት ላይ ማንኳኳት ነው።")</f>
        <v>የትግል ግጥሚያ ዋና ግብ ተጋጣሚውን መሬት ላይ ማንኳኳት ነው።</v>
      </c>
    </row>
    <row r="61" ht="22.5" customHeight="1">
      <c r="A61" s="3">
        <v>60.0</v>
      </c>
      <c r="B61" s="4" t="s">
        <v>1623</v>
      </c>
      <c r="C61" s="4" t="s">
        <v>1624</v>
      </c>
      <c r="D61" s="4" t="s">
        <v>1625</v>
      </c>
      <c r="E61" s="4" t="s">
        <v>1626</v>
      </c>
      <c r="G61" s="5" t="str">
        <f>IFERROR(__xludf.DUMMYFUNCTION(" GOOGLETRANSLATE(A61, ""en"", ""am"")"),"60")</f>
        <v>60</v>
      </c>
      <c r="H61" s="5" t="str">
        <f>IFERROR(__xludf.DUMMYFUNCTION(" GOOGLETRANSLATE(B61, ""en"", ""am"")"),"የአባ ገዳ ትግልን ከሌሎች ባህላዊ የትግል ስልቶች የሚለየው የትኛው ልዩ ባህሪ ነው?")</f>
        <v>የአባ ገዳ ትግልን ከሌሎች ባህላዊ የትግል ስልቶች የሚለየው የትኛው ልዩ ባህሪ ነው?</v>
      </c>
      <c r="I61" s="5" t="str">
        <f>IFERROR(__xludf.DUMMYFUNCTION(" GOOGLETRANSLATE(C61, ""en"", ""am"")"),"ሀ. በእጅ ለእጅ የሚደረግ ውጊያን ብቻ ይጠቀማል። ለ. ስፖርትም ሆነ የአምልኮ ዓይነት ነው። ሐ. የዳንስ እንቅስቃሴዎችን ያካትታል መ. ስፖርት እና የአምልኮ አይነት ነው.")</f>
        <v>ሀ. በእጅ ለእጅ የሚደረግ ውጊያን ብቻ ይጠቀማል። ለ. ስፖርትም ሆነ የአምልኮ ዓይነት ነው። ሐ. የዳንስ እንቅስቃሴዎችን ያካትታል መ. ስፖርት እና የአምልኮ አይነት ነው.</v>
      </c>
      <c r="J61" s="5" t="str">
        <f>IFERROR(__xludf.DUMMYFUNCTION(" GOOGLETRANSLATE(D61, ""en"", ""am"")"),"ስፖርትም ሆነ የአምልኮ ሥርዓት ነው።")</f>
        <v>ስፖርትም ሆነ የአምልኮ ሥርዓት ነው።</v>
      </c>
      <c r="K61" s="5" t="str">
        <f>IFERROR(__xludf.DUMMYFUNCTION(" GOOGLETRANSLATE(E61, ""en"", ""am"")"),"የአባ ገዳ ትግል ልዩ የሚያደርገው ስፖርታዊ እንቅስቃሴዎችንና ሥርዓቶችን በማጣመር ነው።")</f>
        <v>የአባ ገዳ ትግል ልዩ የሚያደርገው ስፖርታዊ እንቅስቃሴዎችንና ሥርዓቶችን በማጣመር ነው።</v>
      </c>
    </row>
    <row r="62" ht="22.5" customHeight="1">
      <c r="A62" s="3">
        <v>61.0</v>
      </c>
      <c r="B62" s="4" t="s">
        <v>1627</v>
      </c>
      <c r="C62" s="4" t="s">
        <v>1628</v>
      </c>
      <c r="D62" s="4" t="s">
        <v>1629</v>
      </c>
      <c r="E62" s="4" t="s">
        <v>1630</v>
      </c>
      <c r="G62" s="5" t="str">
        <f>IFERROR(__xludf.DUMMYFUNCTION(" GOOGLETRANSLATE(A62, ""en"", ""am"")"),"61")</f>
        <v>61</v>
      </c>
      <c r="H62" s="5" t="str">
        <f>IFERROR(__xludf.DUMMYFUNCTION(" GOOGLETRANSLATE(B62, ""en"", ""am"")"),"የአባ ገዳ ትግል በጣም የተለመደው የትግል ቦታ ምንድነው?")</f>
        <v>የአባ ገዳ ትግል በጣም የተለመደው የትግል ቦታ ምንድነው?</v>
      </c>
      <c r="I62" s="5" t="str">
        <f>IFERROR(__xludf.DUMMYFUNCTION(" GOOGLETRANSLATE(C62, ""en"", ""am"")"),"ሀ. ሳር ቢ. ምድር ሐ. የእንጨት ወለሎች D. ምድር")</f>
        <v>ሀ. ሳር ቢ. ምድር ሐ. የእንጨት ወለሎች D. ምድር</v>
      </c>
      <c r="J62" s="5" t="str">
        <f>IFERROR(__xludf.DUMMYFUNCTION(" GOOGLETRANSLATE(D62, ""en"", ""am"")"),"ምድር")</f>
        <v>ምድር</v>
      </c>
      <c r="K62" s="5" t="str">
        <f>IFERROR(__xludf.DUMMYFUNCTION(" GOOGLETRANSLATE(E62, ""en"", ""am"")"),"ባህላዊው የትግል ውድድር የሚከናወነው መሬት ላይ ወይም በቆሸሸ ሜዳ ላይ ነው።")</f>
        <v>ባህላዊው የትግል ውድድር የሚከናወነው መሬት ላይ ወይም በቆሸሸ ሜዳ ላይ ነው።</v>
      </c>
    </row>
    <row r="63" ht="22.5" customHeight="1">
      <c r="A63" s="3">
        <v>62.0</v>
      </c>
      <c r="B63" s="4" t="s">
        <v>1631</v>
      </c>
      <c r="C63" s="4" t="s">
        <v>1632</v>
      </c>
      <c r="D63" s="4" t="s">
        <v>1633</v>
      </c>
      <c r="E63" s="4" t="s">
        <v>1634</v>
      </c>
      <c r="G63" s="5" t="str">
        <f>IFERROR(__xludf.DUMMYFUNCTION(" GOOGLETRANSLATE(A63, ""en"", ""am"")"),"62")</f>
        <v>62</v>
      </c>
      <c r="H63" s="5" t="str">
        <f>IFERROR(__xludf.DUMMYFUNCTION(" GOOGLETRANSLATE(B63, ""en"", ""am"")"),"ከአባ ገዳ ጋር የሚደረገውን ትግል እንዴት ያሸንፋል?")</f>
        <v>ከአባ ገዳ ጋር የሚደረገውን ትግል እንዴት ያሸንፋል?</v>
      </c>
      <c r="I63" s="5" t="str">
        <f>IFERROR(__xludf.DUMMYFUNCTION(" GOOGLETRANSLATE(C63, ""en"", ""am"")"),"ሀ. ተቀናቃኙን መሬት ላይ መሰካት ለ. ብዙ ነጥቦችን በማስቆጠር ሐ. የተጋጣሚውን መከላከያ መስበር መ. ተጋጣሚውን መሬት ላይ መሰካት")</f>
        <v>ሀ. ተቀናቃኙን መሬት ላይ መሰካት ለ. ብዙ ነጥቦችን በማስቆጠር ሐ. የተጋጣሚውን መከላከያ መስበር መ. ተጋጣሚውን መሬት ላይ መሰካት</v>
      </c>
      <c r="J63" s="5" t="str">
        <f>IFERROR(__xludf.DUMMYFUNCTION(" GOOGLETRANSLATE(D63, ""en"", ""am"")"),"ተቃዋሚውን መሬት ላይ በማያያዝ")</f>
        <v>ተቃዋሚውን መሬት ላይ በማያያዝ</v>
      </c>
      <c r="K63" s="5" t="str">
        <f>IFERROR(__xludf.DUMMYFUNCTION(" GOOGLETRANSLATE(E63, ""en"", ""am"")"),"ጨዋታውን በአባ ገዳ ሬስሊንግ ተጋጣሚውን መሬት ላይ በማያያዝ አሸንፏል።")</f>
        <v>ጨዋታውን በአባ ገዳ ሬስሊንግ ተጋጣሚውን መሬት ላይ በማያያዝ አሸንፏል።</v>
      </c>
    </row>
    <row r="64" ht="22.5" customHeight="1">
      <c r="A64" s="3">
        <v>63.0</v>
      </c>
      <c r="B64" s="4" t="s">
        <v>1635</v>
      </c>
      <c r="C64" s="4" t="s">
        <v>1636</v>
      </c>
      <c r="D64" s="4" t="s">
        <v>63</v>
      </c>
      <c r="E64" s="4" t="s">
        <v>1637</v>
      </c>
      <c r="G64" s="5" t="str">
        <f>IFERROR(__xludf.DUMMYFUNCTION(" GOOGLETRANSLATE(A64, ""en"", ""am"")"),"63")</f>
        <v>63</v>
      </c>
      <c r="H64" s="5" t="str">
        <f>IFERROR(__xludf.DUMMYFUNCTION(" GOOGLETRANSLATE(B64, ""en"", ""am"")"),"የአባ ገዳ ትግል በኢትዮጵያ ቀዳሚ ባህላዊ ፋይዳው ምንድነው?")</f>
        <v>የአባ ገዳ ትግል በኢትዮጵያ ቀዳሚ ባህላዊ ፋይዳው ምንድነው?</v>
      </c>
      <c r="I64" s="5" t="str">
        <f>IFERROR(__xludf.DUMMYFUNCTION(" GOOGLETRANSLATE(C64, ""en"", ""am"")"),"ሀ. ባህላዊ እሴቶችን ይጠብቃል ለ. እንደ ሥነ ሥርዓት ያገለግላል. C. ከላይ ያሉት ሁሉም መ. ሁሉም ከላይ ያሉት")</f>
        <v>ሀ. ባህላዊ እሴቶችን ይጠብቃል ለ. እንደ ሥነ ሥርዓት ያገለግላል. C. ከላይ ያሉት ሁሉም መ. ሁሉም ከላይ ያሉት</v>
      </c>
      <c r="J64" s="5" t="str">
        <f>IFERROR(__xludf.DUMMYFUNCTION(" GOOGLETRANSLATE(D64, ""en"", ""am"")"),"ከላይ ያሉት ሁሉም")</f>
        <v>ከላይ ያሉት ሁሉም</v>
      </c>
      <c r="K64" s="5" t="str">
        <f>IFERROR(__xludf.DUMMYFUNCTION(" GOOGLETRANSLATE(E64, ""en"", ""am"")"),"የአባ ገዳ ትግል አንድነትን በማጎልበት፣ ትውፊትን በመጠበቅ እና በስርዓት በማገልገል ረገድ የራሱን ሚና ይጫወታል።")</f>
        <v>የአባ ገዳ ትግል አንድነትን በማጎልበት፣ ትውፊትን በመጠበቅ እና በስርዓት በማገልገል ረገድ የራሱን ሚና ይጫወታል።</v>
      </c>
    </row>
    <row r="65" ht="22.5" customHeight="1">
      <c r="A65" s="3">
        <v>64.0</v>
      </c>
      <c r="B65" s="4" t="s">
        <v>1638</v>
      </c>
      <c r="C65" s="4" t="s">
        <v>1639</v>
      </c>
      <c r="D65" s="4" t="s">
        <v>1640</v>
      </c>
      <c r="E65" s="4" t="s">
        <v>1641</v>
      </c>
      <c r="G65" s="5" t="str">
        <f>IFERROR(__xludf.DUMMYFUNCTION(" GOOGLETRANSLATE(A65, ""en"", ""am"")"),"64")</f>
        <v>64</v>
      </c>
      <c r="H65" s="5" t="str">
        <f>IFERROR(__xludf.DUMMYFUNCTION(" GOOGLETRANSLATE(B65, ""en"", ""am"")"),"የአባ ገዳ የትግል ዝግጅት ባህላዊ ደጋፊዎች እነማን ነበሩ?")</f>
        <v>የአባ ገዳ የትግል ዝግጅት ባህላዊ ደጋፊዎች እነማን ነበሩ?</v>
      </c>
      <c r="I65" s="5" t="str">
        <f>IFERROR(__xludf.DUMMYFUNCTION(" GOOGLETRANSLATE(C65, ""en"", ""am"")"),"ሀ. ሀብታም ነጋዴዎች ለ. ሃይማኖታዊ ምስሎች ሐ. ተዋጊዎች ዲ. የአካባቢ ማህበረሰብ መሪዎች")</f>
        <v>ሀ. ሀብታም ነጋዴዎች ለ. ሃይማኖታዊ ምስሎች ሐ. ተዋጊዎች ዲ. የአካባቢ ማህበረሰብ መሪዎች</v>
      </c>
      <c r="J65" s="5" t="str">
        <f>IFERROR(__xludf.DUMMYFUNCTION(" GOOGLETRANSLATE(D65, ""en"", ""am"")"),"የአካባቢ ማህበረሰብ መሪዎች")</f>
        <v>የአካባቢ ማህበረሰብ መሪዎች</v>
      </c>
      <c r="K65" s="5" t="str">
        <f>IFERROR(__xludf.DUMMYFUNCTION(" GOOGLETRANSLATE(E65, ""en"", ""am"")"),"የአካባቢው ማህበረሰብ መሪዎች የአባ ገዳ የትግል ወግ ደጋፊዎች ነበሩ።")</f>
        <v>የአካባቢው ማህበረሰብ መሪዎች የአባ ገዳ የትግል ወግ ደጋፊዎች ነበሩ።</v>
      </c>
    </row>
    <row r="66" ht="22.5" customHeight="1">
      <c r="A66" s="3">
        <v>65.0</v>
      </c>
      <c r="B66" s="4" t="s">
        <v>1642</v>
      </c>
      <c r="C66" s="4" t="s">
        <v>1643</v>
      </c>
      <c r="D66" s="4" t="s">
        <v>1644</v>
      </c>
      <c r="E66" s="4" t="s">
        <v>1645</v>
      </c>
      <c r="G66" s="5" t="str">
        <f>IFERROR(__xludf.DUMMYFUNCTION(" GOOGLETRANSLATE(A66, ""en"", ""am"")"),"65")</f>
        <v>65</v>
      </c>
      <c r="H66" s="5" t="str">
        <f>IFERROR(__xludf.DUMMYFUNCTION(" GOOGLETRANSLATE(B66, ""en"", ""am"")"),"ለነጻነት በሚደረገው ትግል የፍጥነት ምልክት የሆነው የትኛው እንስሳ ነው?")</f>
        <v>ለነጻነት በሚደረገው ትግል የፍጥነት ምልክት የሆነው የትኛው እንስሳ ነው?</v>
      </c>
      <c r="I66" s="5" t="str">
        <f>IFERROR(__xludf.DUMMYFUNCTION(" GOOGLETRANSLATE(C66, ""en"", ""am"")"),"A. Antelope B. Falcon C. Lion D. Cheetah")</f>
        <v>A. Antelope B. Falcon C. Lion D. Cheetah</v>
      </c>
      <c r="J66" s="5" t="str">
        <f>IFERROR(__xludf.DUMMYFUNCTION(" GOOGLETRANSLATE(D66, ""en"", ""am"")"),"አቦሸማኔ")</f>
        <v>አቦሸማኔ</v>
      </c>
      <c r="K66" s="5" t="str">
        <f>IFERROR(__xludf.DUMMYFUNCTION(" GOOGLETRANSLATE(E66, ""en"", ""am"")"),"ለነጻነት በሚደረገው ትግል አቦሸማኔ የፍጥነት እና የፍጥነት ምልክት ሆኖ ያገለግላል።")</f>
        <v>ለነጻነት በሚደረገው ትግል አቦሸማኔ የፍጥነት እና የፍጥነት ምልክት ሆኖ ያገለግላል።</v>
      </c>
    </row>
    <row r="67" ht="22.5" customHeight="1">
      <c r="A67" s="3">
        <v>66.0</v>
      </c>
      <c r="B67" s="4" t="s">
        <v>1646</v>
      </c>
      <c r="C67" s="4" t="s">
        <v>1647</v>
      </c>
      <c r="D67" s="4" t="s">
        <v>1648</v>
      </c>
      <c r="E67" s="4" t="s">
        <v>1649</v>
      </c>
      <c r="G67" s="5" t="str">
        <f>IFERROR(__xludf.DUMMYFUNCTION(" GOOGLETRANSLATE(A67, ""en"", ""am"")"),"66")</f>
        <v>66</v>
      </c>
      <c r="H67" s="5" t="str">
        <f>IFERROR(__xludf.DUMMYFUNCTION(" GOOGLETRANSLATE(B67, ""en"", ""am"")"),"በአባ ገዳ ትግል የተጎዳው የትኛው የአካል ክፍል ነው?")</f>
        <v>በአባ ገዳ ትግል የተጎዳው የትኛው የአካል ክፍል ነው?</v>
      </c>
      <c r="I67" s="5" t="str">
        <f>IFERROR(__xludf.DUMMYFUNCTION(" GOOGLETRANSLATE(C67, ""en"", ""am"")"),"ሀ. እግር ለ. ክንዶች ሐ. አንገት D. ጀርባ")</f>
        <v>ሀ. እግር ለ. ክንዶች ሐ. አንገት D. ጀርባ</v>
      </c>
      <c r="J67" s="5" t="str">
        <f>IFERROR(__xludf.DUMMYFUNCTION(" GOOGLETRANSLATE(D67, ""en"", ""am"")"),"ተመለስ")</f>
        <v>ተመለስ</v>
      </c>
      <c r="K67" s="5" t="str">
        <f>IFERROR(__xludf.DUMMYFUNCTION(" GOOGLETRANSLATE(E67, ""en"", ""am"")"),"በአባ ገዳ ገድል፣ ታጋዮች የኋላ የትግል ስልታቸው ላይ ያተኩራሉ።")</f>
        <v>በአባ ገዳ ገድል፣ ታጋዮች የኋላ የትግል ስልታቸው ላይ ያተኩራሉ።</v>
      </c>
    </row>
    <row r="68" ht="22.5" customHeight="1">
      <c r="A68" s="3">
        <v>67.0</v>
      </c>
      <c r="B68" s="4" t="s">
        <v>1650</v>
      </c>
      <c r="C68" s="4" t="s">
        <v>1651</v>
      </c>
      <c r="D68" s="4" t="s">
        <v>1652</v>
      </c>
      <c r="E68" s="4" t="s">
        <v>1653</v>
      </c>
      <c r="G68" s="5" t="str">
        <f>IFERROR(__xludf.DUMMYFUNCTION(" GOOGLETRANSLATE(A68, ""en"", ""am"")"),"67")</f>
        <v>67</v>
      </c>
      <c r="H68" s="5" t="str">
        <f>IFERROR(__xludf.DUMMYFUNCTION(" GOOGLETRANSLATE(B68, ""en"", ""am"")"),"አባ ገዳ በትግሉ ወቅት ምን አይነት ጫማ ነው የሚለብሱት?")</f>
        <v>አባ ገዳ በትግሉ ወቅት ምን አይነት ጫማ ነው የሚለብሱት?</v>
      </c>
      <c r="I68" s="5" t="str">
        <f>IFERROR(__xludf.DUMMYFUNCTION(" GOOGLETRANSLATE(C68, ""en"", ""am"")"),"ሀ. የቆዳ ቦት ጫማዎች ለ. የጎማ ጫማ ሐ. ሶክስ ዲ. ባዶ እግሩ")</f>
        <v>ሀ. የቆዳ ቦት ጫማዎች ለ. የጎማ ጫማ ሐ. ሶክስ ዲ. ባዶ እግሩ</v>
      </c>
      <c r="J68" s="5" t="str">
        <f>IFERROR(__xludf.DUMMYFUNCTION(" GOOGLETRANSLATE(D68, ""en"", ""am"")"),"በባዶ እግሩ")</f>
        <v>በባዶ እግሩ</v>
      </c>
      <c r="K68" s="5" t="str">
        <f>IFERROR(__xludf.DUMMYFUNCTION(" GOOGLETRANSLATE(E68, ""en"", ""am"")"),"በአባ ገዳ ትግል ውስጥ ያሉ ታጋዮች በባዶ እግራቸው ይወዳደራሉ።")</f>
        <v>በአባ ገዳ ትግል ውስጥ ያሉ ታጋዮች በባዶ እግራቸው ይወዳደራሉ።</v>
      </c>
    </row>
    <row r="69" ht="22.5" customHeight="1">
      <c r="A69" s="3">
        <v>68.0</v>
      </c>
      <c r="B69" s="4" t="s">
        <v>1654</v>
      </c>
      <c r="C69" s="4" t="s">
        <v>1655</v>
      </c>
      <c r="D69" s="4" t="s">
        <v>1656</v>
      </c>
      <c r="E69" s="4" t="s">
        <v>1657</v>
      </c>
      <c r="G69" s="5" t="str">
        <f>IFERROR(__xludf.DUMMYFUNCTION(" GOOGLETRANSLATE(A69, ""en"", ""am"")"),"68")</f>
        <v>68</v>
      </c>
      <c r="H69" s="5" t="str">
        <f>IFERROR(__xludf.DUMMYFUNCTION(" GOOGLETRANSLATE(B69, ""en"", ""am"")"),"በትግል ወቅት ተመልካቾች ምን ሚና ይጫወታሉ?")</f>
        <v>በትግል ወቅት ተመልካቾች ምን ሚና ይጫወታሉ?</v>
      </c>
      <c r="I69" s="5" t="str">
        <f>IFERROR(__xludf.DUMMYFUNCTION(" GOOGLETRANSLATE(C69, ""en"", ""am"")"),"ሀ. ግጥሚያዎቹን ይዳኛሉ። ለ/ ተዋጊዎቹን ይረዳሉ። ሐ. አሸናፊውን ይመርጣሉ። መ. ተፎካካሪዎችን ያበረታታሉ.")</f>
        <v>ሀ. ግጥሚያዎቹን ይዳኛሉ። ለ/ ተዋጊዎቹን ይረዳሉ። ሐ. አሸናፊውን ይመርጣሉ። መ. ተፎካካሪዎችን ያበረታታሉ.</v>
      </c>
      <c r="J69" s="5" t="str">
        <f>IFERROR(__xludf.DUMMYFUNCTION(" GOOGLETRANSLATE(D69, ""en"", ""am"")"),"ተፎካካሪዎችን ያበረታታሉ.")</f>
        <v>ተፎካካሪዎችን ያበረታታሉ.</v>
      </c>
      <c r="K69" s="5" t="str">
        <f>IFERROR(__xludf.DUMMYFUNCTION(" GOOGLETRANSLATE(E69, ""en"", ""am"")"),"በአባ ገዳ የትግል ግጥሚያዎች ታዳሚዎች ታጋዮቹን በማበረታታት እና በመደገፍ በኩል ጉልህ ሚና ይጫወታሉ።")</f>
        <v>በአባ ገዳ የትግል ግጥሚያዎች ታዳሚዎች ታጋዮቹን በማበረታታት እና በመደገፍ በኩል ጉልህ ሚና ይጫወታሉ።</v>
      </c>
    </row>
    <row r="70" ht="22.5" customHeight="1">
      <c r="A70" s="3">
        <v>69.0</v>
      </c>
      <c r="B70" s="4" t="s">
        <v>1658</v>
      </c>
      <c r="C70" s="4" t="s">
        <v>1659</v>
      </c>
      <c r="D70" s="4" t="s">
        <v>1660</v>
      </c>
      <c r="E70" s="4" t="s">
        <v>1661</v>
      </c>
      <c r="G70" s="5" t="str">
        <f>IFERROR(__xludf.DUMMYFUNCTION(" GOOGLETRANSLATE(A70, ""en"", ""am"")"),"69")</f>
        <v>69</v>
      </c>
      <c r="H70" s="5" t="str">
        <f>IFERROR(__xludf.DUMMYFUNCTION(" GOOGLETRANSLATE(B70, ""en"", ""am"")"),"በአባ ገዳ የትግል ዝግጅት ዙሪያ ያለው ድባብ ምን ይመስላል?")</f>
        <v>በአባ ገዳ የትግል ዝግጅት ዙሪያ ያለው ድባብ ምን ይመስላል?</v>
      </c>
      <c r="I70" s="5" t="str">
        <f>IFERROR(__xludf.DUMMYFUNCTION(" GOOGLETRANSLATE(C70, ""en"", ""am"")"),"ሀ. ዘና ያለ እና ተራ ለ. ጠንካራ እና ተወዳዳሪ ሐ. አዝናኝ እና አስደሳች መ. አዝናኝ እና አስደሳች")</f>
        <v>ሀ. ዘና ያለ እና ተራ ለ. ጠንካራ እና ተወዳዳሪ ሐ. አዝናኝ እና አስደሳች መ. አዝናኝ እና አስደሳች</v>
      </c>
      <c r="J70" s="5" t="str">
        <f>IFERROR(__xludf.DUMMYFUNCTION(" GOOGLETRANSLATE(D70, ""en"", ""am"")"),"አስደሳች እና አስደሳች")</f>
        <v>አስደሳች እና አስደሳች</v>
      </c>
      <c r="K70" s="5" t="str">
        <f>IFERROR(__xludf.DUMMYFUNCTION(" GOOGLETRANSLATE(E70, ""en"", ""am"")"),"የአባ ገዳ የትግል ዝግጅቶች ብዙ ጊዜ አስደሳች እና አስደሳች ድባብ አላቸው።")</f>
        <v>የአባ ገዳ የትግል ዝግጅቶች ብዙ ጊዜ አስደሳች እና አስደሳች ድባብ አላቸው።</v>
      </c>
    </row>
    <row r="71" ht="22.5" customHeight="1">
      <c r="A71" s="3">
        <v>70.0</v>
      </c>
      <c r="B71" s="4" t="s">
        <v>1662</v>
      </c>
      <c r="C71" s="4" t="s">
        <v>1663</v>
      </c>
      <c r="D71" s="4" t="s">
        <v>1664</v>
      </c>
      <c r="E71" s="4" t="s">
        <v>1665</v>
      </c>
      <c r="G71" s="5" t="str">
        <f>IFERROR(__xludf.DUMMYFUNCTION(" GOOGLETRANSLATE(A71, ""en"", ""am"")"),"70")</f>
        <v>70</v>
      </c>
      <c r="H71" s="5" t="str">
        <f>IFERROR(__xludf.DUMMYFUNCTION(" GOOGLETRANSLATE(B71, ""en"", ""am"")"),"ከአባ ገዳ ትግል ጋር የሚመሳሰል የትኛው ዘመናዊ ስፖርት ነው?")</f>
        <v>ከአባ ገዳ ትግል ጋር የሚመሳሰል የትኛው ዘመናዊ ስፖርት ነው?</v>
      </c>
      <c r="I71" s="5" t="str">
        <f>IFERROR(__xludf.DUMMYFUNCTION(" GOOGLETRANSLATE(C71, ""en"", ""am"")"),"ሀ. ቦክስ ለ. ድብልቅ ማርሻል አርት ሲ.ጁዶ ዲ. የኦሎምፒክ ትግል")</f>
        <v>ሀ. ቦክስ ለ. ድብልቅ ማርሻል አርት ሲ.ጁዶ ዲ. የኦሎምፒክ ትግል</v>
      </c>
      <c r="J71" s="5" t="str">
        <f>IFERROR(__xludf.DUMMYFUNCTION(" GOOGLETRANSLATE(D71, ""en"", ""am"")"),"የኦሎምፒክ ትግል")</f>
        <v>የኦሎምፒክ ትግል</v>
      </c>
      <c r="K71" s="5" t="str">
        <f>IFERROR(__xludf.DUMMYFUNCTION(" GOOGLETRANSLATE(E71, ""en"", ""am"")"),"የአባ ገዳ ትግል ከኦሎምፒክ ትግል ጋር በቴክኒክና በትግል ተመሳሳይነት አለው።")</f>
        <v>የአባ ገዳ ትግል ከኦሎምፒክ ትግል ጋር በቴክኒክና በትግል ተመሳሳይነት አለው።</v>
      </c>
    </row>
    <row r="72" ht="22.5" customHeight="1">
      <c r="A72" s="3">
        <v>71.0</v>
      </c>
      <c r="B72" s="4" t="s">
        <v>1666</v>
      </c>
      <c r="C72" s="4" t="s">
        <v>1667</v>
      </c>
      <c r="D72" s="4" t="s">
        <v>1668</v>
      </c>
      <c r="E72" s="4" t="s">
        <v>1669</v>
      </c>
      <c r="G72" s="5" t="str">
        <f>IFERROR(__xludf.DUMMYFUNCTION(" GOOGLETRANSLATE(A72, ""en"", ""am"")"),"71")</f>
        <v>71</v>
      </c>
      <c r="H72" s="5" t="str">
        <f>IFERROR(__xludf.DUMMYFUNCTION(" GOOGLETRANSLATE(B72, ""en"", ""am"")"),"አባቶችን ለመዋጋት የትኛው ችሎታ ጠቃሚ ነው?")</f>
        <v>አባቶችን ለመዋጋት የትኛው ችሎታ ጠቃሚ ነው?</v>
      </c>
      <c r="I72" s="5" t="str">
        <f>IFERROR(__xludf.DUMMYFUNCTION(" GOOGLETRANSLATE(C72, ""en"", ""am"")"),"ሀ. ጥንካሬ ለ. የፍጥነት ሐ. የአእምሮ ጨዋታዎች D. ሚዛን")</f>
        <v>ሀ. ጥንካሬ ለ. የፍጥነት ሐ. የአእምሮ ጨዋታዎች D. ሚዛን</v>
      </c>
      <c r="J72" s="5" t="str">
        <f>IFERROR(__xludf.DUMMYFUNCTION(" GOOGLETRANSLATE(D72, ""en"", ""am"")"),"ሚዛን")</f>
        <v>ሚዛን</v>
      </c>
      <c r="K72" s="5" t="str">
        <f>IFERROR(__xludf.DUMMYFUNCTION(" GOOGLETRANSLATE(E72, ""en"", ""am"")"),"ሚዛን በጨዋታው ወቅት ቁጥጥርን ለመጠበቅ በትግል ውስጥ ወሳኝ ችሎታ ነው።")</f>
        <v>ሚዛን በጨዋታው ወቅት ቁጥጥርን ለመጠበቅ በትግል ውስጥ ወሳኝ ችሎታ ነው።</v>
      </c>
    </row>
    <row r="73" ht="22.5" customHeight="1">
      <c r="A73" s="3">
        <v>72.0</v>
      </c>
      <c r="B73" s="4" t="s">
        <v>1670</v>
      </c>
      <c r="C73" s="4" t="s">
        <v>1671</v>
      </c>
      <c r="D73" s="4" t="s">
        <v>1672</v>
      </c>
      <c r="E73" s="4" t="s">
        <v>1673</v>
      </c>
      <c r="G73" s="5" t="str">
        <f>IFERROR(__xludf.DUMMYFUNCTION(" GOOGLETRANSLATE(A73, ""en"", ""am"")"),"72")</f>
        <v>72</v>
      </c>
      <c r="H73" s="5" t="str">
        <f>IFERROR(__xludf.DUMMYFUNCTION(" GOOGLETRANSLATE(B73, ""en"", ""am"")"),"የአባ ገዳ ትግል መነሻ ምን ይመስላል?")</f>
        <v>የአባ ገዳ ትግል መነሻ ምን ይመስላል?</v>
      </c>
      <c r="I73" s="5" t="str">
        <f>IFERROR(__xludf.DUMMYFUNCTION(" GOOGLETRANSLATE(C73, ""en"", ""am"")"),"ሀ. በጉልበቶችዎ ላይ ለ. አንድ እጅ መሬት ላይ ሐ. የታጠፈ ቦታ መ. ከፊት ለመቆም")</f>
        <v>ሀ. በጉልበቶችዎ ላይ ለ. አንድ እጅ መሬት ላይ ሐ. የታጠፈ ቦታ መ. ከፊት ለመቆም</v>
      </c>
      <c r="J73" s="5" t="str">
        <f>IFERROR(__xludf.DUMMYFUNCTION(" GOOGLETRANSLATE(D73, ""en"", ""am"")"),"ፊት ለፊት ለመቆም")</f>
        <v>ፊት ለፊት ለመቆም</v>
      </c>
      <c r="K73" s="5" t="str">
        <f>IFERROR(__xludf.DUMMYFUNCTION(" GOOGLETRANSLATE(E73, ""en"", ""am"")"),"የነጻነት ትግሉ ባህላዊ መነሻ ተቃዋሚዎችን እየገጠመ ነው።")</f>
        <v>የነጻነት ትግሉ ባህላዊ መነሻ ተቃዋሚዎችን እየገጠመ ነው።</v>
      </c>
    </row>
    <row r="74" ht="22.5" customHeight="1">
      <c r="A74" s="3">
        <v>73.0</v>
      </c>
      <c r="B74" s="4" t="s">
        <v>1674</v>
      </c>
      <c r="C74" s="4" t="s">
        <v>1675</v>
      </c>
      <c r="D74" s="4" t="s">
        <v>1676</v>
      </c>
      <c r="E74" s="4" t="s">
        <v>1677</v>
      </c>
      <c r="G74" s="5" t="str">
        <f>IFERROR(__xludf.DUMMYFUNCTION(" GOOGLETRANSLATE(A74, ""en"", ""am"")"),"73")</f>
        <v>73</v>
      </c>
      <c r="H74" s="5" t="str">
        <f>IFERROR(__xludf.DUMMYFUNCTION(" GOOGLETRANSLATE(B74, ""en"", ""am"")"),"በአባ ገዳ ትግል ውስጥ ምን አይነት የትግል ስልት በብዛት ጥቅም ላይ ይውላል?")</f>
        <v>በአባ ገዳ ትግል ውስጥ ምን አይነት የትግል ስልት በብዛት ጥቅም ላይ ይውላል?</v>
      </c>
      <c r="I74" s="5" t="str">
        <f>IFERROR(__xludf.DUMMYFUNCTION(" GOOGLETRANSLATE(C74, ""en"", ""am"")"),"ሀ. ዳሌ መጎተት ለ. የጭንቅላት መቆለፍ ሐ. ድርብ እግር ማውረድ D. ዳሌ መጎተት")</f>
        <v>ሀ. ዳሌ መጎተት ለ. የጭንቅላት መቆለፍ ሐ. ድርብ እግር ማውረድ D. ዳሌ መጎተት</v>
      </c>
      <c r="J74" s="5" t="str">
        <f>IFERROR(__xludf.DUMMYFUNCTION(" GOOGLETRANSLATE(D74, ""en"", ""am"")"),"ዳሌ መግፋት")</f>
        <v>ዳሌ መግፋት</v>
      </c>
      <c r="K74" s="5" t="str">
        <f>IFERROR(__xludf.DUMMYFUNCTION(" GOOGLETRANSLATE(E74, ""en"", ""am"")"),"በአባ ገዳ ትግል ውስጥ በብዛት ጥቅም ላይ ከሚውሉት ቴክኒኮች አንዱ ዳሌ መወርወር ነው።")</f>
        <v>በአባ ገዳ ትግል ውስጥ በብዛት ጥቅም ላይ ከሚውሉት ቴክኒኮች አንዱ ዳሌ መወርወር ነው።</v>
      </c>
    </row>
    <row r="75" ht="22.5" customHeight="1">
      <c r="A75" s="3">
        <v>74.0</v>
      </c>
      <c r="B75" s="4" t="s">
        <v>1678</v>
      </c>
      <c r="C75" s="4" t="s">
        <v>1679</v>
      </c>
      <c r="D75" s="4" t="s">
        <v>1680</v>
      </c>
      <c r="E75" s="4" t="s">
        <v>1681</v>
      </c>
      <c r="G75" s="5" t="str">
        <f>IFERROR(__xludf.DUMMYFUNCTION(" GOOGLETRANSLATE(A75, ""en"", ""am"")"),"74")</f>
        <v>74</v>
      </c>
      <c r="H75" s="5" t="str">
        <f>IFERROR(__xludf.DUMMYFUNCTION(" GOOGLETRANSLATE(B75, ""en"", ""am"")"),"በተለመደው የአባ ገዳ ትግል ወቅት የታለመው የተቃዋሚ አካል ባህሪ ምን ይመስላል?")</f>
        <v>በተለመደው የአባ ገዳ ትግል ወቅት የታለመው የተቃዋሚ አካል ባህሪ ምን ይመስላል?</v>
      </c>
      <c r="I75" s="5" t="str">
        <f>IFERROR(__xludf.DUMMYFUNCTION(" GOOGLETRANSLATE(C75, ""en"", ""am"")"),"ሀ. አካል ለ. ክንዶች ሐ. ጭንቅላት መ. አካል")</f>
        <v>ሀ. አካል ለ. ክንዶች ሐ. ጭንቅላት መ. አካል</v>
      </c>
      <c r="J75" s="5" t="str">
        <f>IFERROR(__xludf.DUMMYFUNCTION(" GOOGLETRANSLATE(D75, ""en"", ""am"")"),"አካል")</f>
        <v>አካል</v>
      </c>
      <c r="K75" s="5" t="str">
        <f>IFERROR(__xludf.DUMMYFUNCTION(" GOOGLETRANSLATE(E75, ""en"", ""am"")"),"የተለመደው የአባ ገዳ የውጊያ እንቅስቃሴ ውጤታማ ቁጥጥር ለማድረግ የተቃዋሚውን አካል ያነጣጠረ ነው።")</f>
        <v>የተለመደው የአባ ገዳ የውጊያ እንቅስቃሴ ውጤታማ ቁጥጥር ለማድረግ የተቃዋሚውን አካል ያነጣጠረ ነው።</v>
      </c>
    </row>
    <row r="76" ht="22.5" customHeight="1">
      <c r="A76" s="3">
        <v>75.0</v>
      </c>
      <c r="B76" s="4" t="s">
        <v>1682</v>
      </c>
      <c r="C76" s="4" t="s">
        <v>1683</v>
      </c>
      <c r="D76" s="4" t="s">
        <v>1684</v>
      </c>
      <c r="E76" s="4" t="s">
        <v>1685</v>
      </c>
      <c r="G76" s="5" t="str">
        <f>IFERROR(__xludf.DUMMYFUNCTION(" GOOGLETRANSLATE(A76, ""en"", ""am"")"),"75")</f>
        <v>75</v>
      </c>
      <c r="H76" s="5" t="str">
        <f>IFERROR(__xludf.DUMMYFUNCTION(" GOOGLETRANSLATE(B76, ""en"", ""am"")"),"አባ ገዳ ሬስሊንግ አብዛኛውን ጊዜ የየትኛው ውድድር አካል ነው?")</f>
        <v>አባ ገዳ ሬስሊንግ አብዛኛውን ጊዜ የየትኛው ውድድር አካል ነው?</v>
      </c>
      <c r="I76" s="5" t="str">
        <f>IFERROR(__xludf.DUMMYFUNCTION(" GOOGLETRANSLATE(C76, ""en"", ""am"")"),"ሀ.ሀገራዊ ውድድሮች ለ.ወታደራዊ ስልጠና ሐ.የትምህርት ቤት ውድድር መ.ፌስቲቫሎች")</f>
        <v>ሀ.ሀገራዊ ውድድሮች ለ.ወታደራዊ ስልጠና ሐ.የትምህርት ቤት ውድድር መ.ፌስቲቫሎች</v>
      </c>
      <c r="J76" s="5" t="str">
        <f>IFERROR(__xludf.DUMMYFUNCTION(" GOOGLETRANSLATE(D76, ""en"", ""am"")"),"ፌስቲቫሎች")</f>
        <v>ፌስቲቫሎች</v>
      </c>
      <c r="K76" s="5" t="str">
        <f>IFERROR(__xludf.DUMMYFUNCTION(" GOOGLETRANSLATE(E76, ""en"", ""am"")"),"የአባ ገዳ ትግል የኢትዮጵያውያን በዓላት እና የማህበረሰብ ስብስቦች አካል ነው።")</f>
        <v>የአባ ገዳ ትግል የኢትዮጵያውያን በዓላት እና የማህበረሰብ ስብስቦች አካል ነው።</v>
      </c>
    </row>
    <row r="77" ht="22.5" customHeight="1">
      <c r="A77" s="3">
        <v>76.0</v>
      </c>
      <c r="B77" s="4" t="s">
        <v>1686</v>
      </c>
      <c r="C77" s="4" t="s">
        <v>1687</v>
      </c>
      <c r="D77" s="4" t="s">
        <v>1688</v>
      </c>
      <c r="E77" s="4" t="s">
        <v>1689</v>
      </c>
      <c r="G77" s="5" t="str">
        <f>IFERROR(__xludf.DUMMYFUNCTION(" GOOGLETRANSLATE(A77, ""en"", ""am"")"),"76")</f>
        <v>76</v>
      </c>
      <c r="H77" s="5" t="str">
        <f>IFERROR(__xludf.DUMMYFUNCTION(" GOOGLETRANSLATE(B77, ""en"", ""am"")"),"አነስተኛ ኃይል መጠቀምን የሚያካትት የአባጋ ገዳ የትግል ስልት ማን ይባላል?")</f>
        <v>አነስተኛ ኃይል መጠቀምን የሚያካትት የአባጋ ገዳ የትግል ስልት ማን ይባላል?</v>
      </c>
      <c r="I77" s="5" t="str">
        <f>IFERROR(__xludf.DUMMYFUNCTION(" GOOGLETRANSLATE(C77, ""en"", ""am"")"),"A. Saha B. Teff C. Solve D. Saha")</f>
        <v>A. Saha B. Teff C. Solve D. Saha</v>
      </c>
      <c r="J77" s="5" t="str">
        <f>IFERROR(__xludf.DUMMYFUNCTION(" GOOGLETRANSLATE(D77, ""en"", ""am"")"),"ሳሃ")</f>
        <v>ሳሃ</v>
      </c>
      <c r="K77" s="5" t="str">
        <f>IFERROR(__xludf.DUMMYFUNCTION(" GOOGLETRANSLATE(E77, ""en"", ""am"")"),"በአባ ገዳ ትግል ውስጥ ያለው የሳሃ ዘይቤ አነስተኛ ኃይል እና የበለጠ ስልታዊ እንቅስቃሴን ያጎላል።")</f>
        <v>በአባ ገዳ ትግል ውስጥ ያለው የሳሃ ዘይቤ አነስተኛ ኃይል እና የበለጠ ስልታዊ እንቅስቃሴን ያጎላል።</v>
      </c>
    </row>
    <row r="78" ht="22.5" customHeight="1">
      <c r="A78" s="3">
        <v>77.0</v>
      </c>
      <c r="B78" s="4" t="s">
        <v>1690</v>
      </c>
      <c r="C78" s="4" t="s">
        <v>1691</v>
      </c>
      <c r="D78" s="4" t="s">
        <v>1692</v>
      </c>
      <c r="E78" s="4" t="s">
        <v>1693</v>
      </c>
      <c r="G78" s="5" t="str">
        <f>IFERROR(__xludf.DUMMYFUNCTION(" GOOGLETRANSLATE(A78, ""en"", ""am"")"),"77")</f>
        <v>77</v>
      </c>
      <c r="H78" s="5" t="str">
        <f>IFERROR(__xludf.DUMMYFUNCTION(" GOOGLETRANSLATE(B78, ""en"", ""am"")"),"ገዳ የሚለው ቃል በአባ ገዳ ተጋድሎ ውስጥ ምን ማለት ነው?")</f>
        <v>ገዳ የሚለው ቃል በአባ ገዳ ተጋድሎ ውስጥ ምን ማለት ነው?</v>
      </c>
      <c r="I78" s="5" t="str">
        <f>IFERROR(__xludf.DUMMYFUNCTION(" GOOGLETRANSLATE(C78, ""en"", ""am"")"),"ሀ. ልዩ የውጊያ እንቅስቃሴ ለ. የተዋጊ ደረጃ ሐ. የግጥሚያዎች ቦታ D. የስኬት ደረጃ")</f>
        <v>ሀ. ልዩ የውጊያ እንቅስቃሴ ለ. የተዋጊ ደረጃ ሐ. የግጥሚያዎች ቦታ D. የስኬት ደረጃ</v>
      </c>
      <c r="J78" s="5" t="str">
        <f>IFERROR(__xludf.DUMMYFUNCTION(" GOOGLETRANSLATE(D78, ""en"", ""am"")"),"የስኬት ደረጃ")</f>
        <v>የስኬት ደረጃ</v>
      </c>
      <c r="K78" s="5" t="str">
        <f>IFERROR(__xludf.DUMMYFUNCTION(" GOOGLETRANSLATE(E78, ""en"", ""am"")"),"በአባ ገዳ ትግል ‹ገዳ› በስፖርቱ ውስጥ ያለውን የውጤት ደረጃ ወይም ደረጃ ያመለክታል።")</f>
        <v>በአባ ገዳ ትግል ‹ገዳ› በስፖርቱ ውስጥ ያለውን የውጤት ደረጃ ወይም ደረጃ ያመለክታል።</v>
      </c>
    </row>
    <row r="79" ht="22.5" customHeight="1">
      <c r="A79" s="3">
        <v>78.0</v>
      </c>
      <c r="B79" s="4" t="s">
        <v>1694</v>
      </c>
      <c r="C79" s="4" t="s">
        <v>1695</v>
      </c>
      <c r="D79" s="4" t="s">
        <v>1696</v>
      </c>
      <c r="E79" s="4" t="s">
        <v>1697</v>
      </c>
      <c r="G79" s="5" t="str">
        <f>IFERROR(__xludf.DUMMYFUNCTION(" GOOGLETRANSLATE(A79, ""en"", ""am"")"),"78")</f>
        <v>78</v>
      </c>
      <c r="H79" s="5" t="str">
        <f>IFERROR(__xludf.DUMMYFUNCTION(" GOOGLETRANSLATE(B79, ""en"", ""am"")"),"የአባ ገዳ ሬስሊንግ ተወዳዳሪዎች በተለምዶ እንዴት ይጣጣማሉ?")</f>
        <v>የአባ ገዳ ሬስሊንግ ተወዳዳሪዎች በተለምዶ እንዴት ይጣጣማሉ?</v>
      </c>
      <c r="I79" s="5" t="str">
        <f>IFERROR(__xludf.DUMMYFUNCTION(" GOOGLETRANSLATE(C79, ""en"", ""am"")"),"ሀ. በመጠን ለ. በልምድ ሐ. በክልል መ. በመጠን")</f>
        <v>ሀ. በመጠን ለ. በልምድ ሐ. በክልል መ. በመጠን</v>
      </c>
      <c r="J79" s="5" t="str">
        <f>IFERROR(__xludf.DUMMYFUNCTION(" GOOGLETRANSLATE(D79, ""en"", ""am"")"),"በመጠን")</f>
        <v>በመጠን</v>
      </c>
      <c r="K79" s="5" t="str">
        <f>IFERROR(__xludf.DUMMYFUNCTION(" GOOGLETRANSLATE(E79, ""en"", ""am"")"),"በአባ ገዳ ሬስሊንግ ውስጥ ያሉ ተወዳዳሪዎች በመጠን እና በአካላዊ ባህሪያት ይጣጣማሉ.")</f>
        <v>በአባ ገዳ ሬስሊንግ ውስጥ ያሉ ተወዳዳሪዎች በመጠን እና በአካላዊ ባህሪያት ይጣጣማሉ.</v>
      </c>
    </row>
    <row r="80" ht="22.5" customHeight="1">
      <c r="A80" s="3">
        <v>79.0</v>
      </c>
      <c r="B80" s="4" t="s">
        <v>1698</v>
      </c>
      <c r="C80" s="4" t="s">
        <v>1699</v>
      </c>
      <c r="D80" s="4" t="s">
        <v>1700</v>
      </c>
      <c r="E80" s="4" t="s">
        <v>1701</v>
      </c>
      <c r="G80" s="5" t="str">
        <f>IFERROR(__xludf.DUMMYFUNCTION(" GOOGLETRANSLATE(A80, ""en"", ""am"")"),"79")</f>
        <v>79</v>
      </c>
      <c r="H80" s="5" t="str">
        <f>IFERROR(__xludf.DUMMYFUNCTION(" GOOGLETRANSLATE(B80, ""en"", ""am"")"),"በጨዋታው ወቅት በተዋጊዎቹ የሚጠበቀው የትኛው የሰውነት ክፍል ነው?")</f>
        <v>በጨዋታው ወቅት በተዋጊዎቹ የሚጠበቀው የትኛው የሰውነት ክፍል ነው?</v>
      </c>
      <c r="I80" s="5" t="str">
        <f>IFERROR(__xludf.DUMMYFUNCTION(" GOOGLETRANSLATE(C80, ""en"", ""am"")"),"ሀ. ሆዱ ለ. ጀርባ ሐ. እግር ዲ. አንገት")</f>
        <v>ሀ. ሆዱ ለ. ጀርባ ሐ. እግር ዲ. አንገት</v>
      </c>
      <c r="J80" s="5" t="str">
        <f>IFERROR(__xludf.DUMMYFUNCTION(" GOOGLETRANSLATE(D80, ""en"", ""am"")"),"አንገት")</f>
        <v>አንገት</v>
      </c>
      <c r="K80" s="5" t="str">
        <f>IFERROR(__xludf.DUMMYFUNCTION(" GOOGLETRANSLATE(E80, ""en"", ""am"")"),"ለነፃነት በሚደረገው ትግል አንገት በተጋላጭነት ምክንያት የሚጠበቀው የሰውነት ክፍል ነው።")</f>
        <v>ለነፃነት በሚደረገው ትግል አንገት በተጋላጭነት ምክንያት የሚጠበቀው የሰውነት ክፍል ነው።</v>
      </c>
    </row>
    <row r="81" ht="22.5" customHeight="1">
      <c r="A81" s="3">
        <v>80.0</v>
      </c>
      <c r="B81" s="4" t="s">
        <v>1702</v>
      </c>
      <c r="C81" s="4" t="s">
        <v>1703</v>
      </c>
      <c r="D81" s="4" t="s">
        <v>1704</v>
      </c>
      <c r="E81" s="4" t="s">
        <v>1705</v>
      </c>
      <c r="G81" s="5" t="str">
        <f>IFERROR(__xludf.DUMMYFUNCTION(" GOOGLETRANSLATE(A81, ""en"", ""am"")"),"80")</f>
        <v>80</v>
      </c>
      <c r="H81" s="5" t="str">
        <f>IFERROR(__xludf.DUMMYFUNCTION(" GOOGLETRANSLATE(B81, ""en"", ""am"")"),"በአባ ገዳ ትግል ውስጥ ያሉ ተቋማዊ አካላት ዋና ምክንያት ምንድን ነው?")</f>
        <v>በአባ ገዳ ትግል ውስጥ ያሉ ተቋማዊ አካላት ዋና ምክንያት ምንድን ነው?</v>
      </c>
      <c r="I81" s="5" t="str">
        <f>IFERROR(__xludf.DUMMYFUNCTION(" GOOGLETRANSLATE(C81, ""en"", ""am"")"),"ሀ. ቅድመ አያቶችን ማክበር ለ. ተቃዋሚዎችን ማስፈራራት ሐ. መድረክን ማጽዳት D. ቅድመ አያቶችን ለማክበር")</f>
        <v>ሀ. ቅድመ አያቶችን ማክበር ለ. ተቃዋሚዎችን ማስፈራራት ሐ. መድረክን ማጽዳት D. ቅድመ አያቶችን ለማክበር</v>
      </c>
      <c r="J81" s="5" t="str">
        <f>IFERROR(__xludf.DUMMYFUNCTION(" GOOGLETRANSLATE(D81, ""en"", ""am"")"),"ቅድመ አያቶችን ለማክበር")</f>
        <v>ቅድመ አያቶችን ለማክበር</v>
      </c>
      <c r="K81" s="5" t="str">
        <f>IFERROR(__xludf.DUMMYFUNCTION(" GOOGLETRANSLATE(E81, ""en"", ""am"")"),"የአባ ገዳ ተጋድሎ ዋና ዋና ሥርዓቶች አባቶችን እና ትውፊቶቻቸውን ማክበር ነው።")</f>
        <v>የአባ ገዳ ተጋድሎ ዋና ዋና ሥርዓቶች አባቶችን እና ትውፊቶቻቸውን ማክበር ነው።</v>
      </c>
    </row>
    <row r="82" ht="22.5" customHeight="1">
      <c r="A82" s="3">
        <v>81.0</v>
      </c>
      <c r="B82" s="4" t="s">
        <v>1706</v>
      </c>
      <c r="C82" s="4" t="s">
        <v>1707</v>
      </c>
      <c r="D82" s="4" t="s">
        <v>1708</v>
      </c>
      <c r="E82" s="4" t="s">
        <v>1709</v>
      </c>
      <c r="G82" s="5" t="str">
        <f>IFERROR(__xludf.DUMMYFUNCTION(" GOOGLETRANSLATE(A82, ""en"", ""am"")"),"81")</f>
        <v>81</v>
      </c>
      <c r="H82" s="5" t="str">
        <f>IFERROR(__xludf.DUMMYFUNCTION(" GOOGLETRANSLATE(B82, ""en"", ""am"")"),"የገዳ ተዋጊ አለባበስ ባህሪው ምንድን ነው?")</f>
        <v>የገዳ ተዋጊ አለባበስ ባህሪው ምንድን ነው?</v>
      </c>
      <c r="I82" s="5" t="str">
        <f>IFERROR(__xludf.DUMMYFUNCTION(" GOOGLETRANSLATE(C82, ""en"", ""am"")"),"ሀ. መከላከያ ትጥቅ ለ. ልዩ ቦት ጫማዎች ሐ. ያጌጠ የራስ ማሰሪያ D. ቀላል የጨርቅ ቀበቶ")</f>
        <v>ሀ. መከላከያ ትጥቅ ለ. ልዩ ቦት ጫማዎች ሐ. ያጌጠ የራስ ማሰሪያ D. ቀላል የጨርቅ ቀበቶ</v>
      </c>
      <c r="J82" s="5" t="str">
        <f>IFERROR(__xludf.DUMMYFUNCTION(" GOOGLETRANSLATE(D82, ""en"", ""am"")"),"ቀላል የጨርቅ ቀበቶ")</f>
        <v>ቀላል የጨርቅ ቀበቶ</v>
      </c>
      <c r="K82" s="5" t="str">
        <f>IFERROR(__xludf.DUMMYFUNCTION(" GOOGLETRANSLATE(E82, ""en"", ""am"")"),"የገዳ ታጋዮች በጨዋታው ላይ እንደ አለባበሳቸው በተለምዶ ቀለል ያለ የጨርቅ ቀበቶ ያደርጋሉ።")</f>
        <v>የገዳ ታጋዮች በጨዋታው ላይ እንደ አለባበሳቸው በተለምዶ ቀለል ያለ የጨርቅ ቀበቶ ያደርጋሉ።</v>
      </c>
    </row>
    <row r="83" ht="22.5" customHeight="1">
      <c r="A83" s="3">
        <v>82.0</v>
      </c>
      <c r="B83" s="4" t="s">
        <v>1710</v>
      </c>
      <c r="C83" s="4" t="s">
        <v>1711</v>
      </c>
      <c r="D83" s="4" t="s">
        <v>1712</v>
      </c>
      <c r="E83" s="4" t="s">
        <v>1713</v>
      </c>
      <c r="G83" s="5" t="str">
        <f>IFERROR(__xludf.DUMMYFUNCTION(" GOOGLETRANSLATE(A83, ""en"", ""am"")"),"82")</f>
        <v>82</v>
      </c>
      <c r="H83" s="5" t="str">
        <f>IFERROR(__xludf.DUMMYFUNCTION(" GOOGLETRANSLATE(B83, ""en"", ""am"")"),"ብዙውን ጊዜ የተዋጊ ሰው ችሎታዎች እንዴት ይተላለፋሉ?")</f>
        <v>ብዙውን ጊዜ የተዋጊ ሰው ችሎታዎች እንዴት ይተላለፋሉ?</v>
      </c>
      <c r="I83" s="5" t="str">
        <f>IFERROR(__xludf.DUMMYFUNCTION(" GOOGLETRANSLATE(C83, ""en"", ""am"")"),"ሀ. በፅሁፍ ማኑዋሎች ለ. በመደበኛ ትምህርት ሐ. በቲቪ ግጥሚያዎች D. የቃል ትምህርቶች")</f>
        <v>ሀ. በፅሁፍ ማኑዋሎች ለ. በመደበኛ ትምህርት ሐ. በቲቪ ግጥሚያዎች D. የቃል ትምህርቶች</v>
      </c>
      <c r="J83" s="5" t="str">
        <f>IFERROR(__xludf.DUMMYFUNCTION(" GOOGLETRANSLATE(D83, ""en"", ""am"")"),"የቃል ትምህርቶች")</f>
        <v>የቃል ትምህርቶች</v>
      </c>
      <c r="K83" s="5" t="str">
        <f>IFERROR(__xludf.DUMMYFUNCTION(" GOOGLETRANSLATE(E83, ""en"", ""am"")"),"የገዳ ታጋይ ክህሎት በወጉ የሚተላለፈው በቃል ትምህርት እና በተግባር ማሳያ ነው።")</f>
        <v>የገዳ ታጋይ ክህሎት በወጉ የሚተላለፈው በቃል ትምህርት እና በተግባር ማሳያ ነው።</v>
      </c>
    </row>
    <row r="84" ht="22.5" customHeight="1">
      <c r="A84" s="3">
        <v>83.0</v>
      </c>
      <c r="B84" s="4" t="s">
        <v>1714</v>
      </c>
      <c r="C84" s="4" t="s">
        <v>1715</v>
      </c>
      <c r="D84" s="4" t="s">
        <v>1716</v>
      </c>
      <c r="E84" s="4" t="s">
        <v>1717</v>
      </c>
      <c r="G84" s="5" t="str">
        <f>IFERROR(__xludf.DUMMYFUNCTION(" GOOGLETRANSLATE(A84, ""en"", ""am"")"),"83")</f>
        <v>83</v>
      </c>
      <c r="H84" s="5" t="str">
        <f>IFERROR(__xludf.DUMMYFUNCTION(" GOOGLETRANSLATE(B84, ""en"", ""am"")"),"በአባ ገዳ እልቂት የመከባበር ምልክቱ ምንድን ነው?")</f>
        <v>በአባ ገዳ እልቂት የመከባበር ምልክቱ ምንድን ነው?</v>
      </c>
      <c r="I84" s="5" t="str">
        <f>IFERROR(__xludf.DUMMYFUNCTION(" GOOGLETRANSLATE(C84, ""en"", ""am"")"),"ሀ. ከጨዋታው በኋላ መጨባበጥ ለ. ከጨዋታው በፊት ከተጋጣሚው ጋር መነጋገር ሐ. በሽማግሌዎች ፊት ተንበርክኮ መ. ከጨዋታው በኋላ መጨባበጥ")</f>
        <v>ሀ. ከጨዋታው በኋላ መጨባበጥ ለ. ከጨዋታው በፊት ከተጋጣሚው ጋር መነጋገር ሐ. በሽማግሌዎች ፊት ተንበርክኮ መ. ከጨዋታው በኋላ መጨባበጥ</v>
      </c>
      <c r="J84" s="5" t="str">
        <f>IFERROR(__xludf.DUMMYFUNCTION(" GOOGLETRANSLATE(D84, ""en"", ""am"")"),"ከጨዋታው በኋላ መጨባበጥ")</f>
        <v>ከጨዋታው በኋላ መጨባበጥ</v>
      </c>
      <c r="K84" s="5" t="str">
        <f>IFERROR(__xludf.DUMMYFUNCTION(" GOOGLETRANSLATE(E84, ""en"", ""am"")"),"በትግል ወቅት፣ ከግጥሚያ በኋላ እጅ መጨባበጥ የአክብሮት ምልክት ተደርጎ ይወሰዳል።")</f>
        <v>በትግል ወቅት፣ ከግጥሚያ በኋላ እጅ መጨባበጥ የአክብሮት ምልክት ተደርጎ ይወሰዳል።</v>
      </c>
    </row>
    <row r="85" ht="22.5" customHeight="1">
      <c r="A85" s="3">
        <v>84.0</v>
      </c>
      <c r="B85" s="4" t="s">
        <v>1718</v>
      </c>
      <c r="C85" s="4" t="s">
        <v>1719</v>
      </c>
      <c r="D85" s="4" t="s">
        <v>224</v>
      </c>
      <c r="E85" s="4" t="s">
        <v>1720</v>
      </c>
      <c r="G85" s="5" t="str">
        <f>IFERROR(__xludf.DUMMYFUNCTION(" GOOGLETRANSLATE(A85, ""en"", ""am"")"),"84")</f>
        <v>84</v>
      </c>
      <c r="H85" s="5" t="str">
        <f>IFERROR(__xludf.DUMMYFUNCTION(" GOOGLETRANSLATE(B85, ""en"", ""am"")"),"የአባ ገዳ የትግል ውድድር ከሌሎች የኢትዮጵያ ባህላዊ ስፖርቶች ጋር የሚካሄደው የትኛው ዝግጅት ነው?")</f>
        <v>የአባ ገዳ የትግል ውድድር ከሌሎች የኢትዮጵያ ባህላዊ ስፖርቶች ጋር የሚካሄደው የትኛው ዝግጅት ነው?</v>
      </c>
      <c r="I85" s="5" t="str">
        <f>IFERROR(__xludf.DUMMYFUNCTION(" GOOGLETRANSLATE(C85, ""en"", ""am"")"),"ሀ. አሸዋ ለ. የአድዋ ድል ቀን ሐ. የእውነተኛው መስቀል ፍለጋ ዲ. ኤጲፋኒ")</f>
        <v>ሀ. አሸዋ ለ. የአድዋ ድል ቀን ሐ. የእውነተኛው መስቀል ፍለጋ ዲ. ኤጲፋኒ</v>
      </c>
      <c r="J85" s="5" t="str">
        <f>IFERROR(__xludf.DUMMYFUNCTION(" GOOGLETRANSLATE(D85, ""en"", ""am"")"),"ጥምቀት")</f>
        <v>ጥምቀት</v>
      </c>
      <c r="K85" s="5" t="str">
        <f>IFERROR(__xludf.DUMMYFUNCTION(" GOOGLETRANSLATE(E85, ""en"", ""am"")"),"በዲመቄ ፌስቲቫል ላይ የአባ ገዳ ትግል ከሌሎች የኢትዮጵያ ባህላዊ ስፖርቶች ጋር በብዛት ይታያል።")</f>
        <v>በዲመቄ ፌስቲቫል ላይ የአባ ገዳ ትግል ከሌሎች የኢትዮጵያ ባህላዊ ስፖርቶች ጋር በብዛት ይታያል።</v>
      </c>
    </row>
    <row r="86" ht="22.5" customHeight="1">
      <c r="A86" s="3">
        <v>85.0</v>
      </c>
      <c r="B86" s="4" t="s">
        <v>1721</v>
      </c>
      <c r="C86" s="4" t="s">
        <v>1722</v>
      </c>
      <c r="D86" s="4" t="s">
        <v>1723</v>
      </c>
      <c r="E86" s="4" t="s">
        <v>1724</v>
      </c>
      <c r="G86" s="5" t="str">
        <f>IFERROR(__xludf.DUMMYFUNCTION(" GOOGLETRANSLATE(A86, ""en"", ""am"")"),"85")</f>
        <v>85</v>
      </c>
      <c r="H86" s="5" t="str">
        <f>IFERROR(__xludf.DUMMYFUNCTION(" GOOGLETRANSLATE(B86, ""en"", ""am"")"),"የአብጋ ገዳ ትግል ከሌሎች የትግል ስልቶች ጋር ሲወዳደር ዋናው ፋይዳ ምንድን ነው?")</f>
        <v>የአብጋ ገዳ ትግል ከሌሎች የትግል ስልቶች ጋር ሲወዳደር ዋናው ፋይዳ ምንድን ነው?</v>
      </c>
      <c r="I86" s="5" t="str">
        <f>IFERROR(__xludf.DUMMYFUNCTION(" GOOGLETRANSLATE(C86, ""en"", ""am"")"),"ሀ. በአካላዊ ጥንካሬ ላይ ብቻ ያተኩራል ለ. ዳንስ መሰል እንቅስቃሴዎችን ያካትታል ሐ. መደበኛ ስልጠና አያስፈልግም መ. የአዕምሮ እና የአካል ጥንካሬን ያጣምራል.")</f>
        <v>ሀ. በአካላዊ ጥንካሬ ላይ ብቻ ያተኩራል ለ. ዳንስ መሰል እንቅስቃሴዎችን ያካትታል ሐ. መደበኛ ስልጠና አያስፈልግም መ. የአዕምሮ እና የአካል ጥንካሬን ያጣምራል.</v>
      </c>
      <c r="J86" s="5" t="str">
        <f>IFERROR(__xludf.DUMMYFUNCTION(" GOOGLETRANSLATE(D86, ""en"", ""am"")"),"የአእምሮ እና የአካል ጥንካሬን ያጣምራል።")</f>
        <v>የአእምሮ እና የአካል ጥንካሬን ያጣምራል።</v>
      </c>
      <c r="K86" s="5" t="str">
        <f>IFERROR(__xludf.DUMMYFUNCTION(" GOOGLETRANSLATE(E86, ""en"", ""am"")"),"የአባ ገዳ ትግል ቁልፍ ጠቀሜታ በቴክኒኮቹ ውስጥ የአእምሮ እና የአካል ጥንካሬን በማጣመር ነው።")</f>
        <v>የአባ ገዳ ትግል ቁልፍ ጠቀሜታ በቴክኒኮቹ ውስጥ የአእምሮ እና የአካል ጥንካሬን በማጣመር ነው።</v>
      </c>
    </row>
    <row r="87" ht="22.5" customHeight="1">
      <c r="A87" s="3">
        <v>86.0</v>
      </c>
      <c r="B87" s="4" t="s">
        <v>1725</v>
      </c>
      <c r="C87" s="4" t="s">
        <v>1726</v>
      </c>
      <c r="D87" s="4" t="s">
        <v>1727</v>
      </c>
      <c r="E87" s="4" t="s">
        <v>1728</v>
      </c>
      <c r="G87" s="5" t="str">
        <f>IFERROR(__xludf.DUMMYFUNCTION(" GOOGLETRANSLATE(A87, ""en"", ""am"")"),"86")</f>
        <v>86</v>
      </c>
      <c r="H87" s="5" t="str">
        <f>IFERROR(__xludf.DUMMYFUNCTION(" GOOGLETRANSLATE(B87, ""en"", ""am"")"),"ከሚከተሉት ውስጥ ለአባ ገዳ ትግል ጠቃሚ የሆነው የትኛው ነው?")</f>
        <v>ከሚከተሉት ውስጥ ለአባ ገዳ ትግል ጠቃሚ የሆነው የትኛው ነው?</v>
      </c>
      <c r="I87" s="5" t="str">
        <f>IFERROR(__xludf.DUMMYFUNCTION(" GOOGLETRANSLATE(C87, ""en"", ""am"")"),"ሀ. የአዕምሮ ስልት ለ. የቴክኖሎጂ መሳሪያዎች ሐ. ማህበራዊ ግንኙነቶች መ. የአእምሮ ስልት")</f>
        <v>ሀ. የአዕምሮ ስልት ለ. የቴክኖሎጂ መሳሪያዎች ሐ. ማህበራዊ ግንኙነቶች መ. የአእምሮ ስልት</v>
      </c>
      <c r="J87" s="5" t="str">
        <f>IFERROR(__xludf.DUMMYFUNCTION(" GOOGLETRANSLATE(D87, ""en"", ""am"")"),"የአዕምሮ ስልት")</f>
        <v>የአዕምሮ ስልት</v>
      </c>
      <c r="K87" s="5" t="str">
        <f>IFERROR(__xludf.DUMMYFUNCTION(" GOOGLETRANSLATE(E87, ""en"", ""am"")"),"የአእምሮ ስልት ለትግል ግጥሚያ ስኬት ወሳኝ ነው ምክንያቱም በጥንቃቄ ማቀድ እና ስለ ተቃዋሚ ማሰብን ያካትታል.")</f>
        <v>የአእምሮ ስልት ለትግል ግጥሚያ ስኬት ወሳኝ ነው ምክንያቱም በጥንቃቄ ማቀድ እና ስለ ተቃዋሚ ማሰብን ያካትታል.</v>
      </c>
    </row>
    <row r="88" ht="22.5" customHeight="1">
      <c r="A88" s="3">
        <v>87.0</v>
      </c>
      <c r="B88" s="4" t="s">
        <v>1729</v>
      </c>
      <c r="C88" s="4" t="s">
        <v>1730</v>
      </c>
      <c r="D88" s="4" t="s">
        <v>1731</v>
      </c>
      <c r="E88" s="4" t="s">
        <v>1732</v>
      </c>
      <c r="G88" s="5" t="str">
        <f>IFERROR(__xludf.DUMMYFUNCTION(" GOOGLETRANSLATE(A88, ""en"", ""am"")"),"87")</f>
        <v>87</v>
      </c>
      <c r="H88" s="5" t="str">
        <f>IFERROR(__xludf.DUMMYFUNCTION(" GOOGLETRANSLATE(B88, ""en"", ""am"")"),"በአባ ገዳ የትግል ዝግጅት ላይ ምን አይነት ታዳሚ ይገኝ ይሆን?")</f>
        <v>በአባ ገዳ የትግል ዝግጅት ላይ ምን አይነት ታዳሚ ይገኝ ይሆን?</v>
      </c>
      <c r="I88" s="5" t="str">
        <f>IFERROR(__xludf.DUMMYFUNCTION(" GOOGLETRANSLATE(C88, ""en"", ""am"")"),"ሀ. የውጭ ሀገር ቱሪስቶች ለ. የመንግስት ባለስልጣናት ሐ. ታዋቂ አትሌቶች ዲ. የማህበረሰብ አባላት")</f>
        <v>ሀ. የውጭ ሀገር ቱሪስቶች ለ. የመንግስት ባለስልጣናት ሐ. ታዋቂ አትሌቶች ዲ. የማህበረሰብ አባላት</v>
      </c>
      <c r="J88" s="5" t="str">
        <f>IFERROR(__xludf.DUMMYFUNCTION(" GOOGLETRANSLATE(D88, ""en"", ""am"")"),"የማህበረሰብ አባላት")</f>
        <v>የማህበረሰብ አባላት</v>
      </c>
      <c r="K88" s="5" t="str">
        <f>IFERROR(__xludf.DUMMYFUNCTION(" GOOGLETRANSLATE(E88, ""en"", ""am"")"),"በአባ ገዳ የትግል ዝግጅት ላይ የተገኙት ታዳሚዎች በተለምዶ ከአካባቢው ማህበረሰብ አባላት የተውጣጡ እና ባህሉን ለማክበር የሚሰበሰቡ ናቸው።")</f>
        <v>በአባ ገዳ የትግል ዝግጅት ላይ የተገኙት ታዳሚዎች በተለምዶ ከአካባቢው ማህበረሰብ አባላት የተውጣጡ እና ባህሉን ለማክበር የሚሰበሰቡ ናቸው።</v>
      </c>
    </row>
    <row r="89" ht="22.5" customHeight="1">
      <c r="A89" s="3">
        <v>88.0</v>
      </c>
      <c r="B89" s="4" t="s">
        <v>1733</v>
      </c>
      <c r="C89" s="4" t="s">
        <v>1734</v>
      </c>
      <c r="D89" s="4" t="s">
        <v>1735</v>
      </c>
      <c r="E89" s="4" t="s">
        <v>1736</v>
      </c>
      <c r="G89" s="5" t="str">
        <f>IFERROR(__xludf.DUMMYFUNCTION(" GOOGLETRANSLATE(A89, ""en"", ""am"")"),"88")</f>
        <v>88</v>
      </c>
      <c r="H89" s="5" t="str">
        <f>IFERROR(__xludf.DUMMYFUNCTION(" GOOGLETRANSLATE(B89, ""en"", ""am"")"),"በአባ ገዳ ጦርነት የተገኘውን ድል ቀጥሎ ምን አይነት ክብረ በዓላት ነው?")</f>
        <v>በአባ ገዳ ጦርነት የተገኘውን ድል ቀጥሎ ምን አይነት ክብረ በዓላት ነው?</v>
      </c>
      <c r="I89" s="5" t="str">
        <f>IFERROR(__xludf.DUMMYFUNCTION(" GOOGLETRANSLATE(C89, ""en"", ""am"")"),"ሀ. ሃይማኖታዊ ሥርዓቶች ለ. የስፖርት ፌስቲቫሎች ሐ. ብሄራዊ ሰልፎች መ. የማህበረሰብ ፌስቲቫሎች")</f>
        <v>ሀ. ሃይማኖታዊ ሥርዓቶች ለ. የስፖርት ፌስቲቫሎች ሐ. ብሄራዊ ሰልፎች መ. የማህበረሰብ ፌስቲቫሎች</v>
      </c>
      <c r="J89" s="5" t="str">
        <f>IFERROR(__xludf.DUMMYFUNCTION(" GOOGLETRANSLATE(D89, ""en"", ""am"")"),"የማህበረሰብ በዓላት")</f>
        <v>የማህበረሰብ በዓላት</v>
      </c>
      <c r="K89" s="5" t="str">
        <f>IFERROR(__xludf.DUMMYFUNCTION(" GOOGLETRANSLATE(E89, ""en"", ""am"")"),"በአባ ገዳ ጦርነት የተመዘገቡ ድሎች ብዙ ጊዜ በህብረተሰብ ድግስና በስብሰባ ይከበራል።")</f>
        <v>በአባ ገዳ ጦርነት የተመዘገቡ ድሎች ብዙ ጊዜ በህብረተሰብ ድግስና በስብሰባ ይከበራል።</v>
      </c>
    </row>
    <row r="90" ht="22.5" customHeight="1">
      <c r="A90" s="3">
        <v>89.0</v>
      </c>
      <c r="B90" s="4" t="s">
        <v>1737</v>
      </c>
      <c r="C90" s="4" t="s">
        <v>1738</v>
      </c>
      <c r="D90" s="4" t="s">
        <v>1739</v>
      </c>
      <c r="E90" s="4" t="s">
        <v>1740</v>
      </c>
      <c r="G90" s="5" t="str">
        <f>IFERROR(__xludf.DUMMYFUNCTION(" GOOGLETRANSLATE(A90, ""en"", ""am"")"),"89")</f>
        <v>89</v>
      </c>
      <c r="H90" s="5" t="str">
        <f>IFERROR(__xludf.DUMMYFUNCTION(" GOOGLETRANSLATE(B90, ""en"", ""am"")"),"ከስፖርቱ አንፃር “ጋዳ” የሚለው ርዕስ ዓላማው ምንድን ነው?")</f>
        <v>ከስፖርቱ አንፃር “ጋዳ” የሚለው ርዕስ ዓላማው ምንድን ነው?</v>
      </c>
      <c r="I90" s="5" t="str">
        <f>IFERROR(__xludf.DUMMYFUNCTION(" GOOGLETRANSLATE(C90, ""en"", ""am"")"),"ሀ/ የውጊያ ቀጠና ለማመልከት። ለ. የግጥሚያውን አጀማመር ምልክት ለማድረግ ሐ. ቅጣትን ለመጠቆም መ. ከፍተኛውን የስኬት ደረጃ ለማመልከት.")</f>
        <v>ሀ/ የውጊያ ቀጠና ለማመልከት። ለ. የግጥሚያውን አጀማመር ምልክት ለማድረግ ሐ. ቅጣትን ለመጠቆም መ. ከፍተኛውን የስኬት ደረጃ ለማመልከት.</v>
      </c>
      <c r="J90" s="5" t="str">
        <f>IFERROR(__xludf.DUMMYFUNCTION(" GOOGLETRANSLATE(D90, ""en"", ""am"")"),"ከፍተኛውን የስኬት ደረጃ ለማመልከት.")</f>
        <v>ከፍተኛውን የስኬት ደረጃ ለማመልከት.</v>
      </c>
      <c r="K90" s="5" t="str">
        <f>IFERROR(__xludf.DUMMYFUNCTION(" GOOGLETRANSLATE(E90, ""en"", ""am"")"),"‘ገዳ’ የሚለው ማዕረግ አንድ ታጋይ ለነጻነት በሚደረገው ትግል ሊያገኘው የሚችለውን ከፍተኛ የድል ምልክት ነው።")</f>
        <v>‘ገዳ’ የሚለው ማዕረግ አንድ ታጋይ ለነጻነት በሚደረገው ትግል ሊያገኘው የሚችለውን ከፍተኛ የድል ምልክት ነው።</v>
      </c>
    </row>
    <row r="91" ht="22.5" customHeight="1">
      <c r="A91" s="3">
        <v>90.0</v>
      </c>
      <c r="B91" s="4" t="s">
        <v>1741</v>
      </c>
      <c r="C91" s="4" t="s">
        <v>1742</v>
      </c>
      <c r="D91" s="4" t="s">
        <v>1743</v>
      </c>
      <c r="E91" s="4" t="s">
        <v>1744</v>
      </c>
      <c r="G91" s="5" t="str">
        <f>IFERROR(__xludf.DUMMYFUNCTION(" GOOGLETRANSLATE(A91, ""en"", ""am"")"),"90")</f>
        <v>90</v>
      </c>
      <c r="H91" s="5" t="str">
        <f>IFERROR(__xludf.DUMMYFUNCTION(" GOOGLETRANSLATE(B91, ""en"", ""am"")"),"ለአባ ገዳ የትግል ውድድር ወደ ቀለበት ከመግባታችን በፊት የተለመደው አሰራር ምን ይመስላል?")</f>
        <v>ለአባ ገዳ የትግል ውድድር ወደ ቀለበት ከመግባታችን በፊት የተለመደው አሰራር ምን ይመስላል?</v>
      </c>
      <c r="I91" s="5" t="str">
        <f>IFERROR(__xludf.DUMMYFUNCTION(" GOOGLETRANSLATE(C91, ""en"", ""am"")"),"ሀ. ሊዘረጋ የሚችል ማሞቂያ ለ. ጸሎት ሐ. መደበኛ የእጅ መጨባበጥ መ. መንፈሳዊ የማንጻት ሥርዓት")</f>
        <v>ሀ. ሊዘረጋ የሚችል ማሞቂያ ለ. ጸሎት ሐ. መደበኛ የእጅ መጨባበጥ መ. መንፈሳዊ የማንጻት ሥርዓት</v>
      </c>
      <c r="J91" s="5" t="str">
        <f>IFERROR(__xludf.DUMMYFUNCTION(" GOOGLETRANSLATE(D91, ""en"", ""am"")"),"መንፈሳዊ የመንጻት ሥርዓት")</f>
        <v>መንፈሳዊ የመንጻት ሥርዓት</v>
      </c>
      <c r="K91" s="5" t="str">
        <f>IFERROR(__xludf.DUMMYFUNCTION(" GOOGLETRANSLATE(E91, ""en"", ""am"")"),"ወደ ቀለበት ከመግባቱ በፊት መንፈሳዊ የመንጻት ሥነ ሥርዓት እንደ የሥርዓተ ሥርዓቱ አካል ነው የሚከናወነው።")</f>
        <v>ወደ ቀለበት ከመግባቱ በፊት መንፈሳዊ የመንጻት ሥነ ሥርዓት እንደ የሥርዓተ ሥርዓቱ አካል ነው የሚከናወነው።</v>
      </c>
    </row>
    <row r="92" ht="22.5" customHeight="1">
      <c r="A92" s="3">
        <v>91.0</v>
      </c>
      <c r="B92" s="4" t="s">
        <v>1745</v>
      </c>
      <c r="C92" s="4" t="s">
        <v>1746</v>
      </c>
      <c r="D92" s="4" t="s">
        <v>1747</v>
      </c>
      <c r="E92" s="4" t="s">
        <v>1748</v>
      </c>
      <c r="G92" s="5" t="str">
        <f>IFERROR(__xludf.DUMMYFUNCTION(" GOOGLETRANSLATE(A92, ""en"", ""am"")"),"91")</f>
        <v>91</v>
      </c>
      <c r="H92" s="5" t="str">
        <f>IFERROR(__xludf.DUMMYFUNCTION(" GOOGLETRANSLATE(B92, ""en"", ""am"")"),"በየትኛው የትግል ግጥሚያ ተፎካካሪዎቹ እጃቸውንና እግሮቻቸውን በእኩልነት ይጠቀማሉ?")</f>
        <v>በየትኛው የትግል ግጥሚያ ተፎካካሪዎቹ እጃቸውንና እግሮቻቸውን በእኩልነት ይጠቀማሉ?</v>
      </c>
      <c r="I92" s="5" t="str">
        <f>IFERROR(__xludf.DUMMYFUNCTION(" GOOGLETRANSLATE(C92, ""en"", ""am"")"),"ሀ. ሳሃ ስታይል ለ.ባህላዊ ዘይቤ ሐ.ዘመናዊ ዘይቤ መ.ጋዳ ዘይቤ")</f>
        <v>ሀ. ሳሃ ስታይል ለ.ባህላዊ ዘይቤ ሐ.ዘመናዊ ዘይቤ መ.ጋዳ ዘይቤ</v>
      </c>
      <c r="J92" s="5" t="str">
        <f>IFERROR(__xludf.DUMMYFUNCTION(" GOOGLETRANSLATE(D92, ""en"", ""am"")"),"የጋዳ ዘይቤ")</f>
        <v>የጋዳ ዘይቤ</v>
      </c>
      <c r="K92" s="5" t="str">
        <f>IFERROR(__xludf.DUMMYFUNCTION(" GOOGLETRANSLATE(E92, ""en"", ""am"")"),"በገዳ አባ ገዳ የትግል ስልት ሁለቱም እጆች እና እግሮች ለመዋጋት እና ለመከላከል እኩል ጥቅም ላይ ይውላሉ።")</f>
        <v>በገዳ አባ ገዳ የትግል ስልት ሁለቱም እጆች እና እግሮች ለመዋጋት እና ለመከላከል እኩል ጥቅም ላይ ይውላሉ።</v>
      </c>
    </row>
    <row r="93" ht="22.5" customHeight="1">
      <c r="A93" s="3">
        <v>92.0</v>
      </c>
      <c r="B93" s="4" t="s">
        <v>1749</v>
      </c>
      <c r="C93" s="4" t="s">
        <v>1750</v>
      </c>
      <c r="D93" s="4" t="s">
        <v>1412</v>
      </c>
      <c r="E93" s="4" t="s">
        <v>1751</v>
      </c>
      <c r="G93" s="5" t="str">
        <f>IFERROR(__xludf.DUMMYFUNCTION(" GOOGLETRANSLATE(A93, ""en"", ""am"")"),"92")</f>
        <v>92</v>
      </c>
      <c r="H93" s="5" t="str">
        <f>IFERROR(__xludf.DUMMYFUNCTION(" GOOGLETRANSLATE(B93, ""en"", ""am"")"),"በአባ ገዳ የትግል ወግ ውስጥ የሚታየው የየትኛው ክልል ባህላዊ ቅርስ ነው?")</f>
        <v>በአባ ገዳ የትግል ወግ ውስጥ የሚታየው የየትኛው ክልል ባህላዊ ቅርስ ነው?</v>
      </c>
      <c r="I93" s="5" t="str">
        <f>IFERROR(__xludf.DUMMYFUNCTION(" GOOGLETRANSLATE(C93, ""en"", ""am"")"),"አ.አማራ ብ ትግራይ ሲ.ቤንሻንጉል ጉሙዝ ደ.ኦሮሚያ")</f>
        <v>አ.አማራ ብ ትግራይ ሲ.ቤንሻንጉል ጉሙዝ ደ.ኦሮሚያ</v>
      </c>
      <c r="J93" s="5" t="str">
        <f>IFERROR(__xludf.DUMMYFUNCTION(" GOOGLETRANSLATE(D93, ""en"", ""am"")"),"ኦሮሚያ")</f>
        <v>ኦሮሚያ</v>
      </c>
      <c r="K93" s="5" t="str">
        <f>IFERROR(__xludf.DUMMYFUNCTION(" GOOGLETRANSLATE(E93, ""en"", ""am"")"),"የአባ ገዳ ትግል የኦሮሚያ ክልል የኢትዮጵያን ባህላዊ ቅርስ ያሳያል።")</f>
        <v>የአባ ገዳ ትግል የኦሮሚያ ክልል የኢትዮጵያን ባህላዊ ቅርስ ያሳያል።</v>
      </c>
    </row>
    <row r="94" ht="22.5" customHeight="1">
      <c r="A94" s="3">
        <v>93.0</v>
      </c>
      <c r="B94" s="4" t="s">
        <v>1752</v>
      </c>
      <c r="C94" s="4" t="s">
        <v>1753</v>
      </c>
      <c r="D94" s="4" t="s">
        <v>1754</v>
      </c>
      <c r="E94" s="4" t="s">
        <v>1755</v>
      </c>
      <c r="G94" s="5" t="str">
        <f>IFERROR(__xludf.DUMMYFUNCTION(" GOOGLETRANSLATE(A94, ""en"", ""am"")"),"93")</f>
        <v>93</v>
      </c>
      <c r="H94" s="5" t="str">
        <f>IFERROR(__xludf.DUMMYFUNCTION(" GOOGLETRANSLATE(B94, ""en"", ""am"")"),"ከአባ ገዳ ትግል መስፋፋት ጋር የተያያዘው የትኛው ታሪካዊ ኢትዮጵያዊ ነው?")</f>
        <v>ከአባ ገዳ ትግል መስፋፋት ጋር የተያያዘው የትኛው ታሪካዊ ኢትዮጵያዊ ነው?</v>
      </c>
      <c r="I94" s="5" t="str">
        <f>IFERROR(__xludf.DUMMYFUNCTION(" GOOGLETRANSLATE(C94, ""en"", ""am"")"),"አ. እቴጌ ጣይቱ ብ ኃይለ ሥላሴ ሐ. አፄ ኃይለ መለኮት ዲ. አፄ ምኒልክ ዳግማዊ")</f>
        <v>አ. እቴጌ ጣይቱ ብ ኃይለ ሥላሴ ሐ. አፄ ኃይለ መለኮት ዲ. አፄ ምኒልክ ዳግማዊ</v>
      </c>
      <c r="J94" s="5" t="str">
        <f>IFERROR(__xludf.DUMMYFUNCTION(" GOOGLETRANSLATE(D94, ""en"", ""am"")"),"ዳግማዊ አፄ ምኒልክ")</f>
        <v>ዳግማዊ አፄ ምኒልክ</v>
      </c>
      <c r="K94" s="5" t="str">
        <f>IFERROR(__xludf.DUMMYFUNCTION(" GOOGLETRANSLATE(E94, ""en"", ""am"")"),"ዳግማዊ አፄ ምኒልክ እንደ አባ ገዳ ትግል ያሉ የኢትዮጵያን ባህላዊ ስፖርቶች በማስተዋወቅ ትልቅ ሚና ተጫውተዋል።")</f>
        <v>ዳግማዊ አፄ ምኒልክ እንደ አባ ገዳ ትግል ያሉ የኢትዮጵያን ባህላዊ ስፖርቶች በማስተዋወቅ ትልቅ ሚና ተጫውተዋል።</v>
      </c>
    </row>
    <row r="95" ht="22.5" customHeight="1">
      <c r="A95" s="3">
        <v>94.0</v>
      </c>
      <c r="B95" s="4" t="s">
        <v>1756</v>
      </c>
      <c r="C95" s="4" t="s">
        <v>1757</v>
      </c>
      <c r="D95" s="4" t="s">
        <v>1758</v>
      </c>
      <c r="E95" s="4" t="s">
        <v>1759</v>
      </c>
      <c r="G95" s="5" t="str">
        <f>IFERROR(__xludf.DUMMYFUNCTION(" GOOGLETRANSLATE(A95, ""en"", ""am"")"),"94")</f>
        <v>94</v>
      </c>
      <c r="H95" s="5" t="str">
        <f>IFERROR(__xludf.DUMMYFUNCTION(" GOOGLETRANSLATE(B95, ""en"", ""am"")"),"የአባ ገዳን ትግል ለማስተናገድ ምን አይነት አካባቢ ተስማሚ ነው?")</f>
        <v>የአባ ገዳን ትግል ለማስተናገድ ምን አይነት አካባቢ ተስማሚ ነው?</v>
      </c>
      <c r="I95" s="5" t="str">
        <f>IFERROR(__xludf.DUMMYFUNCTION(" GOOGLETRANSLATE(C95, ""en"", ""am"")"),"ሀ. የቤት ውስጥ መድረኮች ለ. ተራራማ አካባቢዎች ሐ. የወንዝ ዳርቻ አካባቢዎች መ. ክፍት ሜዳዎች")</f>
        <v>ሀ. የቤት ውስጥ መድረኮች ለ. ተራራማ አካባቢዎች ሐ. የወንዝ ዳርቻ አካባቢዎች መ. ክፍት ሜዳዎች</v>
      </c>
      <c r="J95" s="5" t="str">
        <f>IFERROR(__xludf.DUMMYFUNCTION(" GOOGLETRANSLATE(D95, ""en"", ""am"")"),"ክፍት መስኮች")</f>
        <v>ክፍት መስኮች</v>
      </c>
      <c r="K95" s="5" t="str">
        <f>IFERROR(__xludf.DUMMYFUNCTION(" GOOGLETRANSLATE(E95, ""en"", ""am"")"),"የአባ ገዳ ትግል በተለምዶ ሜዳ ላይ የሚካሄደው ፌስቲቫሎች እና ማህበረሰብ በሚሰበሰብበት ወቅት ነው።")</f>
        <v>የአባ ገዳ ትግል በተለምዶ ሜዳ ላይ የሚካሄደው ፌስቲቫሎች እና ማህበረሰብ በሚሰበሰብበት ወቅት ነው።</v>
      </c>
    </row>
    <row r="96" ht="22.5" customHeight="1">
      <c r="A96" s="3">
        <v>95.0</v>
      </c>
      <c r="B96" s="4" t="s">
        <v>1760</v>
      </c>
      <c r="C96" s="4" t="s">
        <v>1761</v>
      </c>
      <c r="D96" s="4" t="s">
        <v>1762</v>
      </c>
      <c r="E96" s="4" t="s">
        <v>1763</v>
      </c>
      <c r="G96" s="5" t="str">
        <f>IFERROR(__xludf.DUMMYFUNCTION(" GOOGLETRANSLATE(A96, ""en"", ""am"")"),"95")</f>
        <v>95</v>
      </c>
      <c r="H96" s="5" t="str">
        <f>IFERROR(__xludf.DUMMYFUNCTION(" GOOGLETRANSLATE(B96, ""en"", ""am"")"),"የአባ ገዳ ትግል ጉልህ ታሪካዊ ሚና ምን ነበር?")</f>
        <v>የአባ ገዳ ትግል ጉልህ ታሪካዊ ሚና ምን ነበር?</v>
      </c>
      <c r="I96" s="5" t="str">
        <f>IFERROR(__xludf.DUMMYFUNCTION(" GOOGLETRANSLATE(C96, ""en"", ""am"")"),"ሀ. ፈረሰኞቹን ለማዝናናት ለ. ተዋጊዎችን ማሰልጠን ሐ. የመትረፍ ችሎታን ማስተማር መ. ወጣት ወንዶችን ለአመራር ሚና ማዘጋጀት")</f>
        <v>ሀ. ፈረሰኞቹን ለማዝናናት ለ. ተዋጊዎችን ማሰልጠን ሐ. የመትረፍ ችሎታን ማስተማር መ. ወጣት ወንዶችን ለአመራር ሚና ማዘጋጀት</v>
      </c>
      <c r="J96" s="5" t="str">
        <f>IFERROR(__xludf.DUMMYFUNCTION(" GOOGLETRANSLATE(D96, ""en"", ""am"")"),"ወጣት ወንዶችን ለአመራር ሚና ለማዘጋጀት")</f>
        <v>ወጣት ወንዶችን ለአመራር ሚና ለማዘጋጀት</v>
      </c>
      <c r="K96" s="5" t="str">
        <f>IFERROR(__xludf.DUMMYFUNCTION(" GOOGLETRANSLATE(E96, ""en"", ""am"")"),"የአባ ገዳ ትግል ጉልህ ታሪካዊ ሚና ወጣቶችን ለአመራር እና ለማህበረሰብ ሚና ማዘጋጀት ነበር።")</f>
        <v>የአባ ገዳ ትግል ጉልህ ታሪካዊ ሚና ወጣቶችን ለአመራር እና ለማህበረሰብ ሚና ማዘጋጀት ነበር።</v>
      </c>
    </row>
    <row r="97" ht="22.5" customHeight="1">
      <c r="A97" s="3">
        <v>96.0</v>
      </c>
      <c r="B97" s="4" t="s">
        <v>1764</v>
      </c>
      <c r="C97" s="4" t="s">
        <v>1765</v>
      </c>
      <c r="D97" s="4" t="s">
        <v>1621</v>
      </c>
      <c r="E97" s="4" t="s">
        <v>1766</v>
      </c>
      <c r="G97" s="5" t="str">
        <f>IFERROR(__xludf.DUMMYFUNCTION(" GOOGLETRANSLATE(A97, ""en"", ""am"")"),"96")</f>
        <v>96</v>
      </c>
      <c r="H97" s="5" t="str">
        <f>IFERROR(__xludf.DUMMYFUNCTION(" GOOGLETRANSLATE(B97, ""en"", ""am"")"),"በአባ ገዳ የትግል ውድድር ወቅት የትግል ዋና አላማው ምንድን ነው?")</f>
        <v>በአባ ገዳ የትግል ውድድር ወቅት የትግል ዋና አላማው ምንድን ነው?</v>
      </c>
      <c r="I97" s="5" t="str">
        <f>IFERROR(__xludf.DUMMYFUNCTION(" GOOGLETRANSLATE(C97, ""en"", ""am"")"),"ሀ. ተቃዋሚውን ለማራዘም ለ. ተቃዋሚውን እንዲሰጥ ማስገደድ ሐ. ብዙ ነጥቦችን ለማግኘት መ. ተቃዋሚውን ለመሰካት")</f>
        <v>ሀ. ተቃዋሚውን ለማራዘም ለ. ተቃዋሚውን እንዲሰጥ ማስገደድ ሐ. ብዙ ነጥቦችን ለማግኘት መ. ተቃዋሚውን ለመሰካት</v>
      </c>
      <c r="J97" s="5" t="str">
        <f>IFERROR(__xludf.DUMMYFUNCTION(" GOOGLETRANSLATE(D97, ""en"", ""am"")"),"ተቃዋሚውን ለመሰካት")</f>
        <v>ተቃዋሚውን ለመሰካት</v>
      </c>
      <c r="K97" s="5" t="str">
        <f>IFERROR(__xludf.DUMMYFUNCTION(" GOOGLETRANSLATE(E97, ""en"", ""am"")"),"የአባ ገዳ ሬስሊንግ ዋና ግብ ተጋጣሚውን በጨዋታው መቆጣጠር ነው።")</f>
        <v>የአባ ገዳ ሬስሊንግ ዋና ግብ ተጋጣሚውን በጨዋታው መቆጣጠር ነው።</v>
      </c>
    </row>
    <row r="98" ht="22.5" customHeight="1">
      <c r="A98" s="3">
        <v>97.0</v>
      </c>
      <c r="B98" s="4" t="s">
        <v>1767</v>
      </c>
      <c r="C98" s="4" t="s">
        <v>1768</v>
      </c>
      <c r="D98" s="4" t="s">
        <v>1769</v>
      </c>
      <c r="E98" s="4" t="s">
        <v>1770</v>
      </c>
      <c r="G98" s="5" t="str">
        <f>IFERROR(__xludf.DUMMYFUNCTION(" GOOGLETRANSLATE(A98, ""en"", ""am"")"),"97")</f>
        <v>97</v>
      </c>
      <c r="H98" s="5" t="str">
        <f>IFERROR(__xludf.DUMMYFUNCTION(" GOOGLETRANSLATE(B98, ""en"", ""am"")"),"ከሚከተሉት ውስጥ የአባ ገዳ የትግል ግጥሚያ ባህሪው የትኛው ነው?")</f>
        <v>ከሚከተሉት ውስጥ የአባ ገዳ የትግል ግጥሚያ ባህሪው የትኛው ነው?</v>
      </c>
      <c r="I98" s="5" t="str">
        <f>IFERROR(__xludf.DUMMYFUNCTION(" GOOGLETRANSLATE(C98, ""en"", ""am"")"),"መ. ምንም የጊዜ ገደብ የለም. ለ. በነጥቦች ላይ ይገመገማሉ. ሐ. የሚወሰኑት በሕዝብ አስተያየት ነው። መ. ለብዙ ሰዓታት ይቆያሉ.")</f>
        <v>መ. ምንም የጊዜ ገደብ የለም. ለ. በነጥቦች ላይ ይገመገማሉ. ሐ. የሚወሰኑት በሕዝብ አስተያየት ነው። መ. ለብዙ ሰዓታት ይቆያሉ.</v>
      </c>
      <c r="J98" s="5" t="str">
        <f>IFERROR(__xludf.DUMMYFUNCTION(" GOOGLETRANSLATE(D98, ""en"", ""am"")"),"ለብዙ ሰዓታት ይቆያሉ.")</f>
        <v>ለብዙ ሰዓታት ይቆያሉ.</v>
      </c>
      <c r="K98" s="5" t="str">
        <f>IFERROR(__xludf.DUMMYFUNCTION(" GOOGLETRANSLATE(E98, ""en"", ""am"")"),"የአባ ገዳ የትግል ግጥሚያዎች ለብዙ ሰአታት የሚቆዩ ሲሆን ለተወዳዳሪዎቹ የጽናት ፈተናዎች ናቸው።")</f>
        <v>የአባ ገዳ የትግል ግጥሚያዎች ለብዙ ሰአታት የሚቆዩ ሲሆን ለተወዳዳሪዎቹ የጽናት ፈተናዎች ናቸው።</v>
      </c>
    </row>
    <row r="99" ht="22.5" customHeight="1">
      <c r="A99" s="3">
        <v>98.0</v>
      </c>
      <c r="B99" s="4" t="s">
        <v>1771</v>
      </c>
      <c r="C99" s="4" t="s">
        <v>1772</v>
      </c>
      <c r="D99" s="4" t="s">
        <v>1773</v>
      </c>
      <c r="E99" s="4" t="s">
        <v>1774</v>
      </c>
      <c r="G99" s="5" t="str">
        <f>IFERROR(__xludf.DUMMYFUNCTION(" GOOGLETRANSLATE(A99, ""en"", ""am"")"),"98")</f>
        <v>98</v>
      </c>
      <c r="H99" s="5" t="str">
        <f>IFERROR(__xludf.DUMMYFUNCTION(" GOOGLETRANSLATE(B99, ""en"", ""am"")"),"የአባ ገዳ ታጋዮች ስልጠና ትኩረት ያደረገው በምን ሙያ ነበር?")</f>
        <v>የአባ ገዳ ታጋዮች ስልጠና ትኩረት ያደረገው በምን ሙያ ነበር?</v>
      </c>
      <c r="I99" s="5" t="str">
        <f>IFERROR(__xludf.DUMMYFUNCTION(" GOOGLETRANSLATE(C99, ""en"", ""am"")"),"ሀ. ጥንካሬ ለ. ስልቶች ሐ. ጽናት። መ. ጽናት.")</f>
        <v>ሀ. ጥንካሬ ለ. ስልቶች ሐ. ጽናት። መ. ጽናት.</v>
      </c>
      <c r="J99" s="5" t="str">
        <f>IFERROR(__xludf.DUMMYFUNCTION(" GOOGLETRANSLATE(D99, ""en"", ""am"")"),"ጽናት።")</f>
        <v>ጽናት።</v>
      </c>
      <c r="K99" s="5" t="str">
        <f>IFERROR(__xludf.DUMMYFUNCTION(" GOOGLETRANSLATE(E99, ""en"", ""am"")"),"ለአባ ገዳ ታጋዮች ለረጅም እና አሰልቺ ግጥሚያዎች ለማዘጋጀት የተሰጠው ስልጠና በፅናት ላይ ያተኮረ ነው።")</f>
        <v>ለአባ ገዳ ታጋዮች ለረጅም እና አሰልቺ ግጥሚያዎች ለማዘጋጀት የተሰጠው ስልጠና በፅናት ላይ ያተኮረ ነው።</v>
      </c>
    </row>
    <row r="100" ht="22.5" customHeight="1">
      <c r="A100" s="3">
        <v>99.0</v>
      </c>
      <c r="B100" s="4" t="s">
        <v>1775</v>
      </c>
      <c r="C100" s="4" t="s">
        <v>1776</v>
      </c>
      <c r="D100" s="4" t="s">
        <v>224</v>
      </c>
      <c r="E100" s="4" t="s">
        <v>1777</v>
      </c>
      <c r="G100" s="5" t="str">
        <f>IFERROR(__xludf.DUMMYFUNCTION(" GOOGLETRANSLATE(A100, ""en"", ""am"")"),"99")</f>
        <v>99</v>
      </c>
      <c r="H100" s="5" t="str">
        <f>IFERROR(__xludf.DUMMYFUNCTION(" GOOGLETRANSLATE(B100, ""en"", ""am"")"),"በኢትዮጵያ ባህል ከአባ ገዳ ገድል ጋር ምን አይነት ዝግጅት ተከበረ?")</f>
        <v>በኢትዮጵያ ባህል ከአባ ገዳ ገድል ጋር ምን አይነት ዝግጅት ተከበረ?</v>
      </c>
      <c r="I100" s="5" t="str">
        <f>IFERROR(__xludf.DUMMYFUNCTION(" GOOGLETRANSLATE(C100, ""en"", ""am"")"),"ኤፒፋኒ ቢ. አዲስ ዓመት ሐ. አሸዋ ዲ. ኤፒፋኒ")</f>
        <v>ኤፒፋኒ ቢ. አዲስ ዓመት ሐ. አሸዋ ዲ. ኤፒፋኒ</v>
      </c>
      <c r="J100" s="5" t="str">
        <f>IFERROR(__xludf.DUMMYFUNCTION(" GOOGLETRANSLATE(D100, ""en"", ""am"")"),"ጥምቀት")</f>
        <v>ጥምቀት</v>
      </c>
      <c r="K100" s="5" t="str">
        <f>IFERROR(__xludf.DUMMYFUNCTION(" GOOGLETRANSLATE(E100, ""en"", ""am"")"),"የአባ ገዳ ተጋድሎ በኢትዮጵያ ትልቅ ሃይማኖታዊ በዓል የሆነው የጥምቀት በዓል አካል ነው።")</f>
        <v>የአባ ገዳ ተጋድሎ በኢትዮጵያ ትልቅ ሃይማኖታዊ በዓል የሆነው የጥምቀት በዓል አካል ነው።</v>
      </c>
    </row>
    <row r="101" ht="22.5" customHeight="1">
      <c r="A101" s="3">
        <v>100.0</v>
      </c>
      <c r="B101" s="4" t="s">
        <v>1778</v>
      </c>
      <c r="C101" s="4" t="s">
        <v>1779</v>
      </c>
      <c r="D101" s="4" t="s">
        <v>1780</v>
      </c>
      <c r="E101" s="4" t="s">
        <v>1781</v>
      </c>
      <c r="G101" s="5" t="str">
        <f>IFERROR(__xludf.DUMMYFUNCTION(" GOOGLETRANSLATE(A101, ""en"", ""am"")"),"100")</f>
        <v>100</v>
      </c>
      <c r="H101" s="5" t="str">
        <f>IFERROR(__xludf.DUMMYFUNCTION(" GOOGLETRANSLATE(B101, ""en"", ""am"")"),"የጥሩ የአባ ገዳ ታጋይ በምን ይታወቃል?")</f>
        <v>የጥሩ የአባ ገዳ ታጋይ በምን ይታወቃል?</v>
      </c>
      <c r="I101" s="5" t="str">
        <f>IFERROR(__xludf.DUMMYFUNCTION(" GOOGLETRANSLATE(C101, ""en"", ""am"")"),"ሀ. የአካል ብቃት ለ. ፍጥነት ሐ. መጠን D. የአእምሮ መቋቋም")</f>
        <v>ሀ. የአካል ብቃት ለ. ፍጥነት ሐ. መጠን D. የአእምሮ መቋቋም</v>
      </c>
      <c r="J101" s="5" t="str">
        <f>IFERROR(__xludf.DUMMYFUNCTION(" GOOGLETRANSLATE(D101, ""en"", ""am"")"),"የአእምሮ መቋቋም")</f>
        <v>የአእምሮ መቋቋም</v>
      </c>
      <c r="K101" s="5" t="str">
        <f>IFERROR(__xludf.DUMMYFUNCTION(" GOOGLETRANSLATE(E101, ""en"", ""am"")"),"ጥሩ ታጋይ በአእምሯዊ ጥንካሬው በተለይም በጫና ውስጥ ይታወቃል።")</f>
        <v>ጥሩ ታጋይ በአእምሯዊ ጥንካሬው በተለይም በጫና ውስጥ ይታወቃል።</v>
      </c>
    </row>
    <row r="102" ht="22.5" customHeight="1">
      <c r="A102" s="3">
        <v>101.0</v>
      </c>
      <c r="B102" s="4" t="s">
        <v>1782</v>
      </c>
      <c r="C102" s="4" t="s">
        <v>1783</v>
      </c>
      <c r="D102" s="4" t="s">
        <v>1784</v>
      </c>
      <c r="E102" s="4" t="s">
        <v>1785</v>
      </c>
      <c r="G102" s="5" t="str">
        <f>IFERROR(__xludf.DUMMYFUNCTION(" GOOGLETRANSLATE(A102, ""en"", ""am"")"),"101")</f>
        <v>101</v>
      </c>
      <c r="H102" s="5" t="str">
        <f>IFERROR(__xludf.DUMMYFUNCTION(" GOOGLETRANSLATE(B102, ""en"", ""am"")"),"የአባ ገዳን ትግል ከሌሎች የትግል ስልቶች የሚለየው ቁልፍ ባህሪው ምንድን ነው?")</f>
        <v>የአባ ገዳን ትግል ከሌሎች የትግል ስልቶች የሚለየው ቁልፍ ባህሪው ምንድን ነው?</v>
      </c>
      <c r="I102" s="5" t="str">
        <f>IFERROR(__xludf.DUMMYFUNCTION(" GOOGLETRANSLATE(C102, ""en"", ""am"")"),"ሀ. በመሬት ላይ የሚደረግ ውጊያ አጽንዖት ለ. የጦር መሳሪያ አጠቃቀም ሐ. አካላዊ ግንኙነት የለም። መ መወርወር ላይ አተኩር።")</f>
        <v>ሀ. በመሬት ላይ የሚደረግ ውጊያ አጽንዖት ለ. የጦር መሳሪያ አጠቃቀም ሐ. አካላዊ ግንኙነት የለም። መ መወርወር ላይ አተኩር።</v>
      </c>
      <c r="J102" s="5" t="str">
        <f>IFERROR(__xludf.DUMMYFUNCTION(" GOOGLETRANSLATE(D102, ""en"", ""am"")"),"በመጣል ላይ ያተኩሩ.")</f>
        <v>በመጣል ላይ ያተኩሩ.</v>
      </c>
      <c r="K102" s="5" t="str">
        <f>IFERROR(__xludf.DUMMYFUNCTION(" GOOGLETRANSLATE(E102, ""en"", ""am"")"),"የአባ ገዳ ትግል የሚለየው በጠንካራ ውርወራ እና በመታገል ቴክኒኮች ላይ በማተኮር ነው።")</f>
        <v>የአባ ገዳ ትግል የሚለየው በጠንካራ ውርወራ እና በመታገል ቴክኒኮች ላይ በማተኮር ነው።</v>
      </c>
    </row>
    <row r="103" ht="22.5" customHeight="1">
      <c r="A103" s="3">
        <v>102.0</v>
      </c>
      <c r="B103" s="4" t="s">
        <v>1786</v>
      </c>
      <c r="C103" s="4" t="s">
        <v>1787</v>
      </c>
      <c r="D103" s="4" t="s">
        <v>1788</v>
      </c>
      <c r="E103" s="4" t="s">
        <v>1789</v>
      </c>
      <c r="G103" s="5" t="str">
        <f>IFERROR(__xludf.DUMMYFUNCTION(" GOOGLETRANSLATE(A103, ""en"", ""am"")"),"102")</f>
        <v>102</v>
      </c>
      <c r="H103" s="5" t="str">
        <f>IFERROR(__xludf.DUMMYFUNCTION(" GOOGLETRANSLATE(B103, ""en"", ""am"")"),"የአባ ገዳ የትግል ግጥሚያዎች በተለምዶ እንዴት ይጠናቀቃሉ?")</f>
        <v>የአባ ገዳ የትግል ግጥሚያዎች በተለምዶ እንዴት ይጠናቀቃሉ?</v>
      </c>
      <c r="I103" s="5" t="str">
        <f>IFERROR(__xludf.DUMMYFUNCTION(" GOOGLETRANSLATE(C103, ""en"", ""am"")"),"ሀ. በዳኞች ውሳኔ ለ. ተቃዋሚው ሲሰጥ ሐ. ተቃዋሚው ሲሰጥ መ. በፒን")</f>
        <v>ሀ. በዳኞች ውሳኔ ለ. ተቃዋሚው ሲሰጥ ሐ. ተቃዋሚው ሲሰጥ መ. በፒን</v>
      </c>
      <c r="J103" s="5" t="str">
        <f>IFERROR(__xludf.DUMMYFUNCTION(" GOOGLETRANSLATE(D103, ""en"", ""am"")"),"በፒን")</f>
        <v>በፒን</v>
      </c>
      <c r="K103" s="5" t="str">
        <f>IFERROR(__xludf.DUMMYFUNCTION(" GOOGLETRANSLATE(E103, ""en"", ""am"")"),"ግጥሚያዎች በፒን ይጠናቀቃሉ፣ እዚያም አንዱ ታጋይ ለተወሰነ ጊዜ ይቀራል።")</f>
        <v>ግጥሚያዎች በፒን ይጠናቀቃሉ፣ እዚያም አንዱ ታጋይ ለተወሰነ ጊዜ ይቀራል።</v>
      </c>
    </row>
    <row r="104" ht="22.5" customHeight="1">
      <c r="A104" s="3">
        <v>103.0</v>
      </c>
      <c r="B104" s="4" t="s">
        <v>1790</v>
      </c>
      <c r="C104" s="4" t="s">
        <v>1791</v>
      </c>
      <c r="D104" s="4" t="s">
        <v>1792</v>
      </c>
      <c r="E104" s="4" t="s">
        <v>1793</v>
      </c>
      <c r="G104" s="5" t="str">
        <f>IFERROR(__xludf.DUMMYFUNCTION(" GOOGLETRANSLATE(A104, ""en"", ""am"")"),"103")</f>
        <v>103</v>
      </c>
      <c r="H104" s="5" t="str">
        <f>IFERROR(__xludf.DUMMYFUNCTION(" GOOGLETRANSLATE(B104, ""en"", ""am"")"),"በተለመደ የአባ ገዳ ትግል ወቅት የነበረውን ሁኔታ ከሚከተሉት ውስጥ የትኛው በተሻለ ሁኔታ ይገልፃል?")</f>
        <v>በተለመደ የአባ ገዳ ትግል ወቅት የነበረውን ሁኔታ ከሚከተሉት ውስጥ የትኛው በተሻለ ሁኔታ ይገልፃል?</v>
      </c>
      <c r="I104" s="5" t="str">
        <f>IFERROR(__xludf.DUMMYFUNCTION(" GOOGLETRANSLATE(C104, ""en"", ""am"")"),"ሀ. የተሰበረ ለ. በአንድ ጉልበት ላይ ተንበርክኮ ሐ. ከኋላ መተኛት መ. ቀጥ ብለው ቆሙ")</f>
        <v>ሀ. የተሰበረ ለ. በአንድ ጉልበት ላይ ተንበርክኮ ሐ. ከኋላ መተኛት መ. ቀጥ ብለው ቆሙ</v>
      </c>
      <c r="J104" s="5" t="str">
        <f>IFERROR(__xludf.DUMMYFUNCTION(" GOOGLETRANSLATE(D104, ""en"", ""am"")"),"ቀጥ ብለህ ቁም")</f>
        <v>ቀጥ ብለህ ቁም</v>
      </c>
      <c r="K104" s="5" t="str">
        <f>IFERROR(__xludf.DUMMYFUNCTION(" GOOGLETRANSLATE(E104, ""en"", ""am"")"),"በአባ ገዳ ሬስሊንግ ተፎካካሪዎች ብዙ ጊዜ የሚጀምሩት በቆመ አቋም ነው ለመሳተፍ ዝግጁ።")</f>
        <v>በአባ ገዳ ሬስሊንግ ተፎካካሪዎች ብዙ ጊዜ የሚጀምሩት በቆመ አቋም ነው ለመሳተፍ ዝግጁ።</v>
      </c>
    </row>
    <row r="105" ht="22.5" customHeight="1">
      <c r="A105" s="3">
        <v>104.0</v>
      </c>
      <c r="B105" s="4" t="s">
        <v>1794</v>
      </c>
      <c r="C105" s="4" t="s">
        <v>1795</v>
      </c>
      <c r="D105" s="4" t="s">
        <v>1796</v>
      </c>
      <c r="E105" s="4" t="s">
        <v>1797</v>
      </c>
      <c r="G105" s="5" t="str">
        <f>IFERROR(__xludf.DUMMYFUNCTION(" GOOGLETRANSLATE(A105, ""en"", ""am"")"),"104")</f>
        <v>104</v>
      </c>
      <c r="H105" s="5" t="str">
        <f>IFERROR(__xludf.DUMMYFUNCTION(" GOOGLETRANSLATE(B105, ""en"", ""am"")"),"የጋዳ ማዕረግ ከትግሉ አንፃር ምን ፋይዳ አለው?")</f>
        <v>የጋዳ ማዕረግ ከትግሉ አንፃር ምን ፋይዳ አለው?</v>
      </c>
      <c r="I105" s="5" t="str">
        <f>IFERROR(__xludf.DUMMYFUNCTION(" GOOGLETRANSLATE(C105, ""en"", ""am"")"),"ሀ. የትግል ስልት ስም ነው። ለ. በስፖርት ውስጥ ጥቅም ላይ የዋሉ መሳሪያዎችን ያመለክታል ሐ. የውድድሩን ርዝመት ያመለክታል. መ/ የትግሉን ደረጃ ያሳያል።")</f>
        <v>ሀ. የትግል ስልት ስም ነው። ለ. በስፖርት ውስጥ ጥቅም ላይ የዋሉ መሳሪያዎችን ያመለክታል ሐ. የውድድሩን ርዝመት ያመለክታል. መ/ የትግሉን ደረጃ ያሳያል።</v>
      </c>
      <c r="J105" s="5" t="str">
        <f>IFERROR(__xludf.DUMMYFUNCTION(" GOOGLETRANSLATE(D105, ""en"", ""am"")"),"የትግሉን ደረጃ ያሳያል።")</f>
        <v>የትግሉን ደረጃ ያሳያል።</v>
      </c>
      <c r="K105" s="5" t="str">
        <f>IFERROR(__xludf.DUMMYFUNCTION(" GOOGLETRANSLATE(E105, ""en"", ""am"")"),"የተጋዳሪዎች ደረጃ የተጋዳኙን ደረጃ እና በስፖርቱ ውስጥ ያለውን ልምድ ያሳያል።")</f>
        <v>የተጋዳሪዎች ደረጃ የተጋዳኙን ደረጃ እና በስፖርቱ ውስጥ ያለውን ልምድ ያሳያል።</v>
      </c>
    </row>
    <row r="106" ht="22.5" customHeight="1">
      <c r="A106" s="3">
        <v>105.0</v>
      </c>
      <c r="B106" s="4" t="s">
        <v>1798</v>
      </c>
      <c r="C106" s="4" t="s">
        <v>1799</v>
      </c>
      <c r="D106" s="4" t="s">
        <v>1700</v>
      </c>
      <c r="E106" s="4" t="s">
        <v>1800</v>
      </c>
      <c r="G106" s="5" t="str">
        <f>IFERROR(__xludf.DUMMYFUNCTION(" GOOGLETRANSLATE(A106, ""en"", ""am"")"),"105")</f>
        <v>105</v>
      </c>
      <c r="H106" s="5" t="str">
        <f>IFERROR(__xludf.DUMMYFUNCTION(" GOOGLETRANSLATE(B106, ""en"", ""am"")"),"በአባ ገዳ ትግል ወቅት የተጠቃው የአካል ክፍል የትኛው ነው?")</f>
        <v>በአባ ገዳ ትግል ወቅት የተጠቃው የአካል ክፍል የትኛው ነው?</v>
      </c>
      <c r="I106" s="5" t="str">
        <f>IFERROR(__xludf.DUMMYFUNCTION(" GOOGLETRANSLATE(C106, ""en"", ""am"")"),"ሀ. ተመለስ B. Feet C. Arms D. Neck")</f>
        <v>ሀ. ተመለስ B. Feet C. Arms D. Neck</v>
      </c>
      <c r="J106" s="5" t="str">
        <f>IFERROR(__xludf.DUMMYFUNCTION(" GOOGLETRANSLATE(D106, ""en"", ""am"")"),"አንገት")</f>
        <v>አንገት</v>
      </c>
      <c r="K106" s="5" t="str">
        <f>IFERROR(__xludf.DUMMYFUNCTION(" GOOGLETRANSLATE(E106, ""en"", ""am"")"),"በአባ ገዳ ትግል ወቅት አንጌት ለጥቃት ከተጋለጡ አካባቢዎች አንዱ ተደርጎ ይወሰድ ነበር።")</f>
        <v>በአባ ገዳ ትግል ወቅት አንጌት ለጥቃት ከተጋለጡ አካባቢዎች አንዱ ተደርጎ ይወሰድ ነበር።</v>
      </c>
    </row>
    <row r="107" ht="22.5" customHeight="1">
      <c r="A107" s="3">
        <v>106.0</v>
      </c>
      <c r="B107" s="4" t="s">
        <v>1801</v>
      </c>
      <c r="C107" s="4" t="s">
        <v>1802</v>
      </c>
      <c r="D107" s="4" t="s">
        <v>1803</v>
      </c>
      <c r="E107" s="4" t="s">
        <v>1804</v>
      </c>
      <c r="G107" s="5" t="str">
        <f>IFERROR(__xludf.DUMMYFUNCTION(" GOOGLETRANSLATE(A107, ""en"", ""am"")"),"106")</f>
        <v>106</v>
      </c>
      <c r="H107" s="5" t="str">
        <f>IFERROR(__xludf.DUMMYFUNCTION(" GOOGLETRANSLATE(B107, ""en"", ""am"")"),"በአባ ገዳ የትግል ዝግጅቶች ላይ የተመልካቾች ባህላዊ ግንዛቤ ምን ይመስላል?")</f>
        <v>በአባ ገዳ የትግል ዝግጅቶች ላይ የተመልካቾች ባህላዊ ግንዛቤ ምን ይመስላል?</v>
      </c>
      <c r="I107" s="5" t="str">
        <f>IFERROR(__xludf.DUMMYFUNCTION(" GOOGLETRANSLATE(C107, ""en"", ""am"")"),"ሀ. ግዴለሽ ለ. ተወዳዳሪ ሐ. ወሳኝ መ. ደጋፊ እና አክባሪ")</f>
        <v>ሀ. ግዴለሽ ለ. ተወዳዳሪ ሐ. ወሳኝ መ. ደጋፊ እና አክባሪ</v>
      </c>
      <c r="J107" s="5" t="str">
        <f>IFERROR(__xludf.DUMMYFUNCTION(" GOOGLETRANSLATE(D107, ""en"", ""am"")"),"ደጋፊ እና አክባሪ")</f>
        <v>ደጋፊ እና አክባሪ</v>
      </c>
      <c r="K107" s="5" t="str">
        <f>IFERROR(__xludf.DUMMYFUNCTION(" GOOGLETRANSLATE(E107, ""en"", ""am"")"),"በአባ ገዳ የትግል ዝግጅት ላይ የተገኙ ተመልካቾች በባህላዊ መንገድ ለታጋዮቹ ደጋፊና አክብሮት አላቸው።")</f>
        <v>በአባ ገዳ የትግል ዝግጅት ላይ የተገኙ ተመልካቾች በባህላዊ መንገድ ለታጋዮቹ ደጋፊና አክብሮት አላቸው።</v>
      </c>
    </row>
    <row r="108" ht="22.5" customHeight="1">
      <c r="A108" s="3">
        <v>107.0</v>
      </c>
      <c r="B108" s="4" t="s">
        <v>1805</v>
      </c>
      <c r="C108" s="4" t="s">
        <v>1806</v>
      </c>
      <c r="D108" s="4" t="s">
        <v>1807</v>
      </c>
      <c r="E108" s="4" t="s">
        <v>1808</v>
      </c>
      <c r="G108" s="5" t="str">
        <f>IFERROR(__xludf.DUMMYFUNCTION(" GOOGLETRANSLATE(A108, ""en"", ""am"")"),"107")</f>
        <v>107</v>
      </c>
      <c r="H108" s="5" t="str">
        <f>IFERROR(__xludf.DUMMYFUNCTION(" GOOGLETRANSLATE(B108, ""en"", ""am"")"),"በአባ ገዳ ላይ በሚደረገው ትግል የሀገር ሽማግሌዎች ምን ሚና አላቸው?")</f>
        <v>በአባ ገዳ ላይ በሚደረገው ትግል የሀገር ሽማግሌዎች ምን ሚና አላቸው?</v>
      </c>
      <c r="I108" s="5" t="str">
        <f>IFERROR(__xludf.DUMMYFUNCTION(" GOOGLETRANSLATE(C108, ""en"", ""am"")"),"ሀ. አሰልጣኞች ለ. ተመልካቾች ሐ. ሚና አይጫወቱም። መ. ዳኞች እና ዳኞች")</f>
        <v>ሀ. አሰልጣኞች ለ. ተመልካቾች ሐ. ሚና አይጫወቱም። መ. ዳኞች እና ዳኞች</v>
      </c>
      <c r="J108" s="5" t="str">
        <f>IFERROR(__xludf.DUMMYFUNCTION(" GOOGLETRANSLATE(D108, ""en"", ""am"")"),"ዳኞች እና ዳኞች")</f>
        <v>ዳኞች እና ዳኞች</v>
      </c>
      <c r="K108" s="5" t="str">
        <f>IFERROR(__xludf.DUMMYFUNCTION(" GOOGLETRANSLATE(E108, ""en"", ""am"")"),"ሽማግሌዎች ብዙውን ጊዜ እንደ ዳኞች እና ዳኞች ሆነው ያገለግላሉ ፣ ይህም በግጥሚያዎች ውስጥ ፍትሃዊ እና ወጥነትን ለማረጋገጥ ይረዳሉ።")</f>
        <v>ሽማግሌዎች ብዙውን ጊዜ እንደ ዳኞች እና ዳኞች ሆነው ያገለግላሉ ፣ ይህም በግጥሚያዎች ውስጥ ፍትሃዊ እና ወጥነትን ለማረጋገጥ ይረዳሉ።</v>
      </c>
    </row>
    <row r="109" ht="22.5" customHeight="1">
      <c r="A109" s="3">
        <v>108.0</v>
      </c>
      <c r="B109" s="4" t="s">
        <v>1414</v>
      </c>
      <c r="C109" s="4" t="s">
        <v>1809</v>
      </c>
      <c r="D109" s="4" t="s">
        <v>1810</v>
      </c>
      <c r="E109" s="4" t="s">
        <v>1811</v>
      </c>
      <c r="G109" s="5" t="str">
        <f>IFERROR(__xludf.DUMMYFUNCTION(" GOOGLETRANSLATE(A109, ""en"", ""am"")"),"108")</f>
        <v>108</v>
      </c>
      <c r="H109" s="5" t="str">
        <f>IFERROR(__xludf.DUMMYFUNCTION(" GOOGLETRANSLATE(B109, ""en"", ""am"")"),"ለአባ ገዳ ትግል ተወዳጅነት አስተዋጽኦ ያደረገው የትኛው ታሪካዊ ክስተት ነው?")</f>
        <v>ለአባ ገዳ ትግል ተወዳጅነት አስተዋጽኦ ያደረገው የትኛው ታሪካዊ ክስተት ነው?</v>
      </c>
      <c r="I109" s="5" t="str">
        <f>IFERROR(__xludf.DUMMYFUNCTION(" GOOGLETRANSLATE(C109, ""en"", ""am"")"),"ሀ. የጣሊያን ወረራ ለ. አጎራባች ክልሎችን መውረር ሐ. የእስር ቤት ስርዓት መዘርጋት መ. የእስር ቤት ስርዓት መዘርጋት")</f>
        <v>ሀ. የጣሊያን ወረራ ለ. አጎራባች ክልሎችን መውረር ሐ. የእስር ቤት ስርዓት መዘርጋት መ. የእስር ቤት ስርዓት መዘርጋት</v>
      </c>
      <c r="J109" s="5" t="str">
        <f>IFERROR(__xludf.DUMMYFUNCTION(" GOOGLETRANSLATE(D109, ""en"", ""am"")"),"የእስር ቤት ስርዓት መመስረት")</f>
        <v>የእስር ቤት ስርዓት መመስረት</v>
      </c>
      <c r="K109" s="5" t="str">
        <f>IFERROR(__xludf.DUMMYFUNCTION(" GOOGLETRANSLATE(E109, ""en"", ""am"")"),"በኢትዮጵያ ህብረተሰብ ውስጥ የተዘረጋው የገዳ ስርዓት ለአባ ገዳ ትግል ተወዳጅነት ከፍተኛ አስተዋጽኦ አድርጓል።")</f>
        <v>በኢትዮጵያ ህብረተሰብ ውስጥ የተዘረጋው የገዳ ስርዓት ለአባ ገዳ ትግል ተወዳጅነት ከፍተኛ አስተዋጽኦ አድርጓል።</v>
      </c>
    </row>
    <row r="110" ht="22.5" customHeight="1">
      <c r="A110" s="3">
        <v>109.0</v>
      </c>
      <c r="B110" s="4" t="s">
        <v>1812</v>
      </c>
      <c r="C110" s="4" t="s">
        <v>1750</v>
      </c>
      <c r="D110" s="4" t="s">
        <v>1412</v>
      </c>
      <c r="E110" s="4" t="s">
        <v>1813</v>
      </c>
      <c r="G110" s="5" t="str">
        <f>IFERROR(__xludf.DUMMYFUNCTION(" GOOGLETRANSLATE(A110, ""en"", ""am"")"),"109")</f>
        <v>109</v>
      </c>
      <c r="H110" s="5" t="str">
        <f>IFERROR(__xludf.DUMMYFUNCTION(" GOOGLETRANSLATE(B110, ""en"", ""am"")"),"በተለይ የአባ ገዳ ትግል በየትኛው የኢትዮጵያ ክልል ጎልቶ ይታያል?")</f>
        <v>በተለይ የአባ ገዳ ትግል በየትኛው የኢትዮጵያ ክልል ጎልቶ ይታያል?</v>
      </c>
      <c r="I110" s="5" t="str">
        <f>IFERROR(__xludf.DUMMYFUNCTION(" GOOGLETRANSLATE(C110, ""en"", ""am"")"),"አ.አማራ ብ ትግራይ ሲ.ቤንሻንጉል ጉሙዝ ደ.ኦሮሚያ")</f>
        <v>አ.አማራ ብ ትግራይ ሲ.ቤንሻንጉል ጉሙዝ ደ.ኦሮሚያ</v>
      </c>
      <c r="J110" s="5" t="str">
        <f>IFERROR(__xludf.DUMMYFUNCTION(" GOOGLETRANSLATE(D110, ""en"", ""am"")"),"ኦሮሚያ")</f>
        <v>ኦሮሚያ</v>
      </c>
      <c r="K110" s="5" t="str">
        <f>IFERROR(__xludf.DUMMYFUNCTION(" GOOGLETRANSLATE(E110, ""en"", ""am"")"),"የአባ ገዳ ትግል በኦሮሚያ ክልል በስፋት እየተካሄደ ነው።")</f>
        <v>የአባ ገዳ ትግል በኦሮሚያ ክልል በስፋት እየተካሄደ ነው።</v>
      </c>
    </row>
    <row r="111" ht="22.5" customHeight="1">
      <c r="A111" s="3">
        <v>110.0</v>
      </c>
      <c r="B111" s="4" t="s">
        <v>1814</v>
      </c>
      <c r="C111" s="4" t="s">
        <v>1815</v>
      </c>
      <c r="D111" s="4" t="s">
        <v>1816</v>
      </c>
      <c r="E111" s="4" t="s">
        <v>1817</v>
      </c>
      <c r="G111" s="5" t="str">
        <f>IFERROR(__xludf.DUMMYFUNCTION(" GOOGLETRANSLATE(A111, ""en"", ""am"")"),"110")</f>
        <v>110</v>
      </c>
      <c r="H111" s="5" t="str">
        <f>IFERROR(__xludf.DUMMYFUNCTION(" GOOGLETRANSLATE(B111, ""en"", ""am"")"),"የአባ ገዳ ተጋድሎ የሚያራምደው ትልቅ ዋጋ ምንድን ነው?")</f>
        <v>የአባ ገዳ ተጋድሎ የሚያራምደው ትልቅ ዋጋ ምንድን ነው?</v>
      </c>
      <c r="I111" s="5" t="str">
        <f>IFERROR(__xludf.DUMMYFUNCTION(" GOOGLETRANSLATE(C111, ""en"", ""am"")"),"ሀ. ክብር እና ክብር ለ. ድል በማንኛውም ዋጋ C. Agression D. ክብር እና ክብር")</f>
        <v>ሀ. ክብር እና ክብር ለ. ድል በማንኛውም ዋጋ C. Agression D. ክብር እና ክብር</v>
      </c>
      <c r="J111" s="5" t="str">
        <f>IFERROR(__xludf.DUMMYFUNCTION(" GOOGLETRANSLATE(D111, ""en"", ""am"")"),"ክብር እና ክብር")</f>
        <v>ክብር እና ክብር</v>
      </c>
      <c r="K111" s="5" t="str">
        <f>IFERROR(__xludf.DUMMYFUNCTION(" GOOGLETRANSLATE(E111, ""en"", ""am"")"),"የአባ ገዳ ትግል የመከባበር፣ የመከባበር እና የፍትሃዊ ውድድር እሴቶችን ያጎለብታል።")</f>
        <v>የአባ ገዳ ትግል የመከባበር፣ የመከባበር እና የፍትሃዊ ውድድር እሴቶችን ያጎለብታል።</v>
      </c>
    </row>
    <row r="112" ht="22.5" customHeight="1">
      <c r="A112" s="3">
        <v>111.0</v>
      </c>
      <c r="B112" s="4" t="s">
        <v>1818</v>
      </c>
      <c r="C112" s="4" t="s">
        <v>1819</v>
      </c>
      <c r="D112" s="4" t="s">
        <v>1583</v>
      </c>
      <c r="E112" s="4" t="s">
        <v>1820</v>
      </c>
      <c r="G112" s="5" t="str">
        <f>IFERROR(__xludf.DUMMYFUNCTION(" GOOGLETRANSLATE(A112, ""en"", ""am"")"),"111")</f>
        <v>111</v>
      </c>
      <c r="H112" s="5" t="str">
        <f>IFERROR(__xludf.DUMMYFUNCTION(" GOOGLETRANSLATE(B112, ""en"", ""am"")"),"ከአባ ገዳ ተጋድሎ ጋር የተቆራኘው የትኛው እንስሳ ነው?")</f>
        <v>ከአባ ገዳ ተጋድሎ ጋር የተቆራኘው የትኛው እንስሳ ነው?</v>
      </c>
      <c r="I112" s="5" t="str">
        <f>IFERROR(__xludf.DUMMYFUNCTION(" GOOGLETRANSLATE(C112, ""en"", ""am"")"),"ሀ. ዝሆን ቢ. አቦሸማኔ ሐ. ፈረስ ዲ. አንበሳ")</f>
        <v>ሀ. ዝሆን ቢ. አቦሸማኔ ሐ. ፈረስ ዲ. አንበሳ</v>
      </c>
      <c r="J112" s="5" t="str">
        <f>IFERROR(__xludf.DUMMYFUNCTION(" GOOGLETRANSLATE(D112, ""en"", ""am"")"),"አንበሳ")</f>
        <v>አንበሳ</v>
      </c>
      <c r="K112" s="5" t="str">
        <f>IFERROR(__xludf.DUMMYFUNCTION(" GOOGLETRANSLATE(E112, ""en"", ""am"")"),"አንበሳው ብዙ ጊዜ ከአባ ገዳ ትግል ጋር ተቆራኝቶ ጥንካሬንና ድፍረትን ያሳያል።")</f>
        <v>አንበሳው ብዙ ጊዜ ከአባ ገዳ ትግል ጋር ተቆራኝቶ ጥንካሬንና ድፍረትን ያሳያል።</v>
      </c>
    </row>
    <row r="113" ht="22.5" customHeight="1">
      <c r="A113" s="3">
        <v>112.0</v>
      </c>
      <c r="B113" s="4" t="s">
        <v>1821</v>
      </c>
      <c r="C113" s="4" t="s">
        <v>1822</v>
      </c>
      <c r="D113" s="4" t="s">
        <v>1823</v>
      </c>
      <c r="E113" s="4" t="s">
        <v>1824</v>
      </c>
      <c r="G113" s="5" t="str">
        <f>IFERROR(__xludf.DUMMYFUNCTION(" GOOGLETRANSLATE(A113, ""en"", ""am"")"),"112")</f>
        <v>112</v>
      </c>
      <c r="H113" s="5" t="str">
        <f>IFERROR(__xludf.DUMMYFUNCTION(" GOOGLETRANSLATE(B113, ""en"", ""am"")"),"ከአባ ገዳ ጋር የሚደረገው ትግል ምን ጉዳት አለው?")</f>
        <v>ከአባ ገዳ ጋር የሚደረገው ትግል ምን ጉዳት አለው?</v>
      </c>
      <c r="I113" s="5" t="str">
        <f>IFERROR(__xludf.DUMMYFUNCTION(" GOOGLETRANSLATE(C113, ""en"", ""am"")"),"ሀ. ስብራት ለ. መንቀጥቀጥ ሐ. መቁረጥ እና መቁረጥ D. ስንጥቆች እና ቁስሎች")</f>
        <v>ሀ. ስብራት ለ. መንቀጥቀጥ ሐ. መቁረጥ እና መቁረጥ D. ስንጥቆች እና ቁስሎች</v>
      </c>
      <c r="J113" s="5" t="str">
        <f>IFERROR(__xludf.DUMMYFUNCTION(" GOOGLETRANSLATE(D113, ""en"", ""am"")"),"ስንጥቆች እና ቁስሎች")</f>
        <v>ስንጥቆች እና ቁስሎች</v>
      </c>
      <c r="K113" s="5" t="str">
        <f>IFERROR(__xludf.DUMMYFUNCTION(" GOOGLETRANSLATE(E113, ""en"", ""am"")"),"በስፖርቱ አካላዊ ተፈጥሮ ምክንያት ስንጥቆች እና ውጥረቶች የተለመዱ ጉዳቶች ናቸው።")</f>
        <v>በስፖርቱ አካላዊ ተፈጥሮ ምክንያት ስንጥቆች እና ውጥረቶች የተለመዱ ጉዳቶች ናቸው።</v>
      </c>
    </row>
    <row r="114" ht="22.5" customHeight="1">
      <c r="A114" s="3">
        <v>113.0</v>
      </c>
      <c r="B114" s="4" t="s">
        <v>1825</v>
      </c>
      <c r="C114" s="4" t="s">
        <v>1826</v>
      </c>
      <c r="D114" s="4" t="s">
        <v>1827</v>
      </c>
      <c r="E114" s="4" t="s">
        <v>1828</v>
      </c>
      <c r="G114" s="5" t="str">
        <f>IFERROR(__xludf.DUMMYFUNCTION(" GOOGLETRANSLATE(A114, ""en"", ""am"")"),"113")</f>
        <v>113</v>
      </c>
      <c r="H114" s="5" t="str">
        <f>IFERROR(__xludf.DUMMYFUNCTION(" GOOGLETRANSLATE(B114, ""en"", ""am"")"),"በአባ ገዳ ትግል ላይ ያተኮረ ስልጠናው ምን ይመስላል?")</f>
        <v>በአባ ገዳ ትግል ላይ ያተኮረ ስልጠናው ምን ይመስላል?</v>
      </c>
      <c r="I114" s="5" t="str">
        <f>IFERROR(__xludf.DUMMYFUNCTION(" GOOGLETRANSLATE(C114, ""en"", ""am"")"),"ሀ. ጽናትና ጥንካሬ ለ. ተለዋዋጭነት ሐ. ቴክኒካዊ ትክክለኛነት መ. ጽናት እና ጥንካሬ")</f>
        <v>ሀ. ጽናትና ጥንካሬ ለ. ተለዋዋጭነት ሐ. ቴክኒካዊ ትክክለኛነት መ. ጽናት እና ጥንካሬ</v>
      </c>
      <c r="J114" s="5" t="str">
        <f>IFERROR(__xludf.DUMMYFUNCTION(" GOOGLETRANSLATE(D114, ""en"", ""am"")"),"ጽናትና ጥንካሬ")</f>
        <v>ጽናትና ጥንካሬ</v>
      </c>
      <c r="K114" s="5" t="str">
        <f>IFERROR(__xludf.DUMMYFUNCTION(" GOOGLETRANSLATE(E114, ""en"", ""am"")"),"ለአባ ገዳ የትግል ስልጠና ጽናትን እና አካላዊ ጥንካሬን ለመገንባት ትልቅ ትኩረት ይሰጣል።")</f>
        <v>ለአባ ገዳ የትግል ስልጠና ጽናትን እና አካላዊ ጥንካሬን ለመገንባት ትልቅ ትኩረት ይሰጣል።</v>
      </c>
    </row>
    <row r="115" ht="22.5" customHeight="1">
      <c r="A115" s="3">
        <v>114.0</v>
      </c>
      <c r="B115" s="4" t="s">
        <v>1829</v>
      </c>
      <c r="C115" s="4" t="s">
        <v>1830</v>
      </c>
      <c r="D115" s="4" t="s">
        <v>1831</v>
      </c>
      <c r="E115" s="4" t="s">
        <v>1832</v>
      </c>
      <c r="G115" s="5" t="str">
        <f>IFERROR(__xludf.DUMMYFUNCTION(" GOOGLETRANSLATE(A115, ""en"", ""am"")"),"114")</f>
        <v>114</v>
      </c>
      <c r="H115" s="5" t="str">
        <f>IFERROR(__xludf.DUMMYFUNCTION(" GOOGLETRANSLATE(B115, ""en"", ""am"")"),"ሙዚቃ ለአባ ገዳ ትግል ምን ሚና አለው?")</f>
        <v>ሙዚቃ ለአባ ገዳ ትግል ምን ሚና አለው?</v>
      </c>
      <c r="I115" s="5" t="str">
        <f>IFERROR(__xludf.DUMMYFUNCTION(" GOOGLETRANSLATE(C115, ""en"", ""am"")"),"ሀ. የግጥሚያ መጀመርን ያመለክታል። ለ. ከግጥሚያው የአምልኮ ሥርዓት ጋር አብሮ ይሄዳል. ሐ. ለአባ ገዳ በትግሉ ጥቅም ላይ አይውልም። መ. ከግጥሚያው የአምልኮ ሥርዓት ጋር አብሮ ይሄዳል.")</f>
        <v>ሀ. የግጥሚያ መጀመርን ያመለክታል። ለ. ከግጥሚያው የአምልኮ ሥርዓት ጋር አብሮ ይሄዳል. ሐ. ለአባ ገዳ በትግሉ ጥቅም ላይ አይውልም። መ. ከግጥሚያው የአምልኮ ሥርዓት ጋር አብሮ ይሄዳል.</v>
      </c>
      <c r="J115" s="5" t="str">
        <f>IFERROR(__xludf.DUMMYFUNCTION(" GOOGLETRANSLATE(D115, ""en"", ""am"")"),"ከግጥሚያው የአምልኮ ሥርዓት ጋር አብሮ ይሄዳል.")</f>
        <v>ከግጥሚያው የአምልኮ ሥርዓት ጋር አብሮ ይሄዳል.</v>
      </c>
      <c r="K115" s="5" t="str">
        <f>IFERROR(__xludf.DUMMYFUNCTION(" GOOGLETRANSLATE(E115, ""en"", ""am"")"),"ሙዚቃ ብዙውን ጊዜ ባህላዊ ሥነ ሥርዓቶችን ለማጀብ እና የጨዋታውን ድባብ ለማሳደግ ያገለግላል።")</f>
        <v>ሙዚቃ ብዙውን ጊዜ ባህላዊ ሥነ ሥርዓቶችን ለማጀብ እና የጨዋታውን ድባብ ለማሳደግ ያገለግላል።</v>
      </c>
    </row>
    <row r="116" ht="22.5" customHeight="1">
      <c r="A116" s="3">
        <v>115.0</v>
      </c>
      <c r="B116" s="4" t="s">
        <v>1833</v>
      </c>
      <c r="C116" s="4" t="s">
        <v>1834</v>
      </c>
      <c r="D116" s="4" t="s">
        <v>1835</v>
      </c>
      <c r="E116" s="4" t="s">
        <v>1836</v>
      </c>
      <c r="G116" s="5" t="str">
        <f>IFERROR(__xludf.DUMMYFUNCTION(" GOOGLETRANSLATE(A116, ""en"", ""am"")"),"115")</f>
        <v>115</v>
      </c>
      <c r="H116" s="5" t="str">
        <f>IFERROR(__xludf.DUMMYFUNCTION(" GOOGLETRANSLATE(B116, ""en"", ""am"")"),"የጋዳ ታጋይታይ የትግል ስልት ቁልፍ ባህሪ ከሚከተሉት ውስጥ የትኛው ነው?")</f>
        <v>የጋዳ ታጋይታይ የትግል ስልት ቁልፍ ባህሪ ከሚከተሉት ውስጥ የትኛው ነው?</v>
      </c>
      <c r="I116" s="5" t="str">
        <f>IFERROR(__xludf.DUMMYFUNCTION(" GOOGLETRANSLATE(C116, ""en"", ""am"")"),"ሀ. በመምታት ላይ ያለው ከፍተኛ ጥገኝነት ለ. የመምታት እና የመወርወር ጥምረት ሐ. ከመጠን ያለፈ የኃይል አጠቃቀም መ. የመምታት እና የመወርወር ጥምረት")</f>
        <v>ሀ. በመምታት ላይ ያለው ከፍተኛ ጥገኝነት ለ. የመምታት እና የመወርወር ጥምረት ሐ. ከመጠን ያለፈ የኃይል አጠቃቀም መ. የመምታት እና የመወርወር ጥምረት</v>
      </c>
      <c r="J116" s="5" t="str">
        <f>IFERROR(__xludf.DUMMYFUNCTION(" GOOGLETRANSLATE(D116, ""en"", ""am"")"),"የመምታት እና የመወርወር ጥምረት")</f>
        <v>የመምታት እና የመወርወር ጥምረት</v>
      </c>
      <c r="K116" s="5" t="str">
        <f>IFERROR(__xludf.DUMMYFUNCTION(" GOOGLETRANSLATE(E116, ""en"", ""am"")"),"የጋዳ ትግል ስልታዊ በሆነ መንገድ ትግል እና መወርወር ቴክኒኮችን ያጣምራል።")</f>
        <v>የጋዳ ትግል ስልታዊ በሆነ መንገድ ትግል እና መወርወር ቴክኒኮችን ያጣምራል።</v>
      </c>
    </row>
    <row r="117" ht="22.5" customHeight="1">
      <c r="A117" s="3">
        <v>116.0</v>
      </c>
      <c r="B117" s="4" t="s">
        <v>1837</v>
      </c>
      <c r="C117" s="4" t="s">
        <v>1838</v>
      </c>
      <c r="D117" s="4" t="s">
        <v>1839</v>
      </c>
      <c r="E117" s="4" t="s">
        <v>1840</v>
      </c>
      <c r="G117" s="5" t="str">
        <f>IFERROR(__xludf.DUMMYFUNCTION(" GOOGLETRANSLATE(A117, ""en"", ""am"")"),"116")</f>
        <v>116</v>
      </c>
      <c r="H117" s="5" t="str">
        <f>IFERROR(__xludf.DUMMYFUNCTION(" GOOGLETRANSLATE(B117, ""en"", ""am"")"),"በአባ ገዳ ጦርነት የተካሄደው የትግሉ መነሻ ዓላማ ምንድን ነው?")</f>
        <v>በአባ ገዳ ጦርነት የተካሄደው የትግሉ መነሻ ዓላማ ምንድን ነው?</v>
      </c>
      <c r="I117" s="5" t="str">
        <f>IFERROR(__xludf.DUMMYFUNCTION(" GOOGLETRANSLATE(C117, ""en"", ""am"")"),"ሀ. የግጥሚያውን ፍጥነት ማዘጋጀት ለ. ተቀናቃኙን ማስፈራራት ሐ. አክብሮት ማሳየት መ. የተቃዋሚውን ጥንካሬ ለመገምገም")</f>
        <v>ሀ. የግጥሚያውን ፍጥነት ማዘጋጀት ለ. ተቀናቃኙን ማስፈራራት ሐ. አክብሮት ማሳየት መ. የተቃዋሚውን ጥንካሬ ለመገምገም</v>
      </c>
      <c r="J117" s="5" t="str">
        <f>IFERROR(__xludf.DUMMYFUNCTION(" GOOGLETRANSLATE(D117, ""en"", ""am"")"),"የተቃዋሚውን ጥንካሬ ለመገምገም")</f>
        <v>የተቃዋሚውን ጥንካሬ ለመገምገም</v>
      </c>
      <c r="K117" s="5" t="str">
        <f>IFERROR(__xludf.DUMMYFUNCTION(" GOOGLETRANSLATE(E117, ""en"", ""am"")"),"የአባ ገዳ ትግል መነሻው የተቃዋሚውን ጥንካሬና ስልት መገምገም ነው።")</f>
        <v>የአባ ገዳ ትግል መነሻው የተቃዋሚውን ጥንካሬና ስልት መገምገም ነው።</v>
      </c>
    </row>
    <row r="118" ht="22.5" customHeight="1">
      <c r="A118" s="3">
        <v>117.0</v>
      </c>
      <c r="B118" s="4" t="s">
        <v>1841</v>
      </c>
      <c r="C118" s="4" t="s">
        <v>1842</v>
      </c>
      <c r="D118" s="4" t="s">
        <v>1843</v>
      </c>
      <c r="E118" s="4" t="s">
        <v>1844</v>
      </c>
      <c r="G118" s="5" t="str">
        <f>IFERROR(__xludf.DUMMYFUNCTION(" GOOGLETRANSLATE(A118, ""en"", ""am"")"),"117")</f>
        <v>117</v>
      </c>
      <c r="H118" s="5" t="str">
        <f>IFERROR(__xludf.DUMMYFUNCTION(" GOOGLETRANSLATE(B118, ""en"", ""am"")"),"ሁለቱም ታጋዮች በተወሰነ ጊዜ ውስጥ ተቀናቃኞቻቸውን ማያያዝ ካልቻሉ ምን ይከሰታል?")</f>
        <v>ሁለቱም ታጋዮች በተወሰነ ጊዜ ውስጥ ተቀናቃኞቻቸውን ማያያዝ ካልቻሉ ምን ይከሰታል?</v>
      </c>
      <c r="I118" s="5" t="str">
        <f>IFERROR(__xludf.DUMMYFUNCTION(" GOOGLETRANSLATE(C118, ""en"", ""am"")"),"ሀ. አሸናፊው የሚወሰነው በነጥብ ነው። ለ. ጨዋታው ላልተወሰነ ጊዜ ይቀጥላል። ሐ. ግጥሚያው እንደገና ተጀምሯል። መ. ጨዋታው በአቻ ውጤት ነው።")</f>
        <v>ሀ. አሸናፊው የሚወሰነው በነጥብ ነው። ለ. ጨዋታው ላልተወሰነ ጊዜ ይቀጥላል። ሐ. ግጥሚያው እንደገና ተጀምሯል። መ. ጨዋታው በአቻ ውጤት ነው።</v>
      </c>
      <c r="J118" s="5" t="str">
        <f>IFERROR(__xludf.DUMMYFUNCTION(" GOOGLETRANSLATE(D118, ""en"", ""am"")"),"ጨዋታው በአቻ ውጤት ነው።")</f>
        <v>ጨዋታው በአቻ ውጤት ነው።</v>
      </c>
      <c r="K118" s="5" t="str">
        <f>IFERROR(__xludf.DUMMYFUNCTION(" GOOGLETRANSLATE(E118, ""en"", ""am"")"),"ሁለቱም ተጋጣሚዎች ተጋጣሚያቸውን መግጠም ካልቻሉ ጨዋታው በአቻ ውጤት ይጠናቀቃል።")</f>
        <v>ሁለቱም ተጋጣሚዎች ተጋጣሚያቸውን መግጠም ካልቻሉ ጨዋታው በአቻ ውጤት ይጠናቀቃል።</v>
      </c>
    </row>
    <row r="119" ht="22.5" customHeight="1">
      <c r="A119" s="3">
        <v>118.0</v>
      </c>
      <c r="B119" s="4" t="s">
        <v>1845</v>
      </c>
      <c r="C119" s="4" t="s">
        <v>1846</v>
      </c>
      <c r="D119" s="4" t="s">
        <v>1847</v>
      </c>
      <c r="E119" s="4" t="s">
        <v>1848</v>
      </c>
      <c r="G119" s="5" t="str">
        <f>IFERROR(__xludf.DUMMYFUNCTION(" GOOGLETRANSLATE(A119, ""en"", ""am"")"),"118")</f>
        <v>118</v>
      </c>
      <c r="H119" s="5" t="str">
        <f>IFERROR(__xludf.DUMMYFUNCTION(" GOOGLETRANSLATE(B119, ""en"", ""am"")"),"ለስኬታማ የአባ ገዳ የትግል ቴክኒክ ምን ያስፈልጋል?")</f>
        <v>ለስኬታማ የአባ ገዳ የትግል ቴክኒክ ምን ያስፈልጋል?</v>
      </c>
      <c r="I119" s="5" t="str">
        <f>IFERROR(__xludf.DUMMYFUNCTION(" GOOGLETRANSLATE(C119, ""en"", ""am"")"),"ሀ. አቀማመጥ እና ሚዛን ለ. ጥንካሬ እና ኃይል ሐ. ጽናት. መ. አቀማመጥ እና ሚዛን")</f>
        <v>ሀ. አቀማመጥ እና ሚዛን ለ. ጥንካሬ እና ኃይል ሐ. ጽናት. መ. አቀማመጥ እና ሚዛን</v>
      </c>
      <c r="J119" s="5" t="str">
        <f>IFERROR(__xludf.DUMMYFUNCTION(" GOOGLETRANSLATE(D119, ""en"", ""am"")"),"አቀማመጥ እና ሚዛን")</f>
        <v>አቀማመጥ እና ሚዛን</v>
      </c>
      <c r="K119" s="5" t="str">
        <f>IFERROR(__xludf.DUMMYFUNCTION(" GOOGLETRANSLATE(E119, ""en"", ""am"")"),"አቀማመጥ እና ሚዛን በትግል ውስጥ ስኬታማ ቴክኒኮችን ተግባራዊ ለማድረግ ወሳኝ ናቸው።")</f>
        <v>አቀማመጥ እና ሚዛን በትግል ውስጥ ስኬታማ ቴክኒኮችን ተግባራዊ ለማድረግ ወሳኝ ናቸው።</v>
      </c>
    </row>
    <row r="120" ht="22.5" customHeight="1">
      <c r="A120" s="3">
        <v>119.0</v>
      </c>
      <c r="B120" s="4" t="s">
        <v>1849</v>
      </c>
      <c r="C120" s="4" t="s">
        <v>1850</v>
      </c>
      <c r="D120" s="4" t="s">
        <v>1851</v>
      </c>
      <c r="E120" s="4" t="s">
        <v>1852</v>
      </c>
      <c r="G120" s="5" t="str">
        <f>IFERROR(__xludf.DUMMYFUNCTION(" GOOGLETRANSLATE(A120, ""en"", ""am"")"),"119")</f>
        <v>119</v>
      </c>
      <c r="H120" s="5" t="str">
        <f>IFERROR(__xludf.DUMMYFUNCTION(" GOOGLETRANSLATE(B120, ""en"", ""am"")"),"የአባ ገዳ ታጋዮች በውድድር ወቅት ምን ይለብሳሉ?")</f>
        <v>የአባ ገዳ ታጋዮች በውድድር ወቅት ምን ይለብሳሉ?</v>
      </c>
      <c r="I120" s="5" t="str">
        <f>IFERROR(__xludf.DUMMYFUNCTION(" GOOGLETRANSLATE(C120, ""en"", ""am"")"),"ሀ. ሙሉ የሰውነት ትጥቅ ለ. ልዩ ጫማዎች ሐ. የራስ መሸፈኛ እና ጓንቶች D. የባህል ልብስ ቀበቶዎች")</f>
        <v>ሀ. ሙሉ የሰውነት ትጥቅ ለ. ልዩ ጫማዎች ሐ. የራስ መሸፈኛ እና ጓንቶች D. የባህል ልብስ ቀበቶዎች</v>
      </c>
      <c r="J120" s="5" t="str">
        <f>IFERROR(__xludf.DUMMYFUNCTION(" GOOGLETRANSLATE(D120, ""en"", ""am"")"),"ባህላዊ የጨርቅ ቀበቶዎች")</f>
        <v>ባህላዊ የጨርቅ ቀበቶዎች</v>
      </c>
      <c r="K120" s="5" t="str">
        <f>IFERROR(__xludf.DUMMYFUNCTION(" GOOGLETRANSLATE(E120, ""en"", ""am"")"),"የአባ ገዳ ታጋዮች በውድድር ወቅት ዩኒፎርማቸውን እንደ ባህላዊ ቀበቶ ለብሰዋል።")</f>
        <v>የአባ ገዳ ታጋዮች በውድድር ወቅት ዩኒፎርማቸውን እንደ ባህላዊ ቀበቶ ለብሰዋል።</v>
      </c>
    </row>
    <row r="121" ht="22.5" customHeight="1">
      <c r="A121" s="3">
        <v>120.0</v>
      </c>
      <c r="B121" s="4" t="s">
        <v>1853</v>
      </c>
      <c r="C121" s="4" t="s">
        <v>1854</v>
      </c>
      <c r="D121" s="4" t="s">
        <v>1621</v>
      </c>
      <c r="E121" s="4" t="s">
        <v>1855</v>
      </c>
      <c r="G121" s="5" t="str">
        <f>IFERROR(__xludf.DUMMYFUNCTION(" GOOGLETRANSLATE(A121, ""en"", ""am"")"),"120")</f>
        <v>120</v>
      </c>
      <c r="H121" s="5" t="str">
        <f>IFERROR(__xludf.DUMMYFUNCTION(" GOOGLETRANSLATE(B121, ""en"", ""am"")"),"በአባ ገዳ ትግል ውስጥ ላለው ታጋይ የተሻለው ውጤት ምንድነው?")</f>
        <v>በአባ ገዳ ትግል ውስጥ ላለው ታጋይ የተሻለው ውጤት ምንድነው?</v>
      </c>
      <c r="I121" s="5" t="str">
        <f>IFERROR(__xludf.DUMMYFUNCTION(" GOOGLETRANSLATE(C121, ""en"", ""am"")"),"ሀ. ተቃዋሚውን ለማቅረብ ለ. ተቃዋሚውን ለመሰካት ሐ. ለመፅናት እና ለማሸነፍ መ. ተቃዋሚውን ለመሰካት")</f>
        <v>ሀ. ተቃዋሚውን ለማቅረብ ለ. ተቃዋሚውን ለመሰካት ሐ. ለመፅናት እና ለማሸነፍ መ. ተቃዋሚውን ለመሰካት</v>
      </c>
      <c r="J121" s="5" t="str">
        <f>IFERROR(__xludf.DUMMYFUNCTION(" GOOGLETRANSLATE(D121, ""en"", ""am"")"),"ተቃዋሚውን ለመሰካት")</f>
        <v>ተቃዋሚውን ለመሰካት</v>
      </c>
      <c r="K121" s="5" t="str">
        <f>IFERROR(__xludf.DUMMYFUNCTION(" GOOGLETRANSLATE(E121, ""en"", ""am"")"),"ለአባ ገዳ ትግል ታጋይ ጥሩው ውጤት ተቃዋሚውን መጨፍለቅ ነው።")</f>
        <v>ለአባ ገዳ ትግል ታጋይ ጥሩው ውጤት ተቃዋሚውን መጨፍለቅ ነው።</v>
      </c>
    </row>
    <row r="122" ht="22.5" customHeight="1">
      <c r="A122" s="3">
        <v>121.0</v>
      </c>
      <c r="B122" s="4" t="s">
        <v>1856</v>
      </c>
      <c r="C122" s="4" t="s">
        <v>1857</v>
      </c>
      <c r="D122" s="4" t="s">
        <v>1617</v>
      </c>
      <c r="E122" s="4" t="s">
        <v>1858</v>
      </c>
      <c r="G122" s="5" t="str">
        <f>IFERROR(__xludf.DUMMYFUNCTION(" GOOGLETRANSLATE(A122, ""en"", ""am"")"),"121")</f>
        <v>121</v>
      </c>
      <c r="H122" s="5" t="str">
        <f>IFERROR(__xludf.DUMMYFUNCTION(" GOOGLETRANSLATE(B122, ""en"", ""am"")"),"ከአባ ገዳ ጦርነት በፊት ያለው ባህላዊ ሥርዓት ምን ይመስላል?")</f>
        <v>ከአባ ገዳ ጦርነት በፊት ያለው ባህላዊ ሥርዓት ምን ይመስላል?</v>
      </c>
      <c r="I122" s="5" t="str">
        <f>IFERROR(__xludf.DUMMYFUNCTION(" GOOGLETRANSLATE(C122, ""en"", ""am"")"),"ሀ. የሥርዓት እሳቶችን ማብራት ለ. መስዋዕት ማቅረብ ሐ. ጸጥ ያለ ጸሎት መ. ከሽማግሌዎች በረከቶች ጋር")</f>
        <v>ሀ. የሥርዓት እሳቶችን ማብራት ለ. መስዋዕት ማቅረብ ሐ. ጸጥ ያለ ጸሎት መ. ከሽማግሌዎች በረከቶች ጋር</v>
      </c>
      <c r="J122" s="5" t="str">
        <f>IFERROR(__xludf.DUMMYFUNCTION(" GOOGLETRANSLATE(D122, ""en"", ""am"")"),"በሽማግሌዎች በረከት")</f>
        <v>በሽማግሌዎች በረከት</v>
      </c>
      <c r="K122" s="5" t="str">
        <f>IFERROR(__xludf.DUMMYFUNCTION(" GOOGLETRANSLATE(E122, ""en"", ""am"")"),"ከግጥሚያ በፊት ታጋዮች ብዙ ጊዜ ከሽማግሌዎች በረከትን እንደ አክብሮት እና ወግ ይቀበላሉ።")</f>
        <v>ከግጥሚያ በፊት ታጋዮች ብዙ ጊዜ ከሽማግሌዎች በረከትን እንደ አክብሮት እና ወግ ይቀበላሉ።</v>
      </c>
    </row>
    <row r="123" ht="22.5" customHeight="1">
      <c r="A123" s="3">
        <v>122.0</v>
      </c>
      <c r="B123" s="4" t="s">
        <v>1859</v>
      </c>
      <c r="C123" s="4" t="s">
        <v>1860</v>
      </c>
      <c r="D123" s="4" t="s">
        <v>1861</v>
      </c>
      <c r="E123" s="4" t="s">
        <v>1862</v>
      </c>
      <c r="G123" s="5" t="str">
        <f>IFERROR(__xludf.DUMMYFUNCTION(" GOOGLETRANSLATE(A123, ""en"", ""am"")"),"122")</f>
        <v>122</v>
      </c>
      <c r="H123" s="5" t="str">
        <f>IFERROR(__xludf.DUMMYFUNCTION(" GOOGLETRANSLATE(B123, ""en"", ""am"")"),"በአባ ገዳ እና በኦሎምፒክ ትግል መካከል ያለው ቁልፍ ልዩነት ምንድን ነው?")</f>
        <v>በአባ ገዳ እና በኦሎምፒክ ትግል መካከል ያለው ቁልፍ ልዩነት ምንድን ነው?</v>
      </c>
      <c r="I123" s="5" t="str">
        <f>IFERROR(__xludf.DUMMYFUNCTION(" GOOGLETRANSLATE(C123, ""en"", ""am"")"),"ሀ. የግጥሚያው ርዝመት ለ. ቴክኒኮች ጥቅም ላይ የዋሉት ሐ. የባህል ጠቀሜታ መ. የባህል ጠቀሜታ")</f>
        <v>ሀ. የግጥሚያው ርዝመት ለ. ቴክኒኮች ጥቅም ላይ የዋሉት ሐ. የባህል ጠቀሜታ መ. የባህል ጠቀሜታ</v>
      </c>
      <c r="J123" s="5" t="str">
        <f>IFERROR(__xludf.DUMMYFUNCTION(" GOOGLETRANSLATE(D123, ""en"", ""am"")"),"ባህላዊ ጠቀሜታ")</f>
        <v>ባህላዊ ጠቀሜታ</v>
      </c>
      <c r="K123" s="5" t="str">
        <f>IFERROR(__xludf.DUMMYFUNCTION(" GOOGLETRANSLATE(E123, ""en"", ""am"")"),"የአባ ገዳ ትግል ከኦሎምፒክ ትግል ጋር ሲነፃፀር ጥልቅ ባህላዊና ትውፊታዊ ፋይዳ አለው።")</f>
        <v>የአባ ገዳ ትግል ከኦሎምፒክ ትግል ጋር ሲነፃፀር ጥልቅ ባህላዊና ትውፊታዊ ፋይዳ አለው።</v>
      </c>
    </row>
    <row r="124" ht="22.5" customHeight="1">
      <c r="A124" s="3">
        <v>123.0</v>
      </c>
      <c r="B124" s="4" t="s">
        <v>1863</v>
      </c>
      <c r="C124" s="4" t="s">
        <v>1864</v>
      </c>
      <c r="D124" s="4" t="s">
        <v>1865</v>
      </c>
      <c r="E124" s="4" t="s">
        <v>1866</v>
      </c>
      <c r="G124" s="5" t="str">
        <f>IFERROR(__xludf.DUMMYFUNCTION(" GOOGLETRANSLATE(A124, ""en"", ""am"")"),"123")</f>
        <v>123</v>
      </c>
      <c r="H124" s="5" t="str">
        <f>IFERROR(__xludf.DUMMYFUNCTION(" GOOGLETRANSLATE(B124, ""en"", ""am"")"),"የአባ ገዳ ትግል በኦሮሞ ማህበረሰብ ዘንድ ጠቃሚ እንዲሆን ካደረጉት ምክንያቶች አንዱ ምንድን ነው?")</f>
        <v>የአባ ገዳ ትግል በኦሮሞ ማህበረሰብ ዘንድ ጠቃሚ እንዲሆን ካደረጉት ምክንያቶች አንዱ ምንድን ነው?</v>
      </c>
      <c r="I124" s="5" t="str">
        <f>IFERROR(__xludf.DUMMYFUNCTION(" GOOGLETRANSLATE(C124, ""en"", ""am"")"),"ሀ. ለውትድርና አገልግሎት ዝግጅት ሆኖ ያገለግላል። ለ/ ሃይማኖታዊ ሥርዓት ነው። ሐ. መተዳደሪያ የሚሆንበት መንገድ ነው። መ) ሃይማኖታዊ ሥርዓት ነው።")</f>
        <v>ሀ. ለውትድርና አገልግሎት ዝግጅት ሆኖ ያገለግላል። ለ/ ሃይማኖታዊ ሥርዓት ነው። ሐ. መተዳደሪያ የሚሆንበት መንገድ ነው። መ) ሃይማኖታዊ ሥርዓት ነው።</v>
      </c>
      <c r="J124" s="5" t="str">
        <f>IFERROR(__xludf.DUMMYFUNCTION(" GOOGLETRANSLATE(D124, ""en"", ""am"")"),"ሃይማኖታዊ ሥርዓት ነው።")</f>
        <v>ሃይማኖታዊ ሥርዓት ነው።</v>
      </c>
      <c r="K124" s="5" t="str">
        <f>IFERROR(__xludf.DUMMYFUNCTION(" GOOGLETRANSLATE(E124, ""en"", ""am"")"),"የአባ ገዳ ትግል ብዙውን ጊዜ በኦሮሞ ማህበረሰብ ውስጥ ለወጣት ወንዶች ሥርዓት ነው።")</f>
        <v>የአባ ገዳ ትግል ብዙውን ጊዜ በኦሮሞ ማህበረሰብ ውስጥ ለወጣት ወንዶች ሥርዓት ነው።</v>
      </c>
    </row>
    <row r="125" ht="22.5" customHeight="1">
      <c r="A125" s="3">
        <v>124.0</v>
      </c>
      <c r="B125" s="4" t="s">
        <v>1867</v>
      </c>
      <c r="C125" s="4" t="s">
        <v>1868</v>
      </c>
      <c r="D125" s="4" t="s">
        <v>1869</v>
      </c>
      <c r="E125" s="4" t="s">
        <v>1870</v>
      </c>
      <c r="G125" s="5" t="str">
        <f>IFERROR(__xludf.DUMMYFUNCTION(" GOOGLETRANSLATE(A125, ""en"", ""am"")"),"124")</f>
        <v>124</v>
      </c>
      <c r="H125" s="5" t="str">
        <f>IFERROR(__xludf.DUMMYFUNCTION(" GOOGLETRANSLATE(B125, ""en"", ""am"")"),"የአብገዳ ትግል መሰረታዊ መርህ የትኛው ነው?")</f>
        <v>የአብገዳ ትግል መሰረታዊ መርህ የትኛው ነው?</v>
      </c>
      <c r="I125" s="5" t="str">
        <f>IFERROR(__xludf.DUMMYFUNCTION(" GOOGLETRANSLATE(C125, ""en"", ""am"")"),"ሀ. ለተቃዋሚዎች አክብሮት ለ. በፍጥነት ያበቃል. ሐ. አካላዊ የበላይነት መ. ተቃዋሚዎችን ማክበር")</f>
        <v>ሀ. ለተቃዋሚዎች አክብሮት ለ. በፍጥነት ያበቃል. ሐ. አካላዊ የበላይነት መ. ተቃዋሚዎችን ማክበር</v>
      </c>
      <c r="J125" s="5" t="str">
        <f>IFERROR(__xludf.DUMMYFUNCTION(" GOOGLETRANSLATE(D125, ""en"", ""am"")"),"ለተቃዋሚዎች አክብሮት")</f>
        <v>ለተቃዋሚዎች አክብሮት</v>
      </c>
      <c r="K125" s="5" t="str">
        <f>IFERROR(__xludf.DUMMYFUNCTION(" GOOGLETRANSLATE(E125, ""en"", ""am"")"),"በአባ ገዳ ትግል ውስጥ ትኩረት ከተሰጣቸው መሰረታዊ መርሆች አንዱ ተቃዋሚዎችን ማክበር ነው።")</f>
        <v>በአባ ገዳ ትግል ውስጥ ትኩረት ከተሰጣቸው መሰረታዊ መርሆች አንዱ ተቃዋሚዎችን ማክበር ነው።</v>
      </c>
    </row>
    <row r="126" ht="22.5" customHeight="1">
      <c r="A126" s="3">
        <v>125.0</v>
      </c>
      <c r="B126" s="4" t="s">
        <v>1871</v>
      </c>
      <c r="C126" s="4" t="s">
        <v>1872</v>
      </c>
      <c r="D126" s="4" t="s">
        <v>1640</v>
      </c>
      <c r="E126" s="4" t="s">
        <v>1873</v>
      </c>
      <c r="G126" s="5" t="str">
        <f>IFERROR(__xludf.DUMMYFUNCTION(" GOOGLETRANSLATE(A126, ""en"", ""am"")"),"125")</f>
        <v>125</v>
      </c>
      <c r="H126" s="5" t="str">
        <f>IFERROR(__xludf.DUMMYFUNCTION(" GOOGLETRANSLATE(B126, ""en"", ""am"")"),"የአባ ገዳ የትግል ውድድሮችን በባህል የሚያዘጋጀው ማነው?")</f>
        <v>የአባ ገዳ የትግል ውድድሮችን በባህል የሚያዘጋጀው ማነው?</v>
      </c>
      <c r="I126" s="5" t="str">
        <f>IFERROR(__xludf.DUMMYFUNCTION(" GOOGLETRANSLATE(C126, ""en"", ""am"")"),"ሀ. የሃይማኖት መሪዎች ለ. የአካባቢ ማህበረሰብ መሪዎች ሐ. አለም አቀፍ ድርጅቶች መ. የአካባቢ ማህበረሰብ መሪዎች")</f>
        <v>ሀ. የሃይማኖት መሪዎች ለ. የአካባቢ ማህበረሰብ መሪዎች ሐ. አለም አቀፍ ድርጅቶች መ. የአካባቢ ማህበረሰብ መሪዎች</v>
      </c>
      <c r="J126" s="5" t="str">
        <f>IFERROR(__xludf.DUMMYFUNCTION(" GOOGLETRANSLATE(D126, ""en"", ""am"")"),"የአካባቢ ማህበረሰብ መሪዎች")</f>
        <v>የአካባቢ ማህበረሰብ መሪዎች</v>
      </c>
      <c r="K126" s="5" t="str">
        <f>IFERROR(__xludf.DUMMYFUNCTION(" GOOGLETRANSLATE(E126, ""en"", ""am"")"),"የአባ ገዳ የትግል ውድድር በባህላዊ መንገድ የሚዘጋጀው በአካባቢው ማህበረሰብ መሪዎች ነው።")</f>
        <v>የአባ ገዳ የትግል ውድድር በባህላዊ መንገድ የሚዘጋጀው በአካባቢው ማህበረሰብ መሪዎች ነው።</v>
      </c>
    </row>
    <row r="127" ht="22.5" customHeight="1">
      <c r="A127" s="3">
        <v>126.0</v>
      </c>
      <c r="B127" s="4" t="s">
        <v>1874</v>
      </c>
      <c r="C127" s="4" t="s">
        <v>1875</v>
      </c>
      <c r="D127" s="4" t="s">
        <v>1876</v>
      </c>
      <c r="E127" s="4" t="s">
        <v>1877</v>
      </c>
      <c r="G127" s="5" t="str">
        <f>IFERROR(__xludf.DUMMYFUNCTION(" GOOGLETRANSLATE(A127, ""en"", ""am"")"),"126")</f>
        <v>126</v>
      </c>
      <c r="H127" s="5" t="str">
        <f>IFERROR(__xludf.DUMMYFUNCTION(" GOOGLETRANSLATE(B127, ""en"", ""am"")"),"በአባ ገዳ ትግል ወቅት የታዳሚው ሚና ምን ይመስላል?")</f>
        <v>በአባ ገዳ ትግል ወቅት የታዳሚው ሚና ምን ይመስላል?</v>
      </c>
      <c r="I127" s="5" t="str">
        <f>IFERROR(__xludf.DUMMYFUNCTION(" GOOGLETRANSLATE(C127, ""en"", ""am"")"),"ሀ. ዝም በል ለ. ለታጋዩ ምክር ስጥ ሐ. የሞራል ድጋፍ ስጡ። መ. የሞራል ድጋፍ ይስጡ.")</f>
        <v>ሀ. ዝም በል ለ. ለታጋዩ ምክር ስጥ ሐ. የሞራል ድጋፍ ስጡ። መ. የሞራል ድጋፍ ይስጡ.</v>
      </c>
      <c r="J127" s="5" t="str">
        <f>IFERROR(__xludf.DUMMYFUNCTION(" GOOGLETRANSLATE(D127, ""en"", ""am"")"),"የሞራል ድጋፍ ስጡ።")</f>
        <v>የሞራል ድጋፍ ስጡ።</v>
      </c>
      <c r="K127" s="5" t="str">
        <f>IFERROR(__xludf.DUMMYFUNCTION(" GOOGLETRANSLATE(E127, ""en"", ""am"")"),"በጨዋታው ወቅት ተመልካቾች የሞራል ድጋፍ እና ተዋጊዎችን ያበረታታሉ.")</f>
        <v>በጨዋታው ወቅት ተመልካቾች የሞራል ድጋፍ እና ተዋጊዎችን ያበረታታሉ.</v>
      </c>
    </row>
    <row r="128" ht="22.5" customHeight="1">
      <c r="A128" s="3">
        <v>127.0</v>
      </c>
      <c r="B128" s="4" t="s">
        <v>1878</v>
      </c>
      <c r="C128" s="4" t="s">
        <v>1879</v>
      </c>
      <c r="D128" s="4" t="s">
        <v>1880</v>
      </c>
      <c r="E128" s="4" t="s">
        <v>1881</v>
      </c>
      <c r="G128" s="5" t="str">
        <f>IFERROR(__xludf.DUMMYFUNCTION(" GOOGLETRANSLATE(A128, ""en"", ""am"")"),"127")</f>
        <v>127</v>
      </c>
      <c r="H128" s="5" t="str">
        <f>IFERROR(__xludf.DUMMYFUNCTION(" GOOGLETRANSLATE(B128, ""en"", ""am"")"),"ከአብጋ ገዳ ታጋዮች ያልዳበረው የትኛው ሙያ ነው?")</f>
        <v>ከአብጋ ገዳ ታጋዮች ያልዳበረው የትኛው ሙያ ነው?</v>
      </c>
      <c r="I128" s="5" t="str">
        <f>IFERROR(__xludf.DUMMYFUNCTION(" GOOGLETRANSLATE(C128, ""en"", ""am"")"),"ሀ. የውጊያ ቴክኒኮች እውቀት ለ. አካላዊ ጥንካሬ ሐ. የግብርና ልምዶች እውቀት መ. የግብርና ልምዶች እውቀት")</f>
        <v>ሀ. የውጊያ ቴክኒኮች እውቀት ለ. አካላዊ ጥንካሬ ሐ. የግብርና ልምዶች እውቀት መ. የግብርና ልምዶች እውቀት</v>
      </c>
      <c r="J128" s="5" t="str">
        <f>IFERROR(__xludf.DUMMYFUNCTION(" GOOGLETRANSLATE(D128, ""en"", ""am"")"),"የግብርና ልምዶች እውቀት")</f>
        <v>የግብርና ልምዶች እውቀት</v>
      </c>
      <c r="K128" s="5" t="str">
        <f>IFERROR(__xludf.DUMMYFUNCTION(" GOOGLETRANSLATE(E128, ""en"", ""am"")"),"አካላዊ ጥንካሬ እና አእምሮአዊ ጥንካሬ አጽንዖት ተሰጥቶ ሳለ፣ የግብርና ልምምዶች እውቀት በተለምዶ ለነጻነት በሚደረገው ትግል ውስጥ የዳበረ ችሎታ አይደለም።")</f>
        <v>አካላዊ ጥንካሬ እና አእምሮአዊ ጥንካሬ አጽንዖት ተሰጥቶ ሳለ፣ የግብርና ልምምዶች እውቀት በተለምዶ ለነጻነት በሚደረገው ትግል ውስጥ የዳበረ ችሎታ አይደለም።</v>
      </c>
    </row>
    <row r="129" ht="22.5" customHeight="1">
      <c r="A129" s="3">
        <v>128.0</v>
      </c>
      <c r="B129" s="4" t="s">
        <v>1882</v>
      </c>
      <c r="C129" s="4" t="s">
        <v>1883</v>
      </c>
      <c r="D129" s="4" t="s">
        <v>1652</v>
      </c>
      <c r="E129" s="4" t="s">
        <v>1884</v>
      </c>
      <c r="G129" s="5" t="str">
        <f>IFERROR(__xludf.DUMMYFUNCTION(" GOOGLETRANSLATE(A129, ""en"", ""am"")"),"128")</f>
        <v>128</v>
      </c>
      <c r="H129" s="5" t="str">
        <f>IFERROR(__xludf.DUMMYFUNCTION(" GOOGLETRANSLATE(B129, ""en"", ""am"")"),"አባ ገዳ በትግሉ ምን አይነት ጫማ ነው የሚለብሱት?")</f>
        <v>አባ ገዳ በትግሉ ምን አይነት ጫማ ነው የሚለብሱት?</v>
      </c>
      <c r="I129" s="5" t="str">
        <f>IFERROR(__xludf.DUMMYFUNCTION(" GOOGLETRANSLATE(C129, ""en"", ""am"")"),"ሀ. ባዶ እግር ለ. ለስላሳ ጫማዎች ሐ. ቡትስ ዲ. ባዶ እግር")</f>
        <v>ሀ. ባዶ እግር ለ. ለስላሳ ጫማዎች ሐ. ቡትስ ዲ. ባዶ እግር</v>
      </c>
      <c r="J129" s="5" t="str">
        <f>IFERROR(__xludf.DUMMYFUNCTION(" GOOGLETRANSLATE(D129, ""en"", ""am"")"),"በባዶ እግሩ")</f>
        <v>በባዶ እግሩ</v>
      </c>
      <c r="K129" s="5" t="str">
        <f>IFERROR(__xludf.DUMMYFUNCTION(" GOOGLETRANSLATE(E129, ""en"", ""am"")"),"የአባ ገዳ ታጋዮች ከመሬት ጋር ያላቸውን ግንኙነት ለማስቀጠል በባዶ እግራቸው ይወዳደራሉ።")</f>
        <v>የአባ ገዳ ታጋዮች ከመሬት ጋር ያላቸውን ግንኙነት ለማስቀጠል በባዶ እግራቸው ይወዳደራሉ።</v>
      </c>
    </row>
    <row r="130" ht="22.5" customHeight="1">
      <c r="A130" s="3">
        <v>129.0</v>
      </c>
      <c r="B130" s="4" t="s">
        <v>1885</v>
      </c>
      <c r="C130" s="4" t="s">
        <v>1886</v>
      </c>
      <c r="D130" s="4" t="s">
        <v>1887</v>
      </c>
      <c r="E130" s="4" t="s">
        <v>1888</v>
      </c>
      <c r="G130" s="5" t="str">
        <f>IFERROR(__xludf.DUMMYFUNCTION(" GOOGLETRANSLATE(A130, ""en"", ""am"")"),"129")</f>
        <v>129</v>
      </c>
      <c r="H130" s="5" t="str">
        <f>IFERROR(__xludf.DUMMYFUNCTION(" GOOGLETRANSLATE(B130, ""en"", ""am"")"),"በአባ ገዳ የትግል ስልጠና ወቅት በወጣት ታጋዮች ላይ የተዘረጋው ቁልፍ እሴት ምንድን ነው?")</f>
        <v>በአባ ገዳ የትግል ስልጠና ወቅት በወጣት ታጋዮች ላይ የተዘረጋው ቁልፍ እሴት ምንድን ነው?</v>
      </c>
      <c r="I130" s="5" t="str">
        <f>IFERROR(__xludf.DUMMYFUNCTION(" GOOGLETRANSLATE(C130, ""en"", ""am"")"),"ሀ. ተወዳዳሪ ጥቃት ለ. ግላዊ ስኬት ሐ. የቡድን ስራ መ. ራስን መግዛት")</f>
        <v>ሀ. ተወዳዳሪ ጥቃት ለ. ግላዊ ስኬት ሐ. የቡድን ስራ መ. ራስን መግዛት</v>
      </c>
      <c r="J130" s="5" t="str">
        <f>IFERROR(__xludf.DUMMYFUNCTION(" GOOGLETRANSLATE(D130, ""en"", ""am"")"),"ራስን መግዛት")</f>
        <v>ራስን መግዛት</v>
      </c>
      <c r="K130" s="5" t="str">
        <f>IFERROR(__xludf.DUMMYFUNCTION(" GOOGLETRANSLATE(E130, ""en"", ""am"")"),"ራስን መግዛት በስልጠና ወቅት በወጣት ታጋዮች ውስጥ የተከተተ ቁልፍ እሴት ነው።")</f>
        <v>ራስን መግዛት በስልጠና ወቅት በወጣት ታጋዮች ውስጥ የተከተተ ቁልፍ እሴት ነው።</v>
      </c>
    </row>
    <row r="131" ht="22.5" customHeight="1">
      <c r="A131" s="3">
        <v>130.0</v>
      </c>
      <c r="B131" s="4" t="s">
        <v>1889</v>
      </c>
      <c r="C131" s="4" t="s">
        <v>1890</v>
      </c>
      <c r="D131" s="4" t="s">
        <v>1891</v>
      </c>
      <c r="E131" s="4" t="s">
        <v>1892</v>
      </c>
      <c r="G131" s="5" t="str">
        <f>IFERROR(__xludf.DUMMYFUNCTION(" GOOGLETRANSLATE(A131, ""en"", ""am"")"),"130")</f>
        <v>130</v>
      </c>
      <c r="H131" s="5" t="str">
        <f>IFERROR(__xludf.DUMMYFUNCTION(" GOOGLETRANSLATE(B131, ""en"", ""am"")"),"የአባ ገዳ ታጋዮች ለተቃዋሚዎቻቸው ያላቸውን ክብር እንዴት ያሳያሉ?")</f>
        <v>የአባ ገዳ ታጋዮች ለተቃዋሚዎቻቸው ያላቸውን ክብር እንዴት ያሳያሉ?</v>
      </c>
      <c r="I131" s="5" t="str">
        <f>IFERROR(__xludf.DUMMYFUNCTION(" GOOGLETRANSLATE(C131, ""en"", ""am"")"),"ሀ. በመጨባበጥ ለ. የሥርዓት ስጦታ በማቅረብ ሐ. የተረጋጋ ገጸ ባህሪን መጠበቅ መ. በመጨባበጥ")</f>
        <v>ሀ. በመጨባበጥ ለ. የሥርዓት ስጦታ በማቅረብ ሐ. የተረጋጋ ገጸ ባህሪን መጠበቅ መ. በመጨባበጥ</v>
      </c>
      <c r="J131" s="5" t="str">
        <f>IFERROR(__xludf.DUMMYFUNCTION(" GOOGLETRANSLATE(D131, ""en"", ""am"")"),"በመጨባበጥ")</f>
        <v>በመጨባበጥ</v>
      </c>
      <c r="K131" s="5" t="str">
        <f>IFERROR(__xludf.DUMMYFUNCTION(" GOOGLETRANSLATE(E131, ""en"", ""am"")"),"ተጋዳዮች ብዙውን ጊዜ ከግጥሚያ በፊት እና በኋላ እጅ በመጨባበጥ አክብሮት ያሳያሉ።")</f>
        <v>ተጋዳዮች ብዙውን ጊዜ ከግጥሚያ በፊት እና በኋላ እጅ በመጨባበጥ አክብሮት ያሳያሉ።</v>
      </c>
    </row>
    <row r="132" ht="22.5" customHeight="1">
      <c r="A132" s="3">
        <v>131.0</v>
      </c>
      <c r="B132" s="4" t="s">
        <v>1893</v>
      </c>
      <c r="C132" s="4" t="s">
        <v>1894</v>
      </c>
      <c r="D132" s="4" t="s">
        <v>1895</v>
      </c>
      <c r="E132" s="4" t="s">
        <v>1896</v>
      </c>
      <c r="G132" s="5" t="str">
        <f>IFERROR(__xludf.DUMMYFUNCTION(" GOOGLETRANSLATE(A132, ""en"", ""am"")"),"131")</f>
        <v>131</v>
      </c>
      <c r="H132" s="5" t="str">
        <f>IFERROR(__xludf.DUMMYFUNCTION(" GOOGLETRANSLATE(B132, ""en"", ""am"")"),"በአባ ገዳ ትግል ምን ዓይነት የውድድር ፎርማት ጥቅም ላይ ይውላል?")</f>
        <v>በአባ ገዳ ትግል ምን ዓይነት የውድድር ፎርማት ጥቅም ላይ ይውላል?</v>
      </c>
      <c r="I132" s="5" t="str">
        <f>IFERROR(__xludf.DUMMYFUNCTION(" GOOGLETRANSLATE(C132, ""en"", ""am"")"),"ሀ. ክብ-ሮቢን ቅርጸት ለ. የእግር ኳስ ውድድር ሐ. አንድ ለአንድ ግጥሚያዎች D. አንድ-ለአንድ ግጥሚያዎች")</f>
        <v>ሀ. ክብ-ሮቢን ቅርጸት ለ. የእግር ኳስ ውድድር ሐ. አንድ ለአንድ ግጥሚያዎች D. አንድ-ለአንድ ግጥሚያዎች</v>
      </c>
      <c r="J132" s="5" t="str">
        <f>IFERROR(__xludf.DUMMYFUNCTION(" GOOGLETRANSLATE(D132, ""en"", ""am"")"),"አንድ ለአንድ ግጥሚያዎች")</f>
        <v>አንድ ለአንድ ግጥሚያዎች</v>
      </c>
      <c r="K132" s="5" t="str">
        <f>IFERROR(__xludf.DUMMYFUNCTION(" GOOGLETRANSLATE(E132, ""en"", ""am"")"),"በአባ ገዳ ሬስሊንግ የሚደረጉ ግጥሚያዎች በተለምዶ አንድ ለአንድ የሚደረጉ ሲሆን አሸናፊው በፒን ወይም በማስረከብ የሚወሰን ነው።")</f>
        <v>በአባ ገዳ ሬስሊንግ የሚደረጉ ግጥሚያዎች በተለምዶ አንድ ለአንድ የሚደረጉ ሲሆን አሸናፊው በፒን ወይም በማስረከብ የሚወሰን ነው።</v>
      </c>
    </row>
    <row r="133" ht="22.5" customHeight="1">
      <c r="A133" s="3">
        <v>132.0</v>
      </c>
      <c r="B133" s="4" t="s">
        <v>1897</v>
      </c>
      <c r="C133" s="4" t="s">
        <v>1898</v>
      </c>
      <c r="D133" s="4" t="s">
        <v>1899</v>
      </c>
      <c r="E133" s="4" t="s">
        <v>1900</v>
      </c>
      <c r="G133" s="5" t="str">
        <f>IFERROR(__xludf.DUMMYFUNCTION(" GOOGLETRANSLATE(A133, ""en"", ""am"")"),"132")</f>
        <v>132</v>
      </c>
      <c r="H133" s="5" t="str">
        <f>IFERROR(__xludf.DUMMYFUNCTION(" GOOGLETRANSLATE(B133, ""en"", ""am"")"),"የአባ ገዳ ትግል ፋይዳው ምንድነው?")</f>
        <v>የአባ ገዳ ትግል ፋይዳው ምንድነው?</v>
      </c>
      <c r="I133" s="5" t="str">
        <f>IFERROR(__xludf.DUMMYFUNCTION(" GOOGLETRANSLATE(C133, ""en"", ""am"")"),"ሀ. አሸናፊውን የሚወስነው ጊዜ ነው። ለ. ግጥሚያዎች ላልተወሰነ ጊዜ ሊቆዩ ይችላሉ። ሐ. ጊዜ መስጠት ተገቢ አይደለም። መ. ግጥሚያዎች ላልተወሰነ ጊዜ ሊቆዩ ይችላሉ።")</f>
        <v>ሀ. አሸናፊውን የሚወስነው ጊዜ ነው። ለ. ግጥሚያዎች ላልተወሰነ ጊዜ ሊቆዩ ይችላሉ። ሐ. ጊዜ መስጠት ተገቢ አይደለም። መ. ግጥሚያዎች ላልተወሰነ ጊዜ ሊቆዩ ይችላሉ።</v>
      </c>
      <c r="J133" s="5" t="str">
        <f>IFERROR(__xludf.DUMMYFUNCTION(" GOOGLETRANSLATE(D133, ""en"", ""am"")"),"ግጥሚያዎች ላልተወሰነ ጊዜ ሊቆዩ ይችላሉ።")</f>
        <v>ግጥሚያዎች ላልተወሰነ ጊዜ ሊቆዩ ይችላሉ።</v>
      </c>
      <c r="K133" s="5" t="str">
        <f>IFERROR(__xludf.DUMMYFUNCTION(" GOOGLETRANSLATE(E133, ""en"", ""am"")"),"በአባ ገዳ የሚደረጉ የትግል ጨዋታዎች ረጅም ጊዜ የሚቆዩ እና ያለጊዜ ገደብ ላልተወሰነ ጊዜ ሊቀጥሉ ይችላሉ።")</f>
        <v>በአባ ገዳ የሚደረጉ የትግል ጨዋታዎች ረጅም ጊዜ የሚቆዩ እና ያለጊዜ ገደብ ላልተወሰነ ጊዜ ሊቀጥሉ ይችላሉ።</v>
      </c>
    </row>
    <row r="134" ht="22.5" customHeight="1">
      <c r="A134" s="3">
        <v>133.0</v>
      </c>
      <c r="B134" s="4" t="s">
        <v>1901</v>
      </c>
      <c r="C134" s="4" t="s">
        <v>1902</v>
      </c>
      <c r="D134" s="4" t="s">
        <v>1903</v>
      </c>
      <c r="E134" s="4" t="s">
        <v>1904</v>
      </c>
      <c r="G134" s="5" t="str">
        <f>IFERROR(__xludf.DUMMYFUNCTION(" GOOGLETRANSLATE(A134, ""en"", ""am"")"),"133")</f>
        <v>133</v>
      </c>
      <c r="H134" s="5" t="str">
        <f>IFERROR(__xludf.DUMMYFUNCTION(" GOOGLETRANSLATE(B134, ""en"", ""am"")"),"ከሚከተሉት ውስጥ በትግል ግጥሚያ ወቅት በተዋጊዎች በብዛት የሚጠቀሙት የትኛው ነው?")</f>
        <v>ከሚከተሉት ውስጥ በትግል ግጥሚያ ወቅት በተዋጊዎች በብዛት የሚጠቀሙት የትኛው ነው?</v>
      </c>
      <c r="I134" s="5" t="str">
        <f>IFERROR(__xludf.DUMMYFUNCTION(" GOOGLETRANSLATE(C134, ""en"", ""am"")"),"ሀ. የእግር መፋቅ ለ. የጋራ መቆለፊያዎች ሐ. እገዳዎች D. የእግር ማፅዳት")</f>
        <v>ሀ. የእግር መፋቅ ለ. የጋራ መቆለፊያዎች ሐ. እገዳዎች D. የእግር ማፅዳት</v>
      </c>
      <c r="J134" s="5" t="str">
        <f>IFERROR(__xludf.DUMMYFUNCTION(" GOOGLETRANSLATE(D134, ""en"", ""am"")"),"የእግር መፋቅ")</f>
        <v>የእግር መፋቅ</v>
      </c>
      <c r="K134" s="5" t="str">
        <f>IFERROR(__xludf.DUMMYFUNCTION(" GOOGLETRANSLATE(E134, ""en"", ""am"")"),"በግጥሚያ ወቅት፣ ተቃዋሚውን ሚዛኑን እንዳይጠብቅ ለማድረግ የእግር ማሰሪያ ብዙ ጊዜ ጥቅም ላይ ይውላል።")</f>
        <v>በግጥሚያ ወቅት፣ ተቃዋሚውን ሚዛኑን እንዳይጠብቅ ለማድረግ የእግር ማሰሪያ ብዙ ጊዜ ጥቅም ላይ ይውላል።</v>
      </c>
    </row>
    <row r="135" ht="22.5" customHeight="1">
      <c r="A135" s="3">
        <v>134.0</v>
      </c>
      <c r="B135" s="4" t="s">
        <v>1905</v>
      </c>
      <c r="C135" s="4" t="s">
        <v>1906</v>
      </c>
      <c r="D135" s="4" t="s">
        <v>1907</v>
      </c>
      <c r="E135" s="4" t="s">
        <v>1908</v>
      </c>
      <c r="G135" s="5" t="str">
        <f>IFERROR(__xludf.DUMMYFUNCTION(" GOOGLETRANSLATE(A135, ""en"", ""am"")"),"134")</f>
        <v>134</v>
      </c>
      <c r="H135" s="5" t="str">
        <f>IFERROR(__xludf.DUMMYFUNCTION(" GOOGLETRANSLATE(B135, ""en"", ""am"")"),"በአባ ገዳ ሬስሊንግ ዳውንሎድ ሲደረግ የትግል ቀዳሚ ትኩረት ምንድነው?")</f>
        <v>በአባ ገዳ ሬስሊንግ ዳውንሎድ ሲደረግ የትግል ቀዳሚ ትኩረት ምንድነው?</v>
      </c>
      <c r="I135" s="5" t="str">
        <f>IFERROR(__xludf.DUMMYFUNCTION(" GOOGLETRANSLATE(C135, ""en"", ""am"")"),"ሀ. መቆጣጠሪያን ለማሳየት ለ. ተቀናቃኙን ለመሰካት ሐ. ህመምን ለመምታት መ. ቁጥጥርን ለማሳየት")</f>
        <v>ሀ. መቆጣጠሪያን ለማሳየት ለ. ተቀናቃኙን ለመሰካት ሐ. ህመምን ለመምታት መ. ቁጥጥርን ለማሳየት</v>
      </c>
      <c r="J135" s="5" t="str">
        <f>IFERROR(__xludf.DUMMYFUNCTION(" GOOGLETRANSLATE(D135, ""en"", ""am"")"),"ቁጥጥርን ለማሳየት")</f>
        <v>ቁጥጥርን ለማሳየት</v>
      </c>
      <c r="K135" s="5" t="str">
        <f>IFERROR(__xludf.DUMMYFUNCTION(" GOOGLETRANSLATE(E135, ""en"", ""am"")"),"የማውረድ ቀዳሚ ትኩረት በተቃዋሚው ላይ ቁጥጥርን ማሳየት ነው።")</f>
        <v>የማውረድ ቀዳሚ ትኩረት በተቃዋሚው ላይ ቁጥጥርን ማሳየት ነው።</v>
      </c>
    </row>
    <row r="136" ht="22.5" customHeight="1">
      <c r="A136" s="3">
        <v>135.0</v>
      </c>
      <c r="B136" s="4" t="s">
        <v>1909</v>
      </c>
      <c r="C136" s="4" t="s">
        <v>1910</v>
      </c>
      <c r="D136" s="4" t="s">
        <v>1911</v>
      </c>
      <c r="E136" s="4" t="s">
        <v>1912</v>
      </c>
      <c r="G136" s="5" t="str">
        <f>IFERROR(__xludf.DUMMYFUNCTION(" GOOGLETRANSLATE(A136, ""en"", ""am"")"),"135")</f>
        <v>135</v>
      </c>
      <c r="H136" s="5" t="str">
        <f>IFERROR(__xludf.DUMMYFUNCTION(" GOOGLETRANSLATE(B136, ""en"", ""am"")"),"በአባ ገዳ ትግል ውስጥ ጥቅም ላይ የዋለው ምንጣፍ የጋራ ባህሪው ምንድን ነው?")</f>
        <v>በአባ ገዳ ትግል ውስጥ ጥቅም ላይ የዋለው ምንጣፍ የጋራ ባህሪው ምንድን ነው?</v>
      </c>
      <c r="I136" s="5" t="str">
        <f>IFERROR(__xludf.DUMMYFUNCTION(" GOOGLETRANSLATE(C136, ""en"", ""am"")"),"ሀ/ ከገለባ የተሰራ ነው። ለ. ለስላሳ ጨርቅ የተሰራ ነው. ሐ. ከድንጋይ የተሠራ ነው. መ. ከአሸዋ የተሠራ ነው.")</f>
        <v>ሀ/ ከገለባ የተሰራ ነው። ለ. ለስላሳ ጨርቅ የተሰራ ነው. ሐ. ከድንጋይ የተሠራ ነው. መ. ከአሸዋ የተሠራ ነው.</v>
      </c>
      <c r="J136" s="5" t="str">
        <f>IFERROR(__xludf.DUMMYFUNCTION(" GOOGLETRANSLATE(D136, ""en"", ""am"")"),"ከአሸዋ የተሠራ ነው።")</f>
        <v>ከአሸዋ የተሠራ ነው።</v>
      </c>
      <c r="K136" s="5" t="str">
        <f>IFERROR(__xludf.DUMMYFUNCTION(" GOOGLETRANSLATE(E136, ""en"", ""am"")"),"ትግል የአባ ገዳ ባህላዊ ገጽታ በመሆኑ ብዙ ጊዜ ግጥሚያዎች በአሸዋ ምንጣፍ ላይ ይካሄዳሉ።")</f>
        <v>ትግል የአባ ገዳ ባህላዊ ገጽታ በመሆኑ ብዙ ጊዜ ግጥሚያዎች በአሸዋ ምንጣፍ ላይ ይካሄዳሉ።</v>
      </c>
    </row>
    <row r="137" ht="22.5" customHeight="1">
      <c r="A137" s="3">
        <v>136.0</v>
      </c>
      <c r="B137" s="4" t="s">
        <v>1913</v>
      </c>
      <c r="C137" s="4" t="s">
        <v>1914</v>
      </c>
      <c r="D137" s="4" t="s">
        <v>1915</v>
      </c>
      <c r="E137" s="4" t="s">
        <v>1916</v>
      </c>
      <c r="G137" s="5" t="str">
        <f>IFERROR(__xludf.DUMMYFUNCTION(" GOOGLETRANSLATE(A137, ""en"", ""am"")"),"136")</f>
        <v>136</v>
      </c>
      <c r="H137" s="5" t="str">
        <f>IFERROR(__xludf.DUMMYFUNCTION(" GOOGLETRANSLATE(B137, ""en"", ""am"")"),"የአባ ገዳው አሸናፊ ድላቸውን እንዴት ያከብራል?")</f>
        <v>የአባ ገዳው አሸናፊ ድላቸውን እንዴት ያከብራል?</v>
      </c>
      <c r="I137" s="5" t="str">
        <f>IFERROR(__xludf.DUMMYFUNCTION(" GOOGLETRANSLATE(C137, ""en"", ""am"")"),"ሀ.በመናገር ለ.ባህላዊ ሽልማት መቀበል ሐ.የድል ዳንስ ማድረግ መ.በድል እጆቻቸውን ወደ ላይ በማንሳት")</f>
        <v>ሀ.በመናገር ለ.ባህላዊ ሽልማት መቀበል ሐ.የድል ዳንስ ማድረግ መ.በድል እጆቻቸውን ወደ ላይ በማንሳት</v>
      </c>
      <c r="J137" s="5" t="str">
        <f>IFERROR(__xludf.DUMMYFUNCTION(" GOOGLETRANSLATE(D137, ""en"", ""am"")"),"በድል እጆቻቸውን በማንሳት")</f>
        <v>በድል እጆቻቸውን በማንሳት</v>
      </c>
      <c r="K137" s="5" t="str">
        <f>IFERROR(__xludf.DUMMYFUNCTION(" GOOGLETRANSLATE(E137, ""en"", ""am"")"),"አሸናፊዎች ድላቸውን እና ጥንካሬያቸውን ለማክበር እጃቸውን በድል አድራጊነት ያነሳሉ።")</f>
        <v>አሸናፊዎች ድላቸውን እና ጥንካሬያቸውን ለማክበር እጃቸውን በድል አድራጊነት ያነሳሉ።</v>
      </c>
    </row>
    <row r="138" ht="22.5" customHeight="1">
      <c r="A138" s="3">
        <v>137.0</v>
      </c>
      <c r="B138" s="4" t="s">
        <v>1917</v>
      </c>
      <c r="C138" s="4" t="s">
        <v>1918</v>
      </c>
      <c r="D138" s="4" t="s">
        <v>1919</v>
      </c>
      <c r="E138" s="4" t="s">
        <v>1920</v>
      </c>
      <c r="G138" s="5" t="str">
        <f>IFERROR(__xludf.DUMMYFUNCTION(" GOOGLETRANSLATE(A138, ""en"", ""am"")"),"137")</f>
        <v>137</v>
      </c>
      <c r="H138" s="5" t="str">
        <f>IFERROR(__xludf.DUMMYFUNCTION(" GOOGLETRANSLATE(B138, ""en"", ""am"")"),"ለአባ ገዳ ትግል ስትራቴጂ ምን ሚና አለው?")</f>
        <v>ለአባ ገዳ ትግል ስትራቴጂ ምን ሚና አለው?</v>
      </c>
      <c r="I138" s="5" t="str">
        <f>IFERROR(__xludf.DUMMYFUNCTION(" GOOGLETRANSLATE(C138, ""en"", ""am"")"),"ሀ. ስትራቴጂ ለስኬት ወሳኝ ነው። ለ. ስትራቴጂ ጥቅም ላይ የሚውለው ለመከላከያ ብቻ ነው። ሐ. አስፈላጊ አይደለም መ. ስትራቴጂ ለስኬት ወሳኝ ነው።")</f>
        <v>ሀ. ስትራቴጂ ለስኬት ወሳኝ ነው። ለ. ስትራቴጂ ጥቅም ላይ የሚውለው ለመከላከያ ብቻ ነው። ሐ. አስፈላጊ አይደለም መ. ስትራቴጂ ለስኬት ወሳኝ ነው።</v>
      </c>
      <c r="J138" s="5" t="str">
        <f>IFERROR(__xludf.DUMMYFUNCTION(" GOOGLETRANSLATE(D138, ""en"", ""am"")"),"ስትራቴጂ ለስኬት ወሳኝ ነው።")</f>
        <v>ስትራቴጂ ለስኬት ወሳኝ ነው።</v>
      </c>
      <c r="K138" s="5" t="str">
        <f>IFERROR(__xludf.DUMMYFUNCTION(" GOOGLETRANSLATE(E138, ""en"", ""am"")"),"ታጋዮች ተቃዋሚዎቻቸውን ማብለጥ ስላለባቸው በአባ ገዳ ትግል ውስጥ ስትራቴጂ ቁልፍ ነው።")</f>
        <v>ታጋዮች ተቃዋሚዎቻቸውን ማብለጥ ስላለባቸው በአባ ገዳ ትግል ውስጥ ስትራቴጂ ቁልፍ ነው።</v>
      </c>
    </row>
    <row r="139" ht="22.5" customHeight="1">
      <c r="A139" s="3">
        <v>138.0</v>
      </c>
      <c r="B139" s="4" t="s">
        <v>1921</v>
      </c>
      <c r="C139" s="4" t="s">
        <v>1922</v>
      </c>
      <c r="D139" s="4" t="s">
        <v>1923</v>
      </c>
      <c r="E139" s="4" t="s">
        <v>1924</v>
      </c>
      <c r="G139" s="5" t="str">
        <f>IFERROR(__xludf.DUMMYFUNCTION(" GOOGLETRANSLATE(A139, ""en"", ""am"")"),"138")</f>
        <v>138</v>
      </c>
      <c r="H139" s="5" t="str">
        <f>IFERROR(__xludf.DUMMYFUNCTION(" GOOGLETRANSLATE(B139, ""en"", ""am"")"),"የአባ ገዳ ትግል የተካሄደው በየትኛው ታሪካዊ አውድ ነው?")</f>
        <v>የአባ ገዳ ትግል የተካሄደው በየትኛው ታሪካዊ አውድ ነው?</v>
      </c>
      <c r="I139" s="5" t="str">
        <f>IFERROR(__xludf.DUMMYFUNCTION(" GOOGLETRANSLATE(C139, ""en"", ""am"")"),"ሀ. በሃይማኖታዊ ሥርዓቶች ለ. የጋዳ ስርዓት ሲመሰረት ሐ. እንደ የህዝብ መዝናኛ አይነት መ. የጋዳ ስርዓት ሲመሰረት")</f>
        <v>ሀ. በሃይማኖታዊ ሥርዓቶች ለ. የጋዳ ስርዓት ሲመሰረት ሐ. እንደ የህዝብ መዝናኛ አይነት መ. የጋዳ ስርዓት ሲመሰረት</v>
      </c>
      <c r="J139" s="5" t="str">
        <f>IFERROR(__xludf.DUMMYFUNCTION(" GOOGLETRANSLATE(D139, ""en"", ""am"")"),"የጋዳ ስርዓት ሲመሰረት")</f>
        <v>የጋዳ ስርዓት ሲመሰረት</v>
      </c>
      <c r="K139" s="5" t="str">
        <f>IFERROR(__xludf.DUMMYFUNCTION(" GOOGLETRANSLATE(E139, ""en"", ""am"")"),"የጋዳ ትግል በኢትዮጵያ ማህበረሰብ ውስጥ ያለው የሰፊው የጋዳ ስርዓት አካል ነው።")</f>
        <v>የጋዳ ትግል በኢትዮጵያ ማህበረሰብ ውስጥ ያለው የሰፊው የጋዳ ስርዓት አካል ነው።</v>
      </c>
    </row>
    <row r="140" ht="22.5" customHeight="1">
      <c r="A140" s="3">
        <v>139.0</v>
      </c>
      <c r="B140" s="4" t="s">
        <v>1925</v>
      </c>
      <c r="C140" s="4" t="s">
        <v>1926</v>
      </c>
      <c r="D140" s="4" t="s">
        <v>1927</v>
      </c>
      <c r="E140" s="4" t="s">
        <v>1928</v>
      </c>
      <c r="G140" s="5" t="str">
        <f>IFERROR(__xludf.DUMMYFUNCTION(" GOOGLETRANSLATE(A140, ""en"", ""am"")"),"139")</f>
        <v>139</v>
      </c>
      <c r="H140" s="5" t="str">
        <f>IFERROR(__xludf.DUMMYFUNCTION(" GOOGLETRANSLATE(B140, ""en"", ""am"")"),"በአባ ገዳ ትግል ምን አይነት የስልጠና መሳሪያዎች በብዛት ጥቅም ላይ ይውላሉ?")</f>
        <v>በአባ ገዳ ትግል ምን አይነት የስልጠና መሳሪያዎች በብዛት ጥቅም ላይ ይውላሉ?</v>
      </c>
      <c r="I140" s="5" t="str">
        <f>IFERROR(__xludf.DUMMYFUNCTION(" GOOGLETRANSLATE(C140, ""en"", ""am"")"),"ሀ. የተመዘኑ የአሸዋ ቦርሳዎች ለ. ጋሻ እና ጎራዴዎች ሐ. የጎማ መሄጃዎች መ. ዱሚዎችን መዋጋት")</f>
        <v>ሀ. የተመዘኑ የአሸዋ ቦርሳዎች ለ. ጋሻ እና ጎራዴዎች ሐ. የጎማ መሄጃዎች መ. ዱሚዎችን መዋጋት</v>
      </c>
      <c r="J140" s="5" t="str">
        <f>IFERROR(__xludf.DUMMYFUNCTION(" GOOGLETRANSLATE(D140, ""en"", ""am"")"),"ዱሚዎችን መዋጋት")</f>
        <v>ዱሚዎችን መዋጋት</v>
      </c>
      <c r="K140" s="5" t="str">
        <f>IFERROR(__xludf.DUMMYFUNCTION(" GOOGLETRANSLATE(E140, ""en"", ""am"")"),"የአባ ገዳ ታጋዮችን ተቃዋሚዎችን ለማስመሰል በስልጠና ላይ ተዋጊ ዱሚዎች በብዛት ጥቅም ላይ ይውላሉ።")</f>
        <v>የአባ ገዳ ታጋዮችን ተቃዋሚዎችን ለማስመሰል በስልጠና ላይ ተዋጊ ዱሚዎች በብዛት ጥቅም ላይ ይውላሉ።</v>
      </c>
    </row>
    <row r="141" ht="22.5" customHeight="1">
      <c r="A141" s="3">
        <v>140.0</v>
      </c>
      <c r="B141" s="4" t="s">
        <v>1929</v>
      </c>
      <c r="C141" s="4" t="s">
        <v>1930</v>
      </c>
      <c r="D141" s="4" t="s">
        <v>1931</v>
      </c>
      <c r="E141" s="4" t="s">
        <v>1932</v>
      </c>
      <c r="G141" s="5" t="str">
        <f>IFERROR(__xludf.DUMMYFUNCTION(" GOOGLETRANSLATE(A141, ""en"", ""am"")"),"140")</f>
        <v>140</v>
      </c>
      <c r="H141" s="5" t="str">
        <f>IFERROR(__xludf.DUMMYFUNCTION(" GOOGLETRANSLATE(B141, ""en"", ""am"")"),"የአባ ገዳ የትግል ውድድር የተለመደው ርዝመት ስንት ነው?")</f>
        <v>የአባ ገዳ የትግል ውድድር የተለመደው ርዝመት ስንት ነው?</v>
      </c>
      <c r="I141" s="5" t="str">
        <f>IFERROR(__xludf.DUMMYFUNCTION(" GOOGLETRANSLATE(C141, ""en"", ""am"")"),"ሀ. 1-2 ሰአታት ለ. ብዙ ሰዓታት ሐ. ከ10-15 ደቂቃ አጭር ፍንዳታ መ. ብዙ ሰዓታት")</f>
        <v>ሀ. 1-2 ሰአታት ለ. ብዙ ሰዓታት ሐ. ከ10-15 ደቂቃ አጭር ፍንዳታ መ. ብዙ ሰዓታት</v>
      </c>
      <c r="J141" s="5" t="str">
        <f>IFERROR(__xludf.DUMMYFUNCTION(" GOOGLETRANSLATE(D141, ""en"", ""am"")"),"ብዙ ሰዓታት")</f>
        <v>ብዙ ሰዓታት</v>
      </c>
      <c r="K141" s="5" t="str">
        <f>IFERROR(__xludf.DUMMYFUNCTION(" GOOGLETRANSLATE(E141, ""en"", ""am"")"),"በአባ ገዳ ሬስሊንግ የሚደረጉ ጨዋታዎች ከተወዳዳሪዎቹ በሚፈለገው ፅናት ምክንያት ለብዙ ሰዓታት ሊቆዩ ይችላሉ።")</f>
        <v>በአባ ገዳ ሬስሊንግ የሚደረጉ ጨዋታዎች ከተወዳዳሪዎቹ በሚፈለገው ፅናት ምክንያት ለብዙ ሰዓታት ሊቆዩ ይችላሉ።</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7.63"/>
    <col customWidth="1" min="3" max="3" width="22.5"/>
    <col customWidth="1" min="4" max="4" width="37.63"/>
    <col customWidth="1" min="7" max="7" width="18.13"/>
    <col customWidth="1" min="8" max="8" width="17.13"/>
    <col customWidth="1" min="9" max="9" width="18.13"/>
    <col customWidth="1" min="10" max="10" width="16.63"/>
    <col customWidth="1" min="11" max="11" width="37.63"/>
  </cols>
  <sheetData>
    <row r="1" ht="22.5" customHeight="1">
      <c r="A1" s="17" t="s">
        <v>0</v>
      </c>
      <c r="B1" s="17" t="s">
        <v>1</v>
      </c>
      <c r="C1" s="17" t="s">
        <v>2</v>
      </c>
      <c r="D1" s="17" t="s">
        <v>515</v>
      </c>
      <c r="E1" s="17" t="s">
        <v>4</v>
      </c>
      <c r="F1" s="18"/>
      <c r="G1" s="14" t="s">
        <v>5</v>
      </c>
      <c r="H1" s="15" t="s">
        <v>6</v>
      </c>
      <c r="I1" s="15" t="s">
        <v>7</v>
      </c>
      <c r="J1" s="15" t="s">
        <v>8</v>
      </c>
      <c r="K1" s="16" t="s">
        <v>9</v>
      </c>
      <c r="L1" s="18"/>
      <c r="M1" s="18"/>
      <c r="N1" s="18"/>
      <c r="O1" s="18"/>
      <c r="P1" s="18"/>
      <c r="Q1" s="18"/>
      <c r="R1" s="18"/>
      <c r="S1" s="18"/>
      <c r="T1" s="18"/>
      <c r="U1" s="18"/>
    </row>
    <row r="2" ht="22.5" customHeight="1">
      <c r="A2" s="3">
        <v>1.0</v>
      </c>
      <c r="B2" s="4" t="s">
        <v>1933</v>
      </c>
      <c r="C2" s="4" t="s">
        <v>1934</v>
      </c>
      <c r="D2" s="4" t="s">
        <v>1935</v>
      </c>
      <c r="E2" s="4" t="s">
        <v>1936</v>
      </c>
      <c r="G2" s="5" t="str">
        <f>IFERROR(__xludf.DUMMYFUNCTION(" GOOGLETRANSLATE(A2, ""en"", ""am"")"),"1")</f>
        <v>1</v>
      </c>
      <c r="H2" s="5" t="str">
        <f>IFERROR(__xludf.DUMMYFUNCTION(" GOOGLETRANSLATE(B2, ""en"", ""am"")"),"አፋላ ስፖርትን ማን መሰረተ?")</f>
        <v>አፋላ ስፖርትን ማን መሰረተ?</v>
      </c>
      <c r="I2" s="5" t="str">
        <f>IFERROR(__xludf.DUMMYFUNCTION(" GOOGLETRANSLATE(C2, ""en"", ""am"")"),"አ. ጆን ስሚዝ ቢ. አፋላ ክላን ሐ. ታላቁ ምክር ቤት ዲ. አፋላ ክላን")</f>
        <v>አ. ጆን ስሚዝ ቢ. አፋላ ክላን ሐ. ታላቁ ምክር ቤት ዲ. አፋላ ክላን</v>
      </c>
      <c r="J2" s="5" t="str">
        <f>IFERROR(__xludf.DUMMYFUNCTION(" GOOGLETRANSLATE(D2, ""en"", ""am"")"),"አፋላ ክላን")</f>
        <v>አፋላ ክላን</v>
      </c>
      <c r="K2" s="5" t="str">
        <f>IFERROR(__xludf.DUMMYFUNCTION(" GOOGLETRANSLATE(E2, ""en"", ""am"")"),"የአፉላ ስፖርት ከጥንታዊው የአፉላ ጎሳ የሰለጠነ አትሌቶች ማህበረሰብ ነው።")</f>
        <v>የአፉላ ስፖርት ከጥንታዊው የአፉላ ጎሳ የሰለጠነ አትሌቶች ማህበረሰብ ነው።</v>
      </c>
    </row>
    <row r="3" ht="22.5" customHeight="1">
      <c r="A3" s="3">
        <v>2.0</v>
      </c>
      <c r="B3" s="4" t="s">
        <v>1937</v>
      </c>
      <c r="C3" s="4" t="s">
        <v>1938</v>
      </c>
      <c r="D3" s="4" t="s">
        <v>858</v>
      </c>
      <c r="E3" s="4" t="s">
        <v>858</v>
      </c>
      <c r="G3" s="5" t="str">
        <f>IFERROR(__xludf.DUMMYFUNCTION(" GOOGLETRANSLATE(A3, ""en"", ""am"")"),"2")</f>
        <v>2</v>
      </c>
      <c r="H3" s="5" t="str">
        <f>IFERROR(__xludf.DUMMYFUNCTION(" GOOGLETRANSLATE(B3, ""en"", ""am"")"),"የመጀመሪያው ይፋዊ የአፉላ ውድድር የተካሄደው በየትኛው አመት ነው?")</f>
        <v>የመጀመሪያው ይፋዊ የአፉላ ውድድር የተካሄደው በየትኛው አመት ነው?</v>
      </c>
      <c r="I3" s="5" t="str">
        <f>IFERROR(__xludf.DUMMYFUNCTION(" GOOGLETRANSLATE(C3, ""en"", ""am"")"),"ኣብ 2000 ብ1985 ዓ.ም.1910 ድ.1985 ዓ.ም.")</f>
        <v>ኣብ 2000 ብ1985 ዓ.ም.1910 ድ.1985 ዓ.ም.</v>
      </c>
      <c r="J3" s="5" t="str">
        <f>IFERROR(__xludf.DUMMYFUNCTION(" GOOGLETRANSLATE(D3, ""en"", ""am"")"),"በ1985 ዓ.ም")</f>
        <v>በ1985 ዓ.ም</v>
      </c>
      <c r="K3" s="5" t="str">
        <f>IFERROR(__xludf.DUMMYFUNCTION(" GOOGLETRANSLATE(E3, ""en"", ""am"")"),"በ1985 ዓ.ም")</f>
        <v>በ1985 ዓ.ም</v>
      </c>
    </row>
    <row r="4" ht="22.5" customHeight="1">
      <c r="A4" s="3">
        <v>3.0</v>
      </c>
      <c r="B4" s="4" t="s">
        <v>1939</v>
      </c>
      <c r="C4" s="4" t="s">
        <v>1940</v>
      </c>
      <c r="D4" s="4" t="s">
        <v>1941</v>
      </c>
      <c r="E4" s="4" t="s">
        <v>1942</v>
      </c>
      <c r="G4" s="5" t="str">
        <f>IFERROR(__xludf.DUMMYFUNCTION(" GOOGLETRANSLATE(A4, ""en"", ""am"")"),"3")</f>
        <v>3</v>
      </c>
      <c r="H4" s="5" t="str">
        <f>IFERROR(__xludf.DUMMYFUNCTION(" GOOGLETRANSLATE(B4, ""en"", ""am"")"),"የአፉላ የትውልድ ቦታ የትኛው ሀገር ነው?")</f>
        <v>የአፉላ የትውልድ ቦታ የትኛው ሀገር ነው?</v>
      </c>
      <c r="I4" s="5" t="str">
        <f>IFERROR(__xludf.DUMMYFUNCTION(" GOOGLETRANSLATE(C4, ""en"", ""am"")"),"ሀ. ዩናይትድ ስቴትስ B. ብራዚል ሲ. ፈረንሳይ ዲ. አፋላ")</f>
        <v>ሀ. ዩናይትድ ስቴትስ B. ብራዚል ሲ. ፈረንሳይ ዲ. አፋላ</v>
      </c>
      <c r="J4" s="5" t="str">
        <f>IFERROR(__xludf.DUMMYFUNCTION(" GOOGLETRANSLATE(D4, ""en"", ""am"")"),"አፋላ")</f>
        <v>አፋላ</v>
      </c>
      <c r="K4" s="5" t="str">
        <f>IFERROR(__xludf.DUMMYFUNCTION(" GOOGLETRANSLATE(E4, ""en"", ""am"")"),"የአፋሉላ ስፖርት መነሻው አፋሉላ አካባቢ ሲሆን አሁን የስፖርቱ መገኛ ተብሎ ይታወቃል።")</f>
        <v>የአፋሉላ ስፖርት መነሻው አፋሉላ አካባቢ ሲሆን አሁን የስፖርቱ መገኛ ተብሎ ይታወቃል።</v>
      </c>
    </row>
    <row r="5" ht="22.5" customHeight="1">
      <c r="A5" s="3">
        <v>4.0</v>
      </c>
      <c r="B5" s="4" t="s">
        <v>1943</v>
      </c>
      <c r="C5" s="4" t="s">
        <v>1944</v>
      </c>
      <c r="D5" s="4" t="s">
        <v>1945</v>
      </c>
      <c r="E5" s="4" t="s">
        <v>1946</v>
      </c>
      <c r="G5" s="5" t="str">
        <f>IFERROR(__xludf.DUMMYFUNCTION(" GOOGLETRANSLATE(A5, ""en"", ""am"")"),"4")</f>
        <v>4</v>
      </c>
      <c r="H5" s="5" t="str">
        <f>IFERROR(__xludf.DUMMYFUNCTION(" GOOGLETRANSLATE(B5, ""en"", ""am"")"),"በአፉላ የመጀመሪያው የዓለም ሻምፒዮን ማን ነበር?")</f>
        <v>በአፉላ የመጀመሪያው የዓለም ሻምፒዮን ማን ነበር?</v>
      </c>
      <c r="I5" s="5" t="str">
        <f>IFERROR(__xludf.DUMMYFUNCTION(" GOOGLETRANSLATE(C5, ""en"", ""am"")"),"አ.ሳራ አሊ ቢ.ቶሚ ቦየር ሲ.ኤሚሊ ሮዝ ዲ ማርክ ዛንደር")</f>
        <v>አ.ሳራ አሊ ቢ.ቶሚ ቦየር ሲ.ኤሚሊ ሮዝ ዲ ማርክ ዛንደር</v>
      </c>
      <c r="J5" s="5" t="str">
        <f>IFERROR(__xludf.DUMMYFUNCTION(" GOOGLETRANSLATE(D5, ""en"", ""am"")"),"ማርክ ዛንደር")</f>
        <v>ማርክ ዛንደር</v>
      </c>
      <c r="K5" s="5" t="str">
        <f>IFERROR(__xludf.DUMMYFUNCTION(" GOOGLETRANSLATE(E5, ""en"", ""am"")"),"ማርክ ዛንደር በ1990ዎቹ መጀመሪያ ላይ በአፉላ የመጀመሪያውን የዓለም ሻምፒዮና ክብር አግኝቷል።")</f>
        <v>ማርክ ዛንደር በ1990ዎቹ መጀመሪያ ላይ በአፉላ የመጀመሪያውን የዓለም ሻምፒዮና ክብር አግኝቷል።</v>
      </c>
    </row>
    <row r="6" ht="22.5" customHeight="1">
      <c r="A6" s="3">
        <v>5.0</v>
      </c>
      <c r="B6" s="4" t="s">
        <v>1947</v>
      </c>
      <c r="C6" s="4" t="s">
        <v>1948</v>
      </c>
      <c r="D6" s="4" t="s">
        <v>1949</v>
      </c>
      <c r="E6" s="4" t="e">
        <v>#VALUE!</v>
      </c>
      <c r="G6" s="5" t="str">
        <f>IFERROR(__xludf.DUMMYFUNCTION(" GOOGLETRANSLATE(A6, ""en"", ""am"")"),"5")</f>
        <v>5</v>
      </c>
      <c r="H6" s="5" t="str">
        <f>IFERROR(__xludf.DUMMYFUNCTION(" GOOGLETRANSLATE(B6, ""en"", ""am"")"),"ለአፉላ ዓለም አቀፍ መስፋፋት ያደረሰው የትኛው ታሪካዊ ክስተት ነው?")</f>
        <v>ለአፉላ ዓለም አቀፍ መስፋፋት ያደረሰው የትኛው ታሪካዊ ክስተት ነው?</v>
      </c>
      <c r="I6" s="5" t="str">
        <f>IFERROR(__xludf.DUMMYFUNCTION(" GOOGLETRANSLATE(C6, ""en"", ""am"")"),"ሀ. ታላቁ ስደት ለ. ሁለተኛው የዓለም ጦርነት ሐ. ዓለም አቀፍ ሻምፒዮና ዲ. አፉላ ዓለም አቀፍ መስፋፋት የጀመረው የመጀመሪያውን ዓለም አቀፍ ሻምፒዮና በተሳካ ሁኔታ ካዘጋጀ በኋላ ነው።")</f>
        <v>ሀ. ታላቁ ስደት ለ. ሁለተኛው የዓለም ጦርነት ሐ. ዓለም አቀፍ ሻምፒዮና ዲ. አፉላ ዓለም አቀፍ መስፋፋት የጀመረው የመጀመሪያውን ዓለም አቀፍ ሻምፒዮና በተሳካ ሁኔታ ካዘጋጀ በኋላ ነው።</v>
      </c>
      <c r="J6" s="5" t="str">
        <f>IFERROR(__xludf.DUMMYFUNCTION(" GOOGLETRANSLATE(D6, ""en"", ""am"")"),"የአፉላ ዓለም አቀፍ መስፋፋት የጀመረው የመጀመሪያውን ዓለም አቀፍ ሻምፒዮናውን በተሳካ ሁኔታ ካዘጋጀ በኋላ ነው።")</f>
        <v>የአፉላ ዓለም አቀፍ መስፋፋት የጀመረው የመጀመሪያውን ዓለም አቀፍ ሻምፒዮናውን በተሳካ ሁኔታ ካዘጋጀ በኋላ ነው።</v>
      </c>
      <c r="K6" s="5" t="str">
        <f>IFERROR(__xludf.DUMMYFUNCTION(" GOOGLETRANSLATE(E6, ""en"", ""am"")"),"#VALUE!")</f>
        <v>#VALUE!</v>
      </c>
    </row>
    <row r="7" ht="22.5" customHeight="1">
      <c r="A7" s="3">
        <v>6.0</v>
      </c>
      <c r="B7" s="4" t="s">
        <v>1950</v>
      </c>
      <c r="C7" s="4" t="s">
        <v>1951</v>
      </c>
      <c r="D7" s="4" t="s">
        <v>1952</v>
      </c>
      <c r="E7" s="4" t="s">
        <v>1953</v>
      </c>
      <c r="G7" s="5" t="str">
        <f>IFERROR(__xludf.DUMMYFUNCTION(" GOOGLETRANSLATE(A7, ""en"", ""am"")"),"6")</f>
        <v>6</v>
      </c>
      <c r="H7" s="5" t="str">
        <f>IFERROR(__xludf.DUMMYFUNCTION(" GOOGLETRANSLATE(B7, ""en"", ""am"")"),"አፉላ በየትኛው አስርት አመታት ውስጥ ከአለም አቀፍ የስፖርት ድርጅቶች ይፋዊ እውቅና አገኘ?")</f>
        <v>አፉላ በየትኛው አስርት አመታት ውስጥ ከአለም አቀፍ የስፖርት ድርጅቶች ይፋዊ እውቅና አገኘ?</v>
      </c>
      <c r="I7" s="5" t="str">
        <f>IFERROR(__xludf.DUMMYFUNCTION(" GOOGLETRANSLATE(C7, ""en"", ""am"")"),"እ.ኤ.አ. 1970ዎቹ በ1990ዎቹ ዓ.ም. 2010ዎቹ ዲ. 1990ዎቹ")</f>
        <v>እ.ኤ.አ. 1970ዎቹ በ1990ዎቹ ዓ.ም. 2010ዎቹ ዲ. 1990ዎቹ</v>
      </c>
      <c r="J7" s="5" t="str">
        <f>IFERROR(__xludf.DUMMYFUNCTION(" GOOGLETRANSLATE(D7, ""en"", ""am"")"),"1990 ዎቹ")</f>
        <v>1990 ዎቹ</v>
      </c>
      <c r="K7" s="5" t="str">
        <f>IFERROR(__xludf.DUMMYFUNCTION(" GOOGLETRANSLATE(E7, ""en"", ""am"")"),"አፋሉላ እ.ኤ.አ. በ1990ዎቹ አለም አቀፍ እውቅና አግኝቶ በአለም አቀፍ ደረጃ ቁጥጥር የሚደረግበት ስፖርት ሆነ።")</f>
        <v>አፋሉላ እ.ኤ.አ. በ1990ዎቹ አለም አቀፍ እውቅና አግኝቶ በአለም አቀፍ ደረጃ ቁጥጥር የሚደረግበት ስፖርት ሆነ።</v>
      </c>
    </row>
    <row r="8" ht="22.5" customHeight="1">
      <c r="A8" s="3">
        <v>7.0</v>
      </c>
      <c r="B8" s="4" t="s">
        <v>1954</v>
      </c>
      <c r="C8" s="4" t="s">
        <v>1955</v>
      </c>
      <c r="D8" s="4" t="s">
        <v>1956</v>
      </c>
      <c r="E8" s="4" t="s">
        <v>1957</v>
      </c>
      <c r="G8" s="5" t="str">
        <f>IFERROR(__xludf.DUMMYFUNCTION(" GOOGLETRANSLATE(A8, ""en"", ""am"")"),"7")</f>
        <v>7</v>
      </c>
      <c r="H8" s="5" t="str">
        <f>IFERROR(__xludf.DUMMYFUNCTION(" GOOGLETRANSLATE(B8, ""en"", ""am"")"),"ከአፉላ ወቅት መጀመሪያ ጋር ምን ዓይነት ባህላዊ ሥነ ሥርዓት ተያይዟል?")</f>
        <v>ከአፉላ ወቅት መጀመሪያ ጋር ምን ዓይነት ባህላዊ ሥነ ሥርዓት ተያይዟል?</v>
      </c>
      <c r="I8" s="5" t="str">
        <f>IFERROR(__xludf.DUMMYFUNCTION(" GOOGLETRANSLATE(C8, ""en"", ""am"")"),"ሀ. ታላቁ መጋቢት ለ. ጥንታዊ ሥነ ሥርዓት ሐ. የንቃት ሥነ ሥርዓት D. Vigil ሥነ ሥርዓት")</f>
        <v>ሀ. ታላቁ መጋቢት ለ. ጥንታዊ ሥነ ሥርዓት ሐ. የንቃት ሥነ ሥርዓት D. Vigil ሥነ ሥርዓት</v>
      </c>
      <c r="J8" s="5" t="str">
        <f>IFERROR(__xludf.DUMMYFUNCTION(" GOOGLETRANSLATE(D8, ""en"", ""am"")"),"የንቃት ሥነ ሥርዓት")</f>
        <v>የንቃት ሥነ ሥርዓት</v>
      </c>
      <c r="K8" s="5" t="str">
        <f>IFERROR(__xludf.DUMMYFUNCTION(" GOOGLETRANSLATE(E8, ""en"", ""am"")"),"የንቃት ሥነ ሥርዓቱ ባህላዊ ሥሮቹን በማክበር የአፉላ ወቅት መጀመሩን ያመለክታል።")</f>
        <v>የንቃት ሥነ ሥርዓቱ ባህላዊ ሥሮቹን በማክበር የአፉላ ወቅት መጀመሩን ያመለክታል።</v>
      </c>
    </row>
    <row r="9" ht="22.5" customHeight="1">
      <c r="A9" s="3">
        <v>8.0</v>
      </c>
      <c r="B9" s="4" t="s">
        <v>1958</v>
      </c>
      <c r="C9" s="4" t="s">
        <v>1959</v>
      </c>
      <c r="D9" s="4" t="s">
        <v>1960</v>
      </c>
      <c r="E9" s="4" t="s">
        <v>1961</v>
      </c>
      <c r="G9" s="5" t="str">
        <f>IFERROR(__xludf.DUMMYFUNCTION(" GOOGLETRANSLATE(A9, ""en"", ""am"")"),"8")</f>
        <v>8</v>
      </c>
      <c r="H9" s="5" t="str">
        <f>IFERROR(__xludf.DUMMYFUNCTION(" GOOGLETRANSLATE(B9, ""en"", ""am"")"),"በወጣትነቱ ዋሽንት የተነፋ ታዋቂ የታሪክ ሰው የትኛው ነው?")</f>
        <v>በወጣትነቱ ዋሽንት የተነፋ ታዋቂ የታሪክ ሰው የትኛው ነው?</v>
      </c>
      <c r="I9" s="5" t="str">
        <f>IFERROR(__xludf.DUMMYFUNCTION(" GOOGLETRANSLATE(C9, ""en"", ""am"")"),"ሀ. ክሊዮፓትራ ቢ. አፄ አክባር ሲ. ናፖሊዮን ቦናፓርት ዲ. አፄ አክባር")</f>
        <v>ሀ. ክሊዮፓትራ ቢ. አፄ አክባር ሲ. ናፖሊዮን ቦናፓርት ዲ. አፄ አክባር</v>
      </c>
      <c r="J9" s="5" t="str">
        <f>IFERROR(__xludf.DUMMYFUNCTION(" GOOGLETRANSLATE(D9, ""en"", ""am"")"),"አፄ አክበር")</f>
        <v>አፄ አክበር</v>
      </c>
      <c r="K9" s="5" t="str">
        <f>IFERROR(__xludf.DUMMYFUNCTION(" GOOGLETRANSLATE(E9, ""en"", ""am"")"),"አጼ አክባር በወጣትነታቸው የአፋሉላን ጨዋታ መጫወት የሚወዱ ታዋቂ የታሪክ ሰው ነበሩ።")</f>
        <v>አጼ አክባር በወጣትነታቸው የአፋሉላን ጨዋታ መጫወት የሚወዱ ታዋቂ የታሪክ ሰው ነበሩ።</v>
      </c>
    </row>
    <row r="10" ht="22.5" customHeight="1">
      <c r="A10" s="3">
        <v>9.0</v>
      </c>
      <c r="B10" s="4" t="s">
        <v>1962</v>
      </c>
      <c r="C10" s="4" t="s">
        <v>1963</v>
      </c>
      <c r="D10" s="4" t="s">
        <v>1964</v>
      </c>
      <c r="E10" s="4" t="s">
        <v>1965</v>
      </c>
      <c r="G10" s="5" t="str">
        <f>IFERROR(__xludf.DUMMYFUNCTION(" GOOGLETRANSLATE(A10, ""en"", ""am"")"),"9")</f>
        <v>9</v>
      </c>
      <c r="H10" s="5" t="str">
        <f>IFERROR(__xludf.DUMMYFUNCTION(" GOOGLETRANSLATE(B10, ""en"", ""am"")"),"የመጀመሪያውን የአፉላ የዓለም ሻምፒዮና ያዘጋጀው የትኛው ከተማ ነው?")</f>
        <v>የመጀመሪያውን የአፉላ የዓለም ሻምፒዮና ያዘጋጀው የትኛው ከተማ ነው?</v>
      </c>
      <c r="I10" s="5" t="str">
        <f>IFERROR(__xludf.DUMMYFUNCTION(" GOOGLETRANSLATE(C10, ""en"", ""am"")"),"አ. ቶኪዮ ቢ. ፓሪስ ሲ. ኒው ዮርክ ዲ. ፓሪስ")</f>
        <v>አ. ቶኪዮ ቢ. ፓሪስ ሲ. ኒው ዮርክ ዲ. ፓሪስ</v>
      </c>
      <c r="J10" s="5" t="str">
        <f>IFERROR(__xludf.DUMMYFUNCTION(" GOOGLETRANSLATE(D10, ""en"", ""am"")"),"ፓሪስ")</f>
        <v>ፓሪስ</v>
      </c>
      <c r="K10" s="5" t="str">
        <f>IFERROR(__xludf.DUMMYFUNCTION(" GOOGLETRANSLATE(E10, ""en"", ""am"")"),"የመጀመሪያው የአፋልላ የዓለም ሻምፒዮና የተካሄደው በፓሪስ ነበር፣ ከዚያም የዓለም ስፖርት ማዕከል።")</f>
        <v>የመጀመሪያው የአፋልላ የዓለም ሻምፒዮና የተካሄደው በፓሪስ ነበር፣ ከዚያም የዓለም ስፖርት ማዕከል።</v>
      </c>
    </row>
    <row r="11" ht="22.5" customHeight="1">
      <c r="A11" s="3">
        <v>10.0</v>
      </c>
      <c r="B11" s="4" t="s">
        <v>1966</v>
      </c>
      <c r="C11" s="4" t="s">
        <v>1967</v>
      </c>
      <c r="D11" s="4" t="s">
        <v>1968</v>
      </c>
      <c r="E11" s="4" t="s">
        <v>1969</v>
      </c>
      <c r="G11" s="5" t="str">
        <f>IFERROR(__xludf.DUMMYFUNCTION(" GOOGLETRANSLATE(A11, ""en"", ""am"")"),"10")</f>
        <v>10</v>
      </c>
      <c r="H11" s="5" t="str">
        <f>IFERROR(__xludf.DUMMYFUNCTION(" GOOGLETRANSLATE(B11, ""en"", ""am"")"),"በ20ኛው ክፍለ ዘመን መጀመሪያ ላይ የአፉላ የመጀመሪያ ስም ማን ነበር?")</f>
        <v>በ20ኛው ክፍለ ዘመን መጀመሪያ ላይ የአፉላ የመጀመሪያ ስም ማን ነበር?</v>
      </c>
      <c r="I11" s="5" t="str">
        <f>IFERROR(__xludf.DUMMYFUNCTION(" GOOGLETRANSLATE(C11, ""en"", ""am"")"),"አ. ፉላ ቢ. አሉላ ሲ. አፍሎና ዲ. ፉላ")</f>
        <v>አ. ፉላ ቢ. አሉላ ሲ. አፍሎና ዲ. ፉላ</v>
      </c>
      <c r="J11" s="5" t="str">
        <f>IFERROR(__xludf.DUMMYFUNCTION(" GOOGLETRANSLATE(D11, ""en"", ""am"")"),"ፉላ")</f>
        <v>ፉላ</v>
      </c>
      <c r="K11" s="5" t="str">
        <f>IFERROR(__xludf.DUMMYFUNCTION(" GOOGLETRANSLATE(E11, ""en"", ""am"")"),"አፋሉላ በ20ኛው ክፍለ ዘመን መጀመሪያ ላይ ስሙ ከመቀየሩ በፊት 'ፋሉላ' በመባል ይታወቅ ነበር።")</f>
        <v>አፋሉላ በ20ኛው ክፍለ ዘመን መጀመሪያ ላይ ስሙ ከመቀየሩ በፊት 'ፋሉላ' በመባል ይታወቅ ነበር።</v>
      </c>
    </row>
    <row r="12" ht="22.5" customHeight="1">
      <c r="A12" s="3">
        <v>11.0</v>
      </c>
      <c r="B12" s="4" t="s">
        <v>1970</v>
      </c>
      <c r="C12" s="4" t="s">
        <v>1971</v>
      </c>
      <c r="D12" s="4" t="s">
        <v>1972</v>
      </c>
      <c r="E12" s="4" t="s">
        <v>1973</v>
      </c>
      <c r="G12" s="5" t="str">
        <f>IFERROR(__xludf.DUMMYFUNCTION(" GOOGLETRANSLATE(A12, ""en"", ""am"")"),"11")</f>
        <v>11</v>
      </c>
      <c r="H12" s="5" t="str">
        <f>IFERROR(__xludf.DUMMYFUNCTION(" GOOGLETRANSLATE(B12, ""en"", ""am"")"),"በአፉላ የዓለም ሻምፒዮና የመጀመሪያዋ ሴት ማን ነበረች?")</f>
        <v>በአፉላ የዓለም ሻምፒዮና የመጀመሪያዋ ሴት ማን ነበረች?</v>
      </c>
      <c r="I12" s="5" t="str">
        <f>IFERROR(__xludf.DUMMYFUNCTION(" GOOGLETRANSLATE(C12, ""en"", ""am"")"),"አ. አሚራ ሆሣዕና ለ ሳራ አሊ ሐ. ኤሌና ቆዝሎቫ ዲ. ሳራ አሊ")</f>
        <v>አ. አሚራ ሆሣዕና ለ ሳራ አሊ ሐ. ኤሌና ቆዝሎቫ ዲ. ሳራ አሊ</v>
      </c>
      <c r="J12" s="5" t="str">
        <f>IFERROR(__xludf.DUMMYFUNCTION(" GOOGLETRANSLATE(D12, ""en"", ""am"")"),"ሳራ አሊ")</f>
        <v>ሳራ አሊ</v>
      </c>
      <c r="K12" s="5" t="str">
        <f>IFERROR(__xludf.DUMMYFUNCTION(" GOOGLETRANSLATE(E12, ""en"", ""am"")"),"ሳራ አሊ በ1998 በአለም ሻምፒዮና ላይ የተሳተፈች የመጀመሪያዋ ሴት ነበረች።")</f>
        <v>ሳራ አሊ በ1998 በአለም ሻምፒዮና ላይ የተሳተፈች የመጀመሪያዋ ሴት ነበረች።</v>
      </c>
    </row>
    <row r="13" ht="22.5" customHeight="1">
      <c r="A13" s="3">
        <v>12.0</v>
      </c>
      <c r="B13" s="4" t="s">
        <v>1974</v>
      </c>
      <c r="C13" s="4" t="s">
        <v>1975</v>
      </c>
      <c r="D13" s="4" t="s">
        <v>1976</v>
      </c>
      <c r="E13" s="4" t="s">
        <v>1976</v>
      </c>
      <c r="G13" s="5" t="str">
        <f>IFERROR(__xludf.DUMMYFUNCTION(" GOOGLETRANSLATE(A13, ""en"", ""am"")"),"12")</f>
        <v>12</v>
      </c>
      <c r="H13" s="5" t="str">
        <f>IFERROR(__xludf.DUMMYFUNCTION(" GOOGLETRANSLATE(B13, ""en"", ""am"")"),"የመጀመሪያው የፕሮፌሽናል እግር ኳስ ሊግ በየትኛው አመት ታየ?")</f>
        <v>የመጀመሪያው የፕሮፌሽናል እግር ኳስ ሊግ በየትኛው አመት ታየ?</v>
      </c>
      <c r="I13" s="5" t="str">
        <f>IFERROR(__xludf.DUMMYFUNCTION(" GOOGLETRANSLATE(C13, ""en"", ""am"")"),"ኣብ 1997 ብ1983 ዓ.ም.2010 ዲ.1997 ዓ.ም.")</f>
        <v>ኣብ 1997 ብ1983 ዓ.ም.2010 ዲ.1997 ዓ.ም.</v>
      </c>
      <c r="J13" s="5" t="str">
        <f>IFERROR(__xludf.DUMMYFUNCTION(" GOOGLETRANSLATE(D13, ""en"", ""am"")"),"በ1997 ዓ.ም")</f>
        <v>በ1997 ዓ.ም</v>
      </c>
      <c r="K13" s="5" t="str">
        <f>IFERROR(__xludf.DUMMYFUNCTION(" GOOGLETRANSLATE(E13, ""en"", ""am"")"),"በ1997 ዓ.ም")</f>
        <v>በ1997 ዓ.ም</v>
      </c>
    </row>
    <row r="14" ht="22.5" customHeight="1">
      <c r="A14" s="3">
        <v>13.0</v>
      </c>
      <c r="B14" s="4" t="s">
        <v>1977</v>
      </c>
      <c r="C14" s="4" t="s">
        <v>1978</v>
      </c>
      <c r="D14" s="4" t="s">
        <v>1979</v>
      </c>
      <c r="E14" s="4" t="s">
        <v>1980</v>
      </c>
      <c r="G14" s="5" t="str">
        <f>IFERROR(__xludf.DUMMYFUNCTION(" GOOGLETRANSLATE(A14, ""en"", ""am"")"),"13")</f>
        <v>13</v>
      </c>
      <c r="H14" s="5" t="str">
        <f>IFERROR(__xludf.DUMMYFUNCTION(" GOOGLETRANSLATE(B14, ""en"", ""am"")"),"በአፉላ ምርጥ ስፖርተኞችን በማፍራት የሚታወቀው ክልል የትኛው ነው?")</f>
        <v>በአፉላ ምርጥ ስፖርተኞችን በማፍራት የሚታወቀው ክልል የትኛው ነው?</v>
      </c>
      <c r="I14" s="5" t="str">
        <f>IFERROR(__xludf.DUMMYFUNCTION(" GOOGLETRANSLATE(C14, ""en"", ""am"")"),"ሀ. ደቡብ አሜሪካ ለ. ሰሜናዊ አውሮፓ ሐ. አፋላ ክልል ዲ. አፋላ ክልል")</f>
        <v>ሀ. ደቡብ አሜሪካ ለ. ሰሜናዊ አውሮፓ ሐ. አፋላ ክልል ዲ. አፋላ ክልል</v>
      </c>
      <c r="J14" s="5" t="str">
        <f>IFERROR(__xludf.DUMMYFUNCTION(" GOOGLETRANSLATE(D14, ""en"", ""am"")"),"አፋላ ክልል")</f>
        <v>አፋላ ክልል</v>
      </c>
      <c r="K14" s="5" t="str">
        <f>IFERROR(__xludf.DUMMYFUNCTION(" GOOGLETRANSLATE(E14, ""en"", ""am"")"),"አፋሉላ ክልል በስፖርቱ ከፍተኛ ስፖርተኞችን በማፍራት ዝነኛ ነው፤ ታሪካዊ ትስስር ያለው።")</f>
        <v>አፋሉላ ክልል በስፖርቱ ከፍተኛ ስፖርተኞችን በማፍራት ዝነኛ ነው፤ ታሪካዊ ትስስር ያለው።</v>
      </c>
    </row>
    <row r="15" ht="22.5" customHeight="1">
      <c r="A15" s="3">
        <v>14.0</v>
      </c>
      <c r="B15" s="4" t="s">
        <v>1981</v>
      </c>
      <c r="C15" s="4" t="s">
        <v>1982</v>
      </c>
      <c r="D15" s="4" t="s">
        <v>1983</v>
      </c>
      <c r="E15" s="4" t="s">
        <v>1984</v>
      </c>
      <c r="G15" s="5" t="str">
        <f>IFERROR(__xludf.DUMMYFUNCTION(" GOOGLETRANSLATE(A15, ""en"", ""am"")"),"14")</f>
        <v>14</v>
      </c>
      <c r="H15" s="5" t="str">
        <f>IFERROR(__xludf.DUMMYFUNCTION(" GOOGLETRANSLATE(B15, ""en"", ""am"")"),"በ 20 ኛው ክፍለ ዘመን አጋማሽ ላይ ለአፉላ ውድቀት ምክንያት የሆነው ዋና ክስተት ምን ነበር?")</f>
        <v>በ 20 ኛው ክፍለ ዘመን አጋማሽ ላይ ለአፉላ ውድቀት ምክንያት የሆነው ዋና ክስተት ምን ነበር?</v>
      </c>
      <c r="I15" s="5" t="str">
        <f>IFERROR(__xludf.DUMMYFUNCTION(" GOOGLETRANSLATE(C15, ""en"", ""am"")"),"ሀ. ታላቁ ጭንቀት ለ. የቅኝ ግዛት ለውጦች ሐ. የሊግ ውድቀት መ. የሁለተኛው የዓለም ጦርነት")</f>
        <v>ሀ. ታላቁ ጭንቀት ለ. የቅኝ ግዛት ለውጦች ሐ. የሊግ ውድቀት መ. የሁለተኛው የዓለም ጦርነት</v>
      </c>
      <c r="J15" s="5" t="str">
        <f>IFERROR(__xludf.DUMMYFUNCTION(" GOOGLETRANSLATE(D15, ""en"", ""am"")"),"ሁለተኛው የዓለም ጦርነት")</f>
        <v>ሁለተኛው የዓለም ጦርነት</v>
      </c>
      <c r="K15" s="5" t="str">
        <f>IFERROR(__xludf.DUMMYFUNCTION(" GOOGLETRANSLATE(E15, ""en"", ""am"")"),"ሁለተኛው የዓለም ጦርነት በአለም አለመረጋጋት እና በንብረት እጥረት ምክንያት የአፉላ ጊዜያዊ ውድቀት አስከትሏል።")</f>
        <v>ሁለተኛው የዓለም ጦርነት በአለም አለመረጋጋት እና በንብረት እጥረት ምክንያት የአፉላ ጊዜያዊ ውድቀት አስከትሏል።</v>
      </c>
    </row>
    <row r="16" ht="22.5" customHeight="1">
      <c r="A16" s="3">
        <v>15.0</v>
      </c>
      <c r="B16" s="4" t="s">
        <v>1985</v>
      </c>
      <c r="C16" s="4" t="s">
        <v>1986</v>
      </c>
      <c r="D16" s="4" t="s">
        <v>1987</v>
      </c>
      <c r="E16" s="4" t="s">
        <v>1988</v>
      </c>
      <c r="G16" s="5" t="str">
        <f>IFERROR(__xludf.DUMMYFUNCTION(" GOOGLETRANSLATE(A16, ""en"", ""am"")"),"15")</f>
        <v>15</v>
      </c>
      <c r="H16" s="5" t="str">
        <f>IFERROR(__xludf.DUMMYFUNCTION(" GOOGLETRANSLATE(B16, ""en"", ""am"")"),"በአፉላ ታሪክ ረጅሙ የአሸናፊነት ሪከርድ ያለው ማነው?")</f>
        <v>በአፉላ ታሪክ ረጅሙ የአሸናፊነት ሪከርድ ያለው ማነው?</v>
      </c>
      <c r="I16" s="5" t="str">
        <f>IFERROR(__xludf.DUMMYFUNCTION(" GOOGLETRANSLATE(C16, ""en"", ""am"")"),"አ. ቶሚ ቦየር ቢ. ማርክ ዛንደር ሲ. ኤሚሊ ሮዝ ዲ. ቶሚ ቦየር")</f>
        <v>አ. ቶሚ ቦየር ቢ. ማርክ ዛንደር ሲ. ኤሚሊ ሮዝ ዲ. ቶሚ ቦየር</v>
      </c>
      <c r="J16" s="5" t="str">
        <f>IFERROR(__xludf.DUMMYFUNCTION(" GOOGLETRANSLATE(D16, ""en"", ""am"")"),"ቶሚ ቦየር")</f>
        <v>ቶሚ ቦየር</v>
      </c>
      <c r="K16" s="5" t="str">
        <f>IFERROR(__xludf.DUMMYFUNCTION(" GOOGLETRANSLATE(E16, ""en"", ""am"")"),"ቶሚ ቦየር በአፉላ ታሪክ ረጅሙን የአሸናፊነት ጉዞ ይዞ ከ10 አመታት በላይ ያስቆጠረ።")</f>
        <v>ቶሚ ቦየር በአፉላ ታሪክ ረጅሙን የአሸናፊነት ጉዞ ይዞ ከ10 አመታት በላይ ያስቆጠረ።</v>
      </c>
    </row>
    <row r="17" ht="22.5" customHeight="1">
      <c r="A17" s="3">
        <v>16.0</v>
      </c>
      <c r="B17" s="4" t="s">
        <v>1989</v>
      </c>
      <c r="C17" s="4" t="s">
        <v>1990</v>
      </c>
      <c r="D17" s="4" t="s">
        <v>1991</v>
      </c>
      <c r="E17" s="4" t="s">
        <v>1991</v>
      </c>
      <c r="G17" s="5" t="str">
        <f>IFERROR(__xludf.DUMMYFUNCTION(" GOOGLETRANSLATE(A17, ""en"", ""am"")"),"16")</f>
        <v>16</v>
      </c>
      <c r="H17" s="5" t="str">
        <f>IFERROR(__xludf.DUMMYFUNCTION(" GOOGLETRANSLATE(B17, ""en"", ""am"")"),"አፋሉላ የኦሎምፒክ ጨዋታዎች አካል የሆነው በየትኛው አመት ነው?")</f>
        <v>አፋሉላ የኦሎምፒክ ጨዋታዎች አካል የሆነው በየትኛው አመት ነው?</v>
      </c>
      <c r="I17" s="5" t="str">
        <f>IFERROR(__xludf.DUMMYFUNCTION(" GOOGLETRANSLATE(C17, ""en"", ""am"")"),"አ. 2012 B. 2020 ሲ. 2024 ዲ. 2020")</f>
        <v>አ. 2012 B. 2020 ሲ. 2024 ዲ. 2020</v>
      </c>
      <c r="J17" s="5" t="str">
        <f>IFERROR(__xludf.DUMMYFUNCTION(" GOOGLETRANSLATE(D17, ""en"", ""am"")"),"2020")</f>
        <v>2020</v>
      </c>
      <c r="K17" s="5" t="str">
        <f>IFERROR(__xludf.DUMMYFUNCTION(" GOOGLETRANSLATE(E17, ""en"", ""am"")"),"2020")</f>
        <v>2020</v>
      </c>
    </row>
    <row r="18" ht="22.5" customHeight="1">
      <c r="A18" s="3">
        <v>17.0</v>
      </c>
      <c r="B18" s="4" t="s">
        <v>1992</v>
      </c>
      <c r="C18" s="4" t="s">
        <v>1993</v>
      </c>
      <c r="D18" s="4" t="s">
        <v>1994</v>
      </c>
      <c r="E18" s="4" t="s">
        <v>1995</v>
      </c>
      <c r="G18" s="5" t="str">
        <f>IFERROR(__xludf.DUMMYFUNCTION(" GOOGLETRANSLATE(A18, ""en"", ""am"")"),"17")</f>
        <v>17</v>
      </c>
      <c r="H18" s="5" t="str">
        <f>IFERROR(__xludf.DUMMYFUNCTION(" GOOGLETRANSLATE(B18, ""en"", ""am"")"),"በአፉላ ውድድር ወቅት የሚለብሰው የባህል ልብስ ምን ይመስላል?")</f>
        <v>በአፉላ ውድድር ወቅት የሚለብሰው የባህል ልብስ ምን ይመስላል?</v>
      </c>
      <c r="I18" s="5" t="str">
        <f>IFERROR(__xludf.DUMMYFUNCTION(" GOOGLETRANSLATE(C18, ""en"", ""am"")"),"ሀ. የቆዳ ትጥቅ ለ. ቀላል ቱኒኮች ሐ. የባህል ልብስ መ. ቀላል ቱኒኮች")</f>
        <v>ሀ. የቆዳ ትጥቅ ለ. ቀላል ቱኒኮች ሐ. የባህል ልብስ መ. ቀላል ቱኒኮች</v>
      </c>
      <c r="J18" s="5" t="str">
        <f>IFERROR(__xludf.DUMMYFUNCTION(" GOOGLETRANSLATE(D18, ""en"", ""am"")"),"ቀላል ቀሚሶች")</f>
        <v>ቀላል ቀሚሶች</v>
      </c>
      <c r="K18" s="5" t="str">
        <f>IFERROR(__xludf.DUMMYFUNCTION(" GOOGLETRANSLATE(E18, ""en"", ""am"")"),"በአፉላ ውድድር ወቅት አትሌቶች በባህላዊ መንገድ ከጠንካራ ጨርቅ የተሰሩ ቀላል ቀሚሶችን ይለብሳሉ።")</f>
        <v>በአፉላ ውድድር ወቅት አትሌቶች በባህላዊ መንገድ ከጠንካራ ጨርቅ የተሰሩ ቀላል ቀሚሶችን ይለብሳሉ።</v>
      </c>
    </row>
    <row r="19" ht="22.5" customHeight="1">
      <c r="A19" s="3">
        <v>18.0</v>
      </c>
      <c r="B19" s="4" t="s">
        <v>1996</v>
      </c>
      <c r="C19" s="4" t="s">
        <v>1997</v>
      </c>
      <c r="D19" s="4" t="s">
        <v>1998</v>
      </c>
      <c r="E19" s="4" t="s">
        <v>1999</v>
      </c>
      <c r="G19" s="5" t="str">
        <f>IFERROR(__xludf.DUMMYFUNCTION(" GOOGLETRANSLATE(A19, ""en"", ""am"")"),"18")</f>
        <v>18</v>
      </c>
      <c r="H19" s="5" t="str">
        <f>IFERROR(__xludf.DUMMYFUNCTION(" GOOGLETRANSLATE(B19, ""en"", ""am"")"),"አንዳንድ የአፉላ ቴክኒኮችን አነሳስቷል የሚባለው የትኛው ታሪካዊ ጦርነት ነው?")</f>
        <v>አንዳንድ የአፉላ ቴክኒኮችን አነሳስቷል የሚባለው የትኛው ታሪካዊ ጦርነት ነው?</v>
      </c>
      <c r="I19" s="5" t="str">
        <f>IFERROR(__xludf.DUMMYFUNCTION(" GOOGLETRANSLATE(C19, ""en"", ""am"")"),"ሀ. የቴርሞፒሌይ ጦርነት ቢ. የፓሪስ ከበባ ሲ. የአፉላ ጦርነት ዲ. የአፉላ ጦርነት")</f>
        <v>ሀ. የቴርሞፒሌይ ጦርነት ቢ. የፓሪስ ከበባ ሲ. የአፉላ ጦርነት ዲ. የአፉላ ጦርነት</v>
      </c>
      <c r="J19" s="5" t="str">
        <f>IFERROR(__xludf.DUMMYFUNCTION(" GOOGLETRANSLATE(D19, ""en"", ""am"")"),"የአፉላ ጦርነት")</f>
        <v>የአፉላ ጦርነት</v>
      </c>
      <c r="K19" s="5" t="str">
        <f>IFERROR(__xludf.DUMMYFUNCTION(" GOOGLETRANSLATE(E19, ""en"", ""am"")"),"የአፉላ ቴክኒኮች ከዘመናት በፊት በተካሄደው ጥንታዊ 'የአፉላ ጦርነት' አነሳሽነት ናቸው።")</f>
        <v>የአፉላ ቴክኒኮች ከዘመናት በፊት በተካሄደው ጥንታዊ 'የአፉላ ጦርነት' አነሳሽነት ናቸው።</v>
      </c>
    </row>
    <row r="20" ht="22.5" customHeight="1">
      <c r="A20" s="3">
        <v>19.0</v>
      </c>
      <c r="B20" s="4" t="s">
        <v>2000</v>
      </c>
      <c r="C20" s="4" t="s">
        <v>2001</v>
      </c>
      <c r="D20" s="4" t="s">
        <v>2002</v>
      </c>
      <c r="E20" s="4" t="s">
        <v>2003</v>
      </c>
      <c r="G20" s="5" t="str">
        <f>IFERROR(__xludf.DUMMYFUNCTION(" GOOGLETRANSLATE(A20, ""en"", ""am"")"),"19")</f>
        <v>19</v>
      </c>
      <c r="H20" s="5" t="str">
        <f>IFERROR(__xludf.DUMMYFUNCTION(" GOOGLETRANSLATE(B20, ""en"", ""am"")"),"አፉላን ከሀገሩ ውጪ ተወዳጅ ያደረገው የትኛው ታዋቂ አትሌት ነው?")</f>
        <v>አፉላን ከሀገሩ ውጪ ተወዳጅ ያደረገው የትኛው ታዋቂ አትሌት ነው?</v>
      </c>
      <c r="I20" s="5" t="str">
        <f>IFERROR(__xludf.DUMMYFUNCTION(" GOOGLETRANSLATE(C20, ""en"", ""am"")"),"አ. ማርክ ዛንደር ቢ. ሚካኤል ዮርዳኖስ ሲ. ሊብሮን ጄምስ ዲ. ሚካኤል ዮርዳኖስ")</f>
        <v>አ. ማርክ ዛንደር ቢ. ሚካኤል ዮርዳኖስ ሲ. ሊብሮን ጄምስ ዲ. ሚካኤል ዮርዳኖስ</v>
      </c>
      <c r="J20" s="5" t="str">
        <f>IFERROR(__xludf.DUMMYFUNCTION(" GOOGLETRANSLATE(D20, ""en"", ""am"")"),"ሚካኤል ዮርዳኖስ")</f>
        <v>ሚካኤል ዮርዳኖስ</v>
      </c>
      <c r="K20" s="5" t="str">
        <f>IFERROR(__xludf.DUMMYFUNCTION(" GOOGLETRANSLATE(E20, ""en"", ""am"")"),"ማይክል ዮርዳኖስ አፋላ ከትውልድ አገሩ ውጭ በዓለም አቀፍ ደረጃ እንዲታወቅ ረድቷል።")</f>
        <v>ማይክል ዮርዳኖስ አፋላ ከትውልድ አገሩ ውጭ በዓለም አቀፍ ደረጃ እንዲታወቅ ረድቷል።</v>
      </c>
    </row>
    <row r="21" ht="22.5" customHeight="1">
      <c r="A21" s="3">
        <v>20.0</v>
      </c>
      <c r="B21" s="4" t="s">
        <v>2004</v>
      </c>
      <c r="C21" s="4" t="s">
        <v>2005</v>
      </c>
      <c r="D21" s="4" t="s">
        <v>2006</v>
      </c>
      <c r="E21" s="4" t="s">
        <v>2007</v>
      </c>
      <c r="G21" s="5" t="str">
        <f>IFERROR(__xludf.DUMMYFUNCTION(" GOOGLETRANSLATE(A21, ""en"", ""am"")"),"20")</f>
        <v>20</v>
      </c>
      <c r="H21" s="5" t="str">
        <f>IFERROR(__xludf.DUMMYFUNCTION(" GOOGLETRANSLATE(B21, ""en"", ""am"")"),"በ1995 በአፉላ ህግ ላይ ምን ትልቅ ለውጥ ተደረገ?")</f>
        <v>በ1995 በአፉላ ህግ ላይ ምን ትልቅ ለውጥ ተደረገ?</v>
      </c>
      <c r="I21" s="5" t="str">
        <f>IFERROR(__xludf.DUMMYFUNCTION(" GOOGLETRANSLATE(C21, ""en"", ""am"")"),"ሀ. የቡድኖች ቁጥር ጨምሯል። ለ. የጊዜ ገደቦች መግቢያ ሐ. የባለሙያ ሊግ መፍጠር መ. የጊዜ ገደቦች መግቢያ")</f>
        <v>ሀ. የቡድኖች ቁጥር ጨምሯል። ለ. የጊዜ ገደቦች መግቢያ ሐ. የባለሙያ ሊግ መፍጠር መ. የጊዜ ገደቦች መግቢያ</v>
      </c>
      <c r="J21" s="5" t="str">
        <f>IFERROR(__xludf.DUMMYFUNCTION(" GOOGLETRANSLATE(D21, ""en"", ""am"")"),"የጊዜ ገደቦች መግቢያ")</f>
        <v>የጊዜ ገደቦች መግቢያ</v>
      </c>
      <c r="K21" s="5" t="str">
        <f>IFERROR(__xludf.DUMMYFUNCTION(" GOOGLETRANSLATE(E21, ""en"", ""am"")"),"እ.ኤ.አ. በ 1995 የወጣው ደንብ ለውጥ ለጨዋታዎች የጊዜ ገደቦችን አስተዋውቋል ፣ ይህም ግጥሚያዎችን ፈጣን እና የበለጠ ተለዋዋጭ ያደርገዋል።")</f>
        <v>እ.ኤ.አ. በ 1995 የወጣው ደንብ ለውጥ ለጨዋታዎች የጊዜ ገደቦችን አስተዋውቋል ፣ ይህም ግጥሚያዎችን ፈጣን እና የበለጠ ተለዋዋጭ ያደርገዋል።</v>
      </c>
    </row>
    <row r="22" ht="22.5" customHeight="1">
      <c r="A22" s="3">
        <v>21.0</v>
      </c>
      <c r="B22" s="4" t="s">
        <v>2008</v>
      </c>
      <c r="C22" s="4" t="s">
        <v>2009</v>
      </c>
      <c r="D22" s="4" t="s">
        <v>2010</v>
      </c>
      <c r="E22" s="4" t="s">
        <v>2011</v>
      </c>
      <c r="G22" s="5" t="str">
        <f>IFERROR(__xludf.DUMMYFUNCTION(" GOOGLETRANSLATE(A22, ""en"", ""am"")"),"21")</f>
        <v>21</v>
      </c>
      <c r="H22" s="5" t="str">
        <f>IFERROR(__xludf.DUMMYFUNCTION(" GOOGLETRANSLATE(B22, ""en"", ""am"")"),"በአፉላ ጥቅም ላይ የሚውለው ኩዊል ምሳሌያዊ ትርጉም ምንድን ነው?")</f>
        <v>በአፉላ ጥቅም ላይ የሚውለው ኩዊል ምሳሌያዊ ትርጉም ምንድን ነው?</v>
      </c>
      <c r="I22" s="5" t="str">
        <f>IFERROR(__xludf.DUMMYFUNCTION(" GOOGLETRANSLATE(C22, ""en"", ""am"")"),"ሀ/ ድልና ክብር ለ.ፍትህና ሰላም ሐ.ወግ እና ታሪክ መ.ድልና ክብር")</f>
        <v>ሀ/ ድልና ክብር ለ.ፍትህና ሰላም ሐ.ወግ እና ታሪክ መ.ድልና ክብር</v>
      </c>
      <c r="J22" s="5" t="str">
        <f>IFERROR(__xludf.DUMMYFUNCTION(" GOOGLETRANSLATE(D22, ""en"", ""am"")"),"ድል ​​እና ክብር")</f>
        <v>ድል ​​እና ክብር</v>
      </c>
      <c r="K22" s="5" t="str">
        <f>IFERROR(__xludf.DUMMYFUNCTION(" GOOGLETRANSLATE(E22, ""en"", ""am"")"),"ኩዊሉ ድልን እና ክብርን ያመለክታል, እና በአፋሉ ውስጥ የፉክክር መንፈስን ይወክላል.")</f>
        <v>ኩዊሉ ድልን እና ክብርን ያመለክታል, እና በአፋሉ ውስጥ የፉክክር መንፈስን ይወክላል.</v>
      </c>
    </row>
    <row r="23" ht="22.5" customHeight="1">
      <c r="A23" s="3">
        <v>22.0</v>
      </c>
      <c r="B23" s="4" t="s">
        <v>2012</v>
      </c>
      <c r="C23" s="4" t="s">
        <v>2013</v>
      </c>
      <c r="D23" s="4" t="s">
        <v>2014</v>
      </c>
      <c r="E23" s="4" t="s">
        <v>2015</v>
      </c>
      <c r="G23" s="5" t="str">
        <f>IFERROR(__xludf.DUMMYFUNCTION(" GOOGLETRANSLATE(A23, ""en"", ""am"")"),"22")</f>
        <v>22</v>
      </c>
      <c r="H23" s="5" t="str">
        <f>IFERROR(__xludf.DUMMYFUNCTION(" GOOGLETRANSLATE(B23, ""en"", ""am"")"),"ትልቁ የአፉላ ደጋፊ በመኖሩ የሚታወቀው የትኛው ታዋቂ ከተማ ነው?")</f>
        <v>ትልቁ የአፉላ ደጋፊ በመኖሩ የሚታወቀው የትኛው ታዋቂ ከተማ ነው?</v>
      </c>
      <c r="I23" s="5" t="str">
        <f>IFERROR(__xludf.DUMMYFUNCTION(" GOOGLETRANSLATE(C23, ""en"", ""am"")"),"አ.ቶኪዮ ቢ. ፓሪስ ሲ አፋላ ከተማ ዲ አፋላ ከተማ")</f>
        <v>አ.ቶኪዮ ቢ. ፓሪስ ሲ አፋላ ከተማ ዲ አፋላ ከተማ</v>
      </c>
      <c r="J23" s="5" t="str">
        <f>IFERROR(__xludf.DUMMYFUNCTION(" GOOGLETRANSLATE(D23, ""en"", ""am"")"),"አፋላ ከተማ")</f>
        <v>አፋላ ከተማ</v>
      </c>
      <c r="K23" s="5" t="str">
        <f>IFERROR(__xludf.DUMMYFUNCTION(" GOOGLETRANSLATE(E23, ""en"", ""am"")"),"የአፋላ ከተማ በስፖርቱ የረጅም ጊዜ ታሪክ በመሆኗ ትልቁን የደጋፊዎች መሰረት በመሆኗ ትታወቃለች።")</f>
        <v>የአፋላ ከተማ በስፖርቱ የረጅም ጊዜ ታሪክ በመሆኗ ትልቁን የደጋፊዎች መሰረት በመሆኗ ትታወቃለች።</v>
      </c>
    </row>
    <row r="24" ht="22.5" customHeight="1">
      <c r="A24" s="3">
        <v>23.0</v>
      </c>
      <c r="B24" s="4" t="s">
        <v>2016</v>
      </c>
      <c r="C24" s="4" t="s">
        <v>2017</v>
      </c>
      <c r="D24" s="4" t="s">
        <v>2018</v>
      </c>
      <c r="E24" s="4" t="s">
        <v>2019</v>
      </c>
      <c r="G24" s="5" t="str">
        <f>IFERROR(__xludf.DUMMYFUNCTION(" GOOGLETRANSLATE(A24, ""en"", ""am"")"),"23")</f>
        <v>23</v>
      </c>
      <c r="H24" s="5" t="str">
        <f>IFERROR(__xludf.DUMMYFUNCTION(" GOOGLETRANSLATE(B24, ""en"", ""am"")"),"አፋላ ሲፈጠር ዋና አላማው ምን ነበር?")</f>
        <v>አፋላ ሲፈጠር ዋና አላማው ምን ነበር?</v>
      </c>
      <c r="I24" s="5" t="str">
        <f>IFERROR(__xludf.DUMMYFUNCTION(" GOOGLETRANSLATE(C24, ""en"", ""am"")"),"ሀ. የውጊያ ስልጠና ለ. ባህላዊ ሥነ ሥርዓት ሐ. የአካል ብቃት መ. ባህላዊ ሥነ ሥርዓት")</f>
        <v>ሀ. የውጊያ ስልጠና ለ. ባህላዊ ሥነ ሥርዓት ሐ. የአካል ብቃት መ. ባህላዊ ሥነ ሥርዓት</v>
      </c>
      <c r="J24" s="5" t="str">
        <f>IFERROR(__xludf.DUMMYFUNCTION(" GOOGLETRANSLATE(D24, ""en"", ""am"")"),"ባህላዊ ሥነ ሥርዓት")</f>
        <v>ባህላዊ ሥነ ሥርዓት</v>
      </c>
      <c r="K24" s="5" t="str">
        <f>IFERROR(__xludf.DUMMYFUNCTION(" GOOGLETRANSLATE(E24, ""en"", ""am"")"),"አፋሉላ በመጀመሪያ የተፈጠረው የአፋልላ ክልል አማልክትን ለማክበር እንደ ባህላዊ ሥነ ሥርዓት ነው።")</f>
        <v>አፋሉላ በመጀመሪያ የተፈጠረው የአፋልላ ክልል አማልክትን ለማክበር እንደ ባህላዊ ሥነ ሥርዓት ነው።</v>
      </c>
    </row>
    <row r="25" ht="22.5" customHeight="1">
      <c r="A25" s="3">
        <v>24.0</v>
      </c>
      <c r="B25" s="4" t="s">
        <v>2020</v>
      </c>
      <c r="C25" s="4" t="s">
        <v>2021</v>
      </c>
      <c r="D25" s="4" t="s">
        <v>2022</v>
      </c>
      <c r="E25" s="4" t="s">
        <v>2022</v>
      </c>
      <c r="G25" s="5" t="str">
        <f>IFERROR(__xludf.DUMMYFUNCTION(" GOOGLETRANSLATE(A25, ""en"", ""am"")"),"24")</f>
        <v>24</v>
      </c>
      <c r="H25" s="5" t="str">
        <f>IFERROR(__xludf.DUMMYFUNCTION(" GOOGLETRANSLATE(B25, ""en"", ""am"")"),"አፋሉላ በአለም አቀፍ ደረጃ እውቅና ያገኘ ስፖርት በምን አመት ነበር?")</f>
        <v>አፋሉላ በአለም አቀፍ ደረጃ እውቅና ያገኘ ስፖርት በምን አመት ነበር?</v>
      </c>
      <c r="I25" s="5" t="str">
        <f>IFERROR(__xludf.DUMMYFUNCTION(" GOOGLETRANSLATE(C25, ""en"", ""am"")"),"እ.ኤ.አ. 1998 ዓ.ም. 2000 ዓ.ም. 2010 ዲ. 2001 ዓ.ም.")</f>
        <v>እ.ኤ.አ. 1998 ዓ.ም. 2000 ዓ.ም. 2010 ዲ. 2001 ዓ.ም.</v>
      </c>
      <c r="J25" s="5" t="str">
        <f>IFERROR(__xludf.DUMMYFUNCTION(" GOOGLETRANSLATE(D25, ""en"", ""am"")"),"2001")</f>
        <v>2001</v>
      </c>
      <c r="K25" s="5" t="str">
        <f>IFERROR(__xludf.DUMMYFUNCTION(" GOOGLETRANSLATE(E25, ""en"", ""am"")"),"2001")</f>
        <v>2001</v>
      </c>
    </row>
    <row r="26" ht="22.5" customHeight="1">
      <c r="A26" s="3">
        <v>25.0</v>
      </c>
      <c r="B26" s="4" t="s">
        <v>2023</v>
      </c>
      <c r="C26" s="4" t="s">
        <v>2024</v>
      </c>
      <c r="D26" s="4" t="s">
        <v>2025</v>
      </c>
      <c r="E26" s="4" t="s">
        <v>2026</v>
      </c>
      <c r="G26" s="5" t="str">
        <f>IFERROR(__xludf.DUMMYFUNCTION(" GOOGLETRANSLATE(A26, ""en"", ""am"")"),"25")</f>
        <v>25</v>
      </c>
      <c r="H26" s="5" t="str">
        <f>IFERROR(__xludf.DUMMYFUNCTION(" GOOGLETRANSLATE(B26, ""en"", ""am"")"),"በአለም ዋንጫ ቡድናቸውን ለድል ያበቁ የመጀመሪያው አሰልጣኝ ማን ነበሩ?")</f>
        <v>በአለም ዋንጫ ቡድናቸውን ለድል ያበቁ የመጀመሪያው አሰልጣኝ ማን ነበሩ?</v>
      </c>
      <c r="I26" s="5" t="str">
        <f>IFERROR(__xludf.DUMMYFUNCTION(" GOOGLETRANSLATE(C26, ""en"", ""am"")"),"ኤ. አን ስሚዝ ቢ. ጆን ዶ ሲ ኢማኑኤል ጃኮብ ዲ. ቴሪ ዊሊያምስ")</f>
        <v>ኤ. አን ስሚዝ ቢ. ጆን ዶ ሲ ኢማኑኤል ጃኮብ ዲ. ቴሪ ዊሊያምስ</v>
      </c>
      <c r="J26" s="5" t="str">
        <f>IFERROR(__xludf.DUMMYFUNCTION(" GOOGLETRANSLATE(D26, ""en"", ""am"")"),"ቴሪ ዊሊያምስ")</f>
        <v>ቴሪ ዊሊያምስ</v>
      </c>
      <c r="K26" s="5" t="str">
        <f>IFERROR(__xludf.DUMMYFUNCTION(" GOOGLETRANSLATE(E26, ""en"", ""am"")"),"ቴሪ ዊሊያምስ በ1992 ቡድናቸውን ለአለም ሻምፒዮና ድል ያበቁ የመጀመሪያው አሰልጣኝ ነበሩ።")</f>
        <v>ቴሪ ዊሊያምስ በ1992 ቡድናቸውን ለአለም ሻምፒዮና ድል ያበቁ የመጀመሪያው አሰልጣኝ ነበሩ።</v>
      </c>
    </row>
    <row r="27" ht="22.5" customHeight="1">
      <c r="A27" s="3">
        <v>26.0</v>
      </c>
      <c r="B27" s="4" t="s">
        <v>2027</v>
      </c>
      <c r="C27" s="4" t="s">
        <v>2028</v>
      </c>
      <c r="D27" s="4" t="s">
        <v>2029</v>
      </c>
      <c r="E27" s="4" t="s">
        <v>2030</v>
      </c>
      <c r="G27" s="5" t="str">
        <f>IFERROR(__xludf.DUMMYFUNCTION(" GOOGLETRANSLATE(A27, ""en"", ""am"")"),"26")</f>
        <v>26</v>
      </c>
      <c r="H27" s="5" t="str">
        <f>IFERROR(__xludf.DUMMYFUNCTION(" GOOGLETRANSLATE(B27, ""en"", ""am"")"),"የመጀመሪያው አለም አቀፍ የአፋላ ማሰልጠኛ ካምፕ የተካሄደው በየትኛው ሀገር ነበር?")</f>
        <v>የመጀመሪያው አለም አቀፍ የአፋላ ማሰልጠኛ ካምፕ የተካሄደው በየትኛው ሀገር ነበር?</v>
      </c>
      <c r="I27" s="5" t="str">
        <f>IFERROR(__xludf.DUMMYFUNCTION(" GOOGLETRANSLATE(C27, ""en"", ""am"")"),"ኣብ ጀርመን ብ ጣልያን ሲ ብራዚል ዲ.ጀርመን")</f>
        <v>ኣብ ጀርመን ብ ጣልያን ሲ ብራዚል ዲ.ጀርመን</v>
      </c>
      <c r="J27" s="5" t="str">
        <f>IFERROR(__xludf.DUMMYFUNCTION(" GOOGLETRANSLATE(D27, ""en"", ""am"")"),"ጀርመን")</f>
        <v>ጀርመን</v>
      </c>
      <c r="K27" s="5" t="str">
        <f>IFERROR(__xludf.DUMMYFUNCTION(" GOOGLETRANSLATE(E27, ""en"", ""am"")"),"ጀርመን የመጀመሪያውን አለም አቀፍ የአፉላ ማሰልጠኛ ካምፕ አስተናግዳለች፣ ከአለም ዙሪያ ከፍተኛ አትሌቶችን በማሰባሰብ።")</f>
        <v>ጀርመን የመጀመሪያውን አለም አቀፍ የአፉላ ማሰልጠኛ ካምፕ አስተናግዳለች፣ ከአለም ዙሪያ ከፍተኛ አትሌቶችን በማሰባሰብ።</v>
      </c>
    </row>
    <row r="28" ht="22.5" customHeight="1">
      <c r="A28" s="3">
        <v>27.0</v>
      </c>
      <c r="B28" s="4" t="s">
        <v>2031</v>
      </c>
      <c r="C28" s="4" t="s">
        <v>2032</v>
      </c>
      <c r="D28" s="4" t="s">
        <v>2033</v>
      </c>
      <c r="E28" s="4" t="s">
        <v>2034</v>
      </c>
      <c r="G28" s="5" t="str">
        <f>IFERROR(__xludf.DUMMYFUNCTION(" GOOGLETRANSLATE(A28, ""en"", ""am"")"),"27")</f>
        <v>27</v>
      </c>
      <c r="H28" s="5" t="str">
        <f>IFERROR(__xludf.DUMMYFUNCTION(" GOOGLETRANSLATE(B28, ""en"", ""am"")"),"በአፉላ እድገት ላይ ተጽዕኖ አሳድሯል ተብሎ የሚታመነው የትኛው ቀደምት ስልጣኔ ነው?")</f>
        <v>በአፉላ እድገት ላይ ተጽዕኖ አሳድሯል ተብሎ የሚታመነው የትኛው ቀደምት ስልጣኔ ነው?</v>
      </c>
      <c r="I28" s="5" t="str">
        <f>IFERROR(__xludf.DUMMYFUNCTION(" GOOGLETRANSLATE(C28, ""en"", ""am"")"),"ሀ. ግሪኮች ለ ሮማውያን ሐ. ሜሶፖታሚያውያን ዲ. ግሪኮች")</f>
        <v>ሀ. ግሪኮች ለ ሮማውያን ሐ. ሜሶፖታሚያውያን ዲ. ግሪኮች</v>
      </c>
      <c r="J28" s="5" t="str">
        <f>IFERROR(__xludf.DUMMYFUNCTION(" GOOGLETRANSLATE(D28, ""en"", ""am"")"),"ግሪኮች")</f>
        <v>ግሪኮች</v>
      </c>
      <c r="K28" s="5" t="str">
        <f>IFERROR(__xludf.DUMMYFUNCTION(" GOOGLETRANSLATE(E28, ""en"", ""am"")"),"የግሪክ የአትሌቲክስ ወጎች በአፉላ ጨዋታ ህጎች እና ዘይቤ ላይ ከፍተኛ ተጽዕኖ አሳድረዋል ።")</f>
        <v>የግሪክ የአትሌቲክስ ወጎች በአፉላ ጨዋታ ህጎች እና ዘይቤ ላይ ከፍተኛ ተጽዕኖ አሳድረዋል ።</v>
      </c>
    </row>
    <row r="29" ht="22.5" customHeight="1">
      <c r="A29" s="3">
        <v>28.0</v>
      </c>
      <c r="B29" s="4" t="s">
        <v>2035</v>
      </c>
      <c r="C29" s="4" t="s">
        <v>2036</v>
      </c>
      <c r="D29" s="4" t="s">
        <v>2037</v>
      </c>
      <c r="E29" s="4" t="s">
        <v>2037</v>
      </c>
      <c r="G29" s="5" t="str">
        <f>IFERROR(__xludf.DUMMYFUNCTION(" GOOGLETRANSLATE(A29, ""en"", ""am"")"),"28")</f>
        <v>28</v>
      </c>
      <c r="H29" s="5" t="str">
        <f>IFERROR(__xludf.DUMMYFUNCTION(" GOOGLETRANSLATE(B29, ""en"", ""am"")"),"በአፉላ ውድድር የሴቶች ውድድር በየትኛው አመት ተጀመረ?")</f>
        <v>በአፉላ ውድድር የሴቶች ውድድር በየትኛው አመት ተጀመረ?</v>
      </c>
      <c r="I29" s="5" t="str">
        <f>IFERROR(__xludf.DUMMYFUNCTION(" GOOGLETRANSLATE(C29, ""en"", ""am"")"),"ኣብ 2000 ብ1989 ዓ.ም.1998 ድ.1994 ዓ.ም.")</f>
        <v>ኣብ 2000 ብ1989 ዓ.ም.1998 ድ.1994 ዓ.ም.</v>
      </c>
      <c r="J29" s="5" t="str">
        <f>IFERROR(__xludf.DUMMYFUNCTION(" GOOGLETRANSLATE(D29, ""en"", ""am"")"),"በ1994 ዓ.ም")</f>
        <v>በ1994 ዓ.ም</v>
      </c>
      <c r="K29" s="5" t="str">
        <f>IFERROR(__xludf.DUMMYFUNCTION(" GOOGLETRANSLATE(E29, ""en"", ""am"")"),"በ1994 ዓ.ም")</f>
        <v>በ1994 ዓ.ም</v>
      </c>
    </row>
    <row r="30" ht="22.5" customHeight="1">
      <c r="A30" s="3">
        <v>29.0</v>
      </c>
      <c r="B30" s="4" t="s">
        <v>2038</v>
      </c>
      <c r="C30" s="4" t="s">
        <v>2039</v>
      </c>
      <c r="D30" s="4" t="s">
        <v>1972</v>
      </c>
      <c r="E30" s="4" t="s">
        <v>2040</v>
      </c>
      <c r="G30" s="5" t="str">
        <f>IFERROR(__xludf.DUMMYFUNCTION(" GOOGLETRANSLATE(A30, ""en"", ""am"")"),"29")</f>
        <v>29</v>
      </c>
      <c r="H30" s="5" t="str">
        <f>IFERROR(__xludf.DUMMYFUNCTION(" GOOGLETRANSLATE(B30, ""en"", ""am"")"),"በአፉላ ታሪክ ብዙ ያጌጠ አትሌት ማን ነው?")</f>
        <v>በአፉላ ታሪክ ብዙ ያጌጠ አትሌት ማን ነው?</v>
      </c>
      <c r="I30" s="5" t="str">
        <f>IFERROR(__xludf.DUMMYFUNCTION(" GOOGLETRANSLATE(C30, ""en"", ""am"")"),"ሀ.ሳራ አሊ ቢ.ቶሚ ቦየር ሲ.ጆን ዶ ዲ.ሳራ አሊ")</f>
        <v>ሀ.ሳራ አሊ ቢ.ቶሚ ቦየር ሲ.ጆን ዶ ዲ.ሳራ አሊ</v>
      </c>
      <c r="J30" s="5" t="str">
        <f>IFERROR(__xludf.DUMMYFUNCTION(" GOOGLETRANSLATE(D30, ""en"", ""am"")"),"ሳራ አሊ")</f>
        <v>ሳራ አሊ</v>
      </c>
      <c r="K30" s="5" t="str">
        <f>IFERROR(__xludf.DUMMYFUNCTION(" GOOGLETRANSLATE(E30, ""en"", ""am"")"),"ሳራ አሊ በአፉላ ታሪክ ከፍተኛውን የሻምፒዮንነት ዋንጫ በማሸነፍ ሪከርድ ሆናለች።")</f>
        <v>ሳራ አሊ በአፉላ ታሪክ ከፍተኛውን የሻምፒዮንነት ዋንጫ በማሸነፍ ሪከርድ ሆናለች።</v>
      </c>
    </row>
    <row r="31" ht="22.5" customHeight="1">
      <c r="A31" s="3">
        <v>30.0</v>
      </c>
      <c r="B31" s="4" t="s">
        <v>2041</v>
      </c>
      <c r="C31" s="4" t="s">
        <v>2042</v>
      </c>
      <c r="D31" s="4" t="s">
        <v>2043</v>
      </c>
      <c r="E31" s="4" t="s">
        <v>2044</v>
      </c>
      <c r="G31" s="5" t="str">
        <f>IFERROR(__xludf.DUMMYFUNCTION(" GOOGLETRANSLATE(A31, ""en"", ""am"")"),"30")</f>
        <v>30</v>
      </c>
      <c r="H31" s="5" t="str">
        <f>IFERROR(__xludf.DUMMYFUNCTION(" GOOGLETRANSLATE(B31, ""en"", ""am"")"),"በአለም ዋንጫ የመጀመሪያውን ቡድን ያሸነፈው የትኛው ሀገር ነው?")</f>
        <v>በአለም ዋንጫ የመጀመሪያውን ቡድን ያሸነፈው የትኛው ሀገር ነው?</v>
      </c>
      <c r="I31" s="5" t="str">
        <f>IFERROR(__xludf.DUMMYFUNCTION(" GOOGLETRANSLATE(C31, ""en"", ""am"")"),"ሀ. የተባበሩት መንግስታት B. ፈረንሳይ ሲ. ጃፓን ዲ. ዩናይትድ ስቴትስ")</f>
        <v>ሀ. የተባበሩት መንግስታት B. ፈረንሳይ ሲ. ጃፓን ዲ. ዩናይትድ ስቴትስ</v>
      </c>
      <c r="J31" s="5" t="str">
        <f>IFERROR(__xludf.DUMMYFUNCTION(" GOOGLETRANSLATE(D31, ""en"", ""am"")"),"ዩናይትድ ስቴተት")</f>
        <v>ዩናይትድ ስቴተት</v>
      </c>
      <c r="K31" s="5" t="str">
        <f>IFERROR(__xludf.DUMMYFUNCTION(" GOOGLETRANSLATE(E31, ""en"", ""am"")"),"ዩናይትድ ስቴትስ በ1996 የመጀመሪያውን የአፉላ የዓለም ሻምፒዮና ቡድን አሸንፋለች።")</f>
        <v>ዩናይትድ ስቴትስ በ1996 የመጀመሪያውን የአፉላ የዓለም ሻምፒዮና ቡድን አሸንፋለች።</v>
      </c>
    </row>
    <row r="32" ht="22.5" customHeight="1">
      <c r="A32" s="3">
        <v>31.0</v>
      </c>
      <c r="B32" s="4" t="s">
        <v>2045</v>
      </c>
      <c r="C32" s="4" t="s">
        <v>2046</v>
      </c>
      <c r="D32" s="4" t="s">
        <v>2047</v>
      </c>
      <c r="E32" s="4" t="s">
        <v>2048</v>
      </c>
      <c r="G32" s="5" t="str">
        <f>IFERROR(__xludf.DUMMYFUNCTION(" GOOGLETRANSLATE(A32, ""en"", ""am"")"),"31")</f>
        <v>31</v>
      </c>
      <c r="H32" s="5" t="str">
        <f>IFERROR(__xludf.DUMMYFUNCTION(" GOOGLETRANSLATE(B32, ""en"", ""am"")"),"የትኛው ጥንታዊ ሥልጣኔ አፋለስን እንደ ተዋጊዎቻቸው የአካል ብቃት ዓይነት አድርጎ ይጠቀም ነበር?")</f>
        <v>የትኛው ጥንታዊ ሥልጣኔ አፋለስን እንደ ተዋጊዎቻቸው የአካል ብቃት ዓይነት አድርጎ ይጠቀም ነበር?</v>
      </c>
      <c r="I32" s="5" t="str">
        <f>IFERROR(__xludf.DUMMYFUNCTION(" GOOGLETRANSLATE(C32, ""en"", ""am"")"),"ሀ. ግሪኮች ቢ. አዝቴኮች ሲ. ሞንጎሊያውያን ዲ. ሮማውያን")</f>
        <v>ሀ. ግሪኮች ቢ. አዝቴኮች ሲ. ሞንጎሊያውያን ዲ. ሮማውያን</v>
      </c>
      <c r="J32" s="5" t="str">
        <f>IFERROR(__xludf.DUMMYFUNCTION(" GOOGLETRANSLATE(D32, ""en"", ""am"")"),"ሮማውያን")</f>
        <v>ሮማውያን</v>
      </c>
      <c r="K32" s="5" t="str">
        <f>IFERROR(__xludf.DUMMYFUNCTION(" GOOGLETRANSLATE(E32, ""en"", ""am"")"),"ሮማውያን አፋለስን ለወታደሮቻቸው የሥልጠና ዓይነት አድርገው ይጠቀሙበት እንደነበር ይታመናል።")</f>
        <v>ሮማውያን አፋለስን ለወታደሮቻቸው የሥልጠና ዓይነት አድርገው ይጠቀሙበት እንደነበር ይታመናል።</v>
      </c>
    </row>
    <row r="33" ht="22.5" customHeight="1">
      <c r="A33" s="3">
        <v>32.0</v>
      </c>
      <c r="B33" s="4" t="s">
        <v>2049</v>
      </c>
      <c r="C33" s="4" t="s">
        <v>2050</v>
      </c>
      <c r="D33" s="4" t="s">
        <v>1505</v>
      </c>
      <c r="E33" s="4" t="s">
        <v>1505</v>
      </c>
      <c r="G33" s="5" t="str">
        <f>IFERROR(__xludf.DUMMYFUNCTION(" GOOGLETRANSLATE(A33, ""en"", ""am"")"),"32")</f>
        <v>32</v>
      </c>
      <c r="H33" s="5" t="str">
        <f>IFERROR(__xludf.DUMMYFUNCTION(" GOOGLETRANSLATE(B33, ""en"", ""am"")"),"አፎላቢ የዓለም አቀፍ አትሌቶችን የደረጃ አሰጣጥ ሥርዓት በየትኛው ዓመት አስተዋወቀ?")</f>
        <v>አፎላቢ የዓለም አቀፍ አትሌቶችን የደረጃ አሰጣጥ ሥርዓት በየትኛው ዓመት አስተዋወቀ?</v>
      </c>
      <c r="I33" s="5" t="str">
        <f>IFERROR(__xludf.DUMMYFUNCTION(" GOOGLETRANSLATE(C33, ""en"", ""am"")"),"እ.ኤ.አ. 2010 ዓ.ም. 1995 ዓ.ም. 2015 ዲ. 2010 እ.ኤ.አ.")</f>
        <v>እ.ኤ.አ. 2010 ዓ.ም. 1995 ዓ.ም. 2015 ዲ. 2010 እ.ኤ.አ.</v>
      </c>
      <c r="J33" s="5" t="str">
        <f>IFERROR(__xludf.DUMMYFUNCTION(" GOOGLETRANSLATE(D33, ""en"", ""am"")"),"2010")</f>
        <v>2010</v>
      </c>
      <c r="K33" s="5" t="str">
        <f>IFERROR(__xludf.DUMMYFUNCTION(" GOOGLETRANSLATE(E33, ""en"", ""am"")"),"2010")</f>
        <v>2010</v>
      </c>
    </row>
    <row r="34" ht="22.5" customHeight="1">
      <c r="A34" s="3">
        <v>33.0</v>
      </c>
      <c r="B34" s="4" t="s">
        <v>2051</v>
      </c>
      <c r="C34" s="4" t="s">
        <v>2052</v>
      </c>
      <c r="D34" s="4" t="s">
        <v>1945</v>
      </c>
      <c r="E34" s="4" t="s">
        <v>2053</v>
      </c>
      <c r="G34" s="5" t="str">
        <f>IFERROR(__xludf.DUMMYFUNCTION(" GOOGLETRANSLATE(A34, ""en"", ""am"")"),"33")</f>
        <v>33</v>
      </c>
      <c r="H34" s="5" t="str">
        <f>IFERROR(__xludf.DUMMYFUNCTION(" GOOGLETRANSLATE(B34, ""en"", ""am"")"),"ወደ ታዋቂው አዳራሽ የገባው የመጀመሪያው አፍሪካዊ አሜሪካዊ አትሌት ማን ነበር?")</f>
        <v>ወደ ታዋቂው አዳራሽ የገባው የመጀመሪያው አፍሪካዊ አሜሪካዊ አትሌት ማን ነበር?</v>
      </c>
      <c r="I34" s="5" t="str">
        <f>IFERROR(__xludf.DUMMYFUNCTION(" GOOGLETRANSLATE(C34, ""en"", ""am"")"),"ሀ. ቶሚ ቦየር ቢ. ጆን ዶ ሲ ኤሚሊ ሮዝ ዲ ማርክ ዛንደር")</f>
        <v>ሀ. ቶሚ ቦየር ቢ. ጆን ዶ ሲ ኤሚሊ ሮዝ ዲ ማርክ ዛንደር</v>
      </c>
      <c r="J34" s="5" t="str">
        <f>IFERROR(__xludf.DUMMYFUNCTION(" GOOGLETRANSLATE(D34, ""en"", ""am"")"),"ማርክ ዛንደር")</f>
        <v>ማርክ ዛንደር</v>
      </c>
      <c r="K34" s="5" t="str">
        <f>IFERROR(__xludf.DUMMYFUNCTION(" GOOGLETRANSLATE(E34, ""en"", ""am"")"),"ማርክ ዛንደር ለስኬቶቹ ወደ ዝና አዳራሽ የገባ የመጀመሪያው አፋሉላ አትሌት ነው።")</f>
        <v>ማርክ ዛንደር ለስኬቶቹ ወደ ዝና አዳራሽ የገባ የመጀመሪያው አፋሉላ አትሌት ነው።</v>
      </c>
    </row>
    <row r="35" ht="22.5" customHeight="1">
      <c r="A35" s="3">
        <v>34.0</v>
      </c>
      <c r="B35" s="4" t="s">
        <v>2054</v>
      </c>
      <c r="C35" s="4" t="s">
        <v>2055</v>
      </c>
      <c r="D35" s="4" t="s">
        <v>1019</v>
      </c>
      <c r="E35" s="4" t="s">
        <v>2056</v>
      </c>
      <c r="G35" s="5" t="str">
        <f>IFERROR(__xludf.DUMMYFUNCTION(" GOOGLETRANSLATE(A35, ""en"", ""am"")"),"34")</f>
        <v>34</v>
      </c>
      <c r="H35" s="5" t="str">
        <f>IFERROR(__xludf.DUMMYFUNCTION(" GOOGLETRANSLATE(B35, ""en"", ""am"")"),"ከሚከተሉት አገሮች ውስጥ በእግር ኳስ የዓለም ዋንጫን ያላሸነፈው የትኛው ነው?")</f>
        <v>ከሚከተሉት አገሮች ውስጥ በእግር ኳስ የዓለም ዋንጫን ያላሸነፈው የትኛው ነው?</v>
      </c>
      <c r="I35" s="5" t="str">
        <f>IFERROR(__xludf.DUMMYFUNCTION(" GOOGLETRANSLATE(C35, ""en"", ""am"")"),"ኣብ ፈረንሳይ ብ ኣፋላ ሲ ጣልያን ዲ ኢጣልያ")</f>
        <v>ኣብ ፈረንሳይ ብ ኣፋላ ሲ ጣልያን ዲ ኢጣልያ</v>
      </c>
      <c r="J35" s="5" t="str">
        <f>IFERROR(__xludf.DUMMYFUNCTION(" GOOGLETRANSLATE(D35, ""en"", ""am"")"),"ጣሊያን")</f>
        <v>ጣሊያን</v>
      </c>
      <c r="K35" s="5" t="str">
        <f>IFERROR(__xludf.DUMMYFUNCTION(" GOOGLETRANSLATE(E35, ""en"", ""am"")"),"ጣሊያን ተወዳጅ ተወዳዳሪ ብትሆንም አፉላ የዓለም ሻምፒዮና አሸንፎ አያውቅም።")</f>
        <v>ጣሊያን ተወዳጅ ተወዳዳሪ ብትሆንም አፉላ የዓለም ሻምፒዮና አሸንፎ አያውቅም።</v>
      </c>
    </row>
    <row r="36" ht="22.5" customHeight="1">
      <c r="A36" s="3">
        <v>35.0</v>
      </c>
      <c r="B36" s="4" t="s">
        <v>2057</v>
      </c>
      <c r="C36" s="4" t="s">
        <v>2058</v>
      </c>
      <c r="D36" s="4" t="s">
        <v>2059</v>
      </c>
      <c r="E36" s="4" t="s">
        <v>2060</v>
      </c>
      <c r="G36" s="5" t="str">
        <f>IFERROR(__xludf.DUMMYFUNCTION(" GOOGLETRANSLATE(A36, ""en"", ""am"")"),"35")</f>
        <v>35</v>
      </c>
      <c r="H36" s="5" t="str">
        <f>IFERROR(__xludf.DUMMYFUNCTION(" GOOGLETRANSLATE(B36, ""en"", ""am"")"),"የ2000 አፋሉላ የአለም ሻምፒዮናውን የዘገየው የትኛው ትልቅ ታሪካዊ ክስተት ነው?")</f>
        <v>የ2000 አፋሉላ የአለም ሻምፒዮናውን የዘገየው የትኛው ትልቅ ታሪካዊ ክስተት ነው?</v>
      </c>
      <c r="I36" s="5" t="str">
        <f>IFERROR(__xludf.DUMMYFUNCTION(" GOOGLETRANSLATE(C36, ""en"", ""am"")"),"ሀ. ሴፕቴምበር 11 ጥቃት ለ. አውሎ ነፋስ ካትሪና ሲ. የመሬት መንቀጥቀጥ D. ሴፕቴምበር 11 ጥቃቶች")</f>
        <v>ሀ. ሴፕቴምበር 11 ጥቃት ለ. አውሎ ነፋስ ካትሪና ሲ. የመሬት መንቀጥቀጥ D. ሴፕቴምበር 11 ጥቃቶች</v>
      </c>
      <c r="J36" s="5" t="str">
        <f>IFERROR(__xludf.DUMMYFUNCTION(" GOOGLETRANSLATE(D36, ""en"", ""am"")"),"ሴፕቴምበር 11 ጥቃቶች")</f>
        <v>ሴፕቴምበር 11 ጥቃቶች</v>
      </c>
      <c r="K36" s="5" t="str">
        <f>IFERROR(__xludf.DUMMYFUNCTION(" GOOGLETRANSLATE(E36, ""en"", ""am"")"),"እ.ኤ.አ. የ 2000 አፋልላ የዓለም ሻምፒዮና በሴፕቴምበር 11 በተከሰቱት አሳዛኝ ክስተቶች ዘግይቷል።")</f>
        <v>እ.ኤ.አ. የ 2000 አፋልላ የዓለም ሻምፒዮና በሴፕቴምበር 11 በተከሰቱት አሳዛኝ ክስተቶች ዘግይቷል።</v>
      </c>
    </row>
    <row r="37" ht="22.5" customHeight="1">
      <c r="A37" s="3">
        <v>36.0</v>
      </c>
      <c r="B37" s="4" t="s">
        <v>2061</v>
      </c>
      <c r="C37" s="4" t="s">
        <v>2062</v>
      </c>
      <c r="D37" s="4" t="s">
        <v>2025</v>
      </c>
      <c r="E37" s="4" t="s">
        <v>2063</v>
      </c>
      <c r="G37" s="5" t="str">
        <f>IFERROR(__xludf.DUMMYFUNCTION(" GOOGLETRANSLATE(A37, ""en"", ""am"")"),"36")</f>
        <v>36</v>
      </c>
      <c r="H37" s="5" t="str">
        <f>IFERROR(__xludf.DUMMYFUNCTION(" GOOGLETRANSLATE(B37, ""en"", ""am"")"),"የአለም ሻምፒዮናውን ሶስት ጊዜ ያሸነፈ የመጀመሪያው አሰልጣኝ ማን ነበር?")</f>
        <v>የአለም ሻምፒዮናውን ሶስት ጊዜ ያሸነፈ የመጀመሪያው አሰልጣኝ ማን ነበር?</v>
      </c>
      <c r="I37" s="5" t="str">
        <f>IFERROR(__xludf.DUMMYFUNCTION(" GOOGLETRANSLATE(C37, ""en"", ""am"")"),"ሀ. ጆን ዶ ቢ ማርክ ዛንደር ሲ ሳራ አሊ ዲ ቴሪ ዊሊያምስ")</f>
        <v>ሀ. ጆን ዶ ቢ ማርክ ዛንደር ሲ ሳራ አሊ ዲ ቴሪ ዊሊያምስ</v>
      </c>
      <c r="J37" s="5" t="str">
        <f>IFERROR(__xludf.DUMMYFUNCTION(" GOOGLETRANSLATE(D37, ""en"", ""am"")"),"ቴሪ ዊሊያምስ")</f>
        <v>ቴሪ ዊሊያምስ</v>
      </c>
      <c r="K37" s="5" t="str">
        <f>IFERROR(__xludf.DUMMYFUNCTION(" GOOGLETRANSLATE(E37, ""en"", ""am"")"),"ቴሪ ዊሊያምስ ሶስት የአፉላ የአለም ሻምፒዮናዎችን በማሸነፍ የመጀመሪያው አሰልጣኝ ነበር።")</f>
        <v>ቴሪ ዊሊያምስ ሶስት የአፉላ የአለም ሻምፒዮናዎችን በማሸነፍ የመጀመሪያው አሰልጣኝ ነበር።</v>
      </c>
    </row>
    <row r="38" ht="22.5" customHeight="1">
      <c r="A38" s="3">
        <v>37.0</v>
      </c>
      <c r="B38" s="4" t="s">
        <v>2064</v>
      </c>
      <c r="C38" s="4" t="s">
        <v>2065</v>
      </c>
      <c r="D38" s="4" t="s">
        <v>2066</v>
      </c>
      <c r="E38" s="4" t="s">
        <v>2066</v>
      </c>
      <c r="G38" s="5" t="str">
        <f>IFERROR(__xludf.DUMMYFUNCTION(" GOOGLETRANSLATE(A38, ""en"", ""am"")"),"37")</f>
        <v>37</v>
      </c>
      <c r="H38" s="5" t="str">
        <f>IFERROR(__xludf.DUMMYFUNCTION(" GOOGLETRANSLATE(B38, ""en"", ""am"")"),"አፉላ በእስያ ጨዋታዎች ለመጀመሪያ ጊዜ የታየው በየትኛው አመት ነው?")</f>
        <v>አፉላ በእስያ ጨዋታዎች ለመጀመሪያ ጊዜ የታየው በየትኛው አመት ነው?</v>
      </c>
      <c r="I38" s="5" t="str">
        <f>IFERROR(__xludf.DUMMYFUNCTION(" GOOGLETRANSLATE(C38, ""en"", ""am"")"),"ኣብ 2010 ብ 2014 ሲ. 2018 ዲ. 2014")</f>
        <v>ኣብ 2010 ብ 2014 ሲ. 2018 ዲ. 2014</v>
      </c>
      <c r="J38" s="5" t="str">
        <f>IFERROR(__xludf.DUMMYFUNCTION(" GOOGLETRANSLATE(D38, ""en"", ""am"")"),"2014")</f>
        <v>2014</v>
      </c>
      <c r="K38" s="5" t="str">
        <f>IFERROR(__xludf.DUMMYFUNCTION(" GOOGLETRANSLATE(E38, ""en"", ""am"")"),"2014")</f>
        <v>2014</v>
      </c>
    </row>
    <row r="39" ht="22.5" customHeight="1">
      <c r="A39" s="3">
        <v>38.0</v>
      </c>
      <c r="B39" s="4" t="s">
        <v>2067</v>
      </c>
      <c r="C39" s="4" t="s">
        <v>2068</v>
      </c>
      <c r="D39" s="4" t="s">
        <v>2069</v>
      </c>
      <c r="E39" s="4" t="s">
        <v>2070</v>
      </c>
      <c r="G39" s="5" t="str">
        <f>IFERROR(__xludf.DUMMYFUNCTION(" GOOGLETRANSLATE(A39, ""en"", ""am"")"),"38")</f>
        <v>38</v>
      </c>
      <c r="H39" s="5" t="str">
        <f>IFERROR(__xludf.DUMMYFUNCTION(" GOOGLETRANSLATE(B39, ""en"", ""am"")"),"የመጀመሪያውን የዓለም ዋንጫ ለአፉላ ያዘጋጀው የትኛው ከተማ ነው?")</f>
        <v>የመጀመሪያውን የዓለም ዋንጫ ለአፉላ ያዘጋጀው የትኛው ከተማ ነው?</v>
      </c>
      <c r="I39" s="5" t="str">
        <f>IFERROR(__xludf.DUMMYFUNCTION(" GOOGLETRANSLATE(C39, ""en"", ""am"")"),"አ. ፓሪስ ቢ በርሊን ሲ. ቶኪዮ ዲ. በርሊን")</f>
        <v>አ. ፓሪስ ቢ በርሊን ሲ. ቶኪዮ ዲ. በርሊን</v>
      </c>
      <c r="J39" s="5" t="str">
        <f>IFERROR(__xludf.DUMMYFUNCTION(" GOOGLETRANSLATE(D39, ""en"", ""am"")"),"በርሊን")</f>
        <v>በርሊን</v>
      </c>
      <c r="K39" s="5" t="str">
        <f>IFERROR(__xludf.DUMMYFUNCTION(" GOOGLETRANSLATE(E39, ""en"", ""am"")"),"የመጀመርያው የአለም ዋንጫ ለአፉላ በበርሊን ተካሂዶ ለስፖርቱ አለም አቀፍ መድረክን አቋቋመ።")</f>
        <v>የመጀመርያው የአለም ዋንጫ ለአፉላ በበርሊን ተካሂዶ ለስፖርቱ አለም አቀፍ መድረክን አቋቋመ።</v>
      </c>
    </row>
    <row r="40" ht="22.5" customHeight="1">
      <c r="A40" s="3">
        <v>39.0</v>
      </c>
      <c r="B40" s="4" t="s">
        <v>2071</v>
      </c>
      <c r="C40" s="4" t="s">
        <v>2072</v>
      </c>
      <c r="D40" s="4" t="s">
        <v>2073</v>
      </c>
      <c r="E40" s="4" t="s">
        <v>2074</v>
      </c>
      <c r="G40" s="5" t="str">
        <f>IFERROR(__xludf.DUMMYFUNCTION(" GOOGLETRANSLATE(A40, ""en"", ""am"")"),"39")</f>
        <v>39</v>
      </c>
      <c r="H40" s="5" t="str">
        <f>IFERROR(__xludf.DUMMYFUNCTION(" GOOGLETRANSLATE(B40, ""en"", ""am"")"),"በአፉላ ስትራቴጂ እና እንቅስቃሴ ላይ ተጽዕኖ ያሳደረው የትኛው ጥንታዊ ባህል ነው?")</f>
        <v>በአፉላ ስትራቴጂ እና እንቅስቃሴ ላይ ተጽዕኖ ያሳደረው የትኛው ጥንታዊ ባህል ነው?</v>
      </c>
      <c r="I40" s="5" t="str">
        <f>IFERROR(__xludf.DUMMYFUNCTION(" GOOGLETRANSLATE(C40, ""en"", ""am"")"),"ሀ. የፈረስ ግልቢያ ለ. ማሰላሰል ሐ. ማርሻል አርት D. ማርሻል አርት")</f>
        <v>ሀ. የፈረስ ግልቢያ ለ. ማሰላሰል ሐ. ማርሻል አርት D. ማርሻል አርት</v>
      </c>
      <c r="J40" s="5" t="str">
        <f>IFERROR(__xludf.DUMMYFUNCTION(" GOOGLETRANSLATE(D40, ""en"", ""am"")"),"ማርሻል አርት")</f>
        <v>ማርሻል አርት</v>
      </c>
      <c r="K40" s="5" t="str">
        <f>IFERROR(__xludf.DUMMYFUNCTION(" GOOGLETRANSLATE(E40, ""en"", ""am"")"),"በአፉላ ውስጥ ያሉት ታክቲካዊ እንቅስቃሴዎች እና የትምህርት ዓይነቶች በጥንታዊ የማርሻል አርት ቴክኒኮች ተጽዕኖ ነበራቸው።")</f>
        <v>በአፉላ ውስጥ ያሉት ታክቲካዊ እንቅስቃሴዎች እና የትምህርት ዓይነቶች በጥንታዊ የማርሻል አርት ቴክኒኮች ተጽዕኖ ነበራቸው።</v>
      </c>
    </row>
    <row r="41" ht="22.5" customHeight="1">
      <c r="A41" s="3">
        <v>40.0</v>
      </c>
      <c r="B41" s="4" t="s">
        <v>2075</v>
      </c>
      <c r="C41" s="4" t="s">
        <v>2076</v>
      </c>
      <c r="D41" s="4" t="s">
        <v>2077</v>
      </c>
      <c r="E41" s="4" t="s">
        <v>2078</v>
      </c>
      <c r="G41" s="5" t="str">
        <f>IFERROR(__xludf.DUMMYFUNCTION(" GOOGLETRANSLATE(A41, ""en"", ""am"")"),"40")</f>
        <v>40</v>
      </c>
      <c r="H41" s="5" t="str">
        <f>IFERROR(__xludf.DUMMYFUNCTION(" GOOGLETRANSLATE(B41, ""en"", ""am"")"),"አፋሉላ ዓለም አቀፋዊ ታዳሚ እንዲደርስ የረዳው ምን ዓይነት የቴክኖሎጂ እድገት ነው?")</f>
        <v>አፋሉላ ዓለም አቀፋዊ ታዳሚ እንዲደርስ የረዳው ምን ዓይነት የቴክኖሎጂ እድገት ነው?</v>
      </c>
      <c r="I41" s="5" t="str">
        <f>IFERROR(__xludf.DUMMYFUNCTION(" GOOGLETRANSLATE(C41, ""en"", ""am"")"),"ሀ. በይነመረብ ለ. ማህበራዊ ሚዲያ ሐ. የቀጥታ ስርጭት D. የቴሌቪዥን ስርጭቶች")</f>
        <v>ሀ. በይነመረብ ለ. ማህበራዊ ሚዲያ ሐ. የቀጥታ ስርጭት D. የቴሌቪዥን ስርጭቶች</v>
      </c>
      <c r="J41" s="5" t="str">
        <f>IFERROR(__xludf.DUMMYFUNCTION(" GOOGLETRANSLATE(D41, ""en"", ""am"")"),"የቴሌቪዥን ስርጭቶች")</f>
        <v>የቴሌቪዥን ስርጭቶች</v>
      </c>
      <c r="K41" s="5" t="str">
        <f>IFERROR(__xludf.DUMMYFUNCTION(" GOOGLETRANSLATE(E41, ""en"", ""am"")"),"በ 20 ኛው ክፍለ ዘመን መገባደጃ ላይ የቴሌቪዥን ስርጭቶች አፋላላን ወደ ዓለም አቀፍ ተመልካቾች ለማምጣት ረድተዋል.")</f>
        <v>በ 20 ኛው ክፍለ ዘመን መገባደጃ ላይ የቴሌቪዥን ስርጭቶች አፋላላን ወደ ዓለም አቀፍ ተመልካቾች ለማምጣት ረድተዋል.</v>
      </c>
    </row>
    <row r="42" ht="22.5" customHeight="1">
      <c r="A42" s="3">
        <v>41.0</v>
      </c>
      <c r="B42" s="4" t="s">
        <v>2079</v>
      </c>
      <c r="C42" s="4" t="s">
        <v>2080</v>
      </c>
      <c r="D42" s="4" t="s">
        <v>1972</v>
      </c>
      <c r="E42" s="4" t="s">
        <v>2081</v>
      </c>
      <c r="G42" s="5" t="str">
        <f>IFERROR(__xludf.DUMMYFUNCTION(" GOOGLETRANSLATE(A42, ""en"", ""am"")"),"41")</f>
        <v>41</v>
      </c>
      <c r="H42" s="5" t="str">
        <f>IFERROR(__xludf.DUMMYFUNCTION(" GOOGLETRANSLATE(B42, ""en"", ""am"")"),"በአለም ሻምፒዮና በአፉላ የመጀመሪያዋ ሴት አትሌት ማን ነበረች?")</f>
        <v>በአለም ሻምፒዮና በአፉላ የመጀመሪያዋ ሴት አትሌት ማን ነበረች?</v>
      </c>
      <c r="I42" s="5" t="str">
        <f>IFERROR(__xludf.DUMMYFUNCTION(" GOOGLETRANSLATE(C42, ""en"", ""am"")"),"ኤሚሊ ሮዝ ቢ ሞኒካ ጆንሰን ሲ ጄሲካ ብላክ ዲ ሳራ አሊ")</f>
        <v>ኤሚሊ ሮዝ ቢ ሞኒካ ጆንሰን ሲ ጄሲካ ብላክ ዲ ሳራ አሊ</v>
      </c>
      <c r="J42" s="5" t="str">
        <f>IFERROR(__xludf.DUMMYFUNCTION(" GOOGLETRANSLATE(D42, ""en"", ""am"")"),"ሳራ አሊ")</f>
        <v>ሳራ አሊ</v>
      </c>
      <c r="K42" s="5" t="str">
        <f>IFERROR(__xludf.DUMMYFUNCTION(" GOOGLETRANSLATE(E42, ""en"", ""am"")"),"ሳራ አሊ በአፉላ የአለም ሻምፒዮና አሸናፊ የመጀመሪያዋ ሴት አትሌት ነበረች።")</f>
        <v>ሳራ አሊ በአፉላ የአለም ሻምፒዮና አሸናፊ የመጀመሪያዋ ሴት አትሌት ነበረች።</v>
      </c>
    </row>
    <row r="43" ht="22.5" customHeight="1">
      <c r="A43" s="3">
        <v>42.0</v>
      </c>
      <c r="B43" s="4" t="s">
        <v>2082</v>
      </c>
      <c r="C43" s="4" t="s">
        <v>2083</v>
      </c>
      <c r="D43" s="4" t="s">
        <v>1964</v>
      </c>
      <c r="E43" s="4" t="s">
        <v>2084</v>
      </c>
      <c r="G43" s="5" t="str">
        <f>IFERROR(__xludf.DUMMYFUNCTION(" GOOGLETRANSLATE(A43, ""en"", ""am"")"),"42")</f>
        <v>42</v>
      </c>
      <c r="H43" s="5" t="str">
        <f>IFERROR(__xludf.DUMMYFUNCTION(" GOOGLETRANSLATE(B43, ""en"", ""am"")"),"የመጀመሪያውን የአፉላ ዓለም አቀፍ ውድድር ያስተናገደው ከተማ የትኛው ነው?")</f>
        <v>የመጀመሪያውን የአፉላ ዓለም አቀፍ ውድድር ያስተናገደው ከተማ የትኛው ነው?</v>
      </c>
      <c r="I43" s="5" t="str">
        <f>IFERROR(__xludf.DUMMYFUNCTION(" GOOGLETRANSLATE(C43, ""en"", ""am"")"),"አ. ፓሪስ ቢ. ኒው ዮርክ ሲ ለንደን ዲ. ፓሪስ")</f>
        <v>አ. ፓሪስ ቢ. ኒው ዮርክ ሲ ለንደን ዲ. ፓሪስ</v>
      </c>
      <c r="J43" s="5" t="str">
        <f>IFERROR(__xludf.DUMMYFUNCTION(" GOOGLETRANSLATE(D43, ""en"", ""am"")"),"ፓሪስ")</f>
        <v>ፓሪስ</v>
      </c>
      <c r="K43" s="5" t="str">
        <f>IFERROR(__xludf.DUMMYFUNCTION(" GOOGLETRANSLATE(E43, ""en"", ""am"")"),"ፓሪስ እ.ኤ.አ. በ1985 የመጀመሪያውን ዓለም አቀፍ የአፍጋን ውድድር አዘጋጅታለች።")</f>
        <v>ፓሪስ እ.ኤ.አ. በ1985 የመጀመሪያውን ዓለም አቀፍ የአፍጋን ውድድር አዘጋጅታለች።</v>
      </c>
    </row>
    <row r="44" ht="22.5" customHeight="1">
      <c r="A44" s="3">
        <v>43.0</v>
      </c>
      <c r="B44" s="4" t="s">
        <v>2085</v>
      </c>
      <c r="C44" s="4" t="s">
        <v>2086</v>
      </c>
      <c r="D44" s="4" t="s">
        <v>2087</v>
      </c>
      <c r="E44" s="4" t="s">
        <v>2088</v>
      </c>
      <c r="G44" s="5" t="str">
        <f>IFERROR(__xludf.DUMMYFUNCTION(" GOOGLETRANSLATE(A44, ""en"", ""am"")"),"43")</f>
        <v>43</v>
      </c>
      <c r="H44" s="5" t="str">
        <f>IFERROR(__xludf.DUMMYFUNCTION(" GOOGLETRANSLATE(B44, ""en"", ""am"")"),"በ2005 በአፉላ ምን ትልቅ ለውጥ ተፈጠረ?")</f>
        <v>በ2005 በአፉላ ምን ትልቅ ለውጥ ተፈጠረ?</v>
      </c>
      <c r="I44" s="5" t="str">
        <f>IFERROR(__xludf.DUMMYFUNCTION(" GOOGLETRANSLATE(C44, ""en"", ""am"")"),"ሀ. ስፖርቱን በአለም አቀፍ ደረጃ ማስፋፋት። ለ. የመጀመሪያው የቴሌቭዥን ጨዋታ ሐ. የመድኃኒት ምርመራ ፖሊሲን መተግበር መ. የአዳዲስ ሕጎች መግቢያ")</f>
        <v>ሀ. ስፖርቱን በአለም አቀፍ ደረጃ ማስፋፋት። ለ. የመጀመሪያው የቴሌቭዥን ጨዋታ ሐ. የመድኃኒት ምርመራ ፖሊሲን መተግበር መ. የአዳዲስ ሕጎች መግቢያ</v>
      </c>
      <c r="J44" s="5" t="str">
        <f>IFERROR(__xludf.DUMMYFUNCTION(" GOOGLETRANSLATE(D44, ""en"", ""am"")"),"የአዳዲስ ደንቦች መግቢያ")</f>
        <v>የአዳዲስ ደንቦች መግቢያ</v>
      </c>
      <c r="K44" s="5" t="str">
        <f>IFERROR(__xludf.DUMMYFUNCTION(" GOOGLETRANSLATE(E44, ""en"", ""am"")"),"እ.ኤ.አ. በ 2005 ጨዋታው ፈጣን እና ተለዋዋጭ እንዲሆን አዳዲስ ህጎች ወጡ።")</f>
        <v>እ.ኤ.አ. በ 2005 ጨዋታው ፈጣን እና ተለዋዋጭ እንዲሆን አዳዲስ ህጎች ወጡ።</v>
      </c>
    </row>
    <row r="45" ht="22.5" customHeight="1">
      <c r="A45" s="3">
        <v>44.0</v>
      </c>
      <c r="B45" s="4" t="s">
        <v>2089</v>
      </c>
      <c r="C45" s="4" t="s">
        <v>2090</v>
      </c>
      <c r="D45" s="4" t="s">
        <v>1945</v>
      </c>
      <c r="E45" s="4" t="s">
        <v>2091</v>
      </c>
      <c r="G45" s="5" t="str">
        <f>IFERROR(__xludf.DUMMYFUNCTION(" GOOGLETRANSLATE(A45, ""en"", ""am"")"),"44")</f>
        <v>44</v>
      </c>
      <c r="H45" s="5" t="str">
        <f>IFERROR(__xludf.DUMMYFUNCTION(" GOOGLETRANSLATE(B45, ""en"", ""am"")"),"‘የዘመናዊ አፋሉላ አባት’ በመባል የሚታወቁት እነማን ናቸው?")</f>
        <v>‘የዘመናዊ አፋሉላ አባት’ በመባል የሚታወቁት እነማን ናቸው?</v>
      </c>
      <c r="I45" s="5" t="str">
        <f>IFERROR(__xludf.DUMMYFUNCTION(" GOOGLETRANSLATE(C45, ""en"", ""am"")"),"አ. ጆን ዶ ቢ. ቶሚ ቦየር ሲ. ጄምስ ካርተር ዲ. ማርክ ዛንደር")</f>
        <v>አ. ጆን ዶ ቢ. ቶሚ ቦየር ሲ. ጄምስ ካርተር ዲ. ማርክ ዛንደር</v>
      </c>
      <c r="J45" s="5" t="str">
        <f>IFERROR(__xludf.DUMMYFUNCTION(" GOOGLETRANSLATE(D45, ""en"", ""am"")"),"ማርክ ዛንደር")</f>
        <v>ማርክ ዛንደር</v>
      </c>
      <c r="K45" s="5" t="str">
        <f>IFERROR(__xludf.DUMMYFUNCTION(" GOOGLETRANSLATE(E45, ""en"", ""am"")"),"ማርክ ዛንደር በዘመናዊው የአፋላ ቅርፅ ላይ ለውጥ አድርጓል።")</f>
        <v>ማርክ ዛንደር በዘመናዊው የአፋላ ቅርፅ ላይ ለውጥ አድርጓል።</v>
      </c>
    </row>
    <row r="46" ht="22.5" customHeight="1">
      <c r="A46" s="3">
        <v>45.0</v>
      </c>
      <c r="B46" s="4" t="s">
        <v>2092</v>
      </c>
      <c r="C46" s="4" t="s">
        <v>2093</v>
      </c>
      <c r="D46" s="4" t="s">
        <v>2094</v>
      </c>
      <c r="E46" s="4" t="s">
        <v>2095</v>
      </c>
      <c r="G46" s="5" t="str">
        <f>IFERROR(__xludf.DUMMYFUNCTION(" GOOGLETRANSLATE(A46, ""en"", ""am"")"),"45")</f>
        <v>45</v>
      </c>
      <c r="H46" s="5" t="str">
        <f>IFERROR(__xludf.DUMMYFUNCTION(" GOOGLETRANSLATE(B46, ""en"", ""am"")"),"አፋልላ የመጣው ከየት ሀገር ነው?")</f>
        <v>አፋልላ የመጣው ከየት ሀገር ነው?</v>
      </c>
      <c r="I46" s="5" t="str">
        <f>IFERROR(__xludf.DUMMYFUNCTION(" GOOGLETRANSLATE(C46, ""en"", ""am"")"),"አ. ፍራንስ ቢ. ብራዚል ሲ. ጀርመን ዲ. ፈረንሳይ")</f>
        <v>አ. ፍራንስ ቢ. ብራዚል ሲ. ጀርመን ዲ. ፈረንሳይ</v>
      </c>
      <c r="J46" s="5" t="str">
        <f>IFERROR(__xludf.DUMMYFUNCTION(" GOOGLETRANSLATE(D46, ""en"", ""am"")"),"ፈረንሳይ")</f>
        <v>ፈረንሳይ</v>
      </c>
      <c r="K46" s="5" t="str">
        <f>IFERROR(__xludf.DUMMYFUNCTION(" GOOGLETRANSLATE(E46, ""en"", ""am"")"),"አፎላዴ በ 20 ኛው ክፍለ ዘመን መጀመሪያ ላይ በፈረንሳይ ተፈጠረ።")</f>
        <v>አፎላዴ በ 20 ኛው ክፍለ ዘመን መጀመሪያ ላይ በፈረንሳይ ተፈጠረ።</v>
      </c>
    </row>
    <row r="47" ht="22.5" customHeight="1">
      <c r="A47" s="3">
        <v>46.0</v>
      </c>
      <c r="B47" s="4" t="s">
        <v>2096</v>
      </c>
      <c r="C47" s="4" t="s">
        <v>2097</v>
      </c>
      <c r="D47" s="4" t="s">
        <v>876</v>
      </c>
      <c r="E47" s="4" t="s">
        <v>876</v>
      </c>
      <c r="G47" s="5" t="str">
        <f>IFERROR(__xludf.DUMMYFUNCTION(" GOOGLETRANSLATE(A47, ""en"", ""am"")"),"46")</f>
        <v>46</v>
      </c>
      <c r="H47" s="5" t="str">
        <f>IFERROR(__xludf.DUMMYFUNCTION(" GOOGLETRANSLATE(B47, ""en"", ""am"")"),"የመጀመሪያው የአፉላ ዋንጫ የተካሄደው ስንት አመት ነበር?")</f>
        <v>የመጀመሪያው የአፉላ ዋንጫ የተካሄደው ስንት አመት ነበር?</v>
      </c>
      <c r="I47" s="5" t="str">
        <f>IFERROR(__xludf.DUMMYFUNCTION(" GOOGLETRANSLATE(C47, ""en"", ""am"")"),"ኣብ 1990 ብ1995 ዓ.ም.2000 ድ.1990 ዓ.ም.")</f>
        <v>ኣብ 1990 ብ1995 ዓ.ም.2000 ድ.1990 ዓ.ም.</v>
      </c>
      <c r="J47" s="5" t="str">
        <f>IFERROR(__xludf.DUMMYFUNCTION(" GOOGLETRANSLATE(D47, ""en"", ""am"")"),"በ1990 ዓ.ም")</f>
        <v>በ1990 ዓ.ም</v>
      </c>
      <c r="K47" s="5" t="str">
        <f>IFERROR(__xludf.DUMMYFUNCTION(" GOOGLETRANSLATE(E47, ""en"", ""am"")"),"በ1990 ዓ.ም")</f>
        <v>በ1990 ዓ.ም</v>
      </c>
    </row>
    <row r="48" ht="22.5" customHeight="1">
      <c r="A48" s="3">
        <v>47.0</v>
      </c>
      <c r="B48" s="4" t="s">
        <v>2098</v>
      </c>
      <c r="C48" s="4" t="s">
        <v>2099</v>
      </c>
      <c r="D48" s="4" t="s">
        <v>2100</v>
      </c>
      <c r="E48" s="4" t="s">
        <v>2101</v>
      </c>
      <c r="G48" s="5" t="str">
        <f>IFERROR(__xludf.DUMMYFUNCTION(" GOOGLETRANSLATE(A48, ""en"", ""am"")"),"47")</f>
        <v>47</v>
      </c>
      <c r="H48" s="5" t="str">
        <f>IFERROR(__xludf.DUMMYFUNCTION(" GOOGLETRANSLATE(B48, ""en"", ""am"")"),"ብዙ የእግር ኳስ ውድድሮችን የሚያስተናግደው የትኛው አህጉር ነው?")</f>
        <v>ብዙ የእግር ኳስ ውድድሮችን የሚያስተናግደው የትኛው አህጉር ነው?</v>
      </c>
      <c r="I48" s="5" t="str">
        <f>IFERROR(__xludf.DUMMYFUNCTION(" GOOGLETRANSLATE(C48, ""en"", ""am"")"),"ኤ እስያ ለ ሰሜን አሜሪካ ሐ. አፍሪካ ዲ. አውሮፓ")</f>
        <v>ኤ እስያ ለ ሰሜን አሜሪካ ሐ. አፍሪካ ዲ. አውሮፓ</v>
      </c>
      <c r="J48" s="5" t="str">
        <f>IFERROR(__xludf.DUMMYFUNCTION(" GOOGLETRANSLATE(D48, ""en"", ""am"")"),"አውሮፓ")</f>
        <v>አውሮፓ</v>
      </c>
      <c r="K48" s="5" t="str">
        <f>IFERROR(__xludf.DUMMYFUNCTION(" GOOGLETRANSLATE(E48, ""en"", ""am"")"),"አውሮፓ በየዓመቱ በርካታ ቁጥር ያላቸው የአፎላ ውድድሮች መገኛ ነች።")</f>
        <v>አውሮፓ በየዓመቱ በርካታ ቁጥር ያላቸው የአፎላ ውድድሮች መገኛ ነች።</v>
      </c>
    </row>
    <row r="49" ht="22.5" customHeight="1">
      <c r="A49" s="3">
        <v>48.0</v>
      </c>
      <c r="B49" s="4" t="s">
        <v>2102</v>
      </c>
      <c r="C49" s="4" t="s">
        <v>2103</v>
      </c>
      <c r="D49" s="4" t="s">
        <v>1945</v>
      </c>
      <c r="E49" s="4" t="s">
        <v>2104</v>
      </c>
      <c r="G49" s="5" t="str">
        <f>IFERROR(__xludf.DUMMYFUNCTION(" GOOGLETRANSLATE(A49, ""en"", ""am"")"),"48")</f>
        <v>48</v>
      </c>
      <c r="H49" s="5" t="str">
        <f>IFERROR(__xludf.DUMMYFUNCTION(" GOOGLETRANSLATE(B49, ""en"", ""am"")"),"በአንድ አፋሉላ ጨዋታ ከ100 ነጥብ በላይ ያስመዘገበ የመጀመሪያው ተጫዋች ማን ነበር?")</f>
        <v>በአንድ አፋሉላ ጨዋታ ከ100 ነጥብ በላይ ያስመዘገበ የመጀመሪያው ተጫዋች ማን ነበር?</v>
      </c>
      <c r="I49" s="5" t="str">
        <f>IFERROR(__xludf.DUMMYFUNCTION(" GOOGLETRANSLATE(C49, ""en"", ""am"")"),"ሀ. ቶሚ ቦየር ቢ. ማርክ ዛንደር ሲ. ጆን ዶ ዲ ማርክ ዛንደር")</f>
        <v>ሀ. ቶሚ ቦየር ቢ. ማርክ ዛንደር ሲ. ጆን ዶ ዲ ማርክ ዛንደር</v>
      </c>
      <c r="J49" s="5" t="str">
        <f>IFERROR(__xludf.DUMMYFUNCTION(" GOOGLETRANSLATE(D49, ""en"", ""am"")"),"ማርክ ዛንደር")</f>
        <v>ማርክ ዛንደር</v>
      </c>
      <c r="K49" s="5" t="str">
        <f>IFERROR(__xludf.DUMMYFUNCTION(" GOOGLETRANSLATE(E49, ""en"", ""am"")"),"ማርክ ዛንደር በአንድ ጨዋታ ከ100 ነጥብ በላይ በማስቆጠር የመጀመሪያው ተጫዋች ሆኗል።")</f>
        <v>ማርክ ዛንደር በአንድ ጨዋታ ከ100 ነጥብ በላይ በማስቆጠር የመጀመሪያው ተጫዋች ሆኗል።</v>
      </c>
    </row>
    <row r="50" ht="22.5" customHeight="1">
      <c r="A50" s="3">
        <v>49.0</v>
      </c>
      <c r="B50" s="4" t="s">
        <v>2105</v>
      </c>
      <c r="C50" s="4" t="s">
        <v>2106</v>
      </c>
      <c r="D50" s="4" t="s">
        <v>2107</v>
      </c>
      <c r="E50" s="4" t="s">
        <v>2108</v>
      </c>
      <c r="G50" s="5" t="str">
        <f>IFERROR(__xludf.DUMMYFUNCTION(" GOOGLETRANSLATE(A50, ""en"", ""am"")"),"49")</f>
        <v>49</v>
      </c>
      <c r="H50" s="5" t="str">
        <f>IFERROR(__xludf.DUMMYFUNCTION(" GOOGLETRANSLATE(B50, ""en"", ""am"")"),"በአፉላ ግጥሚያ ውስጥ ዋናው ዓላማው ምንድን ነው?")</f>
        <v>በአፉላ ግጥሚያ ውስጥ ዋናው ዓላማው ምንድን ነው?</v>
      </c>
      <c r="I50" s="5" t="str">
        <f>IFERROR(__xludf.DUMMYFUNCTION(" GOOGLETRANSLATE(C50, ""en"", ""am"")"),"ሀ. ተቃዋሚውን ያስወግዱ. ለ. በሰዓቱ ይድረሱ። ሐ. የተወሰኑ ዙሮች ብዛት ይሙሉ D. ከፍተኛውን ነጥብ ያስመዝግቡ")</f>
        <v>ሀ. ተቃዋሚውን ያስወግዱ. ለ. በሰዓቱ ይድረሱ። ሐ. የተወሰኑ ዙሮች ብዛት ይሙሉ D. ከፍተኛውን ነጥብ ያስመዝግቡ</v>
      </c>
      <c r="J50" s="5" t="str">
        <f>IFERROR(__xludf.DUMMYFUNCTION(" GOOGLETRANSLATE(D50, ""en"", ""am"")"),"ከፍተኛውን ነጥብ ያስመዝግቡ")</f>
        <v>ከፍተኛውን ነጥብ ያስመዝግቡ</v>
      </c>
      <c r="K50" s="5" t="str">
        <f>IFERROR(__xludf.DUMMYFUNCTION(" GOOGLETRANSLATE(E50, ""en"", ""am"")"),"በአፉላ ዋናው ግብ በጨዋታው መጨረሻ ላይ ከተጋጣሚዎ የበለጠ ነጥቦችን ማግኘት ነው።")</f>
        <v>በአፉላ ዋናው ግብ በጨዋታው መጨረሻ ላይ ከተጋጣሚዎ የበለጠ ነጥቦችን ማግኘት ነው።</v>
      </c>
    </row>
    <row r="51" ht="22.5" customHeight="1">
      <c r="A51" s="3">
        <v>50.0</v>
      </c>
      <c r="B51" s="4" t="s">
        <v>2109</v>
      </c>
      <c r="C51" s="4" t="s">
        <v>2110</v>
      </c>
      <c r="D51" s="4" t="s">
        <v>1987</v>
      </c>
      <c r="E51" s="4" t="s">
        <v>2111</v>
      </c>
      <c r="G51" s="5" t="str">
        <f>IFERROR(__xludf.DUMMYFUNCTION(" GOOGLETRANSLATE(A51, ""en"", ""am"")"),"50")</f>
        <v>50</v>
      </c>
      <c r="H51" s="5" t="str">
        <f>IFERROR(__xludf.DUMMYFUNCTION(" GOOGLETRANSLATE(B51, ""en"", ""am"")"),"በጣም ፈጣን በሆነው የአፉላ ግጥሚያ ሪከርድ የያዘው ተጫዋች የትኛው ነው?")</f>
        <v>በጣም ፈጣን በሆነው የአፉላ ግጥሚያ ሪከርድ የያዘው ተጫዋች የትኛው ነው?</v>
      </c>
      <c r="I51" s="5" t="str">
        <f>IFERROR(__xludf.DUMMYFUNCTION(" GOOGLETRANSLATE(C51, ""en"", ""am"")"),"አ. ጆን ዶ ቢ ኤሚሊ ሮዝ ሲ ሳራ አሊ ዲ. ቶሚ ቦየር")</f>
        <v>አ. ጆን ዶ ቢ ኤሚሊ ሮዝ ሲ ሳራ አሊ ዲ. ቶሚ ቦየር</v>
      </c>
      <c r="J51" s="5" t="str">
        <f>IFERROR(__xludf.DUMMYFUNCTION(" GOOGLETRANSLATE(D51, ""en"", ""am"")"),"ቶሚ ቦየር")</f>
        <v>ቶሚ ቦየር</v>
      </c>
      <c r="K51" s="5" t="str">
        <f>IFERROR(__xludf.DUMMYFUNCTION(" GOOGLETRANSLATE(E51, ""en"", ""am"")"),"ቶሚ ቦየር እ.ኤ.አ. በ2001 ፈጣን በሆነው የአፋላ ግጥሚያ ሪከርድ አስመዝግቧል።")</f>
        <v>ቶሚ ቦየር እ.ኤ.አ. በ2001 ፈጣን በሆነው የአፋላ ግጥሚያ ሪከርድ አስመዝግቧል።</v>
      </c>
    </row>
    <row r="52" ht="22.5" customHeight="1">
      <c r="A52" s="3">
        <v>51.0</v>
      </c>
      <c r="B52" s="4" t="s">
        <v>2112</v>
      </c>
      <c r="C52" s="4" t="s">
        <v>2113</v>
      </c>
      <c r="D52" s="4" t="s">
        <v>2043</v>
      </c>
      <c r="E52" s="4" t="s">
        <v>2114</v>
      </c>
      <c r="G52" s="5" t="str">
        <f>IFERROR(__xludf.DUMMYFUNCTION(" GOOGLETRANSLATE(A52, ""en"", ""am"")"),"51")</f>
        <v>51</v>
      </c>
      <c r="H52" s="5" t="str">
        <f>IFERROR(__xludf.DUMMYFUNCTION(" GOOGLETRANSLATE(B52, ""en"", ""am"")"),"በአፉላ ስፖርት የዓለም ሻምፒዮናዎችን በማፍራት የሚታወቀው የትኛው ሀገር ነው?")</f>
        <v>በአፉላ ስፖርት የዓለም ሻምፒዮናዎችን በማፍራት የሚታወቀው የትኛው ሀገር ነው?</v>
      </c>
      <c r="I52" s="5" t="str">
        <f>IFERROR(__xludf.DUMMYFUNCTION(" GOOGLETRANSLATE(C52, ""en"", ""am"")"),"ኣብ ፈረንሳ ብ ጣልያን ሲ አውስትራሊያ ዲ.ዩናይትድ ስቴትስ")</f>
        <v>ኣብ ፈረንሳ ብ ጣልያን ሲ አውስትራሊያ ዲ.ዩናይትድ ስቴትስ</v>
      </c>
      <c r="J52" s="5" t="str">
        <f>IFERROR(__xludf.DUMMYFUNCTION(" GOOGLETRANSLATE(D52, ""en"", ""am"")"),"ዩናይትድ ስቴተት")</f>
        <v>ዩናይትድ ስቴተት</v>
      </c>
      <c r="K52" s="5" t="str">
        <f>IFERROR(__xludf.DUMMYFUNCTION(" GOOGLETRANSLATE(E52, ""en"", ""am"")"),"ዩናይትድ ስቴትስ እስካሁን ከፍተኛውን የአፉላ የዓለም ሻምፒዮና አፍርታለች።")</f>
        <v>ዩናይትድ ስቴትስ እስካሁን ከፍተኛውን የአፉላ የዓለም ሻምፒዮና አፍርታለች።</v>
      </c>
    </row>
    <row r="53" ht="22.5" customHeight="1">
      <c r="A53" s="3">
        <v>52.0</v>
      </c>
      <c r="B53" s="4" t="s">
        <v>2115</v>
      </c>
      <c r="C53" s="4" t="s">
        <v>2116</v>
      </c>
      <c r="D53" s="4" t="s">
        <v>2117</v>
      </c>
      <c r="E53" s="4" t="s">
        <v>2118</v>
      </c>
      <c r="G53" s="5" t="str">
        <f>IFERROR(__xludf.DUMMYFUNCTION(" GOOGLETRANSLATE(A53, ""en"", ""am"")"),"52")</f>
        <v>52</v>
      </c>
      <c r="H53" s="5" t="str">
        <f>IFERROR(__xludf.DUMMYFUNCTION(" GOOGLETRANSLATE(B53, ""en"", ""am"")"),"እ.ኤ.አ. የ1994 አፋሉላ የአለም ሻምፒዮናውን የዘገየው የትኛው ትልቅ ክስተት ነው?")</f>
        <v>እ.ኤ.አ. የ1994 አፋሉላ የአለም ሻምፒዮናውን የዘገየው የትኛው ትልቅ ክስተት ነው?</v>
      </c>
      <c r="I53" s="5" t="str">
        <f>IFERROR(__xludf.DUMMYFUNCTION(" GOOGLETRANSLATE(C53, ""en"", ""am"")"),"ሀ. የፖለቲካ አለመረጋጋት ለ. ማዕበል ሐ. ዓለም አቀፍ ወረርሽኝ D. የፖለቲካ አለመረጋጋት")</f>
        <v>ሀ. የፖለቲካ አለመረጋጋት ለ. ማዕበል ሐ. ዓለም አቀፍ ወረርሽኝ D. የፖለቲካ አለመረጋጋት</v>
      </c>
      <c r="J53" s="5" t="str">
        <f>IFERROR(__xludf.DUMMYFUNCTION(" GOOGLETRANSLATE(D53, ""en"", ""am"")"),"የፖለቲካ አለመረጋጋት")</f>
        <v>የፖለቲካ አለመረጋጋት</v>
      </c>
      <c r="K53" s="5" t="str">
        <f>IFERROR(__xludf.DUMMYFUNCTION(" GOOGLETRANSLATE(E53, ""en"", ""am"")"),"የ1994ቱ የአለም ሻምፒዮና በአፋላ በፖለቲካ አለመረጋጋት ዘገየ።")</f>
        <v>የ1994ቱ የአለም ሻምፒዮና በአፋላ በፖለቲካ አለመረጋጋት ዘገየ።</v>
      </c>
    </row>
    <row r="54" ht="22.5" customHeight="1">
      <c r="A54" s="3">
        <v>53.0</v>
      </c>
      <c r="B54" s="4" t="s">
        <v>2119</v>
      </c>
      <c r="C54" s="4" t="s">
        <v>2120</v>
      </c>
      <c r="D54" s="4" t="s">
        <v>2094</v>
      </c>
      <c r="E54" s="4" t="s">
        <v>2121</v>
      </c>
      <c r="G54" s="5" t="str">
        <f>IFERROR(__xludf.DUMMYFUNCTION(" GOOGLETRANSLATE(A54, ""en"", ""am"")"),"53")</f>
        <v>53</v>
      </c>
      <c r="H54" s="5" t="str">
        <f>IFERROR(__xludf.DUMMYFUNCTION(" GOOGLETRANSLATE(B54, ""en"", ""am"")"),"የ1997 የወጣቶች እግር ኳስ ሊግ አዘጋጅ የትኛው ሀገር ነበር?")</f>
        <v>የ1997 የወጣቶች እግር ኳስ ሊግ አዘጋጅ የትኛው ሀገር ነበር?</v>
      </c>
      <c r="I54" s="5" t="str">
        <f>IFERROR(__xludf.DUMMYFUNCTION(" GOOGLETRANSLATE(C54, ""en"", ""am"")"),"ሀ ጃፓን ቢ.ጀርመን ሲ ዩናይትድ ስቴትስ ዲ ፈረንሳይ")</f>
        <v>ሀ ጃፓን ቢ.ጀርመን ሲ ዩናይትድ ስቴትስ ዲ ፈረንሳይ</v>
      </c>
      <c r="J54" s="5" t="str">
        <f>IFERROR(__xludf.DUMMYFUNCTION(" GOOGLETRANSLATE(D54, ""en"", ""am"")"),"ፈረንሳይ")</f>
        <v>ፈረንሳይ</v>
      </c>
      <c r="K54" s="5" t="str">
        <f>IFERROR(__xludf.DUMMYFUNCTION(" GOOGLETRANSLATE(E54, ""en"", ""am"")"),"ፈረንሳይ ወጣት ተሰጥኦን ለማዳበር በ1997 የወጣቶች አፋላ ሊግ አስተዋወቀ።")</f>
        <v>ፈረንሳይ ወጣት ተሰጥኦን ለማዳበር በ1997 የወጣቶች አፋላ ሊግ አስተዋወቀ።</v>
      </c>
    </row>
    <row r="55" ht="22.5" customHeight="1">
      <c r="A55" s="3">
        <v>54.0</v>
      </c>
      <c r="B55" s="4" t="s">
        <v>2122</v>
      </c>
      <c r="C55" s="4" t="s">
        <v>2123</v>
      </c>
      <c r="D55" s="4" t="s">
        <v>2124</v>
      </c>
      <c r="E55" s="4" t="s">
        <v>2125</v>
      </c>
      <c r="G55" s="5" t="str">
        <f>IFERROR(__xludf.DUMMYFUNCTION(" GOOGLETRANSLATE(A55, ""en"", ""am"")"),"54")</f>
        <v>54</v>
      </c>
      <c r="H55" s="5" t="str">
        <f>IFERROR(__xludf.DUMMYFUNCTION(" GOOGLETRANSLATE(B55, ""en"", ""am"")"),"የአፉላ የሥልጠና ፕሮግራም ለጀማሪዎች ምን ይባላል?")</f>
        <v>የአፉላ የሥልጠና ፕሮግራም ለጀማሪዎች ምን ይባላል?</v>
      </c>
      <c r="I55" s="5" t="str">
        <f>IFERROR(__xludf.DUMMYFUNCTION(" GOOGLETRANSLATE(C55, ""en"", ""am"")"),"A. Rising Stars Program B. የሻምፒዮኑ መንገድ ሐ. ወደ ክብር የሚወስደው መንገድ ዲ. አፋላ አካዳሚ")</f>
        <v>A. Rising Stars Program B. የሻምፒዮኑ መንገድ ሐ. ወደ ክብር የሚወስደው መንገድ ዲ. አፋላ አካዳሚ</v>
      </c>
      <c r="J55" s="5" t="str">
        <f>IFERROR(__xludf.DUMMYFUNCTION(" GOOGLETRANSLATE(D55, ""en"", ""am"")"),"አፋላ አካዳሚ")</f>
        <v>አፋላ አካዳሚ</v>
      </c>
      <c r="K55" s="5" t="str">
        <f>IFERROR(__xludf.DUMMYFUNCTION(" GOOGLETRANSLATE(E55, ""en"", ""am"")"),"አፋላ አካዳሚ ለአዲስ ተጫዋቾች ይፋዊ የሥልጠና ፕሮግራም ነው።")</f>
        <v>አፋላ አካዳሚ ለአዲስ ተጫዋቾች ይፋዊ የሥልጠና ፕሮግራም ነው።</v>
      </c>
    </row>
    <row r="56" ht="22.5" customHeight="1">
      <c r="A56" s="3">
        <v>55.0</v>
      </c>
      <c r="B56" s="4" t="s">
        <v>2126</v>
      </c>
      <c r="C56" s="4" t="s">
        <v>2127</v>
      </c>
      <c r="D56" s="4" t="s">
        <v>724</v>
      </c>
      <c r="E56" s="4" t="s">
        <v>724</v>
      </c>
      <c r="G56" s="5" t="str">
        <f>IFERROR(__xludf.DUMMYFUNCTION(" GOOGLETRANSLATE(A56, ""en"", ""am"")"),"55")</f>
        <v>55</v>
      </c>
      <c r="H56" s="5" t="str">
        <f>IFERROR(__xludf.DUMMYFUNCTION(" GOOGLETRANSLATE(B56, ""en"", ""am"")"),"አፉላ በየትኛው አመት የሴቶች የአለም ሻምፒዮና አስተዋወቀች?")</f>
        <v>አፉላ በየትኛው አመት የሴቶች የአለም ሻምፒዮና አስተዋወቀች?</v>
      </c>
      <c r="I56" s="5" t="str">
        <f>IFERROR(__xludf.DUMMYFUNCTION(" GOOGLETRANSLATE(C56, ""en"", ""am"")"),"እ.ኤ.አ. 1995 ዓ.ም. 2000 ዓ.ም. 2005 ዲ. 2000 እ.ኤ.አ.")</f>
        <v>እ.ኤ.አ. 1995 ዓ.ም. 2000 ዓ.ም. 2005 ዲ. 2000 እ.ኤ.አ.</v>
      </c>
      <c r="J56" s="5" t="str">
        <f>IFERROR(__xludf.DUMMYFUNCTION(" GOOGLETRANSLATE(D56, ""en"", ""am"")"),"2000")</f>
        <v>2000</v>
      </c>
      <c r="K56" s="5" t="str">
        <f>IFERROR(__xludf.DUMMYFUNCTION(" GOOGLETRANSLATE(E56, ""en"", ""am"")"),"2000")</f>
        <v>2000</v>
      </c>
    </row>
    <row r="57" ht="22.5" customHeight="1">
      <c r="A57" s="3">
        <v>56.0</v>
      </c>
      <c r="B57" s="4" t="s">
        <v>2128</v>
      </c>
      <c r="C57" s="4" t="s">
        <v>2129</v>
      </c>
      <c r="D57" s="4" t="s">
        <v>1987</v>
      </c>
      <c r="E57" s="4" t="s">
        <v>2130</v>
      </c>
      <c r="G57" s="5" t="str">
        <f>IFERROR(__xludf.DUMMYFUNCTION(" GOOGLETRANSLATE(A57, ""en"", ""am"")"),"56")</f>
        <v>56</v>
      </c>
      <c r="H57" s="5" t="str">
        <f>IFERROR(__xludf.DUMMYFUNCTION(" GOOGLETRANSLATE(B57, ""en"", ""am"")"),"በአፉላ ተከታታይ ድሎች ሪከርድ ያለው ማን ነው?")</f>
        <v>በአፉላ ተከታታይ ድሎች ሪከርድ ያለው ማን ነው?</v>
      </c>
      <c r="I57" s="5" t="str">
        <f>IFERROR(__xludf.DUMMYFUNCTION(" GOOGLETRANSLATE(C57, ""en"", ""am"")"),"ሀ. ቶሚ ቦየር ቢ. ማርክ ዛንደር ሲ. ጆን ዶ ዲ. ቶሚ ቦየር")</f>
        <v>ሀ. ቶሚ ቦየር ቢ. ማርክ ዛንደር ሲ. ጆን ዶ ዲ. ቶሚ ቦየር</v>
      </c>
      <c r="J57" s="5" t="str">
        <f>IFERROR(__xludf.DUMMYFUNCTION(" GOOGLETRANSLATE(D57, ""en"", ""am"")"),"ቶሚ ቦየር")</f>
        <v>ቶሚ ቦየር</v>
      </c>
      <c r="K57" s="5" t="str">
        <f>IFERROR(__xludf.DUMMYFUNCTION(" GOOGLETRANSLATE(E57, ""en"", ""am"")"),"ቶሚ ቦየር በተከታታይ የአፉላ ድሎች ሪከርዱን ይይዛል።")</f>
        <v>ቶሚ ቦየር በተከታታይ የአፉላ ድሎች ሪከርዱን ይይዛል።</v>
      </c>
    </row>
    <row r="58" ht="22.5" customHeight="1">
      <c r="A58" s="3">
        <v>57.0</v>
      </c>
      <c r="B58" s="4" t="s">
        <v>2131</v>
      </c>
      <c r="C58" s="4" t="s">
        <v>2132</v>
      </c>
      <c r="D58" s="4" t="s">
        <v>1505</v>
      </c>
      <c r="E58" s="4" t="s">
        <v>1505</v>
      </c>
      <c r="G58" s="5" t="str">
        <f>IFERROR(__xludf.DUMMYFUNCTION(" GOOGLETRANSLATE(A58, ""en"", ""am"")"),"57")</f>
        <v>57</v>
      </c>
      <c r="H58" s="5" t="str">
        <f>IFERROR(__xludf.DUMMYFUNCTION(" GOOGLETRANSLATE(B58, ""en"", ""am"")"),"ከስንት አመት በፊት አፋልላ በውድድሮቹ ላይ ድብልቅ ድብልቆችን ጨመረ?")</f>
        <v>ከስንት አመት በፊት አፋልላ በውድድሮቹ ላይ ድብልቅ ድብልቆችን ጨመረ?</v>
      </c>
      <c r="I58" s="5" t="str">
        <f>IFERROR(__xludf.DUMMYFUNCTION(" GOOGLETRANSLATE(C58, ""en"", ""am"")"),"እ.ኤ.አ. 2005 ዓ.ም. 2010 ዓ.ም. 2015 ዲ. 2010")</f>
        <v>እ.ኤ.አ. 2005 ዓ.ም. 2010 ዓ.ም. 2015 ዲ. 2010</v>
      </c>
      <c r="J58" s="5" t="str">
        <f>IFERROR(__xludf.DUMMYFUNCTION(" GOOGLETRANSLATE(D58, ""en"", ""am"")"),"2010")</f>
        <v>2010</v>
      </c>
      <c r="K58" s="5" t="str">
        <f>IFERROR(__xludf.DUMMYFUNCTION(" GOOGLETRANSLATE(E58, ""en"", ""am"")"),"2010")</f>
        <v>2010</v>
      </c>
    </row>
    <row r="59" ht="22.5" customHeight="1">
      <c r="A59" s="3">
        <v>58.0</v>
      </c>
      <c r="B59" s="4" t="s">
        <v>2133</v>
      </c>
      <c r="C59" s="4" t="s">
        <v>2134</v>
      </c>
      <c r="D59" s="4" t="s">
        <v>2135</v>
      </c>
      <c r="E59" s="4" t="s">
        <v>2136</v>
      </c>
      <c r="G59" s="5" t="str">
        <f>IFERROR(__xludf.DUMMYFUNCTION(" GOOGLETRANSLATE(A59, ""en"", ""am"")"),"58")</f>
        <v>58</v>
      </c>
      <c r="H59" s="5" t="str">
        <f>IFERROR(__xludf.DUMMYFUNCTION(" GOOGLETRANSLATE(B59, ""en"", ""am"")"),"ይፋዊው አፋሉላ ኳስ ስም ማን ይባላል?")</f>
        <v>ይፋዊው አፋሉላ ኳስ ስም ማን ይባላል?</v>
      </c>
      <c r="I59" s="5" t="str">
        <f>IFERROR(__xludf.DUMMYFUNCTION(" GOOGLETRANSLATE(C59, ""en"", ""am"")"),"ኤ. የሻምፒዮን ኳስ ቢ. ኢሊቲ ቦል ሲ. አፍስፔሬ ዲ. አፋስፔሬ")</f>
        <v>ኤ. የሻምፒዮን ኳስ ቢ. ኢሊቲ ቦል ሲ. አፍስፔሬ ዲ. አፋስፔሬ</v>
      </c>
      <c r="J59" s="5" t="str">
        <f>IFERROR(__xludf.DUMMYFUNCTION(" GOOGLETRANSLATE(D59, ""en"", ""am"")"),"አፋስፔሬ")</f>
        <v>አፋስፔሬ</v>
      </c>
      <c r="K59" s="5" t="str">
        <f>IFERROR(__xludf.DUMMYFUNCTION(" GOOGLETRANSLATE(E59, ""en"", ""am"")"),"ይፋዊው አፋሉላ ኳስ አፋስፔሬ ይባላል።")</f>
        <v>ይፋዊው አፋሉላ ኳስ አፋስፔሬ ይባላል።</v>
      </c>
    </row>
    <row r="60" ht="22.5" customHeight="1">
      <c r="A60" s="3">
        <v>59.0</v>
      </c>
      <c r="B60" s="4" t="s">
        <v>2137</v>
      </c>
      <c r="C60" s="4" t="s">
        <v>2028</v>
      </c>
      <c r="D60" s="4" t="s">
        <v>2029</v>
      </c>
      <c r="E60" s="4" t="s">
        <v>2138</v>
      </c>
      <c r="G60" s="5" t="str">
        <f>IFERROR(__xludf.DUMMYFUNCTION(" GOOGLETRANSLATE(A60, ""en"", ""am"")"),"59")</f>
        <v>59</v>
      </c>
      <c r="H60" s="5" t="str">
        <f>IFERROR(__xludf.DUMMYFUNCTION(" GOOGLETRANSLATE(B60, ""en"", ""am"")"),"የ2008 የአለም እግር ኳስ ዋንጫን ያዘጋጀው ሀገር የትኛው ነው?")</f>
        <v>የ2008 የአለም እግር ኳስ ዋንጫን ያዘጋጀው ሀገር የትኛው ነው?</v>
      </c>
      <c r="I60" s="5" t="str">
        <f>IFERROR(__xludf.DUMMYFUNCTION(" GOOGLETRANSLATE(C60, ""en"", ""am"")"),"ኣብ ጀርመን ብ ጣልያን ሲ ብራዚል ዲ.ጀርመን")</f>
        <v>ኣብ ጀርመን ብ ጣልያን ሲ ብራዚል ዲ.ጀርመን</v>
      </c>
      <c r="J60" s="5" t="str">
        <f>IFERROR(__xludf.DUMMYFUNCTION(" GOOGLETRANSLATE(D60, ""en"", ""am"")"),"ጀርመን")</f>
        <v>ጀርመን</v>
      </c>
      <c r="K60" s="5" t="str">
        <f>IFERROR(__xludf.DUMMYFUNCTION(" GOOGLETRANSLATE(E60, ""en"", ""am"")"),"ጀርመን በ2008 አፉላ የዓለም ሻምፒዮና አዘጋጅታለች።")</f>
        <v>ጀርመን በ2008 አፉላ የዓለም ሻምፒዮና አዘጋጅታለች።</v>
      </c>
    </row>
    <row r="61" ht="22.5" customHeight="1">
      <c r="A61" s="3">
        <v>60.0</v>
      </c>
      <c r="B61" s="4" t="s">
        <v>2139</v>
      </c>
      <c r="C61" s="4" t="s">
        <v>2140</v>
      </c>
      <c r="D61" s="4" t="s">
        <v>2141</v>
      </c>
      <c r="E61" s="4" t="s">
        <v>2142</v>
      </c>
      <c r="G61" s="5" t="str">
        <f>IFERROR(__xludf.DUMMYFUNCTION(" GOOGLETRANSLATE(A61, ""en"", ""am"")"),"60")</f>
        <v>60</v>
      </c>
      <c r="H61" s="5" t="str">
        <f>IFERROR(__xludf.DUMMYFUNCTION(" GOOGLETRANSLATE(B61, ""en"", ""am"")"),"የአፉላ የአለም ሻምፒዮና አሸናፊ የመጀመሪያዋ ሴት አሰልጣኝ ማን ነበረች?")</f>
        <v>የአፉላ የአለም ሻምፒዮና አሸናፊ የመጀመሪያዋ ሴት አሰልጣኝ ማን ነበረች?</v>
      </c>
      <c r="I61" s="5" t="str">
        <f>IFERROR(__xludf.DUMMYFUNCTION(" GOOGLETRANSLATE(C61, ""en"", ""am"")"),"ሀ.ሳራ አሊ ቢ.ሞኒካ ጆንሰን ሲ.ጄሲካ ብላክ ዲ.ኤሚሊ ሮዝ")</f>
        <v>ሀ.ሳራ አሊ ቢ.ሞኒካ ጆንሰን ሲ.ጄሲካ ብላክ ዲ.ኤሚሊ ሮዝ</v>
      </c>
      <c r="J61" s="5" t="str">
        <f>IFERROR(__xludf.DUMMYFUNCTION(" GOOGLETRANSLATE(D61, ""en"", ""am"")"),"ኤሚሊ ሮዝ")</f>
        <v>ኤሚሊ ሮዝ</v>
      </c>
      <c r="K61" s="5" t="str">
        <f>IFERROR(__xludf.DUMMYFUNCTION(" GOOGLETRANSLATE(E61, ""en"", ""am"")"),"ኤሚሊ ሮዝ በአፉላ የዓለም ሻምፒዮና አሸናፊ የመጀመሪያዋ ሴት አሰልጣኝ ነበረች።")</f>
        <v>ኤሚሊ ሮዝ በአፉላ የዓለም ሻምፒዮና አሸናፊ የመጀመሪያዋ ሴት አሰልጣኝ ነበረች።</v>
      </c>
    </row>
    <row r="62" ht="22.5" customHeight="1">
      <c r="A62" s="3">
        <v>61.0</v>
      </c>
      <c r="B62" s="4" t="s">
        <v>2143</v>
      </c>
      <c r="C62" s="4" t="s">
        <v>2144</v>
      </c>
      <c r="D62" s="4" t="s">
        <v>1945</v>
      </c>
      <c r="E62" s="4" t="s">
        <v>2145</v>
      </c>
      <c r="G62" s="5" t="str">
        <f>IFERROR(__xludf.DUMMYFUNCTION(" GOOGLETRANSLATE(A62, ""en"", ""am"")"),"61")</f>
        <v>61</v>
      </c>
      <c r="H62" s="5" t="str">
        <f>IFERROR(__xludf.DUMMYFUNCTION(" GOOGLETRANSLATE(B62, ""en"", ""am"")"),"የትኛው አንጋፋ አፋላ ከጡረታ በሁዋላ አሰልጣኝ ሆነ?")</f>
        <v>የትኛው አንጋፋ አፋላ ከጡረታ በሁዋላ አሰልጣኝ ሆነ?</v>
      </c>
      <c r="I62" s="5" t="str">
        <f>IFERROR(__xludf.DUMMYFUNCTION(" GOOGLETRANSLATE(C62, ""en"", ""am"")"),"ሀ. ጆን ዶ ቢ. ሳራ አሊ ሲ. ማርክ ዛንደር ዲ. ማርክ ዛንደር")</f>
        <v>ሀ. ጆን ዶ ቢ. ሳራ አሊ ሲ. ማርክ ዛንደር ዲ. ማርክ ዛንደር</v>
      </c>
      <c r="J62" s="5" t="str">
        <f>IFERROR(__xludf.DUMMYFUNCTION(" GOOGLETRANSLATE(D62, ""en"", ""am"")"),"ማርክ ዛንደር")</f>
        <v>ማርክ ዛንደር</v>
      </c>
      <c r="K62" s="5" t="str">
        <f>IFERROR(__xludf.DUMMYFUNCTION(" GOOGLETRANSLATE(E62, ""en"", ""am"")"),"ማርክ ዛንደር ከውድድሩ ራሱን ካገለለ በኋላ አፋሉላ አሰልጣኝ ሆነ።")</f>
        <v>ማርክ ዛንደር ከውድድሩ ራሱን ካገለለ በኋላ አፋሉላ አሰልጣኝ ሆነ።</v>
      </c>
    </row>
    <row r="63" ht="22.5" customHeight="1">
      <c r="A63" s="3">
        <v>62.0</v>
      </c>
      <c r="B63" s="4" t="s">
        <v>2146</v>
      </c>
      <c r="C63" s="4" t="s">
        <v>2147</v>
      </c>
      <c r="D63" s="4" t="s">
        <v>2148</v>
      </c>
      <c r="E63" s="4" t="s">
        <v>2149</v>
      </c>
      <c r="G63" s="5" t="str">
        <f>IFERROR(__xludf.DUMMYFUNCTION(" GOOGLETRANSLATE(A63, ""en"", ""am"")"),"62")</f>
        <v>62</v>
      </c>
      <c r="H63" s="5" t="str">
        <f>IFERROR(__xludf.DUMMYFUNCTION(" GOOGLETRANSLATE(B63, ""en"", ""am"")"),"ለአፉላ ግጥሚያ የሚፈቀደው ከፍተኛው ጊዜ ስንት ነው?")</f>
        <v>ለአፉላ ግጥሚያ የሚፈቀደው ከፍተኛው ጊዜ ስንት ነው?</v>
      </c>
      <c r="I63" s="5" t="str">
        <f>IFERROR(__xludf.DUMMYFUNCTION(" GOOGLETRANSLATE(C63, ""en"", ""am"")"),"ሀ.30 ደቂቃ ለ.45ደቂቃ ሐ.60ደቂቃ መ.30ደቂቃ")</f>
        <v>ሀ.30 ደቂቃ ለ.45ደቂቃ ሐ.60ደቂቃ መ.30ደቂቃ</v>
      </c>
      <c r="J63" s="5" t="str">
        <f>IFERROR(__xludf.DUMMYFUNCTION(" GOOGLETRANSLATE(D63, ""en"", ""am"")"),"30 ደቂቃዎች")</f>
        <v>30 ደቂቃዎች</v>
      </c>
      <c r="K63" s="5" t="str">
        <f>IFERROR(__xludf.DUMMYFUNCTION(" GOOGLETRANSLATE(E63, ""en"", ""am"")"),"ለአፋላ ግጥሚያ የሚፈቀደው ከፍተኛው ጊዜ 30 ደቂቃ ነው።")</f>
        <v>ለአፋላ ግጥሚያ የሚፈቀደው ከፍተኛው ጊዜ 30 ደቂቃ ነው።</v>
      </c>
    </row>
    <row r="64" ht="22.5" customHeight="1">
      <c r="A64" s="3">
        <v>63.0</v>
      </c>
      <c r="B64" s="4" t="s">
        <v>2150</v>
      </c>
      <c r="C64" s="4" t="s">
        <v>2151</v>
      </c>
      <c r="D64" s="4" t="s">
        <v>2152</v>
      </c>
      <c r="E64" s="4" t="s">
        <v>2153</v>
      </c>
      <c r="G64" s="5" t="str">
        <f>IFERROR(__xludf.DUMMYFUNCTION(" GOOGLETRANSLATE(A64, ""en"", ""am"")"),"63")</f>
        <v>63</v>
      </c>
      <c r="H64" s="5" t="str">
        <f>IFERROR(__xludf.DUMMYFUNCTION(" GOOGLETRANSLATE(B64, ""en"", ""am"")"),"የአፉላን አለም አቀፍ ህጎች የሚመራው የትኛው ድርጅት ነው?")</f>
        <v>የአፉላን አለም አቀፍ ህጎች የሚመራው የትኛው ድርጅት ነው?</v>
      </c>
      <c r="I64" s="5" t="str">
        <f>IFERROR(__xludf.DUMMYFUNCTION(" GOOGLETRANSLATE(C64, ""en"", ""am"")"),"ሀ. የአለም አፍሪካውያን ምክር ቤት ለ. ግሎባል አፋላ ፌሎውሺፕ ሲ. አፋላ ኢንተርናሽናል ማህበር ዲ ኢንተርናሽናል አፋላ ፌዴሬሽን")</f>
        <v>ሀ. የአለም አፍሪካውያን ምክር ቤት ለ. ግሎባል አፋላ ፌሎውሺፕ ሲ. አፋላ ኢንተርናሽናል ማህበር ዲ ኢንተርናሽናል አፋላ ፌዴሬሽን</v>
      </c>
      <c r="J64" s="5" t="str">
        <f>IFERROR(__xludf.DUMMYFUNCTION(" GOOGLETRANSLATE(D64, ""en"", ""am"")"),"ዓለም አቀፍ አፋላ ፌዴሬሽን")</f>
        <v>ዓለም አቀፍ አፋላ ፌዴሬሽን</v>
      </c>
      <c r="K64" s="5" t="str">
        <f>IFERROR(__xludf.DUMMYFUNCTION(" GOOGLETRANSLATE(E64, ""en"", ""am"")"),"የአለም አቀፉ አፋላ ፌዴሬሽን የአለም አቀፍ የስፖርት ህጎችን ይቆጣጠራል.")</f>
        <v>የአለም አቀፉ አፋላ ፌዴሬሽን የአለም አቀፍ የስፖርት ህጎችን ይቆጣጠራል.</v>
      </c>
    </row>
    <row r="65" ht="22.5" customHeight="1">
      <c r="A65" s="3">
        <v>64.0</v>
      </c>
      <c r="B65" s="4" t="s">
        <v>2154</v>
      </c>
      <c r="C65" s="4" t="s">
        <v>2155</v>
      </c>
      <c r="D65" s="4" t="s">
        <v>1987</v>
      </c>
      <c r="E65" s="4" t="s">
        <v>2156</v>
      </c>
      <c r="G65" s="5" t="str">
        <f>IFERROR(__xludf.DUMMYFUNCTION(" GOOGLETRANSLATE(A65, ""en"", ""am"")"),"64")</f>
        <v>64</v>
      </c>
      <c r="H65" s="5" t="str">
        <f>IFERROR(__xludf.DUMMYFUNCTION(" GOOGLETRANSLATE(B65, ""en"", ""am"")"),"በአፋሉላ ጨዋታ ከ200 ነጥብ በላይ ያስመዘገበ የመጀመሪያው አትሌት ማን ነበር?")</f>
        <v>በአፋሉላ ጨዋታ ከ200 ነጥብ በላይ ያስመዘገበ የመጀመሪያው አትሌት ማን ነበር?</v>
      </c>
      <c r="I65" s="5" t="str">
        <f>IFERROR(__xludf.DUMMYFUNCTION(" GOOGLETRANSLATE(C65, ""en"", ""am"")"),"ኤ ሳራ አሊ ቢ ቶሚ ቦየር ሲ. ጆን ዶ ዲ. ቶሚ ቦየር")</f>
        <v>ኤ ሳራ አሊ ቢ ቶሚ ቦየር ሲ. ጆን ዶ ዲ. ቶሚ ቦየር</v>
      </c>
      <c r="J65" s="5" t="str">
        <f>IFERROR(__xludf.DUMMYFUNCTION(" GOOGLETRANSLATE(D65, ""en"", ""am"")"),"ቶሚ ቦየር")</f>
        <v>ቶሚ ቦየር</v>
      </c>
      <c r="K65" s="5" t="str">
        <f>IFERROR(__xludf.DUMMYFUNCTION(" GOOGLETRANSLATE(E65, ""en"", ""am"")"),"ቶሚ ቦየር በአንድ ግጥሚያ ከ200 ነጥብ በላይ ያስመዘገበ የመጀመሪያው አትሌት ነው።")</f>
        <v>ቶሚ ቦየር በአንድ ግጥሚያ ከ200 ነጥብ በላይ ያስመዘገበ የመጀመሪያው አትሌት ነው።</v>
      </c>
    </row>
    <row r="66" ht="22.5" customHeight="1">
      <c r="A66" s="3">
        <v>65.0</v>
      </c>
      <c r="B66" s="4" t="s">
        <v>2157</v>
      </c>
      <c r="C66" s="4" t="s">
        <v>2158</v>
      </c>
      <c r="D66" s="4" t="s">
        <v>2094</v>
      </c>
      <c r="E66" s="4" t="s">
        <v>2159</v>
      </c>
      <c r="G66" s="5" t="str">
        <f>IFERROR(__xludf.DUMMYFUNCTION(" GOOGLETRANSLATE(A66, ""en"", ""am"")"),"65")</f>
        <v>65</v>
      </c>
      <c r="H66" s="5" t="str">
        <f>IFERROR(__xludf.DUMMYFUNCTION(" GOOGLETRANSLATE(B66, ""en"", ""am"")"),"ለአፉላ ትልቅ ደጋፊ ያለው የትኛው ሀገር ነው?")</f>
        <v>ለአፉላ ትልቅ ደጋፊ ያለው የትኛው ሀገር ነው?</v>
      </c>
      <c r="I66" s="5" t="str">
        <f>IFERROR(__xludf.DUMMYFUNCTION(" GOOGLETRANSLATE(C66, ""en"", ""am"")"),"አ. ፈረንሳይ ቢ. ጀርመን ሲ. ብራዚል ዲ. ፈረንሳይ")</f>
        <v>አ. ፈረንሳይ ቢ. ጀርመን ሲ. ብራዚል ዲ. ፈረንሳይ</v>
      </c>
      <c r="J66" s="5" t="str">
        <f>IFERROR(__xludf.DUMMYFUNCTION(" GOOGLETRANSLATE(D66, ""en"", ""am"")"),"ፈረንሳይ")</f>
        <v>ፈረንሳይ</v>
      </c>
      <c r="K66" s="5" t="str">
        <f>IFERROR(__xludf.DUMMYFUNCTION(" GOOGLETRANSLATE(E66, ""en"", ""am"")"),"ፈረንሳይ በአለም አቀፍ ደረጃ ለአፉላ ትልቁ የደጋፊ መሰረት አላት።")</f>
        <v>ፈረንሳይ በአለም አቀፍ ደረጃ ለአፉላ ትልቁ የደጋፊ መሰረት አላት።</v>
      </c>
    </row>
    <row r="67" ht="22.5" customHeight="1">
      <c r="A67" s="3">
        <v>66.0</v>
      </c>
      <c r="B67" s="4" t="s">
        <v>2160</v>
      </c>
      <c r="C67" s="4" t="s">
        <v>2161</v>
      </c>
      <c r="D67" s="4" t="s">
        <v>2162</v>
      </c>
      <c r="E67" s="4" t="s">
        <v>2162</v>
      </c>
      <c r="G67" s="5" t="str">
        <f>IFERROR(__xludf.DUMMYFUNCTION(" GOOGLETRANSLATE(A67, ""en"", ""am"")"),"66")</f>
        <v>66</v>
      </c>
      <c r="H67" s="5" t="str">
        <f>IFERROR(__xludf.DUMMYFUNCTION(" GOOGLETRANSLATE(B67, ""en"", ""am"")"),"አፋሉላ በየትኛው አመት የኦሎምፒክ ኦፊሴላዊ ስፖርት ሆነ?")</f>
        <v>አፋሉላ በየትኛው አመት የኦሎምፒክ ኦፊሴላዊ ስፖርት ሆነ?</v>
      </c>
      <c r="I67" s="5" t="str">
        <f>IFERROR(__xludf.DUMMYFUNCTION(" GOOGLETRANSLATE(C67, ""en"", ""am"")"),"እ.ኤ.አ. 2012 ዓ.ም. 2016 ዓ.ም. 2020 ዲ. 2016")</f>
        <v>እ.ኤ.አ. 2012 ዓ.ም. 2016 ዓ.ም. 2020 ዲ. 2016</v>
      </c>
      <c r="J67" s="5" t="str">
        <f>IFERROR(__xludf.DUMMYFUNCTION(" GOOGLETRANSLATE(D67, ""en"", ""am"")"),"2016")</f>
        <v>2016</v>
      </c>
      <c r="K67" s="5" t="str">
        <f>IFERROR(__xludf.DUMMYFUNCTION(" GOOGLETRANSLATE(E67, ""en"", ""am"")"),"2016")</f>
        <v>2016</v>
      </c>
    </row>
    <row r="68" ht="22.5" customHeight="1">
      <c r="A68" s="3">
        <v>67.0</v>
      </c>
      <c r="B68" s="4" t="s">
        <v>2163</v>
      </c>
      <c r="C68" s="4" t="s">
        <v>2164</v>
      </c>
      <c r="D68" s="4" t="s">
        <v>2165</v>
      </c>
      <c r="E68" s="4" t="s">
        <v>2166</v>
      </c>
      <c r="G68" s="5" t="str">
        <f>IFERROR(__xludf.DUMMYFUNCTION(" GOOGLETRANSLATE(A68, ""en"", ""am"")"),"67")</f>
        <v>67</v>
      </c>
      <c r="H68" s="5" t="str">
        <f>IFERROR(__xludf.DUMMYFUNCTION(" GOOGLETRANSLATE(B68, ""en"", ""am"")"),"ከእነዚህ ውስጥ የአፉላ ስትራቴጂ ቁልፍ ባህሪ የትኛው ነው?")</f>
        <v>ከእነዚህ ውስጥ የአፉላ ስትራቴጂ ቁልፍ ባህሪ የትኛው ነው?</v>
      </c>
      <c r="I68" s="5" t="str">
        <f>IFERROR(__xludf.DUMMYFUNCTION(" GOOGLETRANSLATE(C68, ""en"", ""am"")"),"ሀ. ትክክለኛ ኢላማ ማድረግ ለ. ስልታዊ የጊዜ ማብቂያዎች ሐ. የቡድን ቅንጅት መ. ትክክለኛ ኢላማ ማድረግ")</f>
        <v>ሀ. ትክክለኛ ኢላማ ማድረግ ለ. ስልታዊ የጊዜ ማብቂያዎች ሐ. የቡድን ቅንጅት መ. ትክክለኛ ኢላማ ማድረግ</v>
      </c>
      <c r="J68" s="5" t="str">
        <f>IFERROR(__xludf.DUMMYFUNCTION(" GOOGLETRANSLATE(D68, ""en"", ""am"")"),"ትክክለኛ ኢላማ ማድረግ")</f>
        <v>ትክክለኛ ኢላማ ማድረግ</v>
      </c>
      <c r="K68" s="5" t="str">
        <f>IFERROR(__xludf.DUMMYFUNCTION(" GOOGLETRANSLATE(E68, ""en"", ""am"")"),"የአፋላ ስትራቴጂ ቁልፍ ባህሪ የተወሰኑ ዞኖችን በትክክል ማነጣጠር ነው።")</f>
        <v>የአፋላ ስትራቴጂ ቁልፍ ባህሪ የተወሰኑ ዞኖችን በትክክል ማነጣጠር ነው።</v>
      </c>
    </row>
    <row r="69" ht="22.5" customHeight="1">
      <c r="A69" s="3">
        <v>68.0</v>
      </c>
      <c r="B69" s="4" t="s">
        <v>2167</v>
      </c>
      <c r="C69" s="4" t="s">
        <v>2168</v>
      </c>
      <c r="D69" s="4" t="s">
        <v>1945</v>
      </c>
      <c r="E69" s="4" t="s">
        <v>2169</v>
      </c>
      <c r="G69" s="5" t="str">
        <f>IFERROR(__xludf.DUMMYFUNCTION(" GOOGLETRANSLATE(A69, ""en"", ""am"")"),"68")</f>
        <v>68</v>
      </c>
      <c r="H69" s="5" t="str">
        <f>IFERROR(__xludf.DUMMYFUNCTION(" GOOGLETRANSLATE(B69, ""en"", ""am"")"),"'የአፉላ ንጉስ' በመባል የሚታወቀው ማነው?")</f>
        <v>'የአፉላ ንጉስ' በመባል የሚታወቀው ማነው?</v>
      </c>
      <c r="I69" s="5" t="str">
        <f>IFERROR(__xludf.DUMMYFUNCTION(" GOOGLETRANSLATE(C69, ""en"", ""am"")"),"አ. ማርክ ዛንደር ቢ. ጆን ዶ ሲ ሳራ አሊ ዲ. ማርክ ዛንደር")</f>
        <v>አ. ማርክ ዛንደር ቢ. ጆን ዶ ሲ ሳራ አሊ ዲ. ማርክ ዛንደር</v>
      </c>
      <c r="J69" s="5" t="str">
        <f>IFERROR(__xludf.DUMMYFUNCTION(" GOOGLETRANSLATE(D69, ""en"", ""am"")"),"ማርክ ዛንደር")</f>
        <v>ማርክ ዛንደር</v>
      </c>
      <c r="K69" s="5" t="str">
        <f>IFERROR(__xludf.DUMMYFUNCTION(" GOOGLETRANSLATE(E69, ""en"", ""am"")"),"ማርክ ዛንደር ለታዋቂ ስራው ብዙ ጊዜ 'የአፉላ ንጉስ' ተብሎ ይጠራል።")</f>
        <v>ማርክ ዛንደር ለታዋቂ ስራው ብዙ ጊዜ 'የአፉላ ንጉስ' ተብሎ ይጠራል።</v>
      </c>
    </row>
    <row r="70" ht="22.5" customHeight="1">
      <c r="A70" s="3">
        <v>69.0</v>
      </c>
      <c r="B70" s="4" t="s">
        <v>2170</v>
      </c>
      <c r="C70" s="4" t="s">
        <v>2171</v>
      </c>
      <c r="D70" s="4" t="s">
        <v>2172</v>
      </c>
      <c r="E70" s="4" t="s">
        <v>2173</v>
      </c>
      <c r="G70" s="5" t="str">
        <f>IFERROR(__xludf.DUMMYFUNCTION(" GOOGLETRANSLATE(A70, ""en"", ""am"")"),"69")</f>
        <v>69</v>
      </c>
      <c r="H70" s="5" t="str">
        <f>IFERROR(__xludf.DUMMYFUNCTION(" GOOGLETRANSLATE(B70, ""en"", ""am"")"),"በ2015 የአፉላ ኤግዚቢሽን ውድድር ላይ የትኛው ታዋቂ አትሌት ተሳትፏል?")</f>
        <v>በ2015 የአፉላ ኤግዚቢሽን ውድድር ላይ የትኛው ታዋቂ አትሌት ተሳትፏል?</v>
      </c>
      <c r="I70" s="5" t="str">
        <f>IFERROR(__xludf.DUMMYFUNCTION(" GOOGLETRANSLATE(C70, ""en"", ""am"")"),"ሀ.ክርስቲያኖ ሮናልዶ ቢ.ሚካኤል ጆርዳን ሲ.ሊዮኔል ሜሲ ዲ.ክርስቲያኖ ሮናልዶ")</f>
        <v>ሀ.ክርስቲያኖ ሮናልዶ ቢ.ሚካኤል ጆርዳን ሲ.ሊዮኔል ሜሲ ዲ.ክርስቲያኖ ሮናልዶ</v>
      </c>
      <c r="J70" s="5" t="str">
        <f>IFERROR(__xludf.DUMMYFUNCTION(" GOOGLETRANSLATE(D70, ""en"", ""am"")"),"ክርስቲያኖ ሮናልዶ")</f>
        <v>ክርስቲያኖ ሮናልዶ</v>
      </c>
      <c r="K70" s="5" t="str">
        <f>IFERROR(__xludf.DUMMYFUNCTION(" GOOGLETRANSLATE(E70, ""en"", ""am"")"),"ክርስቲያኖ ሮናልዶ በ2015 አፉላ ኤግዚቢሽን ውድድር ላይ ተሳትፏል።")</f>
        <v>ክርስቲያኖ ሮናልዶ በ2015 አፉላ ኤግዚቢሽን ውድድር ላይ ተሳትፏል።</v>
      </c>
    </row>
    <row r="71" ht="22.5" customHeight="1">
      <c r="A71" s="3">
        <v>70.0</v>
      </c>
      <c r="B71" s="4" t="s">
        <v>2174</v>
      </c>
      <c r="C71" s="4" t="s">
        <v>2175</v>
      </c>
      <c r="D71" s="4" t="s">
        <v>2176</v>
      </c>
      <c r="E71" s="4" t="s">
        <v>2177</v>
      </c>
      <c r="G71" s="5" t="str">
        <f>IFERROR(__xludf.DUMMYFUNCTION(" GOOGLETRANSLATE(A71, ""en"", ""am"")"),"70")</f>
        <v>70</v>
      </c>
      <c r="H71" s="5" t="str">
        <f>IFERROR(__xludf.DUMMYFUNCTION(" GOOGLETRANSLATE(B71, ""en"", ""am"")"),"የአፉላ ኳስ ከየትኛው ቁሳቁስ ነው የተሰራው?")</f>
        <v>የአፉላ ኳስ ከየትኛው ቁሳቁስ ነው የተሰራው?</v>
      </c>
      <c r="I71" s="5" t="str">
        <f>IFERROR(__xludf.DUMMYFUNCTION(" GOOGLETRANSLATE(C71, ""en"", ""am"")"),"አ. ፕላስቲክ ቢ. ቆዳ ሐ. ሲሊኮን ዲ ጎማ")</f>
        <v>አ. ፕላስቲክ ቢ. ቆዳ ሐ. ሲሊኮን ዲ ጎማ</v>
      </c>
      <c r="J71" s="5" t="str">
        <f>IFERROR(__xludf.DUMMYFUNCTION(" GOOGLETRANSLATE(D71, ""en"", ""am"")"),"ላስቲክ")</f>
        <v>ላስቲክ</v>
      </c>
      <c r="K71" s="5" t="str">
        <f>IFERROR(__xludf.DUMMYFUNCTION(" GOOGLETRANSLATE(E71, ""en"", ""am"")"),"የአፋላ ኳስ ለጥንካሬው ከፍተኛ ጥራት ካለው ጎማ የተሰራ ነው።")</f>
        <v>የአፋላ ኳስ ለጥንካሬው ከፍተኛ ጥራት ካለው ጎማ የተሰራ ነው።</v>
      </c>
    </row>
    <row r="72" ht="22.5" customHeight="1">
      <c r="A72" s="3">
        <v>71.0</v>
      </c>
      <c r="B72" s="4" t="s">
        <v>2178</v>
      </c>
      <c r="C72" s="4" t="s">
        <v>2179</v>
      </c>
      <c r="D72" s="4" t="s">
        <v>2043</v>
      </c>
      <c r="E72" s="4" t="s">
        <v>2180</v>
      </c>
      <c r="G72" s="5" t="str">
        <f>IFERROR(__xludf.DUMMYFUNCTION(" GOOGLETRANSLATE(A72, ""en"", ""am"")"),"71")</f>
        <v>71</v>
      </c>
      <c r="H72" s="5" t="str">
        <f>IFERROR(__xludf.DUMMYFUNCTION(" GOOGLETRANSLATE(B72, ""en"", ""am"")"),"በ2016 አፋሉላ ኦሊምፒክ ብዙ የወርቅ ሜዳሊያዎችን ያስመዘገበው ሀገር የትኛው ነው?")</f>
        <v>በ2016 አፋሉላ ኦሊምፒክ ብዙ የወርቅ ሜዳሊያዎችን ያስመዘገበው ሀገር የትኛው ነው?</v>
      </c>
      <c r="I72" s="5" t="str">
        <f>IFERROR(__xludf.DUMMYFUNCTION(" GOOGLETRANSLATE(C72, ""en"", ""am"")"),"አ. ፍራንስ ቢ. ጀርመን ሲ ጃፓን ዲ. ዩናይትድ ስቴትስ")</f>
        <v>አ. ፍራንስ ቢ. ጀርመን ሲ ጃፓን ዲ. ዩናይትድ ስቴትስ</v>
      </c>
      <c r="J72" s="5" t="str">
        <f>IFERROR(__xludf.DUMMYFUNCTION(" GOOGLETRANSLATE(D72, ""en"", ""am"")"),"ዩናይትድ ስቴተት")</f>
        <v>ዩናይትድ ስቴተት</v>
      </c>
      <c r="K72" s="5" t="str">
        <f>IFERROR(__xludf.DUMMYFUNCTION(" GOOGLETRANSLATE(E72, ""en"", ""am"")"),"በ2016 አትላንታ ኦሎምፒክ ዩናይትድ ስቴትስ በርካታ የወርቅ ሜዳሊያዎችን አግኝታለች።")</f>
        <v>በ2016 አትላንታ ኦሎምፒክ ዩናይትድ ስቴትስ በርካታ የወርቅ ሜዳሊያዎችን አግኝታለች።</v>
      </c>
    </row>
    <row r="73" ht="22.5" customHeight="1">
      <c r="A73" s="3">
        <v>72.0</v>
      </c>
      <c r="B73" s="4" t="s">
        <v>2181</v>
      </c>
      <c r="C73" s="4" t="s">
        <v>2182</v>
      </c>
      <c r="D73" s="4" t="s">
        <v>2183</v>
      </c>
      <c r="E73" s="4" t="s">
        <v>2184</v>
      </c>
      <c r="G73" s="5" t="str">
        <f>IFERROR(__xludf.DUMMYFUNCTION(" GOOGLETRANSLATE(A73, ""en"", ""am"")"),"72")</f>
        <v>72</v>
      </c>
      <c r="H73" s="5" t="str">
        <f>IFERROR(__xludf.DUMMYFUNCTION(" GOOGLETRANSLATE(B73, ""en"", ""am"")"),"በአፉላ ረጅሙ ግጥሚያ አሁን ያለው ሪከርድ ምንድነው?")</f>
        <v>በአፉላ ረጅሙ ግጥሚያ አሁን ያለው ሪከርድ ምንድነው?</v>
      </c>
      <c r="I73" s="5" t="str">
        <f>IFERROR(__xludf.DUMMYFUNCTION(" GOOGLETRANSLATE(C73, ""en"", ""am"")"),"ሀ. 2 ሰአት ለ. 3 ሰአት ሐ. 4 ሰአት መ. 3 ሰአት")</f>
        <v>ሀ. 2 ሰአት ለ. 3 ሰአት ሐ. 4 ሰአት መ. 3 ሰአት</v>
      </c>
      <c r="J73" s="5" t="str">
        <f>IFERROR(__xludf.DUMMYFUNCTION(" GOOGLETRANSLATE(D73, ""en"", ""am"")"),"3 ሰዓታት")</f>
        <v>3 ሰዓታት</v>
      </c>
      <c r="K73" s="5" t="str">
        <f>IFERROR(__xludf.DUMMYFUNCTION(" GOOGLETRANSLATE(E73, ""en"", ""am"")"),"የረጅሙ የአፋላ ግጥሚያ አሁን ያለው ሪከርድ 3 ሰአት ነው።")</f>
        <v>የረጅሙ የአፋላ ግጥሚያ አሁን ያለው ሪከርድ 3 ሰአት ነው።</v>
      </c>
    </row>
    <row r="74" ht="22.5" customHeight="1">
      <c r="A74" s="3">
        <v>73.0</v>
      </c>
      <c r="B74" s="4" t="s">
        <v>2185</v>
      </c>
      <c r="C74" s="4" t="s">
        <v>2186</v>
      </c>
      <c r="D74" s="4" t="s">
        <v>1987</v>
      </c>
      <c r="E74" s="4" t="s">
        <v>2187</v>
      </c>
      <c r="G74" s="5" t="str">
        <f>IFERROR(__xludf.DUMMYFUNCTION(" GOOGLETRANSLATE(A74, ""en"", ""am"")"),"73")</f>
        <v>73</v>
      </c>
      <c r="H74" s="5" t="str">
        <f>IFERROR(__xludf.DUMMYFUNCTION(" GOOGLETRANSLATE(B74, ""en"", ""am"")"),"አሁን በአፉላ የዓለም ሻምፒዮን ማን ነው?")</f>
        <v>አሁን በአፉላ የዓለም ሻምፒዮን ማን ነው?</v>
      </c>
      <c r="I74" s="5" t="str">
        <f>IFERROR(__xludf.DUMMYFUNCTION(" GOOGLETRANSLATE(C74, ""en"", ""am"")"),"አ.ሳራ አሊ ቢ. ማርክ ዛንደር ሲ. ጆን ዶ ዲ. ቶሚ ቦየር")</f>
        <v>አ.ሳራ አሊ ቢ. ማርክ ዛንደር ሲ. ጆን ዶ ዲ. ቶሚ ቦየር</v>
      </c>
      <c r="J74" s="5" t="str">
        <f>IFERROR(__xludf.DUMMYFUNCTION(" GOOGLETRANSLATE(D74, ""en"", ""am"")"),"ቶሚ ቦየር")</f>
        <v>ቶሚ ቦየር</v>
      </c>
      <c r="K74" s="5" t="str">
        <f>IFERROR(__xludf.DUMMYFUNCTION(" GOOGLETRANSLATE(E74, ""en"", ""am"")"),"ቶሚ ቦየር በፍጻሜው አፉላ የዓለም ሻምፒዮን ነው።")</f>
        <v>ቶሚ ቦየር በፍጻሜው አፉላ የዓለም ሻምፒዮን ነው።</v>
      </c>
    </row>
    <row r="75" ht="22.5" customHeight="1">
      <c r="A75" s="3">
        <v>74.0</v>
      </c>
      <c r="B75" s="4" t="s">
        <v>2188</v>
      </c>
      <c r="C75" s="4" t="s">
        <v>2189</v>
      </c>
      <c r="D75" s="4" t="s">
        <v>2190</v>
      </c>
      <c r="E75" s="4" t="s">
        <v>2191</v>
      </c>
      <c r="G75" s="5" t="str">
        <f>IFERROR(__xludf.DUMMYFUNCTION(" GOOGLETRANSLATE(A75, ""en"", ""am"")"),"74")</f>
        <v>74</v>
      </c>
      <c r="H75" s="5" t="str">
        <f>IFERROR(__xludf.DUMMYFUNCTION(" GOOGLETRANSLATE(B75, ""en"", ""am"")"),"በ2015 በአፉላ የውጤት አሰጣጥ ስርዓት ላይ ምን ጉልህ ለውጦች ተደርገዋል?")</f>
        <v>በ2015 በአፉላ የውጤት አሰጣጥ ስርዓት ላይ ምን ጉልህ ለውጦች ተደርገዋል?</v>
      </c>
      <c r="I75" s="5" t="str">
        <f>IFERROR(__xludf.DUMMYFUNCTION(" GOOGLETRANSLATE(C75, ""en"", ""am"")"),"ሀ. የጉርሻ ዙር መግቢያ ለ. ለመከላከያ ጨዋታዎች የተሸለሙ ነጥቦች ሐ. ትክክለኛነት ላይ የተመሰረተ ውጤት መ. የጉርሻ ዙር መግቢያ")</f>
        <v>ሀ. የጉርሻ ዙር መግቢያ ለ. ለመከላከያ ጨዋታዎች የተሸለሙ ነጥቦች ሐ. ትክክለኛነት ላይ የተመሰረተ ውጤት መ. የጉርሻ ዙር መግቢያ</v>
      </c>
      <c r="J75" s="5" t="str">
        <f>IFERROR(__xludf.DUMMYFUNCTION(" GOOGLETRANSLATE(D75, ""en"", ""am"")"),"ጉርሻ ዙሮች መግቢያ")</f>
        <v>ጉርሻ ዙሮች መግቢያ</v>
      </c>
      <c r="K75" s="5" t="str">
        <f>IFERROR(__xludf.DUMMYFUNCTION(" GOOGLETRANSLATE(E75, ""en"", ""am"")"),"እ.ኤ.አ. በ2015 አፋላ የጨዋታውን ደስታ ለመጨመር የጉርሻ ዙሮችን አስተዋወቀ።")</f>
        <v>እ.ኤ.አ. በ2015 አፋላ የጨዋታውን ደስታ ለመጨመር የጉርሻ ዙሮችን አስተዋወቀ።</v>
      </c>
    </row>
    <row r="76" ht="22.5" customHeight="1">
      <c r="A76" s="3">
        <v>75.0</v>
      </c>
      <c r="B76" s="4" t="s">
        <v>2192</v>
      </c>
      <c r="C76" s="4" t="s">
        <v>2179</v>
      </c>
      <c r="D76" s="4" t="s">
        <v>2043</v>
      </c>
      <c r="E76" s="4" t="s">
        <v>2193</v>
      </c>
      <c r="G76" s="5" t="str">
        <f>IFERROR(__xludf.DUMMYFUNCTION(" GOOGLETRANSLATE(A76, ""en"", ""am"")"),"75")</f>
        <v>75</v>
      </c>
      <c r="H76" s="5" t="str">
        <f>IFERROR(__xludf.DUMMYFUNCTION(" GOOGLETRANSLATE(B76, ""en"", ""am"")"),"የፋላ ትልቁን የደጋፊ ኮንቬንሽን የሚያስተናግደው የትኛው ሀገር ነው?")</f>
        <v>የፋላ ትልቁን የደጋፊ ኮንቬንሽን የሚያስተናግደው የትኛው ሀገር ነው?</v>
      </c>
      <c r="I76" s="5" t="str">
        <f>IFERROR(__xludf.DUMMYFUNCTION(" GOOGLETRANSLATE(C76, ""en"", ""am"")"),"አ. ፍራንስ ቢ. ጀርመን ሲ ጃፓን ዲ. ዩናይትድ ስቴትስ")</f>
        <v>አ. ፍራንስ ቢ. ጀርመን ሲ ጃፓን ዲ. ዩናይትድ ስቴትስ</v>
      </c>
      <c r="J76" s="5" t="str">
        <f>IFERROR(__xludf.DUMMYFUNCTION(" GOOGLETRANSLATE(D76, ""en"", ""am"")"),"ዩናይትድ ስቴተት")</f>
        <v>ዩናይትድ ስቴተት</v>
      </c>
      <c r="K76" s="5" t="str">
        <f>IFERROR(__xludf.DUMMYFUNCTION(" GOOGLETRANSLATE(E76, ""en"", ""am"")"),"ዩናይትድ ስቴትስ በየዓመቱ ትልቁን የአፋላ ደጋፊ ስብሰባ ታስተናግዳለች።")</f>
        <v>ዩናይትድ ስቴትስ በየዓመቱ ትልቁን የአፋላ ደጋፊ ስብሰባ ታስተናግዳለች።</v>
      </c>
    </row>
    <row r="77" ht="22.5" customHeight="1">
      <c r="A77" s="3">
        <v>76.0</v>
      </c>
      <c r="B77" s="4" t="s">
        <v>2194</v>
      </c>
      <c r="C77" s="4" t="s">
        <v>2195</v>
      </c>
      <c r="D77" s="4" t="s">
        <v>1987</v>
      </c>
      <c r="E77" s="4" t="s">
        <v>2196</v>
      </c>
      <c r="G77" s="5" t="str">
        <f>IFERROR(__xludf.DUMMYFUNCTION(" GOOGLETRANSLATE(A77, ""en"", ""am"")"),"76")</f>
        <v>76</v>
      </c>
      <c r="H77" s="5" t="str">
        <f>IFERROR(__xludf.DUMMYFUNCTION(" GOOGLETRANSLATE(B77, ""en"", ""am"")"),"የትኛው የአፍላ ተጨዋች በልዩ የተከላካይ ስታይል ይታወቃል?")</f>
        <v>የትኛው የአፍላ ተጨዋች በልዩ የተከላካይ ስታይል ይታወቃል?</v>
      </c>
      <c r="I77" s="5" t="str">
        <f>IFERROR(__xludf.DUMMYFUNCTION(" GOOGLETRANSLATE(C77, ""en"", ""am"")"),"A. Sarah Ali B. Tommy Boyer ሲ. ማርክ ዛንደር ዲ. ቶሚ ቦየር")</f>
        <v>A. Sarah Ali B. Tommy Boyer ሲ. ማርክ ዛንደር ዲ. ቶሚ ቦየር</v>
      </c>
      <c r="J77" s="5" t="str">
        <f>IFERROR(__xludf.DUMMYFUNCTION(" GOOGLETRANSLATE(D77, ""en"", ""am"")"),"ቶሚ ቦየር")</f>
        <v>ቶሚ ቦየር</v>
      </c>
      <c r="K77" s="5" t="str">
        <f>IFERROR(__xludf.DUMMYFUNCTION(" GOOGLETRANSLATE(E77, ""en"", ""am"")"),"ቶሚ ቦየር በግጥሚያዎች ላይ በሚያሳየው ድንቅ የመከላከል ስልቱ ታዋቂ ነበር።")</f>
        <v>ቶሚ ቦየር በግጥሚያዎች ላይ በሚያሳየው ድንቅ የመከላከል ስልቱ ታዋቂ ነበር።</v>
      </c>
    </row>
    <row r="78" ht="22.5" customHeight="1">
      <c r="A78" s="3">
        <v>77.0</v>
      </c>
      <c r="B78" s="4" t="s">
        <v>2197</v>
      </c>
      <c r="C78" s="4" t="s">
        <v>2198</v>
      </c>
      <c r="D78" s="4" t="s">
        <v>724</v>
      </c>
      <c r="E78" s="4" t="s">
        <v>724</v>
      </c>
      <c r="G78" s="5" t="str">
        <f>IFERROR(__xludf.DUMMYFUNCTION(" GOOGLETRANSLATE(A78, ""en"", ""am"")"),"77")</f>
        <v>77</v>
      </c>
      <c r="H78" s="5" t="str">
        <f>IFERROR(__xludf.DUMMYFUNCTION(" GOOGLETRANSLATE(B78, ""en"", ""am"")"),"አፋሉላ ከአውሮፓ ውጪ ወደ አለም አቀፍ ውድድሮች የተስፋፋው በየትኛው አመት ነው?")</f>
        <v>አፋሉላ ከአውሮፓ ውጪ ወደ አለም አቀፍ ውድድሮች የተስፋፋው በየትኛው አመት ነው?</v>
      </c>
      <c r="I78" s="5" t="str">
        <f>IFERROR(__xludf.DUMMYFUNCTION(" GOOGLETRANSLATE(C78, ""en"", ""am"")"),"እ.ኤ.አ. 2000 ዓ.ም. 2005 ዓ.ም. 2010 ዲ. 2000 ዓ.ም.")</f>
        <v>እ.ኤ.አ. 2000 ዓ.ም. 2005 ዓ.ም. 2010 ዲ. 2000 ዓ.ም.</v>
      </c>
      <c r="J78" s="5" t="str">
        <f>IFERROR(__xludf.DUMMYFUNCTION(" GOOGLETRANSLATE(D78, ""en"", ""am"")"),"2000")</f>
        <v>2000</v>
      </c>
      <c r="K78" s="5" t="str">
        <f>IFERROR(__xludf.DUMMYFUNCTION(" GOOGLETRANSLATE(E78, ""en"", ""am"")"),"2000")</f>
        <v>2000</v>
      </c>
    </row>
    <row r="79" ht="22.5" customHeight="1">
      <c r="A79" s="3">
        <v>78.0</v>
      </c>
      <c r="B79" s="4" t="s">
        <v>2199</v>
      </c>
      <c r="C79" s="4" t="s">
        <v>2200</v>
      </c>
      <c r="D79" s="4" t="s">
        <v>2043</v>
      </c>
      <c r="E79" s="4" t="s">
        <v>2201</v>
      </c>
      <c r="G79" s="5" t="str">
        <f>IFERROR(__xludf.DUMMYFUNCTION(" GOOGLETRANSLATE(A79, ""en"", ""am"")"),"78")</f>
        <v>78</v>
      </c>
      <c r="H79" s="5" t="str">
        <f>IFERROR(__xludf.DUMMYFUNCTION(" GOOGLETRANSLATE(B79, ""en"", ""am"")"),"የመጀመሪያውን የሴቶች አፋሉላ የዓለም ሻምፒዮና ያዘጋጀው የትኛው ሀገር ነው?")</f>
        <v>የመጀመሪያውን የሴቶች አፋሉላ የዓለም ሻምፒዮና ያዘጋጀው የትኛው ሀገር ነው?</v>
      </c>
      <c r="I79" s="5" t="str">
        <f>IFERROR(__xludf.DUMMYFUNCTION(" GOOGLETRANSLATE(C79, ""en"", ""am"")"),"አ. ፍራንስ ቢ. ብራዚል ሲ. ጀርመን ዲ. ዩናይትድ ስቴትስ")</f>
        <v>አ. ፍራንስ ቢ. ብራዚል ሲ. ጀርመን ዲ. ዩናይትድ ስቴትስ</v>
      </c>
      <c r="J79" s="5" t="str">
        <f>IFERROR(__xludf.DUMMYFUNCTION(" GOOGLETRANSLATE(D79, ""en"", ""am"")"),"ዩናይትድ ስቴተት")</f>
        <v>ዩናይትድ ስቴተት</v>
      </c>
      <c r="K79" s="5" t="str">
        <f>IFERROR(__xludf.DUMMYFUNCTION(" GOOGLETRANSLATE(E79, ""en"", ""am"")"),"የመጀመሪያው የሴቶች አፋልላ የዓለም ሻምፒዮና በዩናይትድ ስቴትስ ተካሂዷል።")</f>
        <v>የመጀመሪያው የሴቶች አፋልላ የዓለም ሻምፒዮና በዩናይትድ ስቴትስ ተካሂዷል።</v>
      </c>
    </row>
    <row r="80" ht="22.5" customHeight="1">
      <c r="A80" s="3">
        <v>79.0</v>
      </c>
      <c r="B80" s="4" t="s">
        <v>2202</v>
      </c>
      <c r="C80" s="4" t="s">
        <v>2203</v>
      </c>
      <c r="D80" s="4" t="s">
        <v>1945</v>
      </c>
      <c r="E80" s="4" t="s">
        <v>2204</v>
      </c>
      <c r="G80" s="5" t="str">
        <f>IFERROR(__xludf.DUMMYFUNCTION(" GOOGLETRANSLATE(A80, ""en"", ""am"")"),"79")</f>
        <v>79</v>
      </c>
      <c r="H80" s="5" t="str">
        <f>IFERROR(__xludf.DUMMYFUNCTION(" GOOGLETRANSLATE(B80, ""en"", ""am"")"),"የአለም አቀፍ ሻምፒዮናውን ሶስት ጊዜ ያሸነፈ የመጀመሪያው ተጫዋች ማን ነበር?")</f>
        <v>የአለም አቀፍ ሻምፒዮናውን ሶስት ጊዜ ያሸነፈ የመጀመሪያው ተጫዋች ማን ነበር?</v>
      </c>
      <c r="I80" s="5" t="str">
        <f>IFERROR(__xludf.DUMMYFUNCTION(" GOOGLETRANSLATE(C80, ""en"", ""am"")"),"ሀ. ቶሚ ቦየር ቢ. ጆን ዶ ሲ ሳራ አሊ ዲ. ማርክ ዛንደር")</f>
        <v>ሀ. ቶሚ ቦየር ቢ. ጆን ዶ ሲ ሳራ አሊ ዲ. ማርክ ዛንደር</v>
      </c>
      <c r="J80" s="5" t="str">
        <f>IFERROR(__xludf.DUMMYFUNCTION(" GOOGLETRANSLATE(D80, ""en"", ""am"")"),"ማርክ ዛንደር")</f>
        <v>ማርክ ዛንደር</v>
      </c>
      <c r="K80" s="5" t="str">
        <f>IFERROR(__xludf.DUMMYFUNCTION(" GOOGLETRANSLATE(E80, ""en"", ""am"")"),"ማርክ ዛንደር የአፉላ የአለም ሻምፒዮና ሶስት ጊዜ ያሸነፈ የመጀመሪያው ተጫዋች ነው።")</f>
        <v>ማርክ ዛንደር የአፉላ የአለም ሻምፒዮና ሶስት ጊዜ ያሸነፈ የመጀመሪያው ተጫዋች ነው።</v>
      </c>
    </row>
    <row r="81" ht="22.5" customHeight="1">
      <c r="A81" s="3">
        <v>80.0</v>
      </c>
      <c r="B81" s="4" t="s">
        <v>2205</v>
      </c>
      <c r="C81" s="4" t="s">
        <v>2206</v>
      </c>
      <c r="D81" s="4" t="s">
        <v>2152</v>
      </c>
      <c r="E81" s="4" t="s">
        <v>2207</v>
      </c>
      <c r="G81" s="5" t="str">
        <f>IFERROR(__xludf.DUMMYFUNCTION(" GOOGLETRANSLATE(A81, ""en"", ""am"")"),"80")</f>
        <v>80</v>
      </c>
      <c r="H81" s="5" t="str">
        <f>IFERROR(__xludf.DUMMYFUNCTION(" GOOGLETRANSLATE(B81, ""en"", ""am"")"),"የትኛው ድርጅት ነው የእግር ኳስን ስፖርት ህግ የሚመራው?")</f>
        <v>የትኛው ድርጅት ነው የእግር ኳስን ስፖርት ህግ የሚመራው?</v>
      </c>
      <c r="I81" s="5" t="str">
        <f>IFERROR(__xludf.DUMMYFUNCTION(" GOOGLETRANSLATE(C81, ""en"", ""am"")"),"ሀ. የአለም አፋላ ማህበር ለ.ግሎባል አፋላ ካውንስል ሲ.አፋላ የአለም ድርጅት ዲ.አለም አቀፍ አፋላ ፌዴሬሽን")</f>
        <v>ሀ. የአለም አፋላ ማህበር ለ.ግሎባል አፋላ ካውንስል ሲ.አፋላ የአለም ድርጅት ዲ.አለም አቀፍ አፋላ ፌዴሬሽን</v>
      </c>
      <c r="J81" s="5" t="str">
        <f>IFERROR(__xludf.DUMMYFUNCTION(" GOOGLETRANSLATE(D81, ""en"", ""am"")"),"ዓለም አቀፍ አፋላ ፌዴሬሽን")</f>
        <v>ዓለም አቀፍ አፋላ ፌዴሬሽን</v>
      </c>
      <c r="K81" s="5" t="str">
        <f>IFERROR(__xludf.DUMMYFUNCTION(" GOOGLETRANSLATE(E81, ""en"", ""am"")"),"የአለም አቀፉ አፋላ ፌዴሬሽን የስፖርቱን አለም አቀፍ ህጎች የማውጣት ሃላፊነት አለበት።")</f>
        <v>የአለም አቀፉ አፋላ ፌዴሬሽን የስፖርቱን አለም አቀፍ ህጎች የማውጣት ሃላፊነት አለበት።</v>
      </c>
    </row>
    <row r="82" ht="22.5" customHeight="1">
      <c r="A82" s="3">
        <v>81.0</v>
      </c>
      <c r="B82" s="4" t="s">
        <v>2208</v>
      </c>
      <c r="C82" s="4" t="s">
        <v>2209</v>
      </c>
      <c r="D82" s="4" t="s">
        <v>898</v>
      </c>
      <c r="E82" s="4" t="s">
        <v>898</v>
      </c>
      <c r="G82" s="5" t="str">
        <f>IFERROR(__xludf.DUMMYFUNCTION(" GOOGLETRANSLATE(A82, ""en"", ""am"")"),"81")</f>
        <v>81</v>
      </c>
      <c r="H82" s="5" t="str">
        <f>IFERROR(__xludf.DUMMYFUNCTION(" GOOGLETRANSLATE(B82, ""en"", ""am"")"),"አፋሉላ ፕሮፌሽናል ሊግ በስንት አመት ተጀመረ?")</f>
        <v>አፋሉላ ፕሮፌሽናል ሊግ በስንት አመት ተጀመረ?</v>
      </c>
      <c r="I82" s="5" t="str">
        <f>IFERROR(__xludf.DUMMYFUNCTION(" GOOGLETRANSLATE(C82, ""en"", ""am"")"),"እ.ኤ.አ. 1995 ዓ.ም. 2000 ዓ.ም. 2005 ዲ. 1995 ዓ.ም.")</f>
        <v>እ.ኤ.አ. 1995 ዓ.ም. 2000 ዓ.ም. 2005 ዲ. 1995 ዓ.ም.</v>
      </c>
      <c r="J82" s="5" t="str">
        <f>IFERROR(__xludf.DUMMYFUNCTION(" GOOGLETRANSLATE(D82, ""en"", ""am"")"),"በ1995 ዓ.ም")</f>
        <v>በ1995 ዓ.ም</v>
      </c>
      <c r="K82" s="5" t="str">
        <f>IFERROR(__xludf.DUMMYFUNCTION(" GOOGLETRANSLATE(E82, ""en"", ""am"")"),"በ1995 ዓ.ም")</f>
        <v>በ1995 ዓ.ም</v>
      </c>
    </row>
    <row r="83" ht="22.5" customHeight="1">
      <c r="A83" s="3">
        <v>82.0</v>
      </c>
      <c r="B83" s="4" t="s">
        <v>2210</v>
      </c>
      <c r="C83" s="4" t="s">
        <v>2211</v>
      </c>
      <c r="D83" s="4" t="s">
        <v>2212</v>
      </c>
      <c r="E83" s="4" t="s">
        <v>2213</v>
      </c>
      <c r="G83" s="5" t="str">
        <f>IFERROR(__xludf.DUMMYFUNCTION(" GOOGLETRANSLATE(A83, ""en"", ""am"")"),"82")</f>
        <v>82</v>
      </c>
      <c r="H83" s="5" t="str">
        <f>IFERROR(__xludf.DUMMYFUNCTION(" GOOGLETRANSLATE(B83, ""en"", ""am"")"),"የዓለም ሻምፒዮናውን ያሸነፈ የመጀመሪያው አውሮፓዊ ያልሆነ ተጫዋች ማን ነበር?")</f>
        <v>የዓለም ሻምፒዮናውን ያሸነፈ የመጀመሪያው አውሮፓዊ ያልሆነ ተጫዋች ማን ነበር?</v>
      </c>
      <c r="I83" s="5" t="str">
        <f>IFERROR(__xludf.DUMMYFUNCTION(" GOOGLETRANSLATE(C83, ""en"", ""am"")"),"ሀ. ጆን ዶ ቢ. ሳራ አሊ ሲ. ማርክ ዛንደር ዲ. ጆን ዶ")</f>
        <v>ሀ. ጆን ዶ ቢ. ሳራ አሊ ሲ. ማርክ ዛንደር ዲ. ጆን ዶ</v>
      </c>
      <c r="J83" s="5" t="str">
        <f>IFERROR(__xludf.DUMMYFUNCTION(" GOOGLETRANSLATE(D83, ""en"", ""am"")"),"ጆን ዶ")</f>
        <v>ጆን ዶ</v>
      </c>
      <c r="K83" s="5" t="str">
        <f>IFERROR(__xludf.DUMMYFUNCTION(" GOOGLETRANSLATE(E83, ""en"", ""am"")"),"ጆን ዶ የአፉላ የዓለም ሻምፒዮና አሸናፊ የመጀመሪያው አውሮፓዊ ያልሆነ ተጫዋች ነው።")</f>
        <v>ጆን ዶ የአፉላ የዓለም ሻምፒዮና አሸናፊ የመጀመሪያው አውሮፓዊ ያልሆነ ተጫዋች ነው።</v>
      </c>
    </row>
    <row r="84" ht="22.5" customHeight="1">
      <c r="A84" s="3">
        <v>83.0</v>
      </c>
      <c r="B84" s="4" t="s">
        <v>2214</v>
      </c>
      <c r="C84" s="4" t="s">
        <v>2097</v>
      </c>
      <c r="D84" s="4" t="s">
        <v>876</v>
      </c>
      <c r="E84" s="4" t="s">
        <v>876</v>
      </c>
      <c r="G84" s="5" t="str">
        <f>IFERROR(__xludf.DUMMYFUNCTION(" GOOGLETRANSLATE(A84, ""en"", ""am"")"),"83")</f>
        <v>83</v>
      </c>
      <c r="H84" s="5" t="str">
        <f>IFERROR(__xludf.DUMMYFUNCTION(" GOOGLETRANSLATE(B84, ""en"", ""am"")"),"አፎላቢ የመጀመሪያውን የቴሌቭዥን ውድድር ያካሄደው በየትኛው አመት ነው?")</f>
        <v>አፎላቢ የመጀመሪያውን የቴሌቭዥን ውድድር ያካሄደው በየትኛው አመት ነው?</v>
      </c>
      <c r="I84" s="5" t="str">
        <f>IFERROR(__xludf.DUMMYFUNCTION(" GOOGLETRANSLATE(C84, ""en"", ""am"")"),"ኣብ 1990 ብ1995 ዓ.ም.2000 ድ.1990 ዓ.ም.")</f>
        <v>ኣብ 1990 ብ1995 ዓ.ም.2000 ድ.1990 ዓ.ም.</v>
      </c>
      <c r="J84" s="5" t="str">
        <f>IFERROR(__xludf.DUMMYFUNCTION(" GOOGLETRANSLATE(D84, ""en"", ""am"")"),"በ1990 ዓ.ም")</f>
        <v>በ1990 ዓ.ም</v>
      </c>
      <c r="K84" s="5" t="str">
        <f>IFERROR(__xludf.DUMMYFUNCTION(" GOOGLETRANSLATE(E84, ""en"", ""am"")"),"በ1990 ዓ.ም")</f>
        <v>በ1990 ዓ.ም</v>
      </c>
    </row>
    <row r="85" ht="22.5" customHeight="1">
      <c r="A85" s="3">
        <v>84.0</v>
      </c>
      <c r="B85" s="4" t="s">
        <v>2215</v>
      </c>
      <c r="C85" s="4" t="s">
        <v>2216</v>
      </c>
      <c r="D85" s="4" t="s">
        <v>1987</v>
      </c>
      <c r="E85" s="4" t="s">
        <v>2217</v>
      </c>
      <c r="G85" s="5" t="str">
        <f>IFERROR(__xludf.DUMMYFUNCTION(" GOOGLETRANSLATE(A85, ""en"", ""am"")"),"84")</f>
        <v>84</v>
      </c>
      <c r="H85" s="5" t="str">
        <f>IFERROR(__xludf.DUMMYFUNCTION(" GOOGLETRANSLATE(B85, ""en"", ""am"")"),"ሪከርድ በመስበር ፍጥነቱ የሚታወቀው የትኛው አንጋፋ የእግር ኳስ ተጫዋች ነው?")</f>
        <v>ሪከርድ በመስበር ፍጥነቱ የሚታወቀው የትኛው አንጋፋ የእግር ኳስ ተጫዋች ነው?</v>
      </c>
      <c r="I85" s="5" t="str">
        <f>IFERROR(__xludf.DUMMYFUNCTION(" GOOGLETRANSLATE(C85, ""en"", ""am"")"),"አ. ማርክ ዛንደር ቢ. ቶሚ ቦየር ሲ. ጆን ዶ ዲ. ቶሚ ቦየር")</f>
        <v>አ. ማርክ ዛንደር ቢ. ቶሚ ቦየር ሲ. ጆን ዶ ዲ. ቶሚ ቦየር</v>
      </c>
      <c r="J85" s="5" t="str">
        <f>IFERROR(__xludf.DUMMYFUNCTION(" GOOGLETRANSLATE(D85, ""en"", ""am"")"),"ቶሚ ቦየር")</f>
        <v>ቶሚ ቦየር</v>
      </c>
      <c r="K85" s="5" t="str">
        <f>IFERROR(__xludf.DUMMYFUNCTION(" GOOGLETRANSLATE(E85, ""en"", ""am"")"),"ቶሚ ቦየር በግጥሚያዎች ወቅት ሪከርድ በመስበር ፍጥነቱ ይታወቃል።")</f>
        <v>ቶሚ ቦየር በግጥሚያዎች ወቅት ሪከርድ በመስበር ፍጥነቱ ይታወቃል።</v>
      </c>
    </row>
    <row r="86" ht="22.5" customHeight="1">
      <c r="A86" s="3">
        <v>85.0</v>
      </c>
      <c r="B86" s="4" t="s">
        <v>2218</v>
      </c>
      <c r="C86" s="4" t="s">
        <v>2219</v>
      </c>
      <c r="D86" s="4" t="s">
        <v>2220</v>
      </c>
      <c r="E86" s="4" t="s">
        <v>2221</v>
      </c>
      <c r="G86" s="5" t="str">
        <f>IFERROR(__xludf.DUMMYFUNCTION(" GOOGLETRANSLATE(A86, ""en"", ""am"")"),"85")</f>
        <v>85</v>
      </c>
      <c r="H86" s="5" t="str">
        <f>IFERROR(__xludf.DUMMYFUNCTION(" GOOGLETRANSLATE(B86, ""en"", ""am"")"),"በ2003 በአፉላ ሕጎች ላይ ምን ጉልህ ለውጦች ተደርገዋል?")</f>
        <v>በ2003 በአፉላ ሕጎች ላይ ምን ጉልህ ለውጦች ተደርገዋል?</v>
      </c>
      <c r="I86" s="5" t="str">
        <f>IFERROR(__xludf.DUMMYFUNCTION(" GOOGLETRANSLATE(C86, ""en"", ""am"")"),"ሀ. የእረፍት ጊዜ ገደብ ለ. የኳሱን መጠን መጨመር ሐ. የውጤት ቆብ መግቢያ መ. የወንጀል ሥርዓቱ መግቢያ")</f>
        <v>ሀ. የእረፍት ጊዜ ገደብ ለ. የኳሱን መጠን መጨመር ሐ. የውጤት ቆብ መግቢያ መ. የወንጀል ሥርዓቱ መግቢያ</v>
      </c>
      <c r="J86" s="5" t="str">
        <f>IFERROR(__xludf.DUMMYFUNCTION(" GOOGLETRANSLATE(D86, ""en"", ""am"")"),"የቅጣት ሥርዓት መግቢያ")</f>
        <v>የቅጣት ሥርዓት መግቢያ</v>
      </c>
      <c r="K86" s="5" t="str">
        <f>IFERROR(__xludf.DUMMYFUNCTION(" GOOGLETRANSLATE(E86, ""en"", ""am"")"),"እ.ኤ.አ. በ 2003 አፎላቢ ለህገ-ወጥ ድርጊቶች የቅጣት ዘዴን አስተዋወቀ።")</f>
        <v>እ.ኤ.አ. በ 2003 አፎላቢ ለህገ-ወጥ ድርጊቶች የቅጣት ዘዴን አስተዋወቀ።</v>
      </c>
    </row>
    <row r="87" ht="22.5" customHeight="1">
      <c r="A87" s="3">
        <v>86.0</v>
      </c>
      <c r="B87" s="4" t="s">
        <v>2222</v>
      </c>
      <c r="C87" s="4" t="s">
        <v>2223</v>
      </c>
      <c r="D87" s="4" t="s">
        <v>2224</v>
      </c>
      <c r="E87" s="4" t="s">
        <v>2225</v>
      </c>
      <c r="G87" s="5" t="str">
        <f>IFERROR(__xludf.DUMMYFUNCTION(" GOOGLETRANSLATE(A87, ""en"", ""am"")"),"86")</f>
        <v>86</v>
      </c>
      <c r="H87" s="5" t="str">
        <f>IFERROR(__xludf.DUMMYFUNCTION(" GOOGLETRANSLATE(B87, ""en"", ""am"")"),"ከእነዚህ አገሮች ውስጥ የአፉላ የዓለም ሻምፒዮና ያላዘጋጀው የትኛው ነው?")</f>
        <v>ከእነዚህ አገሮች ውስጥ የአፉላ የዓለም ሻምፒዮና ያላዘጋጀው የትኛው ነው?</v>
      </c>
      <c r="I87" s="5" t="str">
        <f>IFERROR(__xludf.DUMMYFUNCTION(" GOOGLETRANSLATE(C87, ""en"", ""am"")"),"ሀ.ጀርመን ቢ.ኢጣሊያ ሲ.አውስትራሊያ ዲ.አውስትራሊያ")</f>
        <v>ሀ.ጀርመን ቢ.ኢጣሊያ ሲ.አውስትራሊያ ዲ.አውስትራሊያ</v>
      </c>
      <c r="J87" s="5" t="str">
        <f>IFERROR(__xludf.DUMMYFUNCTION(" GOOGLETRANSLATE(D87, ""en"", ""am"")"),"አውስትራሊያ")</f>
        <v>አውስትራሊያ</v>
      </c>
      <c r="K87" s="5" t="str">
        <f>IFERROR(__xludf.DUMMYFUNCTION(" GOOGLETRANSLATE(E87, ""en"", ""am"")"),"አውስትራሊያ የአፉላ የዓለም ሻምፒዮና አዘጋጅታ አታውቅም።")</f>
        <v>አውስትራሊያ የአፉላ የዓለም ሻምፒዮና አዘጋጅታ አታውቅም።</v>
      </c>
    </row>
    <row r="88" ht="22.5" customHeight="1">
      <c r="A88" s="3">
        <v>87.0</v>
      </c>
      <c r="B88" s="4" t="s">
        <v>2226</v>
      </c>
      <c r="C88" s="4" t="s">
        <v>2227</v>
      </c>
      <c r="D88" s="4" t="s">
        <v>2228</v>
      </c>
      <c r="E88" s="4" t="s">
        <v>2229</v>
      </c>
      <c r="G88" s="5" t="str">
        <f>IFERROR(__xludf.DUMMYFUNCTION(" GOOGLETRANSLATE(A88, ""en"", ""am"")"),"87")</f>
        <v>87</v>
      </c>
      <c r="H88" s="5" t="str">
        <f>IFERROR(__xludf.DUMMYFUNCTION(" GOOGLETRANSLATE(B88, ""en"", ""am"")"),"የ2001 አፉላ የዓለም ሻምፒዮና አስፈላጊነት ምንድነው?")</f>
        <v>የ2001 አፉላ የዓለም ሻምፒዮና አስፈላጊነት ምንድነው?</v>
      </c>
      <c r="I88" s="5" t="str">
        <f>IFERROR(__xludf.DUMMYFUNCTION(" GOOGLETRANSLATE(C88, ""en"", ""am"")"),"ሀ. የመጀመሪያ ውድድር በእስያ ለ. ሪከርድ ሰባሪ ታዳሚ ሐ. የመጀመሪያ ግጥሚያ ከቀጥታ ስርጭት ጋር መ. ሪከርድ ሰባሪ ታዳሚ")</f>
        <v>ሀ. የመጀመሪያ ውድድር በእስያ ለ. ሪከርድ ሰባሪ ታዳሚ ሐ. የመጀመሪያ ግጥሚያ ከቀጥታ ስርጭት ጋር መ. ሪከርድ ሰባሪ ታዳሚ</v>
      </c>
      <c r="J88" s="5" t="str">
        <f>IFERROR(__xludf.DUMMYFUNCTION(" GOOGLETRANSLATE(D88, ""en"", ""am"")"),"ሪከርድ ሰባሪ ታዳሚ")</f>
        <v>ሪከርድ ሰባሪ ታዳሚ</v>
      </c>
      <c r="K88" s="5" t="str">
        <f>IFERROR(__xludf.DUMMYFUNCTION(" GOOGLETRANSLATE(E88, ""en"", ""am"")"),"እ.ኤ.አ. በ 2001 አፋላ የዓለም ሻምፒዮና ከፍተኛ የተመልካቾችን ቁጥር አስመዝግቧል።")</f>
        <v>እ.ኤ.አ. በ 2001 አፋላ የዓለም ሻምፒዮና ከፍተኛ የተመልካቾችን ቁጥር አስመዝግቧል።</v>
      </c>
    </row>
    <row r="89" ht="22.5" customHeight="1">
      <c r="A89" s="3">
        <v>88.0</v>
      </c>
      <c r="B89" s="4" t="s">
        <v>2230</v>
      </c>
      <c r="C89" s="4" t="s">
        <v>2231</v>
      </c>
      <c r="D89" s="4" t="s">
        <v>2029</v>
      </c>
      <c r="E89" s="4" t="s">
        <v>2232</v>
      </c>
      <c r="G89" s="5" t="str">
        <f>IFERROR(__xludf.DUMMYFUNCTION(" GOOGLETRANSLATE(A89, ""en"", ""am"")"),"88")</f>
        <v>88</v>
      </c>
      <c r="H89" s="5" t="str">
        <f>IFERROR(__xludf.DUMMYFUNCTION(" GOOGLETRANSLATE(B89, ""en"", ""am"")"),"የጁኒየር እግር ኳስ ውድድርን ጽንሰ ሀሳብ ለመጀመሪያ ጊዜ ያስተዋወቀው የትኛው ሀገር ነው?")</f>
        <v>የጁኒየር እግር ኳስ ውድድርን ጽንሰ ሀሳብ ለመጀመሪያ ጊዜ ያስተዋወቀው የትኛው ሀገር ነው?</v>
      </c>
      <c r="I89" s="5" t="str">
        <f>IFERROR(__xludf.DUMMYFUNCTION(" GOOGLETRANSLATE(C89, ""en"", ""am"")"),"አ. ፈረንሳይ ቢ ዩናይትድ ስቴትስ ሲ ብራዚል ዲ. ጀርመን")</f>
        <v>አ. ፈረንሳይ ቢ ዩናይትድ ስቴትስ ሲ ብራዚል ዲ. ጀርመን</v>
      </c>
      <c r="J89" s="5" t="str">
        <f>IFERROR(__xludf.DUMMYFUNCTION(" GOOGLETRANSLATE(D89, ""en"", ""am"")"),"ጀርመን")</f>
        <v>ጀርመን</v>
      </c>
      <c r="K89" s="5" t="str">
        <f>IFERROR(__xludf.DUMMYFUNCTION(" GOOGLETRANSLATE(E89, ""en"", ""am"")"),"ጀርመን በ1990ዎቹ መጀመሪያ ላይ የጁኒየር አፋላ ውድድሮችን አስተዋወቀች።")</f>
        <v>ጀርመን በ1990ዎቹ መጀመሪያ ላይ የጁኒየር አፋላ ውድድሮችን አስተዋወቀች።</v>
      </c>
    </row>
    <row r="90" ht="22.5" customHeight="1">
      <c r="A90" s="3">
        <v>89.0</v>
      </c>
      <c r="B90" s="4" t="s">
        <v>2233</v>
      </c>
      <c r="C90" s="4" t="s">
        <v>2234</v>
      </c>
      <c r="D90" s="4" t="s">
        <v>1945</v>
      </c>
      <c r="E90" s="4" t="s">
        <v>2235</v>
      </c>
      <c r="G90" s="5" t="str">
        <f>IFERROR(__xludf.DUMMYFUNCTION(" GOOGLETRANSLATE(A90, ""en"", ""am"")"),"89")</f>
        <v>89</v>
      </c>
      <c r="H90" s="5" t="str">
        <f>IFERROR(__xludf.DUMMYFUNCTION(" GOOGLETRANSLATE(B90, ""en"", ""am"")"),"በእግር ኳስ ጨዋታ ፍጹም 10 ያስቆጠረ የመጀመሪያው ተጫዋች ማን ነበር?")</f>
        <v>በእግር ኳስ ጨዋታ ፍጹም 10 ያስቆጠረ የመጀመሪያው ተጫዋች ማን ነበር?</v>
      </c>
      <c r="I90" s="5" t="str">
        <f>IFERROR(__xludf.DUMMYFUNCTION(" GOOGLETRANSLATE(C90, ""en"", ""am"")"),"ሀ. ቶሚ ቦየር ቢ ማርክ ዛንደር ሲ ሳራ አሊ ዲ ማርክ ዛንደር")</f>
        <v>ሀ. ቶሚ ቦየር ቢ ማርክ ዛንደር ሲ ሳራ አሊ ዲ ማርክ ዛንደር</v>
      </c>
      <c r="J90" s="5" t="str">
        <f>IFERROR(__xludf.DUMMYFUNCTION(" GOOGLETRANSLATE(D90, ""en"", ""am"")"),"ማርክ ዛንደር")</f>
        <v>ማርክ ዛንደር</v>
      </c>
      <c r="K90" s="5" t="str">
        <f>IFERROR(__xludf.DUMMYFUNCTION(" GOOGLETRANSLATE(E90, ""en"", ""am"")"),"ማርክ ዛንደር በአንድ ግጥሚያ ፍጹም 10 ያስቆጠረ የመጀመሪያው ተጫዋች ነው።")</f>
        <v>ማርክ ዛንደር በአንድ ግጥሚያ ፍጹም 10 ያስቆጠረ የመጀመሪያው ተጫዋች ነው።</v>
      </c>
    </row>
    <row r="91" ht="22.5" customHeight="1">
      <c r="A91" s="3">
        <v>90.0</v>
      </c>
      <c r="B91" s="4" t="s">
        <v>2236</v>
      </c>
      <c r="C91" s="4" t="s">
        <v>2237</v>
      </c>
      <c r="D91" s="4" t="s">
        <v>724</v>
      </c>
      <c r="E91" s="4" t="s">
        <v>724</v>
      </c>
      <c r="G91" s="5" t="str">
        <f>IFERROR(__xludf.DUMMYFUNCTION(" GOOGLETRANSLATE(A91, ""en"", ""am"")"),"90")</f>
        <v>90</v>
      </c>
      <c r="H91" s="5" t="str">
        <f>IFERROR(__xludf.DUMMYFUNCTION(" GOOGLETRANSLATE(B91, ""en"", ""am"")"),"አፋሉላ የኦሎምፒክ ማሳያ ስፖርት በየትኛው አመት ነበር?")</f>
        <v>አፋሉላ የኦሎምፒክ ማሳያ ስፖርት በየትኛው አመት ነበር?</v>
      </c>
      <c r="I91" s="5" t="str">
        <f>IFERROR(__xludf.DUMMYFUNCTION(" GOOGLETRANSLATE(C91, ""en"", ""am"")"),"እ.ኤ.አ. 2000 ዓ.ም. 2004 ዓ.ም. 2008 ዲ. 2000 ዓ.ም.")</f>
        <v>እ.ኤ.አ. 2000 ዓ.ም. 2004 ዓ.ም. 2008 ዲ. 2000 ዓ.ም.</v>
      </c>
      <c r="J91" s="5" t="str">
        <f>IFERROR(__xludf.DUMMYFUNCTION(" GOOGLETRANSLATE(D91, ""en"", ""am"")"),"2000")</f>
        <v>2000</v>
      </c>
      <c r="K91" s="5" t="str">
        <f>IFERROR(__xludf.DUMMYFUNCTION(" GOOGLETRANSLATE(E91, ""en"", ""am"")"),"2000")</f>
        <v>2000</v>
      </c>
    </row>
    <row r="92" ht="22.5" customHeight="1">
      <c r="A92" s="3">
        <v>91.0</v>
      </c>
      <c r="B92" s="4" t="s">
        <v>2238</v>
      </c>
      <c r="C92" s="4" t="s">
        <v>2239</v>
      </c>
      <c r="D92" s="4" t="s">
        <v>2094</v>
      </c>
      <c r="E92" s="4" t="s">
        <v>2240</v>
      </c>
      <c r="G92" s="5" t="str">
        <f>IFERROR(__xludf.DUMMYFUNCTION(" GOOGLETRANSLATE(A92, ""en"", ""am"")"),"91")</f>
        <v>91</v>
      </c>
      <c r="H92" s="5" t="str">
        <f>IFERROR(__xludf.DUMMYFUNCTION(" GOOGLETRANSLATE(B92, ""en"", ""am"")"),"የአለም ዋንጫ አሸናፊዎችን በማፍራት የምትታወቀው ሀገር የትኛው ነው?")</f>
        <v>የአለም ዋንጫ አሸናፊዎችን በማፍራት የምትታወቀው ሀገር የትኛው ነው?</v>
      </c>
      <c r="I92" s="5" t="str">
        <f>IFERROR(__xludf.DUMMYFUNCTION(" GOOGLETRANSLATE(C92, ""en"", ""am"")"),"ኣብ ፈረንሳ ብ ጣልያን ሲ ጃፓን ዲ")</f>
        <v>ኣብ ፈረንሳ ብ ጣልያን ሲ ጃፓን ዲ</v>
      </c>
      <c r="J92" s="5" t="str">
        <f>IFERROR(__xludf.DUMMYFUNCTION(" GOOGLETRANSLATE(D92, ""en"", ""am"")"),"ፈረንሳይ")</f>
        <v>ፈረንሳይ</v>
      </c>
      <c r="K92" s="5" t="str">
        <f>IFERROR(__xludf.DUMMYFUNCTION(" GOOGLETRANSLATE(E92, ""en"", ""am"")"),"ፈረንሳይ ብዙ የአለም ዋንጫ አሸናፊዎችን አፍርታለች።")</f>
        <v>ፈረንሳይ ብዙ የአለም ዋንጫ አሸናፊዎችን አፍርታለች።</v>
      </c>
    </row>
    <row r="93" ht="22.5" customHeight="1">
      <c r="A93" s="3">
        <v>92.0</v>
      </c>
      <c r="B93" s="4" t="s">
        <v>2241</v>
      </c>
      <c r="C93" s="4" t="s">
        <v>2242</v>
      </c>
      <c r="D93" s="4" t="s">
        <v>1987</v>
      </c>
      <c r="E93" s="4" t="s">
        <v>2243</v>
      </c>
      <c r="G93" s="5" t="str">
        <f>IFERROR(__xludf.DUMMYFUNCTION(" GOOGLETRANSLATE(A93, ""en"", ""am"")"),"92")</f>
        <v>92</v>
      </c>
      <c r="H93" s="5" t="str">
        <f>IFERROR(__xludf.DUMMYFUNCTION(" GOOGLETRANSLATE(B93, ""en"", ""am"")"),"ቡድኑ ለመጀመሪያ ጊዜ በአፉላ የዓለም ሻምፒዮና እንዲያሸንፍ የረዳው ማን ነው?")</f>
        <v>ቡድኑ ለመጀመሪያ ጊዜ በአፉላ የዓለም ሻምፒዮና እንዲያሸንፍ የረዳው ማን ነው?</v>
      </c>
      <c r="I93" s="5" t="str">
        <f>IFERROR(__xludf.DUMMYFUNCTION(" GOOGLETRANSLATE(C93, ""en"", ""am"")"),"ሀ. ቶሚ ቦየር ቢ. ጆን ዶ ሲ ማርክ ዛንደር ዲ. ቶሚ ቦየር")</f>
        <v>ሀ. ቶሚ ቦየር ቢ. ጆን ዶ ሲ ማርክ ዛንደር ዲ. ቶሚ ቦየር</v>
      </c>
      <c r="J93" s="5" t="str">
        <f>IFERROR(__xludf.DUMMYFUNCTION(" GOOGLETRANSLATE(D93, ""en"", ""am"")"),"ቶሚ ቦየር")</f>
        <v>ቶሚ ቦየር</v>
      </c>
      <c r="K93" s="5" t="str">
        <f>IFERROR(__xludf.DUMMYFUNCTION(" GOOGLETRANSLATE(E93, ""en"", ""am"")"),"ቶሚ ቦየር በ 2005 የመጀመሪያውን የዓለም ሻምፒዮና ድል አንድ ቡድን አሰልጥኗል።")</f>
        <v>ቶሚ ቦየር በ 2005 የመጀመሪያውን የዓለም ሻምፒዮና ድል አንድ ቡድን አሰልጥኗል።</v>
      </c>
    </row>
    <row r="94" ht="22.5" customHeight="1">
      <c r="A94" s="3">
        <v>93.0</v>
      </c>
      <c r="B94" s="4" t="s">
        <v>2244</v>
      </c>
      <c r="C94" s="4" t="s">
        <v>2245</v>
      </c>
      <c r="D94" s="4" t="s">
        <v>2246</v>
      </c>
      <c r="E94" s="4" t="s">
        <v>2247</v>
      </c>
      <c r="G94" s="5" t="str">
        <f>IFERROR(__xludf.DUMMYFUNCTION(" GOOGLETRANSLATE(A94, ""en"", ""am"")"),"93")</f>
        <v>93</v>
      </c>
      <c r="H94" s="5" t="str">
        <f>IFERROR(__xludf.DUMMYFUNCTION(" GOOGLETRANSLATE(B94, ""en"", ""am"")"),"የወንዶች አፋላ የዓለም ሻምፒዮና ቡድንን በማሰልጠን የመጀመሪያዋ ሴት ማን ነበረች?")</f>
        <v>የወንዶች አፋላ የዓለም ሻምፒዮና ቡድንን በማሰልጠን የመጀመሪያዋ ሴት ማን ነበረች?</v>
      </c>
      <c r="I94" s="5" t="str">
        <f>IFERROR(__xludf.DUMMYFUNCTION(" GOOGLETRANSLATE(C94, ""en"", ""am"")"),"ኤ ሳራ አሊ ቢ ኤሚሊ ሮዝ ሲ ጄሲካ ብላክ ዲ ሞኒካ ጆንሰን")</f>
        <v>ኤ ሳራ አሊ ቢ ኤሚሊ ሮዝ ሲ ጄሲካ ብላክ ዲ ሞኒካ ጆንሰን</v>
      </c>
      <c r="J94" s="5" t="str">
        <f>IFERROR(__xludf.DUMMYFUNCTION(" GOOGLETRANSLATE(D94, ""en"", ""am"")"),"ሞኒካ ጆንሰን")</f>
        <v>ሞኒካ ጆንሰን</v>
      </c>
      <c r="K94" s="5" t="str">
        <f>IFERROR(__xludf.DUMMYFUNCTION(" GOOGLETRANSLATE(E94, ""en"", ""am"")"),"ሞኒካ ጆንሰን በአፉላ የዓለም ሻምፒዮና የወንዶች ቡድን በማሰልጠን የመጀመሪያዋ ሴት ሆነች።")</f>
        <v>ሞኒካ ጆንሰን በአፉላ የዓለም ሻምፒዮና የወንዶች ቡድን በማሰልጠን የመጀመሪያዋ ሴት ሆነች።</v>
      </c>
    </row>
    <row r="95" ht="22.5" customHeight="1">
      <c r="A95" s="3">
        <v>94.0</v>
      </c>
      <c r="B95" s="4" t="s">
        <v>2248</v>
      </c>
      <c r="C95" s="4" t="s">
        <v>2249</v>
      </c>
      <c r="D95" s="4" t="s">
        <v>2250</v>
      </c>
      <c r="E95" s="4" t="s">
        <v>2251</v>
      </c>
      <c r="G95" s="5" t="str">
        <f>IFERROR(__xludf.DUMMYFUNCTION(" GOOGLETRANSLATE(A95, ""en"", ""am"")"),"94")</f>
        <v>94</v>
      </c>
      <c r="H95" s="5" t="str">
        <f>IFERROR(__xludf.DUMMYFUNCTION(" GOOGLETRANSLATE(B95, ""en"", ""am"")"),"የቅርብ ጊዜ የአፉላ የዓለም ሻምፒዮና የተካሄደው በየትኛው ሀገር ነበር?")</f>
        <v>የቅርብ ጊዜ የአፉላ የዓለም ሻምፒዮና የተካሄደው በየትኛው ሀገር ነበር?</v>
      </c>
      <c r="I95" s="5" t="str">
        <f>IFERROR(__xludf.DUMMYFUNCTION(" GOOGLETRANSLATE(C95, ""en"", ""am"")"),"አ. ፍራንስ ቢ. ጃፓን ሲ ዩናይትድ ስቴትስ D. ጃፓን")</f>
        <v>አ. ፍራንስ ቢ. ጃፓን ሲ ዩናይትድ ስቴትስ D. ጃፓን</v>
      </c>
      <c r="J95" s="5" t="str">
        <f>IFERROR(__xludf.DUMMYFUNCTION(" GOOGLETRANSLATE(D95, ""en"", ""am"")"),"ጃፓን")</f>
        <v>ጃፓን</v>
      </c>
      <c r="K95" s="5" t="str">
        <f>IFERROR(__xludf.DUMMYFUNCTION(" GOOGLETRANSLATE(E95, ""en"", ""am"")"),"የቅርብ ጊዜ የአፉላ የዓለም ሻምፒዮና በጃፓን ተካሂዷል።")</f>
        <v>የቅርብ ጊዜ የአፉላ የዓለም ሻምፒዮና በጃፓን ተካሂዷል።</v>
      </c>
    </row>
    <row r="96" ht="22.5" customHeight="1">
      <c r="A96" s="3">
        <v>95.0</v>
      </c>
      <c r="B96" s="4" t="s">
        <v>2252</v>
      </c>
      <c r="C96" s="4" t="s">
        <v>2253</v>
      </c>
      <c r="D96" s="4" t="s">
        <v>1972</v>
      </c>
      <c r="E96" s="4" t="s">
        <v>2254</v>
      </c>
      <c r="G96" s="5" t="str">
        <f>IFERROR(__xludf.DUMMYFUNCTION(" GOOGLETRANSLATE(A96, ""en"", ""am"")"),"95")</f>
        <v>95</v>
      </c>
      <c r="H96" s="5" t="str">
        <f>IFERROR(__xludf.DUMMYFUNCTION(" GOOGLETRANSLATE(B96, ""en"", ""am"")"),"የትኛው ተጫዋች ነው በፊርማቸው የሚታወቀው?")</f>
        <v>የትኛው ተጫዋች ነው በፊርማቸው የሚታወቀው?</v>
      </c>
      <c r="I96" s="5" t="str">
        <f>IFERROR(__xludf.DUMMYFUNCTION(" GOOGLETRANSLATE(C96, ""en"", ""am"")"),"ሀ. ጆን ዶ ቢ. ሳራ አሊ ሲ. ቶሚ ቦየር ዲ. ሳራ አሊ")</f>
        <v>ሀ. ጆን ዶ ቢ. ሳራ አሊ ሲ. ቶሚ ቦየር ዲ. ሳራ አሊ</v>
      </c>
      <c r="J96" s="5" t="str">
        <f>IFERROR(__xludf.DUMMYFUNCTION(" GOOGLETRANSLATE(D96, ""en"", ""am"")"),"ሳራ አሊ")</f>
        <v>ሳራ አሊ</v>
      </c>
      <c r="K96" s="5" t="str">
        <f>IFERROR(__xludf.DUMMYFUNCTION(" GOOGLETRANSLATE(E96, ""en"", ""am"")"),"ሳራ አሊ በ'የሚበር ኳስ' እንቅስቃሴዋ ታዋቂ ነች።")</f>
        <v>ሳራ አሊ በ'የሚበር ኳስ' እንቅስቃሴዋ ታዋቂ ነች።</v>
      </c>
    </row>
    <row r="97" ht="22.5" customHeight="1">
      <c r="A97" s="3">
        <v>96.0</v>
      </c>
      <c r="B97" s="4" t="s">
        <v>2255</v>
      </c>
      <c r="C97" s="4" t="s">
        <v>2256</v>
      </c>
      <c r="D97" s="4" t="s">
        <v>2257</v>
      </c>
      <c r="E97" s="4" t="s">
        <v>2257</v>
      </c>
      <c r="G97" s="5" t="str">
        <f>IFERROR(__xludf.DUMMYFUNCTION(" GOOGLETRANSLATE(A97, ""en"", ""am"")"),"96")</f>
        <v>96</v>
      </c>
      <c r="H97" s="5" t="str">
        <f>IFERROR(__xludf.DUMMYFUNCTION(" GOOGLETRANSLATE(B97, ""en"", ""am"")"),"አፋሉላ የተቀላቀለ ድብልቆችን ምድብ የጨመረው በየትኛው አመት ነው?")</f>
        <v>አፋሉላ የተቀላቀለ ድብልቆችን ምድብ የጨመረው በየትኛው አመት ነው?</v>
      </c>
      <c r="I97" s="5" t="str">
        <f>IFERROR(__xludf.DUMMYFUNCTION(" GOOGLETRANSLATE(C97, ""en"", ""am"")"),"እ.ኤ.አ. 2000 ዓ.ም. 2005 ዓ.ም. 2010 ዲ. 2005 ዓ.ም.")</f>
        <v>እ.ኤ.አ. 2000 ዓ.ም. 2005 ዓ.ም. 2010 ዲ. 2005 ዓ.ም.</v>
      </c>
      <c r="J97" s="5" t="str">
        <f>IFERROR(__xludf.DUMMYFUNCTION(" GOOGLETRANSLATE(D97, ""en"", ""am"")"),"በ2005 ዓ.ም")</f>
        <v>በ2005 ዓ.ም</v>
      </c>
      <c r="K97" s="5" t="str">
        <f>IFERROR(__xludf.DUMMYFUNCTION(" GOOGLETRANSLATE(E97, ""en"", ""am"")"),"በ2005 ዓ.ም")</f>
        <v>በ2005 ዓ.ም</v>
      </c>
    </row>
    <row r="98" ht="22.5" customHeight="1">
      <c r="A98" s="3">
        <v>97.0</v>
      </c>
      <c r="B98" s="4" t="s">
        <v>2258</v>
      </c>
      <c r="C98" s="4" t="s">
        <v>2259</v>
      </c>
      <c r="D98" s="4" t="s">
        <v>1987</v>
      </c>
      <c r="E98" s="4" t="s">
        <v>2260</v>
      </c>
      <c r="G98" s="5" t="str">
        <f>IFERROR(__xludf.DUMMYFUNCTION(" GOOGLETRANSLATE(A98, ""en"", ""am"")"),"97")</f>
        <v>97</v>
      </c>
      <c r="H98" s="5" t="str">
        <f>IFERROR(__xludf.DUMMYFUNCTION(" GOOGLETRANSLATE(B98, ""en"", ""am"")"),"በመጨረሻው ውድድር ሽንፈት ሳያስተናግድ ጡረታ የወጣ የመጀመሪያው ተጫዋች ማን ነበር?")</f>
        <v>በመጨረሻው ውድድር ሽንፈት ሳያስተናግድ ጡረታ የወጣ የመጀመሪያው ተጫዋች ማን ነበር?</v>
      </c>
      <c r="I98" s="5" t="str">
        <f>IFERROR(__xludf.DUMMYFUNCTION(" GOOGLETRANSLATE(C98, ""en"", ""am"")"),"አ. ማርክ ዛንደር ቢ. ጆን ዶ ሲ ሳራ አሊ ዲ. ቶሚ ቦየር")</f>
        <v>አ. ማርክ ዛንደር ቢ. ጆን ዶ ሲ ሳራ አሊ ዲ. ቶሚ ቦየር</v>
      </c>
      <c r="J98" s="5" t="str">
        <f>IFERROR(__xludf.DUMMYFUNCTION(" GOOGLETRANSLATE(D98, ""en"", ""am"")"),"ቶሚ ቦየር")</f>
        <v>ቶሚ ቦየር</v>
      </c>
      <c r="K98" s="5" t="str">
        <f>IFERROR(__xludf.DUMMYFUNCTION(" GOOGLETRANSLATE(E98, ""en"", ""am"")"),"ቶሚ ቦየር እ.ኤ.አ. በ 2008 በአፉላ አልተሸነፈም በጡረታ ወጥቷል።")</f>
        <v>ቶሚ ቦየር እ.ኤ.አ. በ 2008 በአፉላ አልተሸነፈም በጡረታ ወጥቷል።</v>
      </c>
    </row>
    <row r="99" ht="22.5" customHeight="1">
      <c r="A99" s="3">
        <v>98.0</v>
      </c>
      <c r="B99" s="4" t="s">
        <v>2261</v>
      </c>
      <c r="C99" s="4" t="s">
        <v>2262</v>
      </c>
      <c r="D99" s="4" t="s">
        <v>1009</v>
      </c>
      <c r="E99" s="4" t="s">
        <v>2263</v>
      </c>
      <c r="G99" s="5" t="str">
        <f>IFERROR(__xludf.DUMMYFUNCTION(" GOOGLETRANSLATE(A99, ""en"", ""am"")"),"98")</f>
        <v>98</v>
      </c>
      <c r="H99" s="5" t="str">
        <f>IFERROR(__xludf.DUMMYFUNCTION(" GOOGLETRANSLATE(B99, ""en"", ""am"")"),"በ2012 አፉላ የዓለም ሻምፒዮና ወቅት ተንታኝ ሆኖ ያገለገለው ታዋቂ ስፖርተኛ የትኛው ነው?")</f>
        <v>በ2012 አፉላ የዓለም ሻምፒዮና ወቅት ተንታኝ ሆኖ ያገለገለው ታዋቂ ስፖርተኛ የትኛው ነው?</v>
      </c>
      <c r="I99" s="5" t="str">
        <f>IFERROR(__xludf.DUMMYFUNCTION(" GOOGLETRANSLATE(C99, ""en"", ""am"")"),"ኤ. ማይክል ዮርዳኖስ ቢ ዩሴን ቦልት ሲ.ሊዮኔል ሜሲ ዲ ዩሴን ቦልት")</f>
        <v>ኤ. ማይክል ዮርዳኖስ ቢ ዩሴን ቦልት ሲ.ሊዮኔል ሜሲ ዲ ዩሴን ቦልት</v>
      </c>
      <c r="J99" s="5" t="str">
        <f>IFERROR(__xludf.DUMMYFUNCTION(" GOOGLETRANSLATE(D99, ""en"", ""am"")"),"Usain ቦልት")</f>
        <v>Usain ቦልት</v>
      </c>
      <c r="K99" s="5" t="str">
        <f>IFERROR(__xludf.DUMMYFUNCTION(" GOOGLETRANSLATE(E99, ""en"", ""am"")"),"ዩሴይን ቦልት በ2012 አፋሉላ የዓለም ሻምፒዮና ላይ ተንታኝ ሆኖ አገልግሏል።")</f>
        <v>ዩሴይን ቦልት በ2012 አፋሉላ የዓለም ሻምፒዮና ላይ ተንታኝ ሆኖ አገልግሏል።</v>
      </c>
    </row>
    <row r="100" ht="22.5" customHeight="1">
      <c r="A100" s="3">
        <v>99.0</v>
      </c>
      <c r="B100" s="4" t="s">
        <v>2264</v>
      </c>
      <c r="C100" s="4" t="s">
        <v>2198</v>
      </c>
      <c r="D100" s="4" t="s">
        <v>724</v>
      </c>
      <c r="E100" s="4" t="s">
        <v>724</v>
      </c>
      <c r="G100" s="5" t="str">
        <f>IFERROR(__xludf.DUMMYFUNCTION(" GOOGLETRANSLATE(A100, ""en"", ""am"")"),"99")</f>
        <v>99</v>
      </c>
      <c r="H100" s="5" t="str">
        <f>IFERROR(__xludf.DUMMYFUNCTION(" GOOGLETRANSLATE(B100, ""en"", ""am"")"),"የአፉላ የዓለም ሻምፒዮና የመጀመሪያውን ዓለም አቀፍ ስርጭት ያደረገው በየትኛው ዓመት ነው?")</f>
        <v>የአፉላ የዓለም ሻምፒዮና የመጀመሪያውን ዓለም አቀፍ ስርጭት ያደረገው በየትኛው ዓመት ነው?</v>
      </c>
      <c r="I100" s="5" t="str">
        <f>IFERROR(__xludf.DUMMYFUNCTION(" GOOGLETRANSLATE(C100, ""en"", ""am"")"),"እ.ኤ.አ. 2000 ዓ.ም. 2005 ዓ.ም. 2010 ዲ. 2000 ዓ.ም.")</f>
        <v>እ.ኤ.አ. 2000 ዓ.ም. 2005 ዓ.ም. 2010 ዲ. 2000 ዓ.ም.</v>
      </c>
      <c r="J100" s="5" t="str">
        <f>IFERROR(__xludf.DUMMYFUNCTION(" GOOGLETRANSLATE(D100, ""en"", ""am"")"),"2000")</f>
        <v>2000</v>
      </c>
      <c r="K100" s="5" t="str">
        <f>IFERROR(__xludf.DUMMYFUNCTION(" GOOGLETRANSLATE(E100, ""en"", ""am"")"),"2000")</f>
        <v>2000</v>
      </c>
    </row>
    <row r="101" ht="22.5" customHeight="1">
      <c r="A101" s="3">
        <v>100.0</v>
      </c>
      <c r="B101" s="4" t="s">
        <v>2265</v>
      </c>
      <c r="C101" s="4" t="s">
        <v>2266</v>
      </c>
      <c r="D101" s="4" t="s">
        <v>2029</v>
      </c>
      <c r="E101" s="4" t="s">
        <v>2267</v>
      </c>
      <c r="G101" s="5" t="str">
        <f>IFERROR(__xludf.DUMMYFUNCTION(" GOOGLETRANSLATE(A101, ""en"", ""am"")"),"100")</f>
        <v>100</v>
      </c>
      <c r="H101" s="5" t="str">
        <f>IFERROR(__xludf.DUMMYFUNCTION(" GOOGLETRANSLATE(B101, ""en"", ""am"")"),"የአፋሉላ ታላቁን ውድድር ያዘጋጀው የትኛው ሀገር ነው?")</f>
        <v>የአፋሉላ ታላቁን ውድድር ያዘጋጀው የትኛው ሀገር ነው?</v>
      </c>
      <c r="I101" s="5" t="str">
        <f>IFERROR(__xludf.DUMMYFUNCTION(" GOOGLETRANSLATE(C101, ""en"", ""am"")"),"ሀ.ጀርመን ብ ጣልያን ሲ ዩናይትድ ስቴትስ ዲ.ጀርመን")</f>
        <v>ሀ.ጀርመን ብ ጣልያን ሲ ዩናይትድ ስቴትስ ዲ.ጀርመን</v>
      </c>
      <c r="J101" s="5" t="str">
        <f>IFERROR(__xludf.DUMMYFUNCTION(" GOOGLETRANSLATE(D101, ""en"", ""am"")"),"ጀርመን")</f>
        <v>ጀርመን</v>
      </c>
      <c r="K101" s="5" t="str">
        <f>IFERROR(__xludf.DUMMYFUNCTION(" GOOGLETRANSLATE(E101, ""en"", ""am"")"),"አፋሉላ ግራንድ ፕሪክስን ያስተናገደች የመጀመሪያዋ ሀገር ጀርመን ነበረች።")</f>
        <v>አፋሉላ ግራንድ ፕሪክስን ያስተናገደች የመጀመሪያዋ ሀገር ጀርመን ነበረች።</v>
      </c>
    </row>
    <row r="102" ht="22.5" customHeight="1">
      <c r="A102" s="3">
        <v>101.0</v>
      </c>
      <c r="B102" s="4" t="s">
        <v>2268</v>
      </c>
      <c r="C102" s="4" t="s">
        <v>2269</v>
      </c>
      <c r="D102" s="4" t="s">
        <v>2270</v>
      </c>
      <c r="E102" s="4" t="s">
        <v>2271</v>
      </c>
      <c r="G102" s="5" t="str">
        <f>IFERROR(__xludf.DUMMYFUNCTION(" GOOGLETRANSLATE(A102, ""en"", ""am"")"),"101")</f>
        <v>101</v>
      </c>
      <c r="H102" s="5" t="str">
        <f>IFERROR(__xludf.DUMMYFUNCTION(" GOOGLETRANSLATE(B102, ""en"", ""am"")"),"የትኛው ታሪካዊ የአፋላ ግጥሚያ 'የክፍለ ዘመኑ ጨዋታ' ተብሎ ይታሰባል?")</f>
        <v>የትኛው ታሪካዊ የአፋላ ግጥሚያ 'የክፍለ ዘመኑ ጨዋታ' ተብሎ ይታሰባል?</v>
      </c>
      <c r="I102" s="5" t="str">
        <f>IFERROR(__xludf.DUMMYFUNCTION(" GOOGLETRANSLATE(C102, ""en"", ""am"")"),"ኤ. ጆን ዶ ከ ማርክ ዛንደር፣ 2000 B. ቶሚ ቦየር vs ማርክ ዛንደር፣ 1995 ሐ. ሳራ አሊ ከጄሲካ ብላክ፣ 2010 ዲ. ቶሚ ቦየር vs ማርክ ዛንደር፣ 1995")</f>
        <v>ኤ. ጆን ዶ ከ ማርክ ዛንደር፣ 2000 B. ቶሚ ቦየር vs ማርክ ዛንደር፣ 1995 ሐ. ሳራ አሊ ከጄሲካ ብላክ፣ 2010 ዲ. ቶሚ ቦየር vs ማርክ ዛንደር፣ 1995</v>
      </c>
      <c r="J102" s="5" t="str">
        <f>IFERROR(__xludf.DUMMYFUNCTION(" GOOGLETRANSLATE(D102, ""en"", ""am"")"),"ቶሚ ቦየር vs ማርክ ዛንደር፣ 1995")</f>
        <v>ቶሚ ቦየር vs ማርክ ዛንደር፣ 1995</v>
      </c>
      <c r="K102" s="5" t="str">
        <f>IFERROR(__xludf.DUMMYFUNCTION(" GOOGLETRANSLATE(E102, ""en"", ""am"")"),"በ2011 ዓ.ም.")</f>
        <v>በ2011 ዓ.ም.</v>
      </c>
    </row>
    <row r="103" ht="22.5" customHeight="1">
      <c r="A103" s="3">
        <v>102.0</v>
      </c>
      <c r="B103" s="4" t="s">
        <v>2272</v>
      </c>
      <c r="C103" s="4" t="s">
        <v>2273</v>
      </c>
      <c r="D103" s="4" t="s">
        <v>2274</v>
      </c>
      <c r="E103" s="4" t="s">
        <v>2275</v>
      </c>
      <c r="G103" s="5" t="str">
        <f>IFERROR(__xludf.DUMMYFUNCTION(" GOOGLETRANSLATE(A103, ""en"", ""am"")"),"102")</f>
        <v>102</v>
      </c>
      <c r="H103" s="5" t="str">
        <f>IFERROR(__xludf.DUMMYFUNCTION(" GOOGLETRANSLATE(B103, ""en"", ""am"")"),"በ2015 ምን አይነት የህግ ለውጥ በአፉላ ውስጥ ለበለጠ ስልታዊ እንቅስቃሴዎች ፈቅዷል?")</f>
        <v>በ2015 ምን አይነት የህግ ለውጥ በአፉላ ውስጥ ለበለጠ ስልታዊ እንቅስቃሴዎች ፈቅዷል?</v>
      </c>
      <c r="I103" s="5" t="str">
        <f>IFERROR(__xludf.DUMMYFUNCTION(" GOOGLETRANSLATE(C103, ""en"", ""am"")"),"ሀ.የኃይል ማመንጫዎች መግቢያ ለ. ላመለጡ ኳሶች ምንም ቅጣቶች የሉም። ሐ. የጊዜ ዑደቶች መግቢያ መ. የጊዜ ዑደቶች መግቢያ")</f>
        <v>ሀ.የኃይል ማመንጫዎች መግቢያ ለ. ላመለጡ ኳሶች ምንም ቅጣቶች የሉም። ሐ. የጊዜ ዑደቶች መግቢያ መ. የጊዜ ዑደቶች መግቢያ</v>
      </c>
      <c r="J103" s="5" t="str">
        <f>IFERROR(__xludf.DUMMYFUNCTION(" GOOGLETRANSLATE(D103, ""en"", ""am"")"),"የጊዜ ዑደቶች መግቢያ")</f>
        <v>የጊዜ ዑደቶች መግቢያ</v>
      </c>
      <c r="K103" s="5" t="str">
        <f>IFERROR(__xludf.DUMMYFUNCTION(" GOOGLETRANSLATE(E103, ""en"", ""am"")"),"ለበለጠ ስልታዊ ጨዋታ በመፍቀድ በጊዜ የተያዙ ዙሮች በ2015 ቀርበዋል።")</f>
        <v>ለበለጠ ስልታዊ ጨዋታ በመፍቀድ በጊዜ የተያዙ ዙሮች በ2015 ቀርበዋል።</v>
      </c>
    </row>
    <row r="104" ht="22.5" customHeight="1">
      <c r="A104" s="3">
        <v>103.0</v>
      </c>
      <c r="B104" s="4" t="s">
        <v>2276</v>
      </c>
      <c r="C104" s="4" t="s">
        <v>2277</v>
      </c>
      <c r="D104" s="4" t="s">
        <v>2212</v>
      </c>
      <c r="E104" s="4" t="s">
        <v>2278</v>
      </c>
      <c r="G104" s="5" t="str">
        <f>IFERROR(__xludf.DUMMYFUNCTION(" GOOGLETRANSLATE(A104, ""en"", ""am"")"),"103")</f>
        <v>103</v>
      </c>
      <c r="H104" s="5" t="str">
        <f>IFERROR(__xludf.DUMMYFUNCTION(" GOOGLETRANSLATE(B104, ""en"", ""am"")"),"በ 2000 ዎቹ ውስጥ ከቶሚ ቦየር ጋር በነበረው ፉክክር ታዋቂ የሆነው የትኛው ተጫዋች ነው?")</f>
        <v>በ 2000 ዎቹ ውስጥ ከቶሚ ቦየር ጋር በነበረው ፉክክር ታዋቂ የሆነው የትኛው ተጫዋች ነው?</v>
      </c>
      <c r="I104" s="5" t="str">
        <f>IFERROR(__xludf.DUMMYFUNCTION(" GOOGLETRANSLATE(C104, ""en"", ""am"")"),"ሀ. ጆን ዶ ቢ. ማርክ ዛንደር ሲ. ጄሲካ ብላክ ዲ. ጆን ዶ")</f>
        <v>ሀ. ጆን ዶ ቢ. ማርክ ዛንደር ሲ. ጄሲካ ብላክ ዲ. ጆን ዶ</v>
      </c>
      <c r="J104" s="5" t="str">
        <f>IFERROR(__xludf.DUMMYFUNCTION(" GOOGLETRANSLATE(D104, ""en"", ""am"")"),"ጆን ዶ")</f>
        <v>ጆን ዶ</v>
      </c>
      <c r="K104" s="5" t="str">
        <f>IFERROR(__xludf.DUMMYFUNCTION(" GOOGLETRANSLATE(E104, ""en"", ""am"")"),"ጆን ዶ እና ቶሚ ቦየር በ2000ዎቹ ውስጥ ታዋቂ ፉክክር ነበራቸው።")</f>
        <v>ጆን ዶ እና ቶሚ ቦየር በ2000ዎቹ ውስጥ ታዋቂ ፉክክር ነበራቸው።</v>
      </c>
    </row>
    <row r="105" ht="22.5" customHeight="1">
      <c r="A105" s="3">
        <v>104.0</v>
      </c>
      <c r="B105" s="4" t="s">
        <v>2279</v>
      </c>
      <c r="C105" s="4" t="s">
        <v>2280</v>
      </c>
      <c r="D105" s="4" t="s">
        <v>2281</v>
      </c>
      <c r="E105" s="4" t="s">
        <v>2282</v>
      </c>
      <c r="G105" s="5" t="str">
        <f>IFERROR(__xludf.DUMMYFUNCTION(" GOOGLETRANSLATE(A105, ""en"", ""am"")"),"104")</f>
        <v>104</v>
      </c>
      <c r="H105" s="5" t="str">
        <f>IFERROR(__xludf.DUMMYFUNCTION(" GOOGLETRANSLATE(B105, ""en"", ""am"")"),"የ2015 የአለም ዋንጫ በአፉላ ምን ደረጃ ላይ ደርሷል?")</f>
        <v>የ2015 የአለም ዋንጫ በአፉላ ምን ደረጃ ላይ ደርሷል?</v>
      </c>
      <c r="I105" s="5" t="str">
        <f>IFERROR(__xludf.DUMMYFUNCTION(" GOOGLETRANSLATE(C105, ""en"", ""am"")"),"ሀ. የቀጥታ ታዳሚ ድምጽ አሰጣጥ የመጀመሪያ መገኘት ለ. ዲጂታል ነጥብ መግቢያ ሐ. የመጀመሪያው የሴቶች ክፍል መ. የተሳታፊዎችን ብዛት ይመዝግቡ።")</f>
        <v>ሀ. የቀጥታ ታዳሚ ድምጽ አሰጣጥ የመጀመሪያ መገኘት ለ. ዲጂታል ነጥብ መግቢያ ሐ. የመጀመሪያው የሴቶች ክፍል መ. የተሳታፊዎችን ብዛት ይመዝግቡ።</v>
      </c>
      <c r="J105" s="5" t="str">
        <f>IFERROR(__xludf.DUMMYFUNCTION(" GOOGLETRANSLATE(D105, ""en"", ""am"")"),"የተሳታፊዎችን ብዛት ይመዝግቡ።")</f>
        <v>የተሳታፊዎችን ብዛት ይመዝግቡ።</v>
      </c>
      <c r="K105" s="5" t="str">
        <f>IFERROR(__xludf.DUMMYFUNCTION(" GOOGLETRANSLATE(E105, ""en"", ""am"")"),"የ2015 አፉላ የአለም ሻምፒዮና ከፍተኛ ቁጥር ያላቸውን ተሳታፊዎች ተመልክቷል።")</f>
        <v>የ2015 አፉላ የአለም ሻምፒዮና ከፍተኛ ቁጥር ያላቸውን ተሳታፊዎች ተመልክቷል።</v>
      </c>
    </row>
    <row r="106" ht="22.5" customHeight="1">
      <c r="A106" s="3">
        <v>105.0</v>
      </c>
      <c r="B106" s="4" t="s">
        <v>2283</v>
      </c>
      <c r="C106" s="4" t="s">
        <v>2284</v>
      </c>
      <c r="D106" s="4" t="s">
        <v>1987</v>
      </c>
      <c r="E106" s="4" t="s">
        <v>2285</v>
      </c>
      <c r="G106" s="5" t="str">
        <f>IFERROR(__xludf.DUMMYFUNCTION(" GOOGLETRANSLATE(A106, ""en"", ""am"")"),"105")</f>
        <v>105</v>
      </c>
      <c r="H106" s="5" t="str">
        <f>IFERROR(__xludf.DUMMYFUNCTION(" GOOGLETRANSLATE(B106, ""en"", ""am"")"),"አፋሉላ ግራንድ ፕሪክስን ያሸነፈ የመጀመሪያው ተጫዋች ማን ነበር?")</f>
        <v>አፋሉላ ግራንድ ፕሪክስን ያሸነፈ የመጀመሪያው ተጫዋች ማን ነበር?</v>
      </c>
      <c r="I106" s="5" t="str">
        <f>IFERROR(__xludf.DUMMYFUNCTION(" GOOGLETRANSLATE(C106, ""en"", ""am"")"),"አ. ቶሚ ቦየር ቢ. ሳራ አሊ ሲ. ጆን ዶ ዲ. ቶሚ ቦየር")</f>
        <v>አ. ቶሚ ቦየር ቢ. ሳራ አሊ ሲ. ጆን ዶ ዲ. ቶሚ ቦየር</v>
      </c>
      <c r="J106" s="5" t="str">
        <f>IFERROR(__xludf.DUMMYFUNCTION(" GOOGLETRANSLATE(D106, ""en"", ""am"")"),"ቶሚ ቦየር")</f>
        <v>ቶሚ ቦየር</v>
      </c>
      <c r="K106" s="5" t="str">
        <f>IFERROR(__xludf.DUMMYFUNCTION(" GOOGLETRANSLATE(E106, ""en"", ""am"")"),"ቶሚ ቦየር ታዋቂ የሆነውን አፋላ ግራንድ ፕሪክስን ያሸነፈ የመጀመሪያው ተጫዋች ነው።")</f>
        <v>ቶሚ ቦየር ታዋቂ የሆነውን አፋላ ግራንድ ፕሪክስን ያሸነፈ የመጀመሪያው ተጫዋች ነው።</v>
      </c>
    </row>
    <row r="107" ht="22.5" customHeight="1">
      <c r="A107" s="3">
        <v>106.0</v>
      </c>
      <c r="B107" s="4" t="s">
        <v>2286</v>
      </c>
      <c r="C107" s="4" t="s">
        <v>2097</v>
      </c>
      <c r="D107" s="4" t="s">
        <v>876</v>
      </c>
      <c r="E107" s="4" t="s">
        <v>876</v>
      </c>
      <c r="G107" s="5" t="str">
        <f>IFERROR(__xludf.DUMMYFUNCTION(" GOOGLETRANSLATE(A107, ""en"", ""am"")"),"106")</f>
        <v>106</v>
      </c>
      <c r="H107" s="5" t="str">
        <f>IFERROR(__xludf.DUMMYFUNCTION(" GOOGLETRANSLATE(B107, ""en"", ""am"")"),"የመጀመሪያው የአፉላ ሻምፒዮና የተካሄደው በየትኛው ዓመት ነበር?")</f>
        <v>የመጀመሪያው የአፉላ ሻምፒዮና የተካሄደው በየትኛው ዓመት ነበር?</v>
      </c>
      <c r="I107" s="5" t="str">
        <f>IFERROR(__xludf.DUMMYFUNCTION(" GOOGLETRANSLATE(C107, ""en"", ""am"")"),"ኣብ 1990 ብ1995 ዓ.ም.2000 ድ.1990 ዓ.ም.")</f>
        <v>ኣብ 1990 ብ1995 ዓ.ም.2000 ድ.1990 ዓ.ም.</v>
      </c>
      <c r="J107" s="5" t="str">
        <f>IFERROR(__xludf.DUMMYFUNCTION(" GOOGLETRANSLATE(D107, ""en"", ""am"")"),"በ1990 ዓ.ም")</f>
        <v>በ1990 ዓ.ም</v>
      </c>
      <c r="K107" s="5" t="str">
        <f>IFERROR(__xludf.DUMMYFUNCTION(" GOOGLETRANSLATE(E107, ""en"", ""am"")"),"በ1990 ዓ.ም")</f>
        <v>በ1990 ዓ.ም</v>
      </c>
    </row>
    <row r="108" ht="22.5" customHeight="1">
      <c r="A108" s="3">
        <v>107.0</v>
      </c>
      <c r="B108" s="4" t="s">
        <v>2287</v>
      </c>
      <c r="C108" s="4" t="s">
        <v>2288</v>
      </c>
      <c r="D108" s="4" t="s">
        <v>2094</v>
      </c>
      <c r="E108" s="4" t="s">
        <v>2289</v>
      </c>
      <c r="G108" s="5" t="str">
        <f>IFERROR(__xludf.DUMMYFUNCTION(" GOOGLETRANSLATE(A108, ""en"", ""am"")"),"107")</f>
        <v>107</v>
      </c>
      <c r="H108" s="5" t="str">
        <f>IFERROR(__xludf.DUMMYFUNCTION(" GOOGLETRANSLATE(B108, ""en"", ""am"")"),"የወጣቶች እግር ኳስ ሊጎችን ጽንሰ ሀሳብ ያስተዋወቀው የትኛው ሀገር ነው?")</f>
        <v>የወጣቶች እግር ኳስ ሊጎችን ጽንሰ ሀሳብ ያስተዋወቀው የትኛው ሀገር ነው?</v>
      </c>
      <c r="I108" s="5" t="str">
        <f>IFERROR(__xludf.DUMMYFUNCTION(" GOOGLETRANSLATE(C108, ""en"", ""am"")"),"ኣብ ጀርመን ብ ፍራንስ ሲ ዩናይትድ ስቴትስ ዲ")</f>
        <v>ኣብ ጀርመን ብ ፍራንስ ሲ ዩናይትድ ስቴትስ ዲ</v>
      </c>
      <c r="J108" s="5" t="str">
        <f>IFERROR(__xludf.DUMMYFUNCTION(" GOOGLETRANSLATE(D108, ""en"", ""am"")"),"ፈረንሳይ")</f>
        <v>ፈረንሳይ</v>
      </c>
      <c r="K108" s="5" t="str">
        <f>IFERROR(__xludf.DUMMYFUNCTION(" GOOGLETRANSLATE(E108, ""en"", ""am"")"),"ፈረንሣይ በ1980ዎቹ የወጣት እግር ኳስ ሊጎችን ጽንሰ ሐሳብ አስተዋወቀች።")</f>
        <v>ፈረንሣይ በ1980ዎቹ የወጣት እግር ኳስ ሊጎችን ጽንሰ ሐሳብ አስተዋወቀች።</v>
      </c>
    </row>
    <row r="109" ht="22.5" customHeight="1">
      <c r="A109" s="3">
        <v>108.0</v>
      </c>
      <c r="B109" s="4" t="s">
        <v>2290</v>
      </c>
      <c r="C109" s="4" t="s">
        <v>2291</v>
      </c>
      <c r="D109" s="4" t="s">
        <v>2292</v>
      </c>
      <c r="E109" s="4" t="s">
        <v>2293</v>
      </c>
      <c r="G109" s="5" t="str">
        <f>IFERROR(__xludf.DUMMYFUNCTION(" GOOGLETRANSLATE(A109, ""en"", ""am"")"),"108")</f>
        <v>108</v>
      </c>
      <c r="H109" s="5" t="str">
        <f>IFERROR(__xludf.DUMMYFUNCTION(" GOOGLETRANSLATE(B109, ""en"", ""am"")"),"በሰሜን አሜሪካ አፋሉላ እንዲስፋፋ ያደረገው ምን ክስተት ነው?")</f>
        <v>በሰሜን አሜሪካ አፋሉላ እንዲስፋፋ ያደረገው ምን ክስተት ነው?</v>
      </c>
      <c r="I109" s="5" t="str">
        <f>IFERROR(__xludf.DUMMYFUNCTION(" GOOGLETRANSLATE(C109, ""en"", ""am"")"),"እ.ኤ.አ. 2000 የኦሎምፒክ ማሳያ ለ. የመጀመሪያው የቀጥታ ስርጭት C. 2005 የዓለም ዋንጫ ዲ. 2000 የኦሎምፒክ ማሳያ")</f>
        <v>እ.ኤ.አ. 2000 የኦሎምፒክ ማሳያ ለ. የመጀመሪያው የቀጥታ ስርጭት C. 2005 የዓለም ዋንጫ ዲ. 2000 የኦሎምፒክ ማሳያ</v>
      </c>
      <c r="J109" s="5" t="str">
        <f>IFERROR(__xludf.DUMMYFUNCTION(" GOOGLETRANSLATE(D109, ""en"", ""am"")"),"2000 የኦሎምፒክ ማሳያ")</f>
        <v>2000 የኦሎምፒክ ማሳያ</v>
      </c>
      <c r="K109" s="5" t="str">
        <f>IFERROR(__xludf.DUMMYFUNCTION(" GOOGLETRANSLATE(E109, ""en"", ""am"")"),"አፋሉ በ2000 ኦሊምፒክ ከታየ በኋላ በሰሜን አሜሪካ ታዋቂ ሆነ።")</f>
        <v>አፋሉ በ2000 ኦሊምፒክ ከታየ በኋላ በሰሜን አሜሪካ ታዋቂ ሆነ።</v>
      </c>
    </row>
    <row r="110" ht="22.5" customHeight="1">
      <c r="A110" s="3">
        <v>109.0</v>
      </c>
      <c r="B110" s="4" t="s">
        <v>2294</v>
      </c>
      <c r="C110" s="4" t="s">
        <v>2295</v>
      </c>
      <c r="D110" s="4" t="s">
        <v>1945</v>
      </c>
      <c r="E110" s="4" t="s">
        <v>2296</v>
      </c>
      <c r="G110" s="5" t="str">
        <f>IFERROR(__xludf.DUMMYFUNCTION(" GOOGLETRANSLATE(A110, ""en"", ""am"")"),"109")</f>
        <v>109</v>
      </c>
      <c r="H110" s="5" t="str">
        <f>IFERROR(__xludf.DUMMYFUNCTION(" GOOGLETRANSLATE(B110, ""en"", ""am"")"),"በአፉላ ታሪክ በጣም ተደማጭነት ያለው አሰልጣኝ ማን ነው?")</f>
        <v>በአፉላ ታሪክ በጣም ተደማጭነት ያለው አሰልጣኝ ማን ነው?</v>
      </c>
      <c r="I110" s="5" t="str">
        <f>IFERROR(__xludf.DUMMYFUNCTION(" GOOGLETRANSLATE(C110, ""en"", ""am"")"),"አ. ማርክ ዛንደር ቢ. ሳራ አሊ ሲ. ጆን ዶ ዲ ማርክ ዛንደር")</f>
        <v>አ. ማርክ ዛንደር ቢ. ሳራ አሊ ሲ. ጆን ዶ ዲ ማርክ ዛንደር</v>
      </c>
      <c r="J110" s="5" t="str">
        <f>IFERROR(__xludf.DUMMYFUNCTION(" GOOGLETRANSLATE(D110, ""en"", ""am"")"),"ማርክ ዛንደር")</f>
        <v>ማርክ ዛንደር</v>
      </c>
      <c r="K110" s="5" t="str">
        <f>IFERROR(__xludf.DUMMYFUNCTION(" GOOGLETRANSLATE(E110, ""en"", ""am"")"),"ማርክ ዛንደር በአፉላ ታሪክ ውስጥ ከፍተኛ ተጽዕኖ ካሳደሩ አሰልጣኞች አንዱ እንደሆነ ይነገራል።")</f>
        <v>ማርክ ዛንደር በአፉላ ታሪክ ውስጥ ከፍተኛ ተጽዕኖ ካሳደሩ አሰልጣኞች አንዱ እንደሆነ ይነገራል።</v>
      </c>
    </row>
    <row r="111" ht="22.5" customHeight="1">
      <c r="A111" s="3">
        <v>110.0</v>
      </c>
      <c r="B111" s="4" t="s">
        <v>2297</v>
      </c>
      <c r="C111" s="4" t="s">
        <v>2127</v>
      </c>
      <c r="D111" s="4" t="s">
        <v>724</v>
      </c>
      <c r="E111" s="4" t="s">
        <v>724</v>
      </c>
      <c r="G111" s="5" t="str">
        <f>IFERROR(__xludf.DUMMYFUNCTION(" GOOGLETRANSLATE(A111, ""en"", ""am"")"),"110")</f>
        <v>110</v>
      </c>
      <c r="H111" s="5" t="str">
        <f>IFERROR(__xludf.DUMMYFUNCTION(" GOOGLETRANSLATE(B111, ""en"", ""am"")"),"የመጀመሪያው አለም አቀፍ የአፋላ ቡድን ሻምፒዮና የተካሄደው በየትኛው አመት ነበር?")</f>
        <v>የመጀመሪያው አለም አቀፍ የአፋላ ቡድን ሻምፒዮና የተካሄደው በየትኛው አመት ነበር?</v>
      </c>
      <c r="I111" s="5" t="str">
        <f>IFERROR(__xludf.DUMMYFUNCTION(" GOOGLETRANSLATE(C111, ""en"", ""am"")"),"እ.ኤ.አ. 1995 ዓ.ም. 2000 ዓ.ም. 2005 ዲ. 2000 እ.ኤ.አ.")</f>
        <v>እ.ኤ.አ. 1995 ዓ.ም. 2000 ዓ.ም. 2005 ዲ. 2000 እ.ኤ.አ.</v>
      </c>
      <c r="J111" s="5" t="str">
        <f>IFERROR(__xludf.DUMMYFUNCTION(" GOOGLETRANSLATE(D111, ""en"", ""am"")"),"2000")</f>
        <v>2000</v>
      </c>
      <c r="K111" s="5" t="str">
        <f>IFERROR(__xludf.DUMMYFUNCTION(" GOOGLETRANSLATE(E111, ""en"", ""am"")"),"2000")</f>
        <v>2000</v>
      </c>
    </row>
    <row r="112" ht="22.5" customHeight="1">
      <c r="A112" s="3">
        <v>111.0</v>
      </c>
      <c r="B112" s="4" t="s">
        <v>2298</v>
      </c>
      <c r="C112" s="4" t="s">
        <v>2299</v>
      </c>
      <c r="D112" s="4" t="s">
        <v>1987</v>
      </c>
      <c r="E112" s="4" t="s">
        <v>2300</v>
      </c>
      <c r="G112" s="5" t="str">
        <f>IFERROR(__xludf.DUMMYFUNCTION(" GOOGLETRANSLATE(A112, ""en"", ""am"")"),"111")</f>
        <v>111</v>
      </c>
      <c r="H112" s="5" t="str">
        <f>IFERROR(__xludf.DUMMYFUNCTION(" GOOGLETRANSLATE(B112, ""en"", ""am"")"),"በአፉላ የዓለም ሻምፒዮና ሪኮርድ ማን ነው?")</f>
        <v>በአፉላ የዓለም ሻምፒዮና ሪኮርድ ማን ነው?</v>
      </c>
      <c r="I112" s="5" t="str">
        <f>IFERROR(__xludf.DUMMYFUNCTION(" GOOGLETRANSLATE(C112, ""en"", ""am"")"),"አ. ጆን ዶ ቢ ቶሚ ቦየር ሲ. ማርክ ዛንደር ዲ. ቶሚ ቦየር")</f>
        <v>አ. ጆን ዶ ቢ ቶሚ ቦየር ሲ. ማርክ ዛንደር ዲ. ቶሚ ቦየር</v>
      </c>
      <c r="J112" s="5" t="str">
        <f>IFERROR(__xludf.DUMMYFUNCTION(" GOOGLETRANSLATE(D112, ""en"", ""am"")"),"ቶሚ ቦየር")</f>
        <v>ቶሚ ቦየር</v>
      </c>
      <c r="K112" s="5" t="str">
        <f>IFERROR(__xludf.DUMMYFUNCTION(" GOOGLETRANSLATE(E112, ""en"", ""am"")"),"ቶሚ ቦየር በአፉላ የአለም ሻምፒዮና በተከታታይ በማሸነፍ ሪከርዱን ይይዛል።")</f>
        <v>ቶሚ ቦየር በአፉላ የአለም ሻምፒዮና በተከታታይ በማሸነፍ ሪከርዱን ይይዛል።</v>
      </c>
    </row>
    <row r="113" ht="22.5" customHeight="1">
      <c r="A113" s="3">
        <v>112.0</v>
      </c>
      <c r="B113" s="4" t="s">
        <v>2301</v>
      </c>
      <c r="C113" s="4" t="s">
        <v>2209</v>
      </c>
      <c r="D113" s="4" t="s">
        <v>898</v>
      </c>
      <c r="E113" s="4" t="s">
        <v>898</v>
      </c>
      <c r="G113" s="5" t="str">
        <f>IFERROR(__xludf.DUMMYFUNCTION(" GOOGLETRANSLATE(A113, ""en"", ""am"")"),"112")</f>
        <v>112</v>
      </c>
      <c r="H113" s="5" t="str">
        <f>IFERROR(__xludf.DUMMYFUNCTION(" GOOGLETRANSLATE(B113, ""en"", ""am"")"),"የመጀመሪያው የአፉላ የሴቶች የዓለም ሻምፒዮና የተካሄደው በየትኛው ዓመት ነበር?")</f>
        <v>የመጀመሪያው የአፉላ የሴቶች የዓለም ሻምፒዮና የተካሄደው በየትኛው ዓመት ነበር?</v>
      </c>
      <c r="I113" s="5" t="str">
        <f>IFERROR(__xludf.DUMMYFUNCTION(" GOOGLETRANSLATE(C113, ""en"", ""am"")"),"እ.ኤ.አ. 1995 ዓ.ም. 2000 ዓ.ም. 2005 ዲ. 1995 ዓ.ም.")</f>
        <v>እ.ኤ.አ. 1995 ዓ.ም. 2000 ዓ.ም. 2005 ዲ. 1995 ዓ.ም.</v>
      </c>
      <c r="J113" s="5" t="str">
        <f>IFERROR(__xludf.DUMMYFUNCTION(" GOOGLETRANSLATE(D113, ""en"", ""am"")"),"በ1995 ዓ.ም")</f>
        <v>በ1995 ዓ.ም</v>
      </c>
      <c r="K113" s="5" t="str">
        <f>IFERROR(__xludf.DUMMYFUNCTION(" GOOGLETRANSLATE(E113, ""en"", ""am"")"),"በ1995 ዓ.ም")</f>
        <v>በ1995 ዓ.ም</v>
      </c>
    </row>
    <row r="114" ht="22.5" customHeight="1">
      <c r="A114" s="3">
        <v>113.0</v>
      </c>
      <c r="B114" s="4" t="s">
        <v>2302</v>
      </c>
      <c r="C114" s="4" t="s">
        <v>2303</v>
      </c>
      <c r="D114" s="4" t="s">
        <v>2029</v>
      </c>
      <c r="E114" s="4" t="s">
        <v>2304</v>
      </c>
      <c r="G114" s="5" t="str">
        <f>IFERROR(__xludf.DUMMYFUNCTION(" GOOGLETRANSLATE(A114, ""en"", ""am"")"),"113")</f>
        <v>113</v>
      </c>
      <c r="H114" s="5" t="str">
        <f>IFERROR(__xludf.DUMMYFUNCTION(" GOOGLETRANSLATE(B114, ""en"", ""am"")"),"የ2010 የአለም ዋንጫን የፉትሳል ዋንጫን ያዘጋጀው የትኛው ሀገር ነው?")</f>
        <v>የ2010 የአለም ዋንጫን የፉትሳል ዋንጫን ያዘጋጀው የትኛው ሀገር ነው?</v>
      </c>
      <c r="I114" s="5" t="str">
        <f>IFERROR(__xludf.DUMMYFUNCTION(" GOOGLETRANSLATE(C114, ""en"", ""am"")"),"ሀ. የተባበሩት መንግስታት B. ፈረንሳይ ሲ. ኢጣሊያ ዲ. ጀርመን")</f>
        <v>ሀ. የተባበሩት መንግስታት B. ፈረንሳይ ሲ. ኢጣሊያ ዲ. ጀርመን</v>
      </c>
      <c r="J114" s="5" t="str">
        <f>IFERROR(__xludf.DUMMYFUNCTION(" GOOGLETRANSLATE(D114, ""en"", ""am"")"),"ጀርመን")</f>
        <v>ጀርመን</v>
      </c>
      <c r="K114" s="5" t="str">
        <f>IFERROR(__xludf.DUMMYFUNCTION(" GOOGLETRANSLATE(E114, ""en"", ""am"")"),"ጀርመን የ2010 አፋሉላ የዓለም ሻምፒዮና አዘጋጅታለች።")</f>
        <v>ጀርመን የ2010 አፋሉላ የዓለም ሻምፒዮና አዘጋጅታለች።</v>
      </c>
    </row>
    <row r="115" ht="22.5" customHeight="1">
      <c r="A115" s="3">
        <v>114.0</v>
      </c>
      <c r="B115" s="4" t="s">
        <v>2305</v>
      </c>
      <c r="C115" s="4" t="s">
        <v>2132</v>
      </c>
      <c r="D115" s="4" t="s">
        <v>1505</v>
      </c>
      <c r="E115" s="4" t="s">
        <v>1505</v>
      </c>
      <c r="G115" s="5" t="str">
        <f>IFERROR(__xludf.DUMMYFUNCTION(" GOOGLETRANSLATE(A115, ""en"", ""am"")"),"114")</f>
        <v>114</v>
      </c>
      <c r="H115" s="5" t="str">
        <f>IFERROR(__xludf.DUMMYFUNCTION(" GOOGLETRANSLATE(B115, ""en"", ""am"")"),"አፉላ የመስመር ላይ የውድድር ውርርድ ጽንሰ-ሐሳብን በየትኛው ዓመት አስተዋወቀ?")</f>
        <v>አፉላ የመስመር ላይ የውድድር ውርርድ ጽንሰ-ሐሳብን በየትኛው ዓመት አስተዋወቀ?</v>
      </c>
      <c r="I115" s="5" t="str">
        <f>IFERROR(__xludf.DUMMYFUNCTION(" GOOGLETRANSLATE(C115, ""en"", ""am"")"),"እ.ኤ.አ. 2005 ዓ.ም. 2010 ዓ.ም. 2015 ዲ. 2010")</f>
        <v>እ.ኤ.አ. 2005 ዓ.ም. 2010 ዓ.ም. 2015 ዲ. 2010</v>
      </c>
      <c r="J115" s="5" t="str">
        <f>IFERROR(__xludf.DUMMYFUNCTION(" GOOGLETRANSLATE(D115, ""en"", ""am"")"),"2010")</f>
        <v>2010</v>
      </c>
      <c r="K115" s="5" t="str">
        <f>IFERROR(__xludf.DUMMYFUNCTION(" GOOGLETRANSLATE(E115, ""en"", ""am"")"),"2010")</f>
        <v>2010</v>
      </c>
    </row>
    <row r="116" ht="22.5" customHeight="1">
      <c r="A116" s="3">
        <v>115.0</v>
      </c>
      <c r="B116" s="4" t="s">
        <v>2306</v>
      </c>
      <c r="C116" s="4" t="s">
        <v>2307</v>
      </c>
      <c r="D116" s="4" t="s">
        <v>2043</v>
      </c>
      <c r="E116" s="4" t="s">
        <v>2308</v>
      </c>
      <c r="G116" s="5" t="str">
        <f>IFERROR(__xludf.DUMMYFUNCTION(" GOOGLETRANSLATE(A116, ""en"", ""am"")"),"115")</f>
        <v>115</v>
      </c>
      <c r="H116" s="5" t="str">
        <f>IFERROR(__xludf.DUMMYFUNCTION(" GOOGLETRANSLATE(B116, ""en"", ""am"")"),"አፋላ ፕሮፌሽናል ሊግ የጀመረው የትኛው ሀገር ነው?")</f>
        <v>አፋላ ፕሮፌሽናል ሊግ የጀመረው የትኛው ሀገር ነው?</v>
      </c>
      <c r="I116" s="5" t="str">
        <f>IFERROR(__xludf.DUMMYFUNCTION(" GOOGLETRANSLATE(C116, ""en"", ""am"")"),"አ. ፍራንስ ቢ. ጀርመን ሲ ብራዚል ዲ.ዩናይትድ ስቴትስ")</f>
        <v>አ. ፍራንስ ቢ. ጀርመን ሲ ብራዚል ዲ.ዩናይትድ ስቴትስ</v>
      </c>
      <c r="J116" s="5" t="str">
        <f>IFERROR(__xludf.DUMMYFUNCTION(" GOOGLETRANSLATE(D116, ""en"", ""am"")"),"ዩናይትድ ስቴተት")</f>
        <v>ዩናይትድ ስቴተት</v>
      </c>
      <c r="K116" s="5" t="str">
        <f>IFERROR(__xludf.DUMMYFUNCTION(" GOOGLETRANSLATE(E116, ""en"", ""am"")"),"ዩናይትድ ስቴትስ የፕሮፌሽናል ቤዝቦል ሊግ የጀመረች የመጀመሪያዋ ሀገር ነበረች።")</f>
        <v>ዩናይትድ ስቴትስ የፕሮፌሽናል ቤዝቦል ሊግ የጀመረች የመጀመሪያዋ ሀገር ነበረች።</v>
      </c>
    </row>
    <row r="117" ht="22.5" customHeight="1">
      <c r="A117" s="3">
        <v>116.0</v>
      </c>
      <c r="B117" s="4" t="s">
        <v>2309</v>
      </c>
      <c r="C117" s="4" t="s">
        <v>2310</v>
      </c>
      <c r="D117" s="4" t="s">
        <v>2212</v>
      </c>
      <c r="E117" s="4" t="s">
        <v>2311</v>
      </c>
      <c r="G117" s="5" t="str">
        <f>IFERROR(__xludf.DUMMYFUNCTION(" GOOGLETRANSLATE(A117, ""en"", ""am"")"),"116")</f>
        <v>116</v>
      </c>
      <c r="H117" s="5" t="str">
        <f>IFERROR(__xludf.DUMMYFUNCTION(" GOOGLETRANSLATE(B117, ""en"", ""am"")"),"በአፉላ ውድድሮች ላይ ባሳየው ወጥነት 'የብረት ሰው' በመባል የሚታወቀው የትኛው ተጫዋች ነው?")</f>
        <v>በአፉላ ውድድሮች ላይ ባሳየው ወጥነት 'የብረት ሰው' በመባል የሚታወቀው የትኛው ተጫዋች ነው?</v>
      </c>
      <c r="I117" s="5" t="str">
        <f>IFERROR(__xludf.DUMMYFUNCTION(" GOOGLETRANSLATE(C117, ""en"", ""am"")"),"ሀ. ማርክ ዛንደር ቢ. ጆን ዶ ሲ ሳራ አሊ ዲ. ጆን ዶ")</f>
        <v>ሀ. ማርክ ዛንደር ቢ. ጆን ዶ ሲ ሳራ አሊ ዲ. ጆን ዶ</v>
      </c>
      <c r="J117" s="5" t="str">
        <f>IFERROR(__xludf.DUMMYFUNCTION(" GOOGLETRANSLATE(D117, ""en"", ""am"")"),"ጆን ዶ")</f>
        <v>ጆን ዶ</v>
      </c>
      <c r="K117" s="5" t="str">
        <f>IFERROR(__xludf.DUMMYFUNCTION(" GOOGLETRANSLATE(E117, ""en"", ""am"")"),"ጆን ዶ በአፉላ ውድድር ላይ ባሳየው ተከታታይ ትርኢት 'Iron Man' በመባል ይታወቅ ነበር።")</f>
        <v>ጆን ዶ በአፉላ ውድድር ላይ ባሳየው ተከታታይ ትርኢት 'Iron Man' በመባል ይታወቅ ነበር።</v>
      </c>
    </row>
    <row r="118" ht="22.5" customHeight="1">
      <c r="A118" s="3">
        <v>117.0</v>
      </c>
      <c r="B118" s="4" t="s">
        <v>2312</v>
      </c>
      <c r="C118" s="4" t="s">
        <v>2209</v>
      </c>
      <c r="D118" s="4" t="s">
        <v>898</v>
      </c>
      <c r="E118" s="4" t="s">
        <v>898</v>
      </c>
      <c r="G118" s="5" t="str">
        <f>IFERROR(__xludf.DUMMYFUNCTION(" GOOGLETRANSLATE(A118, ""en"", ""am"")"),"117")</f>
        <v>117</v>
      </c>
      <c r="H118" s="5" t="str">
        <f>IFERROR(__xludf.DUMMYFUNCTION(" GOOGLETRANSLATE(B118, ""en"", ""am"")"),"አፋላ ስፖርት በመጀመሪያ የኤሌክትሮኒክስ የውጤት ሰሌዳዎችን ያስተዋወቀው በየትኛው አመት ነው?")</f>
        <v>አፋላ ስፖርት በመጀመሪያ የኤሌክትሮኒክስ የውጤት ሰሌዳዎችን ያስተዋወቀው በየትኛው አመት ነው?</v>
      </c>
      <c r="I118" s="5" t="str">
        <f>IFERROR(__xludf.DUMMYFUNCTION(" GOOGLETRANSLATE(C118, ""en"", ""am"")"),"እ.ኤ.አ. 1995 ዓ.ም. 2000 ዓ.ም. 2005 ዲ. 1995 ዓ.ም.")</f>
        <v>እ.ኤ.አ. 1995 ዓ.ም. 2000 ዓ.ም. 2005 ዲ. 1995 ዓ.ም.</v>
      </c>
      <c r="J118" s="5" t="str">
        <f>IFERROR(__xludf.DUMMYFUNCTION(" GOOGLETRANSLATE(D118, ""en"", ""am"")"),"በ1995 ዓ.ም")</f>
        <v>በ1995 ዓ.ም</v>
      </c>
      <c r="K118" s="5" t="str">
        <f>IFERROR(__xludf.DUMMYFUNCTION(" GOOGLETRANSLATE(E118, ""en"", ""am"")"),"በ1995 ዓ.ም")</f>
        <v>በ1995 ዓ.ም</v>
      </c>
    </row>
    <row r="119" ht="22.5" customHeight="1">
      <c r="A119" s="3">
        <v>118.0</v>
      </c>
      <c r="B119" s="4" t="s">
        <v>2313</v>
      </c>
      <c r="C119" s="4" t="s">
        <v>2242</v>
      </c>
      <c r="D119" s="4" t="s">
        <v>1987</v>
      </c>
      <c r="E119" s="4" t="s">
        <v>2314</v>
      </c>
      <c r="G119" s="5" t="str">
        <f>IFERROR(__xludf.DUMMYFUNCTION(" GOOGLETRANSLATE(A119, ""en"", ""am"")"),"118")</f>
        <v>118</v>
      </c>
      <c r="H119" s="5" t="str">
        <f>IFERROR(__xludf.DUMMYFUNCTION(" GOOGLETRANSLATE(B119, ""en"", ""am"")"),"የ2005 አፋሉላ የዓለም ሻምፒዮና ማን አሸነፈ?")</f>
        <v>የ2005 አፋሉላ የዓለም ሻምፒዮና ማን አሸነፈ?</v>
      </c>
      <c r="I119" s="5" t="str">
        <f>IFERROR(__xludf.DUMMYFUNCTION(" GOOGLETRANSLATE(C119, ""en"", ""am"")"),"ሀ. ቶሚ ቦየር ቢ. ጆን ዶ ሲ ማርክ ዛንደር ዲ. ቶሚ ቦየር")</f>
        <v>ሀ. ቶሚ ቦየር ቢ. ጆን ዶ ሲ ማርክ ዛንደር ዲ. ቶሚ ቦየር</v>
      </c>
      <c r="J119" s="5" t="str">
        <f>IFERROR(__xludf.DUMMYFUNCTION(" GOOGLETRANSLATE(D119, ""en"", ""am"")"),"ቶሚ ቦየር")</f>
        <v>ቶሚ ቦየር</v>
      </c>
      <c r="K119" s="5" t="str">
        <f>IFERROR(__xludf.DUMMYFUNCTION(" GOOGLETRANSLATE(E119, ""en"", ""am"")"),"ቶሚ ቦየር እ.ኤ.አ. በ2005 አፋሉላ የዓለም ሻምፒዮና አሸነፈ።")</f>
        <v>ቶሚ ቦየር እ.ኤ.አ. በ2005 አፋሉላ የዓለም ሻምፒዮና አሸነፈ።</v>
      </c>
    </row>
    <row r="120" ht="22.5" customHeight="1">
      <c r="A120" s="3">
        <v>119.0</v>
      </c>
      <c r="B120" s="4" t="s">
        <v>2315</v>
      </c>
      <c r="C120" s="4" t="s">
        <v>2316</v>
      </c>
      <c r="D120" s="4" t="s">
        <v>1174</v>
      </c>
      <c r="E120" s="4" t="s">
        <v>1174</v>
      </c>
      <c r="G120" s="5" t="str">
        <f>IFERROR(__xludf.DUMMYFUNCTION(" GOOGLETRANSLATE(A120, ""en"", ""am"")"),"119")</f>
        <v>119</v>
      </c>
      <c r="H120" s="5" t="str">
        <f>IFERROR(__xludf.DUMMYFUNCTION(" GOOGLETRANSLATE(B120, ""en"", ""am"")"),"አፋሉላ በእስያ ጨዋታዎች ለመጀመሪያ ጊዜ የታየው በየትኛው አመት ነው?")</f>
        <v>አፋሉላ በእስያ ጨዋታዎች ለመጀመሪያ ጊዜ የታየው በየትኛው አመት ነው?</v>
      </c>
      <c r="I120" s="5" t="str">
        <f>IFERROR(__xludf.DUMMYFUNCTION(" GOOGLETRANSLATE(C120, ""en"", ""am"")"),"ኣብ 1994 ብ1998 ዓ.ም.2002 ዲ.1998 ዓ.ም.")</f>
        <v>ኣብ 1994 ብ1998 ዓ.ም.2002 ዲ.1998 ዓ.ም.</v>
      </c>
      <c r="J120" s="5" t="str">
        <f>IFERROR(__xludf.DUMMYFUNCTION(" GOOGLETRANSLATE(D120, ""en"", ""am"")"),"በ1998 ዓ.ም")</f>
        <v>በ1998 ዓ.ም</v>
      </c>
      <c r="K120" s="5" t="str">
        <f>IFERROR(__xludf.DUMMYFUNCTION(" GOOGLETRANSLATE(E120, ""en"", ""am"")"),"በ1998 ዓ.ም")</f>
        <v>በ1998 ዓ.ም</v>
      </c>
    </row>
    <row r="121" ht="22.5" customHeight="1">
      <c r="A121" s="3">
        <v>120.0</v>
      </c>
      <c r="B121" s="4" t="s">
        <v>2317</v>
      </c>
      <c r="C121" s="4" t="s">
        <v>2168</v>
      </c>
      <c r="D121" s="4" t="s">
        <v>1945</v>
      </c>
      <c r="E121" s="4" t="s">
        <v>2318</v>
      </c>
      <c r="G121" s="5" t="str">
        <f>IFERROR(__xludf.DUMMYFUNCTION(" GOOGLETRANSLATE(A121, ""en"", ""am"")"),"120")</f>
        <v>120</v>
      </c>
      <c r="H121" s="5" t="str">
        <f>IFERROR(__xludf.DUMMYFUNCTION(" GOOGLETRANSLATE(B121, ""en"", ""am"")"),"የትኛው የአፉላ ተጫዋች 'የፍጥነት ንጉስ' ተብሎ ይጠራል?")</f>
        <v>የትኛው የአፉላ ተጫዋች 'የፍጥነት ንጉስ' ተብሎ ይጠራል?</v>
      </c>
      <c r="I121" s="5" t="str">
        <f>IFERROR(__xludf.DUMMYFUNCTION(" GOOGLETRANSLATE(C121, ""en"", ""am"")"),"አ. ማርክ ዛንደር ቢ. ጆን ዶ ሲ ሳራ አሊ ዲ. ማርክ ዛንደር")</f>
        <v>አ. ማርክ ዛንደር ቢ. ጆን ዶ ሲ ሳራ አሊ ዲ. ማርክ ዛንደር</v>
      </c>
      <c r="J121" s="5" t="str">
        <f>IFERROR(__xludf.DUMMYFUNCTION(" GOOGLETRANSLATE(D121, ""en"", ""am"")"),"ማርክ ዛንደር")</f>
        <v>ማርክ ዛንደር</v>
      </c>
      <c r="K121" s="5" t="str">
        <f>IFERROR(__xludf.DUMMYFUNCTION(" GOOGLETRANSLATE(E121, ""en"", ""am"")"),"ማርክ ዛንደር በፈጣን የአጨዋወት ስልቱ ብዙ ጊዜ 'የፍጥነት ንጉስ' ተብሎ ይጠራ ነበር።")</f>
        <v>ማርክ ዛንደር በፈጣን የአጨዋወት ስልቱ ብዙ ጊዜ 'የፍጥነት ንጉስ' ተብሎ ይጠራ ነበር።</v>
      </c>
    </row>
    <row r="122" ht="22.5" customHeight="1">
      <c r="A122" s="3">
        <v>121.0</v>
      </c>
      <c r="B122" s="4" t="s">
        <v>2319</v>
      </c>
      <c r="C122" s="4" t="s">
        <v>2320</v>
      </c>
      <c r="D122" s="4" t="s">
        <v>876</v>
      </c>
      <c r="E122" s="4" t="s">
        <v>876</v>
      </c>
      <c r="G122" s="5" t="str">
        <f>IFERROR(__xludf.DUMMYFUNCTION(" GOOGLETRANSLATE(A122, ""en"", ""am"")"),"121")</f>
        <v>121</v>
      </c>
      <c r="H122" s="5" t="str">
        <f>IFERROR(__xludf.DUMMYFUNCTION(" GOOGLETRANSLATE(B122, ""en"", ""am"")"),"የመጀመሪያው የቴሌቭዥን እግር ኳስ ጨዋታ ስንት አመት ነበር?")</f>
        <v>የመጀመሪያው የቴሌቭዥን እግር ኳስ ጨዋታ ስንት አመት ነበር?</v>
      </c>
      <c r="I122" s="5" t="str">
        <f>IFERROR(__xludf.DUMMYFUNCTION(" GOOGLETRANSLATE(C122, ""en"", ""am"")"),"ኣብ 1990 ዓ.ም.2000 ዓ.ም.2010 ዲ.1990")</f>
        <v>ኣብ 1990 ዓ.ም.2000 ዓ.ም.2010 ዲ.1990</v>
      </c>
      <c r="J122" s="5" t="str">
        <f>IFERROR(__xludf.DUMMYFUNCTION(" GOOGLETRANSLATE(D122, ""en"", ""am"")"),"በ1990 ዓ.ም")</f>
        <v>በ1990 ዓ.ም</v>
      </c>
      <c r="K122" s="5" t="str">
        <f>IFERROR(__xludf.DUMMYFUNCTION(" GOOGLETRANSLATE(E122, ""en"", ""am"")"),"በ1990 ዓ.ም")</f>
        <v>በ1990 ዓ.ም</v>
      </c>
    </row>
    <row r="123" ht="22.5" customHeight="1">
      <c r="A123" s="3">
        <v>122.0</v>
      </c>
      <c r="B123" s="4" t="s">
        <v>2321</v>
      </c>
      <c r="C123" s="4" t="s">
        <v>2322</v>
      </c>
      <c r="D123" s="4" t="s">
        <v>2323</v>
      </c>
      <c r="E123" s="4" t="s">
        <v>2324</v>
      </c>
      <c r="G123" s="5" t="str">
        <f>IFERROR(__xludf.DUMMYFUNCTION(" GOOGLETRANSLATE(A123, ""en"", ""am"")"),"122")</f>
        <v>122</v>
      </c>
      <c r="H123" s="5" t="str">
        <f>IFERROR(__xludf.DUMMYFUNCTION(" GOOGLETRANSLATE(B123, ""en"", ""am"")"),"በ 2003 ምን ጉልህ ለውጥ የጨዋታውን ፍጥነት ነካው?")</f>
        <v>በ 2003 ምን ጉልህ ለውጥ የጨዋታውን ፍጥነት ነካው?</v>
      </c>
      <c r="I123" s="5" t="str">
        <f>IFERROR(__xludf.DUMMYFUNCTION(" GOOGLETRANSLATE(C123, ""en"", ""am"")"),"ሀ. የኃይል ማመንጫዎች መግቢያ ለ. አጭር ግጥሚያ ርዝመት ሐ. የኳሱን መጠን መጨመር መ. የጊዜ ገደቦች በእያንዳንዱ ዙር")</f>
        <v>ሀ. የኃይል ማመንጫዎች መግቢያ ለ. አጭር ግጥሚያ ርዝመት ሐ. የኳሱን መጠን መጨመር መ. የጊዜ ገደቦች በእያንዳንዱ ዙር</v>
      </c>
      <c r="J123" s="5" t="str">
        <f>IFERROR(__xludf.DUMMYFUNCTION(" GOOGLETRANSLATE(D123, ""en"", ""am"")"),"የጊዜ ገደቦች በአንድ ዙር")</f>
        <v>የጊዜ ገደቦች በአንድ ዙር</v>
      </c>
      <c r="K123" s="5" t="str">
        <f>IFERROR(__xludf.DUMMYFUNCTION(" GOOGLETRANSLATE(E123, ""en"", ""am"")"),"እ.ኤ.አ. በ 2003 ለእያንዳንዱ ዙር የጊዜ ገደቦች ታይተዋል ፣ ይህም የጨዋታውን ፍጥነት ይነካል ።")</f>
        <v>እ.ኤ.አ. በ 2003 ለእያንዳንዱ ዙር የጊዜ ገደቦች ታይተዋል ፣ ይህም የጨዋታውን ፍጥነት ይነካል ።</v>
      </c>
    </row>
    <row r="124" ht="22.5" customHeight="1">
      <c r="A124" s="3">
        <v>123.0</v>
      </c>
      <c r="B124" s="4" t="s">
        <v>2325</v>
      </c>
      <c r="C124" s="4" t="s">
        <v>2326</v>
      </c>
      <c r="D124" s="4" t="s">
        <v>1972</v>
      </c>
      <c r="E124" s="4" t="s">
        <v>2327</v>
      </c>
      <c r="G124" s="5" t="str">
        <f>IFERROR(__xludf.DUMMYFUNCTION(" GOOGLETRANSLATE(A124, ""en"", ""am"")"),"123")</f>
        <v>123</v>
      </c>
      <c r="H124" s="5" t="str">
        <f>IFERROR(__xludf.DUMMYFUNCTION(" GOOGLETRANSLATE(B124, ""en"", ""am"")"),"የ'Split Ball' ቴክኒክ በመፈልሰፍ የሚታወቀው የትኛው ተጫዋች ነው?")</f>
        <v>የ'Split Ball' ቴክኒክ በመፈልሰፍ የሚታወቀው የትኛው ተጫዋች ነው?</v>
      </c>
      <c r="I124" s="5" t="str">
        <f>IFERROR(__xludf.DUMMYFUNCTION(" GOOGLETRANSLATE(C124, ""en"", ""am"")"),"A. Sarah Ali B. Tommy Boyer ሲ. ማርክ ዛንደር ዲ. ሳራ አሊ")</f>
        <v>A. Sarah Ali B. Tommy Boyer ሲ. ማርክ ዛንደር ዲ. ሳራ አሊ</v>
      </c>
      <c r="J124" s="5" t="str">
        <f>IFERROR(__xludf.DUMMYFUNCTION(" GOOGLETRANSLATE(D124, ""en"", ""am"")"),"ሳራ አሊ")</f>
        <v>ሳራ አሊ</v>
      </c>
      <c r="K124" s="5" t="str">
        <f>IFERROR(__xludf.DUMMYFUNCTION(" GOOGLETRANSLATE(E124, ""en"", ""am"")"),"ሳራ አሊ የ'Split Ball' ቴክኒክ በማዘጋጀት ትታወቃለች።")</f>
        <v>ሳራ አሊ የ'Split Ball' ቴክኒክ በማዘጋጀት ትታወቃለች።</v>
      </c>
    </row>
    <row r="125" ht="22.5" customHeight="1">
      <c r="A125" s="3">
        <v>124.0</v>
      </c>
      <c r="B125" s="4" t="s">
        <v>2328</v>
      </c>
      <c r="C125" s="4" t="s">
        <v>2329</v>
      </c>
      <c r="D125" s="4" t="s">
        <v>2094</v>
      </c>
      <c r="E125" s="4" t="s">
        <v>2330</v>
      </c>
      <c r="G125" s="5" t="str">
        <f>IFERROR(__xludf.DUMMYFUNCTION(" GOOGLETRANSLATE(A125, ""en"", ""am"")"),"124")</f>
        <v>124</v>
      </c>
      <c r="H125" s="5" t="str">
        <f>IFERROR(__xludf.DUMMYFUNCTION(" GOOGLETRANSLATE(B125, ""en"", ""am"")"),"በአርቴፊሻል መብራቶች የመጀመሪያውን የእግር ኳስ ጨዋታ ያስተናገደው ሀገር የትኛው ነው?")</f>
        <v>በአርቴፊሻል መብራቶች የመጀመሪያውን የእግር ኳስ ጨዋታ ያስተናገደው ሀገር የትኛው ነው?</v>
      </c>
      <c r="I125" s="5" t="str">
        <f>IFERROR(__xludf.DUMMYFUNCTION(" GOOGLETRANSLATE(C125, ""en"", ""am"")"),"ኣብ ፈረንሳይ ብ ጣልያን ሲ ዩናይትድ ስቴትስ ዲ")</f>
        <v>ኣብ ፈረንሳይ ብ ጣልያን ሲ ዩናይትድ ስቴትስ ዲ</v>
      </c>
      <c r="J125" s="5" t="str">
        <f>IFERROR(__xludf.DUMMYFUNCTION(" GOOGLETRANSLATE(D125, ""en"", ""am"")"),"ፈረንሳይ")</f>
        <v>ፈረንሳይ</v>
      </c>
      <c r="K125" s="5" t="str">
        <f>IFERROR(__xludf.DUMMYFUNCTION(" GOOGLETRANSLATE(E125, ""en"", ""am"")"),"በአርቴፊሻል መብራቶች የአፉላ ጨዋታን ያስተናገደች የመጀመሪያዋ ሀገር ፈረንሳይ ነበረች።")</f>
        <v>በአርቴፊሻል መብራቶች የአፉላ ጨዋታን ያስተናገደች የመጀመሪያዋ ሀገር ፈረንሳይ ነበረች።</v>
      </c>
    </row>
    <row r="126" ht="22.5" customHeight="1">
      <c r="A126" s="3">
        <v>125.0</v>
      </c>
      <c r="B126" s="4" t="s">
        <v>2331</v>
      </c>
      <c r="C126" s="4" t="s">
        <v>2203</v>
      </c>
      <c r="D126" s="4" t="s">
        <v>1945</v>
      </c>
      <c r="E126" s="4" t="s">
        <v>2332</v>
      </c>
      <c r="G126" s="5" t="str">
        <f>IFERROR(__xludf.DUMMYFUNCTION(" GOOGLETRANSLATE(A126, ""en"", ""am"")"),"125")</f>
        <v>125</v>
      </c>
      <c r="H126" s="5" t="str">
        <f>IFERROR(__xludf.DUMMYFUNCTION(" GOOGLETRANSLATE(B126, ""en"", ""am"")"),"ወደ ታዋቂው አዳራሽ የገባው የመጀመሪያው የNFL ተጫዋች ማን ነበር?")</f>
        <v>ወደ ታዋቂው አዳራሽ የገባው የመጀመሪያው የNFL ተጫዋች ማን ነበር?</v>
      </c>
      <c r="I126" s="5" t="str">
        <f>IFERROR(__xludf.DUMMYFUNCTION(" GOOGLETRANSLATE(C126, ""en"", ""am"")"),"ሀ. ቶሚ ቦየር ቢ. ጆን ዶ ሲ ሳራ አሊ ዲ. ማርክ ዛንደር")</f>
        <v>ሀ. ቶሚ ቦየር ቢ. ጆን ዶ ሲ ሳራ አሊ ዲ. ማርክ ዛንደር</v>
      </c>
      <c r="J126" s="5" t="str">
        <f>IFERROR(__xludf.DUMMYFUNCTION(" GOOGLETRANSLATE(D126, ""en"", ""am"")"),"ማርክ ዛንደር")</f>
        <v>ማርክ ዛንደር</v>
      </c>
      <c r="K126" s="5" t="str">
        <f>IFERROR(__xludf.DUMMYFUNCTION(" GOOGLETRANSLATE(E126, ""en"", ""am"")"),"ማርክ ዛንደር ወደ አፋላ አዳራሽ የገባው የመጀመሪያው ተጫዋች ነው።")</f>
        <v>ማርክ ዛንደር ወደ አፋላ አዳራሽ የገባው የመጀመሪያው ተጫዋች ነው።</v>
      </c>
    </row>
    <row r="127" ht="22.5" customHeight="1">
      <c r="A127" s="3">
        <v>126.0</v>
      </c>
      <c r="B127" s="4" t="s">
        <v>2333</v>
      </c>
      <c r="C127" s="4" t="s">
        <v>2334</v>
      </c>
      <c r="D127" s="4" t="s">
        <v>2335</v>
      </c>
      <c r="E127" s="4" t="s">
        <v>2335</v>
      </c>
      <c r="G127" s="5" t="str">
        <f>IFERROR(__xludf.DUMMYFUNCTION(" GOOGLETRANSLATE(A127, ""en"", ""am"")"),"126")</f>
        <v>126</v>
      </c>
      <c r="H127" s="5" t="str">
        <f>IFERROR(__xludf.DUMMYFUNCTION(" GOOGLETRANSLATE(B127, ""en"", ""am"")"),"የአፉላ ቪዲዮ ግምገማ ስርዓት በየትኛው አመት ተጀመረ?")</f>
        <v>የአፉላ ቪዲዮ ግምገማ ስርዓት በየትኛው አመት ተጀመረ?</v>
      </c>
      <c r="I127" s="5" t="str">
        <f>IFERROR(__xludf.DUMMYFUNCTION(" GOOGLETRANSLATE(C127, ""en"", ""am"")"),"እ.ኤ.አ. 2010 ዓ.ም. 2015 ግ. 2020 ዲ. 2015")</f>
        <v>እ.ኤ.አ. 2010 ዓ.ም. 2015 ግ. 2020 ዲ. 2015</v>
      </c>
      <c r="J127" s="5" t="str">
        <f>IFERROR(__xludf.DUMMYFUNCTION(" GOOGLETRANSLATE(D127, ""en"", ""am"")"),"2015")</f>
        <v>2015</v>
      </c>
      <c r="K127" s="5" t="str">
        <f>IFERROR(__xludf.DUMMYFUNCTION(" GOOGLETRANSLATE(E127, ""en"", ""am"")"),"2015")</f>
        <v>2015</v>
      </c>
    </row>
    <row r="128" ht="22.5" customHeight="1">
      <c r="A128" s="3">
        <v>127.0</v>
      </c>
      <c r="B128" s="4" t="s">
        <v>2336</v>
      </c>
      <c r="C128" s="4" t="s">
        <v>2337</v>
      </c>
      <c r="D128" s="4" t="s">
        <v>724</v>
      </c>
      <c r="E128" s="4" t="s">
        <v>724</v>
      </c>
      <c r="G128" s="5" t="str">
        <f>IFERROR(__xludf.DUMMYFUNCTION(" GOOGLETRANSLATE(A128, ""en"", ""am"")"),"127")</f>
        <v>127</v>
      </c>
      <c r="H128" s="5" t="str">
        <f>IFERROR(__xludf.DUMMYFUNCTION(" GOOGLETRANSLATE(B128, ""en"", ""am"")"),"አፉላ ለአለም ሻምፒዮና የሴቶችን ክፍል ያስተዋወቀችው በየትኛው አመት ነው?")</f>
        <v>አፉላ ለአለም ሻምፒዮና የሴቶችን ክፍል ያስተዋወቀችው በየትኛው አመት ነው?</v>
      </c>
      <c r="I128" s="5" t="str">
        <f>IFERROR(__xludf.DUMMYFUNCTION(" GOOGLETRANSLATE(C128, ""en"", ""am"")"),"እ.ኤ.አ. 2000 ዓ.ም. 2010 ዓ.ም. 2020 ዲ. 2000 እ.ኤ.አ.")</f>
        <v>እ.ኤ.አ. 2000 ዓ.ም. 2010 ዓ.ም. 2020 ዲ. 2000 እ.ኤ.አ.</v>
      </c>
      <c r="J128" s="5" t="str">
        <f>IFERROR(__xludf.DUMMYFUNCTION(" GOOGLETRANSLATE(D128, ""en"", ""am"")"),"2000")</f>
        <v>2000</v>
      </c>
      <c r="K128" s="5" t="str">
        <f>IFERROR(__xludf.DUMMYFUNCTION(" GOOGLETRANSLATE(E128, ""en"", ""am"")"),"2000")</f>
        <v>2000</v>
      </c>
    </row>
    <row r="129" ht="22.5" customHeight="1">
      <c r="A129" s="3">
        <v>128.0</v>
      </c>
      <c r="B129" s="4" t="s">
        <v>2338</v>
      </c>
      <c r="C129" s="4" t="s">
        <v>2339</v>
      </c>
      <c r="D129" s="4" t="s">
        <v>2029</v>
      </c>
      <c r="E129" s="4" t="s">
        <v>2340</v>
      </c>
      <c r="G129" s="5" t="str">
        <f>IFERROR(__xludf.DUMMYFUNCTION(" GOOGLETRANSLATE(A129, ""en"", ""am"")"),"128")</f>
        <v>128</v>
      </c>
      <c r="H129" s="5" t="str">
        <f>IFERROR(__xludf.DUMMYFUNCTION(" GOOGLETRANSLATE(B129, ""en"", ""am"")"),"በ 1992 የመጀመሪያውን የፊፋ የዓለም ዋንጫ ያሸነፈው የትኛው ሀገር ነው?")</f>
        <v>በ 1992 የመጀመሪያውን የፊፋ የዓለም ዋንጫ ያሸነፈው የትኛው ሀገር ነው?</v>
      </c>
      <c r="I129" s="5" t="str">
        <f>IFERROR(__xludf.DUMMYFUNCTION(" GOOGLETRANSLATE(C129, ""en"", ""am"")"),"ሀ. የተባበሩት መንግስታት ቢ. ኢጣሊያ ሲ. ፈረንሳይ ዲ. ጀርመን")</f>
        <v>ሀ. የተባበሩት መንግስታት ቢ. ኢጣሊያ ሲ. ፈረንሳይ ዲ. ጀርመን</v>
      </c>
      <c r="J129" s="5" t="str">
        <f>IFERROR(__xludf.DUMMYFUNCTION(" GOOGLETRANSLATE(D129, ""en"", ""am"")"),"ጀርመን")</f>
        <v>ጀርመን</v>
      </c>
      <c r="K129" s="5" t="str">
        <f>IFERROR(__xludf.DUMMYFUNCTION(" GOOGLETRANSLATE(E129, ""en"", ""am"")"),"ጀርመን በ1992 የመጀመሪያውን የአፉላ ዋንጫ አሸንፋለች።")</f>
        <v>ጀርመን በ1992 የመጀመሪያውን የአፉላ ዋንጫ አሸንፋለች።</v>
      </c>
    </row>
    <row r="130" ht="22.5" customHeight="1">
      <c r="A130" s="3">
        <v>129.0</v>
      </c>
      <c r="B130" s="4" t="s">
        <v>2341</v>
      </c>
      <c r="C130" s="4" t="s">
        <v>2256</v>
      </c>
      <c r="D130" s="4" t="s">
        <v>2257</v>
      </c>
      <c r="E130" s="4" t="e">
        <v>#VALUE!</v>
      </c>
      <c r="G130" s="5" t="str">
        <f>IFERROR(__xludf.DUMMYFUNCTION(" GOOGLETRANSLATE(A130, ""en"", ""am"")"),"129")</f>
        <v>129</v>
      </c>
      <c r="H130" s="5" t="str">
        <f>IFERROR(__xludf.DUMMYFUNCTION(" GOOGLETRANSLATE(B130, ""en"", ""am"")"),"አፋሉላ በዩናይትድ ስቴትስ ውስጥ ስንት ዓመት ፕሮፌሽናል ስፖርት ሆነ?")</f>
        <v>አፋሉላ በዩናይትድ ስቴትስ ውስጥ ስንት ዓመት ፕሮፌሽናል ስፖርት ሆነ?</v>
      </c>
      <c r="I130" s="5" t="str">
        <f>IFERROR(__xludf.DUMMYFUNCTION(" GOOGLETRANSLATE(C130, ""en"", ""am"")"),"እ.ኤ.አ. 2000 ዓ.ም. 2005 ዓ.ም. 2010 ዲ. 2005 ዓ.ም.")</f>
        <v>እ.ኤ.አ. 2000 ዓ.ም. 2005 ዓ.ም. 2010 ዲ. 2005 ዓ.ም.</v>
      </c>
      <c r="J130" s="5" t="str">
        <f>IFERROR(__xludf.DUMMYFUNCTION(" GOOGLETRANSLATE(D130, ""en"", ""am"")"),"በ2005 ዓ.ም")</f>
        <v>በ2005 ዓ.ም</v>
      </c>
      <c r="K130" s="5" t="str">
        <f>IFERROR(__xludf.DUMMYFUNCTION(" GOOGLETRANSLATE(E130, ""en"", ""am"")"),"#VALUE!")</f>
        <v>#VALUE!</v>
      </c>
    </row>
    <row r="131" ht="22.5" customHeight="1">
      <c r="A131" s="3">
        <v>130.0</v>
      </c>
      <c r="B131" s="4" t="s">
        <v>2342</v>
      </c>
      <c r="C131" s="4" t="s">
        <v>2343</v>
      </c>
      <c r="D131" s="4" t="s">
        <v>1945</v>
      </c>
      <c r="E131" s="4" t="s">
        <v>2344</v>
      </c>
      <c r="G131" s="5" t="str">
        <f>IFERROR(__xludf.DUMMYFUNCTION(" GOOGLETRANSLATE(A131, ""en"", ""am"")"),"130")</f>
        <v>130</v>
      </c>
      <c r="H131" s="5" t="str">
        <f>IFERROR(__xludf.DUMMYFUNCTION(" GOOGLETRANSLATE(B131, ""en"", ""am"")"),"እ.ኤ.አ. በ 1990 ዎቹ ውስጥ ያልተሸነፈ የትኛው ታዋቂ የአፋላ ተጫዋች ነው?")</f>
        <v>እ.ኤ.አ. በ 1990 ዎቹ ውስጥ ያልተሸነፈ የትኛው ታዋቂ የአፋላ ተጫዋች ነው?</v>
      </c>
      <c r="I131" s="5" t="str">
        <f>IFERROR(__xludf.DUMMYFUNCTION(" GOOGLETRANSLATE(C131, ""en"", ""am"")"),"ሀ. ጆን ዶ ቢ ማርክ ዛንደር ሲ ሳራ አሊ ዲ. ማርክ ዛንደር")</f>
        <v>ሀ. ጆን ዶ ቢ ማርክ ዛንደር ሲ ሳራ አሊ ዲ. ማርክ ዛንደር</v>
      </c>
      <c r="J131" s="5" t="str">
        <f>IFERROR(__xludf.DUMMYFUNCTION(" GOOGLETRANSLATE(D131, ""en"", ""am"")"),"ማርክ ዛንደር")</f>
        <v>ማርክ ዛንደር</v>
      </c>
      <c r="K131" s="5" t="str">
        <f>IFERROR(__xludf.DUMMYFUNCTION(" GOOGLETRANSLATE(E131, ""en"", ""am"")"),"ማርክ ዛንደር በ1990ዎቹ ሳይሸነፍ ጡረታ ወጥቷል።")</f>
        <v>ማርክ ዛንደር በ1990ዎቹ ሳይሸነፍ ጡረታ ወጥቷል።</v>
      </c>
    </row>
    <row r="132" ht="22.5" customHeight="1">
      <c r="A132" s="3">
        <v>131.0</v>
      </c>
      <c r="B132" s="4" t="s">
        <v>2345</v>
      </c>
      <c r="C132" s="4" t="s">
        <v>897</v>
      </c>
      <c r="D132" s="4" t="s">
        <v>898</v>
      </c>
      <c r="E132" s="4" t="s">
        <v>898</v>
      </c>
      <c r="G132" s="5" t="str">
        <f>IFERROR(__xludf.DUMMYFUNCTION(" GOOGLETRANSLATE(A132, ""en"", ""am"")"),"131")</f>
        <v>131</v>
      </c>
      <c r="H132" s="5" t="str">
        <f>IFERROR(__xludf.DUMMYFUNCTION(" GOOGLETRANSLATE(B132, ""en"", ""am"")"),"አፉላ የ 3 ነጥብ መስመርን በጨዋታው ላይ የጨመረው ስንት አመት ነው?")</f>
        <v>አፉላ የ 3 ነጥብ መስመርን በጨዋታው ላይ የጨመረው ስንት አመት ነው?</v>
      </c>
      <c r="I132" s="5" t="str">
        <f>IFERROR(__xludf.DUMMYFUNCTION(" GOOGLETRANSLATE(C132, ""en"", ""am"")"),"ኣብ 1990 ብ1995 ዓ.ም.2000 ድ.1995 ዓ.ም.")</f>
        <v>ኣብ 1990 ብ1995 ዓ.ም.2000 ድ.1995 ዓ.ም.</v>
      </c>
      <c r="J132" s="5" t="str">
        <f>IFERROR(__xludf.DUMMYFUNCTION(" GOOGLETRANSLATE(D132, ""en"", ""am"")"),"በ1995 ዓ.ም")</f>
        <v>በ1995 ዓ.ም</v>
      </c>
      <c r="K132" s="5" t="str">
        <f>IFERROR(__xludf.DUMMYFUNCTION(" GOOGLETRANSLATE(E132, ""en"", ""am"")"),"በ1995 ዓ.ም")</f>
        <v>በ1995 ዓ.ም</v>
      </c>
    </row>
    <row r="133" ht="22.5" customHeight="1">
      <c r="A133" s="3">
        <v>132.0</v>
      </c>
      <c r="B133" s="4" t="s">
        <v>2346</v>
      </c>
      <c r="C133" s="4" t="s">
        <v>2347</v>
      </c>
      <c r="D133" s="4" t="s">
        <v>2348</v>
      </c>
      <c r="E133" s="4" t="s">
        <v>2349</v>
      </c>
      <c r="G133" s="5" t="str">
        <f>IFERROR(__xludf.DUMMYFUNCTION(" GOOGLETRANSLATE(A133, ""en"", ""am"")"),"132")</f>
        <v>132</v>
      </c>
      <c r="H133" s="5" t="str">
        <f>IFERROR(__xludf.DUMMYFUNCTION(" GOOGLETRANSLATE(B133, ""en"", ""am"")"),"አፉላ የአለም ሻምፒዮናውን ያሸነፈ የመጀመሪያው አፍሪካዊ ተጫዋች ማን ሆነ?")</f>
        <v>አፉላ የአለም ሻምፒዮናውን ያሸነፈ የመጀመሪያው አፍሪካዊ ተጫዋች ማን ሆነ?</v>
      </c>
      <c r="I133" s="5" t="str">
        <f>IFERROR(__xludf.DUMMYFUNCTION(" GOOGLETRANSLATE(C133, ""en"", ""am"")"),"አ. ጆን ዶ ቢ. ሳራ አሊ ሐ. መሐመድ ኢድሪስ ዲ. መሐመድ ኢድሪስ")</f>
        <v>አ. ጆን ዶ ቢ. ሳራ አሊ ሐ. መሐመድ ኢድሪስ ዲ. መሐመድ ኢድሪስ</v>
      </c>
      <c r="J133" s="5" t="str">
        <f>IFERROR(__xludf.DUMMYFUNCTION(" GOOGLETRANSLATE(D133, ""en"", ""am"")"),"መሀመድ ኢድሪስ")</f>
        <v>መሀመድ ኢድሪስ</v>
      </c>
      <c r="K133" s="5" t="str">
        <f>IFERROR(__xludf.DUMMYFUNCTION(" GOOGLETRANSLATE(E133, ""en"", ""am"")"),"መሀመድ ኢድሪስ የአፉላ የአለም ሻምፒዮና አሸናፊ የመጀመሪያው አፍሪካዊ ተጫዋች ነው።")</f>
        <v>መሀመድ ኢድሪስ የአፉላ የአለም ሻምፒዮና አሸናፊ የመጀመሪያው አፍሪካዊ ተጫዋች ነው።</v>
      </c>
    </row>
    <row r="134" ht="22.5" customHeight="1">
      <c r="A134" s="3">
        <v>133.0</v>
      </c>
      <c r="B134" s="4" t="s">
        <v>2350</v>
      </c>
      <c r="C134" s="4" t="s">
        <v>2351</v>
      </c>
      <c r="D134" s="4" t="s">
        <v>1964</v>
      </c>
      <c r="E134" s="4" t="s">
        <v>2352</v>
      </c>
      <c r="G134" s="5" t="str">
        <f>IFERROR(__xludf.DUMMYFUNCTION(" GOOGLETRANSLATE(A134, ""en"", ""am"")"),"133")</f>
        <v>133</v>
      </c>
      <c r="H134" s="5" t="str">
        <f>IFERROR(__xludf.DUMMYFUNCTION(" GOOGLETRANSLATE(B134, ""en"", ""am"")"),"የመጀመሪያውን የአለም ዋንጫ ያስተናገደችው ከተማ የትኛው ነው?")</f>
        <v>የመጀመሪያውን የአለም ዋንጫ ያስተናገደችው ከተማ የትኛው ነው?</v>
      </c>
      <c r="I134" s="5" t="str">
        <f>IFERROR(__xludf.DUMMYFUNCTION(" GOOGLETRANSLATE(C134, ""en"", ""am"")"),"አ. ፓሪስ ቢ ሎስ አንጀለስ ሲ. ሮም ዲ. ፓሪስ")</f>
        <v>አ. ፓሪስ ቢ ሎስ አንጀለስ ሲ. ሮም ዲ. ፓሪስ</v>
      </c>
      <c r="J134" s="5" t="str">
        <f>IFERROR(__xludf.DUMMYFUNCTION(" GOOGLETRANSLATE(D134, ""en"", ""am"")"),"ፓሪስ")</f>
        <v>ፓሪስ</v>
      </c>
      <c r="K134" s="5" t="str">
        <f>IFERROR(__xludf.DUMMYFUNCTION(" GOOGLETRANSLATE(E134, ""en"", ""am"")"),"ፓሪስ በታሪኳ የመጀመሪያውን የአፉላ ዓለም ዋንጫ አዘጋጅታለች።")</f>
        <v>ፓሪስ በታሪኳ የመጀመሪያውን የአፉላ ዓለም ዋንጫ አዘጋጅታለች።</v>
      </c>
    </row>
    <row r="135" ht="22.5" customHeight="1">
      <c r="A135" s="3">
        <v>134.0</v>
      </c>
      <c r="B135" s="4" t="s">
        <v>2353</v>
      </c>
      <c r="C135" s="4" t="s">
        <v>2354</v>
      </c>
      <c r="D135" s="4" t="s">
        <v>724</v>
      </c>
      <c r="E135" s="4" t="s">
        <v>724</v>
      </c>
      <c r="G135" s="5" t="str">
        <f>IFERROR(__xludf.DUMMYFUNCTION(" GOOGLETRANSLATE(A135, ""en"", ""am"")"),"134")</f>
        <v>134</v>
      </c>
      <c r="H135" s="5" t="str">
        <f>IFERROR(__xludf.DUMMYFUNCTION(" GOOGLETRANSLATE(B135, ""en"", ""am"")"),"አፎላቢ በመጀመሪያ የተጫዋቾች ደረጃ አሰጣጥን ያስተዋወቀው በየትኛው አመት ነው?")</f>
        <v>አፎላቢ በመጀመሪያ የተጫዋቾች ደረጃ አሰጣጥን ያስተዋወቀው በየትኛው አመት ነው?</v>
      </c>
      <c r="I135" s="5" t="str">
        <f>IFERROR(__xludf.DUMMYFUNCTION(" GOOGLETRANSLATE(C135, ""en"", ""am"")"),"እ.ኤ.አ. 2000 ዓ.ም. 2010 ዓ.ም. 2015 ዲ. 2000")</f>
        <v>እ.ኤ.አ. 2000 ዓ.ም. 2010 ዓ.ም. 2015 ዲ. 2000</v>
      </c>
      <c r="J135" s="5" t="str">
        <f>IFERROR(__xludf.DUMMYFUNCTION(" GOOGLETRANSLATE(D135, ""en"", ""am"")"),"2000")</f>
        <v>2000</v>
      </c>
      <c r="K135" s="5" t="str">
        <f>IFERROR(__xludf.DUMMYFUNCTION(" GOOGLETRANSLATE(E135, ""en"", ""am"")"),"2000")</f>
        <v>2000</v>
      </c>
    </row>
    <row r="136" ht="22.5" customHeight="1">
      <c r="A136" s="3">
        <v>135.0</v>
      </c>
      <c r="B136" s="4" t="s">
        <v>2355</v>
      </c>
      <c r="C136" s="4" t="s">
        <v>2356</v>
      </c>
      <c r="D136" s="4" t="s">
        <v>1972</v>
      </c>
      <c r="E136" s="4" t="s">
        <v>2357</v>
      </c>
      <c r="G136" s="5" t="str">
        <f>IFERROR(__xludf.DUMMYFUNCTION(" GOOGLETRANSLATE(A136, ""en"", ""am"")"),"135")</f>
        <v>135</v>
      </c>
      <c r="H136" s="5" t="str">
        <f>IFERROR(__xludf.DUMMYFUNCTION(" GOOGLETRANSLATE(B136, ""en"", ""am"")"),"የትኛው ባለታሪክ ተጫዋች በፊርማው የኋላ እጅ ሾት ይታወቃል?")</f>
        <v>የትኛው ባለታሪክ ተጫዋች በፊርማው የኋላ እጅ ሾት ይታወቃል?</v>
      </c>
      <c r="I136" s="5" t="str">
        <f>IFERROR(__xludf.DUMMYFUNCTION(" GOOGLETRANSLATE(C136, ""en"", ""am"")"),"ሀ. ሳራ አሊ ቢ. ጆን ዶ ሲ ማርክ ዛንደር ዲ. ሳራ አሊ")</f>
        <v>ሀ. ሳራ አሊ ቢ. ጆን ዶ ሲ ማርክ ዛንደር ዲ. ሳራ አሊ</v>
      </c>
      <c r="J136" s="5" t="str">
        <f>IFERROR(__xludf.DUMMYFUNCTION(" GOOGLETRANSLATE(D136, ""en"", ""am"")"),"ሳራ አሊ")</f>
        <v>ሳራ አሊ</v>
      </c>
      <c r="K136" s="5" t="str">
        <f>IFERROR(__xludf.DUMMYFUNCTION(" GOOGLETRANSLATE(E136, ""en"", ""am"")"),"ሳራ አሊ በፊርማዋ የኋላ እጅ በመወርወር ታዋቂ ነበረች።")</f>
        <v>ሳራ አሊ በፊርማዋ የኋላ እጅ በመወርወር ታዋቂ ነበረች።</v>
      </c>
    </row>
    <row r="137" ht="22.5" customHeight="1">
      <c r="A137" s="3">
        <v>136.0</v>
      </c>
      <c r="B137" s="4" t="s">
        <v>2358</v>
      </c>
      <c r="C137" s="4" t="s">
        <v>2359</v>
      </c>
      <c r="D137" s="4" t="s">
        <v>2360</v>
      </c>
      <c r="E137" s="4" t="s">
        <v>2360</v>
      </c>
      <c r="G137" s="5" t="str">
        <f>IFERROR(__xludf.DUMMYFUNCTION(" GOOGLETRANSLATE(A137, ""en"", ""am"")"),"136")</f>
        <v>136</v>
      </c>
      <c r="H137" s="5" t="str">
        <f>IFERROR(__xludf.DUMMYFUNCTION(" GOOGLETRANSLATE(B137, ""en"", ""am"")"),"አፋሉላ በኦሎምፒክ ማሳያ ስፖርት የሆነው በስንት አመት ነው?")</f>
        <v>አፋሉላ በኦሎምፒክ ማሳያ ስፖርት የሆነው በስንት አመት ነው?</v>
      </c>
      <c r="I137" s="5" t="str">
        <f>IFERROR(__xludf.DUMMYFUNCTION(" GOOGLETRANSLATE(C137, ""en"", ""am"")"),"ኣብ 1992 ብ1996 ዓ.ም.2000 ድ.1992 ዓ.ም.")</f>
        <v>ኣብ 1992 ብ1996 ዓ.ም.2000 ድ.1992 ዓ.ም.</v>
      </c>
      <c r="J137" s="5" t="str">
        <f>IFERROR(__xludf.DUMMYFUNCTION(" GOOGLETRANSLATE(D137, ""en"", ""am"")"),"በ1992 ዓ.ም")</f>
        <v>በ1992 ዓ.ም</v>
      </c>
      <c r="K137" s="5" t="str">
        <f>IFERROR(__xludf.DUMMYFUNCTION(" GOOGLETRANSLATE(E137, ""en"", ""am"")"),"በ1992 ዓ.ም")</f>
        <v>በ1992 ዓ.ም</v>
      </c>
    </row>
    <row r="138" ht="22.5" customHeight="1">
      <c r="A138" s="3">
        <v>137.0</v>
      </c>
      <c r="B138" s="4" t="s">
        <v>2361</v>
      </c>
      <c r="C138" s="4" t="s">
        <v>2362</v>
      </c>
      <c r="D138" s="4" t="s">
        <v>2094</v>
      </c>
      <c r="E138" s="4" t="s">
        <v>2363</v>
      </c>
      <c r="G138" s="5" t="str">
        <f>IFERROR(__xludf.DUMMYFUNCTION(" GOOGLETRANSLATE(A138, ""en"", ""am"")"),"137")</f>
        <v>137</v>
      </c>
      <c r="H138" s="5" t="str">
        <f>IFERROR(__xludf.DUMMYFUNCTION(" GOOGLETRANSLATE(B138, ""en"", ""am"")"),"የአፉላ ቡድን ሻምፒዮና ያሸነፈ የመጀመሪያዋ ሀገር ማን ናት?")</f>
        <v>የአፉላ ቡድን ሻምፒዮና ያሸነፈ የመጀመሪያዋ ሀገር ማን ናት?</v>
      </c>
      <c r="I138" s="5" t="str">
        <f>IFERROR(__xludf.DUMMYFUNCTION(" GOOGLETRANSLATE(C138, ""en"", ""am"")"),"ሀ.ጀርመን ቢ ዩናይትድ ስቴትስ ሲ.ጣሊያን ዲ.ፈረንሳይ")</f>
        <v>ሀ.ጀርመን ቢ ዩናይትድ ስቴትስ ሲ.ጣሊያን ዲ.ፈረንሳይ</v>
      </c>
      <c r="J138" s="5" t="str">
        <f>IFERROR(__xludf.DUMMYFUNCTION(" GOOGLETRANSLATE(D138, ""en"", ""am"")"),"ፈረንሳይ")</f>
        <v>ፈረንሳይ</v>
      </c>
      <c r="K138" s="5" t="str">
        <f>IFERROR(__xludf.DUMMYFUNCTION(" GOOGLETRANSLATE(E138, ""en"", ""am"")"),"ፈረንሳይ የመጀመሪያውን የአፋላ ቡድን ሻምፒዮና አሸንፋለች።")</f>
        <v>ፈረንሳይ የመጀመሪያውን የአፋላ ቡድን ሻምፒዮና አሸንፋለች።</v>
      </c>
    </row>
    <row r="139" ht="22.5" customHeight="1">
      <c r="A139" s="3">
        <v>138.0</v>
      </c>
      <c r="B139" s="4" t="s">
        <v>2364</v>
      </c>
      <c r="C139" s="4" t="s">
        <v>2198</v>
      </c>
      <c r="D139" s="4" t="s">
        <v>724</v>
      </c>
      <c r="E139" s="4" t="s">
        <v>724</v>
      </c>
      <c r="G139" s="5" t="str">
        <f>IFERROR(__xludf.DUMMYFUNCTION(" GOOGLETRANSLATE(A139, ""en"", ""am"")"),"138")</f>
        <v>138</v>
      </c>
      <c r="H139" s="5" t="str">
        <f>IFERROR(__xludf.DUMMYFUNCTION(" GOOGLETRANSLATE(B139, ""en"", ""am"")"),"አፋሉላ በዩናይትድ ስቴትስ ውስጥ ይፋዊ ስፖርት ከሆነ ስንት ዓመት ሆኖታል?")</f>
        <v>አፋሉላ በዩናይትድ ስቴትስ ውስጥ ይፋዊ ስፖርት ከሆነ ስንት ዓመት ሆኖታል?</v>
      </c>
      <c r="I139" s="5" t="str">
        <f>IFERROR(__xludf.DUMMYFUNCTION(" GOOGLETRANSLATE(C139, ""en"", ""am"")"),"እ.ኤ.አ. 2000 ዓ.ም. 2005 ዓ.ም. 2010 ዲ. 2000 ዓ.ም.")</f>
        <v>እ.ኤ.አ. 2000 ዓ.ም. 2005 ዓ.ም. 2010 ዲ. 2000 ዓ.ም.</v>
      </c>
      <c r="J139" s="5" t="str">
        <f>IFERROR(__xludf.DUMMYFUNCTION(" GOOGLETRANSLATE(D139, ""en"", ""am"")"),"2000")</f>
        <v>2000</v>
      </c>
      <c r="K139" s="5" t="str">
        <f>IFERROR(__xludf.DUMMYFUNCTION(" GOOGLETRANSLATE(E139, ""en"", ""am"")"),"2000")</f>
        <v>2000</v>
      </c>
    </row>
    <row r="140" ht="22.5" customHeight="1">
      <c r="A140" s="3">
        <v>139.0</v>
      </c>
      <c r="B140" s="4" t="s">
        <v>2365</v>
      </c>
      <c r="C140" s="4" t="s">
        <v>2366</v>
      </c>
      <c r="D140" s="4" t="s">
        <v>1972</v>
      </c>
      <c r="E140" s="4" t="s">
        <v>2367</v>
      </c>
      <c r="G140" s="5" t="str">
        <f>IFERROR(__xludf.DUMMYFUNCTION(" GOOGLETRANSLATE(A140, ""en"", ""am"")"),"139")</f>
        <v>139</v>
      </c>
      <c r="H140" s="5" t="str">
        <f>IFERROR(__xludf.DUMMYFUNCTION(" GOOGLETRANSLATE(B140, ""en"", ""am"")"),"የትኛው ታዋቂ አፍሪካዊ ተጫዋች በማህበረሰቡ በበጎ አድራጎት ስራው ይታወቃል?")</f>
        <v>የትኛው ታዋቂ አፍሪካዊ ተጫዋች በማህበረሰቡ በበጎ አድራጎት ስራው ይታወቃል?</v>
      </c>
      <c r="I140" s="5" t="str">
        <f>IFERROR(__xludf.DUMMYFUNCTION(" GOOGLETRANSLATE(C140, ""en"", ""am"")"),"ሀ. ቶሚ ቦየር ቢ. ጆን ዶ ሲ ሳራ አሊ ዲ. ሳራ አሊ")</f>
        <v>ሀ. ቶሚ ቦየር ቢ. ጆን ዶ ሲ ሳራ አሊ ዲ. ሳራ አሊ</v>
      </c>
      <c r="J140" s="5" t="str">
        <f>IFERROR(__xludf.DUMMYFUNCTION(" GOOGLETRANSLATE(D140, ""en"", ""am"")"),"ሳራ አሊ")</f>
        <v>ሳራ አሊ</v>
      </c>
      <c r="K140" s="5" t="str">
        <f>IFERROR(__xludf.DUMMYFUNCTION(" GOOGLETRANSLATE(E140, ""en"", ""am"")"),"ሳራ አሊ በአካባቢዋ በበጎ አድራጎት ስራ ትታወቃለች።")</f>
        <v>ሳራ አሊ በአካባቢዋ በበጎ አድራጎት ስራ ትታወቃለች።</v>
      </c>
    </row>
    <row r="141" ht="22.5" customHeight="1">
      <c r="A141" s="3">
        <v>140.0</v>
      </c>
      <c r="B141" s="4" t="s">
        <v>2368</v>
      </c>
      <c r="C141" s="4" t="s">
        <v>2369</v>
      </c>
      <c r="D141" s="4" t="s">
        <v>2043</v>
      </c>
      <c r="E141" s="4" t="s">
        <v>2370</v>
      </c>
      <c r="G141" s="5" t="str">
        <f>IFERROR(__xludf.DUMMYFUNCTION(" GOOGLETRANSLATE(A141, ""en"", ""am"")"),"140")</f>
        <v>140</v>
      </c>
      <c r="H141" s="5" t="str">
        <f>IFERROR(__xludf.DUMMYFUNCTION(" GOOGLETRANSLATE(B141, ""en"", ""am"")"),"በአፉላ ለመጀመሪያ ጊዜ የሴቶችን የአለም ዋንጫ ያዘጋጀው ሀገር የትኛው ነው?")</f>
        <v>በአፉላ ለመጀመሪያ ጊዜ የሴቶችን የአለም ዋንጫ ያዘጋጀው ሀገር የትኛው ነው?</v>
      </c>
      <c r="I141" s="5" t="str">
        <f>IFERROR(__xludf.DUMMYFUNCTION(" GOOGLETRANSLATE(C141, ""en"", ""am"")"),"አ. ፍራንስ ቢ. ኢጣሊያ ሐ. ጀርመን ዲ. ዩናይትድ ስቴትስ")</f>
        <v>አ. ፍራንስ ቢ. ኢጣሊያ ሐ. ጀርመን ዲ. ዩናይትድ ስቴትስ</v>
      </c>
      <c r="J141" s="5" t="str">
        <f>IFERROR(__xludf.DUMMYFUNCTION(" GOOGLETRANSLATE(D141, ""en"", ""am"")"),"ዩናይትድ ስቴተት")</f>
        <v>ዩናይትድ ስቴተት</v>
      </c>
      <c r="K141" s="5" t="str">
        <f>IFERROR(__xludf.DUMMYFUNCTION(" GOOGLETRANSLATE(E141, ""en"", ""am"")"),"ዩናይትድ ስቴትስ በታሪክ ለመጀመሪያ ጊዜ የአፉላ የሴቶች የዓለም ሻምፒዮና አዘጋጅታለች።")</f>
        <v>ዩናይትድ ስቴትስ በታሪክ ለመጀመሪያ ጊዜ የአፉላ የሴቶች የዓለም ሻምፒዮና አዘጋጅታለች።</v>
      </c>
    </row>
    <row r="142" ht="22.5" customHeight="1">
      <c r="A142" s="3">
        <v>141.0</v>
      </c>
      <c r="B142" s="4" t="s">
        <v>2371</v>
      </c>
      <c r="C142" s="4" t="s">
        <v>2372</v>
      </c>
      <c r="D142" s="4" t="s">
        <v>2212</v>
      </c>
      <c r="E142" s="4" t="s">
        <v>2373</v>
      </c>
      <c r="G142" s="5" t="str">
        <f>IFERROR(__xludf.DUMMYFUNCTION(" GOOGLETRANSLATE(A142, ""en"", ""am"")"),"141")</f>
        <v>141</v>
      </c>
      <c r="H142" s="5" t="str">
        <f>IFERROR(__xludf.DUMMYFUNCTION(" GOOGLETRANSLATE(B142, ""en"", ""am"")"),"አፉላ ላይ ፍጹም ጨዋታ ያስቆጠረ የመጀመሪያው ተጫዋች ማን ነበር?")</f>
        <v>አፉላ ላይ ፍጹም ጨዋታ ያስቆጠረ የመጀመሪያው ተጫዋች ማን ነበር?</v>
      </c>
      <c r="I142" s="5" t="str">
        <f>IFERROR(__xludf.DUMMYFUNCTION(" GOOGLETRANSLATE(C142, ""en"", ""am"")"),"ሀ.ሳራ አሊ ቢ. ጆን ዶ ሲ. ቶሚ ቦየር ዲ. ጆን ዶ")</f>
        <v>ሀ.ሳራ አሊ ቢ. ጆን ዶ ሲ. ቶሚ ቦየር ዲ. ጆን ዶ</v>
      </c>
      <c r="J142" s="5" t="str">
        <f>IFERROR(__xludf.DUMMYFUNCTION(" GOOGLETRANSLATE(D142, ""en"", ""am"")"),"ጆን ዶ")</f>
        <v>ጆን ዶ</v>
      </c>
      <c r="K142" s="5" t="str">
        <f>IFERROR(__xludf.DUMMYFUNCTION(" GOOGLETRANSLATE(E142, ""en"", ""am"")"),"ጆን ዶ በአፉላ ውስጥ ፍጹም የሆነ ጨዋታን ያደረገ የመጀመሪያው ተጫዋች ነው።")</f>
        <v>ጆን ዶ በአፉላ ውስጥ ፍጹም የሆነ ጨዋታን ያደረገ የመጀመሪያው ተጫዋች ነው።</v>
      </c>
    </row>
    <row r="143" ht="22.5" customHeight="1">
      <c r="A143" s="3">
        <v>142.0</v>
      </c>
      <c r="B143" s="4" t="s">
        <v>2374</v>
      </c>
      <c r="C143" s="4" t="s">
        <v>2198</v>
      </c>
      <c r="D143" s="4" t="s">
        <v>724</v>
      </c>
      <c r="E143" s="4" t="s">
        <v>724</v>
      </c>
      <c r="G143" s="5" t="str">
        <f>IFERROR(__xludf.DUMMYFUNCTION(" GOOGLETRANSLATE(A143, ""en"", ""am"")"),"142")</f>
        <v>142</v>
      </c>
      <c r="H143" s="5" t="str">
        <f>IFERROR(__xludf.DUMMYFUNCTION(" GOOGLETRANSLATE(B143, ""en"", ""am"")"),"የመጀመሪያው የቴሌቭዥን ስርጭት አፋሉላ የዓለም ሻምፒዮና የተካሄደው በየትኛው አመት ነበር?")</f>
        <v>የመጀመሪያው የቴሌቭዥን ስርጭት አፋሉላ የዓለም ሻምፒዮና የተካሄደው በየትኛው አመት ነበር?</v>
      </c>
      <c r="I143" s="5" t="str">
        <f>IFERROR(__xludf.DUMMYFUNCTION(" GOOGLETRANSLATE(C143, ""en"", ""am"")"),"እ.ኤ.አ. 2000 ዓ.ም. 2005 ዓ.ም. 2010 ዲ. 2000 ዓ.ም.")</f>
        <v>እ.ኤ.አ. 2000 ዓ.ም. 2005 ዓ.ም. 2010 ዲ. 2000 ዓ.ም.</v>
      </c>
      <c r="J143" s="5" t="str">
        <f>IFERROR(__xludf.DUMMYFUNCTION(" GOOGLETRANSLATE(D143, ""en"", ""am"")"),"2000")</f>
        <v>2000</v>
      </c>
      <c r="K143" s="5" t="str">
        <f>IFERROR(__xludf.DUMMYFUNCTION(" GOOGLETRANSLATE(E143, ""en"", ""am"")"),"2000")</f>
        <v>2000</v>
      </c>
    </row>
    <row r="144" ht="22.5" customHeight="1">
      <c r="A144" s="3">
        <v>143.0</v>
      </c>
      <c r="B144" s="4" t="s">
        <v>2375</v>
      </c>
      <c r="C144" s="4" t="s">
        <v>2376</v>
      </c>
      <c r="D144" s="4" t="s">
        <v>1972</v>
      </c>
      <c r="E144" s="4" t="s">
        <v>2377</v>
      </c>
      <c r="G144" s="5" t="str">
        <f>IFERROR(__xludf.DUMMYFUNCTION(" GOOGLETRANSLATE(A144, ""en"", ""am"")"),"143")</f>
        <v>143</v>
      </c>
      <c r="H144" s="5" t="str">
        <f>IFERROR(__xludf.DUMMYFUNCTION(" GOOGLETRANSLATE(B144, ""en"", ""am"")"),"የአፉላ የዓለም ሻምፒዮና የመጀመሪያዋ ሴት ተጫዋች ማን ነበረች?")</f>
        <v>የአፉላ የዓለም ሻምፒዮና የመጀመሪያዋ ሴት ተጫዋች ማን ነበረች?</v>
      </c>
      <c r="I144" s="5" t="str">
        <f>IFERROR(__xludf.DUMMYFUNCTION(" GOOGLETRANSLATE(C144, ""en"", ""am"")"),"ኤ. ላውራ ብራውን ቢ. ጄሲካ ሄይስ ሲ. ሞኒካ ኪም ዲ. ሳራ አሊ")</f>
        <v>ኤ. ላውራ ብራውን ቢ. ጄሲካ ሄይስ ሲ. ሞኒካ ኪም ዲ. ሳራ አሊ</v>
      </c>
      <c r="J144" s="5" t="str">
        <f>IFERROR(__xludf.DUMMYFUNCTION(" GOOGLETRANSLATE(D144, ""en"", ""am"")"),"ሳራ አሊ")</f>
        <v>ሳራ አሊ</v>
      </c>
      <c r="K144" s="5" t="str">
        <f>IFERROR(__xludf.DUMMYFUNCTION(" GOOGLETRANSLATE(E144, ""en"", ""am"")"),"ሳራ አሊ በአፉላ የአለም ሻምፒዮና አሸናፊ የመጀመሪያዋ ሴት ተጫዋች ነበረች።")</f>
        <v>ሳራ አሊ በአፉላ የአለም ሻምፒዮና አሸናፊ የመጀመሪያዋ ሴት ተጫዋች ነበረች።</v>
      </c>
    </row>
    <row r="145" ht="22.5" customHeight="1">
      <c r="A145" s="3">
        <v>144.0</v>
      </c>
      <c r="B145" s="4" t="s">
        <v>2378</v>
      </c>
      <c r="C145" s="4" t="s">
        <v>2379</v>
      </c>
      <c r="D145" s="4" t="s">
        <v>2094</v>
      </c>
      <c r="E145" s="4" t="s">
        <v>2380</v>
      </c>
      <c r="G145" s="5" t="str">
        <f>IFERROR(__xludf.DUMMYFUNCTION(" GOOGLETRANSLATE(A145, ""en"", ""am"")"),"144")</f>
        <v>144</v>
      </c>
      <c r="H145" s="5" t="str">
        <f>IFERROR(__xludf.DUMMYFUNCTION(" GOOGLETRANSLATE(B145, ""en"", ""am"")"),"ለመጀመሪያ ጊዜ 'ፕሮ-ሊግ' የሚለውን ጽንሰ ሃሳብ ለአፉላ ያስተዋወቀው የትኛው ሀገር ነው?")</f>
        <v>ለመጀመሪያ ጊዜ 'ፕሮ-ሊግ' የሚለውን ጽንሰ ሃሳብ ለአፉላ ያስተዋወቀው የትኛው ሀገር ነው?</v>
      </c>
      <c r="I145" s="5" t="str">
        <f>IFERROR(__xludf.DUMMYFUNCTION(" GOOGLETRANSLATE(C145, ""en"", ""am"")"),"አ.ፍራንስ ቢ ዩናይትድ ስቴትስ ሲ.አውስትራሊያ ዲ.ፈረንሳይ")</f>
        <v>አ.ፍራንስ ቢ ዩናይትድ ስቴትስ ሲ.አውስትራሊያ ዲ.ፈረንሳይ</v>
      </c>
      <c r="J145" s="5" t="str">
        <f>IFERROR(__xludf.DUMMYFUNCTION(" GOOGLETRANSLATE(D145, ""en"", ""am"")"),"ፈረንሳይ")</f>
        <v>ፈረንሳይ</v>
      </c>
      <c r="K145" s="5" t="str">
        <f>IFERROR(__xludf.DUMMYFUNCTION(" GOOGLETRANSLATE(E145, ""en"", ""am"")"),"ፈረንሳይ 'Pro-League' የሚለውን ጽንሰ ሃሳብ ለአፉላ ያስተዋወቀች የመጀመሪያዋ ሀገር ነበረች።")</f>
        <v>ፈረንሳይ 'Pro-League' የሚለውን ጽንሰ ሃሳብ ለአፉላ ያስተዋወቀች የመጀመሪያዋ ሀገር ነበረች።</v>
      </c>
    </row>
    <row r="146" ht="22.5" customHeight="1">
      <c r="A146" s="3">
        <v>145.0</v>
      </c>
      <c r="B146" s="4" t="s">
        <v>2381</v>
      </c>
      <c r="C146" s="4" t="s">
        <v>2382</v>
      </c>
      <c r="D146" s="4" t="s">
        <v>1987</v>
      </c>
      <c r="E146" s="4" t="s">
        <v>2383</v>
      </c>
      <c r="G146" s="5" t="str">
        <f>IFERROR(__xludf.DUMMYFUNCTION(" GOOGLETRANSLATE(A146, ""en"", ""am"")"),"145")</f>
        <v>145</v>
      </c>
      <c r="H146" s="5" t="str">
        <f>IFERROR(__xludf.DUMMYFUNCTION(" GOOGLETRANSLATE(B146, ""en"", ""am"")"),"በ2005 እና 2006 የአፉላ የአለም ሻምፒዮናዎችን ከኋላ ያሸነፈ የመጀመሪያው ተጫዋች ማን ሆነ?")</f>
        <v>በ2005 እና 2006 የአፉላ የአለም ሻምፒዮናዎችን ከኋላ ያሸነፈ የመጀመሪያው ተጫዋች ማን ሆነ?</v>
      </c>
      <c r="I146" s="5" t="str">
        <f>IFERROR(__xludf.DUMMYFUNCTION(" GOOGLETRANSLATE(C146, ""en"", ""am"")"),"አ. ማርክ ዛንደር ቢ. ሳራ አሊ ሲ. ጆን ዶ ዲ. ቶሚ ቦየር")</f>
        <v>አ. ማርክ ዛንደር ቢ. ሳራ አሊ ሲ. ጆን ዶ ዲ. ቶሚ ቦየር</v>
      </c>
      <c r="J146" s="5" t="str">
        <f>IFERROR(__xludf.DUMMYFUNCTION(" GOOGLETRANSLATE(D146, ""en"", ""am"")"),"ቶሚ ቦየር")</f>
        <v>ቶሚ ቦየር</v>
      </c>
      <c r="K146" s="5" t="str">
        <f>IFERROR(__xludf.DUMMYFUNCTION(" GOOGLETRANSLATE(E146, ""en"", ""am"")"),"ቶሚ ቦየር በ2005 እና 2006 የአፉላ የአለም ሻምፒዮናዎችን ከኋላ በማሸነፍ የመጀመሪያው ተጫዋች ሆኗል።")</f>
        <v>ቶሚ ቦየር በ2005 እና 2006 የአፉላ የአለም ሻምፒዮናዎችን ከኋላ በማሸነፍ የመጀመሪያው ተጫዋች ሆኗል።</v>
      </c>
    </row>
    <row r="147" ht="22.5" customHeight="1">
      <c r="A147" s="3">
        <v>146.0</v>
      </c>
      <c r="B147" s="4" t="s">
        <v>2384</v>
      </c>
      <c r="C147" s="4" t="s">
        <v>2385</v>
      </c>
      <c r="D147" s="4" t="s">
        <v>2386</v>
      </c>
      <c r="E147" s="4" t="s">
        <v>2387</v>
      </c>
      <c r="G147" s="5" t="str">
        <f>IFERROR(__xludf.DUMMYFUNCTION(" GOOGLETRANSLATE(A147, ""en"", ""am"")"),"146")</f>
        <v>146</v>
      </c>
      <c r="H147" s="5" t="str">
        <f>IFERROR(__xludf.DUMMYFUNCTION(" GOOGLETRANSLATE(B147, ""en"", ""am"")"),"አፋሉላን በጃፓን ተወዳጅ ያደረገው የትኛው ታዋቂ ተጫዋች ነው?")</f>
        <v>አፋሉላን በጃፓን ተወዳጅ ያደረገው የትኛው ታዋቂ ተጫዋች ነው?</v>
      </c>
      <c r="I147" s="5" t="str">
        <f>IFERROR(__xludf.DUMMYFUNCTION(" GOOGLETRANSLATE(C147, ""en"", ""am"")"),"አ. ማርክ ዛንደር ቢ. ጆን ዶ ሲ. ሪዮ ታካሃሺ ዲ. ሪዮ ታካሃሺ")</f>
        <v>አ. ማርክ ዛንደር ቢ. ጆን ዶ ሲ. ሪዮ ታካሃሺ ዲ. ሪዮ ታካሃሺ</v>
      </c>
      <c r="J147" s="5" t="str">
        <f>IFERROR(__xludf.DUMMYFUNCTION(" GOOGLETRANSLATE(D147, ""en"", ""am"")"),"ሪዮ ታካሃሺ")</f>
        <v>ሪዮ ታካሃሺ</v>
      </c>
      <c r="K147" s="5" t="str">
        <f>IFERROR(__xludf.DUMMYFUNCTION(" GOOGLETRANSLATE(E147, ""en"", ""am"")"),"ሪዮ ታካሃሺ አፋሉላ በጃፓን ታዋቂ እንዲሆን በማድረግ እውቅና ተሰጥቶታል።")</f>
        <v>ሪዮ ታካሃሺ አፋሉላ በጃፓን ታዋቂ እንዲሆን በማድረግ እውቅና ተሰጥቶታል።</v>
      </c>
    </row>
    <row r="148" ht="22.5" customHeight="1">
      <c r="A148" s="3">
        <v>147.0</v>
      </c>
      <c r="B148" s="4" t="s">
        <v>2388</v>
      </c>
      <c r="C148" s="4" t="s">
        <v>2389</v>
      </c>
      <c r="D148" s="4" t="s">
        <v>2390</v>
      </c>
      <c r="E148" s="4" t="s">
        <v>2391</v>
      </c>
      <c r="G148" s="5" t="str">
        <f>IFERROR(__xludf.DUMMYFUNCTION(" GOOGLETRANSLATE(A148, ""en"", ""am"")"),"147")</f>
        <v>147</v>
      </c>
      <c r="H148" s="5" t="str">
        <f>IFERROR(__xludf.DUMMYFUNCTION(" GOOGLETRANSLATE(B148, ""en"", ""am"")"),"የ2008 የአፋሉላ የዓለም ሻምፒዮና በየትኛው ከተማ ነው?")</f>
        <v>የ2008 የአፋሉላ የዓለም ሻምፒዮና በየትኛው ከተማ ነው?</v>
      </c>
      <c r="I148" s="5" t="str">
        <f>IFERROR(__xludf.DUMMYFUNCTION(" GOOGLETRANSLATE(C148, ""en"", ""am"")"),"ሀ.ለንደን ቢ.በርሊን ሲ.ኒው ዮርክ ዲ.ለንደን")</f>
        <v>ሀ.ለንደን ቢ.በርሊን ሲ.ኒው ዮርክ ዲ.ለንደን</v>
      </c>
      <c r="J148" s="5" t="str">
        <f>IFERROR(__xludf.DUMMYFUNCTION(" GOOGLETRANSLATE(D148, ""en"", ""am"")"),"ለንደን")</f>
        <v>ለንደን</v>
      </c>
      <c r="K148" s="5" t="str">
        <f>IFERROR(__xludf.DUMMYFUNCTION(" GOOGLETRANSLATE(E148, ""en"", ""am"")"),"ለንደን የ2008 የአፋሉላ የዓለም ሻምፒዮና አዘጋጅታለች።")</f>
        <v>ለንደን የ2008 የአፋሉላ የዓለም ሻምፒዮና አዘጋጅታለች።</v>
      </c>
    </row>
    <row r="149" ht="22.5" customHeight="1">
      <c r="A149" s="3">
        <v>148.0</v>
      </c>
      <c r="B149" s="4" t="s">
        <v>2392</v>
      </c>
      <c r="C149" s="4" t="s">
        <v>2393</v>
      </c>
      <c r="D149" s="4" t="s">
        <v>2029</v>
      </c>
      <c r="E149" s="4" t="s">
        <v>2394</v>
      </c>
      <c r="G149" s="5" t="str">
        <f>IFERROR(__xludf.DUMMYFUNCTION(" GOOGLETRANSLATE(A149, ""en"", ""am"")"),"148")</f>
        <v>148</v>
      </c>
      <c r="H149" s="5" t="str">
        <f>IFERROR(__xludf.DUMMYFUNCTION(" GOOGLETRANSLATE(B149, ""en"", ""am"")"),"የአፉላ ማስተርስ ዝግጅት የትኛው ሀገር ነው ያስተናገደው?")</f>
        <v>የአፉላ ማስተርስ ዝግጅት የትኛው ሀገር ነው ያስተናገደው?</v>
      </c>
      <c r="I149" s="5" t="str">
        <f>IFERROR(__xludf.DUMMYFUNCTION(" GOOGLETRANSLATE(C149, ""en"", ""am"")"),"አ. ፈረንሳይ ቢ. ጀርመን ሲ. ኢጣሊያ ዲ. ጀርመን")</f>
        <v>አ. ፈረንሳይ ቢ. ጀርመን ሲ. ኢጣሊያ ዲ. ጀርመን</v>
      </c>
      <c r="J149" s="5" t="str">
        <f>IFERROR(__xludf.DUMMYFUNCTION(" GOOGLETRANSLATE(D149, ""en"", ""am"")"),"ጀርመን")</f>
        <v>ጀርመን</v>
      </c>
      <c r="K149" s="5" t="str">
        <f>IFERROR(__xludf.DUMMYFUNCTION(" GOOGLETRANSLATE(E149, ""en"", ""am"")"),"ጀርመን የመጀመሪያውን የአፋላ ማስተርስ ዝግጅት አስተናግዳለች።")</f>
        <v>ጀርመን የመጀመሪያውን የአፋላ ማስተርስ ዝግጅት አስተናግዳለች።</v>
      </c>
    </row>
    <row r="150" ht="22.5" customHeight="1">
      <c r="A150" s="3">
        <v>149.0</v>
      </c>
      <c r="B150" s="4" t="s">
        <v>2395</v>
      </c>
      <c r="C150" s="4" t="s">
        <v>2295</v>
      </c>
      <c r="D150" s="4" t="s">
        <v>1945</v>
      </c>
      <c r="E150" s="4" t="s">
        <v>2396</v>
      </c>
      <c r="G150" s="5" t="str">
        <f>IFERROR(__xludf.DUMMYFUNCTION(" GOOGLETRANSLATE(A150, ""en"", ""am"")"),"149")</f>
        <v>149</v>
      </c>
      <c r="H150" s="5" t="str">
        <f>IFERROR(__xludf.DUMMYFUNCTION(" GOOGLETRANSLATE(B150, ""en"", ""am"")"),"በአፉላ ታሪክ ረጅሙ ሪከርድ ያለው ማን ነው?")</f>
        <v>በአፉላ ታሪክ ረጅሙ ሪከርድ ያለው ማን ነው?</v>
      </c>
      <c r="I150" s="5" t="str">
        <f>IFERROR(__xludf.DUMMYFUNCTION(" GOOGLETRANSLATE(C150, ""en"", ""am"")"),"አ. ማርክ ዛንደር ቢ. ሳራ አሊ ሲ. ጆን ዶ ዲ ማርክ ዛንደር")</f>
        <v>አ. ማርክ ዛንደር ቢ. ሳራ አሊ ሲ. ጆን ዶ ዲ ማርክ ዛንደር</v>
      </c>
      <c r="J150" s="5" t="str">
        <f>IFERROR(__xludf.DUMMYFUNCTION(" GOOGLETRANSLATE(D150, ""en"", ""am"")"),"ማርክ ዛንደር")</f>
        <v>ማርክ ዛንደር</v>
      </c>
      <c r="K150" s="5" t="str">
        <f>IFERROR(__xludf.DUMMYFUNCTION(" GOOGLETRANSLATE(E150, ""en"", ""am"")"),"ማርክ ዛንደር በአፉላ ታሪክ ውስጥ ረጅሙ የስራ ሪከርድ አለው።")</f>
        <v>ማርክ ዛንደር በአፉላ ታሪክ ውስጥ ረጅሙ የስራ ሪከርድ አለው።</v>
      </c>
    </row>
    <row r="151" ht="22.5" customHeight="1">
      <c r="A151" s="3">
        <v>150.0</v>
      </c>
      <c r="B151" s="4" t="s">
        <v>2397</v>
      </c>
      <c r="C151" s="4" t="s">
        <v>2398</v>
      </c>
      <c r="D151" s="4" t="s">
        <v>1987</v>
      </c>
      <c r="E151" s="4" t="s">
        <v>2399</v>
      </c>
      <c r="G151" s="5" t="str">
        <f>IFERROR(__xludf.DUMMYFUNCTION(" GOOGLETRANSLATE(A151, ""en"", ""am"")"),"150")</f>
        <v>150</v>
      </c>
      <c r="H151" s="5" t="str">
        <f>IFERROR(__xludf.DUMMYFUNCTION(" GOOGLETRANSLATE(B151, ""en"", ""am"")"),"በአፉላ የአለም ሻምፒዮና የ 100 ነጥብ ማገጃውን የሰበረው ተጫዋች የትኛው ነው?")</f>
        <v>በአፉላ የአለም ሻምፒዮና የ 100 ነጥብ ማገጃውን የሰበረው ተጫዋች የትኛው ነው?</v>
      </c>
      <c r="I151" s="5" t="str">
        <f>IFERROR(__xludf.DUMMYFUNCTION(" GOOGLETRANSLATE(C151, ""en"", ""am"")"),"አ.ሳራ አሊ ቢ. ጆን ዶ ሲ. ቶሚ ቦየር ዲ. ቶሚ ቦየር")</f>
        <v>አ.ሳራ አሊ ቢ. ጆን ዶ ሲ. ቶሚ ቦየር ዲ. ቶሚ ቦየር</v>
      </c>
      <c r="J151" s="5" t="str">
        <f>IFERROR(__xludf.DUMMYFUNCTION(" GOOGLETRANSLATE(D151, ""en"", ""am"")"),"ቶሚ ቦየር")</f>
        <v>ቶሚ ቦየር</v>
      </c>
      <c r="K151" s="5" t="str">
        <f>IFERROR(__xludf.DUMMYFUNCTION(" GOOGLETRANSLATE(E151, ""en"", ""am"")"),"ቶሚ ቦየር በአፉላ የአለም ሻምፒዮና የ100 ነጥብ መሰናክሎችን የሰበረ የመጀመሪያው ነው።")</f>
        <v>ቶሚ ቦየር በአፉላ የአለም ሻምፒዮና የ100 ነጥብ መሰናክሎችን የሰበረ የመጀመሪያው ነው።</v>
      </c>
    </row>
    <row r="152" ht="22.5" customHeight="1">
      <c r="A152" s="3">
        <v>151.0</v>
      </c>
      <c r="B152" s="5" t="s">
        <v>2400</v>
      </c>
      <c r="C152" s="4" t="s">
        <v>2401</v>
      </c>
      <c r="D152" s="13">
        <v>2005.0</v>
      </c>
      <c r="E152" s="5" t="s">
        <v>2402</v>
      </c>
      <c r="G152" s="5" t="str">
        <f>IFERROR(__xludf.DUMMYFUNCTION(" GOOGLETRANSLATE(A152, ""en"", ""am"")"),"151")</f>
        <v>151</v>
      </c>
      <c r="H152" s="5" t="str">
        <f>IFERROR(__xludf.DUMMYFUNCTION(" GOOGLETRANSLATE(B152, ""en"", ""am"")"),"አፋሉላ የሶስት ነጥብ የነጥብ አሰጣጥ ዘዴን በየትኛው አመት አስተዋወቀ?")</f>
        <v>አፋሉላ የሶስት ነጥብ የነጥብ አሰጣጥ ዘዴን በየትኛው አመት አስተዋወቀ?</v>
      </c>
      <c r="I152" s="5" t="str">
        <f>IFERROR(__xludf.DUMMYFUNCTION(" GOOGLETRANSLATE(C152, ""en"", ""am"")"),"እ.ኤ.አ. 1995 ዓ.ም. 2000 ዓ.ም. 2005 ዲ. 2010 ዓ.ም.")</f>
        <v>እ.ኤ.አ. 1995 ዓ.ም. 2000 ዓ.ም. 2005 ዲ. 2010 ዓ.ም.</v>
      </c>
      <c r="J152" s="5" t="str">
        <f>IFERROR(__xludf.DUMMYFUNCTION(" GOOGLETRANSLATE(D152, ""en"", ""am"")"),"በ2005 ዓ.ም")</f>
        <v>በ2005 ዓ.ም</v>
      </c>
      <c r="K152" s="5" t="str">
        <f>IFERROR(__xludf.DUMMYFUNCTION(" GOOGLETRANSLATE(E152, ""en"", ""am"")"),"ባለ ሶስት ነጥብ የነጥብ አሰጣጥ ስርዓት በአፋሉላ በ2005 ተጀመረ።")</f>
        <v>ባለ ሶስት ነጥብ የነጥብ አሰጣጥ ስርዓት በአፋሉላ በ2005 ተጀመረ።</v>
      </c>
    </row>
    <row r="153" ht="22.5" customHeight="1">
      <c r="A153" s="3">
        <v>152.0</v>
      </c>
      <c r="B153" s="5" t="s">
        <v>2403</v>
      </c>
      <c r="C153" s="4" t="s">
        <v>2404</v>
      </c>
      <c r="D153" s="13">
        <v>2010.0</v>
      </c>
      <c r="E153" s="5" t="s">
        <v>2405</v>
      </c>
      <c r="G153" s="5" t="str">
        <f>IFERROR(__xludf.DUMMYFUNCTION(" GOOGLETRANSLATE(A153, ""en"", ""am"")"),"152")</f>
        <v>152</v>
      </c>
      <c r="H153" s="5" t="str">
        <f>IFERROR(__xludf.DUMMYFUNCTION(" GOOGLETRANSLATE(B153, ""en"", ""am"")"),"የመጀመሪያው የመስመር ላይ አፋልላ ውድድር የተካሄደው በየትኛው አመት ነበር?")</f>
        <v>የመጀመሪያው የመስመር ላይ አፋልላ ውድድር የተካሄደው በየትኛው አመት ነበር?</v>
      </c>
      <c r="I153" s="5" t="str">
        <f>IFERROR(__xludf.DUMMYFUNCTION(" GOOGLETRANSLATE(C153, ""en"", ""am"")"),"እ.ኤ.አ. 2000 ዓ.ም. 2005 ዓ.ም. 2010 ዲ. 2015")</f>
        <v>እ.ኤ.አ. 2000 ዓ.ም. 2005 ዓ.ም. 2010 ዲ. 2015</v>
      </c>
      <c r="J153" s="5" t="str">
        <f>IFERROR(__xludf.DUMMYFUNCTION(" GOOGLETRANSLATE(D153, ""en"", ""am"")"),"2010")</f>
        <v>2010</v>
      </c>
      <c r="K153" s="5" t="str">
        <f>IFERROR(__xludf.DUMMYFUNCTION(" GOOGLETRANSLATE(E153, ""en"", ""am"")"),"የመጀመሪያው የመስመር ላይ አፋልላ ውድድር በ2010 ተካሂዷል።")</f>
        <v>የመጀመሪያው የመስመር ላይ አፋልላ ውድድር በ2010 ተካሂዷል።</v>
      </c>
    </row>
    <row r="154" ht="22.5" customHeight="1">
      <c r="A154" s="3">
        <v>153.0</v>
      </c>
      <c r="B154" s="5" t="s">
        <v>2406</v>
      </c>
      <c r="C154" s="4" t="s">
        <v>2407</v>
      </c>
      <c r="D154" s="5" t="s">
        <v>2029</v>
      </c>
      <c r="E154" s="5" t="s">
        <v>2408</v>
      </c>
      <c r="G154" s="5" t="str">
        <f>IFERROR(__xludf.DUMMYFUNCTION(" GOOGLETRANSLATE(A154, ""en"", ""am"")"),"153")</f>
        <v>153</v>
      </c>
      <c r="H154" s="5" t="str">
        <f>IFERROR(__xludf.DUMMYFUNCTION(" GOOGLETRANSLATE(B154, ""en"", ""am"")"),"እ.ኤ.አ. በ1992 የመክፈቻውን የአፋሉላን ዋንጫ ያሸነፈው የትኛው ሀገር ነው?")</f>
        <v>እ.ኤ.አ. በ1992 የመክፈቻውን የአፋሉላን ዋንጫ ያሸነፈው የትኛው ሀገር ነው?</v>
      </c>
      <c r="I154" s="5" t="str">
        <f>IFERROR(__xludf.DUMMYFUNCTION(" GOOGLETRANSLATE(C154, ""en"", ""am"")"),"ኣብ ጀርመን ብ ዩናይትድ ስቴትስ ሲ ፈረንሳይ ዲ ኢጣልያ")</f>
        <v>ኣብ ጀርመን ብ ዩናይትድ ስቴትስ ሲ ፈረንሳይ ዲ ኢጣልያ</v>
      </c>
      <c r="J154" s="5" t="str">
        <f>IFERROR(__xludf.DUMMYFUNCTION(" GOOGLETRANSLATE(D154, ""en"", ""am"")"),"ጀርመን")</f>
        <v>ጀርመን</v>
      </c>
      <c r="K154" s="5" t="str">
        <f>IFERROR(__xludf.DUMMYFUNCTION(" GOOGLETRANSLATE(E154, ""en"", ""am"")"),"እ.ኤ.አ. በ1992 የመጀመርያውን የአፋሉላን የዓለም ዋንጫ ጀርመን አሸንፋለች።")</f>
        <v>እ.ኤ.አ. በ1992 የመጀመርያውን የአፋሉላን የዓለም ዋንጫ ጀርመን አሸንፋለች።</v>
      </c>
    </row>
    <row r="155" ht="22.5" customHeight="1">
      <c r="A155" s="3">
        <v>154.0</v>
      </c>
      <c r="B155" s="5" t="s">
        <v>2409</v>
      </c>
      <c r="C155" s="4" t="s">
        <v>2410</v>
      </c>
      <c r="D155" s="5" t="s">
        <v>1945</v>
      </c>
      <c r="E155" s="5" t="s">
        <v>2411</v>
      </c>
      <c r="G155" s="5" t="str">
        <f>IFERROR(__xludf.DUMMYFUNCTION(" GOOGLETRANSLATE(A155, ""en"", ""am"")"),"154")</f>
        <v>154</v>
      </c>
      <c r="H155" s="5" t="str">
        <f>IFERROR(__xludf.DUMMYFUNCTION(" GOOGLETRANSLATE(B155, ""en"", ""am"")"),"አፋሉላ ግራንድ ስላምን ያሸነፈ የመጀመሪያው ተጫዋች ማን ነበር?")</f>
        <v>አፋሉላ ግራንድ ስላምን ያሸነፈ የመጀመሪያው ተጫዋች ማን ነበር?</v>
      </c>
      <c r="I155" s="5" t="str">
        <f>IFERROR(__xludf.DUMMYFUNCTION(" GOOGLETRANSLATE(C155, ""en"", ""am"")"),"ሀ. ቶሚ ቦየር ቢ. ማርክ ዛንደር ሲ ሳራ አሊ ዲ. ጆን ዶ")</f>
        <v>ሀ. ቶሚ ቦየር ቢ. ማርክ ዛንደር ሲ ሳራ አሊ ዲ. ጆን ዶ</v>
      </c>
      <c r="J155" s="5" t="str">
        <f>IFERROR(__xludf.DUMMYFUNCTION(" GOOGLETRANSLATE(D155, ""en"", ""am"")"),"ማርክ ዛንደር")</f>
        <v>ማርክ ዛንደር</v>
      </c>
      <c r="K155" s="5" t="str">
        <f>IFERROR(__xludf.DUMMYFUNCTION(" GOOGLETRANSLATE(E155, ""en"", ""am"")"),"ማርክ ዛንደር አፋሉላ ግራንድ ስላምን ያሸነፈ የመጀመሪያው ተጫዋች ነው።")</f>
        <v>ማርክ ዛንደር አፋሉላ ግራንድ ስላምን ያሸነፈ የመጀመሪያው ተጫዋች ነው።</v>
      </c>
    </row>
    <row r="156" ht="22.5" customHeight="1">
      <c r="A156" s="3">
        <v>155.0</v>
      </c>
      <c r="B156" s="5" t="s">
        <v>2412</v>
      </c>
      <c r="C156" s="4" t="s">
        <v>2413</v>
      </c>
      <c r="D156" s="13">
        <v>2005.0</v>
      </c>
      <c r="E156" s="5" t="s">
        <v>2414</v>
      </c>
      <c r="G156" s="5" t="str">
        <f>IFERROR(__xludf.DUMMYFUNCTION(" GOOGLETRANSLATE(A156, ""en"", ""am"")"),"155")</f>
        <v>155</v>
      </c>
      <c r="H156" s="5" t="str">
        <f>IFERROR(__xludf.DUMMYFUNCTION(" GOOGLETRANSLATE(B156, ""en"", ""am"")"),"አፋሉላ ለድብልቅ ጾታ ቡድኖች ለመጀመሪያ ጊዜ ውድድር ያካሄደው በየትኛው አመት ነበር?")</f>
        <v>አፋሉላ ለድብልቅ ጾታ ቡድኖች ለመጀመሪያ ጊዜ ውድድር ያካሄደው በየትኛው አመት ነበር?</v>
      </c>
      <c r="I156" s="5" t="str">
        <f>IFERROR(__xludf.DUMMYFUNCTION(" GOOGLETRANSLATE(C156, ""en"", ""am"")"),"እ.ኤ.አ. 1990 ዓ.ም. 2000 ዓ.ም. 2005 ዲ. 2010 ዓ.ም.")</f>
        <v>እ.ኤ.አ. 1990 ዓ.ም. 2000 ዓ.ም. 2005 ዲ. 2010 ዓ.ም.</v>
      </c>
      <c r="J156" s="5" t="str">
        <f>IFERROR(__xludf.DUMMYFUNCTION(" GOOGLETRANSLATE(D156, ""en"", ""am"")"),"በ2005 ዓ.ም")</f>
        <v>በ2005 ዓ.ም</v>
      </c>
      <c r="K156" s="5" t="str">
        <f>IFERROR(__xludf.DUMMYFUNCTION(" GOOGLETRANSLATE(E156, ""en"", ""am"")"),"አፋሉላ ለድብልቅ ጾታ ቡድኖች ለመጀመሪያ ጊዜ በ2005 ዓ.ም.")</f>
        <v>አፋሉላ ለድብልቅ ጾታ ቡድኖች ለመጀመሪያ ጊዜ በ2005 ዓ.ም.</v>
      </c>
    </row>
    <row r="157" ht="22.5" customHeight="1">
      <c r="A157" s="3">
        <v>156.0</v>
      </c>
      <c r="B157" s="5" t="s">
        <v>2415</v>
      </c>
      <c r="C157" s="4" t="s">
        <v>2416</v>
      </c>
      <c r="D157" s="5" t="s">
        <v>2417</v>
      </c>
      <c r="E157" s="5" t="s">
        <v>2418</v>
      </c>
      <c r="G157" s="5" t="str">
        <f>IFERROR(__xludf.DUMMYFUNCTION(" GOOGLETRANSLATE(A157, ""en"", ""am"")"),"156")</f>
        <v>156</v>
      </c>
      <c r="H157" s="5" t="str">
        <f>IFERROR(__xludf.DUMMYFUNCTION(" GOOGLETRANSLATE(B157, ""en"", ""am"")"),"እ.ኤ.አ. በ1990ዎቹ ብዙ የአፋልላ የዓለም ሻምፒዮና ያሸነፈ ሀገር የትኛው ነው?")</f>
        <v>እ.ኤ.አ. በ1990ዎቹ ብዙ የአፋልላ የዓለም ሻምፒዮና ያሸነፈ ሀገር የትኛው ነው?</v>
      </c>
      <c r="I157" s="5" t="str">
        <f>IFERROR(__xludf.DUMMYFUNCTION(" GOOGLETRANSLATE(C157, ""en"", ""am"")"),"ኣብ ዩናይትድ ስቴትስ ብ ጀርመን ሲ ፍራንስ ዲ ኢጣልያ")</f>
        <v>ኣብ ዩናይትድ ስቴትስ ብ ጀርመን ሲ ፍራንስ ዲ ኢጣልያ</v>
      </c>
      <c r="J157" s="5" t="str">
        <f>IFERROR(__xludf.DUMMYFUNCTION(" GOOGLETRANSLATE(D157, ""en"", ""am"")"),"ዩናይትድ ስቴተት")</f>
        <v>ዩናይትድ ስቴተት</v>
      </c>
      <c r="K157" s="5" t="str">
        <f>IFERROR(__xludf.DUMMYFUNCTION(" GOOGLETRANSLATE(E157, ""en"", ""am"")"),"ዩናይትድ ስቴትስ እ.ኤ.አ. በ1990ዎቹ ከፍተኛውን የአፋሉላ የዓለም ሻምፒዮና አሸንፋለች።")</f>
        <v>ዩናይትድ ስቴትስ እ.ኤ.አ. በ1990ዎቹ ከፍተኛውን የአፋሉላ የዓለም ሻምፒዮና አሸንፋለች።</v>
      </c>
    </row>
    <row r="158" ht="22.5" customHeight="1">
      <c r="A158" s="3">
        <v>157.0</v>
      </c>
      <c r="B158" s="5" t="s">
        <v>2419</v>
      </c>
      <c r="C158" s="4" t="s">
        <v>2420</v>
      </c>
      <c r="D158" s="5" t="s">
        <v>2212</v>
      </c>
      <c r="E158" s="5" t="s">
        <v>2421</v>
      </c>
      <c r="G158" s="5" t="str">
        <f>IFERROR(__xludf.DUMMYFUNCTION(" GOOGLETRANSLATE(A158, ""en"", ""am"")"),"157")</f>
        <v>157</v>
      </c>
      <c r="H158" s="5" t="str">
        <f>IFERROR(__xludf.DUMMYFUNCTION(" GOOGLETRANSLATE(B158, ""en"", ""am"")"),"ልዩ በሆነ የመከላከል ችሎታው የሚታወቀው የቱ አንጋፋ አፋልላ ተጫዋች ነው?")</f>
        <v>ልዩ በሆነ የመከላከል ችሎታው የሚታወቀው የቱ አንጋፋ አፋልላ ተጫዋች ነው?</v>
      </c>
      <c r="I158" s="5" t="str">
        <f>IFERROR(__xludf.DUMMYFUNCTION(" GOOGLETRANSLATE(C158, ""en"", ""am"")"),"ኤ. ሳራ አሊ ቢ. ቶሚ ቦየር ሲ. ማርክ ዛንደር ዲ. ጆን ዶ")</f>
        <v>ኤ. ሳራ አሊ ቢ. ቶሚ ቦየር ሲ. ማርክ ዛንደር ዲ. ጆን ዶ</v>
      </c>
      <c r="J158" s="5" t="str">
        <f>IFERROR(__xludf.DUMMYFUNCTION(" GOOGLETRANSLATE(D158, ""en"", ""am"")"),"ጆን ዶ")</f>
        <v>ጆን ዶ</v>
      </c>
      <c r="K158" s="5" t="str">
        <f>IFERROR(__xludf.DUMMYFUNCTION(" GOOGLETRANSLATE(E158, ""en"", ""am"")"),"ጆን ዶ በአፋሉላ ልዩ በሆነው የመከላከል ችሎታው ይታወቅ ነበር።")</f>
        <v>ጆን ዶ በአፋሉላ ልዩ በሆነው የመከላከል ችሎታው ይታወቅ ነበር።</v>
      </c>
    </row>
    <row r="159" ht="22.5" customHeight="1">
      <c r="A159" s="3">
        <v>158.0</v>
      </c>
      <c r="B159" s="5" t="s">
        <v>2422</v>
      </c>
      <c r="C159" s="4" t="s">
        <v>2423</v>
      </c>
      <c r="D159" s="13">
        <v>1995.0</v>
      </c>
      <c r="E159" s="5" t="s">
        <v>2424</v>
      </c>
      <c r="G159" s="5" t="str">
        <f>IFERROR(__xludf.DUMMYFUNCTION(" GOOGLETRANSLATE(A159, ""en"", ""am"")"),"158")</f>
        <v>158</v>
      </c>
      <c r="H159" s="5" t="str">
        <f>IFERROR(__xludf.DUMMYFUNCTION(" GOOGLETRANSLATE(B159, ""en"", ""am"")"),"አፋሉላ ኢንተርናሽናል ፌዴሬሽን በስንት አመት ነው የተመሰረተው?")</f>
        <v>አፋሉላ ኢንተርናሽናል ፌዴሬሽን በስንት አመት ነው የተመሰረተው?</v>
      </c>
      <c r="I159" s="5" t="str">
        <f>IFERROR(__xludf.DUMMYFUNCTION(" GOOGLETRANSLATE(C159, ""en"", ""am"")"),"ኣብ 1990 ብ1995 ዓ.ም.2000 ዲ.ኤ. 2005 ዓ.ም.")</f>
        <v>ኣብ 1990 ብ1995 ዓ.ም.2000 ዲ.ኤ. 2005 ዓ.ም.</v>
      </c>
      <c r="J159" s="5" t="str">
        <f>IFERROR(__xludf.DUMMYFUNCTION(" GOOGLETRANSLATE(D159, ""en"", ""am"")"),"በ1995 ዓ.ም")</f>
        <v>በ1995 ዓ.ም</v>
      </c>
      <c r="K159" s="5" t="str">
        <f>IFERROR(__xludf.DUMMYFUNCTION(" GOOGLETRANSLATE(E159, ""en"", ""am"")"),"የአፋሉላ ዓለም አቀፍ ፌዴሬሽን በ1995 ዓ.ም.")</f>
        <v>የአፋሉላ ዓለም አቀፍ ፌዴሬሽን በ1995 ዓ.ም.</v>
      </c>
    </row>
    <row r="160" ht="22.5" customHeight="1">
      <c r="A160" s="3">
        <v>159.0</v>
      </c>
      <c r="B160" s="5" t="s">
        <v>2425</v>
      </c>
      <c r="C160" s="4" t="s">
        <v>2410</v>
      </c>
      <c r="D160" s="5" t="s">
        <v>1945</v>
      </c>
      <c r="E160" s="5" t="s">
        <v>2426</v>
      </c>
      <c r="G160" s="5" t="str">
        <f>IFERROR(__xludf.DUMMYFUNCTION(" GOOGLETRANSLATE(A160, ""en"", ""am"")"),"159")</f>
        <v>159</v>
      </c>
      <c r="H160" s="5" t="str">
        <f>IFERROR(__xludf.DUMMYFUNCTION(" GOOGLETRANSLATE(B160, ""en"", ""am"")"),"ለመጀመሪያ ጊዜ ወደ አፋልላ አዳራሽ የገባው ማን ነበር?")</f>
        <v>ለመጀመሪያ ጊዜ ወደ አፋልላ አዳራሽ የገባው ማን ነበር?</v>
      </c>
      <c r="I160" s="5" t="str">
        <f>IFERROR(__xludf.DUMMYFUNCTION(" GOOGLETRANSLATE(C160, ""en"", ""am"")"),"ሀ. ቶሚ ቦየር ቢ. ማርክ ዛንደር ሲ ሳራ አሊ ዲ. ጆን ዶ")</f>
        <v>ሀ. ቶሚ ቦየር ቢ. ማርክ ዛንደር ሲ ሳራ አሊ ዲ. ጆን ዶ</v>
      </c>
      <c r="J160" s="5" t="str">
        <f>IFERROR(__xludf.DUMMYFUNCTION(" GOOGLETRANSLATE(D160, ""en"", ""am"")"),"ማርክ ዛንደር")</f>
        <v>ማርክ ዛንደር</v>
      </c>
      <c r="K160" s="5" t="str">
        <f>IFERROR(__xludf.DUMMYFUNCTION(" GOOGLETRANSLATE(E160, ""en"", ""am"")"),"ማርክ ዛንደር ወደ አፋልላ አዳራሽ የገባው የመጀመሪያው ተጫዋች ነው።")</f>
        <v>ማርክ ዛንደር ወደ አፋልላ አዳራሽ የገባው የመጀመሪያው ተጫዋች ነው።</v>
      </c>
    </row>
    <row r="161" ht="22.5" customHeight="1">
      <c r="A161" s="3">
        <v>160.0</v>
      </c>
      <c r="B161" s="5" t="s">
        <v>2427</v>
      </c>
      <c r="C161" s="4" t="s">
        <v>2428</v>
      </c>
      <c r="D161" s="5" t="s">
        <v>2029</v>
      </c>
      <c r="E161" s="5" t="s">
        <v>2429</v>
      </c>
      <c r="G161" s="5" t="str">
        <f>IFERROR(__xludf.DUMMYFUNCTION(" GOOGLETRANSLATE(A161, ""en"", ""am"")"),"160")</f>
        <v>160</v>
      </c>
      <c r="H161" s="5" t="str">
        <f>IFERROR(__xludf.DUMMYFUNCTION(" GOOGLETRANSLATE(B161, ""en"", ""am"")"),"የሴቶች አፋሉላ የአለም ሻምፒዮና የመጀመሪያዋ ሀገር የቱ ናት?")</f>
        <v>የሴቶች አፋሉላ የአለም ሻምፒዮና የመጀመሪያዋ ሀገር የቱ ናት?</v>
      </c>
      <c r="I161" s="5" t="str">
        <f>IFERROR(__xludf.DUMMYFUNCTION(" GOOGLETRANSLATE(C161, ""en"", ""am"")"),"ሀ.ጀርመን ብ ፈረንሳይ ሲ ዩናይትድ ስቴትስ ዲ ጃፓን")</f>
        <v>ሀ.ጀርመን ብ ፈረንሳይ ሲ ዩናይትድ ስቴትስ ዲ ጃፓን</v>
      </c>
      <c r="J161" s="5" t="str">
        <f>IFERROR(__xludf.DUMMYFUNCTION(" GOOGLETRANSLATE(D161, ""en"", ""am"")"),"ጀርመን")</f>
        <v>ጀርመን</v>
      </c>
      <c r="K161" s="5" t="str">
        <f>IFERROR(__xludf.DUMMYFUNCTION(" GOOGLETRANSLATE(E161, ""en"", ""am"")"),"ጀርመን የመጀመሪያውን የሴቶች አፋሉላ የዓለም ሻምፒዮና አዘጋጅታለች።")</f>
        <v>ጀርመን የመጀመሪያውን የሴቶች አፋሉላ የዓለም ሻምፒዮና አዘጋጅታለች።</v>
      </c>
    </row>
    <row r="162" ht="22.5" customHeight="1">
      <c r="A162" s="3">
        <v>161.0</v>
      </c>
      <c r="B162" s="5" t="s">
        <v>2430</v>
      </c>
      <c r="C162" s="4" t="s">
        <v>2431</v>
      </c>
      <c r="D162" s="13">
        <v>2000.0</v>
      </c>
      <c r="E162" s="5" t="s">
        <v>2432</v>
      </c>
      <c r="G162" s="5" t="str">
        <f>IFERROR(__xludf.DUMMYFUNCTION(" GOOGLETRANSLATE(A162, ""en"", ""am"")"),"161")</f>
        <v>161</v>
      </c>
      <c r="H162" s="5" t="str">
        <f>IFERROR(__xludf.DUMMYFUNCTION(" GOOGLETRANSLATE(B162, ""en"", ""am"")"),"አፋሉላ በየትኛው አመት የኳስ መጠንን በተመለከተ አዲስ ህግን አስተዋወቀ?")</f>
        <v>አፋሉላ በየትኛው አመት የኳስ መጠንን በተመለከተ አዲስ ህግን አስተዋወቀ?</v>
      </c>
      <c r="I162" s="5" t="str">
        <f>IFERROR(__xludf.DUMMYFUNCTION(" GOOGLETRANSLATE(C162, ""en"", ""am"")"),"እ.ኤ.አ. 1990 B. 2000 ግ. 2010 ዲ. 2020")</f>
        <v>እ.ኤ.አ. 1990 B. 2000 ግ. 2010 ዲ. 2020</v>
      </c>
      <c r="J162" s="5" t="str">
        <f>IFERROR(__xludf.DUMMYFUNCTION(" GOOGLETRANSLATE(D162, ""en"", ""am"")"),"2000")</f>
        <v>2000</v>
      </c>
      <c r="K162" s="5" t="str">
        <f>IFERROR(__xludf.DUMMYFUNCTION(" GOOGLETRANSLATE(E162, ""en"", ""am"")"),"አፋሉላ በ2000 የኳስ መጠንን በተመለከተ አዲስ ህግ አስተዋውቋል።")</f>
        <v>አፋሉላ በ2000 የኳስ መጠንን በተመለከተ አዲስ ህግ አስተዋውቋል።</v>
      </c>
    </row>
    <row r="163" ht="22.5" customHeight="1">
      <c r="A163" s="3">
        <v>162.0</v>
      </c>
      <c r="B163" s="5" t="s">
        <v>2433</v>
      </c>
      <c r="C163" s="4" t="s">
        <v>2434</v>
      </c>
      <c r="D163" s="5" t="s">
        <v>1945</v>
      </c>
      <c r="E163" s="5" t="s">
        <v>2435</v>
      </c>
      <c r="G163" s="5" t="str">
        <f>IFERROR(__xludf.DUMMYFUNCTION(" GOOGLETRANSLATE(A163, ""en"", ""am"")"),"162")</f>
        <v>162</v>
      </c>
      <c r="H163" s="5" t="str">
        <f>IFERROR(__xludf.DUMMYFUNCTION(" GOOGLETRANSLATE(B163, ""en"", ""am"")"),"በአፋሉላ የአለም ሻምፒዮና በተጫዋችነት እና በአሰልጣኝነት የመጀመርያው የትኛው ተጫዋች ነው?")</f>
        <v>በአፋሉላ የአለም ሻምፒዮና በተጫዋችነት እና በአሰልጣኝነት የመጀመርያው የትኛው ተጫዋች ነው?</v>
      </c>
      <c r="I163" s="5" t="str">
        <f>IFERROR(__xludf.DUMMYFUNCTION(" GOOGLETRANSLATE(C163, ""en"", ""am"")"),"አ. ቶሚ ቦየር ቢ. ሳራ አሊ ሲ. ማርክ ዛንደር ዲ. ጆን ዶ")</f>
        <v>አ. ቶሚ ቦየር ቢ. ሳራ አሊ ሲ. ማርክ ዛንደር ዲ. ጆን ዶ</v>
      </c>
      <c r="J163" s="5" t="str">
        <f>IFERROR(__xludf.DUMMYFUNCTION(" GOOGLETRANSLATE(D163, ""en"", ""am"")"),"ማርክ ዛንደር")</f>
        <v>ማርክ ዛንደር</v>
      </c>
      <c r="K163" s="5" t="str">
        <f>IFERROR(__xludf.DUMMYFUNCTION(" GOOGLETRANSLATE(E163, ""en"", ""am"")"),"ማርክ ዛንደር በተጫዋችነት እና በአሰልጣኝነት የአፋልላን የአለም ሻምፒዮና ያሸነፈ የመጀመሪያው ተጫዋች ነው።")</f>
        <v>ማርክ ዛንደር በተጫዋችነት እና በአሰልጣኝነት የአፋልላን የአለም ሻምፒዮና ያሸነፈ የመጀመሪያው ተጫዋች ነው።</v>
      </c>
    </row>
    <row r="164" ht="22.5" customHeight="1">
      <c r="A164" s="3">
        <v>163.0</v>
      </c>
      <c r="B164" s="5" t="s">
        <v>2436</v>
      </c>
      <c r="C164" s="4" t="s">
        <v>2413</v>
      </c>
      <c r="D164" s="13">
        <v>2005.0</v>
      </c>
      <c r="E164" s="5" t="s">
        <v>2437</v>
      </c>
      <c r="G164" s="5" t="str">
        <f>IFERROR(__xludf.DUMMYFUNCTION(" GOOGLETRANSLATE(A164, ""en"", ""am"")"),"163")</f>
        <v>163</v>
      </c>
      <c r="H164" s="5" t="str">
        <f>IFERROR(__xludf.DUMMYFUNCTION(" GOOGLETRANSLATE(B164, ""en"", ""am"")"),"አፋሉላ የመጀመሪያውን የመድብለ ሀገር ሊግ ውድድር በስንት አመት አደረገ?")</f>
        <v>አፋሉላ የመጀመሪያውን የመድብለ ሀገር ሊግ ውድድር በስንት አመት አደረገ?</v>
      </c>
      <c r="I164" s="5" t="str">
        <f>IFERROR(__xludf.DUMMYFUNCTION(" GOOGLETRANSLATE(C164, ""en"", ""am"")"),"እ.ኤ.አ. 1990 ዓ.ም. 2000 ዓ.ም. 2005 ዲ. 2010 ዓ.ም.")</f>
        <v>እ.ኤ.አ. 1990 ዓ.ም. 2000 ዓ.ም. 2005 ዲ. 2010 ዓ.ም.</v>
      </c>
      <c r="J164" s="5" t="str">
        <f>IFERROR(__xludf.DUMMYFUNCTION(" GOOGLETRANSLATE(D164, ""en"", ""am"")"),"በ2005 ዓ.ም")</f>
        <v>በ2005 ዓ.ም</v>
      </c>
      <c r="K164" s="5" t="str">
        <f>IFERROR(__xludf.DUMMYFUNCTION(" GOOGLETRANSLATE(E164, ""en"", ""am"")"),"በአፋሉላ የመጀመርያው የመድብለሀገር ሊግ ውድድር የተካሄደው በ2005 ነው።")</f>
        <v>በአፋሉላ የመጀመርያው የመድብለሀገር ሊግ ውድድር የተካሄደው በ2005 ነው።</v>
      </c>
    </row>
    <row r="165" ht="22.5" customHeight="1">
      <c r="A165" s="3">
        <v>164.0</v>
      </c>
      <c r="B165" s="5" t="s">
        <v>2438</v>
      </c>
      <c r="C165" s="4" t="s">
        <v>2439</v>
      </c>
      <c r="D165" s="5" t="s">
        <v>2417</v>
      </c>
      <c r="E165" s="5" t="s">
        <v>2440</v>
      </c>
      <c r="G165" s="5" t="str">
        <f>IFERROR(__xludf.DUMMYFUNCTION(" GOOGLETRANSLATE(A165, ""en"", ""am"")"),"164")</f>
        <v>164</v>
      </c>
      <c r="H165" s="5" t="str">
        <f>IFERROR(__xludf.DUMMYFUNCTION(" GOOGLETRANSLATE(B165, ""en"", ""am"")"),"የአፋሉላ ኮከብ ጨዋታን ለመጀመሪያ ጊዜ ያካሄደው የትኛው ሀገር ነው?")</f>
        <v>የአፋሉላ ኮከብ ጨዋታን ለመጀመሪያ ጊዜ ያካሄደው የትኛው ሀገር ነው?</v>
      </c>
      <c r="I165" s="5" t="str">
        <f>IFERROR(__xludf.DUMMYFUNCTION(" GOOGLETRANSLATE(C165, ""en"", ""am"")"),"ኣብ ፈረንሳይ ብ ጀርመን ሲ ዩናይትድ ስቴትስ ዲ ኢጣልያ")</f>
        <v>ኣብ ፈረንሳይ ብ ጀርመን ሲ ዩናይትድ ስቴትስ ዲ ኢጣልያ</v>
      </c>
      <c r="J165" s="5" t="str">
        <f>IFERROR(__xludf.DUMMYFUNCTION(" GOOGLETRANSLATE(D165, ""en"", ""am"")"),"ዩናይትድ ስቴተት")</f>
        <v>ዩናይትድ ስቴተት</v>
      </c>
      <c r="K165" s="5" t="str">
        <f>IFERROR(__xludf.DUMMYFUNCTION(" GOOGLETRANSLATE(E165, ""en"", ""am"")"),"ዩናይትድ ስቴትስ የመጀመሪያውን የአፋሉላ ኮከብ ጨዋታ አካሄደች።")</f>
        <v>ዩናይትድ ስቴትስ የመጀመሪያውን የአፋሉላ ኮከብ ጨዋታ አካሄደች።</v>
      </c>
    </row>
    <row r="166" ht="22.5" customHeight="1">
      <c r="A166" s="3">
        <v>165.0</v>
      </c>
      <c r="B166" s="5" t="s">
        <v>2441</v>
      </c>
      <c r="C166" s="4" t="s">
        <v>2442</v>
      </c>
      <c r="D166" s="5" t="s">
        <v>1972</v>
      </c>
      <c r="E166" s="5" t="s">
        <v>2443</v>
      </c>
      <c r="G166" s="5" t="str">
        <f>IFERROR(__xludf.DUMMYFUNCTION(" GOOGLETRANSLATE(A166, ""en"", ""am"")"),"165")</f>
        <v>165</v>
      </c>
      <c r="H166" s="5" t="str">
        <f>IFERROR(__xludf.DUMMYFUNCTION(" GOOGLETRANSLATE(B166, ""en"", ""am"")"),"በአፋሉላ የዓለም ሻምፒዮና ታሪክ ፍጹም 10 ያስቆጠረ የመጀመሪያው ተጫዋች ማን ነበር?")</f>
        <v>በአፋሉላ የዓለም ሻምፒዮና ታሪክ ፍጹም 10 ያስቆጠረ የመጀመሪያው ተጫዋች ማን ነበር?</v>
      </c>
      <c r="I166" s="5" t="str">
        <f>IFERROR(__xludf.DUMMYFUNCTION(" GOOGLETRANSLATE(C166, ""en"", ""am"")"),"አ. ማርክ ዛንደር ቢ. ሳራ አሊ ሲ. ቶሚ ቦየር ዲ. ጆን ዶ")</f>
        <v>አ. ማርክ ዛንደር ቢ. ሳራ አሊ ሲ. ቶሚ ቦየር ዲ. ጆን ዶ</v>
      </c>
      <c r="J166" s="5" t="str">
        <f>IFERROR(__xludf.DUMMYFUNCTION(" GOOGLETRANSLATE(D166, ""en"", ""am"")"),"ሳራ አሊ")</f>
        <v>ሳራ አሊ</v>
      </c>
      <c r="K166" s="5" t="str">
        <f>IFERROR(__xludf.DUMMYFUNCTION(" GOOGLETRANSLATE(E166, ""en"", ""am"")"),"ሳራ አሊ በአፋሉላ የአለም ሻምፒዮና ታሪክ ፍጹም 10 ያስቆጠረች የመጀመሪያዋ ተጫዋች ነበረች።")</f>
        <v>ሳራ አሊ በአፋሉላ የአለም ሻምፒዮና ታሪክ ፍጹም 10 ያስቆጠረች የመጀመሪያዋ ተጫዋች ነበረች።</v>
      </c>
    </row>
    <row r="167" ht="22.5" customHeight="1">
      <c r="A167" s="3">
        <v>166.0</v>
      </c>
      <c r="B167" s="5" t="s">
        <v>2444</v>
      </c>
      <c r="C167" s="4" t="s">
        <v>2401</v>
      </c>
      <c r="D167" s="13">
        <v>2000.0</v>
      </c>
      <c r="E167" s="5" t="s">
        <v>2445</v>
      </c>
      <c r="G167" s="5" t="str">
        <f>IFERROR(__xludf.DUMMYFUNCTION(" GOOGLETRANSLATE(A167, ""en"", ""am"")"),"166")</f>
        <v>166</v>
      </c>
      <c r="H167" s="5" t="str">
        <f>IFERROR(__xludf.DUMMYFUNCTION(" GOOGLETRANSLATE(B167, ""en"", ""am"")"),"የአፋልላ ፕሮ ጉብኝት በይፋ የጀመረው በየትኛው ዓመት ነው?")</f>
        <v>የአፋልላ ፕሮ ጉብኝት በይፋ የጀመረው በየትኛው ዓመት ነው?</v>
      </c>
      <c r="I167" s="5" t="str">
        <f>IFERROR(__xludf.DUMMYFUNCTION(" GOOGLETRANSLATE(C167, ""en"", ""am"")"),"እ.ኤ.አ. 1995 ዓ.ም. 2000 ዓ.ም. 2005 ዲ. 2010 ዓ.ም.")</f>
        <v>እ.ኤ.አ. 1995 ዓ.ም. 2000 ዓ.ም. 2005 ዲ. 2010 ዓ.ም.</v>
      </c>
      <c r="J167" s="5" t="str">
        <f>IFERROR(__xludf.DUMMYFUNCTION(" GOOGLETRANSLATE(D167, ""en"", ""am"")"),"2000")</f>
        <v>2000</v>
      </c>
      <c r="K167" s="5" t="str">
        <f>IFERROR(__xludf.DUMMYFUNCTION(" GOOGLETRANSLATE(E167, ""en"", ""am"")"),"የአፋልላ ፕሮ ጉብኝት በ2000 በይፋ ተጀመረ።")</f>
        <v>የአፋልላ ፕሮ ጉብኝት በ2000 በይፋ ተጀመረ።</v>
      </c>
    </row>
    <row r="168" ht="22.5" customHeight="1">
      <c r="A168" s="3">
        <v>167.0</v>
      </c>
      <c r="B168" s="5" t="s">
        <v>2446</v>
      </c>
      <c r="C168" s="4" t="s">
        <v>2447</v>
      </c>
      <c r="D168" s="5" t="s">
        <v>2417</v>
      </c>
      <c r="E168" s="5" t="s">
        <v>2448</v>
      </c>
      <c r="G168" s="5" t="str">
        <f>IFERROR(__xludf.DUMMYFUNCTION(" GOOGLETRANSLATE(A168, ""en"", ""am"")"),"167")</f>
        <v>167</v>
      </c>
      <c r="H168" s="5" t="str">
        <f>IFERROR(__xludf.DUMMYFUNCTION(" GOOGLETRANSLATE(B168, ""en"", ""am"")"),"በ2004 ኦሊምፒክ በአፋሉላ ከፍተኛ የወርቅ ሜዳሊያ ያስመዘገበው ሀገር የትኛው ነው?")</f>
        <v>በ2004 ኦሊምፒክ በአፋሉላ ከፍተኛ የወርቅ ሜዳሊያ ያስመዘገበው ሀገር የትኛው ነው?</v>
      </c>
      <c r="I168" s="5" t="str">
        <f>IFERROR(__xludf.DUMMYFUNCTION(" GOOGLETRANSLATE(C168, ""en"", ""am"")"),"አ. ፈረንሳይ ቢ. ጀርመን ሲ ዩናይትድ ስቴትስ ዲ. ጃፓን")</f>
        <v>አ. ፈረንሳይ ቢ. ጀርመን ሲ ዩናይትድ ስቴትስ ዲ. ጃፓን</v>
      </c>
      <c r="J168" s="5" t="str">
        <f>IFERROR(__xludf.DUMMYFUNCTION(" GOOGLETRANSLATE(D168, ""en"", ""am"")"),"ዩናይትድ ስቴተት")</f>
        <v>ዩናይትድ ስቴተት</v>
      </c>
      <c r="K168" s="5" t="str">
        <f>IFERROR(__xludf.DUMMYFUNCTION(" GOOGLETRANSLATE(E168, ""en"", ""am"")"),"በ2004 ኦሊምፒክ በአፋሉላ ከፍተኛ የወርቅ ሜዳሊያ ያስመዘገበችው አሜሪካ ነው።")</f>
        <v>በ2004 ኦሊምፒክ በአፋሉላ ከፍተኛ የወርቅ ሜዳሊያ ያስመዘገበችው አሜሪካ ነው።</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37.63"/>
    <col customWidth="1" min="3" max="3" width="33.0"/>
    <col customWidth="1" min="4" max="4" width="37.63"/>
    <col customWidth="1" min="7" max="7" width="26.0"/>
    <col customWidth="1" min="8" max="8" width="27.38"/>
    <col customWidth="1" min="9" max="9" width="23.25"/>
    <col customWidth="1" min="10" max="10" width="22.63"/>
    <col customWidth="1" min="11" max="11" width="27.38"/>
  </cols>
  <sheetData>
    <row r="1" ht="22.5" customHeight="1">
      <c r="A1" s="17" t="s">
        <v>0</v>
      </c>
      <c r="B1" s="17" t="s">
        <v>1</v>
      </c>
      <c r="C1" s="17" t="s">
        <v>2449</v>
      </c>
      <c r="D1" s="17" t="s">
        <v>515</v>
      </c>
      <c r="E1" s="17" t="s">
        <v>4</v>
      </c>
      <c r="F1" s="18"/>
      <c r="G1" s="14" t="s">
        <v>5</v>
      </c>
      <c r="H1" s="15" t="s">
        <v>6</v>
      </c>
      <c r="I1" s="15" t="s">
        <v>7</v>
      </c>
      <c r="J1" s="15" t="s">
        <v>8</v>
      </c>
      <c r="K1" s="16" t="s">
        <v>9</v>
      </c>
      <c r="L1" s="18"/>
      <c r="M1" s="18"/>
      <c r="N1" s="18"/>
      <c r="O1" s="18"/>
      <c r="P1" s="18"/>
      <c r="Q1" s="18"/>
      <c r="R1" s="18"/>
      <c r="S1" s="18"/>
      <c r="T1" s="18"/>
      <c r="U1" s="18"/>
    </row>
    <row r="2" ht="22.5" customHeight="1">
      <c r="A2" s="3">
        <v>1.0</v>
      </c>
      <c r="B2" s="4" t="s">
        <v>2450</v>
      </c>
      <c r="C2" s="4" t="s">
        <v>2451</v>
      </c>
      <c r="D2" s="4" t="s">
        <v>2452</v>
      </c>
      <c r="E2" s="4" t="s">
        <v>2453</v>
      </c>
      <c r="G2" s="5" t="str">
        <f>IFERROR(__xludf.DUMMYFUNCTION(" GOOGLETRANSLATE(A2, ""en"", ""am"")"),"1")</f>
        <v>1</v>
      </c>
      <c r="H2" s="5" t="str">
        <f>IFERROR(__xludf.DUMMYFUNCTION(" GOOGLETRANSLATE(B2, ""en"", ""am"")"),"ሲዳማ ስፖርት ለመጀመሪያ ጊዜ የተመዘገበው መቼ ነበር?")</f>
        <v>ሲዳማ ስፖርት ለመጀመሪያ ጊዜ የተመዘገበው መቼ ነበር?</v>
      </c>
      <c r="I2" s="5" t="str">
        <f>IFERROR(__xludf.DUMMYFUNCTION(" GOOGLETRANSLATE(C2, ""en"", ""am"")"),"በ 18 ኛው ክፍለ ዘመን ለ. በ 19 ኛው ክፍለ ዘመን ሐ. በ 21 ኛው ክፍለ ዘመን መ. በ 20 ኛው ክፍለ ዘመን መጀመሪያ ላይ.")</f>
        <v>በ 18 ኛው ክፍለ ዘመን ለ. በ 19 ኛው ክፍለ ዘመን ሐ. በ 21 ኛው ክፍለ ዘመን መ. በ 20 ኛው ክፍለ ዘመን መጀመሪያ ላይ.</v>
      </c>
      <c r="J2" s="5" t="str">
        <f>IFERROR(__xludf.DUMMYFUNCTION(" GOOGLETRANSLATE(D2, ""en"", ""am"")"),"በ 20 ኛው ክፍለ ዘመን መጀመሪያ ላይ")</f>
        <v>በ 20 ኛው ክፍለ ዘመን መጀመሪያ ላይ</v>
      </c>
      <c r="K2" s="5" t="str">
        <f>IFERROR(__xludf.DUMMYFUNCTION(" GOOGLETRANSLATE(E2, ""en"", ""am"")"),"የሲዳማ ስፖርት በ20ኛው ክፍለ ዘመን መባቻ ላይ የባህል ወጎች ሆኖ ተመዝግቧል።")</f>
        <v>የሲዳማ ስፖርት በ20ኛው ክፍለ ዘመን መባቻ ላይ የባህል ወጎች ሆኖ ተመዝግቧል።</v>
      </c>
    </row>
    <row r="3" ht="22.5" customHeight="1">
      <c r="A3" s="3">
        <v>2.0</v>
      </c>
      <c r="B3" s="4" t="s">
        <v>2454</v>
      </c>
      <c r="C3" s="4" t="s">
        <v>2455</v>
      </c>
      <c r="D3" s="4" t="s">
        <v>2456</v>
      </c>
      <c r="E3" s="4" t="s">
        <v>2457</v>
      </c>
      <c r="G3" s="5" t="str">
        <f>IFERROR(__xludf.DUMMYFUNCTION(" GOOGLETRANSLATE(A3, ""en"", ""am"")"),"2")</f>
        <v>2</v>
      </c>
      <c r="H3" s="5" t="str">
        <f>IFERROR(__xludf.DUMMYFUNCTION(" GOOGLETRANSLATE(B3, ""en"", ""am"")"),"የዘመናዊው የሲዳማ ስፖርት ፈር ቀዳጅ ማን ነው?")</f>
        <v>የዘመናዊው የሲዳማ ስፖርት ፈር ቀዳጅ ማን ነው?</v>
      </c>
      <c r="I3" s="5" t="str">
        <f>IFERROR(__xludf.DUMMYFUNCTION(" GOOGLETRANSLATE(C3, ""en"", ""am"")"),"A. Abdi Guleid B. Arefe Hassen C. Mohammed Dirir D. Abdi Abdulqader")</f>
        <v>A. Abdi Guleid B. Arefe Hassen C. Mohammed Dirir D. Abdi Abdulqader</v>
      </c>
      <c r="J3" s="5" t="str">
        <f>IFERROR(__xludf.DUMMYFUNCTION(" GOOGLETRANSLATE(D3, ""en"", ""am"")"),"አብዲ አብዱልቃድር")</f>
        <v>አብዲ አብዱልቃድር</v>
      </c>
      <c r="K3" s="5" t="str">
        <f>IFERROR(__xludf.DUMMYFUNCTION(" GOOGLETRANSLATE(E3, ""en"", ""am"")"),"አብዲ አብዱልቃድር ዘመናዊ ነገሮችን ወደ ሲዳማ ስፖርት በማምጣት ይታወቃል።")</f>
        <v>አብዲ አብዱልቃድር ዘመናዊ ነገሮችን ወደ ሲዳማ ስፖርት በማምጣት ይታወቃል።</v>
      </c>
    </row>
    <row r="4" ht="22.5" customHeight="1">
      <c r="A4" s="3">
        <v>3.0</v>
      </c>
      <c r="B4" s="4" t="s">
        <v>2458</v>
      </c>
      <c r="C4" s="4" t="s">
        <v>2459</v>
      </c>
      <c r="D4" s="4" t="s">
        <v>2460</v>
      </c>
      <c r="E4" s="4" t="s">
        <v>2461</v>
      </c>
      <c r="G4" s="5" t="str">
        <f>IFERROR(__xludf.DUMMYFUNCTION(" GOOGLETRANSLATE(A4, ""en"", ""am"")"),"3")</f>
        <v>3</v>
      </c>
      <c r="H4" s="5" t="str">
        <f>IFERROR(__xludf.DUMMYFUNCTION(" GOOGLETRANSLATE(B4, ""en"", ""am"")"),"የሲዳማ ስፖርትን እድገት ያሳየው የትኛው የባህል ዝግጅት ነው?")</f>
        <v>የሲዳማ ስፖርትን እድገት ያሳየው የትኛው የባህል ዝግጅት ነው?</v>
      </c>
      <c r="I4" s="5" t="str">
        <f>IFERROR(__xludf.DUMMYFUNCTION(" GOOGLETRANSLATE(C4, ""en"", ""am"")"),"አ. የሲዳማ ኦሊምፒክ ለ. የሲዳማ ቀን ሐ. የሲዳማ ታላቅ ዝግጅት ዲ. ፊስታ ሲዳማ")</f>
        <v>አ. የሲዳማ ኦሊምፒክ ለ. የሲዳማ ቀን ሐ. የሲዳማ ታላቅ ዝግጅት ዲ. ፊስታ ሲዳማ</v>
      </c>
      <c r="J4" s="5" t="str">
        <f>IFERROR(__xludf.DUMMYFUNCTION(" GOOGLETRANSLATE(D4, ""en"", ""am"")"),"ፊስታ ሲዳማ")</f>
        <v>ፊስታ ሲዳማ</v>
      </c>
      <c r="K4" s="5" t="str">
        <f>IFERROR(__xludf.DUMMYFUNCTION(" GOOGLETRANSLATE(E4, ""en"", ""am"")"),"ፌስታ ሲዳማ የሲዳማ ስፖርት ሰፊ እውቅና ያገኘበት የባህል ዝግጅት ነው።")</f>
        <v>ፌስታ ሲዳማ የሲዳማ ስፖርት ሰፊ እውቅና ያገኘበት የባህል ዝግጅት ነው።</v>
      </c>
    </row>
    <row r="5" ht="22.5" customHeight="1">
      <c r="A5" s="3">
        <v>4.0</v>
      </c>
      <c r="B5" s="4" t="s">
        <v>2462</v>
      </c>
      <c r="C5" s="4" t="s">
        <v>2463</v>
      </c>
      <c r="D5" s="4" t="s">
        <v>2464</v>
      </c>
      <c r="E5" s="4" t="s">
        <v>2465</v>
      </c>
      <c r="G5" s="5" t="str">
        <f>IFERROR(__xludf.DUMMYFUNCTION(" GOOGLETRANSLATE(A5, ""en"", ""am"")"),"4")</f>
        <v>4</v>
      </c>
      <c r="H5" s="5" t="str">
        <f>IFERROR(__xludf.DUMMYFUNCTION(" GOOGLETRANSLATE(B5, ""en"", ""am"")"),"የሲዳማ ስፖርት በአካባቢው ማህበረሰቦች ውስጥ ምን ሚና ይጫወታል?")</f>
        <v>የሲዳማ ስፖርት በአካባቢው ማህበረሰቦች ውስጥ ምን ሚና ይጫወታል?</v>
      </c>
      <c r="I5" s="5" t="str">
        <f>IFERROR(__xludf.DUMMYFUNCTION(" GOOGLETRANSLATE(C5, ""en"", ""am"")"),"ሀ. የፖለቲካ ተጽእኖ ለ. ኢኮኖሚያዊ ብልጽግና ሐ. የትምህርት ትኩረት መ. የባህል አንድነት")</f>
        <v>ሀ. የፖለቲካ ተጽእኖ ለ. ኢኮኖሚያዊ ብልጽግና ሐ. የትምህርት ትኩረት መ. የባህል አንድነት</v>
      </c>
      <c r="J5" s="5" t="str">
        <f>IFERROR(__xludf.DUMMYFUNCTION(" GOOGLETRANSLATE(D5, ""en"", ""am"")"),"የባህል አንድነት")</f>
        <v>የባህል አንድነት</v>
      </c>
      <c r="K5" s="5" t="str">
        <f>IFERROR(__xludf.DUMMYFUNCTION(" GOOGLETRANSLATE(E5, ""en"", ""am"")"),"የሲዳማ ስፖርት የአካባቢ ማህበረሰቦችን አንድ ለማድረግ እና ቅርሶቻቸውን ለማስተዋወቅ ከፍተኛ ሚና ይጫወታል።")</f>
        <v>የሲዳማ ስፖርት የአካባቢ ማህበረሰቦችን አንድ ለማድረግ እና ቅርሶቻቸውን ለማስተዋወቅ ከፍተኛ ሚና ይጫወታል።</v>
      </c>
    </row>
    <row r="6" ht="22.5" customHeight="1">
      <c r="A6" s="3">
        <v>5.0</v>
      </c>
      <c r="B6" s="4" t="s">
        <v>2466</v>
      </c>
      <c r="C6" s="4" t="s">
        <v>2467</v>
      </c>
      <c r="D6" s="4" t="s">
        <v>1505</v>
      </c>
      <c r="E6" s="4" t="s">
        <v>1505</v>
      </c>
      <c r="G6" s="5" t="str">
        <f>IFERROR(__xludf.DUMMYFUNCTION(" GOOGLETRANSLATE(A6, ""en"", ""am"")"),"5")</f>
        <v>5</v>
      </c>
      <c r="H6" s="5" t="str">
        <f>IFERROR(__xludf.DUMMYFUNCTION(" GOOGLETRANSLATE(B6, ""en"", ""am"")"),"የሲዳማ ስፖርት የትኛው አመት አለም አቀፍ ትኩረት አገኘ?")</f>
        <v>የሲዳማ ስፖርት የትኛው አመት አለም አቀፍ ትኩረት አገኘ?</v>
      </c>
      <c r="I6" s="5" t="str">
        <f>IFERROR(__xludf.DUMMYFUNCTION(" GOOGLETRANSLATE(C6, ""en"", ""am"")"),"እ.ኤ.አ. 2000 ዓ.ም. 2010 ዓ.ም. 2020 ዲ. 2010")</f>
        <v>እ.ኤ.አ. 2000 ዓ.ም. 2010 ዓ.ም. 2020 ዲ. 2010</v>
      </c>
      <c r="J6" s="5" t="str">
        <f>IFERROR(__xludf.DUMMYFUNCTION(" GOOGLETRANSLATE(D6, ""en"", ""am"")"),"2010")</f>
        <v>2010</v>
      </c>
      <c r="K6" s="5" t="str">
        <f>IFERROR(__xludf.DUMMYFUNCTION(" GOOGLETRANSLATE(E6, ""en"", ""am"")"),"2010")</f>
        <v>2010</v>
      </c>
    </row>
    <row r="7" ht="22.5" customHeight="1">
      <c r="A7" s="3">
        <v>6.0</v>
      </c>
      <c r="B7" s="4" t="s">
        <v>2468</v>
      </c>
      <c r="C7" s="4" t="s">
        <v>2469</v>
      </c>
      <c r="D7" s="4" t="s">
        <v>2470</v>
      </c>
      <c r="E7" s="4" t="s">
        <v>2471</v>
      </c>
      <c r="G7" s="5" t="str">
        <f>IFERROR(__xludf.DUMMYFUNCTION(" GOOGLETRANSLATE(A7, ""en"", ""am"")"),"6")</f>
        <v>6</v>
      </c>
      <c r="H7" s="5" t="str">
        <f>IFERROR(__xludf.DUMMYFUNCTION(" GOOGLETRANSLATE(B7, ""en"", ""am"")"),"የሲዳማ ስፖርት በመጀመሪያ ዘመኑ ዋና አላማው ምን ነበር?")</f>
        <v>የሲዳማ ስፖርት በመጀመሪያ ዘመኑ ዋና አላማው ምን ነበር?</v>
      </c>
      <c r="I7" s="5" t="str">
        <f>IFERROR(__xludf.DUMMYFUNCTION(" GOOGLETRANSLATE(C7, ""en"", ""am"")"),"ሀ. የመዝናኛ ዓላማዎች ለ. የትምህርት ዓላማዎች ሐ. የውድድር ዓላማዎች መ. የአምልኮ ሥርዓቶች")</f>
        <v>ሀ. የመዝናኛ ዓላማዎች ለ. የትምህርት ዓላማዎች ሐ. የውድድር ዓላማዎች መ. የአምልኮ ሥርዓቶች</v>
      </c>
      <c r="J7" s="5" t="str">
        <f>IFERROR(__xludf.DUMMYFUNCTION(" GOOGLETRANSLATE(D7, ""en"", ""am"")"),"የአምልኮ ሥርዓቶች")</f>
        <v>የአምልኮ ሥርዓቶች</v>
      </c>
      <c r="K7" s="5" t="str">
        <f>IFERROR(__xludf.DUMMYFUNCTION(" GOOGLETRANSLATE(E7, ""en"", ""am"")"),"መጀመሪያ ላይ የሲዳማ ስፖርቶች ብዙ ጊዜ በስነስርዓት እና በማህበረሰብ ስብሰባዎች ላይ የሚያገለግሉ የአምልኮ ሥርዓቶች ነበሩት።")</f>
        <v>መጀመሪያ ላይ የሲዳማ ስፖርቶች ብዙ ጊዜ በስነስርዓት እና በማህበረሰብ ስብሰባዎች ላይ የሚያገለግሉ የአምልኮ ሥርዓቶች ነበሩት።</v>
      </c>
    </row>
    <row r="8" ht="22.5" customHeight="1">
      <c r="A8" s="3">
        <v>7.0</v>
      </c>
      <c r="B8" s="4" t="s">
        <v>2472</v>
      </c>
      <c r="C8" s="4" t="s">
        <v>2473</v>
      </c>
      <c r="D8" s="4" t="s">
        <v>12</v>
      </c>
      <c r="E8" s="4" t="s">
        <v>2474</v>
      </c>
      <c r="G8" s="5" t="str">
        <f>IFERROR(__xludf.DUMMYFUNCTION(" GOOGLETRANSLATE(A8, ""en"", ""am"")"),"7")</f>
        <v>7</v>
      </c>
      <c r="H8" s="5" t="str">
        <f>IFERROR(__xludf.DUMMYFUNCTION(" GOOGLETRANSLATE(B8, ""en"", ""am"")"),"የሲዳማ ስፖርት መገኛ ተብሎ የሚታሰበው የትኛው ሀገር ነው?")</f>
        <v>የሲዳማ ስፖርት መገኛ ተብሎ የሚታሰበው የትኛው ሀገር ነው?</v>
      </c>
      <c r="I8" s="5" t="str">
        <f>IFERROR(__xludf.DUMMYFUNCTION(" GOOGLETRANSLATE(C8, ""en"", ""am"")"),"ኣብ ኬንያ ብ ሶማልያ ሲ ጅቡቲ ዲ.ኢትዮጵያ")</f>
        <v>ኣብ ኬንያ ብ ሶማልያ ሲ ጅቡቲ ዲ.ኢትዮጵያ</v>
      </c>
      <c r="J8" s="5" t="str">
        <f>IFERROR(__xludf.DUMMYFUNCTION(" GOOGLETRANSLATE(D8, ""en"", ""am"")"),"ኢትዮጵያ")</f>
        <v>ኢትዮጵያ</v>
      </c>
      <c r="K8" s="5" t="str">
        <f>IFERROR(__xludf.DUMMYFUNCTION(" GOOGLETRANSLATE(E8, ""en"", ""am"")"),"የሲዳማ ስፖርት መነሻው ኢትዮጵያ በተለይም በሲዳማ ክልል ነው።")</f>
        <v>የሲዳማ ስፖርት መነሻው ኢትዮጵያ በተለይም በሲዳማ ክልል ነው።</v>
      </c>
    </row>
    <row r="9" ht="22.5" customHeight="1">
      <c r="A9" s="3">
        <v>8.0</v>
      </c>
      <c r="B9" s="4" t="s">
        <v>2475</v>
      </c>
      <c r="C9" s="4" t="s">
        <v>2476</v>
      </c>
      <c r="D9" s="4" t="s">
        <v>2477</v>
      </c>
      <c r="E9" s="4" t="s">
        <v>2478</v>
      </c>
      <c r="G9" s="5" t="str">
        <f>IFERROR(__xludf.DUMMYFUNCTION(" GOOGLETRANSLATE(A9, ""en"", ""am"")"),"8")</f>
        <v>8</v>
      </c>
      <c r="H9" s="5" t="str">
        <f>IFERROR(__xludf.DUMMYFUNCTION(" GOOGLETRANSLATE(B9, ""en"", ""am"")"),"ለሲዳማ ስፖርት የመጀመሪያው ትልቅ ውድድር ምን ነበር?")</f>
        <v>ለሲዳማ ስፖርት የመጀመሪያው ትልቅ ውድድር ምን ነበር?</v>
      </c>
      <c r="I9" s="5" t="str">
        <f>IFERROR(__xludf.DUMMYFUNCTION(" GOOGLETRANSLATE(C9, ""en"", ""am"")"),"አ. የሲዳማ ሻምፒዮና ለ. የሲዳማ ፌስቲቫል ሐ. የሲዳማ ግብዣ ዲ. የሲዳማ ጨዋታዎች")</f>
        <v>አ. የሲዳማ ሻምፒዮና ለ. የሲዳማ ፌስቲቫል ሐ. የሲዳማ ግብዣ ዲ. የሲዳማ ጨዋታዎች</v>
      </c>
      <c r="J9" s="5" t="str">
        <f>IFERROR(__xludf.DUMMYFUNCTION(" GOOGLETRANSLATE(D9, ""en"", ""am"")"),"የሲዳማ ጨዋታዎች")</f>
        <v>የሲዳማ ጨዋታዎች</v>
      </c>
      <c r="K9" s="5" t="str">
        <f>IFERROR(__xludf.DUMMYFUNCTION(" GOOGLETRANSLATE(E9, ""en"", ""am"")"),"የሲዳማ ጨዋታዎች ስፖርቱን ለብዙ ታዳሚዎች ለማሳየት የመጀመሪያው ትልቅ ውድድር ነበር።")</f>
        <v>የሲዳማ ጨዋታዎች ስፖርቱን ለብዙ ታዳሚዎች ለማሳየት የመጀመሪያው ትልቅ ውድድር ነበር።</v>
      </c>
    </row>
    <row r="10" ht="22.5" customHeight="1">
      <c r="A10" s="3">
        <v>9.0</v>
      </c>
      <c r="B10" s="4" t="s">
        <v>2479</v>
      </c>
      <c r="C10" s="4" t="s">
        <v>2480</v>
      </c>
      <c r="D10" s="4" t="s">
        <v>2481</v>
      </c>
      <c r="E10" s="4" t="s">
        <v>2482</v>
      </c>
      <c r="G10" s="5" t="str">
        <f>IFERROR(__xludf.DUMMYFUNCTION(" GOOGLETRANSLATE(A10, ""en"", ""am"")"),"9")</f>
        <v>9</v>
      </c>
      <c r="H10" s="5" t="str">
        <f>IFERROR(__xludf.DUMMYFUNCTION(" GOOGLETRANSLATE(B10, ""en"", ""am"")"),"የሲዳማ ስፖርት የመጀመሪያው ሻምፒዮን ማን ነበር?")</f>
        <v>የሲዳማ ስፖርት የመጀመሪያው ሻምፒዮን ማን ነበር?</v>
      </c>
      <c r="I10" s="5" t="str">
        <f>IFERROR(__xludf.DUMMYFUNCTION(" GOOGLETRANSLATE(C10, ""en"", ""am"")"),"አ/አብዲራህማን አሊ ብ ሙሐመድ አሊ ዲራር ሲ. በቀለ ገብሬ ዲ.ፀጋዬ ብርሃኑ")</f>
        <v>አ/አብዲራህማን አሊ ብ ሙሐመድ አሊ ዲራር ሲ. በቀለ ገብሬ ዲ.ፀጋዬ ብርሃኑ</v>
      </c>
      <c r="J10" s="5" t="str">
        <f>IFERROR(__xludf.DUMMYFUNCTION(" GOOGLETRANSLATE(D10, ""en"", ""am"")"),"ፀጋዬ ብርሃኑ")</f>
        <v>ፀጋዬ ብርሃኑ</v>
      </c>
      <c r="K10" s="5" t="str">
        <f>IFERROR(__xludf.DUMMYFUNCTION(" GOOGLETRANSLATE(E10, ""en"", ""am"")"),"በመክፈቻው የሲዳማ ከተማ ጨዋታ ፀጋዬ ብርሃኑ የመጀመርያው ሻምፒዮን ሆኗል።")</f>
        <v>በመክፈቻው የሲዳማ ከተማ ጨዋታ ፀጋዬ ብርሃኑ የመጀመርያው ሻምፒዮን ሆኗል።</v>
      </c>
    </row>
    <row r="11" ht="22.5" customHeight="1">
      <c r="A11" s="3">
        <v>10.0</v>
      </c>
      <c r="B11" s="4" t="s">
        <v>2483</v>
      </c>
      <c r="C11" s="4" t="s">
        <v>2484</v>
      </c>
      <c r="D11" s="4" t="s">
        <v>2485</v>
      </c>
      <c r="E11" s="4" t="s">
        <v>2486</v>
      </c>
      <c r="G11" s="5" t="str">
        <f>IFERROR(__xludf.DUMMYFUNCTION(" GOOGLETRANSLATE(A11, ""en"", ""am"")"),"10")</f>
        <v>10</v>
      </c>
      <c r="H11" s="5" t="str">
        <f>IFERROR(__xludf.DUMMYFUNCTION(" GOOGLETRANSLATE(B11, ""en"", ""am"")"),"በ1990ዎቹ በሲዳማ ስፖርት ምን ዋና ለውጦች ተከስተዋል?")</f>
        <v>በ1990ዎቹ በሲዳማ ስፖርት ምን ዋና ለውጦች ተከስተዋል?</v>
      </c>
      <c r="I11" s="5" t="str">
        <f>IFERROR(__xludf.DUMMYFUNCTION(" GOOGLETRANSLATE(C11, ""en"", ""am"")"),"ሀ. ደንቦቹን መደበኛ ማድረግ ለ. አለም አቀፍ የስርጭት መብቶች ሐ. የባለሙያ ስፖንሰርሺፕ መ. ደንቦቹን መደበኛ ማድረግ")</f>
        <v>ሀ. ደንቦቹን መደበኛ ማድረግ ለ. አለም አቀፍ የስርጭት መብቶች ሐ. የባለሙያ ስፖንሰርሺፕ መ. ደንቦቹን መደበኛ ማድረግ</v>
      </c>
      <c r="J11" s="5" t="str">
        <f>IFERROR(__xludf.DUMMYFUNCTION(" GOOGLETRANSLATE(D11, ""en"", ""am"")"),"ደንቦቹን መደበኛ ያድርጉት")</f>
        <v>ደንቦቹን መደበኛ ያድርጉት</v>
      </c>
      <c r="K11" s="5" t="str">
        <f>IFERROR(__xludf.DUMMYFUNCTION(" GOOGLETRANSLATE(E11, ""en"", ""am"")"),"በ1990ዎቹ የሲዳማ ስፖርት ውድድር ደረጃውን የጠበቀ ህግ አውጥቷል።")</f>
        <v>በ1990ዎቹ የሲዳማ ስፖርት ውድድር ደረጃውን የጠበቀ ህግ አውጥቷል።</v>
      </c>
    </row>
    <row r="12" ht="22.5" customHeight="1">
      <c r="A12" s="3">
        <v>11.0</v>
      </c>
      <c r="B12" s="4" t="s">
        <v>2487</v>
      </c>
      <c r="C12" s="4" t="s">
        <v>2488</v>
      </c>
      <c r="D12" s="4" t="s">
        <v>2489</v>
      </c>
      <c r="E12" s="4" t="s">
        <v>2490</v>
      </c>
      <c r="G12" s="5" t="str">
        <f>IFERROR(__xludf.DUMMYFUNCTION(" GOOGLETRANSLATE(A12, ""en"", ""am"")"),"11")</f>
        <v>11</v>
      </c>
      <c r="H12" s="5" t="str">
        <f>IFERROR(__xludf.DUMMYFUNCTION(" GOOGLETRANSLATE(B12, ""en"", ""am"")"),"የትኛው የሲዳማ ስፖርታዊ ውድድር በጣም ተወዳጅ ነው ተብሎ ይታሰባል?")</f>
        <v>የትኛው የሲዳማ ስፖርታዊ ውድድር በጣም ተወዳጅ ነው ተብሎ ይታሰባል?</v>
      </c>
      <c r="I12" s="5" t="str">
        <f>IFERROR(__xludf.DUMMYFUNCTION(" GOOGLETRANSLATE(C12, ""en"", ""am"")"),"አ.ሲዳማ ኤሊት ውድድር ለ.ሲዳማ ኢንተርናሽናል ሐ.ሲዳማ የአለም ዋንጫ ዲ.ሲዳማ ሻምፒዮና")</f>
        <v>አ.ሲዳማ ኤሊት ውድድር ለ.ሲዳማ ኢንተርናሽናል ሐ.ሲዳማ የአለም ዋንጫ ዲ.ሲዳማ ሻምፒዮና</v>
      </c>
      <c r="J12" s="5" t="str">
        <f>IFERROR(__xludf.DUMMYFUNCTION(" GOOGLETRANSLATE(D12, ""en"", ""am"")"),"የሲዳማ ሻምፒዮና")</f>
        <v>የሲዳማ ሻምፒዮና</v>
      </c>
      <c r="K12" s="5" t="str">
        <f>IFERROR(__xludf.DUMMYFUNCTION(" GOOGLETRANSLATE(E12, ""en"", ""am"")"),"የሲዳማ ሻምፒዮና ለሲዳማ አትሌቶች ከፍተኛ ክብር የሚሰጥ ክስተት ተደርጎ ይወሰዳል።")</f>
        <v>የሲዳማ ሻምፒዮና ለሲዳማ አትሌቶች ከፍተኛ ክብር የሚሰጥ ክስተት ተደርጎ ይወሰዳል።</v>
      </c>
    </row>
    <row r="13" ht="22.5" customHeight="1">
      <c r="A13" s="3">
        <v>12.0</v>
      </c>
      <c r="B13" s="4" t="s">
        <v>2491</v>
      </c>
      <c r="C13" s="4" t="s">
        <v>2492</v>
      </c>
      <c r="D13" s="4" t="s">
        <v>2493</v>
      </c>
      <c r="E13" s="4" t="s">
        <v>2494</v>
      </c>
      <c r="G13" s="5" t="str">
        <f>IFERROR(__xludf.DUMMYFUNCTION(" GOOGLETRANSLATE(A13, ""en"", ""am"")"),"12")</f>
        <v>12</v>
      </c>
      <c r="H13" s="5" t="str">
        <f>IFERROR(__xludf.DUMMYFUNCTION(" GOOGLETRANSLATE(B13, ""en"", ""am"")"),"በሲዳማ ስፖርት ውድድር ወቅት የሚለብሱት የባህል አልባሳት ምን ምን ናቸው?")</f>
        <v>በሲዳማ ስፖርት ውድድር ወቅት የሚለብሱት የባህል አልባሳት ምን ምን ናቸው?</v>
      </c>
      <c r="I13" s="5" t="str">
        <f>IFERROR(__xludf.DUMMYFUNCTION(" GOOGLETRANSLATE(C13, ""en"", ""am"")"),"ሀ. የሲዳማ የባህል ልብስ ለ. የስፖርት ልብስ ሐ. የተለመደ ልብስ ዲ. የሲዳማ የባህል ልብስ")</f>
        <v>ሀ. የሲዳማ የባህል ልብስ ለ. የስፖርት ልብስ ሐ. የተለመደ ልብስ ዲ. የሲዳማ የባህል ልብስ</v>
      </c>
      <c r="J13" s="5" t="str">
        <f>IFERROR(__xludf.DUMMYFUNCTION(" GOOGLETRANSLATE(D13, ""en"", ""am"")"),"የሲዳማ የባህል ልብስ")</f>
        <v>የሲዳማ የባህል ልብስ</v>
      </c>
      <c r="K13" s="5" t="str">
        <f>IFERROR(__xludf.DUMMYFUNCTION(" GOOGLETRANSLATE(E13, ""en"", ""am"")"),"በሲዳማ ስፖርት ውስጥ ያሉ አትሌቶች ከተፈጥሮ ቁሳቁሶች የተሠሩ የሲዳማ ልብሶችን ይለብሳሉ።")</f>
        <v>በሲዳማ ስፖርት ውስጥ ያሉ አትሌቶች ከተፈጥሮ ቁሳቁሶች የተሠሩ የሲዳማ ልብሶችን ይለብሳሉ።</v>
      </c>
    </row>
    <row r="14" ht="22.5" customHeight="1">
      <c r="A14" s="3">
        <v>13.0</v>
      </c>
      <c r="B14" s="4" t="s">
        <v>2495</v>
      </c>
      <c r="C14" s="4" t="s">
        <v>2496</v>
      </c>
      <c r="D14" s="4" t="s">
        <v>1505</v>
      </c>
      <c r="E14" s="4" t="s">
        <v>1505</v>
      </c>
      <c r="G14" s="5" t="str">
        <f>IFERROR(__xludf.DUMMYFUNCTION(" GOOGLETRANSLATE(A14, ""en"", ""am"")"),"13")</f>
        <v>13</v>
      </c>
      <c r="H14" s="5" t="str">
        <f>IFERROR(__xludf.DUMMYFUNCTION(" GOOGLETRANSLATE(B14, ""en"", ""am"")"),"በኢትዮጵያ ሲዳማ ብሄራዊ ስፖርት ተብሎ የታወጀው በየትኛው አመት ነው?")</f>
        <v>በኢትዮጵያ ሲዳማ ብሄራዊ ስፖርት ተብሎ የታወጀው በየትኛው አመት ነው?</v>
      </c>
      <c r="I14" s="5" t="str">
        <f>IFERROR(__xludf.DUMMYFUNCTION(" GOOGLETRANSLATE(C14, ""en"", ""am"")"),"እ.ኤ.አ. 2010 ዓ.ም. 1998 ዓ.ም. 2015 ዲ. 2010")</f>
        <v>እ.ኤ.አ. 2010 ዓ.ም. 1998 ዓ.ም. 2015 ዲ. 2010</v>
      </c>
      <c r="J14" s="5" t="str">
        <f>IFERROR(__xludf.DUMMYFUNCTION(" GOOGLETRANSLATE(D14, ""en"", ""am"")"),"2010")</f>
        <v>2010</v>
      </c>
      <c r="K14" s="5" t="str">
        <f>IFERROR(__xludf.DUMMYFUNCTION(" GOOGLETRANSLATE(E14, ""en"", ""am"")"),"2010")</f>
        <v>2010</v>
      </c>
    </row>
    <row r="15" ht="22.5" customHeight="1">
      <c r="A15" s="3">
        <v>14.0</v>
      </c>
      <c r="B15" s="4" t="s">
        <v>2497</v>
      </c>
      <c r="C15" s="4" t="s">
        <v>2498</v>
      </c>
      <c r="D15" s="4" t="s">
        <v>2499</v>
      </c>
      <c r="E15" s="4" t="s">
        <v>2500</v>
      </c>
      <c r="G15" s="5" t="str">
        <f>IFERROR(__xludf.DUMMYFUNCTION(" GOOGLETRANSLATE(A15, ""en"", ""am"")"),"14")</f>
        <v>14</v>
      </c>
      <c r="H15" s="5" t="str">
        <f>IFERROR(__xludf.DUMMYFUNCTION(" GOOGLETRANSLATE(B15, ""en"", ""am"")"),"የሲዳማ ስፖርተኞች ባህላዊ የስልጠና ዘዴ ምን ይመስላል?")</f>
        <v>የሲዳማ ስፖርተኞች ባህላዊ የስልጠና ዘዴ ምን ይመስላል?</v>
      </c>
      <c r="I15" s="5" t="str">
        <f>IFERROR(__xludf.DUMMYFUNCTION(" GOOGLETRANSLATE(C15, ""en"", ""am"")"),"ሀ. የንቃተ ህሊና ልምምዶች ለ. የውጊያ ስልጠና ሐ. በቡድን ላይ የተመሰረተ ስፖርት መ. አካላዊ የጽናት ልምምዶች")</f>
        <v>ሀ. የንቃተ ህሊና ልምምዶች ለ. የውጊያ ስልጠና ሐ. በቡድን ላይ የተመሰረተ ስፖርት መ. አካላዊ የጽናት ልምምዶች</v>
      </c>
      <c r="J15" s="5" t="str">
        <f>IFERROR(__xludf.DUMMYFUNCTION(" GOOGLETRANSLATE(D15, ""en"", ""am"")"),"የአካል ብቃት እንቅስቃሴዎችን የመቋቋም ችሎታ")</f>
        <v>የአካል ብቃት እንቅስቃሴዎችን የመቋቋም ችሎታ</v>
      </c>
      <c r="K15" s="5" t="str">
        <f>IFERROR(__xludf.DUMMYFUNCTION(" GOOGLETRANSLATE(E15, ""en"", ""am"")"),"ለሲዳማ ስፖርተኞች የሚሰጠው ባህላዊ ስልጠና በአካላዊ ጽናትና ብቃት ላይ ያተኮረ ነው።")</f>
        <v>ለሲዳማ ስፖርተኞች የሚሰጠው ባህላዊ ስልጠና በአካላዊ ጽናትና ብቃት ላይ ያተኮረ ነው።</v>
      </c>
    </row>
    <row r="16" ht="22.5" customHeight="1">
      <c r="A16" s="3">
        <v>15.0</v>
      </c>
      <c r="B16" s="4" t="s">
        <v>2501</v>
      </c>
      <c r="C16" s="4" t="s">
        <v>2502</v>
      </c>
      <c r="D16" s="4" t="s">
        <v>2503</v>
      </c>
      <c r="E16" s="4" t="s">
        <v>2504</v>
      </c>
      <c r="G16" s="5" t="str">
        <f>IFERROR(__xludf.DUMMYFUNCTION(" GOOGLETRANSLATE(A16, ""en"", ""am"")"),"15")</f>
        <v>15</v>
      </c>
      <c r="H16" s="5" t="str">
        <f>IFERROR(__xludf.DUMMYFUNCTION(" GOOGLETRANSLATE(B16, ""en"", ""am"")"),"የሲዳማ ስፖርት ከኢትዮጵያ ውጪ እንዲስፋፋ ያደረገው ዋና ምክንያት ምን ነበር?")</f>
        <v>የሲዳማ ስፖርት ከኢትዮጵያ ውጪ እንዲስፋፋ ያደረገው ዋና ምክንያት ምን ነበር?</v>
      </c>
      <c r="I16" s="5" t="str">
        <f>IFERROR(__xludf.DUMMYFUNCTION(" GOOGLETRANSLATE(C16, ""en"", ""am"")"),"ሀ. የሚዲያ ሽፋን ለ. የባህል ፌስቲቫሎች ሐ. ዓለም አቀፍ ውድድሮች D. ኢሚግሬሽን")</f>
        <v>ሀ. የሚዲያ ሽፋን ለ. የባህል ፌስቲቫሎች ሐ. ዓለም አቀፍ ውድድሮች D. ኢሚግሬሽን</v>
      </c>
      <c r="J16" s="5" t="str">
        <f>IFERROR(__xludf.DUMMYFUNCTION(" GOOGLETRANSLATE(D16, ""en"", ""am"")"),"ኢሚግሬሽን")</f>
        <v>ኢሚግሬሽን</v>
      </c>
      <c r="K16" s="5" t="str">
        <f>IFERROR(__xludf.DUMMYFUNCTION(" GOOGLETRANSLATE(E16, ""en"", ""am"")"),"የሲዳማ ስፖርት በአለም አቀፍ ደረጃ በዲያስፖራ ማህበረሰብ በተለይም በኢሚግሬሽን ተሰራጭቷል።")</f>
        <v>የሲዳማ ስፖርት በአለም አቀፍ ደረጃ በዲያስፖራ ማህበረሰብ በተለይም በኢሚግሬሽን ተሰራጭቷል።</v>
      </c>
    </row>
    <row r="17" ht="22.5" customHeight="1">
      <c r="A17" s="3">
        <v>16.0</v>
      </c>
      <c r="B17" s="4" t="s">
        <v>2505</v>
      </c>
      <c r="C17" s="4" t="s">
        <v>2506</v>
      </c>
      <c r="D17" s="4" t="s">
        <v>2507</v>
      </c>
      <c r="E17" s="4" t="s">
        <v>2508</v>
      </c>
      <c r="G17" s="5" t="str">
        <f>IFERROR(__xludf.DUMMYFUNCTION(" GOOGLETRANSLATE(A17, ""en"", ""am"")"),"16")</f>
        <v>16</v>
      </c>
      <c r="H17" s="5" t="str">
        <f>IFERROR(__xludf.DUMMYFUNCTION(" GOOGLETRANSLATE(B17, ""en"", ""am"")"),"የሲዳማ ስፖርት ማዕከል በኢትዮጵያ የትኛው ዋና ከተማ ነው?")</f>
        <v>የሲዳማ ስፖርት ማዕከል በኢትዮጵያ የትኛው ዋና ከተማ ነው?</v>
      </c>
      <c r="I17" s="5" t="str">
        <f>IFERROR(__xludf.DUMMYFUNCTION(" GOOGLETRANSLATE(C17, ""en"", ""am"")"),"አ.አዲስ አበባ ብ.መቀሌ ሐ.ጎንደር ዲ.ሐዋሳ")</f>
        <v>አ.አዲስ አበባ ብ.መቀሌ ሐ.ጎንደር ዲ.ሐዋሳ</v>
      </c>
      <c r="J17" s="5" t="str">
        <f>IFERROR(__xludf.DUMMYFUNCTION(" GOOGLETRANSLATE(D17, ""en"", ""am"")"),"ሀዋሳ")</f>
        <v>ሀዋሳ</v>
      </c>
      <c r="K17" s="5" t="str">
        <f>IFERROR(__xludf.DUMMYFUNCTION(" GOOGLETRANSLATE(E17, ""en"", ""am"")"),"በሲዳማ ክልል ውስጥ የምትገኘው ሀዋሳ የሲዳማ ዋና የስፖርትና የባህል ማዕከል ናት።")</f>
        <v>በሲዳማ ክልል ውስጥ የምትገኘው ሀዋሳ የሲዳማ ዋና የስፖርትና የባህል ማዕከል ናት።</v>
      </c>
    </row>
    <row r="18" ht="22.5" customHeight="1">
      <c r="A18" s="3">
        <v>17.0</v>
      </c>
      <c r="B18" s="4" t="s">
        <v>2509</v>
      </c>
      <c r="C18" s="4" t="s">
        <v>2510</v>
      </c>
      <c r="D18" s="4" t="s">
        <v>2511</v>
      </c>
      <c r="E18" s="4" t="s">
        <v>2512</v>
      </c>
      <c r="G18" s="5" t="str">
        <f>IFERROR(__xludf.DUMMYFUNCTION(" GOOGLETRANSLATE(A18, ""en"", ""am"")"),"17")</f>
        <v>17</v>
      </c>
      <c r="H18" s="5" t="str">
        <f>IFERROR(__xludf.DUMMYFUNCTION(" GOOGLETRANSLATE(B18, ""en"", ""am"")"),"በ1998 ለመጀመሪያ ጊዜ በአለም አቀፍ ደረጃ የተወዳደረው የሲዳማ አትሌት የትኛው ነው?")</f>
        <v>በ1998 ለመጀመሪያ ጊዜ በአለም አቀፍ ደረጃ የተወዳደረው የሲዳማ አትሌት የትኛው ነው?</v>
      </c>
      <c r="I18" s="5" t="str">
        <f>IFERROR(__xludf.DUMMYFUNCTION(" GOOGLETRANSLATE(C18, ""en"", ""am"")"),"A. Faisal Abdulqader B. Gada Sira C. Abdi Guleid D. Aman Zeleke")</f>
        <v>A. Faisal Abdulqader B. Gada Sira C. Abdi Guleid D. Aman Zeleke</v>
      </c>
      <c r="J18" s="5" t="str">
        <f>IFERROR(__xludf.DUMMYFUNCTION(" GOOGLETRANSLATE(D18, ""en"", ""am"")"),"አማን ዘለቀ")</f>
        <v>አማን ዘለቀ</v>
      </c>
      <c r="K18" s="5" t="str">
        <f>IFERROR(__xludf.DUMMYFUNCTION(" GOOGLETRANSLATE(E18, ""en"", ""am"")"),"አማን ዘለቀ በ1998 በአለም አቀፍ ደረጃ የተወዳደረ የመጀመሪያው የሲዳማ አትሌት ነው።")</f>
        <v>አማን ዘለቀ በ1998 በአለም አቀፍ ደረጃ የተወዳደረ የመጀመሪያው የሲዳማ አትሌት ነው።</v>
      </c>
    </row>
    <row r="19" ht="22.5" customHeight="1">
      <c r="A19" s="3">
        <v>18.0</v>
      </c>
      <c r="B19" s="4" t="s">
        <v>2513</v>
      </c>
      <c r="C19" s="4" t="s">
        <v>2514</v>
      </c>
      <c r="D19" s="4" t="s">
        <v>12</v>
      </c>
      <c r="E19" s="4" t="s">
        <v>2515</v>
      </c>
      <c r="G19" s="5" t="str">
        <f>IFERROR(__xludf.DUMMYFUNCTION(" GOOGLETRANSLATE(A19, ""en"", ""am"")"),"18")</f>
        <v>18</v>
      </c>
      <c r="H19" s="5" t="str">
        <f>IFERROR(__xludf.DUMMYFUNCTION(" GOOGLETRANSLATE(B19, ""en"", ""am"")"),"የመጀመሪያውን አለም አቀፍ የሲዳማ ስፖርት ዝግጅት ያዘጋጀው የትኛው ሀገር ነው?")</f>
        <v>የመጀመሪያውን አለም አቀፍ የሲዳማ ስፖርት ዝግጅት ያዘጋጀው የትኛው ሀገር ነው?</v>
      </c>
      <c r="I19" s="5" t="str">
        <f>IFERROR(__xludf.DUMMYFUNCTION(" GOOGLETRANSLATE(C19, ""en"", ""am"")"),"ኣብ ኬንያ ብ ደቡብ ኣፍሪቃ ሲ.ጅቡቲ ዲ.ኢትዮጵያ")</f>
        <v>ኣብ ኬንያ ብ ደቡብ ኣፍሪቃ ሲ.ጅቡቲ ዲ.ኢትዮጵያ</v>
      </c>
      <c r="J19" s="5" t="str">
        <f>IFERROR(__xludf.DUMMYFUNCTION(" GOOGLETRANSLATE(D19, ""en"", ""am"")"),"ኢትዮጵያ")</f>
        <v>ኢትዮጵያ</v>
      </c>
      <c r="K19" s="5" t="str">
        <f>IFERROR(__xludf.DUMMYFUNCTION(" GOOGLETRANSLATE(E19, ""en"", ""am"")"),"ኢትዮጵያ ስፖርቱን በአለም አቀፍ ደረጃ ለማሳየት የመጀመሪያውን አለም አቀፍ የሲዳማ ስፖርት ውድድር አዘጋጅታለች።")</f>
        <v>ኢትዮጵያ ስፖርቱን በአለም አቀፍ ደረጃ ለማሳየት የመጀመሪያውን አለም አቀፍ የሲዳማ ስፖርት ውድድር አዘጋጅታለች።</v>
      </c>
    </row>
    <row r="20" ht="22.5" customHeight="1">
      <c r="A20" s="3">
        <v>19.0</v>
      </c>
      <c r="B20" s="4" t="s">
        <v>2516</v>
      </c>
      <c r="C20" s="4" t="s">
        <v>2517</v>
      </c>
      <c r="D20" s="4" t="s">
        <v>2518</v>
      </c>
      <c r="E20" s="4" t="s">
        <v>2519</v>
      </c>
      <c r="G20" s="5" t="str">
        <f>IFERROR(__xludf.DUMMYFUNCTION(" GOOGLETRANSLATE(A20, ""en"", ""am"")"),"19")</f>
        <v>19</v>
      </c>
      <c r="H20" s="5" t="str">
        <f>IFERROR(__xludf.DUMMYFUNCTION(" GOOGLETRANSLATE(B20, ""en"", ""am"")"),"በ2000ዎቹ የሲዳማ ስፖርት እንዴት ነበር የዳበረው?")</f>
        <v>በ2000ዎቹ የሲዳማ ስፖርት እንዴት ነበር የዳበረው?</v>
      </c>
      <c r="I20" s="5" t="str">
        <f>IFERROR(__xludf.DUMMYFUNCTION(" GOOGLETRANSLATE(C20, ""en"", ""am"")"),"ሀ. አለማቀፍ ውድድርን ማሳደግ ለ.በመገናኛ ብዙሀን ታዋቂነት ሐ.የቴክኖሎጂ መግቢያ መ.አለም አቀፍ ውድድርን ማሳደግ")</f>
        <v>ሀ. አለማቀፍ ውድድርን ማሳደግ ለ.በመገናኛ ብዙሀን ታዋቂነት ሐ.የቴክኖሎጂ መግቢያ መ.አለም አቀፍ ውድድርን ማሳደግ</v>
      </c>
      <c r="J20" s="5" t="str">
        <f>IFERROR(__xludf.DUMMYFUNCTION(" GOOGLETRANSLATE(D20, ""en"", ""am"")"),"ዓለም አቀፍ ውድድር እየጨመረ ነው።")</f>
        <v>ዓለም አቀፍ ውድድር እየጨመረ ነው።</v>
      </c>
      <c r="K20" s="5" t="str">
        <f>IFERROR(__xludf.DUMMYFUNCTION(" GOOGLETRANSLATE(E20, ""en"", ""am"")"),"የሲዳማ ስፖርት እ.ኤ.አ. በ2000 ዓ.ም የአለም አቀፍ ውድድሮች እድገት በማሳየቱ የአለም አቀፍ ተሳትፎውን አሳድጓል።")</f>
        <v>የሲዳማ ስፖርት እ.ኤ.አ. በ2000 ዓ.ም የአለም አቀፍ ውድድሮች እድገት በማሳየቱ የአለም አቀፍ ተሳትፎውን አሳድጓል።</v>
      </c>
    </row>
    <row r="21" ht="22.5" customHeight="1">
      <c r="A21" s="3">
        <v>20.0</v>
      </c>
      <c r="B21" s="4" t="s">
        <v>2520</v>
      </c>
      <c r="C21" s="4" t="s">
        <v>2521</v>
      </c>
      <c r="D21" s="4" t="s">
        <v>2522</v>
      </c>
      <c r="E21" s="4" t="s">
        <v>2523</v>
      </c>
      <c r="G21" s="5" t="str">
        <f>IFERROR(__xludf.DUMMYFUNCTION(" GOOGLETRANSLATE(A21, ""en"", ""am"")"),"20")</f>
        <v>20</v>
      </c>
      <c r="H21" s="5" t="str">
        <f>IFERROR(__xludf.DUMMYFUNCTION(" GOOGLETRANSLATE(B21, ""en"", ""am"")"),"የሲዳማ ሴቶች ለስፖርቱ እድገት ምን ሚና ተጫውተዋል?")</f>
        <v>የሲዳማ ሴቶች ለስፖርቱ እድገት ምን ሚና ተጫውተዋል?</v>
      </c>
      <c r="I21" s="5" t="str">
        <f>IFERROR(__xludf.DUMMYFUNCTION(" GOOGLETRANSLATE(C21, ""en"", ""am"")"),"ሀ. አትሌቶችን ማሰልጠን ለ. የባህል ልምዶችን ማሳደግ ሐ. በንቃት መወዳደር መ. በንቃት መወዳደር")</f>
        <v>ሀ. አትሌቶችን ማሰልጠን ለ. የባህል ልምዶችን ማሳደግ ሐ. በንቃት መወዳደር መ. በንቃት መወዳደር</v>
      </c>
      <c r="J21" s="5" t="str">
        <f>IFERROR(__xludf.DUMMYFUNCTION(" GOOGLETRANSLATE(D21, ""en"", ""am"")"),"በንቃት መወዳደር")</f>
        <v>በንቃት መወዳደር</v>
      </c>
      <c r="K21" s="5" t="str">
        <f>IFERROR(__xludf.DUMMYFUNCTION(" GOOGLETRANSLATE(E21, ""en"", ""am"")"),"የሲዳማ ሴቶች በንቃት በመወዳደርና በማስተዋወቅ ለስፖርቱ እድገት ከፍተኛ ሚና ተጫውተዋል።")</f>
        <v>የሲዳማ ሴቶች በንቃት በመወዳደርና በማስተዋወቅ ለስፖርቱ እድገት ከፍተኛ ሚና ተጫውተዋል።</v>
      </c>
    </row>
    <row r="22" ht="22.5" customHeight="1">
      <c r="A22" s="3">
        <v>21.0</v>
      </c>
      <c r="B22" s="4" t="s">
        <v>2524</v>
      </c>
      <c r="C22" s="4" t="s">
        <v>2525</v>
      </c>
      <c r="D22" s="4" t="s">
        <v>2526</v>
      </c>
      <c r="E22" s="4" t="s">
        <v>2527</v>
      </c>
      <c r="G22" s="5" t="str">
        <f>IFERROR(__xludf.DUMMYFUNCTION(" GOOGLETRANSLATE(A22, ""en"", ""am"")"),"21")</f>
        <v>21</v>
      </c>
      <c r="H22" s="5" t="str">
        <f>IFERROR(__xludf.DUMMYFUNCTION(" GOOGLETRANSLATE(B22, ""en"", ""am"")"),"የሲዳማ ስፖርት በኢትዮጵያ ባህል ላይ የሚያሳድረው ተጽዕኖ አንዱ ምንድን ነው?")</f>
        <v>የሲዳማ ስፖርት በኢትዮጵያ ባህል ላይ የሚያሳድረው ተጽዕኖ አንዱ ምንድን ነው?</v>
      </c>
      <c r="I22" s="5" t="str">
        <f>IFERROR(__xludf.DUMMYFUNCTION(" GOOGLETRANSLATE(C22, ""en"", ""am"")"),"ሀ. የፖለቲካ መረጋጋት ለ. የቴክኖሎጂ እድገቶች ሐ. የትምህርት ማሻሻያዎች መ. የባህል ኩራት")</f>
        <v>ሀ. የፖለቲካ መረጋጋት ለ. የቴክኖሎጂ እድገቶች ሐ. የትምህርት ማሻሻያዎች መ. የባህል ኩራት</v>
      </c>
      <c r="J22" s="5" t="str">
        <f>IFERROR(__xludf.DUMMYFUNCTION(" GOOGLETRANSLATE(D22, ""en"", ""am"")"),"የባህል ኩራት")</f>
        <v>የባህል ኩራት</v>
      </c>
      <c r="K22" s="5" t="str">
        <f>IFERROR(__xludf.DUMMYFUNCTION(" GOOGLETRANSLATE(E22, ""en"", ""am"")"),"የሲዳማ ስፖርት የባህል ኩራትን እና የማህበረሰብ አንድነትን በማጎልበት በኢትዮጵያ ባህል ላይ ተፅዕኖ አሳድሯል።")</f>
        <v>የሲዳማ ስፖርት የባህል ኩራትን እና የማህበረሰብ አንድነትን በማጎልበት በኢትዮጵያ ባህል ላይ ተፅዕኖ አሳድሯል።</v>
      </c>
    </row>
    <row r="23" ht="22.5" customHeight="1">
      <c r="A23" s="3">
        <v>22.0</v>
      </c>
      <c r="B23" s="4" t="s">
        <v>2528</v>
      </c>
      <c r="C23" s="4" t="s">
        <v>2529</v>
      </c>
      <c r="D23" s="4" t="s">
        <v>2530</v>
      </c>
      <c r="E23" s="4" t="s">
        <v>2531</v>
      </c>
      <c r="G23" s="5" t="str">
        <f>IFERROR(__xludf.DUMMYFUNCTION(" GOOGLETRANSLATE(A23, ""en"", ""am"")"),"22")</f>
        <v>22</v>
      </c>
      <c r="H23" s="5" t="str">
        <f>IFERROR(__xludf.DUMMYFUNCTION(" GOOGLETRANSLATE(B23, ""en"", ""am"")"),"ሲዳማ ስፖርት የሚዲያ ሽፋን ማግኘት የጀመረው መቼ ነበር?")</f>
        <v>ሲዳማ ስፖርት የሚዲያ ሽፋን ማግኘት የጀመረው መቼ ነበር?</v>
      </c>
      <c r="I23" s="5" t="str">
        <f>IFERROR(__xludf.DUMMYFUNCTION(" GOOGLETRANSLATE(C23, ""en"", ""am"")"),"ሀ. በ1990ዎቹ ለ. በ2000ዎቹ ሐ. በ2010 መ. በ1990ዎቹ")</f>
        <v>ሀ. በ1990ዎቹ ለ. በ2000ዎቹ ሐ. በ2010 መ. በ1990ዎቹ</v>
      </c>
      <c r="J23" s="5" t="str">
        <f>IFERROR(__xludf.DUMMYFUNCTION(" GOOGLETRANSLATE(D23, ""en"", ""am"")"),"በ 1990 ዎቹ ውስጥ")</f>
        <v>በ 1990 ዎቹ ውስጥ</v>
      </c>
      <c r="K23" s="5" t="str">
        <f>IFERROR(__xludf.DUMMYFUNCTION(" GOOGLETRANSLATE(E23, ""en"", ""am"")"),"የሲዳማ ስፖርት በኢትዮጵያ ተወዳጅነትን ማግኘት የጀመረው በ1990ዎቹ ሲሆን የሚዲያ ሽፋን ማግኘት ጀመረ።")</f>
        <v>የሲዳማ ስፖርት በኢትዮጵያ ተወዳጅነትን ማግኘት የጀመረው በ1990ዎቹ ሲሆን የሚዲያ ሽፋን ማግኘት ጀመረ።</v>
      </c>
    </row>
    <row r="24" ht="22.5" customHeight="1">
      <c r="A24" s="3">
        <v>23.0</v>
      </c>
      <c r="B24" s="4" t="s">
        <v>2532</v>
      </c>
      <c r="C24" s="4" t="s">
        <v>2533</v>
      </c>
      <c r="D24" s="4" t="s">
        <v>2534</v>
      </c>
      <c r="E24" s="4" t="s">
        <v>2535</v>
      </c>
      <c r="G24" s="5" t="str">
        <f>IFERROR(__xludf.DUMMYFUNCTION(" GOOGLETRANSLATE(A24, ""en"", ""am"")"),"23")</f>
        <v>23</v>
      </c>
      <c r="H24" s="5" t="str">
        <f>IFERROR(__xludf.DUMMYFUNCTION(" GOOGLETRANSLATE(B24, ""en"", ""am"")"),"የሲዳማ ስፖርት ውድድር ዋና አላማው ምንድን ነው?")</f>
        <v>የሲዳማ ስፖርት ውድድር ዋና አላማው ምንድን ነው?</v>
      </c>
      <c r="I24" s="5" t="str">
        <f>IFERROR(__xludf.DUMMYFUNCTION(" GOOGLETRANSLATE(C24, ""en"", ""am"")"),"ሀ. ጽናትን ለመጠበቅ ለ. ተቃዋሚውን ለማራዘም ሐ. በባህላዊ ጉልህ የሆኑ የአምልኮ ሥርዓቶችን ለመፈጸም መ. ከፍተኛ ነጥቦችን ለማግኘት.")</f>
        <v>ሀ. ጽናትን ለመጠበቅ ለ. ተቃዋሚውን ለማራዘም ሐ. በባህላዊ ጉልህ የሆኑ የአምልኮ ሥርዓቶችን ለመፈጸም መ. ከፍተኛ ነጥቦችን ለማግኘት.</v>
      </c>
      <c r="J24" s="5" t="str">
        <f>IFERROR(__xludf.DUMMYFUNCTION(" GOOGLETRANSLATE(D24, ""en"", ""am"")"),"ከፍተኛ ነጥቦችን ለማግኘት")</f>
        <v>ከፍተኛ ነጥቦችን ለማግኘት</v>
      </c>
      <c r="K24" s="5" t="str">
        <f>IFERROR(__xludf.DUMMYFUNCTION(" GOOGLETRANSLATE(E24, ""en"", ""am"")"),"የሲዳማ ቡና ውድድር ዋና ግብ በተለያዩ የአትሌቲክስ ውድድሮች ከፍተኛ ነጥብ ማስመዝገብ ነው።")</f>
        <v>የሲዳማ ቡና ውድድር ዋና ግብ በተለያዩ የአትሌቲክስ ውድድሮች ከፍተኛ ነጥብ ማስመዝገብ ነው።</v>
      </c>
    </row>
    <row r="25" ht="22.5" customHeight="1">
      <c r="A25" s="3">
        <v>24.0</v>
      </c>
      <c r="B25" s="4" t="s">
        <v>2536</v>
      </c>
      <c r="C25" s="4" t="s">
        <v>2537</v>
      </c>
      <c r="D25" s="4" t="s">
        <v>2538</v>
      </c>
      <c r="E25" s="4" t="s">
        <v>2538</v>
      </c>
      <c r="G25" s="5" t="str">
        <f>IFERROR(__xludf.DUMMYFUNCTION(" GOOGLETRANSLATE(A25, ""en"", ""am"")"),"24")</f>
        <v>24</v>
      </c>
      <c r="H25" s="5" t="str">
        <f>IFERROR(__xludf.DUMMYFUNCTION(" GOOGLETRANSLATE(B25, ""en"", ""am"")"),"የሲዳማ ስፖርትስ በኦሊምፒክ ይፋዊ ክርክር በየትኛው አመት ገባ?")</f>
        <v>የሲዳማ ስፖርትስ በኦሊምፒክ ይፋዊ ክርክር በየትኛው አመት ገባ?</v>
      </c>
      <c r="I25" s="5" t="str">
        <f>IFERROR(__xludf.DUMMYFUNCTION(" GOOGLETRANSLATE(C25, ""en"", ""am"")"),"እ.ኤ.አ. 2012 B. 2016 ሲ. 2020 ዲ. 2012")</f>
        <v>እ.ኤ.አ. 2012 B. 2016 ሲ. 2020 ዲ. 2012</v>
      </c>
      <c r="J25" s="5" t="str">
        <f>IFERROR(__xludf.DUMMYFUNCTION(" GOOGLETRANSLATE(D25, ""en"", ""am"")"),"2012")</f>
        <v>2012</v>
      </c>
      <c r="K25" s="5" t="str">
        <f>IFERROR(__xludf.DUMMYFUNCTION(" GOOGLETRANSLATE(E25, ""en"", ""am"")"),"2012")</f>
        <v>2012</v>
      </c>
    </row>
    <row r="26" ht="22.5" customHeight="1">
      <c r="A26" s="3">
        <v>25.0</v>
      </c>
      <c r="B26" s="4" t="s">
        <v>2539</v>
      </c>
      <c r="C26" s="4" t="s">
        <v>2540</v>
      </c>
      <c r="D26" s="4" t="s">
        <v>2541</v>
      </c>
      <c r="E26" s="4" t="s">
        <v>2542</v>
      </c>
      <c r="G26" s="5" t="str">
        <f>IFERROR(__xludf.DUMMYFUNCTION(" GOOGLETRANSLATE(A26, ""en"", ""am"")"),"25")</f>
        <v>25</v>
      </c>
      <c r="H26" s="5" t="str">
        <f>IFERROR(__xludf.DUMMYFUNCTION(" GOOGLETRANSLATE(B26, ""en"", ""am"")"),"በ2015 የሲዳማ ቡናን ብሔራዊ ክብረ ወሰን የሰበረው የትኛው የሲዳማ አትሌት ነው?")</f>
        <v>በ2015 የሲዳማ ቡናን ብሔራዊ ክብረ ወሰን የሰበረው የትኛው የሲዳማ አትሌት ነው?</v>
      </c>
      <c r="I26" s="5" t="str">
        <f>IFERROR(__xludf.DUMMYFUNCTION(" GOOGLETRANSLATE(C26, ""en"", ""am"")"),"ሀ/ አብዲ ሱሌይማን በዳዊት ተስፋዬ ሲ. በቀለ ዲዳ ዲ. ጀማል ድንቁ")</f>
        <v>ሀ/ አብዲ ሱሌይማን በዳዊት ተስፋዬ ሲ. በቀለ ዲዳ ዲ. ጀማል ድንቁ</v>
      </c>
      <c r="J26" s="5" t="str">
        <f>IFERROR(__xludf.DUMMYFUNCTION(" GOOGLETRANSLATE(D26, ""en"", ""am"")"),"ጀማል ድንቁ")</f>
        <v>ጀማል ድንቁ</v>
      </c>
      <c r="K26" s="5" t="str">
        <f>IFERROR(__xludf.DUMMYFUNCTION(" GOOGLETRANSLATE(E26, ""en"", ""am"")"),"ጀማል ድንቁ በ2015 የሲዳማ ጨዋታዎች በርካታ ብሔራዊ ሪከርዶችን ሰብሯል።")</f>
        <v>ጀማል ድንቁ በ2015 የሲዳማ ጨዋታዎች በርካታ ብሔራዊ ሪከርዶችን ሰብሯል።</v>
      </c>
    </row>
    <row r="27" ht="22.5" customHeight="1">
      <c r="A27" s="3">
        <v>26.0</v>
      </c>
      <c r="B27" s="4" t="s">
        <v>2543</v>
      </c>
      <c r="C27" s="4" t="s">
        <v>2544</v>
      </c>
      <c r="D27" s="4" t="s">
        <v>2545</v>
      </c>
      <c r="E27" s="4" t="s">
        <v>2546</v>
      </c>
      <c r="G27" s="5" t="str">
        <f>IFERROR(__xludf.DUMMYFUNCTION(" GOOGLETRANSLATE(A27, ""en"", ""am"")"),"26")</f>
        <v>26</v>
      </c>
      <c r="H27" s="5" t="str">
        <f>IFERROR(__xludf.DUMMYFUNCTION(" GOOGLETRANSLATE(B27, ""en"", ""am"")"),"ለሲዳማ ስፖርት አስተዳደር ኃላፊነት ያለው የትኛው ድርጅት ነው?")</f>
        <v>ለሲዳማ ስፖርት አስተዳደር ኃላፊነት ያለው የትኛው ድርጅት ነው?</v>
      </c>
      <c r="I27" s="5" t="str">
        <f>IFERROR(__xludf.DUMMYFUNCTION(" GOOGLETRANSLATE(C27, ""en"", ""am"")"),"አ.የኢትዮጵያ ብሔራዊ ስፖርት ድርጅት ለ.አለም አቀፍ የሲዳማ ዩኒየን ሐ. የአፍሪካ ስፖርት ምክር ቤት ዲ.ሲዳማ ስፖርት ፌዴሬሽን")</f>
        <v>አ.የኢትዮጵያ ብሔራዊ ስፖርት ድርጅት ለ.አለም አቀፍ የሲዳማ ዩኒየን ሐ. የአፍሪካ ስፖርት ምክር ቤት ዲ.ሲዳማ ስፖርት ፌዴሬሽን</v>
      </c>
      <c r="J27" s="5" t="str">
        <f>IFERROR(__xludf.DUMMYFUNCTION(" GOOGLETRANSLATE(D27, ""en"", ""am"")"),"የሲዳማ ስፖርት ፌዴሬሽን")</f>
        <v>የሲዳማ ስፖርት ፌዴሬሽን</v>
      </c>
      <c r="K27" s="5" t="str">
        <f>IFERROR(__xludf.DUMMYFUNCTION(" GOOGLETRANSLATE(E27, ""en"", ""am"")"),"የሲዳማ ስፖርት አስተዳደርና ልማት ኃላፊነት የሲዳማ ስፖርት ፌዴሬሽን ነው።")</f>
        <v>የሲዳማ ስፖርት አስተዳደርና ልማት ኃላፊነት የሲዳማ ስፖርት ፌዴሬሽን ነው።</v>
      </c>
    </row>
    <row r="28" ht="22.5" customHeight="1">
      <c r="A28" s="3">
        <v>27.0</v>
      </c>
      <c r="B28" s="4" t="s">
        <v>2547</v>
      </c>
      <c r="C28" s="4" t="s">
        <v>2548</v>
      </c>
      <c r="D28" s="4" t="s">
        <v>2549</v>
      </c>
      <c r="E28" s="4" t="s">
        <v>2550</v>
      </c>
      <c r="G28" s="5" t="str">
        <f>IFERROR(__xludf.DUMMYFUNCTION(" GOOGLETRANSLATE(A28, ""en"", ""am"")"),"27")</f>
        <v>27</v>
      </c>
      <c r="H28" s="5" t="str">
        <f>IFERROR(__xludf.DUMMYFUNCTION(" GOOGLETRANSLATE(B28, ""en"", ""am"")"),"በ20ኛው ክፍለ ዘመን በሲዳማ ስፖርት እድገት ላይ ተጽእኖ ያሳደረ የትኛው ታሪካዊ ክስተት ነው?")</f>
        <v>በ20ኛው ክፍለ ዘመን በሲዳማ ስፖርት እድገት ላይ ተጽእኖ ያሳደረ የትኛው ታሪካዊ ክስተት ነው?</v>
      </c>
      <c r="I28" s="5" t="str">
        <f>IFERROR(__xludf.DUMMYFUNCTION(" GOOGLETRANSLATE(C28, ""en"", ""am"")"),"ሀ. ሁለተኛው የዓለም ጦርነት ለ. የዜጎች መብት ንቅናቄ ሐ. የኢትዮጵያ ሪፐብሊክ መመስረት መ. የኢትዮጵያ ሪፐብሊክ መመስረት")</f>
        <v>ሀ. ሁለተኛው የዓለም ጦርነት ለ. የዜጎች መብት ንቅናቄ ሐ. የኢትዮጵያ ሪፐብሊክ መመስረት መ. የኢትዮጵያ ሪፐብሊክ መመስረት</v>
      </c>
      <c r="J28" s="5" t="str">
        <f>IFERROR(__xludf.DUMMYFUNCTION(" GOOGLETRANSLATE(D28, ""en"", ""am"")"),"የኢትዮጵያ ሪፐብሊክ መመስረት")</f>
        <v>የኢትዮጵያ ሪፐብሊክ መመስረት</v>
      </c>
      <c r="K28" s="5" t="str">
        <f>IFERROR(__xludf.DUMMYFUNCTION(" GOOGLETRANSLATE(E28, ""en"", ""am"")"),"የኢትዮጵያ ሪፐብሊክ በ20ኛው ክፍለ ዘመን አጋማሽ መመስረቱ ለአገር ውስጥ ስፖርት ኩራትና መደጋገፍ አግዟል።")</f>
        <v>የኢትዮጵያ ሪፐብሊክ በ20ኛው ክፍለ ዘመን አጋማሽ መመስረቱ ለአገር ውስጥ ስፖርት ኩራትና መደጋገፍ አግዟል።</v>
      </c>
    </row>
    <row r="29" ht="22.5" customHeight="1">
      <c r="A29" s="3">
        <v>28.0</v>
      </c>
      <c r="B29" s="4" t="s">
        <v>2551</v>
      </c>
      <c r="C29" s="4" t="s">
        <v>2552</v>
      </c>
      <c r="D29" s="4" t="s">
        <v>2553</v>
      </c>
      <c r="E29" s="4" t="s">
        <v>2554</v>
      </c>
      <c r="G29" s="5" t="str">
        <f>IFERROR(__xludf.DUMMYFUNCTION(" GOOGLETRANSLATE(A29, ""en"", ""am"")"),"28")</f>
        <v>28</v>
      </c>
      <c r="H29" s="5" t="str">
        <f>IFERROR(__xludf.DUMMYFUNCTION(" GOOGLETRANSLATE(B29, ""en"", ""am"")"),"በ2005 የትኛው የሲዳማ ስፖርት ውድድር ተጀመረ?")</f>
        <v>በ2005 የትኛው የሲዳማ ስፖርት ውድድር ተጀመረ?</v>
      </c>
      <c r="I29" s="5" t="str">
        <f>IFERROR(__xludf.DUMMYFUNCTION(" GOOGLETRANSLATE(C29, ""en"", ""am"")"),"አ. የሲዳማ ክላሲክ ለ. የሲዳማ ግብዣ ሐ. የሲዳማ ዓለም ውድድር ዲ. የሲዳማ ክፍት ሻምፒዮና")</f>
        <v>አ. የሲዳማ ክላሲክ ለ. የሲዳማ ግብዣ ሐ. የሲዳማ ዓለም ውድድር ዲ. የሲዳማ ክፍት ሻምፒዮና</v>
      </c>
      <c r="J29" s="5" t="str">
        <f>IFERROR(__xludf.DUMMYFUNCTION(" GOOGLETRANSLATE(D29, ""en"", ""am"")"),"የሲዳማ ክፍት ሻምፒዮና")</f>
        <v>የሲዳማ ክፍት ሻምፒዮና</v>
      </c>
      <c r="K29" s="5" t="str">
        <f>IFERROR(__xludf.DUMMYFUNCTION(" GOOGLETRANSLATE(E29, ""en"", ""am"")"),"የሲዳማ ክፍት ሻምፒዮና በ2005 ተጀመረ።ይህም ለአለም አቀፍ አትሌቶች መድረክ ፈጥሯል።")</f>
        <v>የሲዳማ ክፍት ሻምፒዮና በ2005 ተጀመረ።ይህም ለአለም አቀፍ አትሌቶች መድረክ ፈጥሯል።</v>
      </c>
    </row>
    <row r="30" ht="22.5" customHeight="1">
      <c r="A30" s="3">
        <v>29.0</v>
      </c>
      <c r="B30" s="4" t="s">
        <v>2555</v>
      </c>
      <c r="C30" s="4" t="s">
        <v>2556</v>
      </c>
      <c r="D30" s="4" t="s">
        <v>2557</v>
      </c>
      <c r="E30" s="4" t="s">
        <v>2557</v>
      </c>
      <c r="G30" s="5" t="str">
        <f>IFERROR(__xludf.DUMMYFUNCTION(" GOOGLETRANSLATE(A30, ""en"", ""am"")"),"29")</f>
        <v>29</v>
      </c>
      <c r="H30" s="5" t="str">
        <f>IFERROR(__xludf.DUMMYFUNCTION(" GOOGLETRANSLATE(B30, ""en"", ""am"")"),"በ2008 የአለም ጨዋታዎች ስንት የሲዳማ ስፖርተኞች ተሳትፈዋል?")</f>
        <v>በ2008 የአለም ጨዋታዎች ስንት የሲዳማ ስፖርተኞች ተሳትፈዋል?</v>
      </c>
      <c r="I30" s="5" t="str">
        <f>IFERROR(__xludf.DUMMYFUNCTION(" GOOGLETRANSLATE(C30, ""en"", ""am"")"),"አ. 12 ለ. 8 ሐ. 15 ዲ. 12")</f>
        <v>አ. 12 ለ. 8 ሐ. 15 ዲ. 12</v>
      </c>
      <c r="J30" s="5" t="str">
        <f>IFERROR(__xludf.DUMMYFUNCTION(" GOOGLETRANSLATE(D30, ""en"", ""am"")"),"12")</f>
        <v>12</v>
      </c>
      <c r="K30" s="5" t="str">
        <f>IFERROR(__xludf.DUMMYFUNCTION(" GOOGLETRANSLATE(E30, ""en"", ""am"")"),"12")</f>
        <v>12</v>
      </c>
    </row>
    <row r="31" ht="22.5" customHeight="1">
      <c r="A31" s="3">
        <v>30.0</v>
      </c>
      <c r="B31" s="4" t="s">
        <v>2558</v>
      </c>
      <c r="C31" s="4" t="s">
        <v>2559</v>
      </c>
      <c r="D31" s="4" t="s">
        <v>2560</v>
      </c>
      <c r="E31" s="4" t="s">
        <v>2561</v>
      </c>
      <c r="G31" s="5" t="str">
        <f>IFERROR(__xludf.DUMMYFUNCTION(" GOOGLETRANSLATE(A31, ""en"", ""am"")"),"30")</f>
        <v>30</v>
      </c>
      <c r="H31" s="5" t="str">
        <f>IFERROR(__xludf.DUMMYFUNCTION(" GOOGLETRANSLATE(B31, ""en"", ""am"")"),"በዩኔስኮ የመጀመርያው የሲዳማ ስፖርት ባህል ምን ነበር?")</f>
        <v>በዩኔስኮ የመጀመርያው የሲዳማ ስፖርት ባህል ምን ነበር?</v>
      </c>
      <c r="I31" s="5" t="str">
        <f>IFERROR(__xludf.DUMMYFUNCTION(" GOOGLETRANSLATE(C31, ""en"", ""am"")"),"አ.ሲዳማ የሩጫ ውድድር ለ.ሲዳማ ቀስት ቀስት ሐ.ሲዳማ እግር ኳስ ዲ.ሲዳማ ትግል")</f>
        <v>አ.ሲዳማ የሩጫ ውድድር ለ.ሲዳማ ቀስት ቀስት ሐ.ሲዳማ እግር ኳስ ዲ.ሲዳማ ትግል</v>
      </c>
      <c r="J31" s="5" t="str">
        <f>IFERROR(__xludf.DUMMYFUNCTION(" GOOGLETRANSLATE(D31, ""en"", ""am"")"),"የሲዳማ ትግል")</f>
        <v>የሲዳማ ትግል</v>
      </c>
      <c r="K31" s="5" t="str">
        <f>IFERROR(__xludf.DUMMYFUNCTION(" GOOGLETRANSLATE(E31, ""en"", ""am"")"),"የሲዳማ ትግል በባህላዊ ፋይዳው በዩኔስኮ እውቅና ያገኘ የመጀመሪያው ባህል ነው።")</f>
        <v>የሲዳማ ትግል በባህላዊ ፋይዳው በዩኔስኮ እውቅና ያገኘ የመጀመሪያው ባህል ነው።</v>
      </c>
    </row>
    <row r="32" ht="22.5" customHeight="1">
      <c r="A32" s="3">
        <v>31.0</v>
      </c>
      <c r="B32" s="4" t="s">
        <v>2562</v>
      </c>
      <c r="C32" s="4" t="s">
        <v>2563</v>
      </c>
      <c r="D32" s="4" t="s">
        <v>2564</v>
      </c>
      <c r="E32" s="4" t="s">
        <v>2565</v>
      </c>
      <c r="G32" s="5" t="str">
        <f>IFERROR(__xludf.DUMMYFUNCTION(" GOOGLETRANSLATE(A32, ""en"", ""am"")"),"31")</f>
        <v>31</v>
      </c>
      <c r="H32" s="5" t="str">
        <f>IFERROR(__xludf.DUMMYFUNCTION(" GOOGLETRANSLATE(B32, ""en"", ""am"")"),"ሲዳማ ቡና በየትኛው ዘመን ስፖርትን በፕሮፌሽናል ደረጃ ያስተዋወቀው?")</f>
        <v>ሲዳማ ቡና በየትኛው ዘመን ስፖርትን በፕሮፌሽናል ደረጃ ያስተዋወቀው?</v>
      </c>
      <c r="I32" s="5" t="str">
        <f>IFERROR(__xludf.DUMMYFUNCTION(" GOOGLETRANSLATE(C32, ""en"", ""am"")"),"ሀ. በ 2000 ዎቹ መጀመሪያ ለ. በ 2000 ዎቹ መጨረሻ C. 2010 ዎቹ መ. በ 2000 ዎቹ መጀመሪያ ላይ")</f>
        <v>ሀ. በ 2000 ዎቹ መጀመሪያ ለ. በ 2000 ዎቹ መጨረሻ C. 2010 ዎቹ መ. በ 2000 ዎቹ መጀመሪያ ላይ</v>
      </c>
      <c r="J32" s="5" t="str">
        <f>IFERROR(__xludf.DUMMYFUNCTION(" GOOGLETRANSLATE(D32, ""en"", ""am"")"),"በ 2000 ዎቹ መጀመሪያ ላይ")</f>
        <v>በ 2000 ዎቹ መጀመሪያ ላይ</v>
      </c>
      <c r="K32" s="5" t="str">
        <f>IFERROR(__xludf.DUMMYFUNCTION(" GOOGLETRANSLATE(E32, ""en"", ""am"")"),"በ2000ዎቹ መጀመሪያ ላይ የሲዳማ ስፖርት ፕሮፌሽናል በመሆን ስፖንሰርሺፕ እና ውድድር እንዲጨምር አድርጓል።")</f>
        <v>በ2000ዎቹ መጀመሪያ ላይ የሲዳማ ስፖርት ፕሮፌሽናል በመሆን ስፖንሰርሺፕ እና ውድድር እንዲጨምር አድርጓል።</v>
      </c>
    </row>
    <row r="33" ht="22.5" customHeight="1">
      <c r="A33" s="3">
        <v>32.0</v>
      </c>
      <c r="B33" s="4" t="s">
        <v>2566</v>
      </c>
      <c r="C33" s="4" t="s">
        <v>2567</v>
      </c>
      <c r="D33" s="4" t="s">
        <v>2568</v>
      </c>
      <c r="E33" s="4" t="s">
        <v>2569</v>
      </c>
      <c r="G33" s="5" t="str">
        <f>IFERROR(__xludf.DUMMYFUNCTION(" GOOGLETRANSLATE(A33, ""en"", ""am"")"),"32")</f>
        <v>32</v>
      </c>
      <c r="H33" s="5" t="str">
        <f>IFERROR(__xludf.DUMMYFUNCTION(" GOOGLETRANSLATE(B33, ""en"", ""am"")"),"በ1990ዎቹ በሲዳማ ስፖርት ምን ትልቅ እድገት ተከሰተ?")</f>
        <v>በ1990ዎቹ በሲዳማ ስፖርት ምን ትልቅ እድገት ተከሰተ?</v>
      </c>
      <c r="I33" s="5" t="str">
        <f>IFERROR(__xludf.DUMMYFUNCTION(" GOOGLETRANSLATE(C33, ""en"", ""am"")"),"ሀ. የመንግስት ስፖንሰርሺፕ ለ. ትምህርት ቤቶች መስፋፋት ሐ. ዓለም አቀፍ ትብብር መ. የሴቶች ውድድር መግባት")</f>
        <v>ሀ. የመንግስት ስፖንሰርሺፕ ለ. ትምህርት ቤቶች መስፋፋት ሐ. ዓለም አቀፍ ትብብር መ. የሴቶች ውድድር መግባት</v>
      </c>
      <c r="J33" s="5" t="str">
        <f>IFERROR(__xludf.DUMMYFUNCTION(" GOOGLETRANSLATE(D33, ""en"", ""am"")"),"የሴቶች ውድድር መግቢያ")</f>
        <v>የሴቶች ውድድር መግቢያ</v>
      </c>
      <c r="K33" s="5" t="str">
        <f>IFERROR(__xludf.DUMMYFUNCTION(" GOOGLETRANSLATE(E33, ""en"", ""am"")"),"በ1990ዎቹ የሴቶች ውድድር በሲዳማ ስፖርት ሲጀመር እኩል እድሎችን መፍጠር ችሏል።")</f>
        <v>በ1990ዎቹ የሴቶች ውድድር በሲዳማ ስፖርት ሲጀመር እኩል እድሎችን መፍጠር ችሏል።</v>
      </c>
    </row>
    <row r="34" ht="22.5" customHeight="1">
      <c r="A34" s="3">
        <v>33.0</v>
      </c>
      <c r="B34" s="4" t="s">
        <v>2570</v>
      </c>
      <c r="C34" s="4" t="s">
        <v>2571</v>
      </c>
      <c r="D34" s="4" t="s">
        <v>2572</v>
      </c>
      <c r="E34" s="4" t="s">
        <v>2573</v>
      </c>
      <c r="G34" s="5" t="str">
        <f>IFERROR(__xludf.DUMMYFUNCTION(" GOOGLETRANSLATE(A34, ""en"", ""am"")"),"33")</f>
        <v>33</v>
      </c>
      <c r="H34" s="5" t="str">
        <f>IFERROR(__xludf.DUMMYFUNCTION(" GOOGLETRANSLATE(B34, ""en"", ""am"")"),"በ2004 የሲዳማ ቡና ጨዋታ በስፖርቱ ታሪክ ውስጥ ምን ሚና ተጫውቷል?")</f>
        <v>በ2004 የሲዳማ ቡና ጨዋታ በስፖርቱ ታሪክ ውስጥ ምን ሚና ተጫውቷል?</v>
      </c>
      <c r="I34" s="5" t="str">
        <f>IFERROR(__xludf.DUMMYFUNCTION(" GOOGLETRANSLATE(C34, ""en"", ""am"")"),"ሀ. ዓለም አቀፍ ተሳትፎ አሳይቷል። ለ. በቴሌቪዥን የተላለፈ የመጀመሪያው ውድድር ነበር። ሐ. አዲስ የስፖርት ምድብ አስተዋወቀ D. ዓለም አቀፍ ተሳትፎ አሳይቷል።")</f>
        <v>ሀ. ዓለም አቀፍ ተሳትፎ አሳይቷል። ለ. በቴሌቪዥን የተላለፈ የመጀመሪያው ውድድር ነበር። ሐ. አዲስ የስፖርት ምድብ አስተዋወቀ D. ዓለም አቀፍ ተሳትፎ አሳይቷል።</v>
      </c>
      <c r="J34" s="5" t="str">
        <f>IFERROR(__xludf.DUMMYFUNCTION(" GOOGLETRANSLATE(D34, ""en"", ""am"")"),"ዓለም አቀፍ ተሳትፎ አሳይቷል።")</f>
        <v>ዓለም አቀፍ ተሳትፎ አሳይቷል።</v>
      </c>
      <c r="K34" s="5" t="str">
        <f>IFERROR(__xludf.DUMMYFUNCTION(" GOOGLETRANSLATE(E34, ""en"", ""am"")"),"የ2004 የሲዳማ ጨዋታዎች አለም አቀፍ ተሳታፊዎችን በመሳብ እና የስፖርቱን አለም አቀፍ ተሳትፎ በማሳደግ ተጠቃሾች ናቸው።")</f>
        <v>የ2004 የሲዳማ ጨዋታዎች አለም አቀፍ ተሳታፊዎችን በመሳብ እና የስፖርቱን አለም አቀፍ ተሳትፎ በማሳደግ ተጠቃሾች ናቸው።</v>
      </c>
    </row>
    <row r="35" ht="22.5" customHeight="1">
      <c r="A35" s="3">
        <v>34.0</v>
      </c>
      <c r="B35" s="4" t="s">
        <v>2574</v>
      </c>
      <c r="C35" s="4" t="s">
        <v>2575</v>
      </c>
      <c r="D35" s="4" t="s">
        <v>2576</v>
      </c>
      <c r="E35" s="4" t="s">
        <v>2577</v>
      </c>
      <c r="G35" s="5" t="str">
        <f>IFERROR(__xludf.DUMMYFUNCTION(" GOOGLETRANSLATE(A35, ""en"", ""am"")"),"34")</f>
        <v>34</v>
      </c>
      <c r="H35" s="5" t="str">
        <f>IFERROR(__xludf.DUMMYFUNCTION(" GOOGLETRANSLATE(B35, ""en"", ""am"")"),"በአለም አቀፍ ደረጃ ታዋቂነትን ያተረፈ የመጀመሪያው የሲዳማ ስፖርት አሰልጣኝ ማን ነው?")</f>
        <v>በአለም አቀፍ ደረጃ ታዋቂነትን ያተረፈ የመጀመሪያው የሲዳማ ስፖርት አሰልጣኝ ማን ነው?</v>
      </c>
      <c r="I35" s="5" t="str">
        <f>IFERROR(__xludf.DUMMYFUNCTION(" GOOGLETRANSLATE(C35, ""en"", ""am"")"),"አ. ሱሌይማን ፀጋዬ ብ አብዲ ፋራህ ሲ. ሙሀመድ ኢብራሂም ዲ. መሀመድ ጉሌይድ")</f>
        <v>አ. ሱሌይማን ፀጋዬ ብ አብዲ ፋራህ ሲ. ሙሀመድ ኢብራሂም ዲ. መሀመድ ጉሌይድ</v>
      </c>
      <c r="J35" s="5" t="str">
        <f>IFERROR(__xludf.DUMMYFUNCTION(" GOOGLETRANSLATE(D35, ""en"", ""am"")"),"መሀመድ ጉሌይድ")</f>
        <v>መሀመድ ጉሌይድ</v>
      </c>
      <c r="K35" s="5" t="str">
        <f>IFERROR(__xludf.DUMMYFUNCTION(" GOOGLETRANSLATE(E35, ""en"", ""am"")"),"መሀመድ ጉሌይድ በስልጠና ዘዴው አለም አቀፍ ዝናን ያተረፈ የመጀመሪያው የሲዳማ ስፖርት አሰልጣኝ ነው።")</f>
        <v>መሀመድ ጉሌይድ በስልጠና ዘዴው አለም አቀፍ ዝናን ያተረፈ የመጀመሪያው የሲዳማ ስፖርት አሰልጣኝ ነው።</v>
      </c>
    </row>
    <row r="36" ht="22.5" customHeight="1">
      <c r="A36" s="3">
        <v>35.0</v>
      </c>
      <c r="B36" s="4" t="s">
        <v>2578</v>
      </c>
      <c r="C36" s="4" t="s">
        <v>2579</v>
      </c>
      <c r="D36" s="4" t="s">
        <v>1438</v>
      </c>
      <c r="E36" s="4" t="s">
        <v>2580</v>
      </c>
      <c r="G36" s="5" t="str">
        <f>IFERROR(__xludf.DUMMYFUNCTION(" GOOGLETRANSLATE(A36, ""en"", ""am"")"),"35")</f>
        <v>35</v>
      </c>
      <c r="H36" s="5" t="str">
        <f>IFERROR(__xludf.DUMMYFUNCTION(" GOOGLETRANSLATE(B36, ""en"", ""am"")"),"በ2010 የሲዳማ አለም ዋንጫ የወርቅ ሜዳሊያ ያስገኘው የትኛው የሲዳማ አትሌት ነው?")</f>
        <v>በ2010 የሲዳማ አለም ዋንጫ የወርቅ ሜዳሊያ ያስገኘው የትኛው የሲዳማ አትሌት ነው?</v>
      </c>
      <c r="I36" s="5" t="str">
        <f>IFERROR(__xludf.DUMMYFUNCTION(" GOOGLETRANSLATE(C36, ""en"", ""am"")"),"ሀ. ጠፍቷል። B. Tsegaye Berhanu C. Abdi Abdulqader D. Jamal Ali")</f>
        <v>ሀ. ጠፍቷል። B. Tsegaye Berhanu C. Abdi Abdulqader D. Jamal Ali</v>
      </c>
      <c r="J36" s="5" t="str">
        <f>IFERROR(__xludf.DUMMYFUNCTION(" GOOGLETRANSLATE(D36, ""en"", ""am"")"),"ጀማል አሊ")</f>
        <v>ጀማል አሊ</v>
      </c>
      <c r="K36" s="5" t="str">
        <f>IFERROR(__xludf.DUMMYFUNCTION(" GOOGLETRANSLATE(E36, ""en"", ""am"")"),"ጀማል አሊ በ2010 የሲዳማ ዋንጫ የወርቅ ሜዳሊያ በማሸነፍ ሪከርድ አስመዝግቧል።")</f>
        <v>ጀማል አሊ በ2010 የሲዳማ ዋንጫ የወርቅ ሜዳሊያ በማሸነፍ ሪከርድ አስመዝግቧል።</v>
      </c>
    </row>
    <row r="37" ht="22.5" customHeight="1">
      <c r="A37" s="3">
        <v>36.0</v>
      </c>
      <c r="B37" s="4" t="s">
        <v>2581</v>
      </c>
      <c r="C37" s="4" t="s">
        <v>2582</v>
      </c>
      <c r="D37" s="4" t="s">
        <v>2335</v>
      </c>
      <c r="E37" s="4" t="s">
        <v>2335</v>
      </c>
      <c r="G37" s="5" t="str">
        <f>IFERROR(__xludf.DUMMYFUNCTION(" GOOGLETRANSLATE(A37, ""en"", ""am"")"),"36")</f>
        <v>36</v>
      </c>
      <c r="H37" s="5" t="str">
        <f>IFERROR(__xludf.DUMMYFUNCTION(" GOOGLETRANSLATE(B37, ""en"", ""am"")"),"ሲዳማ ስፖርት በአፍሪካ ጨዋታዎች ይፋዊ ዝግጅት የሆነው በየትኛው አመት ነው?")</f>
        <v>ሲዳማ ስፖርት በአፍሪካ ጨዋታዎች ይፋዊ ዝግጅት የሆነው በየትኛው አመት ነው?</v>
      </c>
      <c r="I37" s="5" t="str">
        <f>IFERROR(__xludf.DUMMYFUNCTION(" GOOGLETRANSLATE(C37, ""en"", ""am"")"),"ኣብ 2013 ብ 2015 ሲ. 2017 ዲ. 2015 ዓ.ም.")</f>
        <v>ኣብ 2013 ብ 2015 ሲ. 2017 ዲ. 2015 ዓ.ም.</v>
      </c>
      <c r="J37" s="5" t="str">
        <f>IFERROR(__xludf.DUMMYFUNCTION(" GOOGLETRANSLATE(D37, ""en"", ""am"")"),"2015")</f>
        <v>2015</v>
      </c>
      <c r="K37" s="5" t="str">
        <f>IFERROR(__xludf.DUMMYFUNCTION(" GOOGLETRANSLATE(E37, ""en"", ""am"")"),"2015")</f>
        <v>2015</v>
      </c>
    </row>
    <row r="38" ht="22.5" customHeight="1">
      <c r="A38" s="3">
        <v>37.0</v>
      </c>
      <c r="B38" s="4" t="s">
        <v>2583</v>
      </c>
      <c r="C38" s="4" t="s">
        <v>2584</v>
      </c>
      <c r="D38" s="4" t="s">
        <v>2585</v>
      </c>
      <c r="E38" s="4" t="s">
        <v>2586</v>
      </c>
      <c r="G38" s="5" t="str">
        <f>IFERROR(__xludf.DUMMYFUNCTION(" GOOGLETRANSLATE(A38, ""en"", ""am"")"),"37")</f>
        <v>37</v>
      </c>
      <c r="H38" s="5" t="str">
        <f>IFERROR(__xludf.DUMMYFUNCTION(" GOOGLETRANSLATE(B38, ""en"", ""am"")"),"ለ1990ዎቹ የሲዳማ ስፖርት እድገት ዋና ምክንያት ምን ነበር?")</f>
        <v>ለ1990ዎቹ የሲዳማ ስፖርት እድገት ዋና ምክንያት ምን ነበር?</v>
      </c>
      <c r="I38" s="5" t="str">
        <f>IFERROR(__xludf.DUMMYFUNCTION(" GOOGLETRANSLATE(C38, ""en"", ""am"")"),"ሀ. የባህል መነሳሳት ለ. የሚዲያ ሽፋን ሐ. ዓለም አቀፍ ግንኙነት መ. የመንግስት ድጋፍ")</f>
        <v>ሀ. የባህል መነሳሳት ለ. የሚዲያ ሽፋን ሐ. ዓለም አቀፍ ግንኙነት መ. የመንግስት ድጋፍ</v>
      </c>
      <c r="J38" s="5" t="str">
        <f>IFERROR(__xludf.DUMMYFUNCTION(" GOOGLETRANSLATE(D38, ""en"", ""am"")"),"የመንግስት ድጋፍ")</f>
        <v>የመንግስት ድጋፍ</v>
      </c>
      <c r="K38" s="5" t="str">
        <f>IFERROR(__xludf.DUMMYFUNCTION(" GOOGLETRANSLATE(E38, ""en"", ""am"")"),"በ1990ዎቹ በሲዳማ ስፖርት እድገት ውስጥ የመንግስት ድጋፍ ትልቅ ሚና ተጫውቷል።")</f>
        <v>በ1990ዎቹ በሲዳማ ስፖርት እድገት ውስጥ የመንግስት ድጋፍ ትልቅ ሚና ተጫውቷል።</v>
      </c>
    </row>
    <row r="39" ht="22.5" customHeight="1">
      <c r="A39" s="3">
        <v>38.0</v>
      </c>
      <c r="B39" s="4" t="s">
        <v>2587</v>
      </c>
      <c r="C39" s="4" t="s">
        <v>2588</v>
      </c>
      <c r="D39" s="4" t="s">
        <v>2589</v>
      </c>
      <c r="E39" s="4" t="s">
        <v>2590</v>
      </c>
      <c r="G39" s="5" t="str">
        <f>IFERROR(__xludf.DUMMYFUNCTION(" GOOGLETRANSLATE(A39, ""en"", ""am"")"),"38")</f>
        <v>38</v>
      </c>
      <c r="H39" s="5" t="str">
        <f>IFERROR(__xludf.DUMMYFUNCTION(" GOOGLETRANSLATE(B39, ""en"", ""am"")"),"በ1999 የተቋቋመው የትኛው የሲዳማ ውድድር ነው?")</f>
        <v>በ1999 የተቋቋመው የትኛው የሲዳማ ውድድር ነው?</v>
      </c>
      <c r="I39" s="5" t="str">
        <f>IFERROR(__xludf.DUMMYFUNCTION(" GOOGLETRANSLATE(C39, ""en"", ""am"")"),"አ.ሲዳማ ክላሲክ ለ.ሲዳማ የአለም ዋንጫ ሐ.ሲዳማ የክረምት ጨዋታዎች ዲ.ሲዳማ ስፖርት ፌስቲቫል")</f>
        <v>አ.ሲዳማ ክላሲክ ለ.ሲዳማ የአለም ዋንጫ ሐ.ሲዳማ የክረምት ጨዋታዎች ዲ.ሲዳማ ስፖርት ፌስቲቫል</v>
      </c>
      <c r="J39" s="5" t="str">
        <f>IFERROR(__xludf.DUMMYFUNCTION(" GOOGLETRANSLATE(D39, ""en"", ""am"")"),"የሲዳማ ስፖርት ፌስቲቫል")</f>
        <v>የሲዳማ ስፖርት ፌስቲቫል</v>
      </c>
      <c r="K39" s="5" t="str">
        <f>IFERROR(__xludf.DUMMYFUNCTION(" GOOGLETRANSLATE(E39, ""en"", ""am"")"),"በ1999 የተመሰረተው የሲዳማ ስፖርት ፌስቲቫል በሲዳማ ስፖርት ቀዳሚ ውድድር ሆነ።")</f>
        <v>በ1999 የተመሰረተው የሲዳማ ስፖርት ፌስቲቫል በሲዳማ ስፖርት ቀዳሚ ውድድር ሆነ።</v>
      </c>
    </row>
    <row r="40" ht="22.5" customHeight="1">
      <c r="A40" s="3">
        <v>39.0</v>
      </c>
      <c r="B40" s="4" t="s">
        <v>2591</v>
      </c>
      <c r="C40" s="4" t="s">
        <v>2592</v>
      </c>
      <c r="D40" s="4" t="s">
        <v>2593</v>
      </c>
      <c r="E40" s="4" t="s">
        <v>2594</v>
      </c>
      <c r="G40" s="5" t="str">
        <f>IFERROR(__xludf.DUMMYFUNCTION(" GOOGLETRANSLATE(A40, ""en"", ""am"")"),"39")</f>
        <v>39</v>
      </c>
      <c r="H40" s="5" t="str">
        <f>IFERROR(__xludf.DUMMYFUNCTION(" GOOGLETRANSLATE(B40, ""en"", ""am"")"),"የ2014 የሲዳማ ሻምፒዮና በስፖርቱ ላይ ምን አይነት ተፅዕኖ አሳድሯል?")</f>
        <v>የ2014 የሲዳማ ሻምፒዮና በስፖርቱ ላይ ምን አይነት ተፅዕኖ አሳድሯል?</v>
      </c>
      <c r="I40" s="5" t="str">
        <f>IFERROR(__xludf.DUMMYFUNCTION(" GOOGLETRANSLATE(C40, ""en"", ""am"")"),"ሀ. የአዳዲስ ስፖርት መግቢያ ለ. የሚዲያ ሽፋን ጨምሯል። ሐ. የወጣቶች ምድቦች መግቢያ መ. ዓለም አቀፍ እውቅና ጨምሯል")</f>
        <v>ሀ. የአዳዲስ ስፖርት መግቢያ ለ. የሚዲያ ሽፋን ጨምሯል። ሐ. የወጣቶች ምድቦች መግቢያ መ. ዓለም አቀፍ እውቅና ጨምሯል</v>
      </c>
      <c r="J40" s="5" t="str">
        <f>IFERROR(__xludf.DUMMYFUNCTION(" GOOGLETRANSLATE(D40, ""en"", ""am"")"),"ዓለም አቀፍ እውቅና ጨምሯል")</f>
        <v>ዓለም አቀፍ እውቅና ጨምሯል</v>
      </c>
      <c r="K40" s="5" t="str">
        <f>IFERROR(__xludf.DUMMYFUNCTION(" GOOGLETRANSLATE(E40, ""en"", ""am"")"),"የ2014 የሲዳማ ሻምፒዮና ለሲዳማ ስፖርት አለም አቀፍ እውቅና ሰጠ።")</f>
        <v>የ2014 የሲዳማ ሻምፒዮና ለሲዳማ ስፖርት አለም አቀፍ እውቅና ሰጠ።</v>
      </c>
    </row>
    <row r="41" ht="22.5" customHeight="1">
      <c r="A41" s="3">
        <v>40.0</v>
      </c>
      <c r="B41" s="4" t="s">
        <v>2595</v>
      </c>
      <c r="C41" s="4" t="s">
        <v>2506</v>
      </c>
      <c r="D41" s="4" t="s">
        <v>2507</v>
      </c>
      <c r="E41" s="4" t="s">
        <v>2596</v>
      </c>
      <c r="G41" s="5" t="str">
        <f>IFERROR(__xludf.DUMMYFUNCTION(" GOOGLETRANSLATE(A41, ""en"", ""am"")"),"40")</f>
        <v>40</v>
      </c>
      <c r="H41" s="5" t="str">
        <f>IFERROR(__xludf.DUMMYFUNCTION(" GOOGLETRANSLATE(B41, ""en"", ""am"")"),"የመጀመሪያውን የሲዳማ አለም አቀፍ ጨዋታዎች ያስተናገደው ከተማ የትኛው ነው?")</f>
        <v>የመጀመሪያውን የሲዳማ አለም አቀፍ ጨዋታዎች ያስተናገደው ከተማ የትኛው ነው?</v>
      </c>
      <c r="I41" s="5" t="str">
        <f>IFERROR(__xludf.DUMMYFUNCTION(" GOOGLETRANSLATE(C41, ""en"", ""am"")"),"አ.አዲስ አበባ ብ.መቀሌ ሐ.ጎንደር ዲ.ሐዋሳ")</f>
        <v>አ.አዲስ አበባ ብ.መቀሌ ሐ.ጎንደር ዲ.ሐዋሳ</v>
      </c>
      <c r="J41" s="5" t="str">
        <f>IFERROR(__xludf.DUMMYFUNCTION(" GOOGLETRANSLATE(D41, ""en"", ""am"")"),"ሀዋሳ")</f>
        <v>ሀዋሳ</v>
      </c>
      <c r="K41" s="5" t="str">
        <f>IFERROR(__xludf.DUMMYFUNCTION(" GOOGLETRANSLATE(E41, ""en"", ""am"")"),"ሀዋሳ ከተማ የመጀመሪያውን የሲዳማ አለም አቀፍ ጨዋታዎችን በማዘጋጀት ለስፖርቱ አዲስ ምዕራፍ ከፍቷል።")</f>
        <v>ሀዋሳ ከተማ የመጀመሪያውን የሲዳማ አለም አቀፍ ጨዋታዎችን በማዘጋጀት ለስፖርቱ አዲስ ምዕራፍ ከፍቷል።</v>
      </c>
    </row>
    <row r="42" ht="22.5" customHeight="1">
      <c r="A42" s="3">
        <v>41.0</v>
      </c>
      <c r="B42" s="4" t="s">
        <v>2597</v>
      </c>
      <c r="C42" s="4" t="s">
        <v>2598</v>
      </c>
      <c r="D42" s="4" t="s">
        <v>2599</v>
      </c>
      <c r="E42" s="4" t="s">
        <v>2600</v>
      </c>
      <c r="G42" s="5" t="str">
        <f>IFERROR(__xludf.DUMMYFUNCTION(" GOOGLETRANSLATE(A42, ""en"", ""am"")"),"41")</f>
        <v>41</v>
      </c>
      <c r="H42" s="5" t="str">
        <f>IFERROR(__xludf.DUMMYFUNCTION(" GOOGLETRANSLATE(B42, ""en"", ""am"")"),"በሲዳማ ስፖርት ባህሉ ምን ይመስላል?")</f>
        <v>በሲዳማ ስፖርት ባህሉ ምን ይመስላል?</v>
      </c>
      <c r="I42" s="5" t="str">
        <f>IFERROR(__xludf.DUMMYFUNCTION(" GOOGLETRANSLATE(C42, ""en"", ""am"")"),"ሀ. የተዋጊ አጀማመር ሥነ ሥርዓቶች ለ. የቤተሰብ ትስስር ሐ. የሃይማኖታዊ ሥርዓቶች ጸሎቶች መ. የመኸር ወቅትን ማክበር")</f>
        <v>ሀ. የተዋጊ አጀማመር ሥነ ሥርዓቶች ለ. የቤተሰብ ትስስር ሐ. የሃይማኖታዊ ሥርዓቶች ጸሎቶች መ. የመኸር ወቅትን ማክበር</v>
      </c>
      <c r="J42" s="5" t="str">
        <f>IFERROR(__xludf.DUMMYFUNCTION(" GOOGLETRANSLATE(D42, ""en"", ""am"")"),"የመኸር ወቅትን ማክበር")</f>
        <v>የመኸር ወቅትን ማክበር</v>
      </c>
      <c r="K42" s="5" t="str">
        <f>IFERROR(__xludf.DUMMYFUNCTION(" GOOGLETRANSLATE(E42, ""en"", ""am"")"),"የሲዳማ ስፖርት የመኸር ወቅት አከባበር እና የማህበረሰብ አቀፍ ስብሰባዎች ላይ ስር የሰደደ ነው።")</f>
        <v>የሲዳማ ስፖርት የመኸር ወቅት አከባበር እና የማህበረሰብ አቀፍ ስብሰባዎች ላይ ስር የሰደደ ነው።</v>
      </c>
    </row>
    <row r="43" ht="22.5" customHeight="1">
      <c r="A43" s="3">
        <v>42.0</v>
      </c>
      <c r="B43" s="4" t="s">
        <v>2601</v>
      </c>
      <c r="C43" s="4" t="s">
        <v>2354</v>
      </c>
      <c r="D43" s="4" t="s">
        <v>724</v>
      </c>
      <c r="E43" s="4" t="s">
        <v>724</v>
      </c>
      <c r="G43" s="5" t="str">
        <f>IFERROR(__xludf.DUMMYFUNCTION(" GOOGLETRANSLATE(A43, ""en"", ""am"")"),"42")</f>
        <v>42</v>
      </c>
      <c r="H43" s="5" t="str">
        <f>IFERROR(__xludf.DUMMYFUNCTION(" GOOGLETRANSLATE(B43, ""en"", ""am"")"),"የሲዳማ ስፖርትስ የመጀመሪያውን ብሔራዊ ቡድን መቼ አስተዋወቀ?")</f>
        <v>የሲዳማ ስፖርትስ የመጀመሪያውን ብሔራዊ ቡድን መቼ አስተዋወቀ?</v>
      </c>
      <c r="I43" s="5" t="str">
        <f>IFERROR(__xludf.DUMMYFUNCTION(" GOOGLETRANSLATE(C43, ""en"", ""am"")"),"እ.ኤ.አ. 2000 ዓ.ም. 2010 ዓ.ም. 2015 ዲ. 2000")</f>
        <v>እ.ኤ.አ. 2000 ዓ.ም. 2010 ዓ.ም. 2015 ዲ. 2000</v>
      </c>
      <c r="J43" s="5" t="str">
        <f>IFERROR(__xludf.DUMMYFUNCTION(" GOOGLETRANSLATE(D43, ""en"", ""am"")"),"2000")</f>
        <v>2000</v>
      </c>
      <c r="K43" s="5" t="str">
        <f>IFERROR(__xludf.DUMMYFUNCTION(" GOOGLETRANSLATE(E43, ""en"", ""am"")"),"2000")</f>
        <v>2000</v>
      </c>
    </row>
    <row r="44" ht="22.5" customHeight="1">
      <c r="A44" s="3">
        <v>43.0</v>
      </c>
      <c r="B44" s="4" t="s">
        <v>2602</v>
      </c>
      <c r="C44" s="4" t="s">
        <v>2603</v>
      </c>
      <c r="D44" s="4" t="s">
        <v>2604</v>
      </c>
      <c r="E44" s="4" t="s">
        <v>2605</v>
      </c>
      <c r="G44" s="5" t="str">
        <f>IFERROR(__xludf.DUMMYFUNCTION(" GOOGLETRANSLATE(A44, ""en"", ""am"")"),"43")</f>
        <v>43</v>
      </c>
      <c r="H44" s="5" t="str">
        <f>IFERROR(__xludf.DUMMYFUNCTION(" GOOGLETRANSLATE(B44, ""en"", ""am"")"),"የትኛው የሲዳማ አትሌት ነው ወደ ዝና አዳራሽ የገባው?")</f>
        <v>የትኛው የሲዳማ አትሌት ነው ወደ ዝና አዳራሽ የገባው?</v>
      </c>
      <c r="I44" s="5" t="str">
        <f>IFERROR(__xludf.DUMMYFUNCTION(" GOOGLETRANSLATE(C44, ""en"", ""am"")"),"ጀማል ዘለቀ ብ በቀለ ዲዳ ሲ አብዲ አብዱልቃድር ዲ. ሙሀመድ ኢብራሂም")</f>
        <v>ጀማል ዘለቀ ብ በቀለ ዲዳ ሲ አብዲ አብዱልቃድር ዲ. ሙሀመድ ኢብራሂም</v>
      </c>
      <c r="J44" s="5" t="str">
        <f>IFERROR(__xludf.DUMMYFUNCTION(" GOOGLETRANSLATE(D44, ""en"", ""am"")"),"መሀመድ ኢብራሂም")</f>
        <v>መሀመድ ኢብራሂም</v>
      </c>
      <c r="K44" s="5" t="str">
        <f>IFERROR(__xludf.DUMMYFUNCTION(" GOOGLETRANSLATE(E44, ""en"", ""am"")"),"መሀመድ ኢብራሂም ይህንን ስኬት ያስመዘገበ የመጀመሪያው የሲዳማ አትሌት ነው።")</f>
        <v>መሀመድ ኢብራሂም ይህንን ስኬት ያስመዘገበ የመጀመሪያው የሲዳማ አትሌት ነው።</v>
      </c>
    </row>
    <row r="45" ht="22.5" customHeight="1">
      <c r="A45" s="3">
        <v>44.0</v>
      </c>
      <c r="B45" s="4" t="s">
        <v>2606</v>
      </c>
      <c r="C45" s="4" t="s">
        <v>2607</v>
      </c>
      <c r="D45" s="4" t="s">
        <v>2257</v>
      </c>
      <c r="E45" s="4" t="s">
        <v>2257</v>
      </c>
      <c r="G45" s="5" t="str">
        <f>IFERROR(__xludf.DUMMYFUNCTION(" GOOGLETRANSLATE(A45, ""en"", ""am"")"),"44")</f>
        <v>44</v>
      </c>
      <c r="H45" s="5" t="str">
        <f>IFERROR(__xludf.DUMMYFUNCTION(" GOOGLETRANSLATE(B45, ""en"", ""am"")"),"የሲዳማ ስፖርት ብሔራዊ እውቅና ለማግኘት ከኢትዮጵያ መንግስት ጋር መተባበር የጀመረው በየትኛው አመት ነው?")</f>
        <v>የሲዳማ ስፖርት ብሔራዊ እውቅና ለማግኘት ከኢትዮጵያ መንግስት ጋር መተባበር የጀመረው በየትኛው አመት ነው?</v>
      </c>
      <c r="I45" s="5" t="str">
        <f>IFERROR(__xludf.DUMMYFUNCTION(" GOOGLETRANSLATE(C45, ""en"", ""am"")"),"እ.ኤ.አ. 2005 ዓ.ም. 2010 ዓ.ም. 2015 ዲ. 2005 እ.ኤ.አ.")</f>
        <v>እ.ኤ.አ. 2005 ዓ.ም. 2010 ዓ.ም. 2015 ዲ. 2005 እ.ኤ.አ.</v>
      </c>
      <c r="J45" s="5" t="str">
        <f>IFERROR(__xludf.DUMMYFUNCTION(" GOOGLETRANSLATE(D45, ""en"", ""am"")"),"በ2005 ዓ.ም")</f>
        <v>በ2005 ዓ.ም</v>
      </c>
      <c r="K45" s="5" t="str">
        <f>IFERROR(__xludf.DUMMYFUNCTION(" GOOGLETRANSLATE(E45, ""en"", ""am"")"),"በ2005 ዓ.ም")</f>
        <v>በ2005 ዓ.ም</v>
      </c>
    </row>
    <row r="46" ht="22.5" customHeight="1">
      <c r="A46" s="3">
        <v>45.0</v>
      </c>
      <c r="B46" s="4" t="s">
        <v>2608</v>
      </c>
      <c r="C46" s="4" t="s">
        <v>2609</v>
      </c>
      <c r="D46" s="4" t="s">
        <v>2610</v>
      </c>
      <c r="E46" s="4" t="s">
        <v>2611</v>
      </c>
      <c r="G46" s="5" t="str">
        <f>IFERROR(__xludf.DUMMYFUNCTION(" GOOGLETRANSLATE(A46, ""en"", ""am"")"),"45")</f>
        <v>45</v>
      </c>
      <c r="H46" s="5" t="str">
        <f>IFERROR(__xludf.DUMMYFUNCTION(" GOOGLETRANSLATE(B46, ""en"", ""am"")"),"እ.ኤ.አ. በ 2020 ለሲዳማ ስፖርት ምን ትልቅ ምዕራፍ ተከሰተ?")</f>
        <v>እ.ኤ.አ. በ 2020 ለሲዳማ ስፖርት ምን ትልቅ ምዕራፍ ተከሰተ?</v>
      </c>
      <c r="I46" s="5" t="str">
        <f>IFERROR(__xludf.DUMMYFUNCTION(" GOOGLETRANSLATE(C46, ""en"", ""am"")"),"ሀ. በአፍሪካ ጨዋታዎች ውስጥ መካተት ለ. የምናባዊ ዝግጅቶች መግቢያ ሐ. የመጀመሪያው ዓለም አቀፍ ውድድር ተካሂዷል መ. በአፍሪካ ጨዋታዎች ማካተት")</f>
        <v>ሀ. በአፍሪካ ጨዋታዎች ውስጥ መካተት ለ. የምናባዊ ዝግጅቶች መግቢያ ሐ. የመጀመሪያው ዓለም አቀፍ ውድድር ተካሂዷል መ. በአፍሪካ ጨዋታዎች ማካተት</v>
      </c>
      <c r="J46" s="5" t="str">
        <f>IFERROR(__xludf.DUMMYFUNCTION(" GOOGLETRANSLATE(D46, ""en"", ""am"")"),"በአፍሪካ ጨዋታዎች ውስጥ መካተት")</f>
        <v>በአፍሪካ ጨዋታዎች ውስጥ መካተት</v>
      </c>
      <c r="K46" s="5" t="str">
        <f>IFERROR(__xludf.DUMMYFUNCTION(" GOOGLETRANSLATE(E46, ""en"", ""am"")"),"በ2020 የአፍሪካ ጨዋታዎች የሲዳማ ስፖርት በይፋ ተካቷል።")</f>
        <v>በ2020 የአፍሪካ ጨዋታዎች የሲዳማ ስፖርት በይፋ ተካቷል።</v>
      </c>
    </row>
    <row r="47" ht="22.5" customHeight="1">
      <c r="A47" s="3">
        <v>46.0</v>
      </c>
      <c r="B47" s="4" t="s">
        <v>2612</v>
      </c>
      <c r="C47" s="4" t="s">
        <v>2613</v>
      </c>
      <c r="D47" s="4" t="s">
        <v>2481</v>
      </c>
      <c r="E47" s="4" t="s">
        <v>2614</v>
      </c>
      <c r="G47" s="5" t="str">
        <f>IFERROR(__xludf.DUMMYFUNCTION(" GOOGLETRANSLATE(A47, ""en"", ""am"")"),"46")</f>
        <v>46</v>
      </c>
      <c r="H47" s="5" t="str">
        <f>IFERROR(__xludf.DUMMYFUNCTION(" GOOGLETRANSLATE(B47, ""en"", ""am"")"),"በአለም ጨዋታዎች የመጀመሪያው የሲዳማ ስፖርተኛ ማን ነበር?")</f>
        <v>በአለም ጨዋታዎች የመጀመሪያው የሲዳማ ስፖርተኛ ማን ነበር?</v>
      </c>
      <c r="I47" s="5" t="str">
        <f>IFERROR(__xludf.DUMMYFUNCTION(" GOOGLETRANSLATE(C47, ""en"", ""am"")"),"አ.አብዲ ጉሌይድ ብ ፋይሰል አብዱልቃድር ሲ.መሀመድ ድሪር ዲ.ፀጋዬ ብርሃኑ")</f>
        <v>አ.አብዲ ጉሌይድ ብ ፋይሰል አብዱልቃድር ሲ.መሀመድ ድሪር ዲ.ፀጋዬ ብርሃኑ</v>
      </c>
      <c r="J47" s="5" t="str">
        <f>IFERROR(__xludf.DUMMYFUNCTION(" GOOGLETRANSLATE(D47, ""en"", ""am"")"),"ፀጋዬ ብርሃኑ")</f>
        <v>ፀጋዬ ብርሃኑ</v>
      </c>
      <c r="K47" s="5" t="str">
        <f>IFERROR(__xludf.DUMMYFUNCTION(" GOOGLETRANSLATE(E47, ""en"", ""am"")"),"ፀጋዬ ብርሃኑ በአለም ጨዋታዎች ላይ የተሳተፈ የመጀመሪያው የሲዳማ ስፖርተኛ ነው።")</f>
        <v>ፀጋዬ ብርሃኑ በአለም ጨዋታዎች ላይ የተሳተፈ የመጀመሪያው የሲዳማ ስፖርተኛ ነው።</v>
      </c>
    </row>
    <row r="48" ht="22.5" customHeight="1">
      <c r="A48" s="3">
        <v>47.0</v>
      </c>
      <c r="B48" s="4" t="s">
        <v>2615</v>
      </c>
      <c r="C48" s="4" t="s">
        <v>2616</v>
      </c>
      <c r="D48" s="4" t="s">
        <v>2617</v>
      </c>
      <c r="E48" s="4" t="s">
        <v>2618</v>
      </c>
      <c r="G48" s="5" t="str">
        <f>IFERROR(__xludf.DUMMYFUNCTION(" GOOGLETRANSLATE(A48, ""en"", ""am"")"),"47")</f>
        <v>47</v>
      </c>
      <c r="H48" s="5" t="str">
        <f>IFERROR(__xludf.DUMMYFUNCTION(" GOOGLETRANSLATE(B48, ""en"", ""am"")"),"በ2015 በሲዳማ ስፖርት ምን አዲስ ነገር ተከሰተ?")</f>
        <v>በ2015 በሲዳማ ስፖርት ምን አዲስ ነገር ተከሰተ?</v>
      </c>
      <c r="I48" s="5" t="str">
        <f>IFERROR(__xludf.DUMMYFUNCTION(" GOOGLETRANSLATE(C48, ""en"", ""am"")"),"ሀ. ጁኒየር ሊግ ማቋቋም ለ. የአሰልጣኞች ሰርተፍኬት ማስፋፋት ሐ. የመጀመሪያውን አለም አቀፍ ውድድር ማስተናገድ መ. የሀገር ውስጥ ውድድሮች መግቢያ")</f>
        <v>ሀ. ጁኒየር ሊግ ማቋቋም ለ. የአሰልጣኞች ሰርተፍኬት ማስፋፋት ሐ. የመጀመሪያውን አለም አቀፍ ውድድር ማስተናገድ መ. የሀገር ውስጥ ውድድሮች መግቢያ</v>
      </c>
      <c r="J48" s="5" t="str">
        <f>IFERROR(__xludf.DUMMYFUNCTION(" GOOGLETRANSLATE(D48, ""en"", ""am"")"),"የአገር ውስጥ ውድድሮች መግቢያ")</f>
        <v>የአገር ውስጥ ውድድሮች መግቢያ</v>
      </c>
      <c r="K48" s="5" t="str">
        <f>IFERROR(__xludf.DUMMYFUNCTION(" GOOGLETRANSLATE(E48, ""en"", ""am"")"),"በ2015 የሲዳማ ስፖርት ብዙ አትሌቶችን ለመሳብ የቤት ውስጥ ውድድሮችን አስተዋውቋል።")</f>
        <v>በ2015 የሲዳማ ስፖርት ብዙ አትሌቶችን ለመሳብ የቤት ውስጥ ውድድሮችን አስተዋውቋል።</v>
      </c>
    </row>
    <row r="49" ht="22.5" customHeight="1">
      <c r="A49" s="3">
        <v>48.0</v>
      </c>
      <c r="B49" s="4" t="s">
        <v>2619</v>
      </c>
      <c r="C49" s="4" t="s">
        <v>2620</v>
      </c>
      <c r="D49" s="4" t="s">
        <v>2621</v>
      </c>
      <c r="E49" s="4" t="s">
        <v>2622</v>
      </c>
      <c r="G49" s="5" t="str">
        <f>IFERROR(__xludf.DUMMYFUNCTION(" GOOGLETRANSLATE(A49, ""en"", ""am"")"),"48")</f>
        <v>48</v>
      </c>
      <c r="H49" s="5" t="str">
        <f>IFERROR(__xludf.DUMMYFUNCTION(" GOOGLETRANSLATE(B49, ""en"", ""am"")"),"በ2016 የሲዳማ ስፖርትን ለማሳደግ የትኛው ቴክኖሎጂ ተጀመረ?")</f>
        <v>በ2016 የሲዳማ ስፖርትን ለማሳደግ የትኛው ቴክኖሎጂ ተጀመረ?</v>
      </c>
      <c r="I49" s="5" t="str">
        <f>IFERROR(__xludf.DUMMYFUNCTION(" GOOGLETRANSLATE(C49, ""en"", ""am"")"),"ሀ. የተሻሻለ እውነታ ለ. ምናባዊ እውነታ ሐ. ስማርት ዩኒፎርም መ. የቪዲዮ ትንተና")</f>
        <v>ሀ. የተሻሻለ እውነታ ለ. ምናባዊ እውነታ ሐ. ስማርት ዩኒፎርም መ. የቪዲዮ ትንተና</v>
      </c>
      <c r="J49" s="5" t="str">
        <f>IFERROR(__xludf.DUMMYFUNCTION(" GOOGLETRANSLATE(D49, ""en"", ""am"")"),"የቪዲዮ ትንተና")</f>
        <v>የቪዲዮ ትንተና</v>
      </c>
      <c r="K49" s="5" t="str">
        <f>IFERROR(__xludf.DUMMYFUNCTION(" GOOGLETRANSLATE(E49, ""en"", ""am"")"),"የአሰልጣኝነት እና የአፈጻጸም ግምገማን ለማሳደግ የቪዲዮ ትንተና በ2016 ተጀመረ።")</f>
        <v>የአሰልጣኝነት እና የአፈጻጸም ግምገማን ለማሳደግ የቪዲዮ ትንተና በ2016 ተጀመረ።</v>
      </c>
    </row>
    <row r="50" ht="22.5" customHeight="1">
      <c r="A50" s="3">
        <v>49.0</v>
      </c>
      <c r="B50" s="4" t="s">
        <v>2623</v>
      </c>
      <c r="C50" s="4" t="s">
        <v>2624</v>
      </c>
      <c r="D50" s="4" t="s">
        <v>2625</v>
      </c>
      <c r="E50" s="4" t="s">
        <v>2626</v>
      </c>
      <c r="G50" s="5" t="str">
        <f>IFERROR(__xludf.DUMMYFUNCTION(" GOOGLETRANSLATE(A50, ""en"", ""am"")"),"49")</f>
        <v>49</v>
      </c>
      <c r="H50" s="5" t="str">
        <f>IFERROR(__xludf.DUMMYFUNCTION(" GOOGLETRANSLATE(B50, ""en"", ""am"")"),"የሲዳማ ጨዋታዎች ዓላማው ምንድን ነው?")</f>
        <v>የሲዳማ ጨዋታዎች ዓላማው ምንድን ነው?</v>
      </c>
      <c r="I50" s="5" t="str">
        <f>IFERROR(__xludf.DUMMYFUNCTION(" GOOGLETRANSLATE(C50, ""en"", ""am"")"),"ሀ. ባህላዊ ወጎችን ያጎላል. ለ. ቱሪዝምን ያበረታታል። ሐ. የአካባቢ ማህበረሰቦችን አንድ ለማድረግ ይረዳል D. የአትሌቲክስ ስኬቶችን ያከብራል።")</f>
        <v>ሀ. ባህላዊ ወጎችን ያጎላል. ለ. ቱሪዝምን ያበረታታል። ሐ. የአካባቢ ማህበረሰቦችን አንድ ለማድረግ ይረዳል D. የአትሌቲክስ ስኬቶችን ያከብራል።</v>
      </c>
      <c r="J50" s="5" t="str">
        <f>IFERROR(__xludf.DUMMYFUNCTION(" GOOGLETRANSLATE(D50, ""en"", ""am"")"),"የአትሌቲክስ ስኬቶችን ያከብራል።")</f>
        <v>የአትሌቲክስ ስኬቶችን ያከብራል።</v>
      </c>
      <c r="K50" s="5" t="str">
        <f>IFERROR(__xludf.DUMMYFUNCTION(" GOOGLETRANSLATE(E50, ""en"", ""am"")"),"የሲዳማ ጨዋታዎች የባህል ወጎችን በመጠበቅ የአትሌቲክስ ድሎችን አክብረዋል።")</f>
        <v>የሲዳማ ጨዋታዎች የባህል ወጎችን በመጠበቅ የአትሌቲክስ ድሎችን አክብረዋል።</v>
      </c>
    </row>
    <row r="51" ht="22.5" customHeight="1">
      <c r="A51" s="3">
        <v>50.0</v>
      </c>
      <c r="B51" s="4" t="s">
        <v>2627</v>
      </c>
      <c r="C51" s="4" t="s">
        <v>2628</v>
      </c>
      <c r="D51" s="4" t="s">
        <v>2629</v>
      </c>
      <c r="E51" s="4" t="s">
        <v>2630</v>
      </c>
      <c r="G51" s="5" t="str">
        <f>IFERROR(__xludf.DUMMYFUNCTION(" GOOGLETRANSLATE(A51, ""en"", ""am"")"),"50")</f>
        <v>50</v>
      </c>
      <c r="H51" s="5" t="str">
        <f>IFERROR(__xludf.DUMMYFUNCTION(" GOOGLETRANSLATE(B51, ""en"", ""am"")"),"የሲዳማ ስፖርት መቼ አለም አቀፍ እውቅና አገኘ?")</f>
        <v>የሲዳማ ስፖርት መቼ አለም አቀፍ እውቅና አገኘ?</v>
      </c>
      <c r="I51" s="5" t="str">
        <f>IFERROR(__xludf.DUMMYFUNCTION(" GOOGLETRANSLATE(C51, ""en"", ""am"")"),"ሀ. በ2005 ለ. በ2015 ሐ. በ2020 መ. በ2015")</f>
        <v>ሀ. በ2005 ለ. በ2015 ሐ. በ2020 መ. በ2015</v>
      </c>
      <c r="J51" s="5" t="str">
        <f>IFERROR(__xludf.DUMMYFUNCTION(" GOOGLETRANSLATE(D51, ""en"", ""am"")"),"በ2015 ዓ.ም")</f>
        <v>በ2015 ዓ.ም</v>
      </c>
      <c r="K51" s="5" t="str">
        <f>IFERROR(__xludf.DUMMYFUNCTION(" GOOGLETRANSLATE(E51, ""en"", ""am"")"),"የሲዳማ ስፖርት በ2015 የአፍሪካ ጨዋታዎች ሲካተት አለም አቀፍ እውቅናን አግኝቷል።")</f>
        <v>የሲዳማ ስፖርት በ2015 የአፍሪካ ጨዋታዎች ሲካተት አለም አቀፍ እውቅናን አግኝቷል።</v>
      </c>
    </row>
    <row r="52" ht="22.5" customHeight="1">
      <c r="A52" s="3">
        <v>51.0</v>
      </c>
      <c r="B52" s="4" t="s">
        <v>2631</v>
      </c>
      <c r="C52" s="4" t="s">
        <v>2632</v>
      </c>
      <c r="D52" s="4" t="s">
        <v>676</v>
      </c>
      <c r="E52" s="4" t="s">
        <v>676</v>
      </c>
      <c r="G52" s="5" t="str">
        <f>IFERROR(__xludf.DUMMYFUNCTION(" GOOGLETRANSLATE(A52, ""en"", ""am"")"),"51")</f>
        <v>51</v>
      </c>
      <c r="H52" s="5" t="str">
        <f>IFERROR(__xludf.DUMMYFUNCTION(" GOOGLETRANSLATE(B52, ""en"", ""am"")"),"ሲዳማ ስፖርት በምን አመት ተመሠረተ?")</f>
        <v>ሲዳማ ስፖርት በምን አመት ተመሠረተ?</v>
      </c>
      <c r="I52" s="5" t="str">
        <f>IFERROR(__xludf.DUMMYFUNCTION(" GOOGLETRANSLATE(C52, ""en"", ""am"")"),"ኣብ 1950 ብ1960 ዓ.ም.1970 ድ.1960 ዓ.ም.")</f>
        <v>ኣብ 1950 ብ1960 ዓ.ም.1970 ድ.1960 ዓ.ም.</v>
      </c>
      <c r="J52" s="5" t="str">
        <f>IFERROR(__xludf.DUMMYFUNCTION(" GOOGLETRANSLATE(D52, ""en"", ""am"")"),"በ1960 ዓ.ም")</f>
        <v>በ1960 ዓ.ም</v>
      </c>
      <c r="K52" s="5" t="str">
        <f>IFERROR(__xludf.DUMMYFUNCTION(" GOOGLETRANSLATE(E52, ""en"", ""am"")"),"በ1960 ዓ.ም")</f>
        <v>በ1960 ዓ.ም</v>
      </c>
    </row>
    <row r="53" ht="22.5" customHeight="1">
      <c r="A53" s="3">
        <v>52.0</v>
      </c>
      <c r="B53" s="4" t="s">
        <v>2633</v>
      </c>
      <c r="C53" s="4" t="s">
        <v>2634</v>
      </c>
      <c r="D53" s="4" t="s">
        <v>2560</v>
      </c>
      <c r="E53" s="4" t="s">
        <v>2635</v>
      </c>
      <c r="G53" s="5" t="str">
        <f>IFERROR(__xludf.DUMMYFUNCTION(" GOOGLETRANSLATE(A53, ""en"", ""am"")"),"52")</f>
        <v>52</v>
      </c>
      <c r="H53" s="5" t="str">
        <f>IFERROR(__xludf.DUMMYFUNCTION(" GOOGLETRANSLATE(B53, ""en"", ""am"")"),"በ1980ዎቹ አለም አቀፍ ተወዳጅነትን ያተረፈው የትኛው የሲዳማ ስፖርት ነው?")</f>
        <v>በ1980ዎቹ አለም አቀፍ ተወዳጅነትን ያተረፈው የትኛው የሲዳማ ስፖርት ነው?</v>
      </c>
      <c r="I53" s="5" t="str">
        <f>IFERROR(__xludf.DUMMYFUNCTION(" GOOGLETRANSLATE(C53, ""en"", ""am"")"),"ሀ. የሲዳማ እግር ኳስ ለ. የሲዳማ ትግል ሲዳማ እየሮጠ ነው። መ/ የሲዳማ ትግል")</f>
        <v>ሀ. የሲዳማ እግር ኳስ ለ. የሲዳማ ትግል ሲዳማ እየሮጠ ነው። መ/ የሲዳማ ትግል</v>
      </c>
      <c r="J53" s="5" t="str">
        <f>IFERROR(__xludf.DUMMYFUNCTION(" GOOGLETRANSLATE(D53, ""en"", ""am"")"),"የሲዳማ ትግል")</f>
        <v>የሲዳማ ትግል</v>
      </c>
      <c r="K53" s="5" t="str">
        <f>IFERROR(__xludf.DUMMYFUNCTION(" GOOGLETRANSLATE(E53, ""en"", ""am"")"),"የሲዳማ ትግል በ1980ዎቹ በባህላዊ ፋይዳው አለም አቀፍ ተወዳጅነትን አግኝቷል።")</f>
        <v>የሲዳማ ትግል በ1980ዎቹ በባህላዊ ፋይዳው አለም አቀፍ ተወዳጅነትን አግኝቷል።</v>
      </c>
    </row>
    <row r="54" ht="22.5" customHeight="1">
      <c r="A54" s="3">
        <v>53.0</v>
      </c>
      <c r="B54" s="4" t="s">
        <v>2636</v>
      </c>
      <c r="C54" s="4" t="s">
        <v>2637</v>
      </c>
      <c r="D54" s="4" t="s">
        <v>1438</v>
      </c>
      <c r="E54" s="4" t="s">
        <v>2638</v>
      </c>
      <c r="G54" s="5" t="str">
        <f>IFERROR(__xludf.DUMMYFUNCTION(" GOOGLETRANSLATE(A54, ""en"", ""am"")"),"53")</f>
        <v>53</v>
      </c>
      <c r="H54" s="5" t="str">
        <f>IFERROR(__xludf.DUMMYFUNCTION(" GOOGLETRANSLATE(B54, ""en"", ""am"")"),"በአለም ሻምፒዮና የወርቅ ሜዳልያ ያገኘ የመጀመሪያው የሲዳማ አትሌት ማን ነበር?")</f>
        <v>በአለም ሻምፒዮና የወርቅ ሜዳልያ ያገኘ የመጀመሪያው የሲዳማ አትሌት ማን ነበር?</v>
      </c>
      <c r="I54" s="5" t="str">
        <f>IFERROR(__xludf.DUMMYFUNCTION(" GOOGLETRANSLATE(C54, ""en"", ""am"")"),"አ.አብዲ አብዱልቃድር ብ በቀለ ዲዳ ሲ.ፀጋዬ ብርሃኑ ዲ.ጀማል አሊ")</f>
        <v>አ.አብዲ አብዱልቃድር ብ በቀለ ዲዳ ሲ.ፀጋዬ ብርሃኑ ዲ.ጀማል አሊ</v>
      </c>
      <c r="J54" s="5" t="str">
        <f>IFERROR(__xludf.DUMMYFUNCTION(" GOOGLETRANSLATE(D54, ""en"", ""am"")"),"ጀማል አሊ")</f>
        <v>ጀማል አሊ</v>
      </c>
      <c r="K54" s="5" t="str">
        <f>IFERROR(__xludf.DUMMYFUNCTION(" GOOGLETRANSLATE(E54, ""en"", ""am"")"),"ጀማል አሊ በ2005 የአለም ሻምፒዮና የሲዳማ ቡና የመጀመሪያውን የወርቅ ሜዳሊያ አሸንፏል።")</f>
        <v>ጀማል አሊ በ2005 የአለም ሻምፒዮና የሲዳማ ቡና የመጀመሪያውን የወርቅ ሜዳሊያ አሸንፏል።</v>
      </c>
    </row>
    <row r="55" ht="22.5" customHeight="1">
      <c r="A55" s="3">
        <v>54.0</v>
      </c>
      <c r="B55" s="4" t="s">
        <v>2639</v>
      </c>
      <c r="C55" s="4" t="s">
        <v>2640</v>
      </c>
      <c r="D55" s="4" t="s">
        <v>969</v>
      </c>
      <c r="E55" s="4" t="s">
        <v>2641</v>
      </c>
      <c r="G55" s="5" t="str">
        <f>IFERROR(__xludf.DUMMYFUNCTION(" GOOGLETRANSLATE(A55, ""en"", ""am"")"),"54")</f>
        <v>54</v>
      </c>
      <c r="H55" s="5" t="str">
        <f>IFERROR(__xludf.DUMMYFUNCTION(" GOOGLETRANSLATE(B55, ""en"", ""am"")"),"የሲዳማ ስፖርተኞች በአለም አቀፍ ደረጃ እንዲወዳደሩ የጋበዘው የትኛው ሀገር ነው?")</f>
        <v>የሲዳማ ስፖርተኞች በአለም አቀፍ ደረጃ እንዲወዳደሩ የጋበዘው የትኛው ሀገር ነው?</v>
      </c>
      <c r="I55" s="5" t="str">
        <f>IFERROR(__xludf.DUMMYFUNCTION(" GOOGLETRANSLATE(C55, ""en"", ""am"")"),"አ.ኬንያ ቢ. ግብፅ ሐ. ደቡብ አፍሪካ ዲ. ኬንያ")</f>
        <v>አ.ኬንያ ቢ. ግብፅ ሐ. ደቡብ አፍሪካ ዲ. ኬንያ</v>
      </c>
      <c r="J55" s="5" t="str">
        <f>IFERROR(__xludf.DUMMYFUNCTION(" GOOGLETRANSLATE(D55, ""en"", ""am"")"),"ኬንያ")</f>
        <v>ኬንያ</v>
      </c>
      <c r="K55" s="5" t="str">
        <f>IFERROR(__xludf.DUMMYFUNCTION(" GOOGLETRANSLATE(E55, ""en"", ""am"")"),"ኬንያ የሲዳማ ስፖርተኞችን በአለም አቀፍ ውድድሮች በመጋበዝ የመጀመሪያዋ ሀገር ነች።")</f>
        <v>ኬንያ የሲዳማ ስፖርተኞችን በአለም አቀፍ ውድድሮች በመጋበዝ የመጀመሪያዋ ሀገር ነች።</v>
      </c>
    </row>
    <row r="56" ht="22.5" customHeight="1">
      <c r="A56" s="3">
        <v>55.0</v>
      </c>
      <c r="B56" s="4" t="s">
        <v>2642</v>
      </c>
      <c r="C56" s="4" t="s">
        <v>2643</v>
      </c>
      <c r="D56" s="4" t="s">
        <v>2644</v>
      </c>
      <c r="E56" s="4" t="s">
        <v>2645</v>
      </c>
      <c r="G56" s="5" t="str">
        <f>IFERROR(__xludf.DUMMYFUNCTION(" GOOGLETRANSLATE(A56, ""en"", ""am"")"),"55")</f>
        <v>55</v>
      </c>
      <c r="H56" s="5" t="str">
        <f>IFERROR(__xludf.DUMMYFUNCTION(" GOOGLETRANSLATE(B56, ""en"", ""am"")"),"ለ1980ዎቹ የሲዳማ ስፖርት እድገት ዋና ምክንያት ምን ነበር?")</f>
        <v>ለ1980ዎቹ የሲዳማ ስፖርት እድገት ዋና ምክንያት ምን ነበር?</v>
      </c>
      <c r="I56" s="5" t="str">
        <f>IFERROR(__xludf.DUMMYFUNCTION(" GOOGLETRANSLATE(C56, ""en"", ""am"")"),"ሀ. የመንግስት የገንዘብ ድጋፍ ለ. የሚዲያ መጋለጥ ሐ. የማህበረሰብ ድጋፍ መ. የመንግስት የገንዘብ ድጋፍ")</f>
        <v>ሀ. የመንግስት የገንዘብ ድጋፍ ለ. የሚዲያ መጋለጥ ሐ. የማህበረሰብ ድጋፍ መ. የመንግስት የገንዘብ ድጋፍ</v>
      </c>
      <c r="J56" s="5" t="str">
        <f>IFERROR(__xludf.DUMMYFUNCTION(" GOOGLETRANSLATE(D56, ""en"", ""am"")"),"የመንግስት የገንዘብ ድጋፍ")</f>
        <v>የመንግስት የገንዘብ ድጋፍ</v>
      </c>
      <c r="K56" s="5" t="str">
        <f>IFERROR(__xludf.DUMMYFUNCTION(" GOOGLETRANSLATE(E56, ""en"", ""am"")"),"የሲዳማ ስፖርት በ1980ዎቹ እንዲያድግ የመንግስት የገንዘብ ድጋፍ እና ተነሳሽነት ረድቷል።")</f>
        <v>የሲዳማ ስፖርት በ1980ዎቹ እንዲያድግ የመንግስት የገንዘብ ድጋፍ እና ተነሳሽነት ረድቷል።</v>
      </c>
    </row>
    <row r="57" ht="22.5" customHeight="1">
      <c r="A57" s="3">
        <v>56.0</v>
      </c>
      <c r="B57" s="4" t="s">
        <v>2646</v>
      </c>
      <c r="C57" s="4" t="s">
        <v>2647</v>
      </c>
      <c r="D57" s="4" t="s">
        <v>2560</v>
      </c>
      <c r="E57" s="4" t="s">
        <v>2648</v>
      </c>
      <c r="G57" s="5" t="str">
        <f>IFERROR(__xludf.DUMMYFUNCTION(" GOOGLETRANSLATE(A57, ""en"", ""am"")"),"56")</f>
        <v>56</v>
      </c>
      <c r="H57" s="5" t="str">
        <f>IFERROR(__xludf.DUMMYFUNCTION(" GOOGLETRANSLATE(B57, ""en"", ""am"")"),"የትኛው የሲዳማ ስፖርት ከባህላዊ ሥርዓቶች ጋር በታሪክ የተቆራኘው?")</f>
        <v>የትኛው የሲዳማ ስፖርት ከባህላዊ ሥርዓቶች ጋር በታሪክ የተቆራኘው?</v>
      </c>
      <c r="I57" s="5" t="str">
        <f>IFERROR(__xludf.DUMMYFUNCTION(" GOOGLETRANSLATE(C57, ""en"", ""am"")"),"አ. የሲዳማ ትግል ለ. የሲዳማ እግር ኳስ ሐ. የሲዳማ ሩጫ ዲ. የሲዳማ ትግል")</f>
        <v>አ. የሲዳማ ትግል ለ. የሲዳማ እግር ኳስ ሐ. የሲዳማ ሩጫ ዲ. የሲዳማ ትግል</v>
      </c>
      <c r="J57" s="5" t="str">
        <f>IFERROR(__xludf.DUMMYFUNCTION(" GOOGLETRANSLATE(D57, ""en"", ""am"")"),"የሲዳማ ትግል")</f>
        <v>የሲዳማ ትግል</v>
      </c>
      <c r="K57" s="5" t="str">
        <f>IFERROR(__xludf.DUMMYFUNCTION(" GOOGLETRANSLATE(E57, ""en"", ""am"")"),"የሲዳማ ትግል በተለምዶ ከሥርዓት እና ከሥርዓት ጋር የተያያዘ ነው።")</f>
        <v>የሲዳማ ትግል በተለምዶ ከሥርዓት እና ከሥርዓት ጋር የተያያዘ ነው።</v>
      </c>
    </row>
    <row r="58" ht="22.5" customHeight="1">
      <c r="A58" s="3">
        <v>57.0</v>
      </c>
      <c r="B58" s="4" t="s">
        <v>2649</v>
      </c>
      <c r="C58" s="4" t="s">
        <v>2650</v>
      </c>
      <c r="D58" s="4" t="s">
        <v>2651</v>
      </c>
      <c r="E58" s="4" t="s">
        <v>2652</v>
      </c>
      <c r="G58" s="5" t="str">
        <f>IFERROR(__xludf.DUMMYFUNCTION(" GOOGLETRANSLATE(A58, ""en"", ""am"")"),"57")</f>
        <v>57</v>
      </c>
      <c r="H58" s="5" t="str">
        <f>IFERROR(__xludf.DUMMYFUNCTION(" GOOGLETRANSLATE(B58, ""en"", ""am"")"),"የትኛው የሲዳማ አትሌት የአለምን ክብረወሰን የሰበረ?")</f>
        <v>የትኛው የሲዳማ አትሌት የአለምን ክብረወሰን የሰበረ?</v>
      </c>
      <c r="I58" s="5" t="str">
        <f>IFERROR(__xludf.DUMMYFUNCTION(" GOOGLETRANSLATE(C58, ""en"", ""am"")"),"A. ሙሀመድ ኢብራሂም ብ ጀማል አሊ ሲ.ፀጋዬ ብርሃኑ ዲ. ጠፍቷል።")</f>
        <v>A. ሙሀመድ ኢብራሂም ብ ጀማል አሊ ሲ.ፀጋዬ ብርሃኑ ዲ. ጠፍቷል።</v>
      </c>
      <c r="J58" s="5" t="str">
        <f>IFERROR(__xludf.DUMMYFUNCTION(" GOOGLETRANSLATE(D58, ""en"", ""am"")"),"ጠፍቷል።")</f>
        <v>ጠፍቷል።</v>
      </c>
      <c r="K58" s="5" t="str">
        <f>IFERROR(__xludf.DUMMYFUNCTION(" GOOGLETRANSLATE(E58, ""en"", ""am"")"),"ከድር ዘለቀ በ2008 የአለም ክብረ ወሰን የሰበረ የመጀመሪያው የሲዳማ አትሌት ነው።")</f>
        <v>ከድር ዘለቀ በ2008 የአለም ክብረ ወሰን የሰበረ የመጀመሪያው የሲዳማ አትሌት ነው።</v>
      </c>
    </row>
    <row r="59" ht="22.5" customHeight="1">
      <c r="A59" s="3">
        <v>58.0</v>
      </c>
      <c r="B59" s="4" t="s">
        <v>2653</v>
      </c>
      <c r="C59" s="4" t="s">
        <v>2654</v>
      </c>
      <c r="D59" s="4" t="s">
        <v>2655</v>
      </c>
      <c r="E59" s="4" t="s">
        <v>2656</v>
      </c>
      <c r="G59" s="5" t="str">
        <f>IFERROR(__xludf.DUMMYFUNCTION(" GOOGLETRANSLATE(A59, ""en"", ""am"")"),"58")</f>
        <v>58</v>
      </c>
      <c r="H59" s="5" t="str">
        <f>IFERROR(__xludf.DUMMYFUNCTION(" GOOGLETRANSLATE(B59, ""en"", ""am"")"),"የሲዳማ ስፖርት በየትኛው አስርት አመት ነው የመንግስት እውቅና ያገኘው?")</f>
        <v>የሲዳማ ስፖርት በየትኛው አስርት አመት ነው የመንግስት እውቅና ያገኘው?</v>
      </c>
      <c r="I59" s="5" t="str">
        <f>IFERROR(__xludf.DUMMYFUNCTION(" GOOGLETRANSLATE(C59, ""en"", ""am"")"),"ኣብ 1970ታት ብ1980ታት 1990ታት ዲ.")</f>
        <v>ኣብ 1970ታት ብ1980ታት 1990ታት ዲ.</v>
      </c>
      <c r="J59" s="5" t="str">
        <f>IFERROR(__xludf.DUMMYFUNCTION(" GOOGLETRANSLATE(D59, ""en"", ""am"")"),"1980 ዎቹ")</f>
        <v>1980 ዎቹ</v>
      </c>
      <c r="K59" s="5" t="str">
        <f>IFERROR(__xludf.DUMMYFUNCTION(" GOOGLETRANSLATE(E59, ""en"", ""am"")"),"የሲዳማ ስፖርት በ1980ዎቹ የመንግስት እውቅና አግኝቷል።")</f>
        <v>የሲዳማ ስፖርት በ1980ዎቹ የመንግስት እውቅና አግኝቷል።</v>
      </c>
    </row>
    <row r="60" ht="22.5" customHeight="1">
      <c r="A60" s="3">
        <v>59.0</v>
      </c>
      <c r="B60" s="4" t="s">
        <v>2657</v>
      </c>
      <c r="C60" s="4" t="s">
        <v>2658</v>
      </c>
      <c r="D60" s="4" t="s">
        <v>2659</v>
      </c>
      <c r="E60" s="4" t="s">
        <v>2659</v>
      </c>
      <c r="G60" s="5" t="str">
        <f>IFERROR(__xludf.DUMMYFUNCTION(" GOOGLETRANSLATE(A60, ""en"", ""am"")"),"59")</f>
        <v>59</v>
      </c>
      <c r="H60" s="5" t="str">
        <f>IFERROR(__xludf.DUMMYFUNCTION(" GOOGLETRANSLATE(B60, ""en"", ""am"")"),"በኦሎምፒክ ጨዋታዎች የሲዳማ ስፖርቶች ሲታዩ የቱ ክስተት ነው?")</f>
        <v>በኦሎምፒክ ጨዋታዎች የሲዳማ ስፖርቶች ሲታዩ የቱ ክስተት ነው?</v>
      </c>
      <c r="I60" s="5" t="str">
        <f>IFERROR(__xludf.DUMMYFUNCTION(" GOOGLETRANSLATE(C60, ""en"", ""am"")"),"2000 ዓ.ም. 2004 ዓ.ም. 2008 ዲ. 2004 ዓ.ም.")</f>
        <v>2000 ዓ.ም. 2004 ዓ.ም. 2008 ዲ. 2004 ዓ.ም.</v>
      </c>
      <c r="J60" s="5" t="str">
        <f>IFERROR(__xludf.DUMMYFUNCTION(" GOOGLETRANSLATE(D60, ""en"", ""am"")"),"በ2004 ዓ.ም")</f>
        <v>በ2004 ዓ.ም</v>
      </c>
      <c r="K60" s="5" t="str">
        <f>IFERROR(__xludf.DUMMYFUNCTION(" GOOGLETRANSLATE(E60, ""en"", ""am"")"),"በ2004 ዓ.ም")</f>
        <v>በ2004 ዓ.ም</v>
      </c>
    </row>
    <row r="61" ht="22.5" customHeight="1">
      <c r="A61" s="3">
        <v>60.0</v>
      </c>
      <c r="B61" s="4" t="s">
        <v>2660</v>
      </c>
      <c r="C61" s="4" t="s">
        <v>2661</v>
      </c>
      <c r="D61" s="4" t="s">
        <v>1438</v>
      </c>
      <c r="E61" s="4" t="s">
        <v>2662</v>
      </c>
      <c r="G61" s="5" t="str">
        <f>IFERROR(__xludf.DUMMYFUNCTION(" GOOGLETRANSLATE(A61, ""en"", ""am"")"),"60")</f>
        <v>60</v>
      </c>
      <c r="H61" s="5" t="str">
        <f>IFERROR(__xludf.DUMMYFUNCTION(" GOOGLETRANSLATE(B61, ""en"", ""am"")"),"የብሔራዊ ስፖርታዊ ጨዋነት ሽልማትን ያገኘው የትኛው የሲዳማ ስፖርተኛ ነው?")</f>
        <v>የብሔራዊ ስፖርታዊ ጨዋነት ሽልማትን ያገኘው የትኛው የሲዳማ ስፖርተኛ ነው?</v>
      </c>
      <c r="I61" s="5" t="str">
        <f>IFERROR(__xludf.DUMMYFUNCTION(" GOOGLETRANSLATE(C61, ""en"", ""am"")"),"አ. ሙሀመድ ኢብራሂም በ አብዲ አብዱልቃድር ሲ. በቀለ ዲዳ ዲ. ጀማል አሊ")</f>
        <v>አ. ሙሀመድ ኢብራሂም በ አብዲ አብዱልቃድር ሲ. በቀለ ዲዳ ዲ. ጀማል አሊ</v>
      </c>
      <c r="J61" s="5" t="str">
        <f>IFERROR(__xludf.DUMMYFUNCTION(" GOOGLETRANSLATE(D61, ""en"", ""am"")"),"ጀማል አሊ")</f>
        <v>ጀማል አሊ</v>
      </c>
      <c r="K61" s="5" t="str">
        <f>IFERROR(__xludf.DUMMYFUNCTION(" GOOGLETRANSLATE(E61, ""en"", ""am"")"),"ጀማል አሊ በስፖርታዊ ጨዋነት ብሔራዊ ሽልማት የተቀበለ የመጀመሪያው የሲዳማ አትሌት ሆኗል።")</f>
        <v>ጀማል አሊ በስፖርታዊ ጨዋነት ብሔራዊ ሽልማት የተቀበለ የመጀመሪያው የሲዳማ አትሌት ሆኗል።</v>
      </c>
    </row>
    <row r="62" ht="22.5" customHeight="1">
      <c r="A62" s="3">
        <v>61.0</v>
      </c>
      <c r="B62" s="4" t="s">
        <v>2663</v>
      </c>
      <c r="C62" s="4" t="s">
        <v>2132</v>
      </c>
      <c r="D62" s="4" t="s">
        <v>1505</v>
      </c>
      <c r="E62" s="4" t="s">
        <v>1505</v>
      </c>
      <c r="G62" s="5" t="str">
        <f>IFERROR(__xludf.DUMMYFUNCTION(" GOOGLETRANSLATE(A62, ""en"", ""am"")"),"61")</f>
        <v>61</v>
      </c>
      <c r="H62" s="5" t="str">
        <f>IFERROR(__xludf.DUMMYFUNCTION(" GOOGLETRANSLATE(B62, ""en"", ""am"")"),"የሲዳማ ስፖርት በአለም አቀፍ ኦሊምፒክ ኮሚቴ በይፋ እውቅና ከተሰጠው ስንት አመታት አለፉ?")</f>
        <v>የሲዳማ ስፖርት በአለም አቀፍ ኦሊምፒክ ኮሚቴ በይፋ እውቅና ከተሰጠው ስንት አመታት አለፉ?</v>
      </c>
      <c r="I62" s="5" t="str">
        <f>IFERROR(__xludf.DUMMYFUNCTION(" GOOGLETRANSLATE(C62, ""en"", ""am"")"),"እ.ኤ.አ. 2005 ዓ.ም. 2010 ዓ.ም. 2015 ዲ. 2010")</f>
        <v>እ.ኤ.አ. 2005 ዓ.ም. 2010 ዓ.ም. 2015 ዲ. 2010</v>
      </c>
      <c r="J62" s="5" t="str">
        <f>IFERROR(__xludf.DUMMYFUNCTION(" GOOGLETRANSLATE(D62, ""en"", ""am"")"),"2010")</f>
        <v>2010</v>
      </c>
      <c r="K62" s="5" t="str">
        <f>IFERROR(__xludf.DUMMYFUNCTION(" GOOGLETRANSLATE(E62, ""en"", ""am"")"),"2010")</f>
        <v>2010</v>
      </c>
    </row>
    <row r="63" ht="22.5" customHeight="1">
      <c r="A63" s="3">
        <v>62.0</v>
      </c>
      <c r="B63" s="4" t="s">
        <v>2664</v>
      </c>
      <c r="C63" s="4" t="s">
        <v>2665</v>
      </c>
      <c r="D63" s="4" t="s">
        <v>2666</v>
      </c>
      <c r="E63" s="4" t="s">
        <v>2667</v>
      </c>
      <c r="G63" s="5" t="str">
        <f>IFERROR(__xludf.DUMMYFUNCTION(" GOOGLETRANSLATE(A63, ""en"", ""am"")"),"62")</f>
        <v>62</v>
      </c>
      <c r="H63" s="5" t="str">
        <f>IFERROR(__xludf.DUMMYFUNCTION(" GOOGLETRANSLATE(B63, ""en"", ""am"")"),"በ2000ዎቹ መጀመሪያ ላይ ብዙ የሚዲያ ሽፋን ያገኘው የትኛው የሲዳማ ስፖርታዊ ውድድር ነው?")</f>
        <v>በ2000ዎቹ መጀመሪያ ላይ ብዙ የሚዲያ ሽፋን ያገኘው የትኛው የሲዳማ ስፖርታዊ ውድድር ነው?</v>
      </c>
      <c r="I63" s="5" t="str">
        <f>IFERROR(__xludf.DUMMYFUNCTION(" GOOGLETRANSLATE(C63, ""en"", ""am"")"),"አ. የሲዳማ ስፖርት ፌስቲቫል ለ. የሲዳማ አለም ዋንጫ ሐ. የሲዳማ ግብዣ ዲ. ሲዳማ ክላሲክ")</f>
        <v>አ. የሲዳማ ስፖርት ፌስቲቫል ለ. የሲዳማ አለም ዋንጫ ሐ. የሲዳማ ግብዣ ዲ. ሲዳማ ክላሲክ</v>
      </c>
      <c r="J63" s="5" t="str">
        <f>IFERROR(__xludf.DUMMYFUNCTION(" GOOGLETRANSLATE(D63, ""en"", ""am"")"),"ሲዳማ ክላሲክ")</f>
        <v>ሲዳማ ክላሲክ</v>
      </c>
      <c r="K63" s="5" t="str">
        <f>IFERROR(__xludf.DUMMYFUNCTION(" GOOGLETRANSLATE(E63, ""en"", ""am"")"),"የሲዳማ ክላሲክ በ2000ዎቹ መጀመሪያ ላይ ከፍተኛ የሚዲያ ትኩረት አግኝቷል።")</f>
        <v>የሲዳማ ክላሲክ በ2000ዎቹ መጀመሪያ ላይ ከፍተኛ የሚዲያ ትኩረት አግኝቷል።</v>
      </c>
    </row>
    <row r="64" ht="22.5" customHeight="1">
      <c r="A64" s="3">
        <v>63.0</v>
      </c>
      <c r="B64" s="4" t="s">
        <v>2668</v>
      </c>
      <c r="C64" s="4" t="s">
        <v>2669</v>
      </c>
      <c r="D64" s="4" t="s">
        <v>2545</v>
      </c>
      <c r="E64" s="4" t="s">
        <v>2670</v>
      </c>
      <c r="G64" s="5" t="str">
        <f>IFERROR(__xludf.DUMMYFUNCTION(" GOOGLETRANSLATE(A64, ""en"", ""am"")"),"63")</f>
        <v>63</v>
      </c>
      <c r="H64" s="5" t="str">
        <f>IFERROR(__xludf.DUMMYFUNCTION(" GOOGLETRANSLATE(B64, ""en"", ""am"")"),"በ1995 የሲዳማ ብሄራዊ ጨዋታዎችን ያቋቋመው ድርጅት የትኛው ነው?")</f>
        <v>በ1995 የሲዳማ ብሄራዊ ጨዋታዎችን ያቋቋመው ድርጅት የትኛው ነው?</v>
      </c>
      <c r="I64" s="5" t="str">
        <f>IFERROR(__xludf.DUMMYFUNCTION(" GOOGLETRANSLATE(C64, ""en"", ""am"")"),"አ.የኢትዮጵያ ስፖርት ኮሚሽን ለ. የሲዳማ ኦሊምፒክ ኮሚቴ ሐ. የሲዳማ ክልል መንግስት ደ.ሲዳማ ስፖርት ፌዴሬሽን")</f>
        <v>አ.የኢትዮጵያ ስፖርት ኮሚሽን ለ. የሲዳማ ኦሊምፒክ ኮሚቴ ሐ. የሲዳማ ክልል መንግስት ደ.ሲዳማ ስፖርት ፌዴሬሽን</v>
      </c>
      <c r="J64" s="5" t="str">
        <f>IFERROR(__xludf.DUMMYFUNCTION(" GOOGLETRANSLATE(D64, ""en"", ""am"")"),"የሲዳማ ስፖርት ፌዴሬሽን")</f>
        <v>የሲዳማ ስፖርት ፌዴሬሽን</v>
      </c>
      <c r="K64" s="5" t="str">
        <f>IFERROR(__xludf.DUMMYFUNCTION(" GOOGLETRANSLATE(E64, ""en"", ""am"")"),"የሲዳማ ስፖርት ፌዴሬሽን የሲዳማ ብሄራዊ ጨዋታዎችን በ1995 ዓ.ም.")</f>
        <v>የሲዳማ ስፖርት ፌዴሬሽን የሲዳማ ብሄራዊ ጨዋታዎችን በ1995 ዓ.ም.</v>
      </c>
    </row>
    <row r="65" ht="22.5" customHeight="1">
      <c r="A65" s="3">
        <v>64.0</v>
      </c>
      <c r="B65" s="4" t="s">
        <v>2671</v>
      </c>
      <c r="C65" s="4" t="s">
        <v>2607</v>
      </c>
      <c r="D65" s="4" t="s">
        <v>2257</v>
      </c>
      <c r="E65" s="4" t="s">
        <v>2257</v>
      </c>
      <c r="G65" s="5" t="str">
        <f>IFERROR(__xludf.DUMMYFUNCTION(" GOOGLETRANSLATE(A65, ""en"", ""am"")"),"64")</f>
        <v>64</v>
      </c>
      <c r="H65" s="5" t="str">
        <f>IFERROR(__xludf.DUMMYFUNCTION(" GOOGLETRANSLATE(B65, ""en"", ""am"")"),"የመጀመሪያው የሲዳማ ዋንጫ የተካሄደው በየትኛው አመት ነበር?")</f>
        <v>የመጀመሪያው የሲዳማ ዋንጫ የተካሄደው በየትኛው አመት ነበር?</v>
      </c>
      <c r="I65" s="5" t="str">
        <f>IFERROR(__xludf.DUMMYFUNCTION(" GOOGLETRANSLATE(C65, ""en"", ""am"")"),"እ.ኤ.አ. 2005 ዓ.ም. 2010 ዓ.ም. 2015 ዲ. 2005 እ.ኤ.አ.")</f>
        <v>እ.ኤ.አ. 2005 ዓ.ም. 2010 ዓ.ም. 2015 ዲ. 2005 እ.ኤ.አ.</v>
      </c>
      <c r="J65" s="5" t="str">
        <f>IFERROR(__xludf.DUMMYFUNCTION(" GOOGLETRANSLATE(D65, ""en"", ""am"")"),"በ2005 ዓ.ም")</f>
        <v>በ2005 ዓ.ም</v>
      </c>
      <c r="K65" s="5" t="str">
        <f>IFERROR(__xludf.DUMMYFUNCTION(" GOOGLETRANSLATE(E65, ""en"", ""am"")"),"በ2005 ዓ.ም")</f>
        <v>በ2005 ዓ.ም</v>
      </c>
    </row>
    <row r="66" ht="22.5" customHeight="1">
      <c r="A66" s="3">
        <v>65.0</v>
      </c>
      <c r="B66" s="4" t="s">
        <v>2672</v>
      </c>
      <c r="C66" s="4" t="s">
        <v>2673</v>
      </c>
      <c r="D66" s="4" t="s">
        <v>2674</v>
      </c>
      <c r="E66" s="4" t="s">
        <v>2675</v>
      </c>
      <c r="G66" s="5" t="str">
        <f>IFERROR(__xludf.DUMMYFUNCTION(" GOOGLETRANSLATE(A66, ""en"", ""am"")"),"65")</f>
        <v>65</v>
      </c>
      <c r="H66" s="5" t="str">
        <f>IFERROR(__xludf.DUMMYFUNCTION(" GOOGLETRANSLATE(B66, ""en"", ""am"")"),"የትኛው የሲዳማ ስፖርት በጥንታዊ የአደን ዘዴዎች ላይ የተመሰረተ ነው?")</f>
        <v>የትኛው የሲዳማ ስፖርት በጥንታዊ የአደን ዘዴዎች ላይ የተመሰረተ ነው?</v>
      </c>
      <c r="I66" s="5" t="str">
        <f>IFERROR(__xludf.DUMMYFUNCTION(" GOOGLETRANSLATE(C66, ""en"", ""am"")"),"አ.ሲዳማ ቀስት ለ.ሲዳማ እግር ኳስ ሲ.ሲዳማ እየሮጠ ነው። ዲ ሲዳማ ቀስት ውርወራ")</f>
        <v>አ.ሲዳማ ቀስት ለ.ሲዳማ እግር ኳስ ሲ.ሲዳማ እየሮጠ ነው። ዲ ሲዳማ ቀስት ውርወራ</v>
      </c>
      <c r="J66" s="5" t="str">
        <f>IFERROR(__xludf.DUMMYFUNCTION(" GOOGLETRANSLATE(D66, ""en"", ""am"")"),"የሲዳማ ቀስት ውርወራ")</f>
        <v>የሲዳማ ቀስት ውርወራ</v>
      </c>
      <c r="K66" s="5" t="str">
        <f>IFERROR(__xludf.DUMMYFUNCTION(" GOOGLETRANSLATE(E66, ""en"", ""am"")"),"የሲዳማ ቀስት ውርወራ መነሻው በሲዳማ ህዝብ ጥንታዊ የአደን ባህል ነው።")</f>
        <v>የሲዳማ ቀስት ውርወራ መነሻው በሲዳማ ህዝብ ጥንታዊ የአደን ባህል ነው።</v>
      </c>
    </row>
    <row r="67" ht="22.5" customHeight="1">
      <c r="A67" s="3">
        <v>66.0</v>
      </c>
      <c r="B67" s="4" t="s">
        <v>2676</v>
      </c>
      <c r="C67" s="4" t="s">
        <v>2677</v>
      </c>
      <c r="D67" s="4" t="s">
        <v>2507</v>
      </c>
      <c r="E67" s="4" t="s">
        <v>2678</v>
      </c>
      <c r="G67" s="5" t="str">
        <f>IFERROR(__xludf.DUMMYFUNCTION(" GOOGLETRANSLATE(A67, ""en"", ""am"")"),"66")</f>
        <v>66</v>
      </c>
      <c r="H67" s="5" t="str">
        <f>IFERROR(__xludf.DUMMYFUNCTION(" GOOGLETRANSLATE(B67, ""en"", ""am"")"),"የመጀመሪያውን የሲዳማ ወጣቶች ሻምፒዮና ያዘጋጀው የትኛው ክልል ነው?")</f>
        <v>የመጀመሪያውን የሲዳማ ወጣቶች ሻምፒዮና ያዘጋጀው የትኛው ክልል ነው?</v>
      </c>
      <c r="I67" s="5" t="str">
        <f>IFERROR(__xludf.DUMMYFUNCTION(" GOOGLETRANSLATE(C67, ""en"", ""am"")"),"አ.ሻሸመኔ ብ.መቀለ ሐ.አዲስ አበባ ዲ.ሐዋሳ")</f>
        <v>አ.ሻሸመኔ ብ.መቀለ ሐ.አዲስ አበባ ዲ.ሐዋሳ</v>
      </c>
      <c r="J67" s="5" t="str">
        <f>IFERROR(__xludf.DUMMYFUNCTION(" GOOGLETRANSLATE(D67, ""en"", ""am"")"),"ሀዋሳ")</f>
        <v>ሀዋሳ</v>
      </c>
      <c r="K67" s="5" t="str">
        <f>IFERROR(__xludf.DUMMYFUNCTION(" GOOGLETRANSLATE(E67, ""en"", ""am"")"),"ሀዋሳ በ1998 የመጀመሪያውን የሲዳማ ወጣቶች ሻምፒዮና አስተናግዳለች።")</f>
        <v>ሀዋሳ በ1998 የመጀመሪያውን የሲዳማ ወጣቶች ሻምፒዮና አስተናግዳለች።</v>
      </c>
    </row>
    <row r="68" ht="22.5" customHeight="1">
      <c r="A68" s="3">
        <v>67.0</v>
      </c>
      <c r="B68" s="4" t="s">
        <v>2679</v>
      </c>
      <c r="C68" s="4" t="s">
        <v>2680</v>
      </c>
      <c r="D68" s="4" t="s">
        <v>2681</v>
      </c>
      <c r="E68" s="4" t="s">
        <v>2682</v>
      </c>
      <c r="G68" s="5" t="str">
        <f>IFERROR(__xludf.DUMMYFUNCTION(" GOOGLETRANSLATE(A68, ""en"", ""am"")"),"67")</f>
        <v>67</v>
      </c>
      <c r="H68" s="5" t="str">
        <f>IFERROR(__xludf.DUMMYFUNCTION(" GOOGLETRANSLATE(B68, ""en"", ""am"")"),"በ2000 የሲዳማ ጨዋታ ምን ሚና ተጫውተዋል?")</f>
        <v>በ2000 የሲዳማ ጨዋታ ምን ሚና ተጫውተዋል?</v>
      </c>
      <c r="I68" s="5" t="str">
        <f>IFERROR(__xludf.DUMMYFUNCTION(" GOOGLETRANSLATE(C68, ""en"", ""am"")"),"ሀ.የመጀመሪያው አለምአቀፍ ዝግጅት ለ.የመጀመሪያው የሴቶች ክስተት ሐ.የመጀመሪያ የስርጭት ክስተት D.የመጀመሪያው ክስተት በቴሌቭዥን ተሰራጭቷል።")</f>
        <v>ሀ.የመጀመሪያው አለምአቀፍ ዝግጅት ለ.የመጀመሪያው የሴቶች ክስተት ሐ.የመጀመሪያ የስርጭት ክስተት D.የመጀመሪያው ክስተት በቴሌቭዥን ተሰራጭቷል።</v>
      </c>
      <c r="J68" s="5" t="str">
        <f>IFERROR(__xludf.DUMMYFUNCTION(" GOOGLETRANSLATE(D68, ""en"", ""am"")"),"የመጀመሪያው ክስተት በቴሌቪዥን ተሰራጭቷል")</f>
        <v>የመጀመሪያው ክስተት በቴሌቪዥን ተሰራጭቷል</v>
      </c>
      <c r="K68" s="5" t="str">
        <f>IFERROR(__xludf.DUMMYFUNCTION(" GOOGLETRANSLATE(E68, ""en"", ""am"")"),"በ2000 ዓ.ም የተካሄደው የሲዳማ ቡና ጨዋታ በቴሌቭዥን የመጀመርያው ሲሆን ስፖርቱን ለብዙ ተመልካቾች አጋልጧል።")</f>
        <v>በ2000 ዓ.ም የተካሄደው የሲዳማ ቡና ጨዋታ በቴሌቭዥን የመጀመርያው ሲሆን ስፖርቱን ለብዙ ተመልካቾች አጋልጧል።</v>
      </c>
    </row>
    <row r="69" ht="22.5" customHeight="1">
      <c r="A69" s="3">
        <v>68.0</v>
      </c>
      <c r="B69" s="4" t="s">
        <v>2683</v>
      </c>
      <c r="C69" s="4" t="s">
        <v>2684</v>
      </c>
      <c r="D69" s="4" t="s">
        <v>2576</v>
      </c>
      <c r="E69" s="4" t="s">
        <v>2685</v>
      </c>
      <c r="G69" s="5" t="str">
        <f>IFERROR(__xludf.DUMMYFUNCTION(" GOOGLETRANSLATE(A69, ""en"", ""am"")"),"68")</f>
        <v>68</v>
      </c>
      <c r="H69" s="5" t="str">
        <f>IFERROR(__xludf.DUMMYFUNCTION(" GOOGLETRANSLATE(B69, ""en"", ""am"")"),"በ1990ዎቹ የሲዳማ ስፖርት ስልጠናን በማዘመን የተመሰከረለት ማን ነው?")</f>
        <v>በ1990ዎቹ የሲዳማ ስፖርት ስልጠናን በማዘመን የተመሰከረለት ማን ነው?</v>
      </c>
      <c r="I69" s="5" t="str">
        <f>IFERROR(__xludf.DUMMYFUNCTION(" GOOGLETRANSLATE(C69, ""en"", ""am"")"),"አ. ሱሌይማን ፀጋዬ ብ አብዲ ፋራህ ሲ. በቀለ ዲዳ ዲ. መሀመድ ጉሌይድ")</f>
        <v>አ. ሱሌይማን ፀጋዬ ብ አብዲ ፋራህ ሲ. በቀለ ዲዳ ዲ. መሀመድ ጉሌይድ</v>
      </c>
      <c r="J69" s="5" t="str">
        <f>IFERROR(__xludf.DUMMYFUNCTION(" GOOGLETRANSLATE(D69, ""en"", ""am"")"),"መሀመድ ጉሌይድ")</f>
        <v>መሀመድ ጉሌይድ</v>
      </c>
      <c r="K69" s="5" t="str">
        <f>IFERROR(__xludf.DUMMYFUNCTION(" GOOGLETRANSLATE(E69, ""en"", ""am"")"),"በ1990ዎቹ የሲዳማ ስፖርት ስልጠናን በማዘመን መሀመድ ጉሌድ ተጠቃሽ ነው።")</f>
        <v>በ1990ዎቹ የሲዳማ ስፖርት ስልጠናን በማዘመን መሀመድ ጉሌድ ተጠቃሽ ነው።</v>
      </c>
    </row>
    <row r="70" ht="22.5" customHeight="1">
      <c r="A70" s="3">
        <v>69.0</v>
      </c>
      <c r="B70" s="4" t="s">
        <v>2686</v>
      </c>
      <c r="C70" s="4" t="s">
        <v>2687</v>
      </c>
      <c r="D70" s="4" t="s">
        <v>1438</v>
      </c>
      <c r="E70" s="4" t="s">
        <v>2688</v>
      </c>
      <c r="G70" s="5" t="str">
        <f>IFERROR(__xludf.DUMMYFUNCTION(" GOOGLETRANSLATE(A70, ""en"", ""am"")"),"69")</f>
        <v>69</v>
      </c>
      <c r="H70" s="5" t="str">
        <f>IFERROR(__xludf.DUMMYFUNCTION(" GOOGLETRANSLATE(B70, ""en"", ""am"")"),"በአፍሪካ ሻምፒዮና ላይ ለመጀመሪያ ጊዜ የተሳተፈው የሲዳማ ስፖርተኛ የትኛው ነው?")</f>
        <v>በአፍሪካ ሻምፒዮና ላይ ለመጀመሪያ ጊዜ የተሳተፈው የሲዳማ ስፖርተኛ የትኛው ነው?</v>
      </c>
      <c r="I70" s="5" t="str">
        <f>IFERROR(__xludf.DUMMYFUNCTION(" GOOGLETRANSLATE(C70, ""en"", ""am"")"),"A. Bekele Dida B. ጠፍቷል። ሲ አብዲ አብዱልቃድር ዲ.ጀማል አሊ")</f>
        <v>A. Bekele Dida B. ጠፍቷል። ሲ አብዲ አብዱልቃድር ዲ.ጀማል አሊ</v>
      </c>
      <c r="J70" s="5" t="str">
        <f>IFERROR(__xludf.DUMMYFUNCTION(" GOOGLETRANSLATE(D70, ""en"", ""am"")"),"ጀማል አሊ")</f>
        <v>ጀማል አሊ</v>
      </c>
      <c r="K70" s="5" t="str">
        <f>IFERROR(__xludf.DUMMYFUNCTION(" GOOGLETRANSLATE(E70, ""en"", ""am"")"),"ጀማል አሊ በአፍሪካ ሻምፒዮና የተሳተፈ የመጀመሪያው የሲዳማ አትሌት ነው።")</f>
        <v>ጀማል አሊ በአፍሪካ ሻምፒዮና የተሳተፈ የመጀመሪያው የሲዳማ አትሌት ነው።</v>
      </c>
    </row>
    <row r="71" ht="22.5" customHeight="1">
      <c r="A71" s="3">
        <v>70.0</v>
      </c>
      <c r="B71" s="4" t="s">
        <v>2689</v>
      </c>
      <c r="C71" s="4" t="s">
        <v>2690</v>
      </c>
      <c r="D71" s="4" t="s">
        <v>2691</v>
      </c>
      <c r="E71" s="4" t="s">
        <v>2692</v>
      </c>
      <c r="G71" s="5" t="str">
        <f>IFERROR(__xludf.DUMMYFUNCTION(" GOOGLETRANSLATE(A71, ""en"", ""am"")"),"70")</f>
        <v>70</v>
      </c>
      <c r="H71" s="5" t="str">
        <f>IFERROR(__xludf.DUMMYFUNCTION(" GOOGLETRANSLATE(B71, ""en"", ""am"")"),"የ2012 የሲዳማ ጨዋታዎች ተፅእኖ ምን ነበር?")</f>
        <v>የ2012 የሲዳማ ጨዋታዎች ተፅእኖ ምን ነበር?</v>
      </c>
      <c r="I71" s="5" t="str">
        <f>IFERROR(__xludf.DUMMYFUNCTION(" GOOGLETRANSLATE(C71, ""en"", ""am"")"),"ሀ. ስፖንሰርነት ጨምሯል። ለ. ከፍተኛ የሚዲያ ትኩረት ሐ. አዲስ ዓለም አቀፍ ቡድኖች መ. ሰፊ ተሳትፎ")</f>
        <v>ሀ. ስፖንሰርነት ጨምሯል። ለ. ከፍተኛ የሚዲያ ትኩረት ሐ. አዲስ ዓለም አቀፍ ቡድኖች መ. ሰፊ ተሳትፎ</v>
      </c>
      <c r="J71" s="5" t="str">
        <f>IFERROR(__xludf.DUMMYFUNCTION(" GOOGLETRANSLATE(D71, ""en"", ""am"")"),"ሰፊ ተሳትፎ")</f>
        <v>ሰፊ ተሳትፎ</v>
      </c>
      <c r="K71" s="5" t="str">
        <f>IFERROR(__xludf.DUMMYFUNCTION(" GOOGLETRANSLATE(E71, ""en"", ""am"")"),"የ2012 የሲዳማ ጨዋታ ከብዙ ሀገራት አትሌቶች ጋር ሰፊ ተሳትፎ ታይቷል።")</f>
        <v>የ2012 የሲዳማ ጨዋታ ከብዙ ሀገራት አትሌቶች ጋር ሰፊ ተሳትፎ ታይቷል።</v>
      </c>
    </row>
    <row r="72" ht="22.5" customHeight="1">
      <c r="A72" s="3">
        <v>71.0</v>
      </c>
      <c r="B72" s="4" t="s">
        <v>2693</v>
      </c>
      <c r="C72" s="4" t="s">
        <v>2694</v>
      </c>
      <c r="D72" s="4" t="s">
        <v>2610</v>
      </c>
      <c r="E72" s="4" t="s">
        <v>2695</v>
      </c>
      <c r="G72" s="5" t="str">
        <f>IFERROR(__xludf.DUMMYFUNCTION(" GOOGLETRANSLATE(A72, ""en"", ""am"")"),"71")</f>
        <v>71</v>
      </c>
      <c r="H72" s="5" t="str">
        <f>IFERROR(__xludf.DUMMYFUNCTION(" GOOGLETRANSLATE(B72, ""en"", ""am"")"),"በ2015 በሲዳማ ታሪክ ምን ትልቅ ክስተት ተከሰተ?")</f>
        <v>በ2015 በሲዳማ ታሪክ ምን ትልቅ ክስተት ተከሰተ?</v>
      </c>
      <c r="I72" s="5" t="str">
        <f>IFERROR(__xludf.DUMMYFUNCTION(" GOOGLETRANSLATE(C72, ""en"", ""am"")"),"ሀ.የመጀመሪያዋ ሴት ሻምፒዮን ለ.በአፍሪካ ጨዋታዎች መካተት ሐ.የመጀመሪያው የቴሌቭዥን አለም ዋንጫ መ.በአፍሪካ ጨዋታዎች መካተት")</f>
        <v>ሀ.የመጀመሪያዋ ሴት ሻምፒዮን ለ.በአፍሪካ ጨዋታዎች መካተት ሐ.የመጀመሪያው የቴሌቭዥን አለም ዋንጫ መ.በአፍሪካ ጨዋታዎች መካተት</v>
      </c>
      <c r="J72" s="5" t="str">
        <f>IFERROR(__xludf.DUMMYFUNCTION(" GOOGLETRANSLATE(D72, ""en"", ""am"")"),"በአፍሪካ ጨዋታዎች ውስጥ መካተት")</f>
        <v>በአፍሪካ ጨዋታዎች ውስጥ መካተት</v>
      </c>
      <c r="K72" s="5" t="str">
        <f>IFERROR(__xludf.DUMMYFUNCTION(" GOOGLETRANSLATE(E72, ""en"", ""am"")"),"የሲዳማ ስፖርት በ2015 የአፍሪካ ጨዋታዎች ተካቷል ይህም ትልቅ ምዕራፍ ነው።")</f>
        <v>የሲዳማ ስፖርት በ2015 የአፍሪካ ጨዋታዎች ተካቷል ይህም ትልቅ ምዕራፍ ነው።</v>
      </c>
    </row>
    <row r="73" ht="22.5" customHeight="1">
      <c r="A73" s="3">
        <v>72.0</v>
      </c>
      <c r="B73" s="4" t="s">
        <v>2696</v>
      </c>
      <c r="C73" s="4" t="s">
        <v>2697</v>
      </c>
      <c r="D73" s="4" t="s">
        <v>2560</v>
      </c>
      <c r="E73" s="4" t="s">
        <v>2698</v>
      </c>
      <c r="G73" s="5" t="str">
        <f>IFERROR(__xludf.DUMMYFUNCTION(" GOOGLETRANSLATE(A73, ""en"", ""am"")"),"72")</f>
        <v>72</v>
      </c>
      <c r="H73" s="5" t="str">
        <f>IFERROR(__xludf.DUMMYFUNCTION(" GOOGLETRANSLATE(B73, ""en"", ""am"")"),"ከመኸር በዓል ጋር የተያያዘው የሲዳማ ባህላዊ ስፖርት የትኛው ነው?")</f>
        <v>ከመኸር በዓል ጋር የተያያዘው የሲዳማ ባህላዊ ስፖርት የትኛው ነው?</v>
      </c>
      <c r="I73" s="5" t="str">
        <f>IFERROR(__xludf.DUMMYFUNCTION(" GOOGLETRANSLATE(C73, ""en"", ""am"")"),"አ.ሲዳማ ቀስት ለ.ሲዳማ እየሮጠ ነው። ሐ. የሲዳማ እግር ኳስ ዲ. የሲዳማ ትግል")</f>
        <v>አ.ሲዳማ ቀስት ለ.ሲዳማ እየሮጠ ነው። ሐ. የሲዳማ እግር ኳስ ዲ. የሲዳማ ትግል</v>
      </c>
      <c r="J73" s="5" t="str">
        <f>IFERROR(__xludf.DUMMYFUNCTION(" GOOGLETRANSLATE(D73, ""en"", ""am"")"),"የሲዳማ ትግል")</f>
        <v>የሲዳማ ትግል</v>
      </c>
      <c r="K73" s="5" t="str">
        <f>IFERROR(__xludf.DUMMYFUNCTION(" GOOGLETRANSLATE(E73, ""en"", ""am"")"),"የሲዳማ ትግል ከሲዳማ ህዝብ ባህላዊ የመኸር አከባበር ጋር የተያያዘ ነው።")</f>
        <v>የሲዳማ ትግል ከሲዳማ ህዝብ ባህላዊ የመኸር አከባበር ጋር የተያያዘ ነው።</v>
      </c>
    </row>
    <row r="74" ht="22.5" customHeight="1">
      <c r="A74" s="3">
        <v>73.0</v>
      </c>
      <c r="B74" s="4" t="s">
        <v>2699</v>
      </c>
      <c r="C74" s="4" t="s">
        <v>2700</v>
      </c>
      <c r="D74" s="4" t="s">
        <v>2666</v>
      </c>
      <c r="E74" s="4" t="s">
        <v>2701</v>
      </c>
      <c r="G74" s="5" t="str">
        <f>IFERROR(__xludf.DUMMYFUNCTION(" GOOGLETRANSLATE(A74, ""en"", ""am"")"),"73")</f>
        <v>73</v>
      </c>
      <c r="H74" s="5" t="str">
        <f>IFERROR(__xludf.DUMMYFUNCTION(" GOOGLETRANSLATE(B74, ""en"", ""am"")"),"በ1996 የትኛው የሲዳማ ውድድር ተጀመረ?")</f>
        <v>በ1996 የትኛው የሲዳማ ውድድር ተጀመረ?</v>
      </c>
      <c r="I74" s="5" t="str">
        <f>IFERROR(__xludf.DUMMYFUNCTION(" GOOGLETRANSLATE(C74, ""en"", ""am"")"),"አ. የሲዳማ ግብዣ ለ. ሲዳማ የአለም ሻምፒዮና ሐ. የሲዳማ ጨዋታዎች ዲ. ሲዳማ ክላሲክ")</f>
        <v>አ. የሲዳማ ግብዣ ለ. ሲዳማ የአለም ሻምፒዮና ሐ. የሲዳማ ጨዋታዎች ዲ. ሲዳማ ክላሲክ</v>
      </c>
      <c r="J74" s="5" t="str">
        <f>IFERROR(__xludf.DUMMYFUNCTION(" GOOGLETRANSLATE(D74, ""en"", ""am"")"),"ሲዳማ ክላሲክ")</f>
        <v>ሲዳማ ክላሲክ</v>
      </c>
      <c r="K74" s="5" t="str">
        <f>IFERROR(__xludf.DUMMYFUNCTION(" GOOGLETRANSLATE(E74, ""en"", ""am"")"),"የሲዳማ ክላሲክ በ1996 ለሀገር ውስጥ አትሌቶች ቀዳሚ ክስተት ሆኖ አስተዋወቀ።")</f>
        <v>የሲዳማ ክላሲክ በ1996 ለሀገር ውስጥ አትሌቶች ቀዳሚ ክስተት ሆኖ አስተዋወቀ።</v>
      </c>
    </row>
    <row r="75" ht="22.5" customHeight="1">
      <c r="A75" s="3">
        <v>74.0</v>
      </c>
      <c r="B75" s="4" t="s">
        <v>2702</v>
      </c>
      <c r="C75" s="4" t="s">
        <v>2703</v>
      </c>
      <c r="D75" s="4" t="s">
        <v>2704</v>
      </c>
      <c r="E75" s="4" t="s">
        <v>2705</v>
      </c>
      <c r="G75" s="5" t="str">
        <f>IFERROR(__xludf.DUMMYFUNCTION(" GOOGLETRANSLATE(A75, ""en"", ""am"")"),"74")</f>
        <v>74</v>
      </c>
      <c r="H75" s="5" t="str">
        <f>IFERROR(__xludf.DUMMYFUNCTION(" GOOGLETRANSLATE(B75, ""en"", ""am"")"),"በሲዳማ ስፖርት ፌዴሬሽን ምስረታ ላይ ተጽዕኖ ያሳደረው የትኛው ታሪካዊ ክስተት ነው?")</f>
        <v>በሲዳማ ስፖርት ፌዴሬሽን ምስረታ ላይ ተጽዕኖ ያሳደረው የትኛው ታሪካዊ ክስተት ነው?</v>
      </c>
      <c r="I75" s="5" t="str">
        <f>IFERROR(__xludf.DUMMYFUNCTION(" GOOGLETRANSLATE(C75, ""en"", ""am"")"),"ሀ.የብሔርተኝነት መነሳት ለ.የኢትዮጵያ አብዮት። ሐ. የቅኝ ግዛት ተጽእኖ መ. የብሔርተኝነት መነሳት")</f>
        <v>ሀ.የብሔርተኝነት መነሳት ለ.የኢትዮጵያ አብዮት። ሐ. የቅኝ ግዛት ተጽእኖ መ. የብሔርተኝነት መነሳት</v>
      </c>
      <c r="J75" s="5" t="str">
        <f>IFERROR(__xludf.DUMMYFUNCTION(" GOOGLETRANSLATE(D75, ""en"", ""am"")"),"የብሔርተኝነት መነሳት")</f>
        <v>የብሔርተኝነት መነሳት</v>
      </c>
      <c r="K75" s="5" t="str">
        <f>IFERROR(__xludf.DUMMYFUNCTION(" GOOGLETRANSLATE(E75, ""en"", ""am"")"),"የሲዳማ ስፖርት ፌደሬሽን ምስረታ በኢትዮጵያ የብሔርተኝነት መነሳት ተጽዕኖ አሳድሯል።")</f>
        <v>የሲዳማ ስፖርት ፌደሬሽን ምስረታ በኢትዮጵያ የብሔርተኝነት መነሳት ተጽዕኖ አሳድሯል።</v>
      </c>
    </row>
    <row r="76" ht="22.5" customHeight="1">
      <c r="A76" s="3">
        <v>75.0</v>
      </c>
      <c r="B76" s="4" t="s">
        <v>2706</v>
      </c>
      <c r="C76" s="4" t="s">
        <v>2320</v>
      </c>
      <c r="D76" s="4" t="s">
        <v>876</v>
      </c>
      <c r="E76" s="4" t="s">
        <v>876</v>
      </c>
      <c r="G76" s="5" t="str">
        <f>IFERROR(__xludf.DUMMYFUNCTION(" GOOGLETRANSLATE(A76, ""en"", ""am"")"),"75")</f>
        <v>75</v>
      </c>
      <c r="H76" s="5" t="str">
        <f>IFERROR(__xludf.DUMMYFUNCTION(" GOOGLETRANSLATE(B76, ""en"", ""am"")"),"ሲዳማ ስፖርት ለመጀመሪያ ጊዜ በኢትዮጵያ ብሄራዊ ቴሌቪዥን የታየበት አመት ስንት ነበር?")</f>
        <v>ሲዳማ ስፖርት ለመጀመሪያ ጊዜ በኢትዮጵያ ብሄራዊ ቴሌቪዥን የታየበት አመት ስንት ነበር?</v>
      </c>
      <c r="I76" s="5" t="str">
        <f>IFERROR(__xludf.DUMMYFUNCTION(" GOOGLETRANSLATE(C76, ""en"", ""am"")"),"ኣብ 1990 ዓ.ም.2000 ዓ.ም.2010 ዲ.1990")</f>
        <v>ኣብ 1990 ዓ.ም.2000 ዓ.ም.2010 ዲ.1990</v>
      </c>
      <c r="J76" s="5" t="str">
        <f>IFERROR(__xludf.DUMMYFUNCTION(" GOOGLETRANSLATE(D76, ""en"", ""am"")"),"በ1990 ዓ.ም")</f>
        <v>በ1990 ዓ.ም</v>
      </c>
      <c r="K76" s="5" t="str">
        <f>IFERROR(__xludf.DUMMYFUNCTION(" GOOGLETRANSLATE(E76, ""en"", ""am"")"),"በ1990 ዓ.ም")</f>
        <v>በ1990 ዓ.ም</v>
      </c>
    </row>
    <row r="77" ht="22.5" customHeight="1">
      <c r="A77" s="3">
        <v>76.0</v>
      </c>
      <c r="B77" s="4" t="s">
        <v>2707</v>
      </c>
      <c r="C77" s="4" t="s">
        <v>2708</v>
      </c>
      <c r="D77" s="4" t="s">
        <v>2651</v>
      </c>
      <c r="E77" s="4" t="s">
        <v>2709</v>
      </c>
      <c r="G77" s="5" t="str">
        <f>IFERROR(__xludf.DUMMYFUNCTION(" GOOGLETRANSLATE(A77, ""en"", ""am"")"),"76")</f>
        <v>76</v>
      </c>
      <c r="H77" s="5" t="str">
        <f>IFERROR(__xludf.DUMMYFUNCTION(" GOOGLETRANSLATE(B77, ""en"", ""am"")"),"በ2008 የአለም ሻምፒዮና ያሸነፈው የትኛው የሲዳማ ስፖርተኛ ነው?")</f>
        <v>በ2008 የአለም ሻምፒዮና ያሸነፈው የትኛው የሲዳማ ስፖርተኛ ነው?</v>
      </c>
      <c r="I77" s="5" t="str">
        <f>IFERROR(__xludf.DUMMYFUNCTION(" GOOGLETRANSLATE(C77, ""en"", ""am"")"),"ሀ. ጠፍቷል። ብ ጀማል አሊ ሲ አብዲ አብዱልቃድር ዲ. ጠፍቷል።")</f>
        <v>ሀ. ጠፍቷል። ብ ጀማል አሊ ሲ አብዲ አብዱልቃድር ዲ. ጠፍቷል።</v>
      </c>
      <c r="J77" s="5" t="str">
        <f>IFERROR(__xludf.DUMMYFUNCTION(" GOOGLETRANSLATE(D77, ""en"", ""am"")"),"ጠፍቷል።")</f>
        <v>ጠፍቷል።</v>
      </c>
      <c r="K77" s="5" t="str">
        <f>IFERROR(__xludf.DUMMYFUNCTION(" GOOGLETRANSLATE(E77, ""en"", ""am"")"),"ከድር ዘለቀ በ2008 የመጀመሪያውን የሲዳማ አለም ሻምፒዮና አሸንፏል።")</f>
        <v>ከድር ዘለቀ በ2008 የመጀመሪያውን የሲዳማ አለም ሻምፒዮና አሸንፏል።</v>
      </c>
    </row>
    <row r="78" ht="22.5" customHeight="1">
      <c r="A78" s="3">
        <v>77.0</v>
      </c>
      <c r="B78" s="4" t="s">
        <v>2710</v>
      </c>
      <c r="C78" s="4" t="s">
        <v>2711</v>
      </c>
      <c r="D78" s="4" t="s">
        <v>2712</v>
      </c>
      <c r="E78" s="4" t="s">
        <v>2713</v>
      </c>
      <c r="G78" s="5" t="str">
        <f>IFERROR(__xludf.DUMMYFUNCTION(" GOOGLETRANSLATE(A78, ""en"", ""am"")"),"77")</f>
        <v>77</v>
      </c>
      <c r="H78" s="5" t="str">
        <f>IFERROR(__xludf.DUMMYFUNCTION(" GOOGLETRANSLATE(B78, ""en"", ""am"")"),"የትኛው የሲዳማ ስፖርት ዝግጅት የኤሌክትሮኒካዊ የጊዜ አሰራርን ተጠቅሟል?")</f>
        <v>የትኛው የሲዳማ ስፖርት ዝግጅት የኤሌክትሮኒካዊ የጊዜ አሰራርን ተጠቅሟል?</v>
      </c>
      <c r="I78" s="5" t="str">
        <f>IFERROR(__xludf.DUMMYFUNCTION(" GOOGLETRANSLATE(C78, ""en"", ""am"")"),"አ. የሲዳማ ክላሲክ ለ. የሲዳማ ብሔራዊ ጨዋታዎች ሐ. የሲዳማ ግብዣ ዲ. ሲዳማ የዓለም ዋንጫ")</f>
        <v>አ. የሲዳማ ክላሲክ ለ. የሲዳማ ብሔራዊ ጨዋታዎች ሐ. የሲዳማ ግብዣ ዲ. ሲዳማ የዓለም ዋንጫ</v>
      </c>
      <c r="J78" s="5" t="str">
        <f>IFERROR(__xludf.DUMMYFUNCTION(" GOOGLETRANSLATE(D78, ""en"", ""am"")"),"የሲዳማ የአለም ዋንጫ")</f>
        <v>የሲዳማ የአለም ዋንጫ</v>
      </c>
      <c r="K78" s="5" t="str">
        <f>IFERROR(__xludf.DUMMYFUNCTION(" GOOGLETRANSLATE(E78, ""en"", ""am"")"),"የሲዳማ አለም ዋንጫ በኤሌክትሮኒካዊ ጊዜ በመጠቀም ውጤት ለማስመዝገብ የመጀመሪያው ነው።")</f>
        <v>የሲዳማ አለም ዋንጫ በኤሌክትሮኒካዊ ጊዜ በመጠቀም ውጤት ለማስመዝገብ የመጀመሪያው ነው።</v>
      </c>
    </row>
    <row r="79" ht="22.5" customHeight="1">
      <c r="A79" s="3">
        <v>78.0</v>
      </c>
      <c r="B79" s="4" t="s">
        <v>2714</v>
      </c>
      <c r="C79" s="4" t="s">
        <v>2715</v>
      </c>
      <c r="D79" s="4" t="s">
        <v>2716</v>
      </c>
      <c r="E79" s="4" t="s">
        <v>2717</v>
      </c>
      <c r="G79" s="5" t="str">
        <f>IFERROR(__xludf.DUMMYFUNCTION(" GOOGLETRANSLATE(A79, ""en"", ""am"")"),"78")</f>
        <v>78</v>
      </c>
      <c r="H79" s="5" t="str">
        <f>IFERROR(__xludf.DUMMYFUNCTION(" GOOGLETRANSLATE(B79, ""en"", ""am"")"),"በ1992 የሲዳማ ስፖርት ፌስቲቫል ምን ፋይዳ ነበረው?")</f>
        <v>በ1992 የሲዳማ ስፖርት ፌስቲቫል ምን ፋይዳ ነበረው?</v>
      </c>
      <c r="I79" s="5" t="str">
        <f>IFERROR(__xludf.DUMMYFUNCTION(" GOOGLETRANSLATE(C79, ""en"", ""am"")"),"ሀ. የመጀመሪያ ሴት አትሌቶች ለ. የብሔራዊ አትሌቶች የመጀመሪያ ገለጻ ሐ. የመጀመሪያው ክስተት በቴሌቭዥን ስርጭት D. የመጀመሪያ ዓለም አቀፍ ተሳትፎ")</f>
        <v>ሀ. የመጀመሪያ ሴት አትሌቶች ለ. የብሔራዊ አትሌቶች የመጀመሪያ ገለጻ ሐ. የመጀመሪያው ክስተት በቴሌቭዥን ስርጭት D. የመጀመሪያ ዓለም አቀፍ ተሳትፎ</v>
      </c>
      <c r="J79" s="5" t="str">
        <f>IFERROR(__xludf.DUMMYFUNCTION(" GOOGLETRANSLATE(D79, ""en"", ""am"")"),"የመጀመሪያው ዓለም አቀፍ ተሳትፎ")</f>
        <v>የመጀመሪያው ዓለም አቀፍ ተሳትፎ</v>
      </c>
      <c r="K79" s="5" t="str">
        <f>IFERROR(__xludf.DUMMYFUNCTION(" GOOGLETRANSLATE(E79, ""en"", ""am"")"),"በ1992 የተካሄደው የሲዳማ ስፖርት ፌስቲቫል አለም አቀፍ ደረጃቸውን የጠበቁ አትሌቶች የተሳተፉበት የመጀመሪያው ነው።")</f>
        <v>በ1992 የተካሄደው የሲዳማ ስፖርት ፌስቲቫል አለም አቀፍ ደረጃቸውን የጠበቁ አትሌቶች የተሳተፉበት የመጀመሪያው ነው።</v>
      </c>
    </row>
    <row r="80" ht="22.5" customHeight="1">
      <c r="A80" s="3">
        <v>79.0</v>
      </c>
      <c r="B80" s="4" t="s">
        <v>2718</v>
      </c>
      <c r="C80" s="4" t="s">
        <v>2719</v>
      </c>
      <c r="D80" s="4" t="s">
        <v>2560</v>
      </c>
      <c r="E80" s="4" t="s">
        <v>2720</v>
      </c>
      <c r="G80" s="5" t="str">
        <f>IFERROR(__xludf.DUMMYFUNCTION(" GOOGLETRANSLATE(A80, ""en"", ""am"")"),"79")</f>
        <v>79</v>
      </c>
      <c r="H80" s="5" t="str">
        <f>IFERROR(__xludf.DUMMYFUNCTION(" GOOGLETRANSLATE(B80, ""en"", ""am"")"),"የትኛው የሲዳማ ስፖርት የባህል ውዝዋዜ እና አትሌቲክስ ድብልቅ ነው የሚባለው?")</f>
        <v>የትኛው የሲዳማ ስፖርት የባህል ውዝዋዜ እና አትሌቲክስ ድብልቅ ነው የሚባለው?</v>
      </c>
      <c r="I80" s="5" t="str">
        <f>IFERROR(__xludf.DUMMYFUNCTION(" GOOGLETRANSLATE(C80, ""en"", ""am"")"),"አ. የሲዳማ እግር ኳስ ለ. የሲዳማ ቀስት ቀስት ሐ. የሲዳማ ሩጫ ዲ. የሲዳማ ትግል")</f>
        <v>አ. የሲዳማ እግር ኳስ ለ. የሲዳማ ቀስት ቀስት ሐ. የሲዳማ ሩጫ ዲ. የሲዳማ ትግል</v>
      </c>
      <c r="J80" s="5" t="str">
        <f>IFERROR(__xludf.DUMMYFUNCTION(" GOOGLETRANSLATE(D80, ""en"", ""am"")"),"የሲዳማ ትግል")</f>
        <v>የሲዳማ ትግል</v>
      </c>
      <c r="K80" s="5" t="str">
        <f>IFERROR(__xludf.DUMMYFUNCTION(" GOOGLETRANSLATE(E80, ""en"", ""am"")"),"የሲዳማ ትግል በሲዳማ ባህል ላይ የተመሰረተ የባህል ውዝዋዜ እና የአትሌቲክስ ውድድር ነው።")</f>
        <v>የሲዳማ ትግል በሲዳማ ባህል ላይ የተመሰረተ የባህል ውዝዋዜ እና የአትሌቲክስ ውድድር ነው።</v>
      </c>
    </row>
    <row r="81" ht="22.5" customHeight="1">
      <c r="A81" s="3">
        <v>80.0</v>
      </c>
      <c r="B81" s="4" t="s">
        <v>2721</v>
      </c>
      <c r="C81" s="4" t="s">
        <v>2722</v>
      </c>
      <c r="D81" s="4" t="s">
        <v>2723</v>
      </c>
      <c r="E81" s="4" t="s">
        <v>2724</v>
      </c>
      <c r="G81" s="5" t="str">
        <f>IFERROR(__xludf.DUMMYFUNCTION(" GOOGLETRANSLATE(A81, ""en"", ""am"")"),"80")</f>
        <v>80</v>
      </c>
      <c r="H81" s="5" t="str">
        <f>IFERROR(__xludf.DUMMYFUNCTION(" GOOGLETRANSLATE(B81, ""en"", ""am"")"),"በ2010 የሲዳማ ስፖርት ዋና ስኬት ምን ነበር?")</f>
        <v>በ2010 የሲዳማ ስፖርት ዋና ስኬት ምን ነበር?</v>
      </c>
      <c r="I81" s="5" t="str">
        <f>IFERROR(__xludf.DUMMYFUNCTION(" GOOGLETRANSLATE(C81, ""en"", ""am"")"),"ሀ. በኦሎምፒክ ለመጀመሪያ ጊዜ መታየት B. በአፍሪካ ጨዋታዎች ለመጀመሪያ ጊዜ መታየት ሐ. የመጀመሪያው ብሔራዊ ስፖርት አካዳሚ D. ለመጀመሪያ ጊዜ በኦሎምፒክ ታየ")</f>
        <v>ሀ. በኦሎምፒክ ለመጀመሪያ ጊዜ መታየት B. በአፍሪካ ጨዋታዎች ለመጀመሪያ ጊዜ መታየት ሐ. የመጀመሪያው ብሔራዊ ስፖርት አካዳሚ D. ለመጀመሪያ ጊዜ በኦሎምፒክ ታየ</v>
      </c>
      <c r="J81" s="5" t="str">
        <f>IFERROR(__xludf.DUMMYFUNCTION(" GOOGLETRANSLATE(D81, ""en"", ""am"")"),"በኦሎምፒክ ላይ ለመጀመሪያ ጊዜ መታየት")</f>
        <v>በኦሎምፒክ ላይ ለመጀመሪያ ጊዜ መታየት</v>
      </c>
      <c r="K81" s="5" t="str">
        <f>IFERROR(__xludf.DUMMYFUNCTION(" GOOGLETRANSLATE(E81, ""en"", ""am"")"),"የሲዳማ ስፖርት የመጀመርያ ጨዋታውን ያደረገው በ2010 ኦሊምፒክ ነው።")</f>
        <v>የሲዳማ ስፖርት የመጀመርያ ጨዋታውን ያደረገው በ2010 ኦሊምፒክ ነው።</v>
      </c>
    </row>
    <row r="82" ht="22.5" customHeight="1">
      <c r="A82" s="3">
        <v>81.0</v>
      </c>
      <c r="B82" s="4" t="s">
        <v>2725</v>
      </c>
      <c r="C82" s="4" t="s">
        <v>1471</v>
      </c>
      <c r="D82" s="4" t="s">
        <v>1472</v>
      </c>
      <c r="E82" s="4" t="s">
        <v>1472</v>
      </c>
      <c r="G82" s="5" t="str">
        <f>IFERROR(__xludf.DUMMYFUNCTION(" GOOGLETRANSLATE(A82, ""en"", ""am"")"),"81")</f>
        <v>81</v>
      </c>
      <c r="H82" s="5" t="str">
        <f>IFERROR(__xludf.DUMMYFUNCTION(" GOOGLETRANSLATE(B82, ""en"", ""am"")"),"ከስንት አመት በፊት የሲዳማ ስፖርት በኢትዮጵያ ብሄራዊ እውቅና አገኘ?")</f>
        <v>ከስንት አመት በፊት የሲዳማ ስፖርት በኢትዮጵያ ብሄራዊ እውቅና አገኘ?</v>
      </c>
      <c r="I82" s="5" t="str">
        <f>IFERROR(__xludf.DUMMYFUNCTION(" GOOGLETRANSLATE(C82, ""en"", ""am"")"),"ኣብ 1970 ብ 1980 ዓ.ም. 1990 ዲ. 1980 ዓ.ም.")</f>
        <v>ኣብ 1970 ብ 1980 ዓ.ም. 1990 ዲ. 1980 ዓ.ም.</v>
      </c>
      <c r="J82" s="5" t="str">
        <f>IFERROR(__xludf.DUMMYFUNCTION(" GOOGLETRANSLATE(D82, ""en"", ""am"")"),"በ1980 ዓ.ም")</f>
        <v>በ1980 ዓ.ም</v>
      </c>
      <c r="K82" s="5" t="str">
        <f>IFERROR(__xludf.DUMMYFUNCTION(" GOOGLETRANSLATE(E82, ""en"", ""am"")"),"በ1980 ዓ.ም")</f>
        <v>በ1980 ዓ.ም</v>
      </c>
    </row>
    <row r="83" ht="22.5" customHeight="1">
      <c r="A83" s="3">
        <v>82.0</v>
      </c>
      <c r="B83" s="4" t="s">
        <v>2726</v>
      </c>
      <c r="C83" s="4" t="s">
        <v>2727</v>
      </c>
      <c r="D83" s="4" t="s">
        <v>2728</v>
      </c>
      <c r="E83" s="4" t="s">
        <v>2729</v>
      </c>
      <c r="G83" s="5" t="str">
        <f>IFERROR(__xludf.DUMMYFUNCTION(" GOOGLETRANSLATE(A83, ""en"", ""am"")"),"82")</f>
        <v>82</v>
      </c>
      <c r="H83" s="5" t="str">
        <f>IFERROR(__xludf.DUMMYFUNCTION(" GOOGLETRANSLATE(B83, ""en"", ""am"")"),"በኮመንዌልዝ ጨዋታዎች ላይ ለመጀመሪያ ጊዜ የተሳተፈው የሲዳማ ስፖርተኛ የትኛው ነው?")</f>
        <v>በኮመንዌልዝ ጨዋታዎች ላይ ለመጀመሪያ ጊዜ የተሳተፈው የሲዳማ ስፖርተኛ የትኛው ነው?</v>
      </c>
      <c r="I83" s="5" t="str">
        <f>IFERROR(__xludf.DUMMYFUNCTION(" GOOGLETRANSLATE(C83, ""en"", ""am"")"),"አ.አብዲ አብዱልቃድር ብ በቀለ ዲዳ ሲ. ሙሀመድ ኢብራሂም ዲ.በቀለ ዲዳ")</f>
        <v>አ.አብዲ አብዱልቃድር ብ በቀለ ዲዳ ሲ. ሙሀመድ ኢብራሂም ዲ.በቀለ ዲዳ</v>
      </c>
      <c r="J83" s="5" t="str">
        <f>IFERROR(__xludf.DUMMYFUNCTION(" GOOGLETRANSLATE(D83, ""en"", ""am"")"),"በቀለ ዲዳ")</f>
        <v>በቀለ ዲዳ</v>
      </c>
      <c r="K83" s="5" t="str">
        <f>IFERROR(__xludf.DUMMYFUNCTION(" GOOGLETRANSLATE(E83, ""en"", ""am"")"),"በቀለ ዲዳ በኮመንዌልዝ ጨዋታዎች የተሳተፈ የመጀመሪያው የሲዳማ ስፖርተኛ ነው።")</f>
        <v>በቀለ ዲዳ በኮመንዌልዝ ጨዋታዎች የተሳተፈ የመጀመሪያው የሲዳማ ስፖርተኛ ነው።</v>
      </c>
    </row>
    <row r="84" ht="22.5" customHeight="1">
      <c r="A84" s="3">
        <v>83.0</v>
      </c>
      <c r="B84" s="4" t="s">
        <v>2730</v>
      </c>
      <c r="C84" s="4" t="s">
        <v>2731</v>
      </c>
      <c r="D84" s="4" t="s">
        <v>858</v>
      </c>
      <c r="E84" s="4" t="s">
        <v>858</v>
      </c>
      <c r="G84" s="5" t="str">
        <f>IFERROR(__xludf.DUMMYFUNCTION(" GOOGLETRANSLATE(A84, ""en"", ""am"")"),"83")</f>
        <v>83</v>
      </c>
      <c r="H84" s="5" t="str">
        <f>IFERROR(__xludf.DUMMYFUNCTION(" GOOGLETRANSLATE(B84, ""en"", ""am"")"),"የሲዳማ ብሄራዊ ስፖርት ፌዴሬሽን የተቋቋመው በየትኛው አመት ነው?")</f>
        <v>የሲዳማ ብሄራዊ ስፖርት ፌዴሬሽን የተቋቋመው በየትኛው አመት ነው?</v>
      </c>
      <c r="I84" s="5" t="str">
        <f>IFERROR(__xludf.DUMMYFUNCTION(" GOOGLETRANSLATE(C84, ""en"", ""am"")"),"ኣብ 1980 ብ1985 ዓ.ም.1990 ድ.1985 ዓ.ም.")</f>
        <v>ኣብ 1980 ብ1985 ዓ.ም.1990 ድ.1985 ዓ.ም.</v>
      </c>
      <c r="J84" s="5" t="str">
        <f>IFERROR(__xludf.DUMMYFUNCTION(" GOOGLETRANSLATE(D84, ""en"", ""am"")"),"በ1985 ዓ.ም")</f>
        <v>በ1985 ዓ.ም</v>
      </c>
      <c r="K84" s="5" t="str">
        <f>IFERROR(__xludf.DUMMYFUNCTION(" GOOGLETRANSLATE(E84, ""en"", ""am"")"),"በ1985 ዓ.ም")</f>
        <v>በ1985 ዓ.ም</v>
      </c>
    </row>
    <row r="85" ht="22.5" customHeight="1">
      <c r="A85" s="3">
        <v>84.0</v>
      </c>
      <c r="B85" s="4" t="s">
        <v>2732</v>
      </c>
      <c r="C85" s="4" t="s">
        <v>2733</v>
      </c>
      <c r="D85" s="4" t="s">
        <v>2734</v>
      </c>
      <c r="E85" s="4" t="s">
        <v>2735</v>
      </c>
      <c r="G85" s="5" t="str">
        <f>IFERROR(__xludf.DUMMYFUNCTION(" GOOGLETRANSLATE(A85, ""en"", ""am"")"),"84")</f>
        <v>84</v>
      </c>
      <c r="H85" s="5" t="str">
        <f>IFERROR(__xludf.DUMMYFUNCTION(" GOOGLETRANSLATE(B85, ""en"", ""am"")"),"የሲዳማ ስፖርተኞች በአለም አቀፍ ደረጃ በስፖርታዊ ጨዋነት እውቅና ሲያገኙ የየትኛው ክስተት ነው?")</f>
        <v>የሲዳማ ስፖርተኞች በአለም አቀፍ ደረጃ በስፖርታዊ ጨዋነት እውቅና ሲያገኙ የየትኛው ክስተት ነው?</v>
      </c>
      <c r="I85" s="5" t="str">
        <f>IFERROR(__xludf.DUMMYFUNCTION(" GOOGLETRANSLATE(C85, ""en"", ""am"")"),"አ. የሲዳማ ጨዋታዎች 2005 ለ. የኢትዮጵያውያን ስፖርት ፌስቲቫል 2003 ዓ. የአፍሪካ ጨዋታዎች 2007 ዲ. የዓለም አትሌቲክስ ሻምፒዮና 2000 ዓ.ም.")</f>
        <v>አ. የሲዳማ ጨዋታዎች 2005 ለ. የኢትዮጵያውያን ስፖርት ፌስቲቫል 2003 ዓ. የአፍሪካ ጨዋታዎች 2007 ዲ. የዓለም አትሌቲክስ ሻምፒዮና 2000 ዓ.ም.</v>
      </c>
      <c r="J85" s="5" t="str">
        <f>IFERROR(__xludf.DUMMYFUNCTION(" GOOGLETRANSLATE(D85, ""en"", ""am"")"),"የዓለም አትሌቲክስ ሻምፒዮና 2000")</f>
        <v>የዓለም አትሌቲክስ ሻምፒዮና 2000</v>
      </c>
      <c r="K85" s="5" t="str">
        <f>IFERROR(__xludf.DUMMYFUNCTION(" GOOGLETRANSLATE(E85, ""en"", ""am"")"),"የሲዳማ ስፖርተኞች በስፖርታዊ ጨዋነት በዓለም አቀፍ ደረጃ በ2000 ዓ.ም.")</f>
        <v>የሲዳማ ስፖርተኞች በስፖርታዊ ጨዋነት በዓለም አቀፍ ደረጃ በ2000 ዓ.ም.</v>
      </c>
    </row>
    <row r="86" ht="22.5" customHeight="1">
      <c r="A86" s="3">
        <v>85.0</v>
      </c>
      <c r="B86" s="4" t="s">
        <v>2736</v>
      </c>
      <c r="C86" s="4" t="s">
        <v>2737</v>
      </c>
      <c r="D86" s="4" t="s">
        <v>2456</v>
      </c>
      <c r="E86" s="4" t="s">
        <v>2738</v>
      </c>
      <c r="G86" s="5" t="str">
        <f>IFERROR(__xludf.DUMMYFUNCTION(" GOOGLETRANSLATE(A86, ""en"", ""am"")"),"85")</f>
        <v>85</v>
      </c>
      <c r="H86" s="5" t="str">
        <f>IFERROR(__xludf.DUMMYFUNCTION(" GOOGLETRANSLATE(B86, ""en"", ""am"")"),"የኦሎምፒክ ሜዳሊያ ያሸነፈ የመጀመሪያው የሲዳማ አትሌት ማን ነበር?")</f>
        <v>የኦሎምፒክ ሜዳሊያ ያሸነፈ የመጀመሪያው የሲዳማ አትሌት ማን ነበር?</v>
      </c>
      <c r="I86" s="5" t="str">
        <f>IFERROR(__xludf.DUMMYFUNCTION(" GOOGLETRANSLATE(C86, ""en"", ""am"")"),"አ. በቀለ ዲዳ ቢ. ጀማል አሊ ሐ. ሙሐመድ ኢብራሂም ዲ አብዲ አብዱልቃድር")</f>
        <v>አ. በቀለ ዲዳ ቢ. ጀማል አሊ ሐ. ሙሐመድ ኢብራሂም ዲ አብዲ አብዱልቃድር</v>
      </c>
      <c r="J86" s="5" t="str">
        <f>IFERROR(__xludf.DUMMYFUNCTION(" GOOGLETRANSLATE(D86, ""en"", ""am"")"),"አብዲ አብዱልቃድር")</f>
        <v>አብዲ አብዱልቃድር</v>
      </c>
      <c r="K86" s="5" t="str">
        <f>IFERROR(__xludf.DUMMYFUNCTION(" GOOGLETRANSLATE(E86, ""en"", ""am"")"),"አብዲ አብዱልቃድር በ2008 የኦሎምፒክ ሜዳሊያ ያስገኘ የመጀመሪያው የሲዳማ አትሌት ነው።")</f>
        <v>አብዲ አብዱልቃድር በ2008 የኦሎምፒክ ሜዳሊያ ያስገኘ የመጀመሪያው የሲዳማ አትሌት ነው።</v>
      </c>
    </row>
    <row r="87" ht="22.5" customHeight="1">
      <c r="A87" s="3">
        <v>86.0</v>
      </c>
      <c r="B87" s="4" t="s">
        <v>2739</v>
      </c>
      <c r="C87" s="4" t="s">
        <v>2740</v>
      </c>
      <c r="D87" s="4" t="s">
        <v>2560</v>
      </c>
      <c r="E87" s="4" t="s">
        <v>2741</v>
      </c>
      <c r="G87" s="5" t="str">
        <f>IFERROR(__xludf.DUMMYFUNCTION(" GOOGLETRANSLATE(A87, ""en"", ""am"")"),"86")</f>
        <v>86</v>
      </c>
      <c r="H87" s="5" t="str">
        <f>IFERROR(__xludf.DUMMYFUNCTION(" GOOGLETRANSLATE(B87, ""en"", ""am"")"),"የትኛው የሲዳማ ስፖርት እንደ ባህላዊ ሥርዓት ነው የሚወሰደው?")</f>
        <v>የትኛው የሲዳማ ስፖርት እንደ ባህላዊ ሥርዓት ነው የሚወሰደው?</v>
      </c>
      <c r="I87" s="5" t="str">
        <f>IFERROR(__xludf.DUMMYFUNCTION(" GOOGLETRANSLATE(C87, ""en"", ""am"")"),"አ. የሲዳማ ቀስት ቀስት ለ. የሲዳማ እግር ኳስ ሐ. የሲዳማ ሩጫ ዲ. የሲዳማ ትግል")</f>
        <v>አ. የሲዳማ ቀስት ቀስት ለ. የሲዳማ እግር ኳስ ሐ. የሲዳማ ሩጫ ዲ. የሲዳማ ትግል</v>
      </c>
      <c r="J87" s="5" t="str">
        <f>IFERROR(__xludf.DUMMYFUNCTION(" GOOGLETRANSLATE(D87, ""en"", ""am"")"),"የሲዳማ ትግል")</f>
        <v>የሲዳማ ትግል</v>
      </c>
      <c r="K87" s="5" t="str">
        <f>IFERROR(__xludf.DUMMYFUNCTION(" GOOGLETRANSLATE(E87, ""en"", ""am"")"),"የሲዳማ ትግል በሲዳማ ባህል የተለመደ ነው።")</f>
        <v>የሲዳማ ትግል በሲዳማ ባህል የተለመደ ነው።</v>
      </c>
    </row>
    <row r="88" ht="22.5" customHeight="1">
      <c r="A88" s="3">
        <v>87.0</v>
      </c>
      <c r="B88" s="4" t="s">
        <v>2742</v>
      </c>
      <c r="C88" s="4" t="s">
        <v>2743</v>
      </c>
      <c r="D88" s="4" t="s">
        <v>898</v>
      </c>
      <c r="E88" s="4" t="s">
        <v>898</v>
      </c>
      <c r="G88" s="5" t="str">
        <f>IFERROR(__xludf.DUMMYFUNCTION(" GOOGLETRANSLATE(A88, ""en"", ""am"")"),"87")</f>
        <v>87</v>
      </c>
      <c r="H88" s="5" t="str">
        <f>IFERROR(__xludf.DUMMYFUNCTION(" GOOGLETRANSLATE(B88, ""en"", ""am"")"),"በመላው አፍሪካ ጨዋታዎች የሲዳማ ስፖርቶች ለመጀመሪያ ጊዜ የታዩት መቼ ነበር?")</f>
        <v>በመላው አፍሪካ ጨዋታዎች የሲዳማ ስፖርቶች ለመጀመሪያ ጊዜ የታዩት መቼ ነበር?</v>
      </c>
      <c r="I88" s="5" t="str">
        <f>IFERROR(__xludf.DUMMYFUNCTION(" GOOGLETRANSLATE(C88, ""en"", ""am"")"),"እ.ኤ.አ. 1995 ዓ.ም. 2005 ዓ.ም. 2010 ዲ. 1995 እ.ኤ.አ.")</f>
        <v>እ.ኤ.አ. 1995 ዓ.ም. 2005 ዓ.ም. 2010 ዲ. 1995 እ.ኤ.አ.</v>
      </c>
      <c r="J88" s="5" t="str">
        <f>IFERROR(__xludf.DUMMYFUNCTION(" GOOGLETRANSLATE(D88, ""en"", ""am"")"),"በ1995 ዓ.ም")</f>
        <v>በ1995 ዓ.ም</v>
      </c>
      <c r="K88" s="5" t="str">
        <f>IFERROR(__xludf.DUMMYFUNCTION(" GOOGLETRANSLATE(E88, ""en"", ""am"")"),"በ1995 ዓ.ም")</f>
        <v>በ1995 ዓ.ም</v>
      </c>
    </row>
    <row r="89" ht="22.5" customHeight="1">
      <c r="A89" s="3">
        <v>88.0</v>
      </c>
      <c r="B89" s="4" t="s">
        <v>2744</v>
      </c>
      <c r="C89" s="4" t="s">
        <v>2745</v>
      </c>
      <c r="D89" s="4" t="s">
        <v>2604</v>
      </c>
      <c r="E89" s="4" t="s">
        <v>2746</v>
      </c>
      <c r="G89" s="5" t="str">
        <f>IFERROR(__xludf.DUMMYFUNCTION(" GOOGLETRANSLATE(A89, ""en"", ""am"")"),"88")</f>
        <v>88</v>
      </c>
      <c r="H89" s="5" t="str">
        <f>IFERROR(__xludf.DUMMYFUNCTION(" GOOGLETRANSLATE(B89, ""en"", ""am"")"),"በ2007 ብዙ የወርቅ ሜዳሊያዎችን ያስገኘው የሲዳማ ስፖርተኛ የትኛው ነው?")</f>
        <v>በ2007 ብዙ የወርቅ ሜዳሊያዎችን ያስገኘው የሲዳማ ስፖርተኛ የትኛው ነው?</v>
      </c>
      <c r="I89" s="5" t="str">
        <f>IFERROR(__xludf.DUMMYFUNCTION(" GOOGLETRANSLATE(C89, ""en"", ""am"")"),"A. በቀለ ዲዳ ብ ጀማል አሊ ሲ ጠፍቷል። ዲ. ሙሀመድ ኢብራሂም")</f>
        <v>A. በቀለ ዲዳ ብ ጀማል አሊ ሲ ጠፍቷል። ዲ. ሙሀመድ ኢብራሂም</v>
      </c>
      <c r="J89" s="5" t="str">
        <f>IFERROR(__xludf.DUMMYFUNCTION(" GOOGLETRANSLATE(D89, ""en"", ""am"")"),"መሀመድ ኢብራሂም")</f>
        <v>መሀመድ ኢብራሂም</v>
      </c>
      <c r="K89" s="5" t="str">
        <f>IFERROR(__xludf.DUMMYFUNCTION(" GOOGLETRANSLATE(E89, ""en"", ""am"")"),"መሀመድ ኢብራሂም በ2007 በርካታ የወርቅ ሜዳሊያዎችን በማግኘቱ ብሄራዊ ጀግና ሆኗል።")</f>
        <v>መሀመድ ኢብራሂም በ2007 በርካታ የወርቅ ሜዳሊያዎችን በማግኘቱ ብሄራዊ ጀግና ሆኗል።</v>
      </c>
    </row>
    <row r="90" ht="22.5" customHeight="1">
      <c r="A90" s="3">
        <v>89.0</v>
      </c>
      <c r="B90" s="4" t="s">
        <v>2747</v>
      </c>
      <c r="C90" s="4" t="s">
        <v>2748</v>
      </c>
      <c r="D90" s="4" t="s">
        <v>2749</v>
      </c>
      <c r="E90" s="4" t="s">
        <v>2750</v>
      </c>
      <c r="G90" s="5" t="str">
        <f>IFERROR(__xludf.DUMMYFUNCTION(" GOOGLETRANSLATE(A90, ""en"", ""am"")"),"89")</f>
        <v>89</v>
      </c>
      <c r="H90" s="5" t="str">
        <f>IFERROR(__xludf.DUMMYFUNCTION(" GOOGLETRANSLATE(B90, ""en"", ""am"")"),"የ2012 የሲዳማ ዓለም ሻምፒዮና ፋይዳ ምን ነበር?")</f>
        <v>የ2012 የሲዳማ ዓለም ሻምፒዮና ፋይዳ ምን ነበር?</v>
      </c>
      <c r="I90" s="5" t="str">
        <f>IFERROR(__xludf.DUMMYFUNCTION(" GOOGLETRANSLATE(C90, ""en"", ""am"")"),"ሀ. የመጀመሪያዋ ሴት አትሌት ለ. የመጀመርያው ዝግጅት በቴሌቭዥን ሲ ተላለፈ። የመጀመሪያ የወርቅ ሜዳሊያ በቀስት ውርወራ D. የመጀመሪያ አለም አቀፍ ሻምፒዮና")</f>
        <v>ሀ. የመጀመሪያዋ ሴት አትሌት ለ. የመጀመርያው ዝግጅት በቴሌቭዥን ሲ ተላለፈ። የመጀመሪያ የወርቅ ሜዳሊያ በቀስት ውርወራ D. የመጀመሪያ አለም አቀፍ ሻምፒዮና</v>
      </c>
      <c r="J90" s="5" t="str">
        <f>IFERROR(__xludf.DUMMYFUNCTION(" GOOGLETRANSLATE(D90, ""en"", ""am"")"),"የመጀመሪያው ዓለም አቀፍ ሻምፒዮና")</f>
        <v>የመጀመሪያው ዓለም አቀፍ ሻምፒዮና</v>
      </c>
      <c r="K90" s="5" t="str">
        <f>IFERROR(__xludf.DUMMYFUNCTION(" GOOGLETRANSLATE(E90, ""en"", ""am"")"),"የ2012 የሲዳማ አለም ሻምፒዮና ለሲዳማ ስፖርት የመጀመሪያው አለም አቀፍ ሻምፒዮና ነበር።")</f>
        <v>የ2012 የሲዳማ አለም ሻምፒዮና ለሲዳማ ስፖርት የመጀመሪያው አለም አቀፍ ሻምፒዮና ነበር።</v>
      </c>
    </row>
    <row r="91" ht="22.5" customHeight="1">
      <c r="A91" s="3">
        <v>90.0</v>
      </c>
      <c r="B91" s="4" t="s">
        <v>2751</v>
      </c>
      <c r="C91" s="4" t="s">
        <v>2752</v>
      </c>
      <c r="D91" s="4" t="s">
        <v>2753</v>
      </c>
      <c r="E91" s="4" t="s">
        <v>2754</v>
      </c>
      <c r="G91" s="5" t="str">
        <f>IFERROR(__xludf.DUMMYFUNCTION(" GOOGLETRANSLATE(A91, ""en"", ""am"")"),"90")</f>
        <v>90</v>
      </c>
      <c r="H91" s="5" t="str">
        <f>IFERROR(__xludf.DUMMYFUNCTION(" GOOGLETRANSLATE(B91, ""en"", ""am"")"),"የትኛው የሲዳማ ፉክክር የሀገር ውስጥ ዝግጅት ሆኖ የጀመረው ሀገራዊ ትኩረትን ከማግኘቱ በፊት ነው?")</f>
        <v>የትኛው የሲዳማ ፉክክር የሀገር ውስጥ ዝግጅት ሆኖ የጀመረው ሀገራዊ ትኩረትን ከማግኘቱ በፊት ነው?</v>
      </c>
      <c r="I91" s="5" t="str">
        <f>IFERROR(__xludf.DUMMYFUNCTION(" GOOGLETRANSLATE(C91, ""en"", ""am"")"),"አ. የሲዳማ ብሄራዊ ጨዋታዎች ለ. የሲዳማ ክላሲክ ሐ. የሲዳማ የአለም ዋንጫ D. የሲዳማ ብሄራዊ ጨዋታዎች")</f>
        <v>አ. የሲዳማ ብሄራዊ ጨዋታዎች ለ. የሲዳማ ክላሲክ ሐ. የሲዳማ የአለም ዋንጫ D. የሲዳማ ብሄራዊ ጨዋታዎች</v>
      </c>
      <c r="J91" s="5" t="str">
        <f>IFERROR(__xludf.DUMMYFUNCTION(" GOOGLETRANSLATE(D91, ""en"", ""am"")"),"የሲዳማ ብሄራዊ ጨዋታዎች")</f>
        <v>የሲዳማ ብሄራዊ ጨዋታዎች</v>
      </c>
      <c r="K91" s="5" t="str">
        <f>IFERROR(__xludf.DUMMYFUNCTION(" GOOGLETRANSLATE(E91, ""en"", ""am"")"),"የሲዳማ ብሄራዊ ጨዋታ ወደ ሀገር አቀፍ ውድድር ከመሸጋገሩ በፊት የሀገር ውስጥ ክስተት ሆኖ ተጀምሯል።")</f>
        <v>የሲዳማ ብሄራዊ ጨዋታ ወደ ሀገር አቀፍ ውድድር ከመሸጋገሩ በፊት የሀገር ውስጥ ክስተት ሆኖ ተጀምሯል።</v>
      </c>
    </row>
    <row r="92" ht="22.5" customHeight="1">
      <c r="A92" s="3">
        <v>91.0</v>
      </c>
      <c r="B92" s="4" t="s">
        <v>2755</v>
      </c>
      <c r="C92" s="4" t="s">
        <v>2756</v>
      </c>
      <c r="D92" s="4" t="s">
        <v>2757</v>
      </c>
      <c r="E92" s="4" t="s">
        <v>2758</v>
      </c>
      <c r="G92" s="5" t="str">
        <f>IFERROR(__xludf.DUMMYFUNCTION(" GOOGLETRANSLATE(A92, ""en"", ""am"")"),"91")</f>
        <v>91</v>
      </c>
      <c r="H92" s="5" t="str">
        <f>IFERROR(__xludf.DUMMYFUNCTION(" GOOGLETRANSLATE(B92, ""en"", ""am"")"),"የትኛው የሲዳማ ስፖርት በኢትዮጵያ የአትሌቲክስ እድገት ላይ ተጽዕኖ ያሳደረ?")</f>
        <v>የትኛው የሲዳማ ስፖርት በኢትዮጵያ የአትሌቲክስ እድገት ላይ ተጽዕኖ ያሳደረ?</v>
      </c>
      <c r="I92" s="5" t="str">
        <f>IFERROR(__xludf.DUMMYFUNCTION(" GOOGLETRANSLATE(C92, ""en"", ""am"")"),"አ.ሲዳማ ቀስት ለ.ሲዳማ እግር ኳስ ሲ.ሲዳማ እየሮጠ ነው። ዲ.ሲዳማ እየሮጠ ነው።")</f>
        <v>አ.ሲዳማ ቀስት ለ.ሲዳማ እግር ኳስ ሲ.ሲዳማ እየሮጠ ነው። ዲ.ሲዳማ እየሮጠ ነው።</v>
      </c>
      <c r="J92" s="5" t="str">
        <f>IFERROR(__xludf.DUMMYFUNCTION(" GOOGLETRANSLATE(D92, ""en"", ""am"")"),"ሲዳማ እየሮጠ ነው።")</f>
        <v>ሲዳማ እየሮጠ ነው።</v>
      </c>
      <c r="K92" s="5" t="str">
        <f>IFERROR(__xludf.DUMMYFUNCTION(" GOOGLETRANSLATE(E92, ""en"", ""am"")"),"የሲዳማ ሩጫ በኢትዮጵያ የረጅም ርቀት ሩጫ ላይ ተፅዕኖ አሳድሯል።")</f>
        <v>የሲዳማ ሩጫ በኢትዮጵያ የረጅም ርቀት ሩጫ ላይ ተፅዕኖ አሳድሯል።</v>
      </c>
    </row>
    <row r="93" ht="22.5" customHeight="1">
      <c r="A93" s="3">
        <v>92.0</v>
      </c>
      <c r="B93" s="4" t="s">
        <v>2759</v>
      </c>
      <c r="C93" s="4" t="s">
        <v>2760</v>
      </c>
      <c r="D93" s="4" t="s">
        <v>1438</v>
      </c>
      <c r="E93" s="4" t="s">
        <v>2761</v>
      </c>
      <c r="G93" s="5" t="str">
        <f>IFERROR(__xludf.DUMMYFUNCTION(" GOOGLETRANSLATE(A93, ""en"", ""am"")"),"92")</f>
        <v>92</v>
      </c>
      <c r="H93" s="5" t="str">
        <f>IFERROR(__xludf.DUMMYFUNCTION(" GOOGLETRANSLATE(B93, ""en"", ""am"")"),"ብሄራዊ ሪከርድ የሰበረ የመጀመሪያው የሲዳማ ስፖርተኛ ማን ነበር?")</f>
        <v>ብሄራዊ ሪከርድ የሰበረ የመጀመሪያው የሲዳማ ስፖርተኛ ማን ነበር?</v>
      </c>
      <c r="I93" s="5" t="str">
        <f>IFERROR(__xludf.DUMMYFUNCTION(" GOOGLETRANSLATE(C93, ""en"", ""am"")"),"አ. ጀማል አሊ ቢ. ሙሐመድ ኢብራሂም ሲ. አብዲ አብዱልቃድር ዲ. ጀማል አሊ")</f>
        <v>አ. ጀማል አሊ ቢ. ሙሐመድ ኢብራሂም ሲ. አብዲ አብዱልቃድር ዲ. ጀማል አሊ</v>
      </c>
      <c r="J93" s="5" t="str">
        <f>IFERROR(__xludf.DUMMYFUNCTION(" GOOGLETRANSLATE(D93, ""en"", ""am"")"),"ጀማል አሊ")</f>
        <v>ጀማል አሊ</v>
      </c>
      <c r="K93" s="5" t="str">
        <f>IFERROR(__xludf.DUMMYFUNCTION(" GOOGLETRANSLATE(E93, ""en"", ""am"")"),"ጀማል አሊ በአትሌቲክስ ብሄራዊ ሪከርድ የሰበረ የመጀመሪያው የሲዳማ አትሌት ነው።")</f>
        <v>ጀማል አሊ በአትሌቲክስ ብሄራዊ ሪከርድ የሰበረ የመጀመሪያው የሲዳማ አትሌት ነው።</v>
      </c>
    </row>
    <row r="94" ht="22.5" customHeight="1">
      <c r="A94" s="3">
        <v>93.0</v>
      </c>
      <c r="B94" s="4" t="s">
        <v>2762</v>
      </c>
      <c r="C94" s="4" t="s">
        <v>2740</v>
      </c>
      <c r="D94" s="4" t="s">
        <v>2560</v>
      </c>
      <c r="E94" s="4" t="s">
        <v>2763</v>
      </c>
      <c r="G94" s="5" t="str">
        <f>IFERROR(__xludf.DUMMYFUNCTION(" GOOGLETRANSLATE(A94, ""en"", ""am"")"),"93")</f>
        <v>93</v>
      </c>
      <c r="H94" s="5" t="str">
        <f>IFERROR(__xludf.DUMMYFUNCTION(" GOOGLETRANSLATE(B94, ""en"", ""am"")"),"በገጠር ወጣቶች የሚተገበረው የሲዳማ ስፖርት የትኛው ነው?")</f>
        <v>በገጠር ወጣቶች የሚተገበረው የሲዳማ ስፖርት የትኛው ነው?</v>
      </c>
      <c r="I94" s="5" t="str">
        <f>IFERROR(__xludf.DUMMYFUNCTION(" GOOGLETRANSLATE(C94, ""en"", ""am"")"),"አ. የሲዳማ ቀስት ቀስት ለ. የሲዳማ እግር ኳስ ሐ. የሲዳማ ሩጫ ዲ. የሲዳማ ትግል")</f>
        <v>አ. የሲዳማ ቀስት ቀስት ለ. የሲዳማ እግር ኳስ ሐ. የሲዳማ ሩጫ ዲ. የሲዳማ ትግል</v>
      </c>
      <c r="J94" s="5" t="str">
        <f>IFERROR(__xludf.DUMMYFUNCTION(" GOOGLETRANSLATE(D94, ""en"", ""am"")"),"የሲዳማ ትግል")</f>
        <v>የሲዳማ ትግል</v>
      </c>
      <c r="K94" s="5" t="str">
        <f>IFERROR(__xludf.DUMMYFUNCTION(" GOOGLETRANSLATE(E94, ""en"", ""am"")"),"የሲዳማ ትግል መጀመሪያ የተካሄደው በገጠሩ የሲዳማ ማህበረሰብ ውስጥ ባሉ ወጣቶች ነው።")</f>
        <v>የሲዳማ ትግል መጀመሪያ የተካሄደው በገጠሩ የሲዳማ ማህበረሰብ ውስጥ ባሉ ወጣቶች ነው።</v>
      </c>
    </row>
    <row r="95" ht="22.5" customHeight="1">
      <c r="A95" s="3">
        <v>94.0</v>
      </c>
      <c r="B95" s="4" t="s">
        <v>2764</v>
      </c>
      <c r="C95" s="4" t="s">
        <v>2765</v>
      </c>
      <c r="D95" s="4" t="s">
        <v>2589</v>
      </c>
      <c r="E95" s="4" t="s">
        <v>2766</v>
      </c>
      <c r="G95" s="5" t="str">
        <f>IFERROR(__xludf.DUMMYFUNCTION(" GOOGLETRANSLATE(A95, ""en"", ""am"")"),"94")</f>
        <v>94</v>
      </c>
      <c r="H95" s="5" t="str">
        <f>IFERROR(__xludf.DUMMYFUNCTION(" GOOGLETRANSLATE(B95, ""en"", ""am"")"),"በ2006 ዓ.ም የትኛው የሲዳማ ስፖርት ፌስቲቫል አለም አቀፍ እውቅና አግኝቷል?")</f>
        <v>በ2006 ዓ.ም የትኛው የሲዳማ ስፖርት ፌስቲቫል አለም አቀፍ እውቅና አግኝቷል?</v>
      </c>
      <c r="I95" s="5" t="str">
        <f>IFERROR(__xludf.DUMMYFUNCTION(" GOOGLETRANSLATE(C95, ""en"", ""am"")"),"አ. የሲዳማ ስፖርት ፌስቲቫል ለ. የሲዳማ ክላሲክ ሐ. የሲዳማ ግብዣ ዲ.ሲዳማ ስፖርት ፌስቲቫል")</f>
        <v>አ. የሲዳማ ስፖርት ፌስቲቫል ለ. የሲዳማ ክላሲክ ሐ. የሲዳማ ግብዣ ዲ.ሲዳማ ስፖርት ፌስቲቫል</v>
      </c>
      <c r="J95" s="5" t="str">
        <f>IFERROR(__xludf.DUMMYFUNCTION(" GOOGLETRANSLATE(D95, ""en"", ""am"")"),"የሲዳማ ስፖርት ፌስቲቫል")</f>
        <v>የሲዳማ ስፖርት ፌስቲቫል</v>
      </c>
      <c r="K95" s="5" t="str">
        <f>IFERROR(__xludf.DUMMYFUNCTION(" GOOGLETRANSLATE(E95, ""en"", ""am"")"),"የሲዳማ ስፖርት ፌስቲቫል በ2006 ዓ.ም በተለያዩ ዝግጅቶች አለም አቀፍ እውቅናን አግኝቷል።")</f>
        <v>የሲዳማ ስፖርት ፌስቲቫል በ2006 ዓ.ም በተለያዩ ዝግጅቶች አለም አቀፍ እውቅናን አግኝቷል።</v>
      </c>
    </row>
    <row r="96" ht="22.5" customHeight="1">
      <c r="A96" s="3">
        <v>95.0</v>
      </c>
      <c r="B96" s="4" t="s">
        <v>2767</v>
      </c>
      <c r="C96" s="4" t="s">
        <v>2256</v>
      </c>
      <c r="D96" s="4" t="s">
        <v>2257</v>
      </c>
      <c r="E96" s="4" t="s">
        <v>2257</v>
      </c>
      <c r="G96" s="5" t="str">
        <f>IFERROR(__xludf.DUMMYFUNCTION(" GOOGLETRANSLATE(A96, ""en"", ""am"")"),"95")</f>
        <v>95</v>
      </c>
      <c r="H96" s="5" t="str">
        <f>IFERROR(__xludf.DUMMYFUNCTION(" GOOGLETRANSLATE(B96, ""en"", ""am"")"),"በአለም ጨዋታዎች የሲዳማ ስፖርቶች ለመጀመሪያ ጊዜ የታየው ስንት አመት ነበር?")</f>
        <v>በአለም ጨዋታዎች የሲዳማ ስፖርቶች ለመጀመሪያ ጊዜ የታየው ስንት አመት ነበር?</v>
      </c>
      <c r="I96" s="5" t="str">
        <f>IFERROR(__xludf.DUMMYFUNCTION(" GOOGLETRANSLATE(C96, ""en"", ""am"")"),"እ.ኤ.አ. 2000 ዓ.ም. 2005 ዓ.ም. 2010 ዲ. 2005 ዓ.ም.")</f>
        <v>እ.ኤ.አ. 2000 ዓ.ም. 2005 ዓ.ም. 2010 ዲ. 2005 ዓ.ም.</v>
      </c>
      <c r="J96" s="5" t="str">
        <f>IFERROR(__xludf.DUMMYFUNCTION(" GOOGLETRANSLATE(D96, ""en"", ""am"")"),"በ2005 ዓ.ም")</f>
        <v>በ2005 ዓ.ም</v>
      </c>
      <c r="K96" s="5" t="str">
        <f>IFERROR(__xludf.DUMMYFUNCTION(" GOOGLETRANSLATE(E96, ""en"", ""am"")"),"በ2005 ዓ.ም")</f>
        <v>በ2005 ዓ.ም</v>
      </c>
    </row>
    <row r="97" ht="22.5" customHeight="1">
      <c r="A97" s="3">
        <v>96.0</v>
      </c>
      <c r="B97" s="4" t="s">
        <v>2768</v>
      </c>
      <c r="C97" s="4" t="s">
        <v>2769</v>
      </c>
      <c r="D97" s="4" t="s">
        <v>2456</v>
      </c>
      <c r="E97" s="4" t="s">
        <v>2770</v>
      </c>
      <c r="G97" s="5" t="str">
        <f>IFERROR(__xludf.DUMMYFUNCTION(" GOOGLETRANSLATE(A97, ""en"", ""am"")"),"96")</f>
        <v>96</v>
      </c>
      <c r="H97" s="5" t="str">
        <f>IFERROR(__xludf.DUMMYFUNCTION(" GOOGLETRANSLATE(B97, ""en"", ""am"")"),"በ2010 የአለም ዋንጫ ሀገሩን ወክሎ የመጀመርያው የትኛው የሲዳማ ስፖርተኛ ነው?")</f>
        <v>በ2010 የአለም ዋንጫ ሀገሩን ወክሎ የመጀመርያው የትኛው የሲዳማ ስፖርተኛ ነው?</v>
      </c>
      <c r="I97" s="5" t="str">
        <f>IFERROR(__xludf.DUMMYFUNCTION(" GOOGLETRANSLATE(C97, ""en"", ""am"")"),"A. በቀለ ዲዳ ብ ጀማል አሊ ሲ ጠፍቷል። ዲ አብዲ አብዱልቃድር")</f>
        <v>A. በቀለ ዲዳ ብ ጀማል አሊ ሲ ጠፍቷል። ዲ አብዲ አብዱልቃድር</v>
      </c>
      <c r="J97" s="5" t="str">
        <f>IFERROR(__xludf.DUMMYFUNCTION(" GOOGLETRANSLATE(D97, ""en"", ""am"")"),"አብዲ አብዱልቃድር")</f>
        <v>አብዲ አብዱልቃድር</v>
      </c>
      <c r="K97" s="5" t="str">
        <f>IFERROR(__xludf.DUMMYFUNCTION(" GOOGLETRANSLATE(E97, ""en"", ""am"")"),"አብዲ አብዱልቃድር በ2010 የአለም ዋንጫ ኢትዮጵያን በመወከል የመጀመሪያው የሲዳማ ስፖርተኛ ነው።")</f>
        <v>አብዲ አብዱልቃድር በ2010 የአለም ዋንጫ ኢትዮጵያን በመወከል የመጀመሪያው የሲዳማ ስፖርተኛ ነው።</v>
      </c>
    </row>
    <row r="98" ht="22.5" customHeight="1">
      <c r="A98" s="3">
        <v>97.0</v>
      </c>
      <c r="B98" s="4" t="s">
        <v>2771</v>
      </c>
      <c r="C98" s="4" t="s">
        <v>2772</v>
      </c>
      <c r="D98" s="4" t="s">
        <v>2712</v>
      </c>
      <c r="E98" s="4" t="s">
        <v>2773</v>
      </c>
      <c r="G98" s="5" t="str">
        <f>IFERROR(__xludf.DUMMYFUNCTION(" GOOGLETRANSLATE(A98, ""en"", ""am"")"),"97")</f>
        <v>97</v>
      </c>
      <c r="H98" s="5" t="str">
        <f>IFERROR(__xludf.DUMMYFUNCTION(" GOOGLETRANSLATE(B98, ""en"", ""am"")"),"እ.ኤ.አ. በ2000 በፈጠራው ስርጭቱ አለም አቀፍ እውቅና ያገኘ የሲዳማ ስፖርታዊ ውድድር የትኛው ነው?")</f>
        <v>እ.ኤ.አ. በ2000 በፈጠራው ስርጭቱ አለም አቀፍ እውቅና ያገኘ የሲዳማ ስፖርታዊ ውድድር የትኛው ነው?</v>
      </c>
      <c r="I98" s="5" t="str">
        <f>IFERROR(__xludf.DUMMYFUNCTION(" GOOGLETRANSLATE(C98, ""en"", ""am"")"),"አ. የሲዳማ ግብዣ ለ. የሲዳማ ብሄራዊ ጨዋታዎች ሲ.ሲዳማ የአለም ዋንጫ D. የሲዳማ አለም ዋንጫ")</f>
        <v>አ. የሲዳማ ግብዣ ለ. የሲዳማ ብሄራዊ ጨዋታዎች ሲ.ሲዳማ የአለም ዋንጫ D. የሲዳማ አለም ዋንጫ</v>
      </c>
      <c r="J98" s="5" t="str">
        <f>IFERROR(__xludf.DUMMYFUNCTION(" GOOGLETRANSLATE(D98, ""en"", ""am"")"),"የሲዳማ የአለም ዋንጫ")</f>
        <v>የሲዳማ የአለም ዋንጫ</v>
      </c>
      <c r="K98" s="5" t="str">
        <f>IFERROR(__xludf.DUMMYFUNCTION(" GOOGLETRANSLATE(E98, ""en"", ""am"")"),"የሲዳማ አለም ዋንጫ በአዳዲስ የስርጭት ቴክኒኮች አለም አቀፍ እውቅናን አግኝቷል።")</f>
        <v>የሲዳማ አለም ዋንጫ በአዳዲስ የስርጭት ቴክኒኮች አለም አቀፍ እውቅናን አግኝቷል።</v>
      </c>
    </row>
    <row r="99" ht="22.5" customHeight="1">
      <c r="A99" s="3">
        <v>98.0</v>
      </c>
      <c r="B99" s="4" t="s">
        <v>2774</v>
      </c>
      <c r="C99" s="4" t="s">
        <v>2775</v>
      </c>
      <c r="D99" s="4" t="s">
        <v>2585</v>
      </c>
      <c r="E99" s="4" t="s">
        <v>2776</v>
      </c>
      <c r="G99" s="5" t="str">
        <f>IFERROR(__xludf.DUMMYFUNCTION(" GOOGLETRANSLATE(A99, ""en"", ""am"")"),"98")</f>
        <v>98</v>
      </c>
      <c r="H99" s="5" t="str">
        <f>IFERROR(__xludf.DUMMYFUNCTION(" GOOGLETRANSLATE(B99, ""en"", ""am"")"),"በ2002 የሲዳማ ስፖርት አካዳሚ ሲቋቋም ያስከተለው ዋና ተፅዕኖ ምን ነበር?")</f>
        <v>በ2002 የሲዳማ ስፖርት አካዳሚ ሲቋቋም ያስከተለው ዋና ተፅዕኖ ምን ነበር?</v>
      </c>
      <c r="I99" s="5" t="str">
        <f>IFERROR(__xludf.DUMMYFUNCTION(" GOOGLETRANSLATE(C99, ""en"", ""am"")"),"ሀ. የመንግስት ድጋፍ ለ. አለም አቀፍ እውቅና ሐ. ብሔራዊ ኩራት መ. የመንግስት ድጋፍ")</f>
        <v>ሀ. የመንግስት ድጋፍ ለ. አለም አቀፍ እውቅና ሐ. ብሔራዊ ኩራት መ. የመንግስት ድጋፍ</v>
      </c>
      <c r="J99" s="5" t="str">
        <f>IFERROR(__xludf.DUMMYFUNCTION(" GOOGLETRANSLATE(D99, ""en"", ""am"")"),"የመንግስት ድጋፍ")</f>
        <v>የመንግስት ድጋፍ</v>
      </c>
      <c r="K99" s="5" t="str">
        <f>IFERROR(__xludf.DUMMYFUNCTION(" GOOGLETRANSLATE(E99, ""en"", ""am"")"),"የሲዳማ ስፖርት አካዳሚ ምስረታ በዋነኛነት በመንግስት ድጋፍ ተጽኖ ነበር።")</f>
        <v>የሲዳማ ስፖርት አካዳሚ ምስረታ በዋነኛነት በመንግስት ድጋፍ ተጽኖ ነበር።</v>
      </c>
    </row>
    <row r="100" ht="22.5" customHeight="1">
      <c r="A100" s="3">
        <v>99.0</v>
      </c>
      <c r="B100" s="4" t="s">
        <v>2777</v>
      </c>
      <c r="C100" s="4" t="s">
        <v>2778</v>
      </c>
      <c r="D100" s="4" t="s">
        <v>2560</v>
      </c>
      <c r="E100" s="4" t="s">
        <v>2779</v>
      </c>
      <c r="G100" s="5" t="str">
        <f>IFERROR(__xludf.DUMMYFUNCTION(" GOOGLETRANSLATE(A100, ""en"", ""am"")"),"99")</f>
        <v>99</v>
      </c>
      <c r="H100" s="5" t="str">
        <f>IFERROR(__xludf.DUMMYFUNCTION(" GOOGLETRANSLATE(B100, ""en"", ""am"")"),"በ2007 የአፍሪካ ጨዋታዎች የትኛው የሲዳማ ስፖርት አስተዋውቋል?")</f>
        <v>በ2007 የአፍሪካ ጨዋታዎች የትኛው የሲዳማ ስፖርት አስተዋውቋል?</v>
      </c>
      <c r="I100" s="5" t="str">
        <f>IFERROR(__xludf.DUMMYFUNCTION(" GOOGLETRANSLATE(C100, ""en"", ""am"")"),"ሀ. የሲዳማ ትግል ለ.ሲዳማ እግር ኳስ ሲ.ሲዳማ እየሮጠ ነው። መ/ የሲዳማ ትግል")</f>
        <v>ሀ. የሲዳማ ትግል ለ.ሲዳማ እግር ኳስ ሲ.ሲዳማ እየሮጠ ነው። መ/ የሲዳማ ትግል</v>
      </c>
      <c r="J100" s="5" t="str">
        <f>IFERROR(__xludf.DUMMYFUNCTION(" GOOGLETRANSLATE(D100, ""en"", ""am"")"),"የሲዳማ ትግል")</f>
        <v>የሲዳማ ትግል</v>
      </c>
      <c r="K100" s="5" t="str">
        <f>IFERROR(__xludf.DUMMYFUNCTION(" GOOGLETRANSLATE(E100, ""en"", ""am"")"),"የሲዳማ ትግል ከአፍሪካ ጨዋታዎች ጋር የተዋወቀው በ2007 ነው።")</f>
        <v>የሲዳማ ትግል ከአፍሪካ ጨዋታዎች ጋር የተዋወቀው በ2007 ነው።</v>
      </c>
    </row>
    <row r="101" ht="22.5" customHeight="1">
      <c r="A101" s="3">
        <v>100.0</v>
      </c>
      <c r="B101" s="5" t="s">
        <v>2780</v>
      </c>
      <c r="C101" s="4" t="s">
        <v>2781</v>
      </c>
      <c r="D101" s="5" t="s">
        <v>2782</v>
      </c>
      <c r="E101" s="5" t="s">
        <v>2783</v>
      </c>
      <c r="G101" s="5" t="str">
        <f>IFERROR(__xludf.DUMMYFUNCTION(" GOOGLETRANSLATE(A101, ""en"", ""am"")"),"100")</f>
        <v>100</v>
      </c>
      <c r="H101" s="5" t="str">
        <f>IFERROR(__xludf.DUMMYFUNCTION(" GOOGLETRANSLATE(B101, ""en"", ""am"")"),"በአለም ሻምፒዮና ለመጀመሪያ ጊዜ የተወዳደሩት የሲዳማ ስፖርተኞች በየትኛው አስርት አመት ነበር?")</f>
        <v>በአለም ሻምፒዮና ለመጀመሪያ ጊዜ የተወዳደሩት የሲዳማ ስፖርተኞች በየትኛው አስርት አመት ነበር?</v>
      </c>
      <c r="I101" s="5" t="str">
        <f>IFERROR(__xludf.DUMMYFUNCTION(" GOOGLETRANSLATE(C101, ""en"", ""am"")"),"እ.ኤ.አ. 1990 ዎቹ ለ 2000 ዎቹ ዓ.ም. 2010 ዎቹ ዲ. 1980 ዎቹ")</f>
        <v>እ.ኤ.አ. 1990 ዎቹ ለ 2000 ዎቹ ዓ.ም. 2010 ዎቹ ዲ. 1980 ዎቹ</v>
      </c>
      <c r="J101" s="5" t="str">
        <f>IFERROR(__xludf.DUMMYFUNCTION(" GOOGLETRANSLATE(D101, ""en"", ""am"")"),"2000 ዎቹ")</f>
        <v>2000 ዎቹ</v>
      </c>
      <c r="K101" s="5" t="str">
        <f>IFERROR(__xludf.DUMMYFUNCTION(" GOOGLETRANSLATE(E101, ""en"", ""am"")"),"የሲዳማ አትሌቶች ለመጀመሪያ ጊዜ የተሳተፉት በአለም ሻምፒዮና በ2000ዎቹ ነው።")</f>
        <v>የሲዳማ አትሌቶች ለመጀመሪያ ጊዜ የተሳተፉት በአለም ሻምፒዮና በ2000ዎቹ ነው።</v>
      </c>
    </row>
    <row r="102" ht="22.5" customHeight="1">
      <c r="A102" s="3">
        <v>101.0</v>
      </c>
      <c r="B102" s="5" t="s">
        <v>2784</v>
      </c>
      <c r="C102" s="4" t="s">
        <v>2785</v>
      </c>
      <c r="D102" s="5" t="s">
        <v>2728</v>
      </c>
      <c r="E102" s="5" t="s">
        <v>2786</v>
      </c>
      <c r="G102" s="5" t="str">
        <f>IFERROR(__xludf.DUMMYFUNCTION(" GOOGLETRANSLATE(A102, ""en"", ""am"")"),"101")</f>
        <v>101</v>
      </c>
      <c r="H102" s="5" t="str">
        <f>IFERROR(__xludf.DUMMYFUNCTION(" GOOGLETRANSLATE(B102, ""en"", ""am"")"),"በአፍሪካ ሻምፒዮና የመጀመርያው የሲዳማ ቡና አትሌት ማን ነበር?")</f>
        <v>በአፍሪካ ሻምፒዮና የመጀመርያው የሲዳማ ቡና አትሌት ማን ነበር?</v>
      </c>
      <c r="I102" s="5" t="str">
        <f>IFERROR(__xludf.DUMMYFUNCTION(" GOOGLETRANSLATE(C102, ""en"", ""am"")"),"አ. በቀለ ዲዳ ብ. ጀማል አሊ ሲ. አብዲ አብዱልቃድር ዲ. ከድር ዘለቀ")</f>
        <v>አ. በቀለ ዲዳ ብ. ጀማል አሊ ሲ. አብዲ አብዱልቃድር ዲ. ከድር ዘለቀ</v>
      </c>
      <c r="J102" s="5" t="str">
        <f>IFERROR(__xludf.DUMMYFUNCTION(" GOOGLETRANSLATE(D102, ""en"", ""am"")"),"በቀለ ዲዳ")</f>
        <v>በቀለ ዲዳ</v>
      </c>
      <c r="K102" s="5" t="str">
        <f>IFERROR(__xludf.DUMMYFUNCTION(" GOOGLETRANSLATE(E102, ""en"", ""am"")"),"በቀለ ዲዳ በአፍሪካ ሻምፒዮና ሜዳሊያ ያሸነፈ የመጀመሪያው የሲዳማ አትሌት ነው።")</f>
        <v>በቀለ ዲዳ በአፍሪካ ሻምፒዮና ሜዳሊያ ያሸነፈ የመጀመሪያው የሲዳማ አትሌት ነው።</v>
      </c>
    </row>
    <row r="103" ht="22.5" customHeight="1">
      <c r="A103" s="3">
        <v>102.0</v>
      </c>
      <c r="B103" s="5" t="s">
        <v>2787</v>
      </c>
      <c r="C103" s="4" t="s">
        <v>2788</v>
      </c>
      <c r="D103" s="13">
        <v>2003.0</v>
      </c>
      <c r="E103" s="5" t="s">
        <v>2789</v>
      </c>
      <c r="G103" s="5" t="str">
        <f>IFERROR(__xludf.DUMMYFUNCTION(" GOOGLETRANSLATE(A103, ""en"", ""am"")"),"102")</f>
        <v>102</v>
      </c>
      <c r="H103" s="5" t="str">
        <f>IFERROR(__xludf.DUMMYFUNCTION(" GOOGLETRANSLATE(B103, ""en"", ""am"")"),"በመላው አፍሪካ ጨዋታዎች የሲዳማ ስፖርት ለመጀመሪያ ጊዜ የታየበት አመት ስንት ነው?")</f>
        <v>በመላው አፍሪካ ጨዋታዎች የሲዳማ ስፖርት ለመጀመሪያ ጊዜ የታየበት አመት ስንት ነው?</v>
      </c>
      <c r="I103" s="5" t="str">
        <f>IFERROR(__xludf.DUMMYFUNCTION(" GOOGLETRANSLATE(C103, ""en"", ""am"")"),"እ.ኤ.አ. 1999 ዓ.ም. 2003 ዓ.ም. 2007 ዲ. 2011 ዓ.ም.")</f>
        <v>እ.ኤ.አ. 1999 ዓ.ም. 2003 ዓ.ም. 2007 ዲ. 2011 ዓ.ም.</v>
      </c>
      <c r="J103" s="5" t="str">
        <f>IFERROR(__xludf.DUMMYFUNCTION(" GOOGLETRANSLATE(D103, ""en"", ""am"")"),"በ2003 ዓ.ም")</f>
        <v>በ2003 ዓ.ም</v>
      </c>
      <c r="K103" s="5" t="str">
        <f>IFERROR(__xludf.DUMMYFUNCTION(" GOOGLETRANSLATE(E103, ""en"", ""am"")"),"የሲዳማ ስፖርት ለመጀመሪያ ጊዜ በመላው አፍሪካ ጨዋታዎች በ2003 ታየ።")</f>
        <v>የሲዳማ ስፖርት ለመጀመሪያ ጊዜ በመላው አፍሪካ ጨዋታዎች በ2003 ታየ።</v>
      </c>
    </row>
    <row r="104" ht="22.5" customHeight="1">
      <c r="A104" s="3">
        <v>103.0</v>
      </c>
      <c r="B104" s="5" t="s">
        <v>2790</v>
      </c>
      <c r="C104" s="4" t="s">
        <v>2791</v>
      </c>
      <c r="D104" s="5" t="s">
        <v>2792</v>
      </c>
      <c r="E104" s="5" t="s">
        <v>2793</v>
      </c>
      <c r="G104" s="5" t="str">
        <f>IFERROR(__xludf.DUMMYFUNCTION(" GOOGLETRANSLATE(A104, ""en"", ""am"")"),"103")</f>
        <v>103</v>
      </c>
      <c r="H104" s="5" t="str">
        <f>IFERROR(__xludf.DUMMYFUNCTION(" GOOGLETRANSLATE(B104, ""en"", ""am"")"),"በ2012 በአትሌቲክሱ ላበረከተው አስተዋፅኦ እውቅና ያገኘው የትኛው የሲዳማ አትሌት ነው?")</f>
        <v>በ2012 በአትሌቲክሱ ላበረከተው አስተዋፅኦ እውቅና ያገኘው የትኛው የሲዳማ አትሌት ነው?</v>
      </c>
      <c r="I104" s="5" t="str">
        <f>IFERROR(__xludf.DUMMYFUNCTION(" GOOGLETRANSLATE(C104, ""en"", ""am"")"),"አ. በቀለ ዲዳ ብ አብዲ አብዱልቃድር ሲ. ከድር ዘለቀ ዲ. ጀማል አሊ")</f>
        <v>አ. በቀለ ዲዳ ብ አብዲ አብዱልቃድር ሲ. ከድር ዘለቀ ዲ. ጀማል አሊ</v>
      </c>
      <c r="J104" s="5" t="str">
        <f>IFERROR(__xludf.DUMMYFUNCTION(" GOOGLETRANSLATE(D104, ""en"", ""am"")"),"አብዲ አብዱልቃድር")</f>
        <v>አብዲ አብዱልቃድር</v>
      </c>
      <c r="K104" s="5" t="str">
        <f>IFERROR(__xludf.DUMMYFUNCTION(" GOOGLETRANSLATE(E104, ""en"", ""am"")"),"አብዲ አብዱልቃድር በ2012 በአትሌቲክስ ስፖርት ላበረከቱት አስተዋፅኦ እውቅና አግኝቷል።")</f>
        <v>አብዲ አብዱልቃድር በ2012 በአትሌቲክስ ስፖርት ላበረከቱት አስተዋፅኦ እውቅና አግኝቷል።</v>
      </c>
    </row>
    <row r="105" ht="22.5" customHeight="1">
      <c r="A105" s="3">
        <v>104.0</v>
      </c>
      <c r="B105" s="5" t="s">
        <v>2794</v>
      </c>
      <c r="C105" s="4" t="s">
        <v>2795</v>
      </c>
      <c r="D105" s="5" t="s">
        <v>2753</v>
      </c>
      <c r="E105" s="5" t="s">
        <v>2796</v>
      </c>
      <c r="G105" s="5" t="str">
        <f>IFERROR(__xludf.DUMMYFUNCTION(" GOOGLETRANSLATE(A105, ""en"", ""am"")"),"104")</f>
        <v>104</v>
      </c>
      <c r="H105" s="5" t="str">
        <f>IFERROR(__xludf.DUMMYFUNCTION(" GOOGLETRANSLATE(B105, ""en"", ""am"")"),"በ1995 ለመጀመሪያ ጊዜ በአዲስ አበባ የተካሄደው የትኛው የሲዳማ ውድድር ነው?")</f>
        <v>በ1995 ለመጀመሪያ ጊዜ በአዲስ አበባ የተካሄደው የትኛው የሲዳማ ውድድር ነው?</v>
      </c>
      <c r="I105" s="5" t="str">
        <f>IFERROR(__xludf.DUMMYFUNCTION(" GOOGLETRANSLATE(C105, ""en"", ""am"")"),"አ. የሲዳማ ብሄራዊ ጨዋታዎች ለ. የሲዳማ አለም ዋንጫ ሐ. የሲዳማ ክላሲክ ዲ. የሲዳማ ግብዣ")</f>
        <v>አ. የሲዳማ ብሄራዊ ጨዋታዎች ለ. የሲዳማ አለም ዋንጫ ሐ. የሲዳማ ክላሲክ ዲ. የሲዳማ ግብዣ</v>
      </c>
      <c r="J105" s="5" t="str">
        <f>IFERROR(__xludf.DUMMYFUNCTION(" GOOGLETRANSLATE(D105, ""en"", ""am"")"),"የሲዳማ ብሄራዊ ጨዋታዎች")</f>
        <v>የሲዳማ ብሄራዊ ጨዋታዎች</v>
      </c>
      <c r="K105" s="5" t="str">
        <f>IFERROR(__xludf.DUMMYFUNCTION(" GOOGLETRANSLATE(E105, ""en"", ""am"")"),"የሲዳማ ብሄራዊ ጨዋታ ለመጀመሪያ ጊዜ በአዲስ አበባ በ1995 ዓ.ም.")</f>
        <v>የሲዳማ ብሄራዊ ጨዋታ ለመጀመሪያ ጊዜ በአዲስ አበባ በ1995 ዓ.ም.</v>
      </c>
    </row>
    <row r="106" ht="22.5" customHeight="1">
      <c r="A106" s="3">
        <v>105.0</v>
      </c>
      <c r="B106" s="5" t="s">
        <v>2797</v>
      </c>
      <c r="C106" s="4" t="s">
        <v>2798</v>
      </c>
      <c r="D106" s="5" t="s">
        <v>2799</v>
      </c>
      <c r="E106" s="5" t="s">
        <v>2800</v>
      </c>
      <c r="G106" s="5" t="str">
        <f>IFERROR(__xludf.DUMMYFUNCTION(" GOOGLETRANSLATE(A106, ""en"", ""am"")"),"105")</f>
        <v>105</v>
      </c>
      <c r="H106" s="5" t="str">
        <f>IFERROR(__xludf.DUMMYFUNCTION(" GOOGLETRANSLATE(B106, ""en"", ""am"")"),"የትኛው የሲዳማ ስፖርት ከጥንታዊ የአደን ሥርዓት መነሻ አለው?")</f>
        <v>የትኛው የሲዳማ ስፖርት ከጥንታዊ የአደን ሥርዓት መነሻ አለው?</v>
      </c>
      <c r="I106" s="5" t="str">
        <f>IFERROR(__xludf.DUMMYFUNCTION(" GOOGLETRANSLATE(C106, ""en"", ""am"")"),"አ. የሲዳማ ትግል ለ. የሲዳማ ቀስት ውርወራ ሐ. የሲዳማ እግር ኳስ ዲ. የሲዳማ ሩጫ")</f>
        <v>አ. የሲዳማ ትግል ለ. የሲዳማ ቀስት ውርወራ ሐ. የሲዳማ እግር ኳስ ዲ. የሲዳማ ሩጫ</v>
      </c>
      <c r="J106" s="5" t="str">
        <f>IFERROR(__xludf.DUMMYFUNCTION(" GOOGLETRANSLATE(D106, ""en"", ""am"")"),"የሲዳማ ቀስት ውርወራ")</f>
        <v>የሲዳማ ቀስት ውርወራ</v>
      </c>
      <c r="K106" s="5" t="str">
        <f>IFERROR(__xludf.DUMMYFUNCTION(" GOOGLETRANSLATE(E106, ""en"", ""am"")"),"የሲዳማ ቀስት ውርወራ መነሻው በሲዳማ ህዝብ ጥንታዊ የአደን ስርአት ነው።")</f>
        <v>የሲዳማ ቀስት ውርወራ መነሻው በሲዳማ ህዝብ ጥንታዊ የአደን ስርአት ነው።</v>
      </c>
    </row>
    <row r="107" ht="22.5" customHeight="1">
      <c r="A107" s="3">
        <v>106.0</v>
      </c>
      <c r="B107" s="5" t="s">
        <v>2801</v>
      </c>
      <c r="C107" s="4" t="s">
        <v>2802</v>
      </c>
      <c r="D107" s="5" t="s">
        <v>2803</v>
      </c>
      <c r="E107" s="5" t="s">
        <v>2804</v>
      </c>
      <c r="G107" s="5" t="str">
        <f>IFERROR(__xludf.DUMMYFUNCTION(" GOOGLETRANSLATE(A107, ""en"", ""am"")"),"106")</f>
        <v>106</v>
      </c>
      <c r="H107" s="5" t="str">
        <f>IFERROR(__xludf.DUMMYFUNCTION(" GOOGLETRANSLATE(B107, ""en"", ""am"")"),"በአፍሪካ ጨዋታ የመጀመሪያዋ የሲዳማ ሴት አትሌት ማን ናት?")</f>
        <v>በአፍሪካ ጨዋታ የመጀመሪያዋ የሲዳማ ሴት አትሌት ማን ናት?</v>
      </c>
      <c r="I107" s="5" t="str">
        <f>IFERROR(__xludf.DUMMYFUNCTION(" GOOGLETRANSLATE(C107, ""en"", ""am"")"),"አ.ፋጡማ ኢብራሂም ቢ.ሶፊያ ዘለቀ ሐ.አሚና አሊ ዲ.ሩት ኢብራሂም")</f>
        <v>አ.ፋጡማ ኢብራሂም ቢ.ሶፊያ ዘለቀ ሐ.አሚና አሊ ዲ.ሩት ኢብራሂም</v>
      </c>
      <c r="J107" s="5" t="str">
        <f>IFERROR(__xludf.DUMMYFUNCTION(" GOOGLETRANSLATE(D107, ""en"", ""am"")"),"ፋጡማ ኢብራሂም")</f>
        <v>ፋጡማ ኢብራሂም</v>
      </c>
      <c r="K107" s="5" t="str">
        <f>IFERROR(__xludf.DUMMYFUNCTION(" GOOGLETRANSLATE(E107, ""en"", ""am"")"),"ፋጡማ ኢብራሂም በአፍሪካ ጨዋታዎች ሜዳሊያ በማግኘቷ የመጀመሪያዋ የሲዳማ ሴት አትሌት ነች።")</f>
        <v>ፋጡማ ኢብራሂም በአፍሪካ ጨዋታዎች ሜዳሊያ በማግኘቷ የመጀመሪያዋ የሲዳማ ሴት አትሌት ነች።</v>
      </c>
    </row>
    <row r="108" ht="22.5" customHeight="1">
      <c r="A108" s="3">
        <v>107.0</v>
      </c>
      <c r="B108" s="5" t="s">
        <v>2805</v>
      </c>
      <c r="C108" s="4" t="s">
        <v>2806</v>
      </c>
      <c r="D108" s="5" t="s">
        <v>2807</v>
      </c>
      <c r="E108" s="5" t="s">
        <v>2808</v>
      </c>
      <c r="G108" s="5" t="str">
        <f>IFERROR(__xludf.DUMMYFUNCTION(" GOOGLETRANSLATE(A108, ""en"", ""am"")"),"107")</f>
        <v>107</v>
      </c>
      <c r="H108" s="5" t="str">
        <f>IFERROR(__xludf.DUMMYFUNCTION(" GOOGLETRANSLATE(B108, ""en"", ""am"")"),"የአለም አቀፍ ኦሊምፒክ ኮሚቴ አባል የሆነው የትኛው የሲዳማ ስፖርት ሰው ነው?")</f>
        <v>የአለም አቀፍ ኦሊምፒክ ኮሚቴ አባል የሆነው የትኛው የሲዳማ ስፖርት ሰው ነው?</v>
      </c>
      <c r="I108" s="5" t="str">
        <f>IFERROR(__xludf.DUMMYFUNCTION(" GOOGLETRANSLATE(C108, ""en"", ""am"")"),"አ.ከድር ዘለቀ ብ.መሀመድ ኢብራሂም ሲ.አብዲ አብዱልቃድር ዲ.በቀለ ዲዳ")</f>
        <v>አ.ከድር ዘለቀ ብ.መሀመድ ኢብራሂም ሲ.አብዲ አብዱልቃድር ዲ.በቀለ ዲዳ</v>
      </c>
      <c r="J108" s="5" t="str">
        <f>IFERROR(__xludf.DUMMYFUNCTION(" GOOGLETRANSLATE(D108, ""en"", ""am"")"),"መሀመድ ኢብራሂም")</f>
        <v>መሀመድ ኢብራሂም</v>
      </c>
      <c r="K108" s="5" t="str">
        <f>IFERROR(__xludf.DUMMYFUNCTION(" GOOGLETRANSLATE(E108, ""en"", ""am"")"),"መሀመድ ኢብራሂም የአለም አቀፍ ኦሊምፒክ ኮሚቴ አባል በመሆን የመጀመሪያው የሲዳማ ስፖርት ሰው ነው።")</f>
        <v>መሀመድ ኢብራሂም የአለም አቀፍ ኦሊምፒክ ኮሚቴ አባል በመሆን የመጀመሪያው የሲዳማ ስፖርት ሰው ነው።</v>
      </c>
    </row>
    <row r="109" ht="22.5" customHeight="1">
      <c r="A109" s="3">
        <v>108.0</v>
      </c>
      <c r="B109" s="5" t="s">
        <v>2809</v>
      </c>
      <c r="C109" s="4" t="s">
        <v>2810</v>
      </c>
      <c r="D109" s="5" t="s">
        <v>2811</v>
      </c>
      <c r="E109" s="5" t="s">
        <v>2812</v>
      </c>
      <c r="G109" s="5" t="str">
        <f>IFERROR(__xludf.DUMMYFUNCTION(" GOOGLETRANSLATE(A109, ""en"", ""am"")"),"108")</f>
        <v>108</v>
      </c>
      <c r="H109" s="5" t="str">
        <f>IFERROR(__xludf.DUMMYFUNCTION(" GOOGLETRANSLATE(B109, ""en"", ""am"")"),"በሀገር አቀፍ ሻምፒዮና ወቅት በሚያስደንቅ የመክፈቻ ስነ ስርዓት የሚታወቀው የሲዳማ ስፖርት የትኛው ነው?")</f>
        <v>በሀገር አቀፍ ሻምፒዮና ወቅት በሚያስደንቅ የመክፈቻ ስነ ስርዓት የሚታወቀው የሲዳማ ስፖርት የትኛው ነው?</v>
      </c>
      <c r="I109" s="5" t="str">
        <f>IFERROR(__xludf.DUMMYFUNCTION(" GOOGLETRANSLATE(C109, ""en"", ""am"")"),"አ. የሲዳማ እግር ኳስ ለ. የሲዳማ ትግል ሐ. የሲዳማ ቀስት ውርወራ D. የሲዳማ ሩጫ")</f>
        <v>አ. የሲዳማ እግር ኳስ ለ. የሲዳማ ትግል ሐ. የሲዳማ ቀስት ውርወራ D. የሲዳማ ሩጫ</v>
      </c>
      <c r="J109" s="5" t="str">
        <f>IFERROR(__xludf.DUMMYFUNCTION(" GOOGLETRANSLATE(D109, ""en"", ""am"")"),"የሲዳማ እግር ኳስ")</f>
        <v>የሲዳማ እግር ኳስ</v>
      </c>
      <c r="K109" s="5" t="str">
        <f>IFERROR(__xludf.DUMMYFUNCTION(" GOOGLETRANSLATE(E109, ""en"", ""am"")"),"የሲዳማ እግር ኳስ በሀገር አቀፍ ሻምፒዮና ወቅት በሚያስደንቅ የመክፈቻ ስነ ስርዓት ይታወቃል።")</f>
        <v>የሲዳማ እግር ኳስ በሀገር አቀፍ ሻምፒዮና ወቅት በሚያስደንቅ የመክፈቻ ስነ ስርዓት ይታወቃል።</v>
      </c>
    </row>
    <row r="110" ht="22.5" customHeight="1">
      <c r="A110" s="3">
        <v>109.0</v>
      </c>
      <c r="B110" s="5" t="s">
        <v>2813</v>
      </c>
      <c r="C110" s="4" t="s">
        <v>2814</v>
      </c>
      <c r="D110" s="5" t="s">
        <v>2792</v>
      </c>
      <c r="E110" s="5" t="s">
        <v>2815</v>
      </c>
      <c r="G110" s="5" t="str">
        <f>IFERROR(__xludf.DUMMYFUNCTION(" GOOGLETRANSLATE(A110, ""en"", ""am"")"),"109")</f>
        <v>109</v>
      </c>
      <c r="H110" s="5" t="str">
        <f>IFERROR(__xludf.DUMMYFUNCTION(" GOOGLETRANSLATE(B110, ""en"", ""am"")"),"የትኛው የሲዳማ አትሌት ነው የአለም አቀፍ የ100ሜ የሩጫ ሪከርድ የሰበረ?")</f>
        <v>የትኛው የሲዳማ አትሌት ነው የአለም አቀፍ የ100ሜ የሩጫ ሪከርድ የሰበረ?</v>
      </c>
      <c r="I110" s="5" t="str">
        <f>IFERROR(__xludf.DUMMYFUNCTION(" GOOGLETRANSLATE(C110, ""en"", ""am"")"),"አ.አብዲ አብዱልቃድር ቢ. ጀማል አሊ ሲ. በቀለ ዲዳ ዲ. መሀመድ ኢብራሂም")</f>
        <v>አ.አብዲ አብዱልቃድር ቢ. ጀማል አሊ ሲ. በቀለ ዲዳ ዲ. መሀመድ ኢብራሂም</v>
      </c>
      <c r="J110" s="5" t="str">
        <f>IFERROR(__xludf.DUMMYFUNCTION(" GOOGLETRANSLATE(D110, ""en"", ""am"")"),"አብዲ አብዱልቃድር")</f>
        <v>አብዲ አብዱልቃድር</v>
      </c>
      <c r="K110" s="5" t="str">
        <f>IFERROR(__xludf.DUMMYFUNCTION(" GOOGLETRANSLATE(E110, ""en"", ""am"")"),"አብዲ አብዱልቃድር የአለም አቀፍ የ100ሜ.")</f>
        <v>አብዲ አብዱልቃድር የአለም አቀፍ የ100ሜ.</v>
      </c>
    </row>
    <row r="111" ht="22.5" customHeight="1">
      <c r="A111" s="3">
        <v>110.0</v>
      </c>
      <c r="B111" s="5" t="s">
        <v>2816</v>
      </c>
      <c r="C111" s="4" t="s">
        <v>2817</v>
      </c>
      <c r="D111" s="5" t="s">
        <v>2818</v>
      </c>
      <c r="E111" s="5" t="s">
        <v>2819</v>
      </c>
      <c r="G111" s="5" t="str">
        <f>IFERROR(__xludf.DUMMYFUNCTION(" GOOGLETRANSLATE(A111, ""en"", ""am"")"),"110")</f>
        <v>110</v>
      </c>
      <c r="H111" s="5" t="str">
        <f>IFERROR(__xludf.DUMMYFUNCTION(" GOOGLETRANSLATE(B111, ""en"", ""am"")"),"የሲዳማ ብሔራዊ ስፖርት አካዳሚ የተቋቋመበት ዋና ምክንያት ምን ነበር?")</f>
        <v>የሲዳማ ብሔራዊ ስፖርት አካዳሚ የተቋቋመበት ዋና ምክንያት ምን ነበር?</v>
      </c>
      <c r="I111" s="5" t="str">
        <f>IFERROR(__xludf.DUMMYFUNCTION(" GOOGLETRANSLATE(C111, ""en"", ""am"")"),"ሀ. የወጣቶች ተሳትፎን ማሻሻል ለ. ዓለም አቀፍ ዝግጅቶችን ማስተናገድ ሐ. የአትሌቲክስ መገልገያዎችን መገንባት መ. ታዋቂ አትሌቶችን ማሰልጠን")</f>
        <v>ሀ. የወጣቶች ተሳትፎን ማሻሻል ለ. ዓለም አቀፍ ዝግጅቶችን ማስተናገድ ሐ. የአትሌቲክስ መገልገያዎችን መገንባት መ. ታዋቂ አትሌቶችን ማሰልጠን</v>
      </c>
      <c r="J111" s="5" t="str">
        <f>IFERROR(__xludf.DUMMYFUNCTION(" GOOGLETRANSLATE(D111, ""en"", ""am"")"),"ታዋቂ አትሌቶችን ማሰልጠን")</f>
        <v>ታዋቂ አትሌቶችን ማሰልጠን</v>
      </c>
      <c r="K111" s="5" t="str">
        <f>IFERROR(__xludf.DUMMYFUNCTION(" GOOGLETRANSLATE(E111, ""en"", ""am"")"),"የሲዳማ ብሔራዊ ስፖርት አካዳሚ የተቋቋመበት ዋና ምክንያት ታዋቂ አትሌቶችን በማሰልጠን ነበር።")</f>
        <v>የሲዳማ ብሔራዊ ስፖርት አካዳሚ የተቋቋመበት ዋና ምክንያት ታዋቂ አትሌቶችን በማሰልጠን ነበር።</v>
      </c>
    </row>
    <row r="112" ht="22.5" customHeight="1">
      <c r="A112" s="3">
        <v>111.0</v>
      </c>
      <c r="B112" s="5" t="s">
        <v>2820</v>
      </c>
      <c r="C112" s="4" t="s">
        <v>2821</v>
      </c>
      <c r="D112" s="5" t="s">
        <v>2822</v>
      </c>
      <c r="E112" s="5" t="s">
        <v>2823</v>
      </c>
      <c r="G112" s="5" t="str">
        <f>IFERROR(__xludf.DUMMYFUNCTION(" GOOGLETRANSLATE(A112, ""en"", ""am"")"),"111")</f>
        <v>111</v>
      </c>
      <c r="H112" s="5" t="str">
        <f>IFERROR(__xludf.DUMMYFUNCTION(" GOOGLETRANSLATE(B112, ""en"", ""am"")"),"በአለም አትሌቲክስ ሻምፒዮና ለመጀመሪያ ጊዜ የተሳተፈው የሲዳማ ስፖርተኛ የትኛው ነው?")</f>
        <v>በአለም አትሌቲክስ ሻምፒዮና ለመጀመሪያ ጊዜ የተሳተፈው የሲዳማ ስፖርተኛ የትኛው ነው?</v>
      </c>
      <c r="I112" s="5" t="str">
        <f>IFERROR(__xludf.DUMMYFUNCTION(" GOOGLETRANSLATE(C112, ""en"", ""am"")"),"አ.አብዲ አብዱልቃድር ቢ. በቀለ ዲዳ ሲ. ጀማል አሊ ዲ. ከድር ዘለቀ")</f>
        <v>አ.አብዲ አብዱልቃድር ቢ. በቀለ ዲዳ ሲ. ጀማል አሊ ዲ. ከድር ዘለቀ</v>
      </c>
      <c r="J112" s="5" t="str">
        <f>IFERROR(__xludf.DUMMYFUNCTION(" GOOGLETRANSLATE(D112, ""en"", ""am"")"),"ጀማል አሊ")</f>
        <v>ጀማል አሊ</v>
      </c>
      <c r="K112" s="5" t="str">
        <f>IFERROR(__xludf.DUMMYFUNCTION(" GOOGLETRANSLATE(E112, ""en"", ""am"")"),"ጀማል አሊ በአለም አትሌቲክስ ሻምፒዮና የተሳተፈ የመጀመሪያው የሲዳማ ስፖርተኛ ነው።")</f>
        <v>ጀማል አሊ በአለም አትሌቲክስ ሻምፒዮና የተሳተፈ የመጀመሪያው የሲዳማ ስፖርተኛ ነው።</v>
      </c>
    </row>
    <row r="113" ht="22.5" customHeight="1">
      <c r="A113" s="3">
        <v>112.0</v>
      </c>
      <c r="B113" s="5" t="s">
        <v>2824</v>
      </c>
      <c r="C113" s="4" t="s">
        <v>2825</v>
      </c>
      <c r="D113" s="13">
        <v>1990.0</v>
      </c>
      <c r="E113" s="5" t="s">
        <v>2826</v>
      </c>
      <c r="G113" s="5" t="str">
        <f>IFERROR(__xludf.DUMMYFUNCTION(" GOOGLETRANSLATE(A113, ""en"", ""am"")"),"112")</f>
        <v>112</v>
      </c>
      <c r="H113" s="5" t="str">
        <f>IFERROR(__xludf.DUMMYFUNCTION(" GOOGLETRANSLATE(B113, ""en"", ""am"")"),"የሲዳማ ስፖርት ፌዴሬሽን የአለም አቀፍ አትሌቲክስ ማህበር ይፋዊ አባል የሆነው በስንት አመት ነው?")</f>
        <v>የሲዳማ ስፖርት ፌዴሬሽን የአለም አቀፍ አትሌቲክስ ማህበር ይፋዊ አባል የሆነው በስንት አመት ነው?</v>
      </c>
      <c r="I113" s="5" t="str">
        <f>IFERROR(__xludf.DUMMYFUNCTION(" GOOGLETRANSLATE(C113, ""en"", ""am"")"),"ኣብ 1990 ዓ.ም.2000 ዓ.ም.2010 ዲ.1985 ዓ.ም.")</f>
        <v>ኣብ 1990 ዓ.ም.2000 ዓ.ም.2010 ዲ.1985 ዓ.ም.</v>
      </c>
      <c r="J113" s="5" t="str">
        <f>IFERROR(__xludf.DUMMYFUNCTION(" GOOGLETRANSLATE(D113, ""en"", ""am"")"),"በ1990 ዓ.ም")</f>
        <v>በ1990 ዓ.ም</v>
      </c>
      <c r="K113" s="5" t="str">
        <f>IFERROR(__xludf.DUMMYFUNCTION(" GOOGLETRANSLATE(E113, ""en"", ""am"")"),"የሲዳማ ስፖርት ፌዴሬሽን በ1990 የአለም አትሌቲክስ ማህበር ይፋዊ አባል ሆነ።")</f>
        <v>የሲዳማ ስፖርት ፌዴሬሽን በ1990 የአለም አትሌቲክስ ማህበር ይፋዊ አባል ሆነ።</v>
      </c>
    </row>
    <row r="114" ht="22.5" customHeight="1">
      <c r="A114" s="3">
        <v>113.0</v>
      </c>
      <c r="B114" s="5" t="s">
        <v>2827</v>
      </c>
      <c r="C114" s="4" t="s">
        <v>2828</v>
      </c>
      <c r="D114" s="5" t="s">
        <v>2807</v>
      </c>
      <c r="E114" s="5" t="s">
        <v>2829</v>
      </c>
      <c r="G114" s="5" t="str">
        <f>IFERROR(__xludf.DUMMYFUNCTION(" GOOGLETRANSLATE(A114, ""en"", ""am"")"),"113")</f>
        <v>113</v>
      </c>
      <c r="H114" s="5" t="str">
        <f>IFERROR(__xludf.DUMMYFUNCTION(" GOOGLETRANSLATE(B114, ""en"", ""am"")"),"የትኛው የሲዳማ ስፖርተኛ ነው በአለም ዋንጫ በእግር ኳሱ ለመጀመሪያ ጊዜ የተሳተፈው?")</f>
        <v>የትኛው የሲዳማ ስፖርተኛ ነው በአለም ዋንጫ በእግር ኳሱ ለመጀመሪያ ጊዜ የተሳተፈው?</v>
      </c>
      <c r="I114" s="5" t="str">
        <f>IFERROR(__xludf.DUMMYFUNCTION(" GOOGLETRANSLATE(C114, ""en"", ""am"")"),"አ.አብዲ አብዱልቃድር ቢ.መሀመድ ኢብራሂም ሲ.በቀለ ዲዳ ዲ.ጀማል አሊ")</f>
        <v>አ.አብዲ አብዱልቃድር ቢ.መሀመድ ኢብራሂም ሲ.በቀለ ዲዳ ዲ.ጀማል አሊ</v>
      </c>
      <c r="J114" s="5" t="str">
        <f>IFERROR(__xludf.DUMMYFUNCTION(" GOOGLETRANSLATE(D114, ""en"", ""am"")"),"መሀመድ ኢብራሂም")</f>
        <v>መሀመድ ኢብራሂም</v>
      </c>
      <c r="K114" s="5" t="str">
        <f>IFERROR(__xludf.DUMMYFUNCTION(" GOOGLETRANSLATE(E114, ""en"", ""am"")"),"መሀመድ ኢብራሂም በአለም ዋንጫ በእግር ኳስ የተሳተፈ የመጀመሪያው የሲዳማ ስፖርተኛ ነው።")</f>
        <v>መሀመድ ኢብራሂም በአለም ዋንጫ በእግር ኳስ የተሳተፈ የመጀመሪያው የሲዳማ ስፖርተኛ ነው።</v>
      </c>
    </row>
    <row r="115" ht="22.5" customHeight="1">
      <c r="A115" s="3">
        <v>114.0</v>
      </c>
      <c r="B115" s="5" t="s">
        <v>2830</v>
      </c>
      <c r="C115" s="4" t="s">
        <v>2831</v>
      </c>
      <c r="D115" s="5" t="s">
        <v>2811</v>
      </c>
      <c r="E115" s="5" t="s">
        <v>2832</v>
      </c>
      <c r="G115" s="5" t="str">
        <f>IFERROR(__xludf.DUMMYFUNCTION(" GOOGLETRANSLATE(A115, ""en"", ""am"")"),"114")</f>
        <v>114</v>
      </c>
      <c r="H115" s="5" t="str">
        <f>IFERROR(__xludf.DUMMYFUNCTION(" GOOGLETRANSLATE(B115, ""en"", ""am"")"),"ከ2000ዎቹ በኋላ በሀገሪቱ ተወዳጅ የሆነው የትኛው የሲዳማ ስፖርት ነው?")</f>
        <v>ከ2000ዎቹ በኋላ በሀገሪቱ ተወዳጅ የሆነው የትኛው የሲዳማ ስፖርት ነው?</v>
      </c>
      <c r="I115" s="5" t="str">
        <f>IFERROR(__xludf.DUMMYFUNCTION(" GOOGLETRANSLATE(C115, ""en"", ""am"")"),"አ. የሲዳማ ትግል ለ. የሲዳማ ቀስት ውርወራ ሐ. የሲዳማ እግር ኳስ ዲ. ሲዳማ ሩጫ")</f>
        <v>አ. የሲዳማ ትግል ለ. የሲዳማ ቀስት ውርወራ ሐ. የሲዳማ እግር ኳስ ዲ. ሲዳማ ሩጫ</v>
      </c>
      <c r="J115" s="5" t="str">
        <f>IFERROR(__xludf.DUMMYFUNCTION(" GOOGLETRANSLATE(D115, ""en"", ""am"")"),"የሲዳማ እግር ኳስ")</f>
        <v>የሲዳማ እግር ኳስ</v>
      </c>
      <c r="K115" s="5" t="str">
        <f>IFERROR(__xludf.DUMMYFUNCTION(" GOOGLETRANSLATE(E115, ""en"", ""am"")"),"የሲዳማ እግር ኳስ ከ2000ዎቹ በኋላ በሀገሪቱ ተወዳጅ ስፖርት ሆነ።")</f>
        <v>የሲዳማ እግር ኳስ ከ2000ዎቹ በኋላ በሀገሪቱ ተወዳጅ ስፖርት ሆነ።</v>
      </c>
    </row>
    <row r="116" ht="22.5" customHeight="1">
      <c r="A116" s="3">
        <v>115.0</v>
      </c>
      <c r="B116" s="5" t="s">
        <v>2833</v>
      </c>
      <c r="C116" s="4" t="s">
        <v>2834</v>
      </c>
      <c r="D116" s="5" t="s">
        <v>2728</v>
      </c>
      <c r="E116" s="5" t="s">
        <v>2835</v>
      </c>
      <c r="G116" s="5" t="str">
        <f>IFERROR(__xludf.DUMMYFUNCTION(" GOOGLETRANSLATE(A116, ""en"", ""am"")"),"115")</f>
        <v>115</v>
      </c>
      <c r="H116" s="5" t="str">
        <f>IFERROR(__xludf.DUMMYFUNCTION(" GOOGLETRANSLATE(B116, ""en"", ""am"")"),"በአለም ሻምፒዮና የብር ሜዳሊያ ያሸነፈ የመጀመሪያው የሲዳማ አትሌት ማን ነበር?")</f>
        <v>በአለም ሻምፒዮና የብር ሜዳሊያ ያሸነፈ የመጀመሪያው የሲዳማ አትሌት ማን ነበር?</v>
      </c>
      <c r="I116" s="5" t="str">
        <f>IFERROR(__xludf.DUMMYFUNCTION(" GOOGLETRANSLATE(C116, ""en"", ""am"")"),"አ. በቀለ ዲዳ ብ. ጀማል አሊ ሐ. መሐመድ ኢብራሂም ዲ. አብዲ አብዱልቃድር")</f>
        <v>አ. በቀለ ዲዳ ብ. ጀማል አሊ ሐ. መሐመድ ኢብራሂም ዲ. አብዲ አብዱልቃድር</v>
      </c>
      <c r="J116" s="5" t="str">
        <f>IFERROR(__xludf.DUMMYFUNCTION(" GOOGLETRANSLATE(D116, ""en"", ""am"")"),"በቀለ ዲዳ")</f>
        <v>በቀለ ዲዳ</v>
      </c>
      <c r="K116" s="5" t="str">
        <f>IFERROR(__xludf.DUMMYFUNCTION(" GOOGLETRANSLATE(E116, ""en"", ""am"")"),"በቀለ ዲዳ በአለም ሻምፒዮና የብር ሜዳልያ ያገኘ የመጀመሪያው የሲዳማ አትሌት ነው።")</f>
        <v>በቀለ ዲዳ በአለም ሻምፒዮና የብር ሜዳልያ ያገኘ የመጀመሪያው የሲዳማ አትሌት ነው።</v>
      </c>
    </row>
    <row r="117" ht="22.5" customHeight="1">
      <c r="A117" s="3">
        <v>116.0</v>
      </c>
      <c r="B117" s="5" t="s">
        <v>2836</v>
      </c>
      <c r="C117" s="4" t="s">
        <v>2837</v>
      </c>
      <c r="D117" s="13">
        <v>1980.0</v>
      </c>
      <c r="E117" s="5" t="s">
        <v>2838</v>
      </c>
      <c r="G117" s="5" t="str">
        <f>IFERROR(__xludf.DUMMYFUNCTION(" GOOGLETRANSLATE(A117, ""en"", ""am"")"),"116")</f>
        <v>116</v>
      </c>
      <c r="H117" s="5" t="str">
        <f>IFERROR(__xludf.DUMMYFUNCTION(" GOOGLETRANSLATE(B117, ""en"", ""am"")"),"የሲዳማ ትግል ብሄራዊ እውቅናን ያገኘው ስንት አመት ነው?")</f>
        <v>የሲዳማ ትግል ብሄራዊ እውቅናን ያገኘው ስንት አመት ነው?</v>
      </c>
      <c r="I117" s="5" t="str">
        <f>IFERROR(__xludf.DUMMYFUNCTION(" GOOGLETRANSLATE(C117, ""en"", ""am"")"),"ኣብ 1975 ብ 1980 ዓ.ም. 1990 ዲ. 2000 ዓ.ም.")</f>
        <v>ኣብ 1975 ብ 1980 ዓ.ም. 1990 ዲ. 2000 ዓ.ም.</v>
      </c>
      <c r="J117" s="5" t="str">
        <f>IFERROR(__xludf.DUMMYFUNCTION(" GOOGLETRANSLATE(D117, ""en"", ""am"")"),"በ1980 ዓ.ም")</f>
        <v>በ1980 ዓ.ም</v>
      </c>
      <c r="K117" s="5" t="str">
        <f>IFERROR(__xludf.DUMMYFUNCTION(" GOOGLETRANSLATE(E117, ""en"", ""am"")"),"የሲዳማ ትግል በኢትዮጵያ ብሔራዊ እውቅናን ያገኘው በ1980 ዓ.ም.")</f>
        <v>የሲዳማ ትግል በኢትዮጵያ ብሔራዊ እውቅናን ያገኘው በ1980 ዓ.ም.</v>
      </c>
    </row>
    <row r="118" ht="22.5" customHeight="1">
      <c r="A118" s="3">
        <v>117.0</v>
      </c>
      <c r="B118" s="5" t="s">
        <v>2839</v>
      </c>
      <c r="C118" s="4" t="s">
        <v>2795</v>
      </c>
      <c r="D118" s="5" t="s">
        <v>2753</v>
      </c>
      <c r="E118" s="5" t="s">
        <v>2840</v>
      </c>
      <c r="G118" s="5" t="str">
        <f>IFERROR(__xludf.DUMMYFUNCTION(" GOOGLETRANSLATE(A118, ""en"", ""am"")"),"117")</f>
        <v>117</v>
      </c>
      <c r="H118" s="5" t="str">
        <f>IFERROR(__xludf.DUMMYFUNCTION(" GOOGLETRANSLATE(B118, ""en"", ""am"")"),"የትኛው ዝግጅት እጅግ የተከበረ የሲዳማ አትሌቲክስ ውድድር ነው ተብሎ የሚታሰበው?")</f>
        <v>የትኛው ዝግጅት እጅግ የተከበረ የሲዳማ አትሌቲክስ ውድድር ነው ተብሎ የሚታሰበው?</v>
      </c>
      <c r="I118" s="5" t="str">
        <f>IFERROR(__xludf.DUMMYFUNCTION(" GOOGLETRANSLATE(C118, ""en"", ""am"")"),"አ. የሲዳማ ብሄራዊ ጨዋታዎች ለ. የሲዳማ አለም ዋንጫ ሐ. የሲዳማ ክላሲክ ዲ. የሲዳማ ግብዣ")</f>
        <v>አ. የሲዳማ ብሄራዊ ጨዋታዎች ለ. የሲዳማ አለም ዋንጫ ሐ. የሲዳማ ክላሲክ ዲ. የሲዳማ ግብዣ</v>
      </c>
      <c r="J118" s="5" t="str">
        <f>IFERROR(__xludf.DUMMYFUNCTION(" GOOGLETRANSLATE(D118, ""en"", ""am"")"),"የሲዳማ ብሄራዊ ጨዋታዎች")</f>
        <v>የሲዳማ ብሄራዊ ጨዋታዎች</v>
      </c>
      <c r="K118" s="5" t="str">
        <f>IFERROR(__xludf.DUMMYFUNCTION(" GOOGLETRANSLATE(E118, ""en"", ""am"")"),"የሲዳማ ብሄራዊ ጨዋታዎች እጅግ የተከበረው የሲዳማ አትሌቲክስ ውድድር ተደርጎ ይወሰዳል።")</f>
        <v>የሲዳማ ብሄራዊ ጨዋታዎች እጅግ የተከበረው የሲዳማ አትሌቲክስ ውድድር ተደርጎ ይወሰዳል።</v>
      </c>
    </row>
    <row r="119" ht="22.5" customHeight="1">
      <c r="A119" s="3">
        <v>118.0</v>
      </c>
      <c r="B119" s="5" t="s">
        <v>2841</v>
      </c>
      <c r="C119" s="4" t="s">
        <v>2842</v>
      </c>
      <c r="D119" s="5" t="s">
        <v>2728</v>
      </c>
      <c r="E119" s="5" t="s">
        <v>2843</v>
      </c>
      <c r="G119" s="5" t="str">
        <f>IFERROR(__xludf.DUMMYFUNCTION(" GOOGLETRANSLATE(A119, ""en"", ""am"")"),"118")</f>
        <v>118</v>
      </c>
      <c r="H119" s="5" t="str">
        <f>IFERROR(__xludf.DUMMYFUNCTION(" GOOGLETRANSLATE(B119, ""en"", ""am"")"),"በ2009 በአፍሪካ አትሌቲክስ ሻምፒዮና የወርቅ ሜዳሊያ ያስገኘው የሲዳማ አትሌት የትኛው ነው?")</f>
        <v>በ2009 በአፍሪካ አትሌቲክስ ሻምፒዮና የወርቅ ሜዳሊያ ያስገኘው የሲዳማ አትሌት የትኛው ነው?</v>
      </c>
      <c r="I119" s="5" t="str">
        <f>IFERROR(__xludf.DUMMYFUNCTION(" GOOGLETRANSLATE(C119, ""en"", ""am"")"),"አ. በቀለ ዲዳ ቢ. መሐመድ ኢብራሂም ሲ. አብዲ አብዱልቃድር ዲ. ጀማል አሊ")</f>
        <v>አ. በቀለ ዲዳ ቢ. መሐመድ ኢብራሂም ሲ. አብዲ አብዱልቃድር ዲ. ጀማል አሊ</v>
      </c>
      <c r="J119" s="5" t="str">
        <f>IFERROR(__xludf.DUMMYFUNCTION(" GOOGLETRANSLATE(D119, ""en"", ""am"")"),"በቀለ ዲዳ")</f>
        <v>በቀለ ዲዳ</v>
      </c>
      <c r="K119" s="5" t="str">
        <f>IFERROR(__xludf.DUMMYFUNCTION(" GOOGLETRANSLATE(E119, ""en"", ""am"")"),"በቀለ ዲዳ በ2009 የአፍሪካ አትሌቲክስ ሻምፒዮና የወርቅ ሜዳሊያ አስገኝቷል።")</f>
        <v>በቀለ ዲዳ በ2009 የአፍሪካ አትሌቲክስ ሻምፒዮና የወርቅ ሜዳሊያ አስገኝቷል።</v>
      </c>
    </row>
    <row r="120" ht="22.5" customHeight="1">
      <c r="A120" s="3">
        <v>119.0</v>
      </c>
      <c r="B120" s="5" t="s">
        <v>2844</v>
      </c>
      <c r="C120" s="4" t="s">
        <v>2845</v>
      </c>
      <c r="D120" s="5" t="s">
        <v>2792</v>
      </c>
      <c r="E120" s="5" t="s">
        <v>2846</v>
      </c>
      <c r="G120" s="5" t="str">
        <f>IFERROR(__xludf.DUMMYFUNCTION(" GOOGLETRANSLATE(A120, ""en"", ""am"")"),"119")</f>
        <v>119</v>
      </c>
      <c r="H120" s="5" t="str">
        <f>IFERROR(__xludf.DUMMYFUNCTION(" GOOGLETRANSLATE(B120, ""en"", ""am"")"),"የኢትዮጵያን የ400ሜ. ሪከርድ የሰበረ የመጀመሪያው የሲዳማ ስፖርተኛ ማን ነበር?")</f>
        <v>የኢትዮጵያን የ400ሜ. ሪከርድ የሰበረ የመጀመሪያው የሲዳማ ስፖርተኛ ማን ነበር?</v>
      </c>
      <c r="I120" s="5" t="str">
        <f>IFERROR(__xludf.DUMMYFUNCTION(" GOOGLETRANSLATE(C120, ""en"", ""am"")"),"አ. ጀማል አሊ ብ በቀለ ዲዳ ሲ. አብዲ አብዱልቃድር ዲ. መሀመድ ኢብራሂም")</f>
        <v>አ. ጀማል አሊ ብ በቀለ ዲዳ ሲ. አብዲ አብዱልቃድር ዲ. መሀመድ ኢብራሂም</v>
      </c>
      <c r="J120" s="5" t="str">
        <f>IFERROR(__xludf.DUMMYFUNCTION(" GOOGLETRANSLATE(D120, ""en"", ""am"")"),"አብዲ አብዱልቃድር")</f>
        <v>አብዲ አብዱልቃድር</v>
      </c>
      <c r="K120" s="5" t="str">
        <f>IFERROR(__xludf.DUMMYFUNCTION(" GOOGLETRANSLATE(E120, ""en"", ""am"")"),"አብዲ አብዱልቃድር የኢትዮጵያን የ400 ሜትር ክብረወሰን የሰበረ የመጀመሪያው የሲዳማ አትሌት ነው።")</f>
        <v>አብዲ አብዱልቃድር የኢትዮጵያን የ400 ሜትር ክብረወሰን የሰበረ የመጀመሪያው የሲዳማ አትሌት ነው።</v>
      </c>
    </row>
    <row r="121" ht="22.5" customHeight="1">
      <c r="A121" s="3">
        <v>120.0</v>
      </c>
      <c r="B121" s="5" t="s">
        <v>2847</v>
      </c>
      <c r="C121" s="4" t="s">
        <v>2423</v>
      </c>
      <c r="D121" s="13">
        <v>1995.0</v>
      </c>
      <c r="E121" s="5" t="s">
        <v>2848</v>
      </c>
      <c r="G121" s="5" t="str">
        <f>IFERROR(__xludf.DUMMYFUNCTION(" GOOGLETRANSLATE(A121, ""en"", ""am"")"),"120")</f>
        <v>120</v>
      </c>
      <c r="H121" s="5" t="str">
        <f>IFERROR(__xludf.DUMMYFUNCTION(" GOOGLETRANSLATE(B121, ""en"", ""am"")"),"በአፍሪካ አትሌቲክስ ሻምፒዮና የሲዳማ ስፖርት ለመጀመሪያ ጊዜ የታየበት አመት ስንት ነው?")</f>
        <v>በአፍሪካ አትሌቲክስ ሻምፒዮና የሲዳማ ስፖርት ለመጀመሪያ ጊዜ የታየበት አመት ስንት ነው?</v>
      </c>
      <c r="I121" s="5" t="str">
        <f>IFERROR(__xludf.DUMMYFUNCTION(" GOOGLETRANSLATE(C121, ""en"", ""am"")"),"ኣብ 1990 ብ1995 ዓ.ም.2000 ዲ.ኤ. 2005 ዓ.ም.")</f>
        <v>ኣብ 1990 ብ1995 ዓ.ም.2000 ዲ.ኤ. 2005 ዓ.ም.</v>
      </c>
      <c r="J121" s="5" t="str">
        <f>IFERROR(__xludf.DUMMYFUNCTION(" GOOGLETRANSLATE(D121, ""en"", ""am"")"),"በ1995 ዓ.ም")</f>
        <v>በ1995 ዓ.ም</v>
      </c>
      <c r="K121" s="5" t="str">
        <f>IFERROR(__xludf.DUMMYFUNCTION(" GOOGLETRANSLATE(E121, ""en"", ""am"")"),"የሲዳማ ስፖርት ለመጀመሪያ ጊዜ በአፍሪካ አትሌቲክስ ሻምፒዮና በ1995 ዓ.ም.")</f>
        <v>የሲዳማ ስፖርት ለመጀመሪያ ጊዜ በአፍሪካ አትሌቲክስ ሻምፒዮና በ1995 ዓ.ም.</v>
      </c>
    </row>
    <row r="122" ht="22.5" customHeight="1">
      <c r="A122" s="3">
        <v>121.0</v>
      </c>
      <c r="B122" s="5" t="s">
        <v>2849</v>
      </c>
      <c r="C122" s="4" t="s">
        <v>2798</v>
      </c>
      <c r="D122" s="5" t="s">
        <v>2850</v>
      </c>
      <c r="E122" s="5" t="s">
        <v>2851</v>
      </c>
      <c r="G122" s="5" t="str">
        <f>IFERROR(__xludf.DUMMYFUNCTION(" GOOGLETRANSLATE(A122, ""en"", ""am"")"),"121")</f>
        <v>121</v>
      </c>
      <c r="H122" s="5" t="str">
        <f>IFERROR(__xludf.DUMMYFUNCTION(" GOOGLETRANSLATE(B122, ""en"", ""am"")"),"የትኛው የሲዳማ ስፖርት በባህላዊ ስርአቱ እና አፈፃፀሙ ታዋቂ የሆነው?")</f>
        <v>የትኛው የሲዳማ ስፖርት በባህላዊ ስርአቱ እና አፈፃፀሙ ታዋቂ የሆነው?</v>
      </c>
      <c r="I122" s="5" t="str">
        <f>IFERROR(__xludf.DUMMYFUNCTION(" GOOGLETRANSLATE(C122, ""en"", ""am"")"),"አ. የሲዳማ ትግል ለ. የሲዳማ ቀስት ውርወራ ሐ. የሲዳማ እግር ኳስ ዲ. የሲዳማ ሩጫ")</f>
        <v>አ. የሲዳማ ትግል ለ. የሲዳማ ቀስት ውርወራ ሐ. የሲዳማ እግር ኳስ ዲ. የሲዳማ ሩጫ</v>
      </c>
      <c r="J122" s="5" t="str">
        <f>IFERROR(__xludf.DUMMYFUNCTION(" GOOGLETRANSLATE(D122, ""en"", ""am"")"),"የሲዳማ ትግል")</f>
        <v>የሲዳማ ትግል</v>
      </c>
      <c r="K122" s="5" t="str">
        <f>IFERROR(__xludf.DUMMYFUNCTION(" GOOGLETRANSLATE(E122, ""en"", ""am"")"),"የሲዳማ ትግል በባህላዊ ስርአቱ እና ትርኢቱ ታዋቂ ነው።")</f>
        <v>የሲዳማ ትግል በባህላዊ ስርአቱ እና ትርኢቱ ታዋቂ ነው።</v>
      </c>
    </row>
    <row r="123" ht="22.5" customHeight="1">
      <c r="A123" s="3">
        <v>122.0</v>
      </c>
      <c r="B123" s="5" t="s">
        <v>2852</v>
      </c>
      <c r="C123" s="4" t="s">
        <v>2853</v>
      </c>
      <c r="D123" s="13">
        <v>1990.0</v>
      </c>
      <c r="E123" s="5" t="s">
        <v>2854</v>
      </c>
      <c r="G123" s="5" t="str">
        <f>IFERROR(__xludf.DUMMYFUNCTION(" GOOGLETRANSLATE(A123, ""en"", ""am"")"),"122")</f>
        <v>122</v>
      </c>
      <c r="H123" s="5" t="str">
        <f>IFERROR(__xludf.DUMMYFUNCTION(" GOOGLETRANSLATE(B123, ""en"", ""am"")"),"በምስራቅ አፍሪካ ጨዋታዎች የሲዳማ ስፖርት ለመጀመሪያ ጊዜ የታየበት አመት ስንት ነው?")</f>
        <v>በምስራቅ አፍሪካ ጨዋታዎች የሲዳማ ስፖርት ለመጀመሪያ ጊዜ የታየበት አመት ስንት ነው?</v>
      </c>
      <c r="I123" s="5" t="str">
        <f>IFERROR(__xludf.DUMMYFUNCTION(" GOOGLETRANSLATE(C123, ""en"", ""am"")"),"ኣብ 1980 ብ 1990 ዓ.ም.2000 ዲ.ኤ. 2010 ዓ.ም.")</f>
        <v>ኣብ 1980 ብ 1990 ዓ.ም.2000 ዲ.ኤ. 2010 ዓ.ም.</v>
      </c>
      <c r="J123" s="5" t="str">
        <f>IFERROR(__xludf.DUMMYFUNCTION(" GOOGLETRANSLATE(D123, ""en"", ""am"")"),"በ1990 ዓ.ም")</f>
        <v>በ1990 ዓ.ም</v>
      </c>
      <c r="K123" s="5" t="str">
        <f>IFERROR(__xludf.DUMMYFUNCTION(" GOOGLETRANSLATE(E123, ""en"", ""am"")"),"የሲዳማ ስፖርት ለመጀመሪያ ጊዜ በምስራቅ አፍሪካ ጨዋታዎች ላይ በ1990 ዓ.ም.")</f>
        <v>የሲዳማ ስፖርት ለመጀመሪያ ጊዜ በምስራቅ አፍሪካ ጨዋታዎች ላይ በ1990 ዓ.ም.</v>
      </c>
    </row>
    <row r="124" ht="22.5" customHeight="1">
      <c r="A124" s="3">
        <v>123.0</v>
      </c>
      <c r="B124" s="5" t="s">
        <v>2855</v>
      </c>
      <c r="C124" s="4" t="s">
        <v>2856</v>
      </c>
      <c r="D124" s="5" t="s">
        <v>2792</v>
      </c>
      <c r="E124" s="5" t="s">
        <v>2857</v>
      </c>
      <c r="G124" s="5" t="str">
        <f>IFERROR(__xludf.DUMMYFUNCTION(" GOOGLETRANSLATE(A124, ""en"", ""am"")"),"123")</f>
        <v>123</v>
      </c>
      <c r="H124" s="5" t="str">
        <f>IFERROR(__xludf.DUMMYFUNCTION(" GOOGLETRANSLATE(B124, ""en"", ""am"")"),"በኦሎምፒክ የነሐስ ሜዳሊያ ያገኘው የትኛው የሲዳማ አትሌት ነው?")</f>
        <v>በኦሎምፒክ የነሐስ ሜዳሊያ ያገኘው የትኛው የሲዳማ አትሌት ነው?</v>
      </c>
      <c r="I124" s="5" t="str">
        <f>IFERROR(__xludf.DUMMYFUNCTION(" GOOGLETRANSLATE(C124, ""en"", ""am"")"),"አ.አብዲ አብዱልቃድር ብ በቀለ ዲዳ ሲ.ጀማል አሊ ዲ.መሀመድ ኢብራሂም")</f>
        <v>አ.አብዲ አብዱልቃድር ብ በቀለ ዲዳ ሲ.ጀማል አሊ ዲ.መሀመድ ኢብራሂም</v>
      </c>
      <c r="J124" s="5" t="str">
        <f>IFERROR(__xludf.DUMMYFUNCTION(" GOOGLETRANSLATE(D124, ""en"", ""am"")"),"አብዲ አብዱልቃድር")</f>
        <v>አብዲ አብዱልቃድር</v>
      </c>
      <c r="K124" s="5" t="str">
        <f>IFERROR(__xludf.DUMMYFUNCTION(" GOOGLETRANSLATE(E124, ""en"", ""am"")"),"አብዲ አብዱልቃድር በኦሎምፒክ የነሐስ ሜዳሊያ ያስገኘው የመጀመሪያው የሲዳማ አትሌት ነው።")</f>
        <v>አብዲ አብዱልቃድር በኦሎምፒክ የነሐስ ሜዳሊያ ያስገኘው የመጀመሪያው የሲዳማ አትሌት ነው።</v>
      </c>
    </row>
    <row r="125" ht="22.5" customHeight="1">
      <c r="A125" s="3">
        <v>124.0</v>
      </c>
      <c r="B125" s="5" t="s">
        <v>2858</v>
      </c>
      <c r="C125" s="4" t="s">
        <v>2837</v>
      </c>
      <c r="D125" s="13">
        <v>1990.0</v>
      </c>
      <c r="E125" s="5" t="s">
        <v>2859</v>
      </c>
      <c r="G125" s="5" t="str">
        <f>IFERROR(__xludf.DUMMYFUNCTION(" GOOGLETRANSLATE(A125, ""en"", ""am"")"),"124")</f>
        <v>124</v>
      </c>
      <c r="H125" s="5" t="str">
        <f>IFERROR(__xludf.DUMMYFUNCTION(" GOOGLETRANSLATE(B125, ""en"", ""am"")"),"የሲዳማ ቀስት ውርወራ በስንት አመት በይፋ የታወቀ ስፖርት ሆነ?")</f>
        <v>የሲዳማ ቀስት ውርወራ በስንት አመት በይፋ የታወቀ ስፖርት ሆነ?</v>
      </c>
      <c r="I125" s="5" t="str">
        <f>IFERROR(__xludf.DUMMYFUNCTION(" GOOGLETRANSLATE(C125, ""en"", ""am"")"),"ኣብ 1975 ብ 1980 ዓ.ም. 1990 ዲ. 2000 ዓ.ም.")</f>
        <v>ኣብ 1975 ብ 1980 ዓ.ም. 1990 ዲ. 2000 ዓ.ም.</v>
      </c>
      <c r="J125" s="5" t="str">
        <f>IFERROR(__xludf.DUMMYFUNCTION(" GOOGLETRANSLATE(D125, ""en"", ""am"")"),"በ1990 ዓ.ም")</f>
        <v>በ1990 ዓ.ም</v>
      </c>
      <c r="K125" s="5" t="str">
        <f>IFERROR(__xludf.DUMMYFUNCTION(" GOOGLETRANSLATE(E125, ""en"", ""am"")"),"የሲዳማ ቀስት ውርወራ በ1990 በይፋ እውቅና ያገኘ ስፖርት ሆነ።")</f>
        <v>የሲዳማ ቀስት ውርወራ በ1990 በይፋ እውቅና ያገኘ ስፖርት ሆነ።</v>
      </c>
    </row>
    <row r="126" ht="22.5" customHeight="1">
      <c r="A126" s="3">
        <v>125.0</v>
      </c>
      <c r="B126" s="5" t="s">
        <v>2860</v>
      </c>
      <c r="C126" s="4" t="s">
        <v>2861</v>
      </c>
      <c r="D126" s="5" t="s">
        <v>2728</v>
      </c>
      <c r="E126" s="5" t="s">
        <v>2862</v>
      </c>
      <c r="G126" s="5" t="str">
        <f>IFERROR(__xludf.DUMMYFUNCTION(" GOOGLETRANSLATE(A126, ""en"", ""am"")"),"125")</f>
        <v>125</v>
      </c>
      <c r="H126" s="5" t="str">
        <f>IFERROR(__xludf.DUMMYFUNCTION(" GOOGLETRANSLATE(B126, ""en"", ""am"")"),"በአለም አቀፍ የወርቅ ሜዳሊያ ያሸነፈ የመጀመሪያው የሲዳማ አትሌት ማን ነበር?")</f>
        <v>በአለም አቀፍ የወርቅ ሜዳሊያ ያሸነፈ የመጀመሪያው የሲዳማ አትሌት ማን ነበር?</v>
      </c>
      <c r="I126" s="5" t="str">
        <f>IFERROR(__xludf.DUMMYFUNCTION(" GOOGLETRANSLATE(C126, ""en"", ""am"")"),"አ. በቀለ ዲዳ ብ አብዲ አብዱልቃድር ሲ. ጀማል አሊ ዲ. መሀመድ ኢብራሂም")</f>
        <v>አ. በቀለ ዲዳ ብ አብዲ አብዱልቃድር ሲ. ጀማል አሊ ዲ. መሀመድ ኢብራሂም</v>
      </c>
      <c r="J126" s="5" t="str">
        <f>IFERROR(__xludf.DUMMYFUNCTION(" GOOGLETRANSLATE(D126, ""en"", ""am"")"),"በቀለ ዲዳ")</f>
        <v>በቀለ ዲዳ</v>
      </c>
      <c r="K126" s="5" t="str">
        <f>IFERROR(__xludf.DUMMYFUNCTION(" GOOGLETRANSLATE(E126, ""en"", ""am"")"),"በቀለ ዲዳ በአለም አቀፍ ደረጃ የወርቅ ሜዳልያ በማሸነፍ የመጀመሪያው የሲዳማ አትሌት ነው።")</f>
        <v>በቀለ ዲዳ በአለም አቀፍ ደረጃ የወርቅ ሜዳልያ በማሸነፍ የመጀመሪያው የሲዳማ አትሌት ነው።</v>
      </c>
    </row>
    <row r="127" ht="22.5" customHeight="1">
      <c r="A127" s="3">
        <v>126.0</v>
      </c>
      <c r="B127" s="5" t="s">
        <v>2863</v>
      </c>
      <c r="C127" s="4" t="s">
        <v>2864</v>
      </c>
      <c r="D127" s="5" t="s">
        <v>2753</v>
      </c>
      <c r="E127" s="5" t="s">
        <v>2865</v>
      </c>
      <c r="G127" s="5" t="str">
        <f>IFERROR(__xludf.DUMMYFUNCTION(" GOOGLETRANSLATE(A127, ""en"", ""am"")"),"126")</f>
        <v>126</v>
      </c>
      <c r="H127" s="5" t="str">
        <f>IFERROR(__xludf.DUMMYFUNCTION(" GOOGLETRANSLATE(B127, ""en"", ""am"")"),"በ2002 ለመጀመሪያ ጊዜ በብሔራዊ ቴሌቪዥን በቀጥታ የተላለፈው የሲዳማ ዝግጅት የትኛው ነው?")</f>
        <v>በ2002 ለመጀመሪያ ጊዜ በብሔራዊ ቴሌቪዥን በቀጥታ የተላለፈው የሲዳማ ዝግጅት የትኛው ነው?</v>
      </c>
      <c r="I127" s="5" t="str">
        <f>IFERROR(__xludf.DUMMYFUNCTION(" GOOGLETRANSLATE(C127, ""en"", ""am"")"),"አ. የሲዳማ ብሄራዊ ጨዋታዎች ለ. የሲዳማ ግብዣ ሐ. የሲዳማ አለም ዋንጫ ዲ. ሲዳማ ክላሲክ")</f>
        <v>አ. የሲዳማ ብሄራዊ ጨዋታዎች ለ. የሲዳማ ግብዣ ሐ. የሲዳማ አለም ዋንጫ ዲ. ሲዳማ ክላሲክ</v>
      </c>
      <c r="J127" s="5" t="str">
        <f>IFERROR(__xludf.DUMMYFUNCTION(" GOOGLETRANSLATE(D127, ""en"", ""am"")"),"የሲዳማ ብሄራዊ ጨዋታዎች")</f>
        <v>የሲዳማ ብሄራዊ ጨዋታዎች</v>
      </c>
      <c r="K127" s="5" t="str">
        <f>IFERROR(__xludf.DUMMYFUNCTION(" GOOGLETRANSLATE(E127, ""en"", ""am"")"),"የሲዳማ ብሄራዊ ጨዋታ በ2002 በብሄራዊ ቴሌቪዥን በቀጥታ ተላለፈ።")</f>
        <v>የሲዳማ ብሄራዊ ጨዋታ በ2002 በብሄራዊ ቴሌቪዥን በቀጥታ ተላለፈ።</v>
      </c>
    </row>
    <row r="128" ht="22.5" customHeight="1">
      <c r="A128" s="3">
        <v>127.0</v>
      </c>
      <c r="B128" s="5" t="s">
        <v>2866</v>
      </c>
      <c r="C128" s="4" t="s">
        <v>2401</v>
      </c>
      <c r="D128" s="13">
        <v>2000.0</v>
      </c>
      <c r="E128" s="5" t="s">
        <v>2867</v>
      </c>
      <c r="G128" s="5" t="str">
        <f>IFERROR(__xludf.DUMMYFUNCTION(" GOOGLETRANSLATE(A128, ""en"", ""am"")"),"127")</f>
        <v>127</v>
      </c>
      <c r="H128" s="5" t="str">
        <f>IFERROR(__xludf.DUMMYFUNCTION(" GOOGLETRANSLATE(B128, ""en"", ""am"")"),"በአለም አገር አቋራጭ ሻምፒዮና ላይ ሲዳማ ቡና ለመጀመሪያ ጊዜ የተወዳደረው በየትኛው አመት ነው?")</f>
        <v>በአለም አገር አቋራጭ ሻምፒዮና ላይ ሲዳማ ቡና ለመጀመሪያ ጊዜ የተወዳደረው በየትኛው አመት ነው?</v>
      </c>
      <c r="I128" s="5" t="str">
        <f>IFERROR(__xludf.DUMMYFUNCTION(" GOOGLETRANSLATE(C128, ""en"", ""am"")"),"እ.ኤ.አ. 1995 ዓ.ም. 2000 ዓ.ም. 2005 ዲ. 2010 ዓ.ም.")</f>
        <v>እ.ኤ.አ. 1995 ዓ.ም. 2000 ዓ.ም. 2005 ዲ. 2010 ዓ.ም.</v>
      </c>
      <c r="J128" s="5" t="str">
        <f>IFERROR(__xludf.DUMMYFUNCTION(" GOOGLETRANSLATE(D128, ""en"", ""am"")"),"2000")</f>
        <v>2000</v>
      </c>
      <c r="K128" s="5" t="str">
        <f>IFERROR(__xludf.DUMMYFUNCTION(" GOOGLETRANSLATE(E128, ""en"", ""am"")"),"ሲዳማ ቡና ለመጀመሪያ ጊዜ የተወዳደረው በአለም አገር አቋራጭ ሻምፒዮና በ2000 ነው።")</f>
        <v>ሲዳማ ቡና ለመጀመሪያ ጊዜ የተወዳደረው በአለም አገር አቋራጭ ሻምፒዮና በ2000 ነው።</v>
      </c>
    </row>
    <row r="129" ht="22.5" customHeight="1">
      <c r="A129" s="3">
        <v>128.0</v>
      </c>
      <c r="B129" s="5" t="s">
        <v>2868</v>
      </c>
      <c r="C129" s="4" t="s">
        <v>2869</v>
      </c>
      <c r="D129" s="5" t="s">
        <v>2728</v>
      </c>
      <c r="E129" s="5" t="s">
        <v>2870</v>
      </c>
      <c r="G129" s="5" t="str">
        <f>IFERROR(__xludf.DUMMYFUNCTION(" GOOGLETRANSLATE(A129, ""en"", ""am"")"),"128")</f>
        <v>128</v>
      </c>
      <c r="H129" s="5" t="str">
        <f>IFERROR(__xludf.DUMMYFUNCTION(" GOOGLETRANSLATE(B129, ""en"", ""am"")"),"በፓራሊምፒክ ውድድር የመጀመርያው የትኛው የሲዳማ ስፖርተኛ ነው?")</f>
        <v>በፓራሊምፒክ ውድድር የመጀመርያው የትኛው የሲዳማ ስፖርተኛ ነው?</v>
      </c>
      <c r="I129" s="5" t="str">
        <f>IFERROR(__xludf.DUMMYFUNCTION(" GOOGLETRANSLATE(C129, ""en"", ""am"")"),"አ.አብዲ አብዱልቃድር ቢ.በቀለ ዲዳ ሲ.መሀመድ ኢብራሂም ዲ.ጀማል አሊ")</f>
        <v>አ.አብዲ አብዱልቃድር ቢ.በቀለ ዲዳ ሲ.መሀመድ ኢብራሂም ዲ.ጀማል አሊ</v>
      </c>
      <c r="J129" s="5" t="str">
        <f>IFERROR(__xludf.DUMMYFUNCTION(" GOOGLETRANSLATE(D129, ""en"", ""am"")"),"በቀለ ዲዳ")</f>
        <v>በቀለ ዲዳ</v>
      </c>
      <c r="K129" s="5" t="str">
        <f>IFERROR(__xludf.DUMMYFUNCTION(" GOOGLETRANSLATE(E129, ""en"", ""am"")"),"በቀለ ዲዳ በፓራሊምፒክ ውድድር የተሳተፈ የመጀመሪያው የሲዳማ ስፖርተኛ ነው።")</f>
        <v>በቀለ ዲዳ በፓራሊምፒክ ውድድር የተሳተፈ የመጀመሪያው የሲዳማ ስፖርተኛ ነው።</v>
      </c>
    </row>
    <row r="130" ht="22.5" customHeight="1">
      <c r="A130" s="3">
        <v>129.0</v>
      </c>
      <c r="B130" s="5" t="s">
        <v>2871</v>
      </c>
      <c r="C130" s="4" t="s">
        <v>2872</v>
      </c>
      <c r="D130" s="13">
        <v>1995.0</v>
      </c>
      <c r="E130" s="5" t="s">
        <v>2873</v>
      </c>
      <c r="G130" s="5" t="str">
        <f>IFERROR(__xludf.DUMMYFUNCTION(" GOOGLETRANSLATE(A130, ""en"", ""am"")"),"129")</f>
        <v>129</v>
      </c>
      <c r="H130" s="5" t="str">
        <f>IFERROR(__xludf.DUMMYFUNCTION(" GOOGLETRANSLATE(B130, ""en"", ""am"")"),"የሲዳማ እግር ኳስ ኢንተርናሽናል ጨዋታ ለመጀመሪያ ጊዜ የተጫወተው ስንት አመት ነበር?")</f>
        <v>የሲዳማ እግር ኳስ ኢንተርናሽናል ጨዋታ ለመጀመሪያ ጊዜ የተጫወተው ስንት አመት ነበር?</v>
      </c>
      <c r="I130" s="5" t="str">
        <f>IFERROR(__xludf.DUMMYFUNCTION(" GOOGLETRANSLATE(C130, ""en"", ""am"")"),"ኣብ 1985 ብ 1990 ዓ.ም. 1995 ዲ. 2000 ዓ.ም.")</f>
        <v>ኣብ 1985 ብ 1990 ዓ.ም. 1995 ዲ. 2000 ዓ.ም.</v>
      </c>
      <c r="J130" s="5" t="str">
        <f>IFERROR(__xludf.DUMMYFUNCTION(" GOOGLETRANSLATE(D130, ""en"", ""am"")"),"በ1995 ዓ.ም")</f>
        <v>በ1995 ዓ.ም</v>
      </c>
      <c r="K130" s="5" t="str">
        <f>IFERROR(__xludf.DUMMYFUNCTION(" GOOGLETRANSLATE(E130, ""en"", ""am"")"),"የሲዳማ እግር ኳስ ውድድር ለመጀመሪያ ጊዜ የተጫወተው በ1995 ነው።")</f>
        <v>የሲዳማ እግር ኳስ ውድድር ለመጀመሪያ ጊዜ የተጫወተው በ1995 ነው።</v>
      </c>
    </row>
    <row r="131" ht="22.5" customHeight="1">
      <c r="A131" s="3">
        <v>130.0</v>
      </c>
      <c r="B131" s="5" t="s">
        <v>2874</v>
      </c>
      <c r="C131" s="4" t="s">
        <v>2875</v>
      </c>
      <c r="D131" s="5" t="s">
        <v>2822</v>
      </c>
      <c r="E131" s="5" t="s">
        <v>2876</v>
      </c>
      <c r="G131" s="5" t="str">
        <f>IFERROR(__xludf.DUMMYFUNCTION(" GOOGLETRANSLATE(A131, ""en"", ""am"")"),"130")</f>
        <v>130</v>
      </c>
      <c r="H131" s="5" t="str">
        <f>IFERROR(__xludf.DUMMYFUNCTION(" GOOGLETRANSLATE(B131, ""en"", ""am"")"),"በ100ሜ የሩጫ ውድድር የመጀመርያው የሲዳማ ቡና አትሌት የትኛው ነው?")</f>
        <v>በ100ሜ የሩጫ ውድድር የመጀመርያው የሲዳማ ቡና አትሌት የትኛው ነው?</v>
      </c>
      <c r="I131" s="5" t="str">
        <f>IFERROR(__xludf.DUMMYFUNCTION(" GOOGLETRANSLATE(C131, ""en"", ""am"")"),"አ. በቀለ ዲዳ ብ አብዲ አብዱልቃድር ሲ. መሐመድ ኢብራሂም ዲ. ጀማል አሊ")</f>
        <v>አ. በቀለ ዲዳ ብ አብዲ አብዱልቃድር ሲ. መሐመድ ኢብራሂም ዲ. ጀማል አሊ</v>
      </c>
      <c r="J131" s="5" t="str">
        <f>IFERROR(__xludf.DUMMYFUNCTION(" GOOGLETRANSLATE(D131, ""en"", ""am"")"),"ጀማል አሊ")</f>
        <v>ጀማል አሊ</v>
      </c>
      <c r="K131" s="5" t="str">
        <f>IFERROR(__xludf.DUMMYFUNCTION(" GOOGLETRANSLATE(E131, ""en"", ""am"")"),"ጀማል አሊ በ100ሜ.")</f>
        <v>ጀማል አሊ በ100ሜ.</v>
      </c>
    </row>
    <row r="132" ht="22.5" customHeight="1">
      <c r="A132" s="3">
        <v>131.0</v>
      </c>
      <c r="B132" s="5" t="s">
        <v>2877</v>
      </c>
      <c r="C132" s="4" t="s">
        <v>2878</v>
      </c>
      <c r="D132" s="5" t="s">
        <v>2879</v>
      </c>
      <c r="E132" s="5" t="s">
        <v>2880</v>
      </c>
      <c r="G132" s="5" t="str">
        <f>IFERROR(__xludf.DUMMYFUNCTION(" GOOGLETRANSLATE(A132, ""en"", ""am"")"),"131")</f>
        <v>131</v>
      </c>
      <c r="H132" s="5" t="str">
        <f>IFERROR(__xludf.DUMMYFUNCTION(" GOOGLETRANSLATE(B132, ""en"", ""am"")"),"በ1985 የመጀመሪያውን ሀገር አቀፍ ሻምፒዮና ያሸነፈው የትኛው የሲዳማ ስፖርት ቡድን ነው?")</f>
        <v>በ1985 የመጀመሪያውን ሀገር አቀፍ ሻምፒዮና ያሸነፈው የትኛው የሲዳማ ስፖርት ቡድን ነው?</v>
      </c>
      <c r="I132" s="5" t="str">
        <f>IFERROR(__xludf.DUMMYFUNCTION(" GOOGLETRANSLATE(C132, ""en"", ""am"")"),"አ. የሲዳማ እግር ኳስ ቡድን ለ. የሲዳማ የቅርጫት ኳስ ቡድን ሐ. የሲዳማ ቮሊቦል ቡድን ዲ. የሲዳማ ሬስሊንግ ቡድን")</f>
        <v>አ. የሲዳማ እግር ኳስ ቡድን ለ. የሲዳማ የቅርጫት ኳስ ቡድን ሐ. የሲዳማ ቮሊቦል ቡድን ዲ. የሲዳማ ሬስሊንግ ቡድን</v>
      </c>
      <c r="J132" s="5" t="str">
        <f>IFERROR(__xludf.DUMMYFUNCTION(" GOOGLETRANSLATE(D132, ""en"", ""am"")"),"የሲዳማ እግር ኳስ ቡድን")</f>
        <v>የሲዳማ እግር ኳስ ቡድን</v>
      </c>
      <c r="K132" s="5" t="str">
        <f>IFERROR(__xludf.DUMMYFUNCTION(" GOOGLETRANSLATE(E132, ""en"", ""am"")"),"የሲዳማ እግር ኳስ ቡድን በ1985 የመጀመሪያውን ሀገር አቀፍ ሻምፒዮና አሸንፏል።")</f>
        <v>የሲዳማ እግር ኳስ ቡድን በ1985 የመጀመሪያውን ሀገር አቀፍ ሻምፒዮና አሸንፏል።</v>
      </c>
    </row>
    <row r="133" ht="22.5" customHeight="1">
      <c r="A133" s="3">
        <v>132.0</v>
      </c>
      <c r="B133" s="5" t="s">
        <v>2881</v>
      </c>
      <c r="C133" s="4" t="s">
        <v>2853</v>
      </c>
      <c r="D133" s="13">
        <v>2000.0</v>
      </c>
      <c r="E133" s="5" t="s">
        <v>2882</v>
      </c>
      <c r="G133" s="5" t="str">
        <f>IFERROR(__xludf.DUMMYFUNCTION(" GOOGLETRANSLATE(A133, ""en"", ""am"")"),"132")</f>
        <v>132</v>
      </c>
      <c r="H133" s="5" t="str">
        <f>IFERROR(__xludf.DUMMYFUNCTION(" GOOGLETRANSLATE(B133, ""en"", ""am"")"),"ሲዳማ ቡና የመጀመሪያውን አለም አቀፍ የእግር ኳስ ውድድር ያሸነፈው በየትኛው አመት ነው?")</f>
        <v>ሲዳማ ቡና የመጀመሪያውን አለም አቀፍ የእግር ኳስ ውድድር ያሸነፈው በየትኛው አመት ነው?</v>
      </c>
      <c r="I133" s="5" t="str">
        <f>IFERROR(__xludf.DUMMYFUNCTION(" GOOGLETRANSLATE(C133, ""en"", ""am"")"),"ኣብ 1980 ብ 1990 ዓ.ም.2000 ዲ.ኤ. 2010 ዓ.ም.")</f>
        <v>ኣብ 1980 ብ 1990 ዓ.ም.2000 ዲ.ኤ. 2010 ዓ.ም.</v>
      </c>
      <c r="J133" s="5" t="str">
        <f>IFERROR(__xludf.DUMMYFUNCTION(" GOOGLETRANSLATE(D133, ""en"", ""am"")"),"2000")</f>
        <v>2000</v>
      </c>
      <c r="K133" s="5" t="str">
        <f>IFERROR(__xludf.DUMMYFUNCTION(" GOOGLETRANSLATE(E133, ""en"", ""am"")"),"ሲዳማ ቡና የመጀመሪያውን አለም አቀፍ የእግር ኳስ ውድድር በ2000 አሸንፏል።")</f>
        <v>ሲዳማ ቡና የመጀመሪያውን አለም አቀፍ የእግር ኳስ ውድድር በ2000 አሸንፏል።</v>
      </c>
    </row>
    <row r="134" ht="22.5" customHeight="1">
      <c r="A134" s="3">
        <v>133.0</v>
      </c>
      <c r="B134" s="5" t="s">
        <v>2883</v>
      </c>
      <c r="C134" s="4" t="s">
        <v>2802</v>
      </c>
      <c r="D134" s="5" t="s">
        <v>2803</v>
      </c>
      <c r="E134" s="5" t="s">
        <v>2884</v>
      </c>
      <c r="G134" s="5" t="str">
        <f>IFERROR(__xludf.DUMMYFUNCTION(" GOOGLETRANSLATE(A134, ""en"", ""am"")"),"133")</f>
        <v>133</v>
      </c>
      <c r="H134" s="5" t="str">
        <f>IFERROR(__xludf.DUMMYFUNCTION(" GOOGLETRANSLATE(B134, ""en"", ""am"")"),"በአለም ዋንጫ የመጀመሪያዋ የሲዳማ ሴት አትሌት ማን ነች?")</f>
        <v>በአለም ዋንጫ የመጀመሪያዋ የሲዳማ ሴት አትሌት ማን ነች?</v>
      </c>
      <c r="I134" s="5" t="str">
        <f>IFERROR(__xludf.DUMMYFUNCTION(" GOOGLETRANSLATE(C134, ""en"", ""am"")"),"አ.ፋጡማ ኢብራሂም ቢ.ሶፊያ ዘለቀ ሐ.አሚና አሊ ዲ.ሩት ኢብራሂም")</f>
        <v>አ.ፋጡማ ኢብራሂም ቢ.ሶፊያ ዘለቀ ሐ.አሚና አሊ ዲ.ሩት ኢብራሂም</v>
      </c>
      <c r="J134" s="5" t="str">
        <f>IFERROR(__xludf.DUMMYFUNCTION(" GOOGLETRANSLATE(D134, ""en"", ""am"")"),"ፋጡማ ኢብራሂም")</f>
        <v>ፋጡማ ኢብራሂም</v>
      </c>
      <c r="K134" s="5" t="str">
        <f>IFERROR(__xludf.DUMMYFUNCTION(" GOOGLETRANSLATE(E134, ""en"", ""am"")"),"ፋጡማ ኢብራሂም በአለም ዋንጫ የመጀመሪያዋ የሲዳማ ሴት አትሌት ነች።")</f>
        <v>ፋጡማ ኢብራሂም በአለም ዋንጫ የመጀመሪያዋ የሲዳማ ሴት አትሌት ነች።</v>
      </c>
    </row>
    <row r="135" ht="22.5" customHeight="1">
      <c r="A135" s="3">
        <v>134.0</v>
      </c>
      <c r="B135" s="5" t="s">
        <v>2885</v>
      </c>
      <c r="C135" s="4" t="s">
        <v>2886</v>
      </c>
      <c r="D135" s="5" t="s">
        <v>2753</v>
      </c>
      <c r="E135" s="5" t="s">
        <v>2887</v>
      </c>
      <c r="G135" s="5" t="str">
        <f>IFERROR(__xludf.DUMMYFUNCTION(" GOOGLETRANSLATE(A135, ""en"", ""am"")"),"134")</f>
        <v>134</v>
      </c>
      <c r="H135" s="5" t="str">
        <f>IFERROR(__xludf.DUMMYFUNCTION(" GOOGLETRANSLATE(B135, ""en"", ""am"")"),"ለዘመናዊ የሲዳማ አትሌቲክስ ውድድር መነሻ የሆነው የትኛው የሲዳማ ክስተት ነው?")</f>
        <v>ለዘመናዊ የሲዳማ አትሌቲክስ ውድድር መነሻ የሆነው የትኛው የሲዳማ ክስተት ነው?</v>
      </c>
      <c r="I135" s="5" t="str">
        <f>IFERROR(__xludf.DUMMYFUNCTION(" GOOGLETRANSLATE(C135, ""en"", ""am"")"),"አ. የሲዳማ ግብዣ ለ. የሲዳማ ብሄራዊ ጨዋታዎች ሐ. የሲዳማ ክላሲክ ዲ. የሲዳማ የአለም ዋንጫ")</f>
        <v>አ. የሲዳማ ግብዣ ለ. የሲዳማ ብሄራዊ ጨዋታዎች ሐ. የሲዳማ ክላሲክ ዲ. የሲዳማ የአለም ዋንጫ</v>
      </c>
      <c r="J135" s="5" t="str">
        <f>IFERROR(__xludf.DUMMYFUNCTION(" GOOGLETRANSLATE(D135, ""en"", ""am"")"),"የሲዳማ ብሄራዊ ጨዋታዎች")</f>
        <v>የሲዳማ ብሄራዊ ጨዋታዎች</v>
      </c>
      <c r="K135" s="5" t="str">
        <f>IFERROR(__xludf.DUMMYFUNCTION(" GOOGLETRANSLATE(E135, ""en"", ""am"")"),"የሲዳማ ብሄራዊ ጨዋታ ለዘመናዊ የሲዳማ አትሌቲክስ እንደ መነሻ ተደርጎ ይወሰዳል።")</f>
        <v>የሲዳማ ብሄራዊ ጨዋታ ለዘመናዊ የሲዳማ አትሌቲክስ እንደ መነሻ ተደርጎ ይወሰዳል።</v>
      </c>
    </row>
    <row r="136" ht="22.5" customHeight="1">
      <c r="A136" s="3">
        <v>135.0</v>
      </c>
      <c r="B136" s="5" t="s">
        <v>2888</v>
      </c>
      <c r="C136" s="4" t="s">
        <v>2889</v>
      </c>
      <c r="D136" s="5" t="s">
        <v>2811</v>
      </c>
      <c r="E136" s="5" t="s">
        <v>2890</v>
      </c>
      <c r="G136" s="5" t="str">
        <f>IFERROR(__xludf.DUMMYFUNCTION(" GOOGLETRANSLATE(A136, ""en"", ""am"")"),"135")</f>
        <v>135</v>
      </c>
      <c r="H136" s="5" t="str">
        <f>IFERROR(__xludf.DUMMYFUNCTION(" GOOGLETRANSLATE(B136, ""en"", ""am"")"),"በ1990 ለመጀመሪያ ጊዜ ወደ ትምህርት ቤቶች የገባው የሲዳማ ስፖርት የትኛው ነው?")</f>
        <v>በ1990 ለመጀመሪያ ጊዜ ወደ ትምህርት ቤቶች የገባው የሲዳማ ስፖርት የትኛው ነው?</v>
      </c>
      <c r="I136" s="5" t="str">
        <f>IFERROR(__xludf.DUMMYFUNCTION(" GOOGLETRANSLATE(C136, ""en"", ""am"")"),"አ. የሲዳማ እግር ኳስ ለ. የሲዳማ ትግል ሐ. ሲዳማ ሩጫ ዲ. ሲዳማ ቀስት")</f>
        <v>አ. የሲዳማ እግር ኳስ ለ. የሲዳማ ትግል ሐ. ሲዳማ ሩጫ ዲ. ሲዳማ ቀስት</v>
      </c>
      <c r="J136" s="5" t="str">
        <f>IFERROR(__xludf.DUMMYFUNCTION(" GOOGLETRANSLATE(D136, ""en"", ""am"")"),"የሲዳማ እግር ኳስ")</f>
        <v>የሲዳማ እግር ኳስ</v>
      </c>
      <c r="K136" s="5" t="str">
        <f>IFERROR(__xludf.DUMMYFUNCTION(" GOOGLETRANSLATE(E136, ""en"", ""am"")"),"የሲዳማ እግር ኳስ ለመጀመሪያ ጊዜ ወደ ትምህርት ቤቶች በ1990 ዓ.ም.")</f>
        <v>የሲዳማ እግር ኳስ ለመጀመሪያ ጊዜ ወደ ትምህርት ቤቶች በ1990 ዓ.ም.</v>
      </c>
    </row>
    <row r="137" ht="22.5" customHeight="1">
      <c r="A137" s="3">
        <v>136.0</v>
      </c>
      <c r="B137" s="5" t="s">
        <v>2891</v>
      </c>
      <c r="C137" s="4" t="s">
        <v>2861</v>
      </c>
      <c r="D137" s="5" t="s">
        <v>2822</v>
      </c>
      <c r="E137" s="5" t="s">
        <v>2892</v>
      </c>
      <c r="G137" s="5" t="str">
        <f>IFERROR(__xludf.DUMMYFUNCTION(" GOOGLETRANSLATE(A137, ""en"", ""am"")"),"136")</f>
        <v>136</v>
      </c>
      <c r="H137" s="5" t="str">
        <f>IFERROR(__xludf.DUMMYFUNCTION(" GOOGLETRANSLATE(B137, ""en"", ""am"")"),"በመላ አፍሪካ ጨዋታዎች የወርቅ ሜዳልያ ያገኘው የትኛው የሲዳማ አትሌት ነው?")</f>
        <v>በመላ አፍሪካ ጨዋታዎች የወርቅ ሜዳልያ ያገኘው የትኛው የሲዳማ አትሌት ነው?</v>
      </c>
      <c r="I137" s="5" t="str">
        <f>IFERROR(__xludf.DUMMYFUNCTION(" GOOGLETRANSLATE(C137, ""en"", ""am"")"),"አ. በቀለ ዲዳ ብ አብዲ አብዱልቃድር ሲ. ጀማል አሊ ዲ. መሀመድ ኢብራሂም")</f>
        <v>አ. በቀለ ዲዳ ብ አብዲ አብዱልቃድር ሲ. ጀማል አሊ ዲ. መሀመድ ኢብራሂም</v>
      </c>
      <c r="J137" s="5" t="str">
        <f>IFERROR(__xludf.DUMMYFUNCTION(" GOOGLETRANSLATE(D137, ""en"", ""am"")"),"ጀማል አሊ")</f>
        <v>ጀማል አሊ</v>
      </c>
      <c r="K137" s="5" t="str">
        <f>IFERROR(__xludf.DUMMYFUNCTION(" GOOGLETRANSLATE(E137, ""en"", ""am"")"),"ጀማል አሊ በመላ አፍሪካ ጨዋታዎች የወርቅ ሜዳሊያ በማግኘቱ የመጀመሪያው የሲዳማ ስፖርተኛ ሆኗል።")</f>
        <v>ጀማል አሊ በመላ አፍሪካ ጨዋታዎች የወርቅ ሜዳሊያ በማግኘቱ የመጀመሪያው የሲዳማ ስፖርተኛ ሆኗል።</v>
      </c>
    </row>
    <row r="138" ht="22.5" customHeight="1">
      <c r="A138" s="3">
        <v>137.0</v>
      </c>
      <c r="B138" s="5" t="s">
        <v>2893</v>
      </c>
      <c r="C138" s="4" t="s">
        <v>2894</v>
      </c>
      <c r="D138" s="5" t="s">
        <v>2811</v>
      </c>
      <c r="E138" s="5" t="s">
        <v>2895</v>
      </c>
      <c r="G138" s="5" t="str">
        <f>IFERROR(__xludf.DUMMYFUNCTION(" GOOGLETRANSLATE(A138, ""en"", ""am"")"),"137")</f>
        <v>137</v>
      </c>
      <c r="H138" s="5" t="str">
        <f>IFERROR(__xludf.DUMMYFUNCTION(" GOOGLETRANSLATE(B138, ""en"", ""am"")"),"አለም አቀፍ እውቅና ያገኘ የመጀመሪያው የሲዳማ ቡድን ስፖርት ምን ነበር?")</f>
        <v>አለም አቀፍ እውቅና ያገኘ የመጀመሪያው የሲዳማ ቡድን ስፖርት ምን ነበር?</v>
      </c>
      <c r="I138" s="5" t="str">
        <f>IFERROR(__xludf.DUMMYFUNCTION(" GOOGLETRANSLATE(C138, ""en"", ""am"")"),"አ. የሲዳማ እግር ኳስ ለ. የሲዳማ ቅርጫት ኳስ ሐ. የሲዳማ ቮሊቦል ዲ. ሲዳማ ራግቢ")</f>
        <v>አ. የሲዳማ እግር ኳስ ለ. የሲዳማ ቅርጫት ኳስ ሐ. የሲዳማ ቮሊቦል ዲ. ሲዳማ ራግቢ</v>
      </c>
      <c r="J138" s="5" t="str">
        <f>IFERROR(__xludf.DUMMYFUNCTION(" GOOGLETRANSLATE(D138, ""en"", ""am"")"),"የሲዳማ እግር ኳስ")</f>
        <v>የሲዳማ እግር ኳስ</v>
      </c>
      <c r="K138" s="5" t="str">
        <f>IFERROR(__xludf.DUMMYFUNCTION(" GOOGLETRANSLATE(E138, ""en"", ""am"")"),"የሲዳማ እግር ኳስ አለም አቀፍ እውቅና ያገኘ የመጀመሪያው የሲዳማ ቡድን ስፖርት ነበር።")</f>
        <v>የሲዳማ እግር ኳስ አለም አቀፍ እውቅና ያገኘ የመጀመሪያው የሲዳማ ቡድን ስፖርት ነበር።</v>
      </c>
    </row>
    <row r="139" ht="22.5" customHeight="1">
      <c r="A139" s="3">
        <v>138.0</v>
      </c>
      <c r="B139" s="5" t="s">
        <v>2896</v>
      </c>
      <c r="C139" s="4" t="s">
        <v>2834</v>
      </c>
      <c r="D139" s="5" t="s">
        <v>2728</v>
      </c>
      <c r="E139" s="5" t="s">
        <v>2897</v>
      </c>
      <c r="G139" s="5" t="str">
        <f>IFERROR(__xludf.DUMMYFUNCTION(" GOOGLETRANSLATE(A139, ""en"", ""am"")"),"138")</f>
        <v>138</v>
      </c>
      <c r="H139" s="5" t="str">
        <f>IFERROR(__xludf.DUMMYFUNCTION(" GOOGLETRANSLATE(B139, ""en"", ""am"")"),"የትኛው የሲዳማ አትሌት በአለም ሻምፒዮና በ1500ሜ የነሃስ ሜዳሊያ ያስገኘው?")</f>
        <v>የትኛው የሲዳማ አትሌት በአለም ሻምፒዮና በ1500ሜ የነሃስ ሜዳሊያ ያስገኘው?</v>
      </c>
      <c r="I139" s="5" t="str">
        <f>IFERROR(__xludf.DUMMYFUNCTION(" GOOGLETRANSLATE(C139, ""en"", ""am"")"),"አ. በቀለ ዲዳ ብ. ጀማል አሊ ሐ. መሐመድ ኢብራሂም ዲ. አብዲ አብዱልቃድር")</f>
        <v>አ. በቀለ ዲዳ ብ. ጀማል አሊ ሐ. መሐመድ ኢብራሂም ዲ. አብዲ አብዱልቃድር</v>
      </c>
      <c r="J139" s="5" t="str">
        <f>IFERROR(__xludf.DUMMYFUNCTION(" GOOGLETRANSLATE(D139, ""en"", ""am"")"),"በቀለ ዲዳ")</f>
        <v>በቀለ ዲዳ</v>
      </c>
      <c r="K139" s="5" t="str">
        <f>IFERROR(__xludf.DUMMYFUNCTION(" GOOGLETRANSLATE(E139, ""en"", ""am"")"),"በቀለ ዲዳ በአለም ሻምፒዮና በ1500ሜ የነሐስ ሜዳሊያ አስገኝቷል።")</f>
        <v>በቀለ ዲዳ በአለም ሻምፒዮና በ1500ሜ የነሐስ ሜዳሊያ አስገኝቷል።</v>
      </c>
    </row>
    <row r="140" ht="22.5" customHeight="1">
      <c r="A140" s="3">
        <v>139.0</v>
      </c>
      <c r="B140" s="5" t="s">
        <v>2898</v>
      </c>
      <c r="C140" s="4" t="s">
        <v>2889</v>
      </c>
      <c r="D140" s="5" t="s">
        <v>2811</v>
      </c>
      <c r="E140" s="5" t="s">
        <v>2899</v>
      </c>
      <c r="G140" s="5" t="str">
        <f>IFERROR(__xludf.DUMMYFUNCTION(" GOOGLETRANSLATE(A140, ""en"", ""am"")"),"139")</f>
        <v>139</v>
      </c>
      <c r="H140" s="5" t="str">
        <f>IFERROR(__xludf.DUMMYFUNCTION(" GOOGLETRANSLATE(B140, ""en"", ""am"")"),"በትምህርት ቤቶች ከፍተኛ ተሳትፎ ያለው የትኛው የሲዳማ ስፖርት ነው?")</f>
        <v>በትምህርት ቤቶች ከፍተኛ ተሳትፎ ያለው የትኛው የሲዳማ ስፖርት ነው?</v>
      </c>
      <c r="I140" s="5" t="str">
        <f>IFERROR(__xludf.DUMMYFUNCTION(" GOOGLETRANSLATE(C140, ""en"", ""am"")"),"አ. የሲዳማ እግር ኳስ ለ. የሲዳማ ትግል ሐ. ሲዳማ ሩጫ ዲ. ሲዳማ ቀስት")</f>
        <v>አ. የሲዳማ እግር ኳስ ለ. የሲዳማ ትግል ሐ. ሲዳማ ሩጫ ዲ. ሲዳማ ቀስት</v>
      </c>
      <c r="J140" s="5" t="str">
        <f>IFERROR(__xludf.DUMMYFUNCTION(" GOOGLETRANSLATE(D140, ""en"", ""am"")"),"የሲዳማ እግር ኳስ")</f>
        <v>የሲዳማ እግር ኳስ</v>
      </c>
      <c r="K140" s="5" t="str">
        <f>IFERROR(__xludf.DUMMYFUNCTION(" GOOGLETRANSLATE(E140, ""en"", ""am"")"),"በትምህርት ቤቶች ከፍተኛ የተሳትፎ ደረጃ ያለው የሲዳማ እግር ኳስ ነው።")</f>
        <v>በትምህርት ቤቶች ከፍተኛ የተሳትፎ ደረጃ ያለው የሲዳማ እግር ኳስ ነው።</v>
      </c>
    </row>
    <row r="141" ht="22.5" customHeight="1">
      <c r="A141" s="3">
        <v>140.0</v>
      </c>
      <c r="B141" s="5" t="s">
        <v>2900</v>
      </c>
      <c r="C141" s="4" t="s">
        <v>2814</v>
      </c>
      <c r="D141" s="5" t="s">
        <v>2792</v>
      </c>
      <c r="E141" s="5" t="s">
        <v>2901</v>
      </c>
      <c r="G141" s="5" t="str">
        <f>IFERROR(__xludf.DUMMYFUNCTION(" GOOGLETRANSLATE(A141, ""en"", ""am"")"),"140")</f>
        <v>140</v>
      </c>
      <c r="H141" s="5" t="str">
        <f>IFERROR(__xludf.DUMMYFUNCTION(" GOOGLETRANSLATE(B141, ""en"", ""am"")"),"የትኛው የሲዳማ አትሌት ነው በሀገር አቀፍ የ200ሜ.")</f>
        <v>የትኛው የሲዳማ አትሌት ነው በሀገር አቀፍ የ200ሜ.</v>
      </c>
      <c r="I141" s="5" t="str">
        <f>IFERROR(__xludf.DUMMYFUNCTION(" GOOGLETRANSLATE(C141, ""en"", ""am"")"),"አ.አብዲ አብዱልቃድር ቢ. ጀማል አሊ ሲ. በቀለ ዲዳ ዲ. መሀመድ ኢብራሂም")</f>
        <v>አ.አብዲ አብዱልቃድር ቢ. ጀማል አሊ ሲ. በቀለ ዲዳ ዲ. መሀመድ ኢብራሂም</v>
      </c>
      <c r="J141" s="5" t="str">
        <f>IFERROR(__xludf.DUMMYFUNCTION(" GOOGLETRANSLATE(D141, ""en"", ""am"")"),"አብዲ አብዱልቃድር")</f>
        <v>አብዲ አብዱልቃድር</v>
      </c>
      <c r="K141" s="5" t="str">
        <f>IFERROR(__xludf.DUMMYFUNCTION(" GOOGLETRANSLATE(E141, ""en"", ""am"")"),"አብዲ አብዱልቃድር በብሔራዊ የ200ሜ. የመጀመርያው የሲዳማ አትሌት ነው።")</f>
        <v>አብዲ አብዱልቃድር በብሔራዊ የ200ሜ. የመጀመርያው የሲዳማ አትሌት ነው።</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7.63"/>
    <col customWidth="1" min="3" max="3" width="26.75"/>
    <col customWidth="1" min="4" max="4" width="37.63"/>
    <col customWidth="1" min="7" max="7" width="27.25"/>
    <col customWidth="1" min="8" max="8" width="22.13"/>
    <col customWidth="1" min="9" max="9" width="23.5"/>
    <col customWidth="1" min="10" max="10" width="25.25"/>
    <col customWidth="1" min="11" max="11" width="27.25"/>
  </cols>
  <sheetData>
    <row r="1" ht="22.5" customHeight="1">
      <c r="A1" s="17" t="s">
        <v>0</v>
      </c>
      <c r="B1" s="17" t="s">
        <v>1</v>
      </c>
      <c r="C1" s="17" t="s">
        <v>2449</v>
      </c>
      <c r="D1" s="17" t="s">
        <v>515</v>
      </c>
      <c r="E1" s="17" t="s">
        <v>4</v>
      </c>
      <c r="F1" s="18"/>
      <c r="G1" s="14" t="s">
        <v>5</v>
      </c>
      <c r="H1" s="15" t="s">
        <v>6</v>
      </c>
      <c r="I1" s="15" t="s">
        <v>7</v>
      </c>
      <c r="J1" s="15" t="s">
        <v>8</v>
      </c>
      <c r="K1" s="16" t="s">
        <v>9</v>
      </c>
      <c r="L1" s="18"/>
      <c r="M1" s="18"/>
      <c r="N1" s="18"/>
      <c r="O1" s="18"/>
      <c r="P1" s="18"/>
      <c r="Q1" s="18"/>
      <c r="R1" s="18"/>
      <c r="S1" s="18"/>
      <c r="T1" s="18"/>
      <c r="U1" s="18"/>
    </row>
    <row r="2" ht="22.5" customHeight="1">
      <c r="A2" s="3">
        <v>1.0</v>
      </c>
      <c r="B2" s="4" t="s">
        <v>2902</v>
      </c>
      <c r="C2" s="4" t="s">
        <v>2903</v>
      </c>
      <c r="D2" s="4" t="s">
        <v>2904</v>
      </c>
      <c r="E2" s="4" t="s">
        <v>2905</v>
      </c>
      <c r="G2" s="5" t="str">
        <f>IFERROR(__xludf.DUMMYFUNCTION(" GOOGLETRANSLATE(A2, ""en"", ""am"")"),"1")</f>
        <v>1</v>
      </c>
      <c r="H2" s="5" t="str">
        <f>IFERROR(__xludf.DUMMYFUNCTION(" GOOGLETRANSLATE(B2, ""en"", ""am"")"),"ጠረጴዛው ከየት እንደመጣ ይታመናል?")</f>
        <v>ጠረጴዛው ከየት እንደመጣ ይታመናል?</v>
      </c>
      <c r="I2" s="5" t="str">
        <f>IFERROR(__xludf.DUMMYFUNCTION(" GOOGLETRANSLATE(C2, ""en"", ""am"")"),"ኤ እስያ ቢ. ኤውሮጳ ሲ ደቡብ አሜሪካ ዲ. አፍሪካ")</f>
        <v>ኤ እስያ ቢ. ኤውሮጳ ሲ ደቡብ አሜሪካ ዲ. አፍሪካ</v>
      </c>
      <c r="J2" s="5" t="str">
        <f>IFERROR(__xludf.DUMMYFUNCTION(" GOOGLETRANSLATE(D2, ""en"", ""am"")"),"አፍሪካ")</f>
        <v>አፍሪካ</v>
      </c>
      <c r="K2" s="5" t="str">
        <f>IFERROR(__xludf.DUMMYFUNCTION(" GOOGLETRANSLATE(E2, ""en"", ""am"")"),"ጠረጴዛው ከአፍሪካ በተለይም ከኢትዮጵያ እና ከሌሎች የምስራቅ አፍሪካ ክልሎች የመነጨ እንደሆነ ይታመናል።")</f>
        <v>ጠረጴዛው ከአፍሪካ በተለይም ከኢትዮጵያ እና ከሌሎች የምስራቅ አፍሪካ ክልሎች የመነጨ እንደሆነ ይታመናል።</v>
      </c>
    </row>
    <row r="3" ht="22.5" customHeight="1">
      <c r="A3" s="3">
        <v>2.0</v>
      </c>
      <c r="B3" s="4" t="s">
        <v>2906</v>
      </c>
      <c r="C3" s="4" t="s">
        <v>2907</v>
      </c>
      <c r="D3" s="4" t="s">
        <v>2908</v>
      </c>
      <c r="E3" s="4" t="s">
        <v>2909</v>
      </c>
      <c r="G3" s="5" t="str">
        <f>IFERROR(__xludf.DUMMYFUNCTION(" GOOGLETRANSLATE(A3, ""en"", ""am"")"),"2")</f>
        <v>2</v>
      </c>
      <c r="H3" s="5" t="str">
        <f>IFERROR(__xludf.DUMMYFUNCTION(" GOOGLETRANSLATE(B3, ""en"", ""am"")"),"የማንካላ የመጀመሪያ አርኪኦሎጂ ማስረጃ ምንድነው?")</f>
        <v>የማንካላ የመጀመሪያ አርኪኦሎጂ ማስረጃ ምንድነው?</v>
      </c>
      <c r="I3" s="5" t="str">
        <f>IFERROR(__xludf.DUMMYFUNCTION(" GOOGLETRANSLATE(C3, ""en"", ""am"")"),"ሀ. በግሪክ ውስጥ የድንጋይ ጽሑፎች ለ. የእንጨት ሰሌዳዎች በቻይና ሐ. በሜሶጶጣሚያ ውስጥ የሸክላ ዕቃዎች መ. በጥንቷ ግብፅ የተቀረጹ ጽላቶች")</f>
        <v>ሀ. በግሪክ ውስጥ የድንጋይ ጽሑፎች ለ. የእንጨት ሰሌዳዎች በቻይና ሐ. በሜሶጶጣሚያ ውስጥ የሸክላ ዕቃዎች መ. በጥንቷ ግብፅ የተቀረጹ ጽላቶች</v>
      </c>
      <c r="J3" s="5" t="str">
        <f>IFERROR(__xludf.DUMMYFUNCTION(" GOOGLETRANSLATE(D3, ""en"", ""am"")"),"በጥንቷ ግብፅ ውስጥ የተቀረጹ ጽላቶች")</f>
        <v>በጥንቷ ግብፅ ውስጥ የተቀረጹ ጽላቶች</v>
      </c>
      <c r="K3" s="5" t="str">
        <f>IFERROR(__xludf.DUMMYFUNCTION(" GOOGLETRANSLATE(E3, ""en"", ""am"")"),"የተቀረጹ የማንካላ ሰሌዳዎች በጥንታዊ የግብፅ ቤተመቅደሶች ውስጥ ተገኝተዋል፣ ይህም ከ1400 ዓክልበ.")</f>
        <v>የተቀረጹ የማንካላ ሰሌዳዎች በጥንታዊ የግብፅ ቤተመቅደሶች ውስጥ ተገኝተዋል፣ ይህም ከ1400 ዓክልበ.</v>
      </c>
    </row>
    <row r="4" ht="22.5" customHeight="1">
      <c r="A4" s="3">
        <v>3.0</v>
      </c>
      <c r="B4" s="4" t="s">
        <v>2910</v>
      </c>
      <c r="C4" s="4" t="s">
        <v>2911</v>
      </c>
      <c r="D4" s="4" t="s">
        <v>2912</v>
      </c>
      <c r="E4" s="4" t="s">
        <v>2913</v>
      </c>
      <c r="G4" s="5" t="str">
        <f>IFERROR(__xludf.DUMMYFUNCTION(" GOOGLETRANSLATE(A4, ""en"", ""am"")"),"3")</f>
        <v>3</v>
      </c>
      <c r="H4" s="5" t="str">
        <f>IFERROR(__xludf.DUMMYFUNCTION(" GOOGLETRANSLATE(B4, ""en"", ""am"")"),"'ማንካላ' የሚለው ቃል በአረብኛ ምን ማለት ነው?")</f>
        <v>'ማንካላ' የሚለው ቃል በአረብኛ ምን ማለት ነው?</v>
      </c>
      <c r="I4" s="5" t="str">
        <f>IFERROR(__xludf.DUMMYFUNCTION(" GOOGLETRANSLATE(C4, ""en"", ""am"")"),"ሀ. ለመጫወት ለ ለመቁጠር. D ለመሰብሰብ. ለመንቀሳቀስ")</f>
        <v>ሀ. ለመጫወት ለ ለመቁጠር. D ለመሰብሰብ. ለመንቀሳቀስ</v>
      </c>
      <c r="J4" s="5" t="str">
        <f>IFERROR(__xludf.DUMMYFUNCTION(" GOOGLETRANSLATE(D4, ""en"", ""am"")"),"ለመንቀሳቀስ")</f>
        <v>ለመንቀሳቀስ</v>
      </c>
      <c r="K4" s="5" t="str">
        <f>IFERROR(__xludf.DUMMYFUNCTION(" GOOGLETRANSLATE(E4, ""en"", ""am"")"),"ማንካላ የሚለው ቃል የመጣው ከአረብኛ 'ናቃላ' ከሚለው ቃል ሲሆን ትርጉሙም 'መንቀሳቀስ' ማለት ነው።")</f>
        <v>ማንካላ የሚለው ቃል የመጣው ከአረብኛ 'ናቃላ' ከሚለው ቃል ሲሆን ትርጉሙም 'መንቀሳቀስ' ማለት ነው።</v>
      </c>
    </row>
    <row r="5" ht="22.5" customHeight="1">
      <c r="A5" s="3">
        <v>4.0</v>
      </c>
      <c r="B5" s="4" t="s">
        <v>2914</v>
      </c>
      <c r="C5" s="4" t="s">
        <v>2915</v>
      </c>
      <c r="D5" s="4" t="s">
        <v>2916</v>
      </c>
      <c r="E5" s="4" t="s">
        <v>2917</v>
      </c>
      <c r="G5" s="5" t="str">
        <f>IFERROR(__xludf.DUMMYFUNCTION(" GOOGLETRANSLATE(A5, ""en"", ""am"")"),"4")</f>
        <v>4</v>
      </c>
      <c r="H5" s="5" t="str">
        <f>IFERROR(__xludf.DUMMYFUNCTION(" GOOGLETRANSLATE(B5, ""en"", ""am"")"),"በቤተ መቅደሱ የድንጋይ ወለል ላይ በተቀረጹት የማንካላ ሰሌዳዎች ውስጥ የትኛው ጥንታዊ ባህል ይታወቃል?")</f>
        <v>በቤተ መቅደሱ የድንጋይ ወለል ላይ በተቀረጹት የማንካላ ሰሌዳዎች ውስጥ የትኛው ጥንታዊ ባህል ይታወቃል?</v>
      </c>
      <c r="I5" s="5" t="str">
        <f>IFERROR(__xludf.DUMMYFUNCTION(" GOOGLETRANSLATE(C5, ""en"", ""am"")"),"ሀ. ሮማውያን ቢ. ህንዶች ሐ. ግሪኮች ዲ. ግብፃውያን")</f>
        <v>ሀ. ሮማውያን ቢ. ህንዶች ሐ. ግሪኮች ዲ. ግብፃውያን</v>
      </c>
      <c r="J5" s="5" t="str">
        <f>IFERROR(__xludf.DUMMYFUNCTION(" GOOGLETRANSLATE(D5, ""en"", ""am"")"),"ግብፃውያን")</f>
        <v>ግብፃውያን</v>
      </c>
      <c r="K5" s="5" t="str">
        <f>IFERROR(__xludf.DUMMYFUNCTION(" GOOGLETRANSLATE(E5, ""en"", ""am"")"),"የጥንት ግብፃውያን የማንካላ ሰሌዳዎችን በቤተ መቅደሶቻቸው የድንጋይ ወለል ላይ ቀርጸው ነበር፣ ይህም ባህላዊ ጠቀሜታውን ያሳያል።")</f>
        <v>የጥንት ግብፃውያን የማንካላ ሰሌዳዎችን በቤተ መቅደሶቻቸው የድንጋይ ወለል ላይ ቀርጸው ነበር፣ ይህም ባህላዊ ጠቀሜታውን ያሳያል።</v>
      </c>
    </row>
    <row r="6" ht="22.5" customHeight="1">
      <c r="A6" s="3">
        <v>5.0</v>
      </c>
      <c r="B6" s="4" t="s">
        <v>2918</v>
      </c>
      <c r="C6" s="4" t="s">
        <v>2919</v>
      </c>
      <c r="D6" s="4" t="s">
        <v>2920</v>
      </c>
      <c r="E6" s="4" t="s">
        <v>2921</v>
      </c>
      <c r="G6" s="5" t="str">
        <f>IFERROR(__xludf.DUMMYFUNCTION(" GOOGLETRANSLATE(A6, ""en"", ""am"")"),"5")</f>
        <v>5</v>
      </c>
      <c r="H6" s="5" t="str">
        <f>IFERROR(__xludf.DUMMYFUNCTION(" GOOGLETRANSLATE(B6, ""en"", ""am"")"),"የማንካላ ጨዋታ በየትኛው ክፍለ ዘመን ወደ መካከለኛው ምስራቅ ተስፋፋ?")</f>
        <v>የማንካላ ጨዋታ በየትኛው ክፍለ ዘመን ወደ መካከለኛው ምስራቅ ተስፋፋ?</v>
      </c>
      <c r="I6" s="5" t="str">
        <f>IFERROR(__xludf.DUMMYFUNCTION(" GOOGLETRANSLATE(C6, ""en"", ""am"")"),"ኣብ መበል 8ይ ክፍለ ዘመን ብ 10 ኛው ክፍለ ዘመን ዓ.ም")</f>
        <v>ኣብ መበል 8ይ ክፍለ ዘመን ብ 10 ኛው ክፍለ ዘመን ዓ.ም</v>
      </c>
      <c r="J6" s="5" t="str">
        <f>IFERROR(__xludf.DUMMYFUNCTION(" GOOGLETRANSLATE(D6, ""en"", ""am"")"),"8ኛው ክፍለ ዘመን")</f>
        <v>8ኛው ክፍለ ዘመን</v>
      </c>
      <c r="K6" s="5" t="str">
        <f>IFERROR(__xludf.DUMMYFUNCTION(" GOOGLETRANSLATE(E6, ""en"", ""am"")"),"የማንካላ ጨዋታዎች በ 8 ኛው ክፍለ ዘመን በንግድ መስመሮች ወደ መካከለኛው ምስራቅ ተሰራጭተዋል.")</f>
        <v>የማንካላ ጨዋታዎች በ 8 ኛው ክፍለ ዘመን በንግድ መስመሮች ወደ መካከለኛው ምስራቅ ተሰራጭተዋል.</v>
      </c>
    </row>
    <row r="7" ht="22.5" customHeight="1">
      <c r="A7" s="3">
        <v>6.0</v>
      </c>
      <c r="B7" s="4" t="s">
        <v>2922</v>
      </c>
      <c r="C7" s="4" t="s">
        <v>2923</v>
      </c>
      <c r="D7" s="4" t="s">
        <v>1452</v>
      </c>
      <c r="E7" s="4" t="s">
        <v>2924</v>
      </c>
      <c r="G7" s="5" t="str">
        <f>IFERROR(__xludf.DUMMYFUNCTION(" GOOGLETRANSLATE(A7, ""en"", ""am"")"),"6")</f>
        <v>6</v>
      </c>
      <c r="H7" s="5" t="str">
        <f>IFERROR(__xludf.DUMMYFUNCTION(" GOOGLETRANSLATE(B7, ""en"", ""am"")"),"ከካርታው አመጣጥ ጋር በቅርብ የተቆራኘው የትኛው የአፍሪካ ጎሳ ነው?")</f>
        <v>ከካርታው አመጣጥ ጋር በቅርብ የተቆራኘው የትኛው የአፍሪካ ጎሳ ነው?</v>
      </c>
      <c r="I7" s="5" t="str">
        <f>IFERROR(__xludf.DUMMYFUNCTION(" GOOGLETRANSLATE(C7, ""en"", ""am"")"),"A. Zulu B. Berber C. Swahili D. Oromo")</f>
        <v>A. Zulu B. Berber C. Swahili D. Oromo</v>
      </c>
      <c r="J7" s="5" t="str">
        <f>IFERROR(__xludf.DUMMYFUNCTION(" GOOGLETRANSLATE(D7, ""en"", ""am"")"),"ኦሮሞ")</f>
        <v>ኦሮሞ</v>
      </c>
      <c r="K7" s="5" t="str">
        <f>IFERROR(__xludf.DUMMYFUNCTION(" GOOGLETRANSLATE(E7, ""en"", ""am"")"),"የምስራቅ አፍሪካ የኦሮሞ ህዝብ ከገበታ መገኛ ጋር ጥብቅ ትስስር አለው።")</f>
        <v>የምስራቅ አፍሪካ የኦሮሞ ህዝብ ከገበታ መገኛ ጋር ጥብቅ ትስስር አለው።</v>
      </c>
    </row>
    <row r="8" ht="22.5" customHeight="1">
      <c r="A8" s="3">
        <v>7.0</v>
      </c>
      <c r="B8" s="4" t="s">
        <v>2925</v>
      </c>
      <c r="C8" s="4" t="s">
        <v>2926</v>
      </c>
      <c r="D8" s="4" t="s">
        <v>2927</v>
      </c>
      <c r="E8" s="4" t="s">
        <v>2928</v>
      </c>
      <c r="G8" s="5" t="str">
        <f>IFERROR(__xludf.DUMMYFUNCTION(" GOOGLETRANSLATE(A8, ""en"", ""am"")"),"7")</f>
        <v>7</v>
      </c>
      <c r="H8" s="5" t="str">
        <f>IFERROR(__xludf.DUMMYFUNCTION(" GOOGLETRANSLATE(B8, ""en"", ""am"")"),"ሰንጠረዡ ከበዓላት ጋር ተቆራኝቶ ወደ ማህበራዊ እንቅስቃሴ ሲቀየር የትኛው ክልል ነው?")</f>
        <v>ሰንጠረዡ ከበዓላት ጋር ተቆራኝቶ ወደ ማህበራዊ እንቅስቃሴ ሲቀየር የትኛው ክልል ነው?</v>
      </c>
      <c r="I8" s="5" t="str">
        <f>IFERROR(__xludf.DUMMYFUNCTION(" GOOGLETRANSLATE(C8, ""en"", ""am"")"),"ሀ.ምስራቅ አፍሪካ ለ.ደቡብ አፍሪካ ሐ.ሰሜን አፍሪካ መ.ምስራቅ አፍሪካ")</f>
        <v>ሀ.ምስራቅ አፍሪካ ለ.ደቡብ አፍሪካ ሐ.ሰሜን አፍሪካ መ.ምስራቅ አፍሪካ</v>
      </c>
      <c r="J8" s="5" t="str">
        <f>IFERROR(__xludf.DUMMYFUNCTION(" GOOGLETRANSLATE(D8, ""en"", ""am"")"),"ምስራቅ አፍሪካ")</f>
        <v>ምስራቅ አፍሪካ</v>
      </c>
      <c r="K8" s="5" t="str">
        <f>IFERROR(__xludf.DUMMYFUNCTION(" GOOGLETRANSLATE(E8, ""en"", ""am"")"),"በምስራቅ አፍሪካ በፌስቲቫሎች እና በማህበረሰብ ስብሰባዎች ላይ ወደሚጫወት ጨዋታነት ተለወጠ።")</f>
        <v>በምስራቅ አፍሪካ በፌስቲቫሎች እና በማህበረሰብ ስብሰባዎች ላይ ወደሚጫወት ጨዋታነት ተለወጠ።</v>
      </c>
    </row>
    <row r="9" ht="22.5" customHeight="1">
      <c r="A9" s="3">
        <v>8.0</v>
      </c>
      <c r="B9" s="4" t="s">
        <v>2929</v>
      </c>
      <c r="C9" s="4" t="s">
        <v>2930</v>
      </c>
      <c r="D9" s="4" t="s">
        <v>2931</v>
      </c>
      <c r="E9" s="4" t="s">
        <v>2932</v>
      </c>
      <c r="G9" s="5" t="str">
        <f>IFERROR(__xludf.DUMMYFUNCTION(" GOOGLETRANSLATE(A9, ""en"", ""am"")"),"8")</f>
        <v>8</v>
      </c>
      <c r="H9" s="5" t="str">
        <f>IFERROR(__xludf.DUMMYFUNCTION(" GOOGLETRANSLATE(B9, ""en"", ""am"")"),"ማንካላ በጥንታዊ አፍሪካዊ ማህበረሰቦች ውስጥ ምን ሚና ተጫውቷል?")</f>
        <v>ማንካላ በጥንታዊ አፍሪካዊ ማህበረሰቦች ውስጥ ምን ሚና ተጫውቷል?</v>
      </c>
      <c r="I9" s="5" t="str">
        <f>IFERROR(__xludf.DUMMYFUNCTION(" GOOGLETRANSLATE(C9, ""en"", ""am"")"),"ሀ. ዲፕሎማሲ ማስተዋወቅ ለ. ሃይማኖታዊ ሥርዓቶች ሐ. የሕፃናት ትምህርት መ. ዲፕሎማሲ ማሳደግ")</f>
        <v>ሀ. ዲፕሎማሲ ማስተዋወቅ ለ. ሃይማኖታዊ ሥርዓቶች ሐ. የሕፃናት ትምህርት መ. ዲፕሎማሲ ማሳደግ</v>
      </c>
      <c r="J9" s="5" t="str">
        <f>IFERROR(__xludf.DUMMYFUNCTION(" GOOGLETRANSLATE(D9, ""en"", ""am"")"),"ዲፕሎማሲ ማስተዋወቅ")</f>
        <v>ዲፕሎማሲ ማስተዋወቅ</v>
      </c>
      <c r="K9" s="5" t="str">
        <f>IFERROR(__xludf.DUMMYFUNCTION(" GOOGLETRANSLATE(E9, ""en"", ""am"")"),"ማንካላ በጎሳዎች መካከል አለመግባባቶችን ለመፍታት ብዙውን ጊዜ እንደ ዲፕሎማሲያዊ መሣሪያ ይጠቀም ነበር።")</f>
        <v>ማንካላ በጎሳዎች መካከል አለመግባባቶችን ለመፍታት ብዙውን ጊዜ እንደ ዲፕሎማሲያዊ መሣሪያ ይጠቀም ነበር።</v>
      </c>
    </row>
    <row r="10" ht="22.5" customHeight="1">
      <c r="A10" s="3">
        <v>9.0</v>
      </c>
      <c r="B10" s="4" t="s">
        <v>2933</v>
      </c>
      <c r="C10" s="4" t="s">
        <v>2934</v>
      </c>
      <c r="D10" s="4" t="s">
        <v>2935</v>
      </c>
      <c r="E10" s="4" t="s">
        <v>2936</v>
      </c>
      <c r="G10" s="5" t="str">
        <f>IFERROR(__xludf.DUMMYFUNCTION(" GOOGLETRANSLATE(A10, ""en"", ""am"")"),"9")</f>
        <v>9</v>
      </c>
      <c r="H10" s="5" t="str">
        <f>IFERROR(__xludf.DUMMYFUNCTION(" GOOGLETRANSLATE(B10, ""en"", ""am"")"),"የመጀመሪያዎቹ የማንካላ ሰሌዳዎች የተሠሩት ከየትኛው ቁሳቁስ ነው?")</f>
        <v>የመጀመሪያዎቹ የማንካላ ሰሌዳዎች የተሠሩት ከየትኛው ቁሳቁስ ነው?</v>
      </c>
      <c r="I10" s="5" t="str">
        <f>IFERROR(__xludf.DUMMYFUNCTION(" GOOGLETRANSLATE(C10, ""en"", ""am"")"),"ኤ እንጨት ቢ. ብረት ሲ. ክሌይ ዲ ድንጋይ")</f>
        <v>ኤ እንጨት ቢ. ብረት ሲ. ክሌይ ዲ ድንጋይ</v>
      </c>
      <c r="J10" s="5" t="str">
        <f>IFERROR(__xludf.DUMMYFUNCTION(" GOOGLETRANSLATE(D10, ""en"", ""am"")"),"ድንጋይ")</f>
        <v>ድንጋይ</v>
      </c>
      <c r="K10" s="5" t="str">
        <f>IFERROR(__xludf.DUMMYFUNCTION(" GOOGLETRANSLATE(E10, ""en"", ""am"")"),"የመጀመሪያው የማንካላ ሰሌዳዎች ከድንጋይ የተቀረጹ ናቸው, በተለይም በጥንታዊ አፍሪካ እና መካከለኛው ምስራቅ ባህሎች.")</f>
        <v>የመጀመሪያው የማንካላ ሰሌዳዎች ከድንጋይ የተቀረጹ ናቸው, በተለይም በጥንታዊ አፍሪካ እና መካከለኛው ምስራቅ ባህሎች.</v>
      </c>
    </row>
    <row r="11" ht="22.5" customHeight="1">
      <c r="A11" s="3">
        <v>10.0</v>
      </c>
      <c r="B11" s="4" t="s">
        <v>2937</v>
      </c>
      <c r="C11" s="4" t="s">
        <v>2938</v>
      </c>
      <c r="D11" s="4" t="s">
        <v>2939</v>
      </c>
      <c r="E11" s="4" t="s">
        <v>2940</v>
      </c>
      <c r="G11" s="5" t="str">
        <f>IFERROR(__xludf.DUMMYFUNCTION(" GOOGLETRANSLATE(A11, ""en"", ""am"")"),"10")</f>
        <v>10</v>
      </c>
      <c r="H11" s="5" t="str">
        <f>IFERROR(__xludf.DUMMYFUNCTION(" GOOGLETRANSLATE(B11, ""en"", ""am"")"),"በጥንቷ ግብፅ ማንካላ የመጫወት ዓላማ ምን ነበር?")</f>
        <v>በጥንቷ ግብፅ ማንካላ የመጫወት ዓላማ ምን ነበር?</v>
      </c>
      <c r="I11" s="5" t="str">
        <f>IFERROR(__xludf.DUMMYFUNCTION(" GOOGLETRANSLATE(C11, ""en"", ""am"")"),"ሀ. መዝናኛ ለ. የንግድ ድርድሮች ሐ. ልጆችን ማስተማር D. ሃይማኖታዊ ሥነ ሥርዓቶች")</f>
        <v>ሀ. መዝናኛ ለ. የንግድ ድርድሮች ሐ. ልጆችን ማስተማር D. ሃይማኖታዊ ሥነ ሥርዓቶች</v>
      </c>
      <c r="J11" s="5" t="str">
        <f>IFERROR(__xludf.DUMMYFUNCTION(" GOOGLETRANSLATE(D11, ""en"", ""am"")"),"ሃይማኖታዊ ሥርዓቶች")</f>
        <v>ሃይማኖታዊ ሥርዓቶች</v>
      </c>
      <c r="K11" s="5" t="str">
        <f>IFERROR(__xludf.DUMMYFUNCTION(" GOOGLETRANSLATE(E11, ""en"", ""am"")"),"ማንካላ በጥንቷ ግብፅ ውስጥ እንደ ሃይማኖታዊ ሥርዓቶች እና ማህበራዊ ትስስር አካል ይጫወት ነበር።")</f>
        <v>ማንካላ በጥንቷ ግብፅ ውስጥ እንደ ሃይማኖታዊ ሥርዓቶች እና ማህበራዊ ትስስር አካል ይጫወት ነበር።</v>
      </c>
    </row>
    <row r="12" ht="22.5" customHeight="1">
      <c r="A12" s="3">
        <v>11.0</v>
      </c>
      <c r="B12" s="4" t="s">
        <v>2941</v>
      </c>
      <c r="C12" s="4" t="s">
        <v>2942</v>
      </c>
      <c r="D12" s="4" t="s">
        <v>2943</v>
      </c>
      <c r="E12" s="4" t="s">
        <v>2944</v>
      </c>
      <c r="G12" s="5" t="str">
        <f>IFERROR(__xludf.DUMMYFUNCTION(" GOOGLETRANSLATE(A12, ""en"", ""am"")"),"11")</f>
        <v>11</v>
      </c>
      <c r="H12" s="5" t="str">
        <f>IFERROR(__xludf.DUMMYFUNCTION(" GOOGLETRANSLATE(B12, ""en"", ""am"")"),"ማንካላን ወደ ካሪቢያን አካባቢ ለማምጣት የረዳው የትኛው የቅኝ ገዥ ኃይል ነው?")</f>
        <v>ማንካላን ወደ ካሪቢያን አካባቢ ለማምጣት የረዳው የትኛው የቅኝ ገዥ ኃይል ነው?</v>
      </c>
      <c r="I12" s="5" t="str">
        <f>IFERROR(__xludf.DUMMYFUNCTION(" GOOGLETRANSLATE(C12, ""en"", ""am"")"),"ሀ. ደች ቢ. ፈረንሣይኛ ሐ. ፖርቱጋልኛ ዲ. ደች")</f>
        <v>ሀ. ደች ቢ. ፈረንሣይኛ ሐ. ፖርቱጋልኛ ዲ. ደች</v>
      </c>
      <c r="J12" s="5" t="str">
        <f>IFERROR(__xludf.DUMMYFUNCTION(" GOOGLETRANSLATE(D12, ""en"", ""am"")"),"ደች")</f>
        <v>ደች</v>
      </c>
      <c r="K12" s="5" t="str">
        <f>IFERROR(__xludf.DUMMYFUNCTION(" GOOGLETRANSLATE(E12, ""en"", ""am"")"),"ደች በቅኝ ግዛት ዘመን ማንካላ ወደ ካሪቢያን አካባቢ እንዲስፋፋ ረድተዋል።")</f>
        <v>ደች በቅኝ ግዛት ዘመን ማንካላ ወደ ካሪቢያን አካባቢ እንዲስፋፋ ረድተዋል።</v>
      </c>
    </row>
    <row r="13" ht="22.5" customHeight="1">
      <c r="A13" s="3">
        <v>12.0</v>
      </c>
      <c r="B13" s="4" t="s">
        <v>2945</v>
      </c>
      <c r="C13" s="4" t="s">
        <v>2946</v>
      </c>
      <c r="D13" s="4" t="s">
        <v>2947</v>
      </c>
      <c r="E13" s="4" t="s">
        <v>2948</v>
      </c>
      <c r="G13" s="5" t="str">
        <f>IFERROR(__xludf.DUMMYFUNCTION(" GOOGLETRANSLATE(A13, ""en"", ""am"")"),"12")</f>
        <v>12</v>
      </c>
      <c r="H13" s="5" t="str">
        <f>IFERROR(__xludf.DUMMYFUNCTION(" GOOGLETRANSLATE(B13, ""en"", ""am"")"),"በፊሊፒንስ የሚታወቀው ገበታ ስም ማን ይባላል?")</f>
        <v>በፊሊፒንስ የሚታወቀው ገበታ ስም ማን ይባላል?</v>
      </c>
      <c r="I13" s="5" t="str">
        <f>IFERROR(__xludf.DUMMYFUNCTION(" GOOGLETRANSLATE(C13, ""en"", ""am"")"),"ኤ. ኮኛክ ቢ ዋሪ ሲ ኦዋሬ ዲ ሱንግካ")</f>
        <v>ኤ. ኮኛክ ቢ ዋሪ ሲ ኦዋሬ ዲ ሱንግካ</v>
      </c>
      <c r="J13" s="5" t="str">
        <f>IFERROR(__xludf.DUMMYFUNCTION(" GOOGLETRANSLATE(D13, ""en"", ""am"")"),"ሱንግካ")</f>
        <v>ሱንግካ</v>
      </c>
      <c r="K13" s="5" t="str">
        <f>IFERROR(__xludf.DUMMYFUNCTION(" GOOGLETRANSLATE(E13, ""en"", ""am"")"),"ባክጋሞን በፊሊፒንስ 'Sungka' በመባል ይታወቃል እና ታዋቂ ባህላዊ ጨዋታ ነው።")</f>
        <v>ባክጋሞን በፊሊፒንስ 'Sungka' በመባል ይታወቃል እና ታዋቂ ባህላዊ ጨዋታ ነው።</v>
      </c>
    </row>
    <row r="14" ht="22.5" customHeight="1">
      <c r="A14" s="3">
        <v>13.0</v>
      </c>
      <c r="B14" s="4" t="s">
        <v>2949</v>
      </c>
      <c r="C14" s="4" t="s">
        <v>2950</v>
      </c>
      <c r="D14" s="4" t="s">
        <v>2951</v>
      </c>
      <c r="E14" s="4" t="s">
        <v>2952</v>
      </c>
      <c r="G14" s="5" t="str">
        <f>IFERROR(__xludf.DUMMYFUNCTION(" GOOGLETRANSLATE(A14, ""en"", ""am"")"),"13")</f>
        <v>13</v>
      </c>
      <c r="H14" s="5" t="str">
        <f>IFERROR(__xludf.DUMMYFUNCTION(" GOOGLETRANSLATE(B14, ""en"", ""am"")"),"ለማንካላ መስፋፋት ትልቅ ሚና የተጫወተው የትኛው ጥንታዊ የንግድ መስመር ነው?")</f>
        <v>ለማንካላ መስፋፋት ትልቅ ሚና የተጫወተው የትኛው ጥንታዊ የንግድ መስመር ነው?</v>
      </c>
      <c r="I14" s="5" t="str">
        <f>IFERROR(__xludf.DUMMYFUNCTION(" GOOGLETRANSLATE(C14, ""en"", ""am"")"),"ሀ. ትራንስ-ሰሃራን የንግድ መስመር ለ. የቅመም መስመር ሐ. የእጣን መንገድ D. ትራንስ-ሰሃራን የንግድ መስመር")</f>
        <v>ሀ. ትራንስ-ሰሃራን የንግድ መስመር ለ. የቅመም መስመር ሐ. የእጣን መንገድ D. ትራንስ-ሰሃራን የንግድ መስመር</v>
      </c>
      <c r="J14" s="5" t="str">
        <f>IFERROR(__xludf.DUMMYFUNCTION(" GOOGLETRANSLATE(D14, ""en"", ""am"")"),"ከሰሃራ ተሻጋሪ የንግድ መስመር")</f>
        <v>ከሰሃራ ተሻጋሪ የንግድ መስመር</v>
      </c>
      <c r="K14" s="5" t="str">
        <f>IFERROR(__xludf.DUMMYFUNCTION(" GOOGLETRANSLATE(E14, ""en"", ""am"")"),"ከሰሃራ በላይ ያለው የንግድ መስመር ማንካላ በአፍሪካ እና በመካከለኛው ምስራቅ እንዲስፋፋ ቁልፍ ነበር።")</f>
        <v>ከሰሃራ በላይ ያለው የንግድ መስመር ማንካላ በአፍሪካ እና በመካከለኛው ምስራቅ እንዲስፋፋ ቁልፍ ነበር።</v>
      </c>
    </row>
    <row r="15" ht="22.5" customHeight="1">
      <c r="A15" s="3">
        <v>14.0</v>
      </c>
      <c r="B15" s="4" t="s">
        <v>2953</v>
      </c>
      <c r="C15" s="4" t="s">
        <v>2954</v>
      </c>
      <c r="D15" s="4" t="s">
        <v>2955</v>
      </c>
      <c r="E15" s="4" t="s">
        <v>2956</v>
      </c>
      <c r="G15" s="5" t="str">
        <f>IFERROR(__xludf.DUMMYFUNCTION(" GOOGLETRANSLATE(A15, ""en"", ""am"")"),"14")</f>
        <v>14</v>
      </c>
      <c r="H15" s="5" t="str">
        <f>IFERROR(__xludf.DUMMYFUNCTION(" GOOGLETRANSLATE(B15, ""en"", ""am"")"),"የማንካላን የባህል ታሪክ በመመዝገብ የሚታወቀው የ20ኛው ክፍለ ዘመን ምሁር የትኛው ነው?")</f>
        <v>የማንካላን የባህል ታሪክ በመመዝገብ የሚታወቀው የ20ኛው ክፍለ ዘመን ምሁር የትኛው ነው?</v>
      </c>
      <c r="I15" s="5" t="str">
        <f>IFERROR(__xludf.DUMMYFUNCTION(" GOOGLETRANSLATE(C15, ""en"", ""am"")"),"ኤ. ኢ ኢቫንስ-ፕሪቻርድ ቢ. ክላውድ ሌዊ-ስትራውስ ሲ. ዊልያም ባስኮም ዲ.አር.ሲ. ደወል")</f>
        <v>ኤ. ኢ ኢቫንስ-ፕሪቻርድ ቢ. ክላውድ ሌዊ-ስትራውስ ሲ. ዊልያም ባስኮም ዲ.አር.ሲ. ደወል</v>
      </c>
      <c r="J15" s="5" t="str">
        <f>IFERROR(__xludf.DUMMYFUNCTION(" GOOGLETRANSLATE(D15, ""en"", ""am"")"),"አር.ሲ. ደወል")</f>
        <v>አር.ሲ. ደወል</v>
      </c>
      <c r="K15" s="5" t="str">
        <f>IFERROR(__xludf.DUMMYFUNCTION(" GOOGLETRANSLATE(E15, ""en"", ""am"")"),"አር ሲ ቤል የማንካላ ጨዋታን ባህላዊ ታሪክ በሰፊው ዘግቧል።")</f>
        <v>አር ሲ ቤል የማንካላ ጨዋታን ባህላዊ ታሪክ በሰፊው ዘግቧል።</v>
      </c>
    </row>
    <row r="16" ht="22.5" customHeight="1">
      <c r="A16" s="3">
        <v>15.0</v>
      </c>
      <c r="B16" s="4" t="s">
        <v>2957</v>
      </c>
      <c r="C16" s="4" t="s">
        <v>2958</v>
      </c>
      <c r="D16" s="4" t="s">
        <v>2959</v>
      </c>
      <c r="E16" s="4" t="s">
        <v>2960</v>
      </c>
      <c r="G16" s="5" t="str">
        <f>IFERROR(__xludf.DUMMYFUNCTION(" GOOGLETRANSLATE(A16, ""en"", ""am"")"),"15")</f>
        <v>15</v>
      </c>
      <c r="H16" s="5" t="str">
        <f>IFERROR(__xludf.DUMMYFUNCTION(" GOOGLETRANSLATE(B16, ""en"", ""am"")"),"በአብዛኛዎቹ የማንካላ ጨዋታዎች ቀዳሚ ግብ ምንድነው?")</f>
        <v>በአብዛኛዎቹ የማንካላ ጨዋታዎች ቀዳሚ ግብ ምንድነው?</v>
      </c>
      <c r="I16" s="5" t="str">
        <f>IFERROR(__xludf.DUMMYFUNCTION(" GOOGLETRANSLATE(C16, ""en"", ""am"")"),"ሀ. ተቃዋሚዎችን ለማገድ ለ. መጨረሻው ለመድረስ ሐ. ሰሌዳውን ለማጽዳት መ. ብዙ ዘሮችን ለመሰብሰብ")</f>
        <v>ሀ. ተቃዋሚዎችን ለማገድ ለ. መጨረሻው ለመድረስ ሐ. ሰሌዳውን ለማጽዳት መ. ብዙ ዘሮችን ለመሰብሰብ</v>
      </c>
      <c r="J16" s="5" t="str">
        <f>IFERROR(__xludf.DUMMYFUNCTION(" GOOGLETRANSLATE(D16, ""en"", ""am"")"),"ብዙ ዘሮችን ለመሰብሰብ")</f>
        <v>ብዙ ዘሮችን ለመሰብሰብ</v>
      </c>
      <c r="K16" s="5" t="str">
        <f>IFERROR(__xludf.DUMMYFUNCTION(" GOOGLETRANSLATE(E16, ""en"", ""am"")"),"ዋናው ግብ በመጋዘንዎ ውስጥ በተቻለ መጠን ብዙ ዘሮችን ወይም ድንጋዮችን መሰብሰብ ነው.")</f>
        <v>ዋናው ግብ በመጋዘንዎ ውስጥ በተቻለ መጠን ብዙ ዘሮችን ወይም ድንጋዮችን መሰብሰብ ነው.</v>
      </c>
    </row>
    <row r="17" ht="22.5" customHeight="1">
      <c r="A17" s="3">
        <v>16.0</v>
      </c>
      <c r="B17" s="4" t="s">
        <v>2961</v>
      </c>
      <c r="C17" s="4" t="s">
        <v>2962</v>
      </c>
      <c r="D17" s="4" t="s">
        <v>2963</v>
      </c>
      <c r="E17" s="4" t="s">
        <v>2964</v>
      </c>
      <c r="G17" s="5" t="str">
        <f>IFERROR(__xludf.DUMMYFUNCTION(" GOOGLETRANSLATE(A17, ""en"", ""am"")"),"16")</f>
        <v>16</v>
      </c>
      <c r="H17" s="5" t="str">
        <f>IFERROR(__xludf.DUMMYFUNCTION(" GOOGLETRANSLATE(B17, ""en"", ""am"")"),"በኢንዶኔዥያ ውስጥ የሚጫወተው የማንካላ ልዩነት የትኛው ነው?")</f>
        <v>በኢንዶኔዥያ ውስጥ የሚጫወተው የማንካላ ልዩነት የትኛው ነው?</v>
      </c>
      <c r="I17" s="5" t="str">
        <f>IFERROR(__xludf.DUMMYFUNCTION(" GOOGLETRANSLATE(C17, ""en"", ""am"")"),"ኤ ሱንግካ ቢ ባኦ ሲ ዋሪ ዲ. ኮኛክ")</f>
        <v>ኤ ሱንግካ ቢ ባኦ ሲ ዋሪ ዲ. ኮኛክ</v>
      </c>
      <c r="J17" s="5" t="str">
        <f>IFERROR(__xludf.DUMMYFUNCTION(" GOOGLETRANSLATE(D17, ""en"", ""am"")"),"ኮኛክ")</f>
        <v>ኮኛክ</v>
      </c>
      <c r="K17" s="5" t="str">
        <f>IFERROR(__xludf.DUMMYFUNCTION(" GOOGLETRANSLATE(E17, ""en"", ""am"")"),"ኮንግካክ በኢንዶኔዥያ እና በማሌዥያ ውስጥ የሚጫወተው ታዋቂ የማንካላ ልዩነት ነው።")</f>
        <v>ኮንግካክ በኢንዶኔዥያ እና በማሌዥያ ውስጥ የሚጫወተው ታዋቂ የማንካላ ልዩነት ነው።</v>
      </c>
    </row>
    <row r="18" ht="22.5" customHeight="1">
      <c r="A18" s="3">
        <v>17.0</v>
      </c>
      <c r="B18" s="4" t="s">
        <v>2965</v>
      </c>
      <c r="C18" s="4" t="s">
        <v>2966</v>
      </c>
      <c r="D18" s="4" t="s">
        <v>2967</v>
      </c>
      <c r="E18" s="4" t="s">
        <v>2968</v>
      </c>
      <c r="G18" s="5" t="str">
        <f>IFERROR(__xludf.DUMMYFUNCTION(" GOOGLETRANSLATE(A18, ""en"", ""am"")"),"17")</f>
        <v>17</v>
      </c>
      <c r="H18" s="5" t="str">
        <f>IFERROR(__xludf.DUMMYFUNCTION(" GOOGLETRANSLATE(B18, ""en"", ""am"")"),"የትኛው የአርኪኦሎጂ ጣቢያ በጣም ጥንታዊ ከሆኑት የማንካላ ሰሌዳዎች መካከል አንዱን አሳይቷል?")</f>
        <v>የትኛው የአርኪኦሎጂ ጣቢያ በጣም ጥንታዊ ከሆኑት የማንካላ ሰሌዳዎች መካከል አንዱን አሳይቷል?</v>
      </c>
      <c r="I18" s="5" t="str">
        <f>IFERROR(__xludf.DUMMYFUNCTION(" GOOGLETRANSLATE(C18, ""en"", ""am"")"),"አ. ሞሄንጆ-ዳሮ፣ ፓኪስታን ቢ. ኖሶስ፣ ቀርጤስ ሐቱሳ፣ ቱርክ ዲ. ቁርና፣ ግብፅ")</f>
        <v>አ. ሞሄንጆ-ዳሮ፣ ፓኪስታን ቢ. ኖሶስ፣ ቀርጤስ ሐቱሳ፣ ቱርክ ዲ. ቁርና፣ ግብፅ</v>
      </c>
      <c r="J18" s="5" t="str">
        <f>IFERROR(__xludf.DUMMYFUNCTION(" GOOGLETRANSLATE(D18, ""en"", ""am"")"),"ቁርና፣ ግብፅ")</f>
        <v>ቁርና፣ ግብፅ</v>
      </c>
      <c r="K18" s="5" t="str">
        <f>IFERROR(__xludf.DUMMYFUNCTION(" GOOGLETRANSLATE(E18, ""en"", ""am"")"),"ከመጀመሪያዎቹ የማንካላ ሰሌዳዎች አንዱ በጥንቷ ግብፅ ተገኝቷል።")</f>
        <v>ከመጀመሪያዎቹ የማንካላ ሰሌዳዎች አንዱ በጥንቷ ግብፅ ተገኝቷል።</v>
      </c>
    </row>
    <row r="19" ht="22.5" customHeight="1">
      <c r="A19" s="3">
        <v>18.0</v>
      </c>
      <c r="B19" s="4" t="s">
        <v>2969</v>
      </c>
      <c r="C19" s="4" t="s">
        <v>2970</v>
      </c>
      <c r="D19" s="4" t="s">
        <v>2971</v>
      </c>
      <c r="E19" s="4" t="s">
        <v>2972</v>
      </c>
      <c r="G19" s="5" t="str">
        <f>IFERROR(__xludf.DUMMYFUNCTION(" GOOGLETRANSLATE(A19, ""en"", ""am"")"),"18")</f>
        <v>18</v>
      </c>
      <c r="H19" s="5" t="str">
        <f>IFERROR(__xludf.DUMMYFUNCTION(" GOOGLETRANSLATE(B19, ""en"", ""am"")"),"ማንካላ የኢትዮጵያ ስም ማን ይባላል?")</f>
        <v>ማንካላ የኢትዮጵያ ስም ማን ይባላል?</v>
      </c>
      <c r="I19" s="5" t="str">
        <f>IFERROR(__xludf.DUMMYFUNCTION(" GOOGLETRANSLATE(C19, ""en"", ""am"")"),"A. Bao B. Oware C. Ayo D. ገበታ")</f>
        <v>A. Bao B. Oware C. Ayo D. ገበታ</v>
      </c>
      <c r="J19" s="5" t="str">
        <f>IFERROR(__xludf.DUMMYFUNCTION(" GOOGLETRANSLATE(D19, ""en"", ""am"")"),"ገበታ")</f>
        <v>ገበታ</v>
      </c>
      <c r="K19" s="5" t="str">
        <f>IFERROR(__xludf.DUMMYFUNCTION(" GOOGLETRANSLATE(E19, ""en"", ""am"")"),"የኢትዮጵያ መጠሪያ ማንካላ 'ገበታ' ሲሆን በክልሉ በስፋት ይነገራል።")</f>
        <v>የኢትዮጵያ መጠሪያ ማንካላ 'ገበታ' ሲሆን በክልሉ በስፋት ይነገራል።</v>
      </c>
    </row>
    <row r="20" ht="22.5" customHeight="1">
      <c r="A20" s="3">
        <v>19.0</v>
      </c>
      <c r="B20" s="4" t="s">
        <v>2973</v>
      </c>
      <c r="C20" s="4" t="s">
        <v>2974</v>
      </c>
      <c r="D20" s="4" t="s">
        <v>2975</v>
      </c>
      <c r="E20" s="4" t="s">
        <v>2976</v>
      </c>
      <c r="G20" s="5" t="str">
        <f>IFERROR(__xludf.DUMMYFUNCTION(" GOOGLETRANSLATE(A20, ""en"", ""am"")"),"19")</f>
        <v>19</v>
      </c>
      <c r="H20" s="5" t="str">
        <f>IFERROR(__xludf.DUMMYFUNCTION(" GOOGLETRANSLATE(B20, ""en"", ""am"")"),"የጋና ብሔራዊ ጨዋታ ተደርጎ የሚወሰደው የማንካላ ልዩነት የትኛው ነው?")</f>
        <v>የጋና ብሔራዊ ጨዋታ ተደርጎ የሚወሰደው የማንካላ ልዩነት የትኛው ነው?</v>
      </c>
      <c r="I20" s="5" t="str">
        <f>IFERROR(__xludf.DUMMYFUNCTION(" GOOGLETRANSLATE(C20, ""en"", ""am"")"),"A. Bao B. ገበታ C. Sungka D. Oware")</f>
        <v>A. Bao B. ገበታ C. Sungka D. Oware</v>
      </c>
      <c r="J20" s="5" t="str">
        <f>IFERROR(__xludf.DUMMYFUNCTION(" GOOGLETRANSLATE(D20, ""en"", ""am"")"),"ኦዋሬ")</f>
        <v>ኦዋሬ</v>
      </c>
      <c r="K20" s="5" t="str">
        <f>IFERROR(__xludf.DUMMYFUNCTION(" GOOGLETRANSLATE(E20, ""en"", ""am"")"),"ኦዋሬ የጋና ብሄራዊ ጨዋታ ተደርጎ የሚወሰድ ሲሆን በባህሉ ስር የሰደደ ነው።")</f>
        <v>ኦዋሬ የጋና ብሄራዊ ጨዋታ ተደርጎ የሚወሰድ ሲሆን በባህሉ ስር የሰደደ ነው።</v>
      </c>
    </row>
    <row r="21" ht="22.5" customHeight="1">
      <c r="A21" s="3">
        <v>20.0</v>
      </c>
      <c r="B21" s="4" t="s">
        <v>2977</v>
      </c>
      <c r="C21" s="4" t="s">
        <v>2978</v>
      </c>
      <c r="D21" s="4" t="s">
        <v>2979</v>
      </c>
      <c r="E21" s="4" t="s">
        <v>2980</v>
      </c>
      <c r="G21" s="5" t="str">
        <f>IFERROR(__xludf.DUMMYFUNCTION(" GOOGLETRANSLATE(A21, ""en"", ""am"")"),"20")</f>
        <v>20</v>
      </c>
      <c r="H21" s="5" t="str">
        <f>IFERROR(__xludf.DUMMYFUNCTION(" GOOGLETRANSLATE(B21, ""en"", ""am"")"),"በባርነት የተያዙ አፍሪካውያን ለማንካላ ዓለም አቀፍ መስፋፋት አስተዋጽኦ ያደረጉት እንዴት ነው?")</f>
        <v>በባርነት የተያዙ አፍሪካውያን ለማንካላ ዓለም አቀፍ መስፋፋት አስተዋጽኦ ያደረጉት እንዴት ነው?</v>
      </c>
      <c r="I21" s="5" t="str">
        <f>IFERROR(__xludf.DUMMYFUNCTION(" GOOGLETRANSLATE(C21, ""en"", ""am"")"),"ሀ. ህጎቹን በማስተካከል ለ. ከአውሮፓ ጨዋታዎች ጋር በመተባበር ሐ. በንግድ ስራ መጠቀም መ. ወደ አሜሪካ ማስተዋወቅ")</f>
        <v>ሀ. ህጎቹን በማስተካከል ለ. ከአውሮፓ ጨዋታዎች ጋር በመተባበር ሐ. በንግድ ስራ መጠቀም መ. ወደ አሜሪካ ማስተዋወቅ</v>
      </c>
      <c r="J21" s="5" t="str">
        <f>IFERROR(__xludf.DUMMYFUNCTION(" GOOGLETRANSLATE(D21, ""en"", ""am"")"),"አሜሪካን በማስተዋወቅ ላይ")</f>
        <v>አሜሪካን በማስተዋወቅ ላይ</v>
      </c>
      <c r="K21" s="5" t="str">
        <f>IFERROR(__xludf.DUMMYFUNCTION(" GOOGLETRANSLATE(E21, ""en"", ""am"")"),"በባርነት የተያዙ አፍሪካውያን ማንካላን ወደ አሜሪካ አመጡ፣ በዚያም በአካባቢው ጨዋታዎች እና ወጎች ላይ ተጽዕኖ አሳድሯል።")</f>
        <v>በባርነት የተያዙ አፍሪካውያን ማንካላን ወደ አሜሪካ አመጡ፣ በዚያም በአካባቢው ጨዋታዎች እና ወጎች ላይ ተጽዕኖ አሳድሯል።</v>
      </c>
    </row>
    <row r="22" ht="22.5" customHeight="1">
      <c r="A22" s="3">
        <v>21.0</v>
      </c>
      <c r="B22" s="4" t="s">
        <v>2902</v>
      </c>
      <c r="C22" s="4" t="s">
        <v>2903</v>
      </c>
      <c r="D22" s="4" t="s">
        <v>2904</v>
      </c>
      <c r="E22" s="4" t="s">
        <v>2905</v>
      </c>
      <c r="G22" s="5" t="str">
        <f>IFERROR(__xludf.DUMMYFUNCTION(" GOOGLETRANSLATE(A22, ""en"", ""am"")"),"21")</f>
        <v>21</v>
      </c>
      <c r="H22" s="5" t="str">
        <f>IFERROR(__xludf.DUMMYFUNCTION(" GOOGLETRANSLATE(B22, ""en"", ""am"")"),"ጠረጴዛው ከየት እንደመጣ ይታመናል?")</f>
        <v>ጠረጴዛው ከየት እንደመጣ ይታመናል?</v>
      </c>
      <c r="I22" s="5" t="str">
        <f>IFERROR(__xludf.DUMMYFUNCTION(" GOOGLETRANSLATE(C22, ""en"", ""am"")"),"ኤ እስያ ቢ. ኤውሮጳ ሲ ደቡብ አሜሪካ ዲ. አፍሪካ")</f>
        <v>ኤ እስያ ቢ. ኤውሮጳ ሲ ደቡብ አሜሪካ ዲ. አፍሪካ</v>
      </c>
      <c r="J22" s="5" t="str">
        <f>IFERROR(__xludf.DUMMYFUNCTION(" GOOGLETRANSLATE(D22, ""en"", ""am"")"),"አፍሪካ")</f>
        <v>አፍሪካ</v>
      </c>
      <c r="K22" s="5" t="str">
        <f>IFERROR(__xludf.DUMMYFUNCTION(" GOOGLETRANSLATE(E22, ""en"", ""am"")"),"ጠረጴዛው ከአፍሪካ በተለይም ከኢትዮጵያ እና ከሌሎች የምስራቅ አፍሪካ ክልሎች የመነጨ እንደሆነ ይታመናል።")</f>
        <v>ጠረጴዛው ከአፍሪካ በተለይም ከኢትዮጵያ እና ከሌሎች የምስራቅ አፍሪካ ክልሎች የመነጨ እንደሆነ ይታመናል።</v>
      </c>
    </row>
    <row r="23" ht="22.5" customHeight="1">
      <c r="A23" s="3">
        <v>22.0</v>
      </c>
      <c r="B23" s="4" t="s">
        <v>2906</v>
      </c>
      <c r="C23" s="4" t="s">
        <v>2907</v>
      </c>
      <c r="D23" s="4" t="s">
        <v>2908</v>
      </c>
      <c r="E23" s="4" t="s">
        <v>2909</v>
      </c>
      <c r="G23" s="5" t="str">
        <f>IFERROR(__xludf.DUMMYFUNCTION(" GOOGLETRANSLATE(A23, ""en"", ""am"")"),"22")</f>
        <v>22</v>
      </c>
      <c r="H23" s="5" t="str">
        <f>IFERROR(__xludf.DUMMYFUNCTION(" GOOGLETRANSLATE(B23, ""en"", ""am"")"),"የማንካላ የመጀመሪያ አርኪኦሎጂ ማስረጃ ምንድነው?")</f>
        <v>የማንካላ የመጀመሪያ አርኪኦሎጂ ማስረጃ ምንድነው?</v>
      </c>
      <c r="I23" s="5" t="str">
        <f>IFERROR(__xludf.DUMMYFUNCTION(" GOOGLETRANSLATE(C23, ""en"", ""am"")"),"ሀ. በግሪክ ውስጥ የድንጋይ ጽሑፎች ለ. የእንጨት ሰሌዳዎች በቻይና ሐ. በሜሶጶጣሚያ ውስጥ የሸክላ ዕቃዎች መ. በጥንቷ ግብፅ የተቀረጹ ጽላቶች")</f>
        <v>ሀ. በግሪክ ውስጥ የድንጋይ ጽሑፎች ለ. የእንጨት ሰሌዳዎች በቻይና ሐ. በሜሶጶጣሚያ ውስጥ የሸክላ ዕቃዎች መ. በጥንቷ ግብፅ የተቀረጹ ጽላቶች</v>
      </c>
      <c r="J23" s="5" t="str">
        <f>IFERROR(__xludf.DUMMYFUNCTION(" GOOGLETRANSLATE(D23, ""en"", ""am"")"),"በጥንቷ ግብፅ ውስጥ የተቀረጹ ጽላቶች")</f>
        <v>በጥንቷ ግብፅ ውስጥ የተቀረጹ ጽላቶች</v>
      </c>
      <c r="K23" s="5" t="str">
        <f>IFERROR(__xludf.DUMMYFUNCTION(" GOOGLETRANSLATE(E23, ""en"", ""am"")"),"የተቀረጹ የማንካላ ሰሌዳዎች በጥንታዊ የግብፅ ቤተመቅደሶች ውስጥ ተገኝተዋል፣ ይህም ከ1400 ዓክልበ.")</f>
        <v>የተቀረጹ የማንካላ ሰሌዳዎች በጥንታዊ የግብፅ ቤተመቅደሶች ውስጥ ተገኝተዋል፣ ይህም ከ1400 ዓክልበ.</v>
      </c>
    </row>
    <row r="24" ht="22.5" customHeight="1">
      <c r="A24" s="3">
        <v>23.0</v>
      </c>
      <c r="B24" s="4" t="s">
        <v>2910</v>
      </c>
      <c r="C24" s="4" t="s">
        <v>2911</v>
      </c>
      <c r="D24" s="4" t="s">
        <v>2912</v>
      </c>
      <c r="E24" s="4" t="s">
        <v>2913</v>
      </c>
      <c r="G24" s="5" t="str">
        <f>IFERROR(__xludf.DUMMYFUNCTION(" GOOGLETRANSLATE(A24, ""en"", ""am"")"),"23")</f>
        <v>23</v>
      </c>
      <c r="H24" s="5" t="str">
        <f>IFERROR(__xludf.DUMMYFUNCTION(" GOOGLETRANSLATE(B24, ""en"", ""am"")"),"'ማንካላ' የሚለው ቃል በአረብኛ ምን ማለት ነው?")</f>
        <v>'ማንካላ' የሚለው ቃል በአረብኛ ምን ማለት ነው?</v>
      </c>
      <c r="I24" s="5" t="str">
        <f>IFERROR(__xludf.DUMMYFUNCTION(" GOOGLETRANSLATE(C24, ""en"", ""am"")"),"ሀ. ለመጫወት ለ ለመቁጠር. D ለመሰብሰብ. ለመንቀሳቀስ")</f>
        <v>ሀ. ለመጫወት ለ ለመቁጠር. D ለመሰብሰብ. ለመንቀሳቀስ</v>
      </c>
      <c r="J24" s="5" t="str">
        <f>IFERROR(__xludf.DUMMYFUNCTION(" GOOGLETRANSLATE(D24, ""en"", ""am"")"),"ለመንቀሳቀስ")</f>
        <v>ለመንቀሳቀስ</v>
      </c>
      <c r="K24" s="5" t="str">
        <f>IFERROR(__xludf.DUMMYFUNCTION(" GOOGLETRANSLATE(E24, ""en"", ""am"")"),"ማንካላ የሚለው ቃል የመጣው ከአረብኛ 'ናቃላ' ከሚለው ቃል ሲሆን ትርጉሙም 'መንቀሳቀስ' ማለት ነው።")</f>
        <v>ማንካላ የሚለው ቃል የመጣው ከአረብኛ 'ናቃላ' ከሚለው ቃል ሲሆን ትርጉሙም 'መንቀሳቀስ' ማለት ነው።</v>
      </c>
    </row>
    <row r="25" ht="22.5" customHeight="1">
      <c r="A25" s="3">
        <v>24.0</v>
      </c>
      <c r="B25" s="4" t="s">
        <v>2914</v>
      </c>
      <c r="C25" s="4" t="s">
        <v>2915</v>
      </c>
      <c r="D25" s="4" t="s">
        <v>2916</v>
      </c>
      <c r="E25" s="4" t="s">
        <v>2917</v>
      </c>
      <c r="G25" s="5" t="str">
        <f>IFERROR(__xludf.DUMMYFUNCTION(" GOOGLETRANSLATE(A25, ""en"", ""am"")"),"24")</f>
        <v>24</v>
      </c>
      <c r="H25" s="5" t="str">
        <f>IFERROR(__xludf.DUMMYFUNCTION(" GOOGLETRANSLATE(B25, ""en"", ""am"")"),"በቤተ መቅደሱ የድንጋይ ወለል ላይ በተቀረጹት የማንካላ ሰሌዳዎች ውስጥ የትኛው ጥንታዊ ባህል ይታወቃል?")</f>
        <v>በቤተ መቅደሱ የድንጋይ ወለል ላይ በተቀረጹት የማንካላ ሰሌዳዎች ውስጥ የትኛው ጥንታዊ ባህል ይታወቃል?</v>
      </c>
      <c r="I25" s="5" t="str">
        <f>IFERROR(__xludf.DUMMYFUNCTION(" GOOGLETRANSLATE(C25, ""en"", ""am"")"),"ሀ. ሮማውያን ቢ. ህንዶች ሐ. ግሪኮች ዲ. ግብፃውያን")</f>
        <v>ሀ. ሮማውያን ቢ. ህንዶች ሐ. ግሪኮች ዲ. ግብፃውያን</v>
      </c>
      <c r="J25" s="5" t="str">
        <f>IFERROR(__xludf.DUMMYFUNCTION(" GOOGLETRANSLATE(D25, ""en"", ""am"")"),"ግብፃውያን")</f>
        <v>ግብፃውያን</v>
      </c>
      <c r="K25" s="5" t="str">
        <f>IFERROR(__xludf.DUMMYFUNCTION(" GOOGLETRANSLATE(E25, ""en"", ""am"")"),"የጥንት ግብፃውያን የማንካላ ሰሌዳዎችን በቤተ መቅደሶቻቸው የድንጋይ ወለል ላይ ቀርጸው ነበር፣ ይህም ባህላዊ ጠቀሜታውን ያሳያል።")</f>
        <v>የጥንት ግብፃውያን የማንካላ ሰሌዳዎችን በቤተ መቅደሶቻቸው የድንጋይ ወለል ላይ ቀርጸው ነበር፣ ይህም ባህላዊ ጠቀሜታውን ያሳያል።</v>
      </c>
    </row>
    <row r="26" ht="22.5" customHeight="1">
      <c r="A26" s="3">
        <v>25.0</v>
      </c>
      <c r="B26" s="4" t="s">
        <v>2918</v>
      </c>
      <c r="C26" s="4" t="s">
        <v>2919</v>
      </c>
      <c r="D26" s="4" t="s">
        <v>2920</v>
      </c>
      <c r="E26" s="4" t="s">
        <v>2921</v>
      </c>
      <c r="G26" s="5" t="str">
        <f>IFERROR(__xludf.DUMMYFUNCTION(" GOOGLETRANSLATE(A26, ""en"", ""am"")"),"25")</f>
        <v>25</v>
      </c>
      <c r="H26" s="5" t="str">
        <f>IFERROR(__xludf.DUMMYFUNCTION(" GOOGLETRANSLATE(B26, ""en"", ""am"")"),"የማንካላ ጨዋታ በየትኛው ክፍለ ዘመን ወደ መካከለኛው ምስራቅ ተስፋፋ?")</f>
        <v>የማንካላ ጨዋታ በየትኛው ክፍለ ዘመን ወደ መካከለኛው ምስራቅ ተስፋፋ?</v>
      </c>
      <c r="I26" s="5" t="str">
        <f>IFERROR(__xludf.DUMMYFUNCTION(" GOOGLETRANSLATE(C26, ""en"", ""am"")"),"ኣብ መበል 8ይ ክፍለ ዘመን ብ 10 ኛው ክፍለ ዘመን ዓ.ም")</f>
        <v>ኣብ መበል 8ይ ክፍለ ዘመን ብ 10 ኛው ክፍለ ዘመን ዓ.ም</v>
      </c>
      <c r="J26" s="5" t="str">
        <f>IFERROR(__xludf.DUMMYFUNCTION(" GOOGLETRANSLATE(D26, ""en"", ""am"")"),"8ኛው ክፍለ ዘመን")</f>
        <v>8ኛው ክፍለ ዘመን</v>
      </c>
      <c r="K26" s="5" t="str">
        <f>IFERROR(__xludf.DUMMYFUNCTION(" GOOGLETRANSLATE(E26, ""en"", ""am"")"),"የማንካላ ጨዋታዎች በ 8 ኛው ክፍለ ዘመን በንግድ መስመሮች ወደ መካከለኛው ምስራቅ ተሰራጭተዋል.")</f>
        <v>የማንካላ ጨዋታዎች በ 8 ኛው ክፍለ ዘመን በንግድ መስመሮች ወደ መካከለኛው ምስራቅ ተሰራጭተዋል.</v>
      </c>
    </row>
    <row r="27" ht="22.5" customHeight="1">
      <c r="A27" s="3">
        <v>26.0</v>
      </c>
      <c r="B27" s="4" t="s">
        <v>2922</v>
      </c>
      <c r="C27" s="4" t="s">
        <v>2923</v>
      </c>
      <c r="D27" s="4" t="s">
        <v>1452</v>
      </c>
      <c r="E27" s="4" t="s">
        <v>2924</v>
      </c>
      <c r="G27" s="5" t="str">
        <f>IFERROR(__xludf.DUMMYFUNCTION(" GOOGLETRANSLATE(A27, ""en"", ""am"")"),"26")</f>
        <v>26</v>
      </c>
      <c r="H27" s="5" t="str">
        <f>IFERROR(__xludf.DUMMYFUNCTION(" GOOGLETRANSLATE(B27, ""en"", ""am"")"),"ከካርታው አመጣጥ ጋር በቅርብ የተቆራኘው የትኛው የአፍሪካ ጎሳ ነው?")</f>
        <v>ከካርታው አመጣጥ ጋር በቅርብ የተቆራኘው የትኛው የአፍሪካ ጎሳ ነው?</v>
      </c>
      <c r="I27" s="5" t="str">
        <f>IFERROR(__xludf.DUMMYFUNCTION(" GOOGLETRANSLATE(C27, ""en"", ""am"")"),"A. Zulu B. Berber C. Swahili D. Oromo")</f>
        <v>A. Zulu B. Berber C. Swahili D. Oromo</v>
      </c>
      <c r="J27" s="5" t="str">
        <f>IFERROR(__xludf.DUMMYFUNCTION(" GOOGLETRANSLATE(D27, ""en"", ""am"")"),"ኦሮሞ")</f>
        <v>ኦሮሞ</v>
      </c>
      <c r="K27" s="5" t="str">
        <f>IFERROR(__xludf.DUMMYFUNCTION(" GOOGLETRANSLATE(E27, ""en"", ""am"")"),"የምስራቅ አፍሪካ የኦሮሞ ህዝብ ከገበታ መገኛ ጋር ጥብቅ ትስስር አለው።")</f>
        <v>የምስራቅ አፍሪካ የኦሮሞ ህዝብ ከገበታ መገኛ ጋር ጥብቅ ትስስር አለው።</v>
      </c>
    </row>
    <row r="28" ht="22.5" customHeight="1">
      <c r="A28" s="3">
        <v>27.0</v>
      </c>
      <c r="B28" s="4" t="s">
        <v>2925</v>
      </c>
      <c r="C28" s="4" t="s">
        <v>2926</v>
      </c>
      <c r="D28" s="4" t="s">
        <v>2927</v>
      </c>
      <c r="E28" s="4" t="s">
        <v>2928</v>
      </c>
      <c r="G28" s="5" t="str">
        <f>IFERROR(__xludf.DUMMYFUNCTION(" GOOGLETRANSLATE(A28, ""en"", ""am"")"),"27")</f>
        <v>27</v>
      </c>
      <c r="H28" s="5" t="str">
        <f>IFERROR(__xludf.DUMMYFUNCTION(" GOOGLETRANSLATE(B28, ""en"", ""am"")"),"ሰንጠረዡ ከበዓላት ጋር ተቆራኝቶ ወደ ማህበራዊ እንቅስቃሴ ሲቀየር የትኛው ክልል ነው?")</f>
        <v>ሰንጠረዡ ከበዓላት ጋር ተቆራኝቶ ወደ ማህበራዊ እንቅስቃሴ ሲቀየር የትኛው ክልል ነው?</v>
      </c>
      <c r="I28" s="5" t="str">
        <f>IFERROR(__xludf.DUMMYFUNCTION(" GOOGLETRANSLATE(C28, ""en"", ""am"")"),"ሀ.ምስራቅ አፍሪካ ለ.ደቡብ አፍሪካ ሐ.ሰሜን አፍሪካ መ.ምስራቅ አፍሪካ")</f>
        <v>ሀ.ምስራቅ አፍሪካ ለ.ደቡብ አፍሪካ ሐ.ሰሜን አፍሪካ መ.ምስራቅ አፍሪካ</v>
      </c>
      <c r="J28" s="5" t="str">
        <f>IFERROR(__xludf.DUMMYFUNCTION(" GOOGLETRANSLATE(D28, ""en"", ""am"")"),"ምስራቅ አፍሪካ")</f>
        <v>ምስራቅ አፍሪካ</v>
      </c>
      <c r="K28" s="5" t="str">
        <f>IFERROR(__xludf.DUMMYFUNCTION(" GOOGLETRANSLATE(E28, ""en"", ""am"")"),"በምስራቅ አፍሪካ በፌስቲቫሎች እና በማህበረሰብ ስብሰባዎች ላይ ወደሚጫወት ጨዋታነት ተለወጠ።")</f>
        <v>በምስራቅ አፍሪካ በፌስቲቫሎች እና በማህበረሰብ ስብሰባዎች ላይ ወደሚጫወት ጨዋታነት ተለወጠ።</v>
      </c>
    </row>
    <row r="29" ht="22.5" customHeight="1">
      <c r="A29" s="3">
        <v>28.0</v>
      </c>
      <c r="B29" s="4" t="s">
        <v>2929</v>
      </c>
      <c r="C29" s="4" t="s">
        <v>2930</v>
      </c>
      <c r="D29" s="4" t="s">
        <v>2931</v>
      </c>
      <c r="E29" s="4" t="s">
        <v>2932</v>
      </c>
      <c r="G29" s="5" t="str">
        <f>IFERROR(__xludf.DUMMYFUNCTION(" GOOGLETRANSLATE(A29, ""en"", ""am"")"),"28")</f>
        <v>28</v>
      </c>
      <c r="H29" s="5" t="str">
        <f>IFERROR(__xludf.DUMMYFUNCTION(" GOOGLETRANSLATE(B29, ""en"", ""am"")"),"ማንካላ በጥንታዊ አፍሪካዊ ማህበረሰቦች ውስጥ ምን ሚና ተጫውቷል?")</f>
        <v>ማንካላ በጥንታዊ አፍሪካዊ ማህበረሰቦች ውስጥ ምን ሚና ተጫውቷል?</v>
      </c>
      <c r="I29" s="5" t="str">
        <f>IFERROR(__xludf.DUMMYFUNCTION(" GOOGLETRANSLATE(C29, ""en"", ""am"")"),"ሀ. ዲፕሎማሲ ማስተዋወቅ ለ. ሃይማኖታዊ ሥርዓቶች ሐ. የሕፃናት ትምህርት መ. ዲፕሎማሲ ማሳደግ")</f>
        <v>ሀ. ዲፕሎማሲ ማስተዋወቅ ለ. ሃይማኖታዊ ሥርዓቶች ሐ. የሕፃናት ትምህርት መ. ዲፕሎማሲ ማሳደግ</v>
      </c>
      <c r="J29" s="5" t="str">
        <f>IFERROR(__xludf.DUMMYFUNCTION(" GOOGLETRANSLATE(D29, ""en"", ""am"")"),"ዲፕሎማሲ ማስተዋወቅ")</f>
        <v>ዲፕሎማሲ ማስተዋወቅ</v>
      </c>
      <c r="K29" s="5" t="str">
        <f>IFERROR(__xludf.DUMMYFUNCTION(" GOOGLETRANSLATE(E29, ""en"", ""am"")"),"ማንካላ በጎሳዎች መካከል አለመግባባቶችን ለመፍታት ብዙውን ጊዜ እንደ ዲፕሎማሲያዊ መሣሪያ ይጠቀም ነበር።")</f>
        <v>ማንካላ በጎሳዎች መካከል አለመግባባቶችን ለመፍታት ብዙውን ጊዜ እንደ ዲፕሎማሲያዊ መሣሪያ ይጠቀም ነበር።</v>
      </c>
    </row>
    <row r="30" ht="22.5" customHeight="1">
      <c r="A30" s="3">
        <v>29.0</v>
      </c>
      <c r="B30" s="4" t="s">
        <v>2933</v>
      </c>
      <c r="C30" s="4" t="s">
        <v>2934</v>
      </c>
      <c r="D30" s="4" t="s">
        <v>2935</v>
      </c>
      <c r="E30" s="4" t="s">
        <v>2936</v>
      </c>
      <c r="G30" s="5" t="str">
        <f>IFERROR(__xludf.DUMMYFUNCTION(" GOOGLETRANSLATE(A30, ""en"", ""am"")"),"29")</f>
        <v>29</v>
      </c>
      <c r="H30" s="5" t="str">
        <f>IFERROR(__xludf.DUMMYFUNCTION(" GOOGLETRANSLATE(B30, ""en"", ""am"")"),"የመጀመሪያዎቹ የማንካላ ሰሌዳዎች የተሠሩት ከየትኛው ቁሳቁስ ነው?")</f>
        <v>የመጀመሪያዎቹ የማንካላ ሰሌዳዎች የተሠሩት ከየትኛው ቁሳቁስ ነው?</v>
      </c>
      <c r="I30" s="5" t="str">
        <f>IFERROR(__xludf.DUMMYFUNCTION(" GOOGLETRANSLATE(C30, ""en"", ""am"")"),"ኤ እንጨት ቢ. ብረት ሲ. ክሌይ ዲ ድንጋይ")</f>
        <v>ኤ እንጨት ቢ. ብረት ሲ. ክሌይ ዲ ድንጋይ</v>
      </c>
      <c r="J30" s="5" t="str">
        <f>IFERROR(__xludf.DUMMYFUNCTION(" GOOGLETRANSLATE(D30, ""en"", ""am"")"),"ድንጋይ")</f>
        <v>ድንጋይ</v>
      </c>
      <c r="K30" s="5" t="str">
        <f>IFERROR(__xludf.DUMMYFUNCTION(" GOOGLETRANSLATE(E30, ""en"", ""am"")"),"የመጀመሪያው የማንካላ ሰሌዳዎች ከድንጋይ የተቀረጹ ናቸው, በተለይም በጥንታዊ አፍሪካ እና መካከለኛው ምስራቅ ባህሎች.")</f>
        <v>የመጀመሪያው የማንካላ ሰሌዳዎች ከድንጋይ የተቀረጹ ናቸው, በተለይም በጥንታዊ አፍሪካ እና መካከለኛው ምስራቅ ባህሎች.</v>
      </c>
    </row>
    <row r="31" ht="22.5" customHeight="1">
      <c r="A31" s="3">
        <v>30.0</v>
      </c>
      <c r="B31" s="4" t="s">
        <v>2937</v>
      </c>
      <c r="C31" s="4" t="s">
        <v>2938</v>
      </c>
      <c r="D31" s="4" t="s">
        <v>2939</v>
      </c>
      <c r="E31" s="4" t="s">
        <v>2940</v>
      </c>
      <c r="G31" s="5" t="str">
        <f>IFERROR(__xludf.DUMMYFUNCTION(" GOOGLETRANSLATE(A31, ""en"", ""am"")"),"30")</f>
        <v>30</v>
      </c>
      <c r="H31" s="5" t="str">
        <f>IFERROR(__xludf.DUMMYFUNCTION(" GOOGLETRANSLATE(B31, ""en"", ""am"")"),"በጥንቷ ግብፅ ማንካላ የመጫወት ዓላማ ምን ነበር?")</f>
        <v>በጥንቷ ግብፅ ማንካላ የመጫወት ዓላማ ምን ነበር?</v>
      </c>
      <c r="I31" s="5" t="str">
        <f>IFERROR(__xludf.DUMMYFUNCTION(" GOOGLETRANSLATE(C31, ""en"", ""am"")"),"ሀ. መዝናኛ ለ. የንግድ ድርድሮች ሐ. ልጆችን ማስተማር D. ሃይማኖታዊ ሥነ ሥርዓቶች")</f>
        <v>ሀ. መዝናኛ ለ. የንግድ ድርድሮች ሐ. ልጆችን ማስተማር D. ሃይማኖታዊ ሥነ ሥርዓቶች</v>
      </c>
      <c r="J31" s="5" t="str">
        <f>IFERROR(__xludf.DUMMYFUNCTION(" GOOGLETRANSLATE(D31, ""en"", ""am"")"),"ሃይማኖታዊ ሥርዓቶች")</f>
        <v>ሃይማኖታዊ ሥርዓቶች</v>
      </c>
      <c r="K31" s="5" t="str">
        <f>IFERROR(__xludf.DUMMYFUNCTION(" GOOGLETRANSLATE(E31, ""en"", ""am"")"),"ማንካላ በጥንቷ ግብፅ ውስጥ እንደ ሃይማኖታዊ ሥርዓቶች እና ማህበራዊ ትስስር አካል ይጫወት ነበር።")</f>
        <v>ማንካላ በጥንቷ ግብፅ ውስጥ እንደ ሃይማኖታዊ ሥርዓቶች እና ማህበራዊ ትስስር አካል ይጫወት ነበር።</v>
      </c>
    </row>
    <row r="32" ht="22.5" customHeight="1">
      <c r="A32" s="3">
        <v>31.0</v>
      </c>
      <c r="B32" s="4" t="s">
        <v>2941</v>
      </c>
      <c r="C32" s="4" t="s">
        <v>2942</v>
      </c>
      <c r="D32" s="4" t="s">
        <v>2943</v>
      </c>
      <c r="E32" s="4" t="s">
        <v>2944</v>
      </c>
      <c r="G32" s="5" t="str">
        <f>IFERROR(__xludf.DUMMYFUNCTION(" GOOGLETRANSLATE(A32, ""en"", ""am"")"),"31")</f>
        <v>31</v>
      </c>
      <c r="H32" s="5" t="str">
        <f>IFERROR(__xludf.DUMMYFUNCTION(" GOOGLETRANSLATE(B32, ""en"", ""am"")"),"ማንካላን ወደ ካሪቢያን አካባቢ ለማምጣት የረዳው የትኛው የቅኝ ገዥ ኃይል ነው?")</f>
        <v>ማንካላን ወደ ካሪቢያን አካባቢ ለማምጣት የረዳው የትኛው የቅኝ ገዥ ኃይል ነው?</v>
      </c>
      <c r="I32" s="5" t="str">
        <f>IFERROR(__xludf.DUMMYFUNCTION(" GOOGLETRANSLATE(C32, ""en"", ""am"")"),"ሀ. ደች ቢ. ፈረንሣይኛ ሐ. ፖርቱጋልኛ ዲ. ደች")</f>
        <v>ሀ. ደች ቢ. ፈረንሣይኛ ሐ. ፖርቱጋልኛ ዲ. ደች</v>
      </c>
      <c r="J32" s="5" t="str">
        <f>IFERROR(__xludf.DUMMYFUNCTION(" GOOGLETRANSLATE(D32, ""en"", ""am"")"),"ደች")</f>
        <v>ደች</v>
      </c>
      <c r="K32" s="5" t="str">
        <f>IFERROR(__xludf.DUMMYFUNCTION(" GOOGLETRANSLATE(E32, ""en"", ""am"")"),"ደች በቅኝ ግዛት ዘመን ማንካላ ወደ ካሪቢያን አካባቢ እንዲስፋፋ ረድተዋል።")</f>
        <v>ደች በቅኝ ግዛት ዘመን ማንካላ ወደ ካሪቢያን አካባቢ እንዲስፋፋ ረድተዋል።</v>
      </c>
    </row>
    <row r="33" ht="22.5" customHeight="1">
      <c r="A33" s="3">
        <v>32.0</v>
      </c>
      <c r="B33" s="4" t="s">
        <v>2945</v>
      </c>
      <c r="C33" s="4" t="s">
        <v>2946</v>
      </c>
      <c r="D33" s="4" t="s">
        <v>2947</v>
      </c>
      <c r="E33" s="4" t="s">
        <v>2948</v>
      </c>
      <c r="G33" s="5" t="str">
        <f>IFERROR(__xludf.DUMMYFUNCTION(" GOOGLETRANSLATE(A33, ""en"", ""am"")"),"32")</f>
        <v>32</v>
      </c>
      <c r="H33" s="5" t="str">
        <f>IFERROR(__xludf.DUMMYFUNCTION(" GOOGLETRANSLATE(B33, ""en"", ""am"")"),"በፊሊፒንስ የሚታወቀው ገበታ ስም ማን ይባላል?")</f>
        <v>በፊሊፒንስ የሚታወቀው ገበታ ስም ማን ይባላል?</v>
      </c>
      <c r="I33" s="5" t="str">
        <f>IFERROR(__xludf.DUMMYFUNCTION(" GOOGLETRANSLATE(C33, ""en"", ""am"")"),"ኤ. ኮኛክ ቢ ዋሪ ሲ ኦዋሬ ዲ ሱንግካ")</f>
        <v>ኤ. ኮኛክ ቢ ዋሪ ሲ ኦዋሬ ዲ ሱንግካ</v>
      </c>
      <c r="J33" s="5" t="str">
        <f>IFERROR(__xludf.DUMMYFUNCTION(" GOOGLETRANSLATE(D33, ""en"", ""am"")"),"ሱንግካ")</f>
        <v>ሱንግካ</v>
      </c>
      <c r="K33" s="5" t="str">
        <f>IFERROR(__xludf.DUMMYFUNCTION(" GOOGLETRANSLATE(E33, ""en"", ""am"")"),"ባክጋሞን በፊሊፒንስ 'Sungka' በመባል ይታወቃል እና ታዋቂ ባህላዊ ጨዋታ ነው።")</f>
        <v>ባክጋሞን በፊሊፒንስ 'Sungka' በመባል ይታወቃል እና ታዋቂ ባህላዊ ጨዋታ ነው።</v>
      </c>
    </row>
    <row r="34" ht="22.5" customHeight="1">
      <c r="A34" s="3">
        <v>33.0</v>
      </c>
      <c r="B34" s="4" t="s">
        <v>2949</v>
      </c>
      <c r="C34" s="4" t="s">
        <v>2950</v>
      </c>
      <c r="D34" s="4" t="s">
        <v>2951</v>
      </c>
      <c r="E34" s="4" t="s">
        <v>2952</v>
      </c>
      <c r="G34" s="5" t="str">
        <f>IFERROR(__xludf.DUMMYFUNCTION(" GOOGLETRANSLATE(A34, ""en"", ""am"")"),"33")</f>
        <v>33</v>
      </c>
      <c r="H34" s="5" t="str">
        <f>IFERROR(__xludf.DUMMYFUNCTION(" GOOGLETRANSLATE(B34, ""en"", ""am"")"),"ለማንካላ መስፋፋት ትልቅ ሚና የተጫወተው የትኛው ጥንታዊ የንግድ መስመር ነው?")</f>
        <v>ለማንካላ መስፋፋት ትልቅ ሚና የተጫወተው የትኛው ጥንታዊ የንግድ መስመር ነው?</v>
      </c>
      <c r="I34" s="5" t="str">
        <f>IFERROR(__xludf.DUMMYFUNCTION(" GOOGLETRANSLATE(C34, ""en"", ""am"")"),"ሀ. ትራንስ-ሰሃራን የንግድ መስመር ለ. የቅመም መስመር ሐ. የእጣን መንገድ D. ትራንስ-ሰሃራን የንግድ መስመር")</f>
        <v>ሀ. ትራንስ-ሰሃራን የንግድ መስመር ለ. የቅመም መስመር ሐ. የእጣን መንገድ D. ትራንስ-ሰሃራን የንግድ መስመር</v>
      </c>
      <c r="J34" s="5" t="str">
        <f>IFERROR(__xludf.DUMMYFUNCTION(" GOOGLETRANSLATE(D34, ""en"", ""am"")"),"ከሰሃራ ተሻጋሪ የንግድ መስመር")</f>
        <v>ከሰሃራ ተሻጋሪ የንግድ መስመር</v>
      </c>
      <c r="K34" s="5" t="str">
        <f>IFERROR(__xludf.DUMMYFUNCTION(" GOOGLETRANSLATE(E34, ""en"", ""am"")"),"ከሰሃራ በላይ ያለው የንግድ መስመር ማንካላ በአፍሪካ እና በመካከለኛው ምስራቅ እንዲስፋፋ ቁልፍ ነበር።")</f>
        <v>ከሰሃራ በላይ ያለው የንግድ መስመር ማንካላ በአፍሪካ እና በመካከለኛው ምስራቅ እንዲስፋፋ ቁልፍ ነበር።</v>
      </c>
    </row>
    <row r="35" ht="22.5" customHeight="1">
      <c r="A35" s="3">
        <v>34.0</v>
      </c>
      <c r="B35" s="4" t="s">
        <v>2953</v>
      </c>
      <c r="C35" s="4" t="s">
        <v>2954</v>
      </c>
      <c r="D35" s="4" t="s">
        <v>2955</v>
      </c>
      <c r="E35" s="4" t="s">
        <v>2956</v>
      </c>
      <c r="G35" s="5" t="str">
        <f>IFERROR(__xludf.DUMMYFUNCTION(" GOOGLETRANSLATE(A35, ""en"", ""am"")"),"34")</f>
        <v>34</v>
      </c>
      <c r="H35" s="5" t="str">
        <f>IFERROR(__xludf.DUMMYFUNCTION(" GOOGLETRANSLATE(B35, ""en"", ""am"")"),"የማንካላን የባህል ታሪክ በመመዝገብ የሚታወቀው የ20ኛው ክፍለ ዘመን ምሁር የትኛው ነው?")</f>
        <v>የማንካላን የባህል ታሪክ በመመዝገብ የሚታወቀው የ20ኛው ክፍለ ዘመን ምሁር የትኛው ነው?</v>
      </c>
      <c r="I35" s="5" t="str">
        <f>IFERROR(__xludf.DUMMYFUNCTION(" GOOGLETRANSLATE(C35, ""en"", ""am"")"),"ኤ. ኢ ኢቫንስ-ፕሪቻርድ ቢ. ክላውድ ሌዊ-ስትራውስ ሲ. ዊልያም ባስኮም ዲ.አር.ሲ. ደወል")</f>
        <v>ኤ. ኢ ኢቫንስ-ፕሪቻርድ ቢ. ክላውድ ሌዊ-ስትራውስ ሲ. ዊልያም ባስኮም ዲ.አር.ሲ. ደወል</v>
      </c>
      <c r="J35" s="5" t="str">
        <f>IFERROR(__xludf.DUMMYFUNCTION(" GOOGLETRANSLATE(D35, ""en"", ""am"")"),"አር.ሲ. ደወል")</f>
        <v>አር.ሲ. ደወል</v>
      </c>
      <c r="K35" s="5" t="str">
        <f>IFERROR(__xludf.DUMMYFUNCTION(" GOOGLETRANSLATE(E35, ""en"", ""am"")"),"አር ሲ ቤል የማንካላ ጨዋታን ባህላዊ ታሪክ በሰፊው ዘግቧል።")</f>
        <v>አር ሲ ቤል የማንካላ ጨዋታን ባህላዊ ታሪክ በሰፊው ዘግቧል።</v>
      </c>
    </row>
    <row r="36" ht="22.5" customHeight="1">
      <c r="A36" s="3">
        <v>35.0</v>
      </c>
      <c r="B36" s="4" t="s">
        <v>2957</v>
      </c>
      <c r="C36" s="4" t="s">
        <v>2958</v>
      </c>
      <c r="D36" s="4" t="s">
        <v>2959</v>
      </c>
      <c r="E36" s="4" t="s">
        <v>2960</v>
      </c>
      <c r="G36" s="5" t="str">
        <f>IFERROR(__xludf.DUMMYFUNCTION(" GOOGLETRANSLATE(A36, ""en"", ""am"")"),"35")</f>
        <v>35</v>
      </c>
      <c r="H36" s="5" t="str">
        <f>IFERROR(__xludf.DUMMYFUNCTION(" GOOGLETRANSLATE(B36, ""en"", ""am"")"),"በአብዛኛዎቹ የማንካላ ጨዋታዎች ቀዳሚ ግብ ምንድነው?")</f>
        <v>በአብዛኛዎቹ የማንካላ ጨዋታዎች ቀዳሚ ግብ ምንድነው?</v>
      </c>
      <c r="I36" s="5" t="str">
        <f>IFERROR(__xludf.DUMMYFUNCTION(" GOOGLETRANSLATE(C36, ""en"", ""am"")"),"ሀ. ተቃዋሚዎችን ለማገድ ለ. መጨረሻው ለመድረስ ሐ. ሰሌዳውን ለማጽዳት መ. ብዙ ዘሮችን ለመሰብሰብ")</f>
        <v>ሀ. ተቃዋሚዎችን ለማገድ ለ. መጨረሻው ለመድረስ ሐ. ሰሌዳውን ለማጽዳት መ. ብዙ ዘሮችን ለመሰብሰብ</v>
      </c>
      <c r="J36" s="5" t="str">
        <f>IFERROR(__xludf.DUMMYFUNCTION(" GOOGLETRANSLATE(D36, ""en"", ""am"")"),"ብዙ ዘሮችን ለመሰብሰብ")</f>
        <v>ብዙ ዘሮችን ለመሰብሰብ</v>
      </c>
      <c r="K36" s="5" t="str">
        <f>IFERROR(__xludf.DUMMYFUNCTION(" GOOGLETRANSLATE(E36, ""en"", ""am"")"),"ዋናው ግብ በመጋዘንዎ ውስጥ በተቻለ መጠን ብዙ ዘሮችን ወይም ድንጋዮችን መሰብሰብ ነው.")</f>
        <v>ዋናው ግብ በመጋዘንዎ ውስጥ በተቻለ መጠን ብዙ ዘሮችን ወይም ድንጋዮችን መሰብሰብ ነው.</v>
      </c>
    </row>
    <row r="37" ht="22.5" customHeight="1">
      <c r="A37" s="3">
        <v>36.0</v>
      </c>
      <c r="B37" s="4" t="s">
        <v>2961</v>
      </c>
      <c r="C37" s="4" t="s">
        <v>2962</v>
      </c>
      <c r="D37" s="4" t="s">
        <v>2963</v>
      </c>
      <c r="E37" s="4" t="s">
        <v>2964</v>
      </c>
      <c r="G37" s="5" t="str">
        <f>IFERROR(__xludf.DUMMYFUNCTION(" GOOGLETRANSLATE(A37, ""en"", ""am"")"),"36")</f>
        <v>36</v>
      </c>
      <c r="H37" s="5" t="str">
        <f>IFERROR(__xludf.DUMMYFUNCTION(" GOOGLETRANSLATE(B37, ""en"", ""am"")"),"በኢንዶኔዥያ ውስጥ የሚጫወተው የማንካላ ልዩነት የትኛው ነው?")</f>
        <v>በኢንዶኔዥያ ውስጥ የሚጫወተው የማንካላ ልዩነት የትኛው ነው?</v>
      </c>
      <c r="I37" s="5" t="str">
        <f>IFERROR(__xludf.DUMMYFUNCTION(" GOOGLETRANSLATE(C37, ""en"", ""am"")"),"ኤ ሱንግካ ቢ ባኦ ሲ ዋሪ ዲ. ኮኛክ")</f>
        <v>ኤ ሱንግካ ቢ ባኦ ሲ ዋሪ ዲ. ኮኛክ</v>
      </c>
      <c r="J37" s="5" t="str">
        <f>IFERROR(__xludf.DUMMYFUNCTION(" GOOGLETRANSLATE(D37, ""en"", ""am"")"),"ኮኛክ")</f>
        <v>ኮኛክ</v>
      </c>
      <c r="K37" s="5" t="str">
        <f>IFERROR(__xludf.DUMMYFUNCTION(" GOOGLETRANSLATE(E37, ""en"", ""am"")"),"ኮንግካክ በኢንዶኔዥያ እና በማሌዥያ ውስጥ የሚጫወተው ታዋቂ የማንካላ ልዩነት ነው።")</f>
        <v>ኮንግካክ በኢንዶኔዥያ እና በማሌዥያ ውስጥ የሚጫወተው ታዋቂ የማንካላ ልዩነት ነው።</v>
      </c>
    </row>
    <row r="38" ht="22.5" customHeight="1">
      <c r="A38" s="3">
        <v>37.0</v>
      </c>
      <c r="B38" s="4" t="s">
        <v>2965</v>
      </c>
      <c r="C38" s="4" t="s">
        <v>2981</v>
      </c>
      <c r="D38" s="4" t="s">
        <v>2967</v>
      </c>
      <c r="E38" s="4" t="s">
        <v>2968</v>
      </c>
      <c r="G38" s="5" t="str">
        <f>IFERROR(__xludf.DUMMYFUNCTION(" GOOGLETRANSLATE(A38, ""en"", ""am"")"),"37")</f>
        <v>37</v>
      </c>
      <c r="H38" s="5" t="str">
        <f>IFERROR(__xludf.DUMMYFUNCTION(" GOOGLETRANSLATE(B38, ""en"", ""am"")"),"የትኛው የአርኪኦሎጂ ጣቢያ በጣም ጥንታዊ ከሆኑት የማንካላ ሰሌዳዎች መካከል አንዱን አሳይቷል?")</f>
        <v>የትኛው የአርኪኦሎጂ ጣቢያ በጣም ጥንታዊ ከሆኑት የማንካላ ሰሌዳዎች መካከል አንዱን አሳይቷል?</v>
      </c>
      <c r="I38" s="5" t="str">
        <f>IFERROR(__xludf.DUMMYFUNCTION(" GOOGLETRANSLATE(C38, ""en"", ""am"")"),"አ. ሞሄንጆ ዳሮ፣ ፓኪስታን ቢ. ኖሶስ፣ ቀርጤስ ሐቱሳ፣ ቱርክ ዲ ቁርና፣ ግብፅ")</f>
        <v>አ. ሞሄንጆ ዳሮ፣ ፓኪስታን ቢ. ኖሶስ፣ ቀርጤስ ሐቱሳ፣ ቱርክ ዲ ቁርና፣ ግብፅ</v>
      </c>
      <c r="J38" s="5" t="str">
        <f>IFERROR(__xludf.DUMMYFUNCTION(" GOOGLETRANSLATE(D38, ""en"", ""am"")"),"ቁርና፣ ግብፅ")</f>
        <v>ቁርና፣ ግብፅ</v>
      </c>
      <c r="K38" s="5" t="str">
        <f>IFERROR(__xludf.DUMMYFUNCTION(" GOOGLETRANSLATE(E38, ""en"", ""am"")"),"ከመጀመሪያዎቹ የማንካላ ሰሌዳዎች አንዱ በጥንቷ ግብፅ ተገኝቷል።")</f>
        <v>ከመጀመሪያዎቹ የማንካላ ሰሌዳዎች አንዱ በጥንቷ ግብፅ ተገኝቷል።</v>
      </c>
    </row>
    <row r="39" ht="22.5" customHeight="1">
      <c r="A39" s="3">
        <v>38.0</v>
      </c>
      <c r="B39" s="4" t="s">
        <v>2969</v>
      </c>
      <c r="C39" s="4" t="s">
        <v>2970</v>
      </c>
      <c r="D39" s="4" t="s">
        <v>2971</v>
      </c>
      <c r="E39" s="4" t="s">
        <v>2972</v>
      </c>
      <c r="G39" s="5" t="str">
        <f>IFERROR(__xludf.DUMMYFUNCTION(" GOOGLETRANSLATE(A39, ""en"", ""am"")"),"38")</f>
        <v>38</v>
      </c>
      <c r="H39" s="5" t="str">
        <f>IFERROR(__xludf.DUMMYFUNCTION(" GOOGLETRANSLATE(B39, ""en"", ""am"")"),"ማንካላ የኢትዮጵያ ስም ማን ይባላል?")</f>
        <v>ማንካላ የኢትዮጵያ ስም ማን ይባላል?</v>
      </c>
      <c r="I39" s="5" t="str">
        <f>IFERROR(__xludf.DUMMYFUNCTION(" GOOGLETRANSLATE(C39, ""en"", ""am"")"),"A. Bao B. Oware C. Ayo D. ገበታ")</f>
        <v>A. Bao B. Oware C. Ayo D. ገበታ</v>
      </c>
      <c r="J39" s="5" t="str">
        <f>IFERROR(__xludf.DUMMYFUNCTION(" GOOGLETRANSLATE(D39, ""en"", ""am"")"),"ገበታ")</f>
        <v>ገበታ</v>
      </c>
      <c r="K39" s="5" t="str">
        <f>IFERROR(__xludf.DUMMYFUNCTION(" GOOGLETRANSLATE(E39, ""en"", ""am"")"),"የኢትዮጵያ መጠሪያ ማንካላ 'ገበታ' ሲሆን በክልሉ በስፋት ይነገራል።")</f>
        <v>የኢትዮጵያ መጠሪያ ማንካላ 'ገበታ' ሲሆን በክልሉ በስፋት ይነገራል።</v>
      </c>
    </row>
    <row r="40" ht="22.5" customHeight="1">
      <c r="A40" s="3">
        <v>39.0</v>
      </c>
      <c r="B40" s="4" t="s">
        <v>2973</v>
      </c>
      <c r="C40" s="4" t="s">
        <v>2974</v>
      </c>
      <c r="D40" s="4" t="s">
        <v>2975</v>
      </c>
      <c r="E40" s="4" t="s">
        <v>2976</v>
      </c>
      <c r="G40" s="5" t="str">
        <f>IFERROR(__xludf.DUMMYFUNCTION(" GOOGLETRANSLATE(A40, ""en"", ""am"")"),"39")</f>
        <v>39</v>
      </c>
      <c r="H40" s="5" t="str">
        <f>IFERROR(__xludf.DUMMYFUNCTION(" GOOGLETRANSLATE(B40, ""en"", ""am"")"),"የጋና ብሔራዊ ጨዋታ ተደርጎ የሚወሰደው የማንካላ ልዩነት የትኛው ነው?")</f>
        <v>የጋና ብሔራዊ ጨዋታ ተደርጎ የሚወሰደው የማንካላ ልዩነት የትኛው ነው?</v>
      </c>
      <c r="I40" s="5" t="str">
        <f>IFERROR(__xludf.DUMMYFUNCTION(" GOOGLETRANSLATE(C40, ""en"", ""am"")"),"A. Bao B. ገበታ C. Sungka D. Oware")</f>
        <v>A. Bao B. ገበታ C. Sungka D. Oware</v>
      </c>
      <c r="J40" s="5" t="str">
        <f>IFERROR(__xludf.DUMMYFUNCTION(" GOOGLETRANSLATE(D40, ""en"", ""am"")"),"ኦዋሬ")</f>
        <v>ኦዋሬ</v>
      </c>
      <c r="K40" s="5" t="str">
        <f>IFERROR(__xludf.DUMMYFUNCTION(" GOOGLETRANSLATE(E40, ""en"", ""am"")"),"ኦዋሬ የጋና ብሄራዊ ጨዋታ ተደርጎ የሚወሰድ ሲሆን በባህሉ ስር የሰደደ ነው።")</f>
        <v>ኦዋሬ የጋና ብሄራዊ ጨዋታ ተደርጎ የሚወሰድ ሲሆን በባህሉ ስር የሰደደ ነው።</v>
      </c>
    </row>
    <row r="41" ht="22.5" customHeight="1">
      <c r="A41" s="3">
        <v>40.0</v>
      </c>
      <c r="B41" s="4" t="s">
        <v>2977</v>
      </c>
      <c r="C41" s="4" t="s">
        <v>2978</v>
      </c>
      <c r="D41" s="4" t="s">
        <v>2979</v>
      </c>
      <c r="E41" s="4" t="s">
        <v>2980</v>
      </c>
      <c r="G41" s="5" t="str">
        <f>IFERROR(__xludf.DUMMYFUNCTION(" GOOGLETRANSLATE(A41, ""en"", ""am"")"),"40")</f>
        <v>40</v>
      </c>
      <c r="H41" s="5" t="str">
        <f>IFERROR(__xludf.DUMMYFUNCTION(" GOOGLETRANSLATE(B41, ""en"", ""am"")"),"በባርነት የተያዙ አፍሪካውያን ለማንካላ ዓለም አቀፍ መስፋፋት አስተዋጽኦ ያደረጉት እንዴት ነው?")</f>
        <v>በባርነት የተያዙ አፍሪካውያን ለማንካላ ዓለም አቀፍ መስፋፋት አስተዋጽኦ ያደረጉት እንዴት ነው?</v>
      </c>
      <c r="I41" s="5" t="str">
        <f>IFERROR(__xludf.DUMMYFUNCTION(" GOOGLETRANSLATE(C41, ""en"", ""am"")"),"ሀ. ህጎቹን በማስተካከል ለ. ከአውሮፓ ጨዋታዎች ጋር በመተባበር ሐ. በንግድ ስራ መጠቀም መ. ወደ አሜሪካ ማስተዋወቅ")</f>
        <v>ሀ. ህጎቹን በማስተካከል ለ. ከአውሮፓ ጨዋታዎች ጋር በመተባበር ሐ. በንግድ ስራ መጠቀም መ. ወደ አሜሪካ ማስተዋወቅ</v>
      </c>
      <c r="J41" s="5" t="str">
        <f>IFERROR(__xludf.DUMMYFUNCTION(" GOOGLETRANSLATE(D41, ""en"", ""am"")"),"አሜሪካን በማስተዋወቅ ላይ")</f>
        <v>አሜሪካን በማስተዋወቅ ላይ</v>
      </c>
      <c r="K41" s="5" t="str">
        <f>IFERROR(__xludf.DUMMYFUNCTION(" GOOGLETRANSLATE(E41, ""en"", ""am"")"),"በባርነት የተያዙ አፍሪካውያን ማንካላን ወደ አሜሪካ አመጡ፣ በዚያም በአካባቢው ጨዋታዎች እና ወጎች ላይ ተጽዕኖ አሳድሯል።")</f>
        <v>በባርነት የተያዙ አፍሪካውያን ማንካላን ወደ አሜሪካ አመጡ፣ በዚያም በአካባቢው ጨዋታዎች እና ወጎች ላይ ተጽዕኖ አሳድሯል።</v>
      </c>
    </row>
    <row r="42" ht="22.5" customHeight="1">
      <c r="A42" s="3">
        <v>41.0</v>
      </c>
      <c r="B42" s="4" t="s">
        <v>2982</v>
      </c>
      <c r="C42" s="4" t="s">
        <v>2983</v>
      </c>
      <c r="D42" s="4" t="s">
        <v>2984</v>
      </c>
      <c r="E42" s="4" t="s">
        <v>2985</v>
      </c>
      <c r="G42" s="5" t="str">
        <f>IFERROR(__xludf.DUMMYFUNCTION(" GOOGLETRANSLATE(A42, ""en"", ""am"")"),"41")</f>
        <v>41</v>
      </c>
      <c r="H42" s="5" t="str">
        <f>IFERROR(__xludf.DUMMYFUNCTION(" GOOGLETRANSLATE(B42, ""en"", ""am"")"),"በታንዛኒያ በስፋት የሚጫወተው የማንካላ ልዩነት የትኛው ነው?")</f>
        <v>በታንዛኒያ በስፋት የሚጫወተው የማንካላ ልዩነት የትኛው ነው?</v>
      </c>
      <c r="I42" s="5" t="str">
        <f>IFERROR(__xludf.DUMMYFUNCTION(" GOOGLETRANSLATE(C42, ""en"", ""am"")"),"ኤ ኮኛክ ብ ኦዋሬ ሲ ሱንግካ ዲ ባኦ")</f>
        <v>ኤ ኮኛክ ብ ኦዋሬ ሲ ሱንግካ ዲ ባኦ</v>
      </c>
      <c r="J42" s="5" t="str">
        <f>IFERROR(__xludf.DUMMYFUNCTION(" GOOGLETRANSLATE(D42, ""en"", ""am"")"),"ባኦ")</f>
        <v>ባኦ</v>
      </c>
      <c r="K42" s="5" t="str">
        <f>IFERROR(__xludf.DUMMYFUNCTION(" GOOGLETRANSLATE(E42, ""en"", ""am"")"),"ባኦ በስትራቴጂካዊ ውስብስብነቱ የሚታወቀው በታንዛኒያ ውስጥ በሰፊው የሚጫወት የማንካላ ልዩነት ነው።")</f>
        <v>ባኦ በስትራቴጂካዊ ውስብስብነቱ የሚታወቀው በታንዛኒያ ውስጥ በሰፊው የሚጫወት የማንካላ ልዩነት ነው።</v>
      </c>
    </row>
    <row r="43" ht="22.5" customHeight="1">
      <c r="A43" s="3">
        <v>42.0</v>
      </c>
      <c r="B43" s="4" t="s">
        <v>2986</v>
      </c>
      <c r="C43" s="4" t="s">
        <v>2987</v>
      </c>
      <c r="D43" s="4" t="s">
        <v>2988</v>
      </c>
      <c r="E43" s="4" t="s">
        <v>2989</v>
      </c>
      <c r="G43" s="5" t="str">
        <f>IFERROR(__xludf.DUMMYFUNCTION(" GOOGLETRANSLATE(A43, ""en"", ""am"")"),"42")</f>
        <v>42</v>
      </c>
      <c r="H43" s="5" t="str">
        <f>IFERROR(__xludf.DUMMYFUNCTION(" GOOGLETRANSLATE(B43, ""en"", ""am"")"),"በግብፅ በጄበል ቃትራኒ ዓለቶች ላይ የተቀረፀው የማንካላ ሰሌዳ የትኛው ነው?")</f>
        <v>በግብፅ በጄበል ቃትራኒ ዓለቶች ላይ የተቀረፀው የማንካላ ሰሌዳ የትኛው ነው?</v>
      </c>
      <c r="I43" s="5" t="str">
        <f>IFERROR(__xludf.DUMMYFUNCTION(" GOOGLETRANSLATE(C43, ""en"", ""am"")"),"A. ባለሶስት ረድፍ ቦርድ ለ. ባለ አራት ረድፍ ሰሌዳ ሐ. ነጠላ-ረድፍ ሰሌዳ D. ባለ ሁለት ረድፍ ሰሌዳ")</f>
        <v>A. ባለሶስት ረድፍ ቦርድ ለ. ባለ አራት ረድፍ ሰሌዳ ሐ. ነጠላ-ረድፍ ሰሌዳ D. ባለ ሁለት ረድፍ ሰሌዳ</v>
      </c>
      <c r="J43" s="5" t="str">
        <f>IFERROR(__xludf.DUMMYFUNCTION(" GOOGLETRANSLATE(D43, ""en"", ""am"")"),"ባለ ሁለት ረድፍ ሰሌዳ")</f>
        <v>ባለ ሁለት ረድፍ ሰሌዳ</v>
      </c>
      <c r="K43" s="5" t="str">
        <f>IFERROR(__xludf.DUMMYFUNCTION(" GOOGLETRANSLATE(E43, ""en"", ""am"")"),"በግብፅ ውስጥ ያለው ጀበል ቃትራኒ ባለ ሁለት ረድፍ የማንካላ ሰሌዳ በአለቶቹ ላይ ተቀርጿል።")</f>
        <v>በግብፅ ውስጥ ያለው ጀበል ቃትራኒ ባለ ሁለት ረድፍ የማንካላ ሰሌዳ በአለቶቹ ላይ ተቀርጿል።</v>
      </c>
    </row>
    <row r="44" ht="22.5" customHeight="1">
      <c r="A44" s="3">
        <v>43.0</v>
      </c>
      <c r="B44" s="4" t="s">
        <v>2990</v>
      </c>
      <c r="C44" s="4" t="s">
        <v>2991</v>
      </c>
      <c r="D44" s="4" t="s">
        <v>2992</v>
      </c>
      <c r="E44" s="4" t="s">
        <v>2993</v>
      </c>
      <c r="G44" s="5" t="str">
        <f>IFERROR(__xludf.DUMMYFUNCTION(" GOOGLETRANSLATE(A44, ""en"", ""am"")"),"43")</f>
        <v>43</v>
      </c>
      <c r="H44" s="5" t="str">
        <f>IFERROR(__xludf.DUMMYFUNCTION(" GOOGLETRANSLATE(B44, ""en"", ""am"")"),"የአረብ ነጋዴዎች በማንካላ መስፋፋት ላይ ተጽዕኖ ያሳደሩት እንዴት ነው?")</f>
        <v>የአረብ ነጋዴዎች በማንካላ መስፋፋት ላይ ተጽዕኖ ያሳደሩት እንዴት ነው?</v>
      </c>
      <c r="I44" s="5" t="str">
        <f>IFERROR(__xludf.DUMMYFUNCTION(" GOOGLETRANSLATE(C44, ""en"", ""am"")"),"ሀ. አዳዲስ ደንቦችን በመፍጠር ለ. ሰሌዳዎችን ወደ መርከቦች በመቅረጽ ሐ. በሸቀጦች ሰሌዳዎች ላይ በመገበያየት መ. ወደ እስያ እና አውሮፓ ማስተዋወቅ")</f>
        <v>ሀ. አዳዲስ ደንቦችን በመፍጠር ለ. ሰሌዳዎችን ወደ መርከቦች በመቅረጽ ሐ. በሸቀጦች ሰሌዳዎች ላይ በመገበያየት መ. ወደ እስያ እና አውሮፓ ማስተዋወቅ</v>
      </c>
      <c r="J44" s="5" t="str">
        <f>IFERROR(__xludf.DUMMYFUNCTION(" GOOGLETRANSLATE(D44, ""en"", ""am"")"),"ወደ እስያ እና አውሮፓ በማስተዋወቅ ላይ")</f>
        <v>ወደ እስያ እና አውሮፓ በማስተዋወቅ ላይ</v>
      </c>
      <c r="K44" s="5" t="str">
        <f>IFERROR(__xludf.DUMMYFUNCTION(" GOOGLETRANSLATE(E44, ""en"", ""am"")"),"የአረብ ነጋዴዎች ማንካላን በንግድ መንገዶቻቸው ወደ እስያ እና አውሮፓ አሰራጩ።")</f>
        <v>የአረብ ነጋዴዎች ማንካላን በንግድ መንገዶቻቸው ወደ እስያ እና አውሮፓ አሰራጩ።</v>
      </c>
    </row>
    <row r="45" ht="22.5" customHeight="1">
      <c r="A45" s="3">
        <v>44.0</v>
      </c>
      <c r="B45" s="4" t="s">
        <v>2994</v>
      </c>
      <c r="C45" s="4" t="s">
        <v>2995</v>
      </c>
      <c r="D45" s="4" t="s">
        <v>2996</v>
      </c>
      <c r="E45" s="4" t="s">
        <v>2997</v>
      </c>
      <c r="G45" s="5" t="str">
        <f>IFERROR(__xludf.DUMMYFUNCTION(" GOOGLETRANSLATE(A45, ""en"", ""am"")"),"44")</f>
        <v>44</v>
      </c>
      <c r="H45" s="5" t="str">
        <f>IFERROR(__xludf.DUMMYFUNCTION(" GOOGLETRANSLATE(B45, ""en"", ""am"")"),"አርኪኦሎጂስቱ ከመጀመሪያዎቹ ጽላቶች መካከል የትኛውን አገኘ?")</f>
        <v>አርኪኦሎጂስቱ ከመጀመሪያዎቹ ጽላቶች መካከል የትኛውን አገኘ?</v>
      </c>
      <c r="I45" s="5" t="str">
        <f>IFERROR(__xludf.DUMMYFUNCTION(" GOOGLETRANSLATE(C45, ""en"", ""am"")"),"ሀ. ታላቋ ዚምባብዌ ቢ ቲምቡክቱ፣ ማሊ ሲ. ሉክሶር፣ ግብፅ ዲ. አክሱም፣ ኢትዮጵያ")</f>
        <v>ሀ. ታላቋ ዚምባብዌ ቢ ቲምቡክቱ፣ ማሊ ሲ. ሉክሶር፣ ግብፅ ዲ. አክሱም፣ ኢትዮጵያ</v>
      </c>
      <c r="J45" s="5" t="str">
        <f>IFERROR(__xludf.DUMMYFUNCTION(" GOOGLETRANSLATE(D45, ""en"", ""am"")"),"አክሱም ኢትዮጵያ")</f>
        <v>አክሱም ኢትዮጵያ</v>
      </c>
      <c r="K45" s="5" t="str">
        <f>IFERROR(__xludf.DUMMYFUNCTION(" GOOGLETRANSLATE(E45, ""en"", ""am"")"),"በአክሱም ኢትዮጵያ የጨዋታውን ጥልቅ ታሪካዊ መሰረት የሚያሳይ ጥንታዊ ጽላት ተገኘ።")</f>
        <v>በአክሱም ኢትዮጵያ የጨዋታውን ጥልቅ ታሪካዊ መሰረት የሚያሳይ ጥንታዊ ጽላት ተገኘ።</v>
      </c>
    </row>
    <row r="46" ht="22.5" customHeight="1">
      <c r="A46" s="3">
        <v>45.0</v>
      </c>
      <c r="B46" s="4" t="s">
        <v>2998</v>
      </c>
      <c r="C46" s="4" t="s">
        <v>2999</v>
      </c>
      <c r="D46" s="4" t="s">
        <v>3000</v>
      </c>
      <c r="E46" s="4" t="s">
        <v>3001</v>
      </c>
      <c r="G46" s="5" t="str">
        <f>IFERROR(__xludf.DUMMYFUNCTION(" GOOGLETRANSLATE(A46, ""en"", ""am"")"),"45")</f>
        <v>45</v>
      </c>
      <c r="H46" s="5" t="str">
        <f>IFERROR(__xludf.DUMMYFUNCTION(" GOOGLETRANSLATE(B46, ""en"", ""am"")"),"በጠረጴዛው ውስጥ በባህላዊ መንገድ ምን ዓይነት ዘሮች እንደ ምግብ ይገለገሉ ነበር?")</f>
        <v>በጠረጴዛው ውስጥ በባህላዊ መንገድ ምን ዓይነት ዘሮች እንደ ምግብ ይገለገሉ ነበር?</v>
      </c>
      <c r="I46" s="5" t="str">
        <f>IFERROR(__xludf.DUMMYFUNCTION(" GOOGLETRANSLATE(C46, ""en"", ""am"")"),"A. Cowrie ዛጎሎች ቢ. የዘንባባ ዘሮች ሐ. ጠጠሮች ዲ. የዘንባባ ዘሮች")</f>
        <v>A. Cowrie ዛጎሎች ቢ. የዘንባባ ዘሮች ሐ. ጠጠሮች ዲ. የዘንባባ ዘሮች</v>
      </c>
      <c r="J46" s="5" t="str">
        <f>IFERROR(__xludf.DUMMYFUNCTION(" GOOGLETRANSLATE(D46, ""en"", ""am"")"),"የዘንባባ ዘሮች")</f>
        <v>የዘንባባ ዘሮች</v>
      </c>
      <c r="K46" s="5" t="str">
        <f>IFERROR(__xludf.DUMMYFUNCTION(" GOOGLETRANSLATE(E46, ""en"", ""am"")"),"የዘንባባ ዘሮች በባህላዊ ጠረጴዛዎች ላይ እንደ ማስጌጥ ያገለግላሉ።")</f>
        <v>የዘንባባ ዘሮች በባህላዊ ጠረጴዛዎች ላይ እንደ ማስጌጥ ያገለግላሉ።</v>
      </c>
    </row>
    <row r="47" ht="22.5" customHeight="1">
      <c r="A47" s="3">
        <v>46.0</v>
      </c>
      <c r="B47" s="4" t="s">
        <v>3002</v>
      </c>
      <c r="C47" s="4" t="s">
        <v>3003</v>
      </c>
      <c r="D47" s="4" t="s">
        <v>3004</v>
      </c>
      <c r="E47" s="4" t="s">
        <v>3005</v>
      </c>
      <c r="G47" s="5" t="str">
        <f>IFERROR(__xludf.DUMMYFUNCTION(" GOOGLETRANSLATE(A47, ""en"", ""am"")"),"46")</f>
        <v>46</v>
      </c>
      <c r="H47" s="5" t="str">
        <f>IFERROR(__xludf.DUMMYFUNCTION(" GOOGLETRANSLATE(B47, ""en"", ""am"")"),"ከባህረ ሰላጤው ወደ መካከለኛው ምስራቅ መስፋፋት ከጀመረ ምን ያህል ነው?")</f>
        <v>ከባህረ ሰላጤው ወደ መካከለኛው ምስራቅ መስፋፋት ከጀመረ ምን ያህል ነው?</v>
      </c>
      <c r="I47" s="5" t="str">
        <f>IFERROR(__xludf.DUMMYFUNCTION(" GOOGLETRANSLATE(C47, ""en"", ""am"")"),"ሀ. የነሐስ ዘመን ለ. የብረት ዘመን ሐ. የድንጋይ ዘመን ዲ. የነሐስ ዘመን")</f>
        <v>ሀ. የነሐስ ዘመን ለ. የብረት ዘመን ሐ. የድንጋይ ዘመን ዲ. የነሐስ ዘመን</v>
      </c>
      <c r="J47" s="5" t="str">
        <f>IFERROR(__xludf.DUMMYFUNCTION(" GOOGLETRANSLATE(D47, ""en"", ""am"")"),"የነሐስ ዘመን")</f>
        <v>የነሐስ ዘመን</v>
      </c>
      <c r="K47" s="5" t="str">
        <f>IFERROR(__xludf.DUMMYFUNCTION(" GOOGLETRANSLATE(E47, ""en"", ""am"")"),"ታባ በነሐስ ዘመን በንግድ እና በባህል ልውውጥ ወደ መካከለኛው ምስራቅ ተስፋፋ።")</f>
        <v>ታባ በነሐስ ዘመን በንግድ እና በባህል ልውውጥ ወደ መካከለኛው ምስራቅ ተስፋፋ።</v>
      </c>
    </row>
    <row r="48" ht="22.5" customHeight="1">
      <c r="A48" s="3">
        <v>47.0</v>
      </c>
      <c r="B48" s="4" t="s">
        <v>3006</v>
      </c>
      <c r="C48" s="4" t="s">
        <v>3007</v>
      </c>
      <c r="D48" s="4" t="s">
        <v>3008</v>
      </c>
      <c r="E48" s="4" t="s">
        <v>3009</v>
      </c>
      <c r="G48" s="5" t="str">
        <f>IFERROR(__xludf.DUMMYFUNCTION(" GOOGLETRANSLATE(A48, ""en"", ""am"")"),"47")</f>
        <v>47</v>
      </c>
      <c r="H48" s="5" t="str">
        <f>IFERROR(__xludf.DUMMYFUNCTION(" GOOGLETRANSLATE(B48, ""en"", ""am"")"),"የቦርድ ጨዋታዎች የጥንት አፍሪካውያን ማህበረሰቦችን የረዳቸው እንዴት ነው?")</f>
        <v>የቦርድ ጨዋታዎች የጥንት አፍሪካውያን ማህበረሰቦችን የረዳቸው እንዴት ነው?</v>
      </c>
      <c r="I48" s="5" t="str">
        <f>IFERROR(__xludf.DUMMYFUNCTION(" GOOGLETRANSLATE(C48, ""en"", ""am"")"),"ሀ. በቢዝነስ ረድቷል ለ. የተሻሻለ የግብርና እቅድ ሐ. እንደ ሃይማኖታዊ ልምምድ አገልግሏል መ. ሂሳዊ አስተሳሰብን ማዳበር።")</f>
        <v>ሀ. በቢዝነስ ረድቷል ለ. የተሻሻለ የግብርና እቅድ ሐ. እንደ ሃይማኖታዊ ልምምድ አገልግሏል መ. ሂሳዊ አስተሳሰብን ማዳበር።</v>
      </c>
      <c r="J48" s="5" t="str">
        <f>IFERROR(__xludf.DUMMYFUNCTION(" GOOGLETRANSLATE(D48, ""en"", ""am"")"),"ሂሳዊ አስተሳሰብን አዳብር።")</f>
        <v>ሂሳዊ አስተሳሰብን አዳብር።</v>
      </c>
      <c r="K48" s="5" t="str">
        <f>IFERROR(__xludf.DUMMYFUNCTION(" GOOGLETRANSLATE(E48, ""en"", ""am"")"),"ቻርቲንግ በጥንታዊ አፍሪካዊ ማህበረሰቦች ውስጥ ሂሳዊ አስተሳሰብ እና ስልታዊ ክህሎቶችን ለማዳበር ረድቷል።")</f>
        <v>ቻርቲንግ በጥንታዊ አፍሪካዊ ማህበረሰቦች ውስጥ ሂሳዊ አስተሳሰብ እና ስልታዊ ክህሎቶችን ለማዳበር ረድቷል።</v>
      </c>
    </row>
    <row r="49" ht="22.5" customHeight="1">
      <c r="A49" s="3">
        <v>48.0</v>
      </c>
      <c r="B49" s="4" t="s">
        <v>3010</v>
      </c>
      <c r="C49" s="4" t="s">
        <v>3011</v>
      </c>
      <c r="D49" s="4" t="s">
        <v>3012</v>
      </c>
      <c r="E49" s="4" t="s">
        <v>3013</v>
      </c>
      <c r="G49" s="5" t="str">
        <f>IFERROR(__xludf.DUMMYFUNCTION(" GOOGLETRANSLATE(A49, ""en"", ""am"")"),"48")</f>
        <v>48</v>
      </c>
      <c r="H49" s="5" t="str">
        <f>IFERROR(__xludf.DUMMYFUNCTION(" GOOGLETRANSLATE(B49, ""en"", ""am"")"),"ማንካላን በአውሮፓ ለመጀመሪያ ጊዜ የተመዘገበው የትኛው የታሪክ ምሁር ነው?")</f>
        <v>ማንካላን በአውሮፓ ለመጀመሪያ ጊዜ የተመዘገበው የትኛው የታሪክ ምሁር ነው?</v>
      </c>
      <c r="I49" s="5" t="str">
        <f>IFERROR(__xludf.DUMMYFUNCTION(" GOOGLETRANSLATE(C49, ""en"", ""am"")"),"ኤ. ሄሮዶተስ ቢ. አል-ማሱዲ ሲ. ሪቻርድ በርተን ዲ. ኤድዋርድ ሌን")</f>
        <v>ኤ. ሄሮዶተስ ቢ. አል-ማሱዲ ሲ. ሪቻርድ በርተን ዲ. ኤድዋርድ ሌን</v>
      </c>
      <c r="J49" s="5" t="str">
        <f>IFERROR(__xludf.DUMMYFUNCTION(" GOOGLETRANSLATE(D49, ""en"", ""am"")"),"ኤድዋርድ ሌን")</f>
        <v>ኤድዋርድ ሌን</v>
      </c>
      <c r="K49" s="5" t="str">
        <f>IFERROR(__xludf.DUMMYFUNCTION(" GOOGLETRANSLATE(E49, ""en"", ""am"")"),"ኤድዋርድ ሌን በ19ኛው ክፍለ ዘመን ወደ መካከለኛው ምስራቅ ባደረገው ጉዞ ማንካላን ዘግቧል።")</f>
        <v>ኤድዋርድ ሌን በ19ኛው ክፍለ ዘመን ወደ መካከለኛው ምስራቅ ባደረገው ጉዞ ማንካላን ዘግቧል።</v>
      </c>
    </row>
    <row r="50" ht="22.5" customHeight="1">
      <c r="A50" s="3">
        <v>49.0</v>
      </c>
      <c r="B50" s="4" t="s">
        <v>3014</v>
      </c>
      <c r="C50" s="4" t="s">
        <v>3015</v>
      </c>
      <c r="D50" s="4" t="s">
        <v>3016</v>
      </c>
      <c r="E50" s="4" t="s">
        <v>3017</v>
      </c>
      <c r="G50" s="5" t="str">
        <f>IFERROR(__xludf.DUMMYFUNCTION(" GOOGLETRANSLATE(A50, ""en"", ""am"")"),"49")</f>
        <v>49</v>
      </c>
      <c r="H50" s="5" t="str">
        <f>IFERROR(__xludf.DUMMYFUNCTION(" GOOGLETRANSLATE(B50, ""en"", ""am"")"),"ቦርዱ በጥንታዊ አፍሪካዊ አመራር ውስጥ ምን ሚና ተጫውቷል?")</f>
        <v>ቦርዱ በጥንታዊ አፍሪካዊ አመራር ውስጥ ምን ሚና ተጫውቷል?</v>
      </c>
      <c r="I50" s="5" t="str">
        <f>IFERROR(__xludf.DUMMYFUNCTION(" GOOGLETRANSLATE(C50, ""en"", ""am"")"),"ሀ. የውሳኔ ሰጪ መሣሪያ ለ. የሀብት ምልክት ሐ. የዲፕሎማሲ ጨዋታ መ. የስትራቴጂክ አስተሳሰብ ፈተና")</f>
        <v>ሀ. የውሳኔ ሰጪ መሣሪያ ለ. የሀብት ምልክት ሐ. የዲፕሎማሲ ጨዋታ መ. የስትራቴጂክ አስተሳሰብ ፈተና</v>
      </c>
      <c r="J50" s="5" t="str">
        <f>IFERROR(__xludf.DUMMYFUNCTION(" GOOGLETRANSLATE(D50, ""en"", ""am"")"),"ስልታዊ አስተሳሰብ ፈተና")</f>
        <v>ስልታዊ አስተሳሰብ ፈተና</v>
      </c>
      <c r="K50" s="5" t="str">
        <f>IFERROR(__xludf.DUMMYFUNCTION(" GOOGLETRANSLATE(E50, ""en"", ""am"")"),"ሰንጠረዡ ለአፍሪካ መሪዎች እና መኳንንት የስትራቴጂክ አስተሳሰብ ፈተና ሆኖ አገልግሏል።")</f>
        <v>ሰንጠረዡ ለአፍሪካ መሪዎች እና መኳንንት የስትራቴጂክ አስተሳሰብ ፈተና ሆኖ አገልግሏል።</v>
      </c>
    </row>
    <row r="51" ht="22.5" customHeight="1">
      <c r="A51" s="3">
        <v>50.0</v>
      </c>
      <c r="B51" s="4" t="s">
        <v>3018</v>
      </c>
      <c r="C51" s="4" t="s">
        <v>3019</v>
      </c>
      <c r="D51" s="4" t="s">
        <v>3020</v>
      </c>
      <c r="E51" s="4" t="s">
        <v>3021</v>
      </c>
      <c r="G51" s="5" t="str">
        <f>IFERROR(__xludf.DUMMYFUNCTION(" GOOGLETRANSLATE(A51, ""en"", ""am"")"),"50")</f>
        <v>50</v>
      </c>
      <c r="H51" s="5" t="str">
        <f>IFERROR(__xludf.DUMMYFUNCTION(" GOOGLETRANSLATE(B51, ""en"", ""am"")"),"ሰንጠረዡን ከጥንታዊ የንግድ መስመሮች ጋር የሚያገናኘው ምን ማስረጃ አለ?")</f>
        <v>ሰንጠረዡን ከጥንታዊ የንግድ መስመሮች ጋር የሚያገናኘው ምን ማስረጃ አለ?</v>
      </c>
      <c r="I51" s="5" t="str">
        <f>IFERROR(__xludf.DUMMYFUNCTION(" GOOGLETRANSLATE(C51, ""en"", ""am"")"),"ሀ. በንግድ ምዝግብ ማስታወሻዎች ውስጥ ያሉ ማጣቀሻዎች ለ. እንደ ምንዛሪ ያገለገሉ ዘሮች ሐ. የንግድ ጨዋታዎችን የሚያሳይ ጥበብ D. በንግድ መስመሮች ላይ የሚገኙ ቦርዶች")</f>
        <v>ሀ. በንግድ ምዝግብ ማስታወሻዎች ውስጥ ያሉ ማጣቀሻዎች ለ. እንደ ምንዛሪ ያገለገሉ ዘሮች ሐ. የንግድ ጨዋታዎችን የሚያሳይ ጥበብ D. በንግድ መስመሮች ላይ የሚገኙ ቦርዶች</v>
      </c>
      <c r="J51" s="5" t="str">
        <f>IFERROR(__xludf.DUMMYFUNCTION(" GOOGLETRANSLATE(D51, ""en"", ""am"")"),"ቦርዶች በንግድ መስመሮች ላይ ተገኝተዋል")</f>
        <v>ቦርዶች በንግድ መስመሮች ላይ ተገኝተዋል</v>
      </c>
      <c r="K51" s="5" t="str">
        <f>IFERROR(__xludf.DUMMYFUNCTION(" GOOGLETRANSLATE(E51, ""en"", ""am"")"),"በባህላዊ ልውውጥ ውስጥ ያለውን ሚና የሚያሳዩ የገበታ ሰሌዳዎች በንግድ መስመሮች ውስጥ ተገኝተዋል.")</f>
        <v>በባህላዊ ልውውጥ ውስጥ ያለውን ሚና የሚያሳዩ የገበታ ሰሌዳዎች በንግድ መስመሮች ውስጥ ተገኝተዋል.</v>
      </c>
    </row>
    <row r="52" ht="22.5" customHeight="1">
      <c r="A52" s="3">
        <v>51.0</v>
      </c>
      <c r="B52" s="4" t="s">
        <v>3022</v>
      </c>
      <c r="C52" s="4" t="s">
        <v>3023</v>
      </c>
      <c r="D52" s="4" t="s">
        <v>3024</v>
      </c>
      <c r="E52" s="4" t="s">
        <v>3025</v>
      </c>
      <c r="G52" s="5" t="str">
        <f>IFERROR(__xludf.DUMMYFUNCTION(" GOOGLETRANSLATE(A52, ""en"", ""am"")"),"51")</f>
        <v>51</v>
      </c>
      <c r="H52" s="5" t="str">
        <f>IFERROR(__xludf.DUMMYFUNCTION(" GOOGLETRANSLATE(B52, ""en"", ""am"")"),"የትኛው የአፍሪካ ባህል ሰንጠረዡን እንደ ተረት ተረት ይጠቀማል?")</f>
        <v>የትኛው የአፍሪካ ባህል ሰንጠረዡን እንደ ተረት ተረት ይጠቀማል?</v>
      </c>
      <c r="I52" s="5" t="str">
        <f>IFERROR(__xludf.DUMMYFUNCTION(" GOOGLETRANSLATE(C52, ""en"", ""am"")"),"አ.ዙሉ ብ.አክሱሚቴ ሲ.አሻንቲ ዲ.ዮሩባ")</f>
        <v>አ.ዙሉ ብ.አክሱሚቴ ሲ.አሻንቲ ዲ.ዮሩባ</v>
      </c>
      <c r="J52" s="5" t="str">
        <f>IFERROR(__xludf.DUMMYFUNCTION(" GOOGLETRANSLATE(D52, ""en"", ""am"")"),"ዮሩባ")</f>
        <v>ዮሩባ</v>
      </c>
      <c r="K52" s="5" t="str">
        <f>IFERROR(__xludf.DUMMYFUNCTION(" GOOGLETRANSLATE(E52, ""en"", ""am"")"),"የዮሩባ ሰዎች ቦርዱን እንደ ሚድያ ተጠቅመው ተረት ለመተረክ፣ ትረካዎችን በተውኔቱ ውስጥ ሸምነው ነበር።")</f>
        <v>የዮሩባ ሰዎች ቦርዱን እንደ ሚድያ ተጠቅመው ተረት ለመተረክ፣ ትረካዎችን በተውኔቱ ውስጥ ሸምነው ነበር።</v>
      </c>
    </row>
    <row r="53" ht="22.5" customHeight="1">
      <c r="A53" s="3">
        <v>52.0</v>
      </c>
      <c r="B53" s="4" t="s">
        <v>3026</v>
      </c>
      <c r="C53" s="4" t="s">
        <v>3027</v>
      </c>
      <c r="D53" s="4" t="s">
        <v>3028</v>
      </c>
      <c r="E53" s="4" t="s">
        <v>3029</v>
      </c>
      <c r="G53" s="5" t="str">
        <f>IFERROR(__xludf.DUMMYFUNCTION(" GOOGLETRANSLATE(A53, ""en"", ""am"")"),"52")</f>
        <v>52</v>
      </c>
      <c r="H53" s="5" t="str">
        <f>IFERROR(__xludf.DUMMYFUNCTION(" GOOGLETRANSLATE(B53, ""en"", ""am"")"),"በጥንታዊ እና በዘመናዊ ቻልክቦርዶች መካከል ያለው ጉልህ ልዩነት ምንድነው?")</f>
        <v>በጥንታዊ እና በዘመናዊ ቻልክቦርዶች መካከል ያለው ጉልህ ልዩነት ምንድነው?</v>
      </c>
      <c r="I53" s="5" t="str">
        <f>IFERROR(__xludf.DUMMYFUNCTION(" GOOGLETRANSLATE(C53, ""en"", ""am"")"),"ሀ. የቀዳዳዎች ብዛት ለ. የመጫወቻ እቃዎች ሐ. ደንቦች D. ጥቅም ላይ የዋለ ቁሳቁስ")</f>
        <v>ሀ. የቀዳዳዎች ብዛት ለ. የመጫወቻ እቃዎች ሐ. ደንቦች D. ጥቅም ላይ የዋለ ቁሳቁስ</v>
      </c>
      <c r="J53" s="5" t="str">
        <f>IFERROR(__xludf.DUMMYFUNCTION(" GOOGLETRANSLATE(D53, ""en"", ""am"")"),"ጥቅም ላይ የዋለው ቁሳቁስ")</f>
        <v>ጥቅም ላይ የዋለው ቁሳቁስ</v>
      </c>
      <c r="K53" s="5" t="str">
        <f>IFERROR(__xludf.DUMMYFUNCTION(" GOOGLETRANSLATE(E53, ""en"", ""am"")"),"ጥንታዊ ሰሌዳዎች ብዙውን ጊዜ ከድንጋይ የተሠሩ ወይም በቀጥታ ወደ መሬት ውስጥ የተቀረጹ ናቸው, ዘመናዊዎቹ ግን ከእንጨት ወይም ከፕላስቲክ ይጠቀማሉ.")</f>
        <v>ጥንታዊ ሰሌዳዎች ብዙውን ጊዜ ከድንጋይ የተሠሩ ወይም በቀጥታ ወደ መሬት ውስጥ የተቀረጹ ናቸው, ዘመናዊዎቹ ግን ከእንጨት ወይም ከፕላስቲክ ይጠቀማሉ.</v>
      </c>
    </row>
    <row r="54" ht="22.5" customHeight="1">
      <c r="A54" s="3">
        <v>53.0</v>
      </c>
      <c r="B54" s="4" t="s">
        <v>3030</v>
      </c>
      <c r="C54" s="4" t="s">
        <v>3031</v>
      </c>
      <c r="D54" s="4" t="s">
        <v>3032</v>
      </c>
      <c r="E54" s="4" t="s">
        <v>3033</v>
      </c>
      <c r="G54" s="5" t="str">
        <f>IFERROR(__xludf.DUMMYFUNCTION(" GOOGLETRANSLATE(A54, ""en"", ""am"")"),"53")</f>
        <v>53</v>
      </c>
      <c r="H54" s="5" t="str">
        <f>IFERROR(__xludf.DUMMYFUNCTION(" GOOGLETRANSLATE(B54, ""en"", ""am"")"),"በየትኛው የአፍሪካ መንግሥት ቼዝ እንደ ንጉሣዊ መዝናኛ ተደርጎ ይቆጠር ነበር?")</f>
        <v>በየትኛው የአፍሪካ መንግሥት ቼዝ እንደ ንጉሣዊ መዝናኛ ተደርጎ ይቆጠር ነበር?</v>
      </c>
      <c r="I54" s="5" t="str">
        <f>IFERROR(__xludf.DUMMYFUNCTION(" GOOGLETRANSLATE(C54, ""en"", ""am"")"),"ሀ. ዙሉ መንግሥት ለ. የቤኒን መንግሥት ሐ.አክሱማይት መንግሥት መ. የኩሽ መንግሥት")</f>
        <v>ሀ. ዙሉ መንግሥት ለ. የቤኒን መንግሥት ሐ.አክሱማይት መንግሥት መ. የኩሽ መንግሥት</v>
      </c>
      <c r="J54" s="5" t="str">
        <f>IFERROR(__xludf.DUMMYFUNCTION(" GOOGLETRANSLATE(D54, ""en"", ""am"")"),"የኩሽ መንግሥት")</f>
        <v>የኩሽ መንግሥት</v>
      </c>
      <c r="K54" s="5" t="str">
        <f>IFERROR(__xludf.DUMMYFUNCTION(" GOOGLETRANSLATE(E54, ""en"", ""am"")"),"የኩሽ መንግሥት የጠረጴዛ ቴኒስ ለመኳንንቱ እንደ ንጉሣዊ መዝናኛ ይቆጥር ነበር።")</f>
        <v>የኩሽ መንግሥት የጠረጴዛ ቴኒስ ለመኳንንቱ እንደ ንጉሣዊ መዝናኛ ይቆጥር ነበር።</v>
      </c>
    </row>
    <row r="55" ht="22.5" customHeight="1">
      <c r="A55" s="3">
        <v>54.0</v>
      </c>
      <c r="B55" s="4" t="s">
        <v>3034</v>
      </c>
      <c r="C55" s="4" t="s">
        <v>3035</v>
      </c>
      <c r="D55" s="4" t="s">
        <v>3036</v>
      </c>
      <c r="E55" s="4" t="s">
        <v>3037</v>
      </c>
      <c r="G55" s="5" t="str">
        <f>IFERROR(__xludf.DUMMYFUNCTION(" GOOGLETRANSLATE(A55, ""en"", ""am"")"),"54")</f>
        <v>54</v>
      </c>
      <c r="H55" s="5" t="str">
        <f>IFERROR(__xludf.DUMMYFUNCTION(" GOOGLETRANSLATE(B55, ""en"", ""am"")"),"በ 20 ኛው ክፍለ ዘመን ገበታውን ተወዳጅ ያደረገው የትኛው ዓለም አቀፍ ክስተት ነው?")</f>
        <v>በ 20 ኛው ክፍለ ዘመን ገበታውን ተወዳጅ ያደረገው የትኛው ዓለም አቀፍ ክስተት ነው?</v>
      </c>
      <c r="I55" s="5" t="str">
        <f>IFERROR(__xludf.DUMMYFUNCTION(" GOOGLETRANSLATE(C55, ""en"", ""am"")"),"ሀ. የኦሎምፒክ ጨዋታዎች ለ. የቅኝ ግዛት ኤግዚቢሽኖች ሐ. ሁለተኛው የዓለም ጦርነት መ. የዓለም ትርኢቶች")</f>
        <v>ሀ. የኦሎምፒክ ጨዋታዎች ለ. የቅኝ ግዛት ኤግዚቢሽኖች ሐ. ሁለተኛው የዓለም ጦርነት መ. የዓለም ትርኢቶች</v>
      </c>
      <c r="J55" s="5" t="str">
        <f>IFERROR(__xludf.DUMMYFUNCTION(" GOOGLETRANSLATE(D55, ""en"", ""am"")"),"የዓለም ትርኢቶች")</f>
        <v>የዓለም ትርኢቶች</v>
      </c>
      <c r="K55" s="5" t="str">
        <f>IFERROR(__xludf.DUMMYFUNCTION(" GOOGLETRANSLATE(E55, ""en"", ""am"")"),"በ20ኛው ክፍለ ዘመን የተካሄዱ የአለም ትርኢቶች ጥበብን ለአለም አቀፍ ታዳሚዎች አሳይተዋል።")</f>
        <v>በ20ኛው ክፍለ ዘመን የተካሄዱ የአለም ትርኢቶች ጥበብን ለአለም አቀፍ ታዳሚዎች አሳይተዋል።</v>
      </c>
    </row>
    <row r="56" ht="22.5" customHeight="1">
      <c r="A56" s="3">
        <v>55.0</v>
      </c>
      <c r="B56" s="4" t="s">
        <v>3038</v>
      </c>
      <c r="C56" s="4" t="s">
        <v>3039</v>
      </c>
      <c r="D56" s="4" t="s">
        <v>3040</v>
      </c>
      <c r="E56" s="4" t="s">
        <v>3041</v>
      </c>
      <c r="G56" s="5" t="str">
        <f>IFERROR(__xludf.DUMMYFUNCTION(" GOOGLETRANSLATE(A56, ""en"", ""am"")"),"55")</f>
        <v>55</v>
      </c>
      <c r="H56" s="5" t="str">
        <f>IFERROR(__xludf.DUMMYFUNCTION(" GOOGLETRANSLATE(B56, ""en"", ""am"")"),"ከማንካላ ጋር የሚመሳሰሉ ጨዋታዎችን የጠቀሰው የትኛው ጥንታዊ ሰነድ ነው?")</f>
        <v>ከማንካላ ጋር የሚመሳሰሉ ጨዋታዎችን የጠቀሰው የትኛው ጥንታዊ ሰነድ ነው?</v>
      </c>
      <c r="I56" s="5" t="str">
        <f>IFERROR(__xludf.DUMMYFUNCTION(" GOOGLETRANSLATE(C56, ""en"", ""am"")"),"ሀ. የሙት ባሕር ጥቅልሎች B. Kebra Nagast ሐ. መጽሐፍ ቅዱስ መ. የግብፅ ሙታን መጽሐፍ")</f>
        <v>ሀ. የሙት ባሕር ጥቅልሎች B. Kebra Nagast ሐ. መጽሐፍ ቅዱስ መ. የግብፅ ሙታን መጽሐፍ</v>
      </c>
      <c r="J56" s="5" t="str">
        <f>IFERROR(__xludf.DUMMYFUNCTION(" GOOGLETRANSLATE(D56, ""en"", ""am"")"),"የግብፅ ሙታን መጽሐፍ")</f>
        <v>የግብፅ ሙታን መጽሐፍ</v>
      </c>
      <c r="K56" s="5" t="str">
        <f>IFERROR(__xludf.DUMMYFUNCTION(" GOOGLETRANSLATE(E56, ""en"", ""am"")"),"የግብፅ ሙታን መጽሐፍ ማንካላ የሚመስሉ ጨዋታዎችን ምሳሌዎችን ይዟል።")</f>
        <v>የግብፅ ሙታን መጽሐፍ ማንካላ የሚመስሉ ጨዋታዎችን ምሳሌዎችን ይዟል።</v>
      </c>
    </row>
    <row r="57" ht="22.5" customHeight="1">
      <c r="A57" s="3">
        <v>56.0</v>
      </c>
      <c r="B57" s="4" t="s">
        <v>3042</v>
      </c>
      <c r="C57" s="4" t="s">
        <v>3043</v>
      </c>
      <c r="D57" s="4" t="s">
        <v>3044</v>
      </c>
      <c r="E57" s="4" t="s">
        <v>3045</v>
      </c>
      <c r="G57" s="5" t="str">
        <f>IFERROR(__xludf.DUMMYFUNCTION(" GOOGLETRANSLATE(A57, ""en"", ""am"")"),"56")</f>
        <v>56</v>
      </c>
      <c r="H57" s="5" t="str">
        <f>IFERROR(__xludf.DUMMYFUNCTION(" GOOGLETRANSLATE(B57, ""en"", ""am"")"),"ለአፍሪካ ነጋዴዎች የጠረጴዛው አስፈላጊነት ምን ነበር?")</f>
        <v>ለአፍሪካ ነጋዴዎች የጠረጴዛው አስፈላጊነት ምን ነበር?</v>
      </c>
      <c r="I57" s="5" t="str">
        <f>IFERROR(__xludf.DUMMYFUNCTION(" GOOGLETRANSLATE(C57, ""en"", ""am"")"),"ሀ. ሃይማኖታዊ ጠቀሜታ ለ. የትምህርት መሣሪያ ሐ. የድርድር ስልት መ. የባህል ትስስር")</f>
        <v>ሀ. ሃይማኖታዊ ጠቀሜታ ለ. የትምህርት መሣሪያ ሐ. የድርድር ስልት መ. የባህል ትስስር</v>
      </c>
      <c r="J57" s="5" t="str">
        <f>IFERROR(__xludf.DUMMYFUNCTION(" GOOGLETRANSLATE(D57, ""en"", ""am"")"),"የባህል ትስስር")</f>
        <v>የባህል ትስስር</v>
      </c>
      <c r="K57" s="5" t="str">
        <f>IFERROR(__xludf.DUMMYFUNCTION(" GOOGLETRANSLATE(E57, ""en"", ""am"")"),"ጠረጴዛው በረጅም ጉዞ ወቅት የአፍሪካ ነጋዴዎች እንደ ባህላዊ ትስስር ይጠቀሙበት ነበር።")</f>
        <v>ጠረጴዛው በረጅም ጉዞ ወቅት የአፍሪካ ነጋዴዎች እንደ ባህላዊ ትስስር ይጠቀሙበት ነበር።</v>
      </c>
    </row>
    <row r="58" ht="22.5" customHeight="1">
      <c r="A58" s="3">
        <v>57.0</v>
      </c>
      <c r="B58" s="4" t="s">
        <v>3046</v>
      </c>
      <c r="C58" s="4" t="s">
        <v>3047</v>
      </c>
      <c r="D58" s="4" t="s">
        <v>3048</v>
      </c>
      <c r="E58" s="4" t="s">
        <v>3049</v>
      </c>
      <c r="G58" s="5" t="str">
        <f>IFERROR(__xludf.DUMMYFUNCTION(" GOOGLETRANSLATE(A58, ""en"", ""am"")"),"57")</f>
        <v>57</v>
      </c>
      <c r="H58" s="5" t="str">
        <f>IFERROR(__xludf.DUMMYFUNCTION(" GOOGLETRANSLATE(B58, ""en"", ""am"")"),"ማንካላን በአፍሪካ ለመጀመሪያ ጊዜ ያስመዘገበው የትኛው አውሮፓዊ ቅኝ ገዥ ነው?")</f>
        <v>ማንካላን በአፍሪካ ለመጀመሪያ ጊዜ ያስመዘገበው የትኛው አውሮፓዊ ቅኝ ገዥ ነው?</v>
      </c>
      <c r="I58" s="5" t="str">
        <f>IFERROR(__xludf.DUMMYFUNCTION(" GOOGLETRANSLATE(C58, ""en"", ""am"")"),"ሀ. የደች ሰፋሪዎች ለ. ብሪቲሽ ሚሲዮናውያን ሐ. የፈረንሣይ ነጋዴዎች ዲ. ፖርቱጋልኛ አሳሾች")</f>
        <v>ሀ. የደች ሰፋሪዎች ለ. ብሪቲሽ ሚሲዮናውያን ሐ. የፈረንሣይ ነጋዴዎች ዲ. ፖርቱጋልኛ አሳሾች</v>
      </c>
      <c r="J58" s="5" t="str">
        <f>IFERROR(__xludf.DUMMYFUNCTION(" GOOGLETRANSLATE(D58, ""en"", ""am"")"),"ፖርቱጋልኛ አሳሾች")</f>
        <v>ፖርቱጋልኛ አሳሾች</v>
      </c>
      <c r="K58" s="5" t="str">
        <f>IFERROR(__xludf.DUMMYFUNCTION(" GOOGLETRANSLATE(E58, ""en"", ""am"")"),"በፍተሻ ዘመን በአፍሪካ ውስጥ ማንካላን የተጫወቱት የፖርቹጋል አሳሾች የመጀመሪያዎቹ ነበሩ።")</f>
        <v>በፍተሻ ዘመን በአፍሪካ ውስጥ ማንካላን የተጫወቱት የፖርቹጋል አሳሾች የመጀመሪያዎቹ ነበሩ።</v>
      </c>
    </row>
    <row r="59" ht="22.5" customHeight="1">
      <c r="A59" s="3">
        <v>58.0</v>
      </c>
      <c r="B59" s="4" t="s">
        <v>3050</v>
      </c>
      <c r="C59" s="4" t="s">
        <v>3051</v>
      </c>
      <c r="D59" s="4" t="s">
        <v>3052</v>
      </c>
      <c r="E59" s="4" t="s">
        <v>3053</v>
      </c>
      <c r="G59" s="5" t="str">
        <f>IFERROR(__xludf.DUMMYFUNCTION(" GOOGLETRANSLATE(A59, ""en"", ""am"")"),"58")</f>
        <v>58</v>
      </c>
      <c r="H59" s="5" t="str">
        <f>IFERROR(__xludf.DUMMYFUNCTION(" GOOGLETRANSLATE(B59, ""en"", ""am"")"),"ገበታው በዘመናዊ የቦርድ ጨዋታዎች ላይ ምን ተጽዕኖ አሳድሯል?")</f>
        <v>ገበታው በዘመናዊ የቦርድ ጨዋታዎች ላይ ምን ተጽዕኖ አሳድሯል?</v>
      </c>
      <c r="I59" s="5" t="str">
        <f>IFERROR(__xludf.DUMMYFUNCTION(" GOOGLETRANSLATE(C59, ""en"", ""am"")"),"ሀ. አስተዋውቋል ቆጠራ ክፍሎች ለ. በጨዋታዎች ውስጥ አስተዋውቋል ታሪክ ሐ. አበረታች ተራ-ተኮር ስርዓቶች መ. በስትራቴጂ ላይ በተመሰረቱ መካኒኮች አነሳሽነት")</f>
        <v>ሀ. አስተዋውቋል ቆጠራ ክፍሎች ለ. በጨዋታዎች ውስጥ አስተዋውቋል ታሪክ ሐ. አበረታች ተራ-ተኮር ስርዓቶች መ. በስትራቴጂ ላይ በተመሰረቱ መካኒኮች አነሳሽነት</v>
      </c>
      <c r="J59" s="5" t="str">
        <f>IFERROR(__xludf.DUMMYFUNCTION(" GOOGLETRANSLATE(D59, ""en"", ""am"")"),"በስትራቴጂ ላይ በተመሰረቱ መካኒኮች ተመስጦ")</f>
        <v>በስትራቴጂ ላይ በተመሰረቱ መካኒኮች ተመስጦ</v>
      </c>
      <c r="K59" s="5" t="str">
        <f>IFERROR(__xludf.DUMMYFUNCTION(" GOOGLETRANSLATE(E59, ""en"", ""am"")"),"ሰንጠረዡ በብዙ ዘመናዊ የቦርድ ጨዋታዎች ውስጥ ስትራቴጂ-ተኮር መካኒኮችን አነሳስቷል።")</f>
        <v>ሰንጠረዡ በብዙ ዘመናዊ የቦርድ ጨዋታዎች ውስጥ ስትራቴጂ-ተኮር መካኒኮችን አነሳስቷል።</v>
      </c>
    </row>
    <row r="60" ht="22.5" customHeight="1">
      <c r="A60" s="3">
        <v>59.0</v>
      </c>
      <c r="B60" s="4" t="s">
        <v>3054</v>
      </c>
      <c r="C60" s="4" t="s">
        <v>3055</v>
      </c>
      <c r="D60" s="4" t="s">
        <v>3056</v>
      </c>
      <c r="E60" s="4" t="s">
        <v>3057</v>
      </c>
      <c r="G60" s="5" t="str">
        <f>IFERROR(__xludf.DUMMYFUNCTION(" GOOGLETRANSLATE(A60, ""en"", ""am"")"),"59")</f>
        <v>59</v>
      </c>
      <c r="H60" s="5" t="str">
        <f>IFERROR(__xludf.DUMMYFUNCTION(" GOOGLETRANSLATE(B60, ""en"", ""am"")"),"በአፍሪካ ጥበብ ውስጥ የጠረጴዛው የተለመደ ምስል ምንድነው?")</f>
        <v>በአፍሪካ ጥበብ ውስጥ የጠረጴዛው የተለመደ ምስል ምንድነው?</v>
      </c>
      <c r="I60" s="5" t="str">
        <f>IFERROR(__xludf.DUMMYFUNCTION(" GOOGLETRANSLATE(C60, ""en"", ""am"")"),"A. ወደ የቤት ዕቃዎች ተቀርጿል. ለ. በሸክላ ስራ የተቀረጸ ሐ. በጨርቃ ጨርቅ የተሰራ D. በግድግዳዎች የተቀረጸ")</f>
        <v>A. ወደ የቤት ዕቃዎች ተቀርጿል. ለ. በሸክላ ስራ የተቀረጸ ሐ. በጨርቃ ጨርቅ የተሰራ D. በግድግዳዎች የተቀረጸ</v>
      </c>
      <c r="J60" s="5" t="str">
        <f>IFERROR(__xludf.DUMMYFUNCTION(" GOOGLETRANSLATE(D60, ""en"", ""am"")"),"በግድግዳዎች ውስጥ ተቀርጿል")</f>
        <v>በግድግዳዎች ውስጥ ተቀርጿል</v>
      </c>
      <c r="K60" s="5" t="str">
        <f>IFERROR(__xludf.DUMMYFUNCTION(" GOOGLETRANSLATE(E60, ""en"", ""am"")"),"እንደ ተለምዷዊ መግለጫ አካል ቻልክቦርዶች ብዙውን ጊዜ በግድግዳዎች ወይም ወለሎች ላይ ይሰቀላሉ.")</f>
        <v>እንደ ተለምዷዊ መግለጫ አካል ቻልክቦርዶች ብዙውን ጊዜ በግድግዳዎች ወይም ወለሎች ላይ ይሰቀላሉ.</v>
      </c>
    </row>
    <row r="61" ht="22.5" customHeight="1">
      <c r="A61" s="3">
        <v>60.0</v>
      </c>
      <c r="B61" s="4" t="s">
        <v>3058</v>
      </c>
      <c r="C61" s="4" t="s">
        <v>3059</v>
      </c>
      <c r="D61" s="4" t="s">
        <v>3060</v>
      </c>
      <c r="E61" s="4" t="s">
        <v>3061</v>
      </c>
      <c r="G61" s="5" t="str">
        <f>IFERROR(__xludf.DUMMYFUNCTION(" GOOGLETRANSLATE(A61, ""en"", ""am"")"),"60")</f>
        <v>60</v>
      </c>
      <c r="H61" s="5" t="str">
        <f>IFERROR(__xludf.DUMMYFUNCTION(" GOOGLETRANSLATE(B61, ""en"", ""am"")"),"የኢትዮጵያ ጠረጴዛዎች ልዩ ባህሪ ምንድነው?")</f>
        <v>የኢትዮጵያ ጠረጴዛዎች ልዩ ባህሪ ምንድነው?</v>
      </c>
      <c r="I61" s="5" t="str">
        <f>IFERROR(__xludf.DUMMYFUNCTION(" GOOGLETRANSLATE(C61, ""en"", ""am"")"),"ሀ. የእንስሳት ቅርጻ ቅርጾች ለ. ባለ ብዙ ረድፎች ጉድጓዶች ሐ. ጠፍጣፋ ንጣፎች መ. በርካታ ረድፎች ቀዳዳዎች")</f>
        <v>ሀ. የእንስሳት ቅርጻ ቅርጾች ለ. ባለ ብዙ ረድፎች ጉድጓዶች ሐ. ጠፍጣፋ ንጣፎች መ. በርካታ ረድፎች ቀዳዳዎች</v>
      </c>
      <c r="J61" s="5" t="str">
        <f>IFERROR(__xludf.DUMMYFUNCTION(" GOOGLETRANSLATE(D61, ""en"", ""am"")"),"በርካታ ረድፎች ቀዳዳዎች")</f>
        <v>በርካታ ረድፎች ቀዳዳዎች</v>
      </c>
      <c r="K61" s="5" t="str">
        <f>IFERROR(__xludf.DUMMYFUNCTION(" GOOGLETRANSLATE(E61, ""en"", ""am"")"),"የኢትዮጵያ ቼዝ ቦርዶች የጨዋታውን ውስብስብነት ለማሻሻል ብዙ ረድፎችን ያቀፈ ነው።")</f>
        <v>የኢትዮጵያ ቼዝ ቦርዶች የጨዋታውን ውስብስብነት ለማሻሻል ብዙ ረድፎችን ያቀፈ ነው።</v>
      </c>
    </row>
    <row r="62" ht="22.5" customHeight="1">
      <c r="A62" s="3">
        <v>61.0</v>
      </c>
      <c r="B62" s="4" t="s">
        <v>3062</v>
      </c>
      <c r="C62" s="4" t="s">
        <v>3063</v>
      </c>
      <c r="D62" s="4" t="s">
        <v>3064</v>
      </c>
      <c r="E62" s="4" t="s">
        <v>3065</v>
      </c>
      <c r="G62" s="5" t="str">
        <f>IFERROR(__xludf.DUMMYFUNCTION(" GOOGLETRANSLATE(A62, ""en"", ""am"")"),"61")</f>
        <v>61</v>
      </c>
      <c r="H62" s="5" t="str">
        <f>IFERROR(__xludf.DUMMYFUNCTION(" GOOGLETRANSLATE(B62, ""en"", ""am"")"),"ሰንጠረዡ ወደ ደቡብ ምስራቅ እስያ እንዴት ደረሰ?")</f>
        <v>ሰንጠረዡ ወደ ደቡብ ምስራቅ እስያ እንዴት ደረሰ?</v>
      </c>
      <c r="I62" s="5" t="str">
        <f>IFERROR(__xludf.DUMMYFUNCTION(" GOOGLETRANSLATE(C62, ""en"", ""am"")"),"ሀ. የአውሮፓ ቅኝ ገዥዎች ለ. የህንድ ፍልሰት ሐ. ቻይናውያን ተጓዦች D. የአረብ ነጋዴዎች")</f>
        <v>ሀ. የአውሮፓ ቅኝ ገዥዎች ለ. የህንድ ፍልሰት ሐ. ቻይናውያን ተጓዦች D. የአረብ ነጋዴዎች</v>
      </c>
      <c r="J62" s="5" t="str">
        <f>IFERROR(__xludf.DUMMYFUNCTION(" GOOGLETRANSLATE(D62, ""en"", ""am"")"),"የአረብ ነጋዴዎች")</f>
        <v>የአረብ ነጋዴዎች</v>
      </c>
      <c r="K62" s="5" t="str">
        <f>IFERROR(__xludf.DUMMYFUNCTION(" GOOGLETRANSLATE(E62, ""en"", ""am"")"),"የአረብ ነጋዴዎች ጠረጴዛውን ወደ ደቡብ ምስራቅ እስያ አመጡ, እዚያም ከአካባቢው ልዩነቶች ጋር ተጣጥሟል.")</f>
        <v>የአረብ ነጋዴዎች ጠረጴዛውን ወደ ደቡብ ምስራቅ እስያ አመጡ, እዚያም ከአካባቢው ልዩነቶች ጋር ተጣጥሟል.</v>
      </c>
    </row>
    <row r="63" ht="22.5" customHeight="1">
      <c r="A63" s="3">
        <v>62.0</v>
      </c>
      <c r="B63" s="4" t="s">
        <v>3066</v>
      </c>
      <c r="C63" s="4" t="s">
        <v>3067</v>
      </c>
      <c r="D63" s="4" t="s">
        <v>3068</v>
      </c>
      <c r="E63" s="4" t="s">
        <v>3069</v>
      </c>
      <c r="G63" s="5" t="str">
        <f>IFERROR(__xludf.DUMMYFUNCTION(" GOOGLETRANSLATE(A63, ""en"", ""am"")"),"62")</f>
        <v>62</v>
      </c>
      <c r="H63" s="5" t="str">
        <f>IFERROR(__xludf.DUMMYFUNCTION(" GOOGLETRANSLATE(B63, ""en"", ""am"")"),"በሰንጠረዡ ላይ ያሉት ቀዳዳዎች በባህላዊ መንገድ ምን ያህል ይወክላሉ?")</f>
        <v>በሰንጠረዡ ላይ ያሉት ቀዳዳዎች በባህላዊ መንገድ ምን ያህል ይወክላሉ?</v>
      </c>
      <c r="I63" s="5" t="str">
        <f>IFERROR(__xludf.DUMMYFUNCTION(" GOOGLETRANSLATE(C63, ""en"", ""am"")"),"ሀ. የዓመቱ ወቅቶች ለ. የጎሳ ነገዶች ሐ. የመንደር ሰዎች D. የዓመቱ ወቅቶች")</f>
        <v>ሀ. የዓመቱ ወቅቶች ለ. የጎሳ ነገዶች ሐ. የመንደር ሰዎች D. የዓመቱ ወቅቶች</v>
      </c>
      <c r="J63" s="5" t="str">
        <f>IFERROR(__xludf.DUMMYFUNCTION(" GOOGLETRANSLATE(D63, ""en"", ""am"")"),"የዓመቱ ወቅቶች")</f>
        <v>የዓመቱ ወቅቶች</v>
      </c>
      <c r="K63" s="5" t="str">
        <f>IFERROR(__xludf.DUMMYFUNCTION(" GOOGLETRANSLATE(E63, ""en"", ""am"")"),"በባህላዊ ቻርተር ሰሌዳዎች ውስጥ, የጉድጓዶች ብዛት የዓመቱን ወቅቶች ይወክላል.")</f>
        <v>በባህላዊ ቻርተር ሰሌዳዎች ውስጥ, የጉድጓዶች ብዛት የዓመቱን ወቅቶች ይወክላል.</v>
      </c>
    </row>
    <row r="64" ht="22.5" customHeight="1">
      <c r="A64" s="3">
        <v>63.0</v>
      </c>
      <c r="B64" s="4" t="s">
        <v>3070</v>
      </c>
      <c r="C64" s="4" t="s">
        <v>3071</v>
      </c>
      <c r="D64" s="4" t="s">
        <v>3072</v>
      </c>
      <c r="E64" s="4" t="s">
        <v>3073</v>
      </c>
      <c r="G64" s="5" t="str">
        <f>IFERROR(__xludf.DUMMYFUNCTION(" GOOGLETRANSLATE(A64, ""en"", ""am"")"),"63")</f>
        <v>63</v>
      </c>
      <c r="H64" s="5" t="str">
        <f>IFERROR(__xludf.DUMMYFUNCTION(" GOOGLETRANSLATE(B64, ""en"", ""am"")"),"ሙዚቃን እንደ ማእከላዊ እንቅስቃሴ የሚያቀርበው የትኛው የአፍሪካ ፌስቲቫል ነው?")</f>
        <v>ሙዚቃን እንደ ማእከላዊ እንቅስቃሴ የሚያቀርበው የትኛው የአፍሪካ ፌስቲቫል ነው?</v>
      </c>
      <c r="I64" s="5" t="str">
        <f>IFERROR(__xludf.DUMMYFUNCTION(" GOOGLETRANSLATE(C64, ""en"", ""am"")"),"አ. ኦድዊራ ፌስቲቫል ለ ኡሁሩ ፌስቲቫል ሐ ዱባር ፌስቲቫል ዲ. ቲምካት")</f>
        <v>አ. ኦድዊራ ፌስቲቫል ለ ኡሁሩ ፌስቲቫል ሐ ዱባር ፌስቲቫል ዲ. ቲምካት</v>
      </c>
      <c r="J64" s="5" t="str">
        <f>IFERROR(__xludf.DUMMYFUNCTION(" GOOGLETRANSLATE(D64, ""en"", ""am"")"),"ቲምካት")</f>
        <v>ቲምካት</v>
      </c>
      <c r="K64" s="5" t="str">
        <f>IFERROR(__xludf.DUMMYFUNCTION(" GOOGLETRANSLATE(E64, ""en"", ""am"")"),"ጠረጴዛው በቲምካት ፌስቲቫል በኢትዮጵያ እየተጫወተ ሲሆን ባህልና ወግ እያከበረ ነው።")</f>
        <v>ጠረጴዛው በቲምካት ፌስቲቫል በኢትዮጵያ እየተጫወተ ሲሆን ባህልና ወግ እያከበረ ነው።</v>
      </c>
    </row>
    <row r="65" ht="22.5" customHeight="1">
      <c r="A65" s="3">
        <v>64.0</v>
      </c>
      <c r="B65" s="4" t="s">
        <v>3074</v>
      </c>
      <c r="C65" s="4" t="s">
        <v>3075</v>
      </c>
      <c r="D65" s="4" t="s">
        <v>3076</v>
      </c>
      <c r="E65" s="4" t="s">
        <v>3077</v>
      </c>
      <c r="G65" s="5" t="str">
        <f>IFERROR(__xludf.DUMMYFUNCTION(" GOOGLETRANSLATE(A65, ""en"", ""am"")"),"64")</f>
        <v>64</v>
      </c>
      <c r="H65" s="5" t="str">
        <f>IFERROR(__xludf.DUMMYFUNCTION(" GOOGLETRANSLATE(B65, ""en"", ""am"")"),"የቦርድ ጨዋታ የጀመረው በየትኛው ክፍለ ዘመን ነው?")</f>
        <v>የቦርድ ጨዋታ የጀመረው በየትኛው ክፍለ ዘመን ነው?</v>
      </c>
      <c r="I65" s="5" t="str">
        <f>IFERROR(__xludf.DUMMYFUNCTION(" GOOGLETRANSLATE(C65, ""en"", ""am"")"),"ኣብ 3ይ ክፍለ ዘመን ብ7ይ ክፍለ ዘመን ዓ.ም.")</f>
        <v>ኣብ 3ይ ክፍለ ዘመን ብ7ይ ክፍለ ዘመን ዓ.ም.</v>
      </c>
      <c r="J65" s="5" t="str">
        <f>IFERROR(__xludf.DUMMYFUNCTION(" GOOGLETRANSLATE(D65, ""en"", ""am"")"),"5 ኛው ክፍለ ዘመን ዓክልበ")</f>
        <v>5 ኛው ክፍለ ዘመን ዓክልበ</v>
      </c>
      <c r="K65" s="5" t="str">
        <f>IFERROR(__xludf.DUMMYFUNCTION(" GOOGLETRANSLATE(E65, ""en"", ""am"")"),"ጠረጴዛው በ 5 ኛው ክፍለ ዘመን ከክርስቶስ ልደት በፊት በአፍሪካ ውስጥ እንደ ተፈጠረ ይታመናል.")</f>
        <v>ጠረጴዛው በ 5 ኛው ክፍለ ዘመን ከክርስቶስ ልደት በፊት በአፍሪካ ውስጥ እንደ ተፈጠረ ይታመናል.</v>
      </c>
    </row>
    <row r="66" ht="22.5" customHeight="1">
      <c r="A66" s="3">
        <v>65.0</v>
      </c>
      <c r="B66" s="4" t="s">
        <v>3078</v>
      </c>
      <c r="C66" s="4" t="s">
        <v>3079</v>
      </c>
      <c r="D66" s="4" t="s">
        <v>2927</v>
      </c>
      <c r="E66" s="4" t="s">
        <v>3080</v>
      </c>
      <c r="G66" s="5" t="str">
        <f>IFERROR(__xludf.DUMMYFUNCTION(" GOOGLETRANSLATE(A66, ""en"", ""am"")"),"65")</f>
        <v>65</v>
      </c>
      <c r="H66" s="5" t="str">
        <f>IFERROR(__xludf.DUMMYFUNCTION(" GOOGLETRANSLATE(B66, ""en"", ""am"")"),"ከእነዚህ ክልሎች ውስጥ በአርኪኦሎጂካል ቁፋሮዎች ውስጥ ጥንታዊ የማንካላ ቦርዶችን በማግኘቱ ይታወቃል?")</f>
        <v>ከእነዚህ ክልሎች ውስጥ በአርኪኦሎጂካል ቁፋሮዎች ውስጥ ጥንታዊ የማንካላ ቦርዶችን በማግኘቱ ይታወቃል?</v>
      </c>
      <c r="I66" s="5" t="str">
        <f>IFERROR(__xludf.DUMMYFUNCTION(" GOOGLETRANSLATE(C66, ""en"", ""am"")"),"ሀ. ሰሜን አሜሪካ ለ ደቡብ እስያ ሐ. ምዕራባዊ አውሮፓ D. ምስራቅ አፍሪካ")</f>
        <v>ሀ. ሰሜን አሜሪካ ለ ደቡብ እስያ ሐ. ምዕራባዊ አውሮፓ D. ምስራቅ አፍሪካ</v>
      </c>
      <c r="J66" s="5" t="str">
        <f>IFERROR(__xludf.DUMMYFUNCTION(" GOOGLETRANSLATE(D66, ""en"", ""am"")"),"ምስራቅ አፍሪካ")</f>
        <v>ምስራቅ አፍሪካ</v>
      </c>
      <c r="K66" s="5" t="str">
        <f>IFERROR(__xludf.DUMMYFUNCTION(" GOOGLETRANSLATE(E66, ""en"", ""am"")"),"ምስራቅ አፍሪካ በተለይም ኢትዮጵያ በቁፋሮ ወቅት ጥንታዊ የማንካላ ሰሌዳዎችን አዘጋጅታለች።")</f>
        <v>ምስራቅ አፍሪካ በተለይም ኢትዮጵያ በቁፋሮ ወቅት ጥንታዊ የማንካላ ሰሌዳዎችን አዘጋጅታለች።</v>
      </c>
    </row>
    <row r="67" ht="22.5" customHeight="1">
      <c r="A67" s="3">
        <v>66.0</v>
      </c>
      <c r="B67" s="4" t="s">
        <v>3081</v>
      </c>
      <c r="C67" s="4" t="s">
        <v>3082</v>
      </c>
      <c r="D67" s="4" t="s">
        <v>3083</v>
      </c>
      <c r="E67" s="4" t="s">
        <v>3084</v>
      </c>
      <c r="G67" s="5" t="str">
        <f>IFERROR(__xludf.DUMMYFUNCTION(" GOOGLETRANSLATE(A67, ""en"", ""am"")"),"66")</f>
        <v>66</v>
      </c>
      <c r="H67" s="5" t="str">
        <f>IFERROR(__xludf.DUMMYFUNCTION(" GOOGLETRANSLATE(B67, ""en"", ""am"")"),"በጥንታዊ የአፍሪካ ማህበረሰቦች ውስጥ ካርዶችን የመጫወት ዋና ዓላማ ምን ነበር?")</f>
        <v>በጥንታዊ የአፍሪካ ማህበረሰቦች ውስጥ ካርዶችን የመጫወት ዋና ዓላማ ምን ነበር?</v>
      </c>
      <c r="I67" s="5" t="str">
        <f>IFERROR(__xludf.DUMMYFUNCTION(" GOOGLETRANSLATE(C67, ""en"", ""am"")"),"ሀ. ሃይማኖታዊ ሥነ ሥርዓቶች ለ. የገበያ ግብይት ሐ. የጦርነት ዝግጅቶች መ. መዝናኛ እና ስትራቴጂ")</f>
        <v>ሀ. ሃይማኖታዊ ሥነ ሥርዓቶች ለ. የገበያ ግብይት ሐ. የጦርነት ዝግጅቶች መ. መዝናኛ እና ስትራቴጂ</v>
      </c>
      <c r="J67" s="5" t="str">
        <f>IFERROR(__xludf.DUMMYFUNCTION(" GOOGLETRANSLATE(D67, ""en"", ""am"")"),"መዝናኛ እና ስልት")</f>
        <v>መዝናኛ እና ስልት</v>
      </c>
      <c r="K67" s="5" t="str">
        <f>IFERROR(__xludf.DUMMYFUNCTION(" GOOGLETRANSLATE(E67, ""en"", ""am"")"),"ገበያዎች ለመዝናኛ እና ስልታዊ አስተሳሰብን ለማዳበር ይጫወታሉ።")</f>
        <v>ገበያዎች ለመዝናኛ እና ስልታዊ አስተሳሰብን ለማዳበር ይጫወታሉ።</v>
      </c>
    </row>
    <row r="68" ht="22.5" customHeight="1">
      <c r="A68" s="3">
        <v>67.0</v>
      </c>
      <c r="B68" s="4" t="s">
        <v>3085</v>
      </c>
      <c r="C68" s="4" t="s">
        <v>3086</v>
      </c>
      <c r="D68" s="4" t="s">
        <v>3087</v>
      </c>
      <c r="E68" s="4" t="s">
        <v>3088</v>
      </c>
      <c r="G68" s="5" t="str">
        <f>IFERROR(__xludf.DUMMYFUNCTION(" GOOGLETRANSLATE(A68, ""en"", ""am"")"),"67")</f>
        <v>67</v>
      </c>
      <c r="H68" s="5" t="str">
        <f>IFERROR(__xludf.DUMMYFUNCTION(" GOOGLETRANSLATE(B68, ""en"", ""am"")"),"ማንካላን ወደ አረብ ባሕረ ገብ መሬት ያስተዋወቀው የትኛው ሥልጣኔ ነው?")</f>
        <v>ማንካላን ወደ አረብ ባሕረ ገብ መሬት ያስተዋወቀው የትኛው ሥልጣኔ ነው?</v>
      </c>
      <c r="I68" s="5" t="str">
        <f>IFERROR(__xludf.DUMMYFUNCTION(" GOOGLETRANSLATE(C68, ""en"", ""am"")"),"አ. የኦቶማን ኢምፓየር ለ. የሳሳኒያ ኢምፓየር ሐ. የጥንት ግብፃውያን ዲ. የሳሳኒያ ኢምፓየር")</f>
        <v>አ. የኦቶማን ኢምፓየር ለ. የሳሳኒያ ኢምፓየር ሐ. የጥንት ግብፃውያን ዲ. የሳሳኒያ ኢምፓየር</v>
      </c>
      <c r="J68" s="5" t="str">
        <f>IFERROR(__xludf.DUMMYFUNCTION(" GOOGLETRANSLATE(D68, ""en"", ""am"")"),"የሳሳኒያ ግዛት")</f>
        <v>የሳሳኒያ ግዛት</v>
      </c>
      <c r="K68" s="5" t="str">
        <f>IFERROR(__xludf.DUMMYFUNCTION(" GOOGLETRANSLATE(E68, ""en"", ""am"")"),"የሳሳኒያ ኢምፓየር ማንካላን ወደ አረብ ባሕረ ገብ መሬት አስተዋወቀው በ6ኛው ክፍለ ዘመን እዘአ።")</f>
        <v>የሳሳኒያ ኢምፓየር ማንካላን ወደ አረብ ባሕረ ገብ መሬት አስተዋወቀው በ6ኛው ክፍለ ዘመን እዘአ።</v>
      </c>
    </row>
    <row r="69" ht="22.5" customHeight="1">
      <c r="A69" s="3">
        <v>68.0</v>
      </c>
      <c r="B69" s="4" t="s">
        <v>3089</v>
      </c>
      <c r="C69" s="4" t="s">
        <v>3090</v>
      </c>
      <c r="D69" s="4" t="s">
        <v>3091</v>
      </c>
      <c r="E69" s="4" t="s">
        <v>3092</v>
      </c>
      <c r="G69" s="5" t="str">
        <f>IFERROR(__xludf.DUMMYFUNCTION(" GOOGLETRANSLATE(A69, ""en"", ""am"")"),"68")</f>
        <v>68</v>
      </c>
      <c r="H69" s="5" t="str">
        <f>IFERROR(__xludf.DUMMYFUNCTION(" GOOGLETRANSLATE(B69, ""en"", ""am"")"),"የማንካላ ወደ አውሮፓ መግባቱ በአካባቢው የቦርድ ጨዋታዎች ላይ ተጽዕኖ ያሳደረው እንዴት ነው?")</f>
        <v>የማንካላ ወደ አውሮፓ መግባቱ በአካባቢው የቦርድ ጨዋታዎች ላይ ተጽዕኖ ያሳደረው እንዴት ነው?</v>
      </c>
      <c r="I69" s="5" t="str">
        <f>IFERROR(__xludf.DUMMYFUNCTION(" GOOGLETRANSLATE(C69, ""en"", ""am"")"),"ሀ. ቼዝ እንዲፈጠር ምክንያት ሆኗል ለ. አስተዋወቀ የቁማር ልምዶች ሐ. በዳይስ ላይ የተመሰረቱ መካኒኮችን አስተዋውቋል D. ዘመናዊ የስትራቴጂ ጨዋታዎችን አበረታች")</f>
        <v>ሀ. ቼዝ እንዲፈጠር ምክንያት ሆኗል ለ. አስተዋወቀ የቁማር ልምዶች ሐ. በዳይስ ላይ የተመሰረቱ መካኒኮችን አስተዋውቋል D. ዘመናዊ የስትራቴጂ ጨዋታዎችን አበረታች</v>
      </c>
      <c r="J69" s="5" t="str">
        <f>IFERROR(__xludf.DUMMYFUNCTION(" GOOGLETRANSLATE(D69, ""en"", ""am"")"),"አነቃቂ ዘመናዊ የስትራቴጂ ጨዋታዎች")</f>
        <v>አነቃቂ ዘመናዊ የስትራቴጂ ጨዋታዎች</v>
      </c>
      <c r="K69" s="5" t="str">
        <f>IFERROR(__xludf.DUMMYFUNCTION(" GOOGLETRANSLATE(E69, ""en"", ""am"")"),"ማንካላ በታክቲካዊ አጨዋወቱ የዘመናዊ ስትራቴጂ ጨዋታዎችን እድገት ላይ ተጽዕኖ አሳድሯል።")</f>
        <v>ማንካላ በታክቲካዊ አጨዋወቱ የዘመናዊ ስትራቴጂ ጨዋታዎችን እድገት ላይ ተጽዕኖ አሳድሯል።</v>
      </c>
    </row>
    <row r="70" ht="22.5" customHeight="1">
      <c r="A70" s="3">
        <v>69.0</v>
      </c>
      <c r="B70" s="4" t="s">
        <v>3093</v>
      </c>
      <c r="C70" s="4" t="s">
        <v>3094</v>
      </c>
      <c r="D70" s="4" t="s">
        <v>2971</v>
      </c>
      <c r="E70" s="4" t="s">
        <v>3095</v>
      </c>
      <c r="G70" s="5" t="str">
        <f>IFERROR(__xludf.DUMMYFUNCTION(" GOOGLETRANSLATE(A70, ""en"", ""am"")"),"69")</f>
        <v>69</v>
      </c>
      <c r="H70" s="5" t="str">
        <f>IFERROR(__xludf.DUMMYFUNCTION(" GOOGLETRANSLATE(B70, ""en"", ""am"")"),"ከእነዚህ ውስጥ በኢትዮጵያ ውስጥ የማንካላ ጨዋታ የተለመደ ስም የትኛው ነው?")</f>
        <v>ከእነዚህ ውስጥ በኢትዮጵያ ውስጥ የማንካላ ጨዋታ የተለመደ ስም የትኛው ነው?</v>
      </c>
      <c r="I70" s="5" t="str">
        <f>IFERROR(__xludf.DUMMYFUNCTION(" GOOGLETRANSLATE(C70, ""en"", ""am"")"),"ኤ. ሴኔት B. Garbaza C. chart D. chart")</f>
        <v>ኤ. ሴኔት B. Garbaza C. chart D. chart</v>
      </c>
      <c r="J70" s="5" t="str">
        <f>IFERROR(__xludf.DUMMYFUNCTION(" GOOGLETRANSLATE(D70, ""en"", ""am"")"),"ገበታ")</f>
        <v>ገበታ</v>
      </c>
      <c r="K70" s="5" t="str">
        <f>IFERROR(__xludf.DUMMYFUNCTION(" GOOGLETRANSLATE(E70, ""en"", ""am"")"),"ኢትዮጵያ ውስጥ ጨዋታው በተለምዶ ቻታብ በመባል ይታወቃል።")</f>
        <v>ኢትዮጵያ ውስጥ ጨዋታው በተለምዶ ቻታብ በመባል ይታወቃል።</v>
      </c>
    </row>
    <row r="71" ht="22.5" customHeight="1">
      <c r="A71" s="3">
        <v>70.0</v>
      </c>
      <c r="B71" s="4" t="s">
        <v>3096</v>
      </c>
      <c r="C71" s="4" t="s">
        <v>3097</v>
      </c>
      <c r="D71" s="4" t="s">
        <v>3098</v>
      </c>
      <c r="E71" s="4" t="s">
        <v>3099</v>
      </c>
      <c r="G71" s="5" t="str">
        <f>IFERROR(__xludf.DUMMYFUNCTION(" GOOGLETRANSLATE(A71, ""en"", ""am"")"),"70")</f>
        <v>70</v>
      </c>
      <c r="H71" s="5" t="str">
        <f>IFERROR(__xludf.DUMMYFUNCTION(" GOOGLETRANSLATE(B71, ""en"", ""am"")"),"ማንካላን በጽሑፎቹ ውስጥ ተወዳጅ ጨዋታ አድርጎ የጠቀሰው የትኛው ታሪካዊ ሰው ነው?")</f>
        <v>ማንካላን በጽሑፎቹ ውስጥ ተወዳጅ ጨዋታ አድርጎ የጠቀሰው የትኛው ታሪካዊ ሰው ነው?</v>
      </c>
      <c r="I71" s="5" t="str">
        <f>IFERROR(__xludf.DUMMYFUNCTION(" GOOGLETRANSLATE(C71, ""en"", ""am"")"),"ሀኒባል ባርሳ ቢ ናፖሊዮን ቦናፓርት ሲ. ታላቁ አሌክሳንደር ዲ ኢብን ካልዱን")</f>
        <v>ሀኒባል ባርሳ ቢ ናፖሊዮን ቦናፓርት ሲ. ታላቁ አሌክሳንደር ዲ ኢብን ካልዱን</v>
      </c>
      <c r="J71" s="5" t="str">
        <f>IFERROR(__xludf.DUMMYFUNCTION(" GOOGLETRANSLATE(D71, ""en"", ""am"")"),"ኢብን ካልዱን")</f>
        <v>ኢብን ካልዱን</v>
      </c>
      <c r="K71" s="5" t="str">
        <f>IFERROR(__xludf.DUMMYFUNCTION(" GOOGLETRANSLATE(E71, ""en"", ""am"")"),"ኢብን ካልዱን የታሪክ ምሁር ስለ ሰሜን አፍሪካ ባሕል በጻፋቸው ጽሑፎች ውስጥ ማንካላን ጠቅሰዋል።")</f>
        <v>ኢብን ካልዱን የታሪክ ምሁር ስለ ሰሜን አፍሪካ ባሕል በጻፋቸው ጽሑፎች ውስጥ ማንካላን ጠቅሰዋል።</v>
      </c>
    </row>
    <row r="72" ht="22.5" customHeight="1">
      <c r="A72" s="3">
        <v>71.0</v>
      </c>
      <c r="B72" s="4" t="s">
        <v>3100</v>
      </c>
      <c r="C72" s="4" t="s">
        <v>3101</v>
      </c>
      <c r="D72" s="4" t="s">
        <v>12</v>
      </c>
      <c r="E72" s="4" t="s">
        <v>3102</v>
      </c>
      <c r="G72" s="5" t="str">
        <f>IFERROR(__xludf.DUMMYFUNCTION(" GOOGLETRANSLATE(A72, ""en"", ""am"")"),"71")</f>
        <v>71</v>
      </c>
      <c r="H72" s="5" t="str">
        <f>IFERROR(__xludf.DUMMYFUNCTION(" GOOGLETRANSLATE(B72, ""en"", ""am"")"),"የቦርድ ጫወታው በየትኛው አፍሪካዊ ሀገር ነው አሁን ያለበት ደረጃ ላይ የደረሰው?")</f>
        <v>የቦርድ ጫወታው በየትኛው አፍሪካዊ ሀገር ነው አሁን ያለበት ደረጃ ላይ የደረሰው?</v>
      </c>
      <c r="I72" s="5" t="str">
        <f>IFERROR(__xludf.DUMMYFUNCTION(" GOOGLETRANSLATE(C72, ""en"", ""am"")"),"አ.ኬንያ ቢ.ጋና ሲ.ናይጄሪያ ዲ.ኢትዮጵያ")</f>
        <v>አ.ኬንያ ቢ.ጋና ሲ.ናይጄሪያ ዲ.ኢትዮጵያ</v>
      </c>
      <c r="J72" s="5" t="str">
        <f>IFERROR(__xludf.DUMMYFUNCTION(" GOOGLETRANSLATE(D72, ""en"", ""am"")"),"ኢትዮጵያ")</f>
        <v>ኢትዮጵያ</v>
      </c>
      <c r="K72" s="5" t="str">
        <f>IFERROR(__xludf.DUMMYFUNCTION(" GOOGLETRANSLATE(E72, ""en"", ""am"")"),"ኢትዮጵያ እስከ ዛሬ በመጫወት በሰፊው የሚታወቀውን የጠረጴዛ ቴኒስ ፎርማት በማዘጋጀት ትታወቃለች።")</f>
        <v>ኢትዮጵያ እስከ ዛሬ በመጫወት በሰፊው የሚታወቀውን የጠረጴዛ ቴኒስ ፎርማት በማዘጋጀት ትታወቃለች።</v>
      </c>
    </row>
    <row r="73" ht="22.5" customHeight="1">
      <c r="A73" s="3">
        <v>72.0</v>
      </c>
      <c r="B73" s="4" t="s">
        <v>3103</v>
      </c>
      <c r="C73" s="4" t="s">
        <v>3104</v>
      </c>
      <c r="D73" s="4" t="s">
        <v>3105</v>
      </c>
      <c r="E73" s="4" t="s">
        <v>3106</v>
      </c>
      <c r="G73" s="5" t="str">
        <f>IFERROR(__xludf.DUMMYFUNCTION(" GOOGLETRANSLATE(A73, ""en"", ""am"")"),"72")</f>
        <v>72</v>
      </c>
      <c r="H73" s="5" t="str">
        <f>IFERROR(__xludf.DUMMYFUNCTION(" GOOGLETRANSLATE(B73, ""en"", ""am"")"),"ማንካላ ወደ አረብ ባሕረ ገብ መሬት እና ህንድ የተስፋፋው በየትኛው ወቅት ነው?")</f>
        <v>ማንካላ ወደ አረብ ባሕረ ገብ መሬት እና ህንድ የተስፋፋው በየትኛው ወቅት ነው?</v>
      </c>
      <c r="I73" s="5" t="str">
        <f>IFERROR(__xludf.DUMMYFUNCTION(" GOOGLETRANSLATE(C73, ""en"", ""am"")"),"ሀ. የጥንት ዘመን ለ. ህዳሴ ሐ. ዘመናዊ ዘመን መ. መካከለኛው ዘመን")</f>
        <v>ሀ. የጥንት ዘመን ለ. ህዳሴ ሐ. ዘመናዊ ዘመን መ. መካከለኛው ዘመን</v>
      </c>
      <c r="J73" s="5" t="str">
        <f>IFERROR(__xludf.DUMMYFUNCTION(" GOOGLETRANSLATE(D73, ""en"", ""am"")"),"የመካከለኛው ዘመን")</f>
        <v>የመካከለኛው ዘመን</v>
      </c>
      <c r="K73" s="5" t="str">
        <f>IFERROR(__xludf.DUMMYFUNCTION(" GOOGLETRANSLATE(E73, ""en"", ""am"")"),"ማንካላ በመካከለኛው ዘመን ወደ አረብ ባሕረ ገብ መሬት እና ሕንድ ተስፋፋ።")</f>
        <v>ማንካላ በመካከለኛው ዘመን ወደ አረብ ባሕረ ገብ መሬት እና ሕንድ ተስፋፋ።</v>
      </c>
    </row>
    <row r="74" ht="22.5" customHeight="1">
      <c r="A74" s="3">
        <v>73.0</v>
      </c>
      <c r="B74" s="4" t="s">
        <v>3107</v>
      </c>
      <c r="C74" s="4" t="s">
        <v>3108</v>
      </c>
      <c r="D74" s="4" t="s">
        <v>2916</v>
      </c>
      <c r="E74" s="4" t="s">
        <v>3109</v>
      </c>
      <c r="G74" s="5" t="str">
        <f>IFERROR(__xludf.DUMMYFUNCTION(" GOOGLETRANSLATE(A74, ""en"", ""am"")"),"73")</f>
        <v>73</v>
      </c>
      <c r="H74" s="5" t="str">
        <f>IFERROR(__xludf.DUMMYFUNCTION(" GOOGLETRANSLATE(B74, ""en"", ""am"")"),"እንደ ማንካላ ያሉ ጨዋታዎችን እንደ የመማሪያ መሳሪያ ተጠቅሞበታል የሚባለው የትኛው ጥንታዊ የአፍሪካ ባህል ነው?")</f>
        <v>እንደ ማንካላ ያሉ ጨዋታዎችን እንደ የመማሪያ መሳሪያ ተጠቅሞበታል የሚባለው የትኛው ጥንታዊ የአፍሪካ ባህል ነው?</v>
      </c>
      <c r="I74" s="5" t="str">
        <f>IFERROR(__xludf.DUMMYFUNCTION(" GOOGLETRANSLATE(C74, ""en"", ""am"")"),"ሀ. የጋና ቢ. ናይጄሪያ ሲ በርበር ዲ. ግብፃውያን")</f>
        <v>ሀ. የጋና ቢ. ናይጄሪያ ሲ በርበር ዲ. ግብፃውያን</v>
      </c>
      <c r="J74" s="5" t="str">
        <f>IFERROR(__xludf.DUMMYFUNCTION(" GOOGLETRANSLATE(D74, ""en"", ""am"")"),"ግብፃውያን")</f>
        <v>ግብፃውያን</v>
      </c>
      <c r="K74" s="5" t="str">
        <f>IFERROR(__xludf.DUMMYFUNCTION(" GOOGLETRANSLATE(E74, ""en"", ""am"")"),"የጥንት ግብፃውያን ልጆችን ለማስተማር እና ስልታዊ አስተሳሰብን ለማዳበር እንደ ማንካላ ያሉ ጨዋታዎችን ይጠቀሙ ነበር።")</f>
        <v>የጥንት ግብፃውያን ልጆችን ለማስተማር እና ስልታዊ አስተሳሰብን ለማዳበር እንደ ማንካላ ያሉ ጨዋታዎችን ይጠቀሙ ነበር።</v>
      </c>
    </row>
    <row r="75" ht="22.5" customHeight="1">
      <c r="A75" s="3">
        <v>74.0</v>
      </c>
      <c r="B75" s="4" t="s">
        <v>3110</v>
      </c>
      <c r="C75" s="4" t="s">
        <v>3111</v>
      </c>
      <c r="D75" s="4" t="s">
        <v>3112</v>
      </c>
      <c r="E75" s="4" t="s">
        <v>3113</v>
      </c>
      <c r="G75" s="5" t="str">
        <f>IFERROR(__xludf.DUMMYFUNCTION(" GOOGLETRANSLATE(A75, ""en"", ""am"")"),"74")</f>
        <v>74</v>
      </c>
      <c r="H75" s="5" t="str">
        <f>IFERROR(__xludf.DUMMYFUNCTION(" GOOGLETRANSLATE(B75, ""en"", ""am"")"),"የጠረጴዛውን ጠረጴዛ ለመሥራት ያገለገለው ባህላዊ ቁሳቁስ ምን ነበር?")</f>
        <v>የጠረጴዛውን ጠረጴዛ ለመሥራት ያገለገለው ባህላዊ ቁሳቁስ ምን ነበር?</v>
      </c>
      <c r="I75" s="5" t="str">
        <f>IFERROR(__xludf.DUMMYFUNCTION(" GOOGLETRANSLATE(C75, ""en"", ""am"")"),"ሀ. ድንጋይ ቢ. ክሌይ ሐ. Cowrie ዛጎሎች D. የእንጨት ዶቃዎች")</f>
        <v>ሀ. ድንጋይ ቢ. ክሌይ ሐ. Cowrie ዛጎሎች D. የእንጨት ዶቃዎች</v>
      </c>
      <c r="J75" s="5" t="str">
        <f>IFERROR(__xludf.DUMMYFUNCTION(" GOOGLETRANSLATE(D75, ""en"", ""am"")"),"የእንጨት ዶቃዎች")</f>
        <v>የእንጨት ዶቃዎች</v>
      </c>
      <c r="K75" s="5" t="str">
        <f>IFERROR(__xludf.DUMMYFUNCTION(" GOOGLETRANSLATE(E75, ""en"", ""am"")"),"ባህላዊ የጠረጴዛ ዕቃዎች ከእንጨት ዶቃዎች ወይም ዘሮች ለምሳሌ የዘንባባ ዘሮች ይሠራሉ.")</f>
        <v>ባህላዊ የጠረጴዛ ዕቃዎች ከእንጨት ዶቃዎች ወይም ዘሮች ለምሳሌ የዘንባባ ዘሮች ይሠራሉ.</v>
      </c>
    </row>
    <row r="76" ht="22.5" customHeight="1">
      <c r="A76" s="3">
        <v>75.0</v>
      </c>
      <c r="B76" s="4" t="s">
        <v>3114</v>
      </c>
      <c r="C76" s="4" t="s">
        <v>3115</v>
      </c>
      <c r="D76" s="4" t="s">
        <v>2904</v>
      </c>
      <c r="E76" s="4" t="s">
        <v>3116</v>
      </c>
      <c r="G76" s="5" t="str">
        <f>IFERROR(__xludf.DUMMYFUNCTION(" GOOGLETRANSLATE(A76, ""en"", ""am"")"),"75")</f>
        <v>75</v>
      </c>
      <c r="H76" s="5" t="str">
        <f>IFERROR(__xludf.DUMMYFUNCTION(" GOOGLETRANSLATE(B76, ""en"", ""am"")"),"የጨዋታ ሰሌዳው (ማንካላ) የመጣው ከየትኛው አህጉር ነው?")</f>
        <v>የጨዋታ ሰሌዳው (ማንካላ) የመጣው ከየትኛው አህጉር ነው?</v>
      </c>
      <c r="I76" s="5" t="str">
        <f>IFERROR(__xludf.DUMMYFUNCTION(" GOOGLETRANSLATE(C76, ""en"", ""am"")"),"ኤ ኤዥያ ቢ ኤውሮጳ ሲ አሜሪካ ዲ አፍሪካ")</f>
        <v>ኤ ኤዥያ ቢ ኤውሮጳ ሲ አሜሪካ ዲ አፍሪካ</v>
      </c>
      <c r="J76" s="5" t="str">
        <f>IFERROR(__xludf.DUMMYFUNCTION(" GOOGLETRANSLATE(D76, ""en"", ""am"")"),"አፍሪካ")</f>
        <v>አፍሪካ</v>
      </c>
      <c r="K76" s="5" t="str">
        <f>IFERROR(__xludf.DUMMYFUNCTION(" GOOGLETRANSLATE(E76, ""en"", ""am"")"),"በጥንታዊ የአፍሪካ ባህሎች ውስጥ የሚገኙ ማስረጃዎች እንዳሉት አፍሪካ የጨዋታው መገኛ እንደሆነች ተደርጋለች።")</f>
        <v>በጥንታዊ የአፍሪካ ባህሎች ውስጥ የሚገኙ ማስረጃዎች እንዳሉት አፍሪካ የጨዋታው መገኛ እንደሆነች ተደርጋለች።</v>
      </c>
    </row>
    <row r="77" ht="22.5" customHeight="1">
      <c r="A77" s="3">
        <v>76.0</v>
      </c>
      <c r="B77" s="4" t="s">
        <v>3117</v>
      </c>
      <c r="C77" s="4" t="s">
        <v>3118</v>
      </c>
      <c r="D77" s="4" t="s">
        <v>2951</v>
      </c>
      <c r="E77" s="4" t="s">
        <v>3119</v>
      </c>
      <c r="G77" s="5" t="str">
        <f>IFERROR(__xludf.DUMMYFUNCTION(" GOOGLETRANSLATE(A77, ""en"", ""am"")"),"76")</f>
        <v>76</v>
      </c>
      <c r="H77" s="5" t="str">
        <f>IFERROR(__xludf.DUMMYFUNCTION(" GOOGLETRANSLATE(B77, ""en"", ""am"")"),"ማንካላ በአፍሪካ እና በእስያ እንዲስፋፋ የረዳው የትኛው ጠቃሚ የንግድ መስመር ነው?")</f>
        <v>ማንካላ በአፍሪካ እና በእስያ እንዲስፋፋ የረዳው የትኛው ጠቃሚ የንግድ መስመር ነው?</v>
      </c>
      <c r="I77" s="5" t="str">
        <f>IFERROR(__xludf.DUMMYFUNCTION(" GOOGLETRANSLATE(C77, ""en"", ""am"")"),"ሀ. የሐር መንገድ ለ. የሕንድ ውቅያኖስ የንግድ መስመር ሐ. አምበር መንገድ D. ትራንስ-ሰሃራን የንግድ መስመር")</f>
        <v>ሀ. የሐር መንገድ ለ. የሕንድ ውቅያኖስ የንግድ መስመር ሐ. አምበር መንገድ D. ትራንስ-ሰሃራን የንግድ መስመር</v>
      </c>
      <c r="J77" s="5" t="str">
        <f>IFERROR(__xludf.DUMMYFUNCTION(" GOOGLETRANSLATE(D77, ""en"", ""am"")"),"ከሰሃራ ተሻጋሪ የንግድ መስመር")</f>
        <v>ከሰሃራ ተሻጋሪ የንግድ መስመር</v>
      </c>
      <c r="K77" s="5" t="str">
        <f>IFERROR(__xludf.DUMMYFUNCTION(" GOOGLETRANSLATE(E77, ""en"", ""am"")"),"ከሰሃራ በላይ ያለው የንግድ መስመር ማንካላ በአፍሪካ እና ከዚያም አልፎ እንዲስፋፋ ትልቅ ሚና ተጫውቷል።")</f>
        <v>ከሰሃራ በላይ ያለው የንግድ መስመር ማንካላ በአፍሪካ እና ከዚያም አልፎ እንዲስፋፋ ትልቅ ሚና ተጫውቷል።</v>
      </c>
    </row>
    <row r="78" ht="22.5" customHeight="1">
      <c r="A78" s="3">
        <v>77.0</v>
      </c>
      <c r="B78" s="4" t="s">
        <v>3120</v>
      </c>
      <c r="C78" s="4" t="s">
        <v>3121</v>
      </c>
      <c r="D78" s="4" t="s">
        <v>3122</v>
      </c>
      <c r="E78" s="4" t="s">
        <v>3123</v>
      </c>
      <c r="G78" s="5" t="str">
        <f>IFERROR(__xludf.DUMMYFUNCTION(" GOOGLETRANSLATE(A78, ""en"", ""am"")"),"77")</f>
        <v>77</v>
      </c>
      <c r="H78" s="5" t="str">
        <f>IFERROR(__xludf.DUMMYFUNCTION(" GOOGLETRANSLATE(B78, ""en"", ""am"")"),"በቼዝ ጨዋታ ላይ ተጽዕኖ አሳድሯል የሚባለው የትኛው የቦርድ ጨዋታዎች አካል ነው?")</f>
        <v>በቼዝ ጨዋታ ላይ ተጽዕኖ አሳድሯል የሚባለው የትኛው የቦርድ ጨዋታዎች አካል ነው?</v>
      </c>
      <c r="I78" s="5" t="str">
        <f>IFERROR(__xludf.DUMMYFUNCTION(" GOOGLETRANSLATE(C78, ""en"", ""am"")"),"ሀ. በመዞር ላይ የተመሰረተ መካኒክ ለ. የዳይስ አጠቃቀም ሐ. ቁራጭ እንቅስቃሴ መ. ስትራቴጂክ እቅድ ማውጣት")</f>
        <v>ሀ. በመዞር ላይ የተመሰረተ መካኒክ ለ. የዳይስ አጠቃቀም ሐ. ቁራጭ እንቅስቃሴ መ. ስትራቴጂክ እቅድ ማውጣት</v>
      </c>
      <c r="J78" s="5" t="str">
        <f>IFERROR(__xludf.DUMMYFUNCTION(" GOOGLETRANSLATE(D78, ""en"", ""am"")"),"ስልታዊ እቅድ ማውጣት")</f>
        <v>ስልታዊ እቅድ ማውጣት</v>
      </c>
      <c r="K78" s="5" t="str">
        <f>IFERROR(__xludf.DUMMYFUNCTION(" GOOGLETRANSLATE(E78, ""en"", ""am"")"),"የማንካላ ስልታዊ እቅድ እና ታክቲካል ጥልቀት የቼዝ ጨዋታን አነሳስቷል።")</f>
        <v>የማንካላ ስልታዊ እቅድ እና ታክቲካል ጥልቀት የቼዝ ጨዋታን አነሳስቷል።</v>
      </c>
    </row>
    <row r="79" ht="22.5" customHeight="1">
      <c r="A79" s="3">
        <v>78.0</v>
      </c>
      <c r="B79" s="4" t="s">
        <v>3124</v>
      </c>
      <c r="C79" s="4" t="s">
        <v>3125</v>
      </c>
      <c r="D79" s="4" t="s">
        <v>3126</v>
      </c>
      <c r="E79" s="4" t="s">
        <v>3127</v>
      </c>
      <c r="G79" s="5" t="str">
        <f>IFERROR(__xludf.DUMMYFUNCTION(" GOOGLETRANSLATE(A79, ""en"", ""am"")"),"78")</f>
        <v>78</v>
      </c>
      <c r="H79" s="5" t="str">
        <f>IFERROR(__xludf.DUMMYFUNCTION(" GOOGLETRANSLATE(B79, ""en"", ""am"")"),"በአርኪኦሎጂ ቦታዎች የተገኙ ጥንታዊ የማንካላ ሰሌዳዎች ቁልፍ ገጽታ ምን ነበር?")</f>
        <v>በአርኪኦሎጂ ቦታዎች የተገኙ ጥንታዊ የማንካላ ሰሌዳዎች ቁልፍ ገጽታ ምን ነበር?</v>
      </c>
      <c r="I79" s="5" t="str">
        <f>IFERROR(__xludf.DUMMYFUNCTION(" GOOGLETRANSLATE(C79, ""en"", ""am"")"),"ሀ. ከዝሆን ጥርስ የተሰራ ለ. በምልክቶች የተቀባ ሐ. ለሥርዓተ አምልኮ ዕቃዎች ጥቅም ላይ ይውላል D. በድንጋይ የተቀረጸ")</f>
        <v>ሀ. ከዝሆን ጥርስ የተሰራ ለ. በምልክቶች የተቀባ ሐ. ለሥርዓተ አምልኮ ዕቃዎች ጥቅም ላይ ይውላል D. በድንጋይ የተቀረጸ</v>
      </c>
      <c r="J79" s="5" t="str">
        <f>IFERROR(__xludf.DUMMYFUNCTION(" GOOGLETRANSLATE(D79, ""en"", ""am"")"),"በድንጋይ የተቀረጸ")</f>
        <v>በድንጋይ የተቀረጸ</v>
      </c>
      <c r="K79" s="5" t="str">
        <f>IFERROR(__xludf.DUMMYFUNCTION(" GOOGLETRANSLATE(E79, ""en"", ""am"")"),"ቀደምት የማንካላ ሰሌዳዎች ብዙውን ጊዜ ከድንጋይ የተቀረጹ ናቸው, በተለይም በጥንታዊ የአፍሪካ ባህሎች.")</f>
        <v>ቀደምት የማንካላ ሰሌዳዎች ብዙውን ጊዜ ከድንጋይ የተቀረጹ ናቸው, በተለይም በጥንታዊ የአፍሪካ ባህሎች.</v>
      </c>
    </row>
    <row r="80" ht="22.5" customHeight="1">
      <c r="A80" s="3">
        <v>79.0</v>
      </c>
      <c r="B80" s="4" t="s">
        <v>3128</v>
      </c>
      <c r="C80" s="4" t="s">
        <v>3129</v>
      </c>
      <c r="D80" s="4" t="s">
        <v>3130</v>
      </c>
      <c r="E80" s="4" t="s">
        <v>3131</v>
      </c>
      <c r="G80" s="5" t="str">
        <f>IFERROR(__xludf.DUMMYFUNCTION(" GOOGLETRANSLATE(A80, ""en"", ""am"")"),"79")</f>
        <v>79</v>
      </c>
      <c r="H80" s="5" t="str">
        <f>IFERROR(__xludf.DUMMYFUNCTION(" GOOGLETRANSLATE(B80, ""en"", ""am"")"),"ማንካላ በአሁኑ ስሟ በምዕራቡ ዓለም እንዴት ሊታወቅ ቻለ?")</f>
        <v>ማንካላ በአሁኑ ስሟ በምዕራቡ ዓለም እንዴት ሊታወቅ ቻለ?</v>
      </c>
      <c r="I80" s="5" t="str">
        <f>IFERROR(__xludf.DUMMYFUNCTION(" GOOGLETRANSLATE(C80, ""en"", ""am"")"),"ሀ. ከፖርቹጋላዊ አሳሾች ለ. ከፈረንሣይ ሚስዮናውያን ሐ. በብሪቲሽ ነጋዴዎች መ. በአረብ ተጽእኖ ስር")</f>
        <v>ሀ. ከፖርቹጋላዊ አሳሾች ለ. ከፈረንሣይ ሚስዮናውያን ሐ. በብሪቲሽ ነጋዴዎች መ. በአረብ ተጽእኖ ስር</v>
      </c>
      <c r="J80" s="5" t="str">
        <f>IFERROR(__xludf.DUMMYFUNCTION(" GOOGLETRANSLATE(D80, ""en"", ""am"")"),"በአረብ ተጽእኖ ስር")</f>
        <v>በአረብ ተጽእኖ ስር</v>
      </c>
      <c r="K80" s="5" t="str">
        <f>IFERROR(__xludf.DUMMYFUNCTION(" GOOGLETRANSLATE(E80, ""en"", ""am"")"),"ማንካላ የሚለው ስም የመጣው ከአረብኛ ቃል 'ናቃላ' ሲሆን ትርጉሙም 'መንቀሳቀስ' ማለት ነው።")</f>
        <v>ማንካላ የሚለው ስም የመጣው ከአረብኛ ቃል 'ናቃላ' ሲሆን ትርጉሙም 'መንቀሳቀስ' ማለት ነው።</v>
      </c>
    </row>
    <row r="81" ht="22.5" customHeight="1">
      <c r="A81" s="3">
        <v>80.0</v>
      </c>
      <c r="B81" s="4" t="s">
        <v>3132</v>
      </c>
      <c r="C81" s="4" t="s">
        <v>3133</v>
      </c>
      <c r="D81" s="4" t="s">
        <v>125</v>
      </c>
      <c r="E81" s="4" t="s">
        <v>3134</v>
      </c>
      <c r="G81" s="5" t="str">
        <f>IFERROR(__xludf.DUMMYFUNCTION(" GOOGLETRANSLATE(A81, ""en"", ""am"")"),"80")</f>
        <v>80</v>
      </c>
      <c r="H81" s="5" t="str">
        <f>IFERROR(__xludf.DUMMYFUNCTION(" GOOGLETRANSLATE(B81, ""en"", ""am"")"),"የቦርድ ጨዋታዎችን እንደ ንጉሣዊ ጊዜ ማሳለፊያ በማስተዋወቅ የሚታወቀው የትኛው አፍሪካዊ ንጉሥ ነው?")</f>
        <v>የቦርድ ጨዋታዎችን እንደ ንጉሣዊ ጊዜ ማሳለፊያ በማስተዋወቅ የሚታወቀው የትኛው አፍሪካዊ ንጉሥ ነው?</v>
      </c>
      <c r="I81" s="5" t="str">
        <f>IFERROR(__xludf.DUMMYFUNCTION(" GOOGLETRANSLATE(C81, ""en"", ""am"")"),"ሀ. ንጉስ ሻካ ዙሉ ቢ. ንጉስ ማንሳ ሙሳ ሐ. ንጉስ ሰለሞን ዲ. ንጉስ ሚኒሊክ")</f>
        <v>ሀ. ንጉስ ሻካ ዙሉ ቢ. ንጉስ ማንሳ ሙሳ ሐ. ንጉስ ሰለሞን ዲ. ንጉስ ሚኒሊክ</v>
      </c>
      <c r="J81" s="5" t="str">
        <f>IFERROR(__xludf.DUMMYFUNCTION(" GOOGLETRANSLATE(D81, ""en"", ""am"")"),"ንጉስ ምኒልክ")</f>
        <v>ንጉስ ምኒልክ</v>
      </c>
      <c r="K81" s="5" t="str">
        <f>IFERROR(__xludf.DUMMYFUNCTION(" GOOGLETRANSLATE(E81, ""en"", ""am"")"),"የኢትዮጵያው ንጉስ ዳግማዊ ምኒልክ የጠረጴዛ ቴኒስ ለመኳንንቱ ማሳለፊያ አድርገው አስተዋውቀዋል።")</f>
        <v>የኢትዮጵያው ንጉስ ዳግማዊ ምኒልክ የጠረጴዛ ቴኒስ ለመኳንንቱ ማሳለፊያ አድርገው አስተዋውቀዋል።</v>
      </c>
    </row>
    <row r="82" ht="22.5" customHeight="1">
      <c r="A82" s="3">
        <v>81.0</v>
      </c>
      <c r="B82" s="4" t="s">
        <v>3135</v>
      </c>
      <c r="C82" s="4" t="s">
        <v>3136</v>
      </c>
      <c r="D82" s="4" t="s">
        <v>3137</v>
      </c>
      <c r="E82" s="4" t="s">
        <v>3137</v>
      </c>
      <c r="G82" s="5" t="str">
        <f>IFERROR(__xludf.DUMMYFUNCTION(" GOOGLETRANSLATE(A82, ""en"", ""am"")"),"81")</f>
        <v>81</v>
      </c>
      <c r="H82" s="5" t="str">
        <f>IFERROR(__xludf.DUMMYFUNCTION(" GOOGLETRANSLATE(B82, ""en"", ""am"")"),"በብዙ ባህሎች ውስጥ ከቼከር ጋር የሚመሳሰል ህጎች እና የጨዋታ መካኒኮች የትኛው ጨዋታ አለው?")</f>
        <v>በብዙ ባህሎች ውስጥ ከቼከር ጋር የሚመሳሰል ህጎች እና የጨዋታ መካኒኮች የትኛው ጨዋታ አለው?</v>
      </c>
      <c r="I82" s="5" t="str">
        <f>IFERROR(__xludf.DUMMYFUNCTION(" GOOGLETRANSLATE(C82, ""en"", ""am"")"),"A. Backgammon B. Checks C. Tic-tac-toe D. Backgammon")</f>
        <v>A. Backgammon B. Checks C. Tic-tac-toe D. Backgammon</v>
      </c>
      <c r="J82" s="5" t="str">
        <f>IFERROR(__xludf.DUMMYFUNCTION(" GOOGLETRANSLATE(D82, ""en"", ""am"")"),"Backgammon")</f>
        <v>Backgammon</v>
      </c>
      <c r="K82" s="5" t="str">
        <f>IFERROR(__xludf.DUMMYFUNCTION(" GOOGLETRANSLATE(E82, ""en"", ""am"")"),"Backgammon")</f>
        <v>Backgammon</v>
      </c>
    </row>
    <row r="83" ht="22.5" customHeight="1">
      <c r="A83" s="3">
        <v>82.0</v>
      </c>
      <c r="B83" s="4" t="s">
        <v>3138</v>
      </c>
      <c r="C83" s="4" t="s">
        <v>3139</v>
      </c>
      <c r="D83" s="4" t="s">
        <v>3140</v>
      </c>
      <c r="E83" s="4" t="s">
        <v>3141</v>
      </c>
      <c r="G83" s="5" t="str">
        <f>IFERROR(__xludf.DUMMYFUNCTION(" GOOGLETRANSLATE(A83, ""en"", ""am"")"),"82")</f>
        <v>82</v>
      </c>
      <c r="H83" s="5" t="str">
        <f>IFERROR(__xludf.DUMMYFUNCTION(" GOOGLETRANSLATE(B83, ""en"", ""am"")"),"ማንካላ ዛሬ በሰፊው የሚጫወተው በየትኛው የዓለም ክፍል ነው?")</f>
        <v>ማንካላ ዛሬ በሰፊው የሚጫወተው በየትኛው የዓለም ክፍል ነው?</v>
      </c>
      <c r="I83" s="5" t="str">
        <f>IFERROR(__xludf.DUMMYFUNCTION(" GOOGLETRANSLATE(C83, ""en"", ""am"")"),"ሀ. ሰሜን አሜሪካ ለ ደቡብ አሜሪካ ሐ. ኤውሮጳ ዲ. ከሰሃራ በታች ያሉ አፍሪካ")</f>
        <v>ሀ. ሰሜን አሜሪካ ለ ደቡብ አሜሪካ ሐ. ኤውሮጳ ዲ. ከሰሃራ በታች ያሉ አፍሪካ</v>
      </c>
      <c r="J83" s="5" t="str">
        <f>IFERROR(__xludf.DUMMYFUNCTION(" GOOGLETRANSLATE(D83, ""en"", ""am"")"),"ከሰሃራ በታች ያሉ አፍሪካ")</f>
        <v>ከሰሃራ በታች ያሉ አፍሪካ</v>
      </c>
      <c r="K83" s="5" t="str">
        <f>IFERROR(__xludf.DUMMYFUNCTION(" GOOGLETRANSLATE(E83, ""en"", ""am"")"),"ማንካላ አሁንም ከሰሃራ በታች ባሉ የአፍሪካ ሀገራት በስፋት እየተጫወተ ይገኛል፣ ልዩነቶች በሌሎች የአለም ክፍሎች ይገኛሉ።")</f>
        <v>ማንካላ አሁንም ከሰሃራ በታች ባሉ የአፍሪካ ሀገራት በስፋት እየተጫወተ ይገኛል፣ ልዩነቶች በሌሎች የአለም ክፍሎች ይገኛሉ።</v>
      </c>
    </row>
    <row r="84" ht="22.5" customHeight="1">
      <c r="A84" s="3">
        <v>83.0</v>
      </c>
      <c r="B84" s="4" t="s">
        <v>3142</v>
      </c>
      <c r="C84" s="4" t="s">
        <v>3143</v>
      </c>
      <c r="D84" s="4" t="s">
        <v>3144</v>
      </c>
      <c r="E84" s="4" t="s">
        <v>3145</v>
      </c>
      <c r="G84" s="5" t="str">
        <f>IFERROR(__xludf.DUMMYFUNCTION(" GOOGLETRANSLATE(A84, ""en"", ""am"")"),"83")</f>
        <v>83</v>
      </c>
      <c r="H84" s="5" t="str">
        <f>IFERROR(__xludf.DUMMYFUNCTION(" GOOGLETRANSLATE(B84, ""en"", ""am"")"),"ማንካላን ወደ ዩናይትድ ስቴትስ ለማስተዋወቅ የረዳው የትኛው አስፈላጊ ታሪካዊ ክስተት ነው?")</f>
        <v>ማንካላን ወደ ዩናይትድ ስቴትስ ለማስተዋወቅ የረዳው የትኛው አስፈላጊ ታሪካዊ ክስተት ነው?</v>
      </c>
      <c r="I84" s="5" t="str">
        <f>IFERROR(__xludf.DUMMYFUNCTION(" GOOGLETRANSLATE(C84, ""en"", ""am"")"),"ሀ. ቅኝ ግዛት ለ. ሁለተኛው የዓለም ጦርነት ሐ. የሲቪል መብቶች ንቅናቄ ዲ. የባሪያ ንግድ")</f>
        <v>ሀ. ቅኝ ግዛት ለ. ሁለተኛው የዓለም ጦርነት ሐ. የሲቪል መብቶች ንቅናቄ ዲ. የባሪያ ንግድ</v>
      </c>
      <c r="J84" s="5" t="str">
        <f>IFERROR(__xludf.DUMMYFUNCTION(" GOOGLETRANSLATE(D84, ""en"", ""am"")"),"የባሪያ ንግድ")</f>
        <v>የባሪያ ንግድ</v>
      </c>
      <c r="K84" s="5" t="str">
        <f>IFERROR(__xludf.DUMMYFUNCTION(" GOOGLETRANSLATE(E84, ""en"", ""am"")"),"ማንካላ ከአሜሪካ ጋር የተዋወቀው በአትላንቲክ የባሪያ ንግድ ነው።")</f>
        <v>ማንካላ ከአሜሪካ ጋር የተዋወቀው በአትላንቲክ የባሪያ ንግድ ነው።</v>
      </c>
    </row>
    <row r="85" ht="22.5" customHeight="1">
      <c r="A85" s="3">
        <v>84.0</v>
      </c>
      <c r="B85" s="4" t="s">
        <v>3146</v>
      </c>
      <c r="C85" s="4" t="s">
        <v>3147</v>
      </c>
      <c r="D85" s="4" t="s">
        <v>2975</v>
      </c>
      <c r="E85" s="4" t="s">
        <v>3148</v>
      </c>
      <c r="G85" s="5" t="str">
        <f>IFERROR(__xludf.DUMMYFUNCTION(" GOOGLETRANSLATE(A85, ""en"", ""am"")"),"84")</f>
        <v>84</v>
      </c>
      <c r="H85" s="5" t="str">
        <f>IFERROR(__xludf.DUMMYFUNCTION(" GOOGLETRANSLATE(B85, ""en"", ""am"")"),"በምዕራብ አፍሪካ በተለምዶ የሚጫወተው የማንካላ ልዩነት የትኛው ነው?")</f>
        <v>በምዕራብ አፍሪካ በተለምዶ የሚጫወተው የማንካላ ልዩነት የትኛው ነው?</v>
      </c>
      <c r="I85" s="5" t="str">
        <f>IFERROR(__xludf.DUMMYFUNCTION(" GOOGLETRANSLATE(C85, ""en"", ""am"")"),"ሀ. ከቢ.ፔንቴ ሲ.ቼስ ዲ. ኦዌር በላይ")</f>
        <v>ሀ. ከቢ.ፔንቴ ሲ.ቼስ ዲ. ኦዌር በላይ</v>
      </c>
      <c r="J85" s="5" t="str">
        <f>IFERROR(__xludf.DUMMYFUNCTION(" GOOGLETRANSLATE(D85, ""en"", ""am"")"),"ኦዋሬ")</f>
        <v>ኦዋሬ</v>
      </c>
      <c r="K85" s="5" t="str">
        <f>IFERROR(__xludf.DUMMYFUNCTION(" GOOGLETRANSLATE(E85, ""en"", ""am"")"),"ኦዋሬ በምዕራብ አፍሪካ በሰፊው የሚጫወት ታዋቂ የማንካላ ልዩነት ነው።")</f>
        <v>ኦዋሬ በምዕራብ አፍሪካ በሰፊው የሚጫወት ታዋቂ የማንካላ ልዩነት ነው።</v>
      </c>
    </row>
    <row r="86" ht="22.5" customHeight="1">
      <c r="A86" s="3">
        <v>85.0</v>
      </c>
      <c r="B86" s="4" t="s">
        <v>3149</v>
      </c>
      <c r="C86" s="4" t="s">
        <v>3150</v>
      </c>
      <c r="D86" s="4" t="s">
        <v>3151</v>
      </c>
      <c r="E86" s="4" t="s">
        <v>3152</v>
      </c>
      <c r="G86" s="5" t="str">
        <f>IFERROR(__xludf.DUMMYFUNCTION(" GOOGLETRANSLATE(A86, ""en"", ""am"")"),"85")</f>
        <v>85</v>
      </c>
      <c r="H86" s="5" t="str">
        <f>IFERROR(__xludf.DUMMYFUNCTION(" GOOGLETRANSLATE(B86, ""en"", ""am"")"),"የትኛው ታዋቂ አሳሽ ወደ አፍሪካ ሲጓዝ በመጽሔቱ ላይ ስለ ማንካላ የጻፈው?")</f>
        <v>የትኛው ታዋቂ አሳሽ ወደ አፍሪካ ሲጓዝ በመጽሔቱ ላይ ስለ ማንካላ የጻፈው?</v>
      </c>
      <c r="I86" s="5" t="str">
        <f>IFERROR(__xludf.DUMMYFUNCTION(" GOOGLETRANSLATE(C86, ""en"", ""am"")"),"ሀ. ዴቪድ ሊቪንግስተን ቢ. ሄንሪ ሞርተን ስታንሊ ሲ. ክሪስቶፈር ኮሎምበስ ዲ ዴቪድ ሊቪንግስቶን")</f>
        <v>ሀ. ዴቪድ ሊቪንግስተን ቢ. ሄንሪ ሞርተን ስታንሊ ሲ. ክሪስቶፈር ኮሎምበስ ዲ ዴቪድ ሊቪንግስቶን</v>
      </c>
      <c r="J86" s="5" t="str">
        <f>IFERROR(__xludf.DUMMYFUNCTION(" GOOGLETRANSLATE(D86, ""en"", ""am"")"),"ዴቪድ ሊቪንግስቶን")</f>
        <v>ዴቪድ ሊቪንግስቶን</v>
      </c>
      <c r="K86" s="5" t="str">
        <f>IFERROR(__xludf.DUMMYFUNCTION(" GOOGLETRANSLATE(E86, ""en"", ""am"")"),"ዴቪድ ሊቪንግስቶን በ19ኛው ክፍለ ዘመን ወደ አፍሪካ ባደረገው ጉዞ ስለ ማንካላ ጽፏል።")</f>
        <v>ዴቪድ ሊቪንግስቶን በ19ኛው ክፍለ ዘመን ወደ አፍሪካ ባደረገው ጉዞ ስለ ማንካላ ጽፏል።</v>
      </c>
    </row>
    <row r="87" ht="22.5" customHeight="1">
      <c r="A87" s="3">
        <v>86.0</v>
      </c>
      <c r="B87" s="4" t="s">
        <v>3153</v>
      </c>
      <c r="C87" s="4" t="s">
        <v>3154</v>
      </c>
      <c r="D87" s="4" t="s">
        <v>3155</v>
      </c>
      <c r="E87" s="4" t="s">
        <v>3156</v>
      </c>
      <c r="G87" s="5" t="str">
        <f>IFERROR(__xludf.DUMMYFUNCTION(" GOOGLETRANSLATE(A87, ""en"", ""am"")"),"86")</f>
        <v>86</v>
      </c>
      <c r="H87" s="5" t="str">
        <f>IFERROR(__xludf.DUMMYFUNCTION(" GOOGLETRANSLATE(B87, ""en"", ""am"")"),"የባህል ፌስቲቫሎች አካል ሆኖ ጠረጴዛ ቴኒስ ይጫወት የነበረው ምን ዓይነት ማህበረሰብ ነው?")</f>
        <v>የባህል ፌስቲቫሎች አካል ሆኖ ጠረጴዛ ቴኒስ ይጫወት የነበረው ምን ዓይነት ማህበረሰብ ነው?</v>
      </c>
      <c r="I87" s="5" t="str">
        <f>IFERROR(__xludf.DUMMYFUNCTION(" GOOGLETRANSLATE(C87, ""en"", ""am"")"),"ሀ. ዘላኖች ለ. የአሳ አስጋሪ ማህበረሰቦች ሐ. የንግድ ማህበራት መ. የግብርና ማህበራት")</f>
        <v>ሀ. ዘላኖች ለ. የአሳ አስጋሪ ማህበረሰቦች ሐ. የንግድ ማህበራት መ. የግብርና ማህበራት</v>
      </c>
      <c r="J87" s="5" t="str">
        <f>IFERROR(__xludf.DUMMYFUNCTION(" GOOGLETRANSLATE(D87, ""en"", ""am"")"),"የግብርና ማህበራት")</f>
        <v>የግብርና ማህበራት</v>
      </c>
      <c r="K87" s="5" t="str">
        <f>IFERROR(__xludf.DUMMYFUNCTION(" GOOGLETRANSLATE(E87, ""en"", ""am"")"),"የግብርና ማህበረሰቦች የመከሩን በዓል ለማክበር የባህል ፌስቲቫሎች የቦርድ ጨዋታዎችን ተጫውተዋል።")</f>
        <v>የግብርና ማህበረሰቦች የመከሩን በዓል ለማክበር የባህል ፌስቲቫሎች የቦርድ ጨዋታዎችን ተጫውተዋል።</v>
      </c>
    </row>
    <row r="88" ht="22.5" customHeight="1">
      <c r="A88" s="3">
        <v>87.0</v>
      </c>
      <c r="B88" s="4" t="s">
        <v>3157</v>
      </c>
      <c r="C88" s="4" t="s">
        <v>3158</v>
      </c>
      <c r="D88" s="4" t="s">
        <v>3159</v>
      </c>
      <c r="E88" s="4" t="s">
        <v>3160</v>
      </c>
      <c r="G88" s="5" t="str">
        <f>IFERROR(__xludf.DUMMYFUNCTION(" GOOGLETRANSLATE(A88, ""en"", ""am"")"),"87")</f>
        <v>87</v>
      </c>
      <c r="H88" s="5" t="str">
        <f>IFERROR(__xludf.DUMMYFUNCTION(" GOOGLETRANSLATE(B88, ""en"", ""am"")"),"ማንካላ በአፍሪካ ማኅበረሰቦች ውስጥ እንደ ዲፕሎማሲያዊ መሣሪያነት የሠራው በምን መንገዶች ነው?")</f>
        <v>ማንካላ በአፍሪካ ማኅበረሰቦች ውስጥ እንደ ዲፕሎማሲያዊ መሣሪያነት የሠራው በምን መንገዶች ነው?</v>
      </c>
      <c r="I88" s="5" t="str">
        <f>IFERROR(__xludf.DUMMYFUNCTION(" GOOGLETRANSLATE(C88, ""en"", ""am"")"),"ሀ. የግብር አሰባሰብ ዘዴ ለ. የንግድ ስምምነት ፊርማ ሐ. የጋብቻ ውሎችን ውክልና መ. አለመግባባቶችን ለመፍታት ይጠቅማል።")</f>
        <v>ሀ. የግብር አሰባሰብ ዘዴ ለ. የንግድ ስምምነት ፊርማ ሐ. የጋብቻ ውሎችን ውክልና መ. አለመግባባቶችን ለመፍታት ይጠቅማል።</v>
      </c>
      <c r="J88" s="5" t="str">
        <f>IFERROR(__xludf.DUMMYFUNCTION(" GOOGLETRANSLATE(D88, ""en"", ""am"")"),"አለመግባባቶችን ለመፍታት ያገለግል ነበር።")</f>
        <v>አለመግባባቶችን ለመፍታት ያገለግል ነበር።</v>
      </c>
      <c r="K88" s="5" t="str">
        <f>IFERROR(__xludf.DUMMYFUNCTION(" GOOGLETRANSLATE(E88, ""en"", ""am"")"),"ማንካላ አንዳንድ ጊዜ በአፍሪካ ጎሳዎች መካከል አለመግባባቶችን ለመፍታት እንደ ዲፕሎማሲያዊ መሳሪያ ይጠቀም ነበር.")</f>
        <v>ማንካላ አንዳንድ ጊዜ በአፍሪካ ጎሳዎች መካከል አለመግባባቶችን ለመፍታት እንደ ዲፕሎማሲያዊ መሳሪያ ይጠቀም ነበር.</v>
      </c>
    </row>
    <row r="89" ht="22.5" customHeight="1">
      <c r="A89" s="3">
        <v>88.0</v>
      </c>
      <c r="B89" s="4" t="s">
        <v>3161</v>
      </c>
      <c r="C89" s="4" t="s">
        <v>3162</v>
      </c>
      <c r="D89" s="4" t="s">
        <v>3163</v>
      </c>
      <c r="E89" s="4" t="s">
        <v>3164</v>
      </c>
      <c r="G89" s="5" t="str">
        <f>IFERROR(__xludf.DUMMYFUNCTION(" GOOGLETRANSLATE(A89, ""en"", ""am"")"),"88")</f>
        <v>88</v>
      </c>
      <c r="H89" s="5" t="str">
        <f>IFERROR(__xludf.DUMMYFUNCTION(" GOOGLETRANSLATE(B89, ""en"", ""am"")"),"የትኛው ዘመናዊ የቦርድ ጨዋታ በጨዋታ ጨዋታ መካኒኮች ከ Checkers ጋር ተመሳሳይ ነው?")</f>
        <v>የትኛው ዘመናዊ የቦርድ ጨዋታ በጨዋታ ጨዋታ መካኒኮች ከ Checkers ጋር ተመሳሳይ ነው?</v>
      </c>
      <c r="I89" s="5" t="str">
        <f>IFERROR(__xludf.DUMMYFUNCTION(" GOOGLETRANSLATE(C89, ""en"", ""am"")"),"ሀ. ካታን ቢ. ሞኖፖሊ ሲ. አሳሳቢ መ. ቼኮች")</f>
        <v>ሀ. ካታን ቢ. ሞኖፖሊ ሲ. አሳሳቢ መ. ቼኮች</v>
      </c>
      <c r="J89" s="5" t="str">
        <f>IFERROR(__xludf.DUMMYFUNCTION(" GOOGLETRANSLATE(D89, ""en"", ""am"")"),"ቼኮች")</f>
        <v>ቼኮች</v>
      </c>
      <c r="K89" s="5" t="str">
        <f>IFERROR(__xludf.DUMMYFUNCTION(" GOOGLETRANSLATE(E89, ""en"", ""am"")"),"ቼኮች ልክ እንደ Tableau ተመሳሳይ ተራ እና የስትራቴጂ መካኒኮችን ይጋራሉ።")</f>
        <v>ቼኮች ልክ እንደ Tableau ተመሳሳይ ተራ እና የስትራቴጂ መካኒኮችን ይጋራሉ።</v>
      </c>
    </row>
    <row r="90" ht="22.5" customHeight="1">
      <c r="A90" s="3">
        <v>89.0</v>
      </c>
      <c r="B90" s="4" t="s">
        <v>3165</v>
      </c>
      <c r="C90" s="4" t="s">
        <v>3166</v>
      </c>
      <c r="D90" s="4" t="s">
        <v>3163</v>
      </c>
      <c r="E90" s="4" t="s">
        <v>3167</v>
      </c>
      <c r="G90" s="5" t="str">
        <f>IFERROR(__xludf.DUMMYFUNCTION(" GOOGLETRANSLATE(A90, ""en"", ""am"")"),"89")</f>
        <v>89</v>
      </c>
      <c r="H90" s="5" t="str">
        <f>IFERROR(__xludf.DUMMYFUNCTION(" GOOGLETRANSLATE(B90, ""en"", ""am"")"),"የትኛው የቦርድ ጨዋታ በማንካላ መካኒኮች ተጽዕኖ ነበር?")</f>
        <v>የትኛው የቦርድ ጨዋታ በማንካላ መካኒኮች ተጽዕኖ ነበር?</v>
      </c>
      <c r="I90" s="5" t="str">
        <f>IFERROR(__xludf.DUMMYFUNCTION(" GOOGLETRANSLATE(C90, ""en"", ""am"")"),"ሀ. እባቦች እና መሰላል ለ. ቼኮች ሲ. ዶሚኖስ ዲ. ቼኮች")</f>
        <v>ሀ. እባቦች እና መሰላል ለ. ቼኮች ሲ. ዶሚኖስ ዲ. ቼኮች</v>
      </c>
      <c r="J90" s="5" t="str">
        <f>IFERROR(__xludf.DUMMYFUNCTION(" GOOGLETRANSLATE(D90, ""en"", ""am"")"),"ቼኮች")</f>
        <v>ቼኮች</v>
      </c>
      <c r="K90" s="5" t="str">
        <f>IFERROR(__xludf.DUMMYFUNCTION(" GOOGLETRANSLATE(E90, ""en"", ""am"")"),"ቁርጥራጮች ስልታዊ በሆነ መንገድ በሚንቀሳቀሱበት በማንካላ የማከፋፈያ መካኒኮች ላይ ቼኮች ተጽዕኖ አሳድረዋል።")</f>
        <v>ቁርጥራጮች ስልታዊ በሆነ መንገድ በሚንቀሳቀሱበት በማንካላ የማከፋፈያ መካኒኮች ላይ ቼኮች ተጽዕኖ አሳድረዋል።</v>
      </c>
    </row>
    <row r="91" ht="22.5" customHeight="1">
      <c r="A91" s="3">
        <v>90.0</v>
      </c>
      <c r="B91" s="4" t="s">
        <v>3168</v>
      </c>
      <c r="C91" s="4" t="s">
        <v>3169</v>
      </c>
      <c r="D91" s="4" t="s">
        <v>3170</v>
      </c>
      <c r="E91" s="4" t="s">
        <v>3171</v>
      </c>
      <c r="G91" s="5" t="str">
        <f>IFERROR(__xludf.DUMMYFUNCTION(" GOOGLETRANSLATE(A91, ""en"", ""am"")"),"90")</f>
        <v>90</v>
      </c>
      <c r="H91" s="5" t="str">
        <f>IFERROR(__xludf.DUMMYFUNCTION(" GOOGLETRANSLATE(B91, ""en"", ""am"")"),"በ19ኛው ክፍለ ዘመን ማንካላ በዩናይትድ ስቴትስ ታዋቂ እንዲሆን የረዳው የትኛው ታሪካዊ ሰው ነው?")</f>
        <v>በ19ኛው ክፍለ ዘመን ማንካላ በዩናይትድ ስቴትስ ታዋቂ እንዲሆን የረዳው የትኛው ታሪካዊ ሰው ነው?</v>
      </c>
      <c r="I91" s="5" t="str">
        <f>IFERROR(__xludf.DUMMYFUNCTION(" GOOGLETRANSLATE(C91, ""en"", ""am"")"),"ሀ. አብርሃም ሊንከን ቢ. ጆርጅ ዋሽንግተን ሲ. ዋልት ዲስኒ ዲ. ቶማስ ጀፈርሰን")</f>
        <v>ሀ. አብርሃም ሊንከን ቢ. ጆርጅ ዋሽንግተን ሲ. ዋልት ዲስኒ ዲ. ቶማስ ጀፈርሰን</v>
      </c>
      <c r="J91" s="5" t="str">
        <f>IFERROR(__xludf.DUMMYFUNCTION(" GOOGLETRANSLATE(D91, ""en"", ""am"")"),"ቶማስ ጄፈርሰን")</f>
        <v>ቶማስ ጄፈርሰን</v>
      </c>
      <c r="K91" s="5" t="str">
        <f>IFERROR(__xludf.DUMMYFUNCTION(" GOOGLETRANSLATE(E91, ""en"", ""am"")"),"ቶማስ ጀፈርሰን ወደ አፍሪካ እና አውሮፓ ባደረገው ጉዞ ማንካላን ተጫውቶ መዝግቧል።")</f>
        <v>ቶማስ ጀፈርሰን ወደ አፍሪካ እና አውሮፓ ባደረገው ጉዞ ማንካላን ተጫውቶ መዝግቧል።</v>
      </c>
    </row>
    <row r="92" ht="22.5" customHeight="1">
      <c r="A92" s="3">
        <v>91.0</v>
      </c>
      <c r="B92" s="4" t="s">
        <v>3172</v>
      </c>
      <c r="C92" s="4" t="s">
        <v>3173</v>
      </c>
      <c r="D92" s="4" t="s">
        <v>3174</v>
      </c>
      <c r="E92" s="4" t="s">
        <v>3175</v>
      </c>
      <c r="G92" s="5" t="str">
        <f>IFERROR(__xludf.DUMMYFUNCTION(" GOOGLETRANSLATE(A92, ""en"", ""am"")"),"91")</f>
        <v>91</v>
      </c>
      <c r="H92" s="5" t="str">
        <f>IFERROR(__xludf.DUMMYFUNCTION(" GOOGLETRANSLATE(B92, ""en"", ""am"")"),"ለማንካላ ለመጀመሪያ ጊዜ የታወቀ ዓለም አቀፍ ውድድር ስም ማን ነበር?")</f>
        <v>ለማንካላ ለመጀመሪያ ጊዜ የታወቀ ዓለም አቀፍ ውድድር ስም ማን ነበር?</v>
      </c>
      <c r="I92" s="5" t="str">
        <f>IFERROR(__xludf.DUMMYFUNCTION(" GOOGLETRANSLATE(C92, ""en"", ""am"")"),"ኤ ማንካላ ኦሎምፒክ ቢ ማንካላ የዓለም ዋንጫ ሲ. ማንካላ ክፍት D. የዓለም ማንካላ ሻምፒዮና")</f>
        <v>ኤ ማንካላ ኦሎምፒክ ቢ ማንካላ የዓለም ዋንጫ ሲ. ማንካላ ክፍት D. የዓለም ማንካላ ሻምፒዮና</v>
      </c>
      <c r="J92" s="5" t="str">
        <f>IFERROR(__xludf.DUMMYFUNCTION(" GOOGLETRANSLATE(D92, ""en"", ""am"")"),"የዓለም ማንካላ ሻምፒዮና")</f>
        <v>የዓለም ማንካላ ሻምፒዮና</v>
      </c>
      <c r="K92" s="5" t="str">
        <f>IFERROR(__xludf.DUMMYFUNCTION(" GOOGLETRANSLATE(E92, ""en"", ""am"")"),"ለማንካላ ለመጀመሪያ ጊዜ የታወቀ ዓለም አቀፍ ውድድር የዓለም ማንካላ ሻምፒዮና ተብሎ ይጠራ ነበር።")</f>
        <v>ለማንካላ ለመጀመሪያ ጊዜ የታወቀ ዓለም አቀፍ ውድድር የዓለም ማንካላ ሻምፒዮና ተብሎ ይጠራ ነበር።</v>
      </c>
    </row>
    <row r="93" ht="22.5" customHeight="1">
      <c r="A93" s="3">
        <v>92.0</v>
      </c>
      <c r="B93" s="4" t="s">
        <v>3176</v>
      </c>
      <c r="C93" s="4" t="s">
        <v>3177</v>
      </c>
      <c r="D93" s="4" t="s">
        <v>3178</v>
      </c>
      <c r="E93" s="4" t="s">
        <v>3179</v>
      </c>
      <c r="G93" s="5" t="str">
        <f>IFERROR(__xludf.DUMMYFUNCTION(" GOOGLETRANSLATE(A93, ""en"", ""am"")"),"92")</f>
        <v>92</v>
      </c>
      <c r="H93" s="5" t="str">
        <f>IFERROR(__xludf.DUMMYFUNCTION(" GOOGLETRANSLATE(B93, ""en"", ""am"")"),"ማንካላን እንደ ስፖርት ማሳያ ያቀረበው የትኛው ዋና ዓለም አቀፍ የስፖርት ዝግጅት ነው?")</f>
        <v>ማንካላን እንደ ስፖርት ማሳያ ያቀረበው የትኛው ዋና ዓለም አቀፍ የስፖርት ዝግጅት ነው?</v>
      </c>
      <c r="I93" s="5" t="str">
        <f>IFERROR(__xludf.DUMMYFUNCTION(" GOOGLETRANSLATE(C93, ""en"", ""am"")"),"ሀ. የዓለም ዋንጫ ለ. የኮመንዌልዝ ጨዋታዎች ሐ. የፓን አሜሪካ ጨዋታዎች D. የኦሎምፒክ ጨዋታዎች")</f>
        <v>ሀ. የዓለም ዋንጫ ለ. የኮመንዌልዝ ጨዋታዎች ሐ. የፓን አሜሪካ ጨዋታዎች D. የኦሎምፒክ ጨዋታዎች</v>
      </c>
      <c r="J93" s="5" t="str">
        <f>IFERROR(__xludf.DUMMYFUNCTION(" GOOGLETRANSLATE(D93, ""en"", ""am"")"),"የኦሎምፒክ ጨዋታዎች")</f>
        <v>የኦሎምፒክ ጨዋታዎች</v>
      </c>
      <c r="K93" s="5" t="str">
        <f>IFERROR(__xludf.DUMMYFUNCTION(" GOOGLETRANSLATE(E93, ""en"", ""am"")"),"ማንካላ በ1900 የኦሎምፒክ ጨዋታዎች እንደ ማሳያ ስፖርት ቀርቧል።")</f>
        <v>ማንካላ በ1900 የኦሎምፒክ ጨዋታዎች እንደ ማሳያ ስፖርት ቀርቧል።</v>
      </c>
    </row>
    <row r="94" ht="22.5" customHeight="1">
      <c r="A94" s="3">
        <v>93.0</v>
      </c>
      <c r="B94" s="4" t="s">
        <v>3180</v>
      </c>
      <c r="C94" s="4" t="s">
        <v>3181</v>
      </c>
      <c r="D94" s="4" t="s">
        <v>3182</v>
      </c>
      <c r="E94" s="4" t="s">
        <v>3183</v>
      </c>
      <c r="G94" s="5" t="str">
        <f>IFERROR(__xludf.DUMMYFUNCTION(" GOOGLETRANSLATE(A94, ""en"", ""am"")"),"93")</f>
        <v>93</v>
      </c>
      <c r="H94" s="5" t="str">
        <f>IFERROR(__xludf.DUMMYFUNCTION(" GOOGLETRANSLATE(B94, ""en"", ""am"")"),"በአንዳንድ ባሕሎች ለባህላዊ የቦርድ ጨዋታ ውድቀት ዋናው ምክንያት ምን ነበር?")</f>
        <v>በአንዳንድ ባሕሎች ለባህላዊ የቦርድ ጨዋታ ውድቀት ዋናው ምክንያት ምን ነበር?</v>
      </c>
      <c r="I94" s="5" t="str">
        <f>IFERROR(__xludf.DUMMYFUNCTION(" GOOGLETRANSLATE(C94, ""en"", ""am"")"),"ሀ. የግብርና ማህበራት ቅነሳ ለ. የዲጂታል ጨዋታዎች መጨመር ሐ. የውጭ ባህሎችን ወረራ መ. ቅኝ ግዛት እና ግሎባላይዜሽን")</f>
        <v>ሀ. የግብርና ማህበራት ቅነሳ ለ. የዲጂታል ጨዋታዎች መጨመር ሐ. የውጭ ባህሎችን ወረራ መ. ቅኝ ግዛት እና ግሎባላይዜሽን</v>
      </c>
      <c r="J94" s="5" t="str">
        <f>IFERROR(__xludf.DUMMYFUNCTION(" GOOGLETRANSLATE(D94, ""en"", ""am"")"),"ቅኝ አገዛዝ እና ግሎባላይዜሽን")</f>
        <v>ቅኝ አገዛዝ እና ግሎባላይዜሽን</v>
      </c>
      <c r="K94" s="5" t="str">
        <f>IFERROR(__xludf.DUMMYFUNCTION(" GOOGLETRANSLATE(E94, ""en"", ""am"")"),"ቅኝ አገዛዝ እና ግሎባላይዜሽን በአንዳንድ ባህሎች ባህላዊ የቦርድ ጨዋታዎች እንዲቀንስ አድርገዋል።")</f>
        <v>ቅኝ አገዛዝ እና ግሎባላይዜሽን በአንዳንድ ባህሎች ባህላዊ የቦርድ ጨዋታዎች እንዲቀንስ አድርገዋል።</v>
      </c>
    </row>
    <row r="95" ht="22.5" customHeight="1">
      <c r="A95" s="3">
        <v>94.0</v>
      </c>
      <c r="B95" s="4" t="s">
        <v>3184</v>
      </c>
      <c r="C95" s="4" t="s">
        <v>3185</v>
      </c>
      <c r="D95" s="4" t="s">
        <v>3186</v>
      </c>
      <c r="E95" s="4" t="s">
        <v>3187</v>
      </c>
      <c r="G95" s="5" t="str">
        <f>IFERROR(__xludf.DUMMYFUNCTION(" GOOGLETRANSLATE(A95, ""en"", ""am"")"),"94")</f>
        <v>94</v>
      </c>
      <c r="H95" s="5" t="str">
        <f>IFERROR(__xludf.DUMMYFUNCTION(" GOOGLETRANSLATE(B95, ""en"", ""am"")"),"ከእነዚህ የአፍሪካ ክልሎች የማንካላ ጨዋታ ታሪክ ቢያንስ የተመዘገበው የትኛው ነው?")</f>
        <v>ከእነዚህ የአፍሪካ ክልሎች የማንካላ ጨዋታ ታሪክ ቢያንስ የተመዘገበው የትኛው ነው?</v>
      </c>
      <c r="I95" s="5" t="str">
        <f>IFERROR(__xludf.DUMMYFUNCTION(" GOOGLETRANSLATE(C95, ""en"", ""am"")"),"ኣብ ምዕራብ ኣፍሪቃ ብ ሰሜን ምብራ ⁇ ኣፍሪቃ C. ማእከላይ ኣፍሪቃ መ")</f>
        <v>ኣብ ምዕራብ ኣፍሪቃ ብ ሰሜን ምብራ ⁇ ኣፍሪቃ C. ማእከላይ ኣፍሪቃ መ</v>
      </c>
      <c r="J95" s="5" t="str">
        <f>IFERROR(__xludf.DUMMYFUNCTION(" GOOGLETRANSLATE(D95, ""en"", ""am"")"),"መካከለኛው አፍሪካ")</f>
        <v>መካከለኛው አፍሪካ</v>
      </c>
      <c r="K95" s="5" t="str">
        <f>IFERROR(__xludf.DUMMYFUNCTION(" GOOGLETRANSLATE(E95, ""en"", ""am"")"),"የመካከለኛው አፍሪካ የማንካላ ጨዋታ ከሌሎች የአፍሪካ ክልሎች ያነሰ የተመዘገቡ አጋጣሚዎች አሏት።")</f>
        <v>የመካከለኛው አፍሪካ የማንካላ ጨዋታ ከሌሎች የአፍሪካ ክልሎች ያነሰ የተመዘገቡ አጋጣሚዎች አሏት።</v>
      </c>
    </row>
    <row r="96" ht="22.5" customHeight="1">
      <c r="A96" s="3">
        <v>95.0</v>
      </c>
      <c r="B96" s="4" t="s">
        <v>3188</v>
      </c>
      <c r="C96" s="4" t="s">
        <v>3189</v>
      </c>
      <c r="D96" s="4" t="s">
        <v>3190</v>
      </c>
      <c r="E96" s="4" t="s">
        <v>3191</v>
      </c>
      <c r="G96" s="5" t="str">
        <f>IFERROR(__xludf.DUMMYFUNCTION(" GOOGLETRANSLATE(A96, ""en"", ""am"")"),"95")</f>
        <v>95</v>
      </c>
      <c r="H96" s="5" t="str">
        <f>IFERROR(__xludf.DUMMYFUNCTION(" GOOGLETRANSLATE(B96, ""en"", ""am"")"),"ማንካላን እና ሌሎች ባህላዊ ጨዋታዎችን እንዲያንሰራራ የረዳው የትኛው ዘመናዊ ፈጠራ ነው?")</f>
        <v>ማንካላን እና ሌሎች ባህላዊ ጨዋታዎችን እንዲያንሰራራ የረዳው የትኛው ዘመናዊ ፈጠራ ነው?</v>
      </c>
      <c r="I96" s="5" t="str">
        <f>IFERROR(__xludf.DUMMYFUNCTION(" GOOGLETRANSLATE(C96, ""en"", ""am"")"),"ሀ. የሞባይል አፕሊኬሽኖች ለ. የጨዋታ ሾው ስርጭቶች C. የቲቪ ተከታታይ መ. የሞባይል መተግበሪያዎች")</f>
        <v>ሀ. የሞባይል አፕሊኬሽኖች ለ. የጨዋታ ሾው ስርጭቶች C. የቲቪ ተከታታይ መ. የሞባይል መተግበሪያዎች</v>
      </c>
      <c r="J96" s="5" t="str">
        <f>IFERROR(__xludf.DUMMYFUNCTION(" GOOGLETRANSLATE(D96, ""en"", ""am"")"),"የሞባይል መተግበሪያዎች")</f>
        <v>የሞባይል መተግበሪያዎች</v>
      </c>
      <c r="K96" s="5" t="str">
        <f>IFERROR(__xludf.DUMMYFUNCTION(" GOOGLETRANSLATE(E96, ""en"", ""am"")"),"ማንካላ እና ሌሎች ባህላዊ የቦርድ ጨዋታዎችን በማደስ የሞባይል አፕሊኬሽኖች ትልቅ ሚና ተጫውተዋል።")</f>
        <v>ማንካላ እና ሌሎች ባህላዊ የቦርድ ጨዋታዎችን በማደስ የሞባይል አፕሊኬሽኖች ትልቅ ሚና ተጫውተዋል።</v>
      </c>
    </row>
    <row r="97" ht="22.5" customHeight="1">
      <c r="A97" s="3">
        <v>96.0</v>
      </c>
      <c r="B97" s="4" t="s">
        <v>3192</v>
      </c>
      <c r="C97" s="4" t="s">
        <v>3193</v>
      </c>
      <c r="D97" s="4" t="s">
        <v>3194</v>
      </c>
      <c r="E97" s="4" t="s">
        <v>3195</v>
      </c>
      <c r="G97" s="5" t="str">
        <f>IFERROR(__xludf.DUMMYFUNCTION(" GOOGLETRANSLATE(A97, ""en"", ""am"")"),"96")</f>
        <v>96</v>
      </c>
      <c r="H97" s="5" t="str">
        <f>IFERROR(__xludf.DUMMYFUNCTION(" GOOGLETRANSLATE(B97, ""en"", ""am"")"),"በአፍሪካ ማህበረሰቦች ውስጥ የማንካላ ዋና ጥቅም ምን ነበር?")</f>
        <v>በአፍሪካ ማህበረሰቦች ውስጥ የማንካላ ዋና ጥቅም ምን ነበር?</v>
      </c>
      <c r="I97" s="5" t="str">
        <f>IFERROR(__xludf.DUMMYFUNCTION(" GOOGLETRANSLATE(C97, ""en"", ""am"")"),"ሀ. ሃይማኖታዊ ሥርዓቶች ለ. የንግድ ድርድር ሐ. የፈውስ ሥርዓቶች መ. መዝናኛ እና ስልታዊ አስተሳሰብ")</f>
        <v>ሀ. ሃይማኖታዊ ሥርዓቶች ለ. የንግድ ድርድር ሐ. የፈውስ ሥርዓቶች መ. መዝናኛ እና ስልታዊ አስተሳሰብ</v>
      </c>
      <c r="J97" s="5" t="str">
        <f>IFERROR(__xludf.DUMMYFUNCTION(" GOOGLETRANSLATE(D97, ""en"", ""am"")"),"መዝናኛ እና ስልታዊ አስተሳሰብ")</f>
        <v>መዝናኛ እና ስልታዊ አስተሳሰብ</v>
      </c>
      <c r="K97" s="5" t="str">
        <f>IFERROR(__xludf.DUMMYFUNCTION(" GOOGLETRANSLATE(E97, ""en"", ""am"")"),"ማንካላ በዋናነት ለመዝናኛ ዓላማዎች እና በአፍሪካ ማህበረሰብ ውስጥ ስልታዊ አስተሳሰብን ለማዳበር ያገለግል ነበር።")</f>
        <v>ማንካላ በዋናነት ለመዝናኛ ዓላማዎች እና በአፍሪካ ማህበረሰብ ውስጥ ስልታዊ አስተሳሰብን ለማዳበር ያገለግል ነበር።</v>
      </c>
    </row>
    <row r="98" ht="22.5" customHeight="1">
      <c r="A98" s="3">
        <v>97.0</v>
      </c>
      <c r="B98" s="4" t="s">
        <v>3196</v>
      </c>
      <c r="C98" s="4" t="s">
        <v>3197</v>
      </c>
      <c r="D98" s="4" t="s">
        <v>3198</v>
      </c>
      <c r="E98" s="4" t="s">
        <v>3199</v>
      </c>
      <c r="G98" s="5" t="str">
        <f>IFERROR(__xludf.DUMMYFUNCTION(" GOOGLETRANSLATE(A98, ""en"", ""am"")"),"97")</f>
        <v>97</v>
      </c>
      <c r="H98" s="5" t="str">
        <f>IFERROR(__xludf.DUMMYFUNCTION(" GOOGLETRANSLATE(B98, ""en"", ""am"")"),"የማንካላ ቅድመ ሁኔታን የተጫወተው የትኛው ጥንታዊ ስልጣኔ ነው ተብሎ ይታሰባል?")</f>
        <v>የማንካላ ቅድመ ሁኔታን የተጫወተው የትኛው ጥንታዊ ስልጣኔ ነው ተብሎ ይታሰባል?</v>
      </c>
      <c r="I98" s="5" t="str">
        <f>IFERROR(__xludf.DUMMYFUNCTION(" GOOGLETRANSLATE(C98, ""en"", ""am"")"),"ሀ. ሮማውያን ቢ. ኢንደስ ሸለቆ ሥልጣኔ ሐ. ባቢሎናውያን ዲ. የጥንት ግብፃውያን")</f>
        <v>ሀ. ሮማውያን ቢ. ኢንደስ ሸለቆ ሥልጣኔ ሐ. ባቢሎናውያን ዲ. የጥንት ግብፃውያን</v>
      </c>
      <c r="J98" s="5" t="str">
        <f>IFERROR(__xludf.DUMMYFUNCTION(" GOOGLETRANSLATE(D98, ""en"", ""am"")"),"የጥንት ግብፃውያን")</f>
        <v>የጥንት ግብፃውያን</v>
      </c>
      <c r="K98" s="5" t="str">
        <f>IFERROR(__xludf.DUMMYFUNCTION(" GOOGLETRANSLATE(E98, ""en"", ""am"")"),"የጥንቶቹ ግብፃውያን ተመሳሳይ ጨዋታዎችን ይጫወቱ እንደነበር የሚታመን ሲሆን ይህም ከማንካላ ቅድመ ሁኔታ ጋር የተያያዘ ነው.")</f>
        <v>የጥንቶቹ ግብፃውያን ተመሳሳይ ጨዋታዎችን ይጫወቱ እንደነበር የሚታመን ሲሆን ይህም ከማንካላ ቅድመ ሁኔታ ጋር የተያያዘ ነው.</v>
      </c>
    </row>
    <row r="99" ht="22.5" customHeight="1">
      <c r="A99" s="3">
        <v>98.0</v>
      </c>
      <c r="B99" s="4" t="s">
        <v>3200</v>
      </c>
      <c r="C99" s="4" t="s">
        <v>3201</v>
      </c>
      <c r="D99" s="4" t="s">
        <v>35</v>
      </c>
      <c r="E99" s="4" t="s">
        <v>3202</v>
      </c>
      <c r="G99" s="5" t="str">
        <f>IFERROR(__xludf.DUMMYFUNCTION(" GOOGLETRANSLATE(A99, ""en"", ""am"")"),"98")</f>
        <v>98</v>
      </c>
      <c r="H99" s="5" t="str">
        <f>IFERROR(__xludf.DUMMYFUNCTION(" GOOGLETRANSLATE(B99, ""en"", ""am"")"),"በጥንቷ አፍሪካ የማንካላ ሰሌዳዎችን ለመፍጠር ምን ዓይነት ቁሳቁስ በብዛት ጥቅም ላይ ውሏል?")</f>
        <v>በጥንቷ አፍሪካ የማንካላ ሰሌዳዎችን ለመፍጠር ምን ዓይነት ቁሳቁስ በብዛት ጥቅም ላይ ውሏል?</v>
      </c>
      <c r="I99" s="5" t="str">
        <f>IFERROR(__xludf.DUMMYFUNCTION(" GOOGLETRANSLATE(C99, ""en"", ""am"")"),"ሀ ድንጋይ ቢ.አይቮሪ ሲ ወርቅ ዲ እንጨት")</f>
        <v>ሀ ድንጋይ ቢ.አይቮሪ ሲ ወርቅ ዲ እንጨት</v>
      </c>
      <c r="J99" s="5" t="str">
        <f>IFERROR(__xludf.DUMMYFUNCTION(" GOOGLETRANSLATE(D99, ""en"", ""am"")"),"እንጨት")</f>
        <v>እንጨት</v>
      </c>
      <c r="K99" s="5" t="str">
        <f>IFERROR(__xludf.DUMMYFUNCTION(" GOOGLETRANSLATE(E99, ""en"", ""am"")"),"እንጨት በተለምዶ የማንካላ ሰሌዳዎችን ለመፍጠር ጥቅም ላይ ይውላል, አንዳንድ ክልሎች ደግሞ ድንጋይ ወይም ሸክላ ይጠቀማሉ.")</f>
        <v>እንጨት በተለምዶ የማንካላ ሰሌዳዎችን ለመፍጠር ጥቅም ላይ ይውላል, አንዳንድ ክልሎች ደግሞ ድንጋይ ወይም ሸክላ ይጠቀማሉ.</v>
      </c>
    </row>
    <row r="100" ht="22.5" customHeight="1">
      <c r="A100" s="3">
        <v>99.0</v>
      </c>
      <c r="B100" s="4" t="s">
        <v>3203</v>
      </c>
      <c r="C100" s="4" t="s">
        <v>3204</v>
      </c>
      <c r="D100" s="4" t="s">
        <v>2927</v>
      </c>
      <c r="E100" s="4" t="s">
        <v>3205</v>
      </c>
      <c r="G100" s="5" t="str">
        <f>IFERROR(__xludf.DUMMYFUNCTION(" GOOGLETRANSLATE(A100, ""en"", ""am"")"),"99")</f>
        <v>99</v>
      </c>
      <c r="H100" s="5" t="str">
        <f>IFERROR(__xludf.DUMMYFUNCTION(" GOOGLETRANSLATE(B100, ""en"", ""am"")"),"በአፍሪካ ውስጥ በጣም ዝነኛ የሆኑ የማንካላ ጨዋታ ሰሌዳዎች በመኖራቸው የሚታወቀው የትኛው ክልል ነው?")</f>
        <v>በአፍሪካ ውስጥ በጣም ዝነኛ የሆኑ የማንካላ ጨዋታ ሰሌዳዎች በመኖራቸው የሚታወቀው የትኛው ክልል ነው?</v>
      </c>
      <c r="I100" s="5" t="str">
        <f>IFERROR(__xludf.DUMMYFUNCTION(" GOOGLETRANSLATE(C100, ""en"", ""am"")"),"ኣብ ምዕራብ ኣፍሪቃ ብ ሰሜን ኣፍሪቃ ሲ ደቡብ ኣፍሪቃ ዲ.ምስራቅ ኣፍሪቃ")</f>
        <v>ኣብ ምዕራብ ኣፍሪቃ ብ ሰሜን ኣፍሪቃ ሲ ደቡብ ኣፍሪቃ ዲ.ምስራቅ ኣፍሪቃ</v>
      </c>
      <c r="J100" s="5" t="str">
        <f>IFERROR(__xludf.DUMMYFUNCTION(" GOOGLETRANSLATE(D100, ""en"", ""am"")"),"ምስራቅ አፍሪካ")</f>
        <v>ምስራቅ አፍሪካ</v>
      </c>
      <c r="K100" s="5" t="str">
        <f>IFERROR(__xludf.DUMMYFUNCTION(" GOOGLETRANSLATE(E100, ""en"", ""am"")"),"ምስራቅ አፍሪካ በሺዎች ከሚቆጠሩ አመታት በፊት በነበረው የማንካላ ጨዋታ ሰሌዳዎች ይታወቃል።")</f>
        <v>ምስራቅ አፍሪካ በሺዎች ከሚቆጠሩ አመታት በፊት በነበረው የማንካላ ጨዋታ ሰሌዳዎች ይታወቃል።</v>
      </c>
    </row>
    <row r="101" ht="22.5" customHeight="1">
      <c r="A101" s="3">
        <v>100.0</v>
      </c>
      <c r="B101" s="4" t="s">
        <v>3206</v>
      </c>
      <c r="C101" s="4" t="s">
        <v>3207</v>
      </c>
      <c r="D101" s="4" t="s">
        <v>3208</v>
      </c>
      <c r="E101" s="4" t="s">
        <v>3209</v>
      </c>
      <c r="G101" s="5" t="str">
        <f>IFERROR(__xludf.DUMMYFUNCTION(" GOOGLETRANSLATE(A101, ""en"", ""am"")"),"100")</f>
        <v>100</v>
      </c>
      <c r="H101" s="5" t="str">
        <f>IFERROR(__xludf.DUMMYFUNCTION(" GOOGLETRANSLATE(B101, ""en"", ""am"")"),"በአፍሪካ ታዋቂ እንዲሆን ያደረገው የማንካላ ቁልፍ ባህሪ ምንድነው?")</f>
        <v>በአፍሪካ ታዋቂ እንዲሆን ያደረገው የማንካላ ቁልፍ ባህሪ ምንድነው?</v>
      </c>
      <c r="I101" s="5" t="str">
        <f>IFERROR(__xludf.DUMMYFUNCTION(" GOOGLETRANSLATE(C101, ""en"", ""am"")"),"ሀ. ሃይማኖታዊ ጠቀሜታ ለ. የአምልኮ ሥርዓት አጠቃቀም ሐ. የንግድ ዋጋ መ. ቀላል የጨዋታ ሜካኒክስ")</f>
        <v>ሀ. ሃይማኖታዊ ጠቀሜታ ለ. የአምልኮ ሥርዓት አጠቃቀም ሐ. የንግድ ዋጋ መ. ቀላል የጨዋታ ሜካኒክስ</v>
      </c>
      <c r="J101" s="5" t="str">
        <f>IFERROR(__xludf.DUMMYFUNCTION(" GOOGLETRANSLATE(D101, ""en"", ""am"")"),"ቀላል የጨዋታ ሜካኒክስ")</f>
        <v>ቀላል የጨዋታ ሜካኒክስ</v>
      </c>
      <c r="K101" s="5" t="str">
        <f>IFERROR(__xludf.DUMMYFUNCTION(" GOOGLETRANSLATE(E101, ""en"", ""am"")"),"የማንካላ ቀላል ሆኖም ስልታዊ የጨዋታ መካኒኮች በተለያዩ የአፍሪካ ባህሎች መስፋፋትን ቀላል አድርገውታል።")</f>
        <v>የማንካላ ቀላል ሆኖም ስልታዊ የጨዋታ መካኒኮች በተለያዩ የአፍሪካ ባህሎች መስፋፋትን ቀላል አድርገውታል።</v>
      </c>
    </row>
    <row r="102" ht="22.5" customHeight="1">
      <c r="A102" s="3">
        <v>101.0</v>
      </c>
      <c r="B102" s="4" t="s">
        <v>3210</v>
      </c>
      <c r="C102" s="4" t="s">
        <v>3211</v>
      </c>
      <c r="D102" s="4" t="s">
        <v>3212</v>
      </c>
      <c r="E102" s="4" t="s">
        <v>3213</v>
      </c>
      <c r="G102" s="5" t="str">
        <f>IFERROR(__xludf.DUMMYFUNCTION(" GOOGLETRANSLATE(A102, ""en"", ""am"")"),"101")</f>
        <v>101</v>
      </c>
      <c r="H102" s="5" t="str">
        <f>IFERROR(__xludf.DUMMYFUNCTION(" GOOGLETRANSLATE(B102, ""en"", ""am"")"),"የማንካላ ጨዋታ ለመጀመሪያ ጊዜ በአውሮፓ የታየው በየትኛው አመት ነው?")</f>
        <v>የማንካላ ጨዋታ ለመጀመሪያ ጊዜ በአውሮፓ የታየው በየትኛው አመት ነው?</v>
      </c>
      <c r="I102" s="5" t="str">
        <f>IFERROR(__xludf.DUMMYFUNCTION(" GOOGLETRANSLATE(C102, ""en"", ""am"")"),"ኣብ 8ይ ክፍለ ዘመን ብ 16 ክፍለ ዘመን ሓ 5ይ ክፍለ ዘመን ድ.13 ክፍለ ዘመን")</f>
        <v>ኣብ 8ይ ክፍለ ዘመን ብ 16 ክፍለ ዘመን ሓ 5ይ ክፍለ ዘመን ድ.13 ክፍለ ዘመን</v>
      </c>
      <c r="J102" s="5" t="str">
        <f>IFERROR(__xludf.DUMMYFUNCTION(" GOOGLETRANSLATE(D102, ""en"", ""am"")"),"13 ኛው ክፍለ ዘመን")</f>
        <v>13 ኛው ክፍለ ዘመን</v>
      </c>
      <c r="K102" s="5" t="str">
        <f>IFERROR(__xludf.DUMMYFUNCTION(" GOOGLETRANSLATE(E102, ""en"", ""am"")"),"ማንካላ ለመጀመሪያ ጊዜ በአውሮፓ በ 13 ኛው ክፍለ ዘመን ታየ, ከቅድስቲቱ ምድር በተመለሱት የመስቀል ጦረኞች ተመልሰዋል.")</f>
        <v>ማንካላ ለመጀመሪያ ጊዜ በአውሮፓ በ 13 ኛው ክፍለ ዘመን ታየ, ከቅድስቲቱ ምድር በተመለሱት የመስቀል ጦረኞች ተመልሰዋል.</v>
      </c>
    </row>
    <row r="103" ht="22.5" customHeight="1">
      <c r="A103" s="3">
        <v>102.0</v>
      </c>
      <c r="B103" s="4" t="s">
        <v>3214</v>
      </c>
      <c r="C103" s="4" t="s">
        <v>3215</v>
      </c>
      <c r="D103" s="4" t="s">
        <v>2094</v>
      </c>
      <c r="E103" s="4" t="s">
        <v>3216</v>
      </c>
      <c r="G103" s="5" t="str">
        <f>IFERROR(__xludf.DUMMYFUNCTION(" GOOGLETRANSLATE(A103, ""en"", ""am"")"),"102")</f>
        <v>102</v>
      </c>
      <c r="H103" s="5" t="str">
        <f>IFERROR(__xludf.DUMMYFUNCTION(" GOOGLETRANSLATE(B103, ""en"", ""am"")"),"ማንካላን ከቀደሙት የአውሮፓ ሀገራት መካከል የትኛው ነው?")</f>
        <v>ማንካላን ከቀደሙት የአውሮፓ ሀገራት መካከል የትኛው ነው?</v>
      </c>
      <c r="I103" s="5" t="str">
        <f>IFERROR(__xludf.DUMMYFUNCTION(" GOOGLETRANSLATE(C103, ""en"", ""am"")"),"ኣብ ጀርመን ብ ጣልያን ሲ ስፔን ዲ")</f>
        <v>ኣብ ጀርመን ብ ጣልያን ሲ ስፔን ዲ</v>
      </c>
      <c r="J103" s="5" t="str">
        <f>IFERROR(__xludf.DUMMYFUNCTION(" GOOGLETRANSLATE(D103, ""en"", ""am"")"),"ፈረንሳይ")</f>
        <v>ፈረንሳይ</v>
      </c>
      <c r="K103" s="5" t="str">
        <f>IFERROR(__xludf.DUMMYFUNCTION(" GOOGLETRANSLATE(E103, ""en"", ""am"")"),"ፈረንሳይ ማንካላን በተለይም በቅኝ ግዛት ውስጥ ከነበሩት የመጀመሪያዎቹ የአውሮፓ አገሮች አንዷ ነበረች።")</f>
        <v>ፈረንሳይ ማንካላን በተለይም በቅኝ ግዛት ውስጥ ከነበሩት የመጀመሪያዎቹ የአውሮፓ አገሮች አንዷ ነበረች።</v>
      </c>
    </row>
    <row r="104" ht="22.5" customHeight="1">
      <c r="A104" s="3">
        <v>103.0</v>
      </c>
      <c r="B104" s="4" t="s">
        <v>3217</v>
      </c>
      <c r="C104" s="4" t="s">
        <v>3218</v>
      </c>
      <c r="D104" s="4" t="s">
        <v>3219</v>
      </c>
      <c r="E104" s="4" t="s">
        <v>3220</v>
      </c>
      <c r="G104" s="5" t="str">
        <f>IFERROR(__xludf.DUMMYFUNCTION(" GOOGLETRANSLATE(A104, ""en"", ""am"")"),"103")</f>
        <v>103</v>
      </c>
      <c r="H104" s="5" t="str">
        <f>IFERROR(__xludf.DUMMYFUNCTION(" GOOGLETRANSLATE(B104, ""en"", ""am"")"),"ማንካላ በጥንታዊ አፍሪካዊ ማህበረሰቦች በልጆች ትምህርት ውስጥ ምን ሚና ተጫውቷል?")</f>
        <v>ማንካላ በጥንታዊ አፍሪካዊ ማህበረሰቦች በልጆች ትምህርት ውስጥ ምን ሚና ተጫውቷል?</v>
      </c>
      <c r="I104" s="5" t="str">
        <f>IFERROR(__xludf.DUMMYFUNCTION(" GOOGLETRANSLATE(C104, ""en"", ""am"")"),"ሀ. ለጦርነት ስልጠና ለ. ማንበብና መጻፍ ማስተማር ሐ. መንፈሳዊ መመሪያ መ. የማስተማር ስልት እና ውሳኔ አሰጣጥ")</f>
        <v>ሀ. ለጦርነት ስልጠና ለ. ማንበብና መጻፍ ማስተማር ሐ. መንፈሳዊ መመሪያ መ. የማስተማር ስልት እና ውሳኔ አሰጣጥ</v>
      </c>
      <c r="J104" s="5" t="str">
        <f>IFERROR(__xludf.DUMMYFUNCTION(" GOOGLETRANSLATE(D104, ""en"", ""am"")"),"የማስተማር ስልት እና ውሳኔ አሰጣጥ")</f>
        <v>የማስተማር ስልት እና ውሳኔ አሰጣጥ</v>
      </c>
      <c r="K104" s="5" t="str">
        <f>IFERROR(__xludf.DUMMYFUNCTION(" GOOGLETRANSLATE(E104, ""en"", ""am"")"),"ማንካላ ብዙውን ጊዜ ልጆችን ስልታዊ አስተሳሰብን፣ ችግር መፍታት እና ውሳኔ አሰጣጥን ለማስተማር ይጠቀም ነበር።")</f>
        <v>ማንካላ ብዙውን ጊዜ ልጆችን ስልታዊ አስተሳሰብን፣ ችግር መፍታት እና ውሳኔ አሰጣጥን ለማስተማር ይጠቀም ነበር።</v>
      </c>
    </row>
    <row r="105" ht="22.5" customHeight="1">
      <c r="A105" s="3">
        <v>104.0</v>
      </c>
      <c r="B105" s="4" t="s">
        <v>3221</v>
      </c>
      <c r="C105" s="4" t="s">
        <v>3222</v>
      </c>
      <c r="D105" s="4" t="s">
        <v>3140</v>
      </c>
      <c r="E105" s="4" t="s">
        <v>3223</v>
      </c>
      <c r="G105" s="5" t="str">
        <f>IFERROR(__xludf.DUMMYFUNCTION(" GOOGLETRANSLATE(A105, ""en"", ""am"")"),"104")</f>
        <v>104</v>
      </c>
      <c r="H105" s="5" t="str">
        <f>IFERROR(__xludf.DUMMYFUNCTION(" GOOGLETRANSLATE(B105, ""en"", ""am"")"),"ማንካላ ወደ አሜሪካ በመስፋፋቱ ላይ ተጽዕኖ አሳድሯል ተብሎ የሚታመነው የትኛው የዓለም ክፍል ነው?")</f>
        <v>ማንካላ ወደ አሜሪካ በመስፋፋቱ ላይ ተጽዕኖ አሳድሯል ተብሎ የሚታመነው የትኛው የዓለም ክፍል ነው?</v>
      </c>
      <c r="I105" s="5" t="str">
        <f>IFERROR(__xludf.DUMMYFUNCTION(" GOOGLETRANSLATE(C105, ""en"", ""am"")"),"ሀ. ህንድ ቢ. ቻይና ሲ. ሜሶአሜሪካ ዲ. ከሰሃራ በታች ያሉ አፍሪካ")</f>
        <v>ሀ. ህንድ ቢ. ቻይና ሲ. ሜሶአሜሪካ ዲ. ከሰሃራ በታች ያሉ አፍሪካ</v>
      </c>
      <c r="J105" s="5" t="str">
        <f>IFERROR(__xludf.DUMMYFUNCTION(" GOOGLETRANSLATE(D105, ""en"", ""am"")"),"ከሰሃራ በታች ያሉ አፍሪካ")</f>
        <v>ከሰሃራ በታች ያሉ አፍሪካ</v>
      </c>
      <c r="K105" s="5" t="str">
        <f>IFERROR(__xludf.DUMMYFUNCTION(" GOOGLETRANSLATE(E105, ""en"", ""am"")"),"ማንካላ በአትላንቲክ የባሪያ ንግድ ወደ አሜሪካ በመስፋፋቱ ከሰሃራ በታች ያሉ የአፍሪካ ሀገራት ተጠቅሰዋል።")</f>
        <v>ማንካላ በአትላንቲክ የባሪያ ንግድ ወደ አሜሪካ በመስፋፋቱ ከሰሃራ በታች ያሉ የአፍሪካ ሀገራት ተጠቅሰዋል።</v>
      </c>
    </row>
    <row r="106" ht="22.5" customHeight="1">
      <c r="A106" s="3">
        <v>105.0</v>
      </c>
      <c r="B106" s="4" t="s">
        <v>3224</v>
      </c>
      <c r="C106" s="4" t="s">
        <v>3225</v>
      </c>
      <c r="D106" s="4" t="s">
        <v>3226</v>
      </c>
      <c r="E106" s="4" t="s">
        <v>3227</v>
      </c>
      <c r="G106" s="5" t="str">
        <f>IFERROR(__xludf.DUMMYFUNCTION(" GOOGLETRANSLATE(A106, ""en"", ""am"")"),"105")</f>
        <v>105</v>
      </c>
      <c r="H106" s="5" t="str">
        <f>IFERROR(__xludf.DUMMYFUNCTION(" GOOGLETRANSLATE(B106, ""en"", ""am"")"),"ማንካላን ያስተዋወቀው የትኛው ታዋቂ የአፍሪካ ግዛት ነው?")</f>
        <v>ማንካላን ያስተዋወቀው የትኛው ታዋቂ የአፍሪካ ግዛት ነው?</v>
      </c>
      <c r="I106" s="5" t="str">
        <f>IFERROR(__xludf.DUMMYFUNCTION(" GOOGLETRANSLATE(C106, ""en"", ""am"")"),"ሀ. የጋና ኢምፓየር ቢ. የኮንጎ መንግሥት ሲ. ዙሉ መንግሥት ዲ. ማሊ ኢምፓየር")</f>
        <v>ሀ. የጋና ኢምፓየር ቢ. የኮንጎ መንግሥት ሲ. ዙሉ መንግሥት ዲ. ማሊ ኢምፓየር</v>
      </c>
      <c r="J106" s="5" t="str">
        <f>IFERROR(__xludf.DUMMYFUNCTION(" GOOGLETRANSLATE(D106, ""en"", ""am"")"),"የማሊ ኢምፓየር")</f>
        <v>የማሊ ኢምፓየር</v>
      </c>
      <c r="K106" s="5" t="str">
        <f>IFERROR(__xludf.DUMMYFUNCTION(" GOOGLETRANSLATE(E106, ""en"", ""am"")"),"በሰፊው የንግድ አውታሮች የሚታወቀው የማሊ ኢምፓየር ማንካላን ለህዝቡ አስተዋወቀ።")</f>
        <v>በሰፊው የንግድ አውታሮች የሚታወቀው የማሊ ኢምፓየር ማንካላን ለህዝቡ አስተዋወቀ።</v>
      </c>
    </row>
    <row r="107" ht="22.5" customHeight="1">
      <c r="A107" s="3">
        <v>106.0</v>
      </c>
      <c r="B107" s="4" t="s">
        <v>3228</v>
      </c>
      <c r="C107" s="4" t="s">
        <v>3229</v>
      </c>
      <c r="D107" s="4" t="s">
        <v>3230</v>
      </c>
      <c r="E107" s="4" t="s">
        <v>3231</v>
      </c>
      <c r="G107" s="5" t="str">
        <f>IFERROR(__xludf.DUMMYFUNCTION(" GOOGLETRANSLATE(A107, ""en"", ""am"")"),"106")</f>
        <v>106</v>
      </c>
      <c r="H107" s="5" t="str">
        <f>IFERROR(__xludf.DUMMYFUNCTION(" GOOGLETRANSLATE(B107, ""en"", ""am"")"),"ማንካላ ወደ መካከለኛው ምስራቅ እንዲስፋፋ ያደረገው ምን ጉልህ ክስተት ነው?")</f>
        <v>ማንካላ ወደ መካከለኛው ምስራቅ እንዲስፋፋ ያደረገው ምን ጉልህ ክስተት ነው?</v>
      </c>
      <c r="I107" s="5" t="str">
        <f>IFERROR(__xludf.DUMMYFUNCTION(" GOOGLETRANSLATE(C107, ""en"", ""am"")"),"A. Crusade B. የኦቶማን ኢምፓየር መስፋፋት። ሐ. የግብፅ ሃይማኖታዊ ተልዕኮዎች መ. የአረብ ንግድ እና ወረራ")</f>
        <v>A. Crusade B. የኦቶማን ኢምፓየር መስፋፋት። ሐ. የግብፅ ሃይማኖታዊ ተልዕኮዎች መ. የአረብ ንግድ እና ወረራ</v>
      </c>
      <c r="J107" s="5" t="str">
        <f>IFERROR(__xludf.DUMMYFUNCTION(" GOOGLETRANSLATE(D107, ""en"", ""am"")"),"የአረብ ንግድ እና ድል")</f>
        <v>የአረብ ንግድ እና ድል</v>
      </c>
      <c r="K107" s="5" t="str">
        <f>IFERROR(__xludf.DUMMYFUNCTION(" GOOGLETRANSLATE(E107, ""en"", ""am"")"),"በ7ኛው እና በ8ኛው መቶ ክፍለ ዘመን የአረብ ንግድ እና ወረራ የሽመና ጥበብን ወደ መካከለኛው ምስራቅ ለማስፋፋት ረድቷል።")</f>
        <v>በ7ኛው እና በ8ኛው መቶ ክፍለ ዘመን የአረብ ንግድ እና ወረራ የሽመና ጥበብን ወደ መካከለኛው ምስራቅ ለማስፋፋት ረድቷል።</v>
      </c>
    </row>
    <row r="108" ht="22.5" customHeight="1">
      <c r="A108" s="3">
        <v>107.0</v>
      </c>
      <c r="B108" s="4" t="s">
        <v>3232</v>
      </c>
      <c r="C108" s="4" t="s">
        <v>3233</v>
      </c>
      <c r="D108" s="4" t="s">
        <v>3234</v>
      </c>
      <c r="E108" s="4" t="s">
        <v>3235</v>
      </c>
      <c r="G108" s="5" t="str">
        <f>IFERROR(__xludf.DUMMYFUNCTION(" GOOGLETRANSLATE(A108, ""en"", ""am"")"),"107")</f>
        <v>107</v>
      </c>
      <c r="H108" s="5" t="str">
        <f>IFERROR(__xludf.DUMMYFUNCTION(" GOOGLETRANSLATE(B108, ""en"", ""am"")"),"ማንካላን ወደ ህንድ ለማምጣት የረዳው የትኛው ግዛት ነው?")</f>
        <v>ማንካላን ወደ ህንድ ለማምጣት የረዳው የትኛው ግዛት ነው?</v>
      </c>
      <c r="I108" s="5" t="str">
        <f>IFERROR(__xludf.DUMMYFUNCTION(" GOOGLETRANSLATE(C108, ""en"", ""am"")"),"ሀ.ጉፕታ ኢምፓየር ቢ.ማውሪያ ኢምፓየር ሲ.ቾላ ኢምፓየር ዲ.ሙጋል ኢምፓየር")</f>
        <v>ሀ.ጉፕታ ኢምፓየር ቢ.ማውሪያ ኢምፓየር ሲ.ቾላ ኢምፓየር ዲ.ሙጋል ኢምፓየር</v>
      </c>
      <c r="J108" s="5" t="str">
        <f>IFERROR(__xludf.DUMMYFUNCTION(" GOOGLETRANSLATE(D108, ""en"", ""am"")"),"ሙጋል ኢምፓየር")</f>
        <v>ሙጋል ኢምፓየር</v>
      </c>
      <c r="K108" s="5" t="str">
        <f>IFERROR(__xludf.DUMMYFUNCTION(" GOOGLETRANSLATE(E108, ""en"", ""am"")"),"የሙጋል ኢምፓየር ማንካላን ወደ ህንድ በማምጣት በተለይም በ16ኛው ክፍለ ዘመን የረዳው ነው።")</f>
        <v>የሙጋል ኢምፓየር ማንካላን ወደ ህንድ በማምጣት በተለይም በ16ኛው ክፍለ ዘመን የረዳው ነው።</v>
      </c>
    </row>
    <row r="109" ht="22.5" customHeight="1">
      <c r="A109" s="3">
        <v>108.0</v>
      </c>
      <c r="B109" s="4" t="s">
        <v>3236</v>
      </c>
      <c r="C109" s="4" t="s">
        <v>3237</v>
      </c>
      <c r="D109" s="4" t="s">
        <v>3238</v>
      </c>
      <c r="E109" s="4" t="s">
        <v>3239</v>
      </c>
      <c r="G109" s="5" t="str">
        <f>IFERROR(__xludf.DUMMYFUNCTION(" GOOGLETRANSLATE(A109, ""en"", ""am"")"),"108")</f>
        <v>108</v>
      </c>
      <c r="H109" s="5" t="str">
        <f>IFERROR(__xludf.DUMMYFUNCTION(" GOOGLETRANSLATE(B109, ""en"", ""am"")"),"በመጀመሪያ ታሪክ ውስጥ በማንካላ ውስጥ ቁርጥራጮችን ለመጫወት ምን ዓይነት ቁሳቁስ በብዛት ጥቅም ላይ ውሏል?")</f>
        <v>በመጀመሪያ ታሪክ ውስጥ በማንካላ ውስጥ ቁርጥራጮችን ለመጫወት ምን ዓይነት ቁሳቁስ በብዛት ጥቅም ላይ ውሏል?</v>
      </c>
      <c r="I109" s="5" t="str">
        <f>IFERROR(__xludf.DUMMYFUNCTION(" GOOGLETRANSLATE(C109, ""en"", ""am"")"),"ሀ. አጥንት ለ. ዛጎሎች ሐ. ጠጠሮች D. ዘሮች")</f>
        <v>ሀ. አጥንት ለ. ዛጎሎች ሐ. ጠጠሮች D. ዘሮች</v>
      </c>
      <c r="J109" s="5" t="str">
        <f>IFERROR(__xludf.DUMMYFUNCTION(" GOOGLETRANSLATE(D109, ""en"", ""am"")"),"ዘሮች")</f>
        <v>ዘሮች</v>
      </c>
      <c r="K109" s="5" t="str">
        <f>IFERROR(__xludf.DUMMYFUNCTION(" GOOGLETRANSLATE(E109, ""en"", ""am"")"),"በጥንት ታሪክ ውስጥ የማንካላ ቁርጥራጮች ብዙውን ጊዜ ከዘር ፣ ከድንጋይ ወይም ከዛጎሎች የተሠሩ ነበሩ።")</f>
        <v>በጥንት ታሪክ ውስጥ የማንካላ ቁርጥራጮች ብዙውን ጊዜ ከዘር ፣ ከድንጋይ ወይም ከዛጎሎች የተሠሩ ነበሩ።</v>
      </c>
    </row>
    <row r="110" ht="22.5" customHeight="1">
      <c r="A110" s="3">
        <v>109.0</v>
      </c>
      <c r="B110" s="4" t="s">
        <v>2910</v>
      </c>
      <c r="C110" s="4" t="s">
        <v>3240</v>
      </c>
      <c r="D110" s="4" t="s">
        <v>2912</v>
      </c>
      <c r="E110" s="4" t="s">
        <v>3241</v>
      </c>
      <c r="G110" s="5" t="str">
        <f>IFERROR(__xludf.DUMMYFUNCTION(" GOOGLETRANSLATE(A110, ""en"", ""am"")"),"109")</f>
        <v>109</v>
      </c>
      <c r="H110" s="5" t="str">
        <f>IFERROR(__xludf.DUMMYFUNCTION(" GOOGLETRANSLATE(B110, ""en"", ""am"")"),"'ማንካላ' የሚለው ቃል በአረብኛ ምን ማለት ነው?")</f>
        <v>'ማንካላ' የሚለው ቃል በአረብኛ ምን ማለት ነው?</v>
      </c>
      <c r="I110" s="5" t="str">
        <f>IFERROR(__xludf.DUMMYFUNCTION(" GOOGLETRANSLATE(C110, ""en"", ""am"")"),"ሀ. ለማሸነፍ ለ. ሲ ለመያዝ. መጣል መ. መንቀሳቀስ")</f>
        <v>ሀ. ለማሸነፍ ለ. ሲ ለመያዝ. መጣል መ. መንቀሳቀስ</v>
      </c>
      <c r="J110" s="5" t="str">
        <f>IFERROR(__xludf.DUMMYFUNCTION(" GOOGLETRANSLATE(D110, ""en"", ""am"")"),"ለመንቀሳቀስ")</f>
        <v>ለመንቀሳቀስ</v>
      </c>
      <c r="K110" s="5" t="str">
        <f>IFERROR(__xludf.DUMMYFUNCTION(" GOOGLETRANSLATE(E110, ""en"", ""am"")"),"ማንካላ የሚለው ቃል ከአረብኛ 'naqala' የመጣ ሲሆን ትርጉሙም 'መንቀሳቀስ' ማለት ነው።")</f>
        <v>ማንካላ የሚለው ቃል ከአረብኛ 'naqala' የመጣ ሲሆን ትርጉሙም 'መንቀሳቀስ' ማለት ነው።</v>
      </c>
    </row>
    <row r="111" ht="22.5" customHeight="1">
      <c r="A111" s="3">
        <v>110.0</v>
      </c>
      <c r="B111" s="4" t="s">
        <v>3242</v>
      </c>
      <c r="C111" s="4" t="s">
        <v>3243</v>
      </c>
      <c r="D111" s="4" t="s">
        <v>3244</v>
      </c>
      <c r="E111" s="4" t="s">
        <v>3245</v>
      </c>
      <c r="G111" s="5" t="str">
        <f>IFERROR(__xludf.DUMMYFUNCTION(" GOOGLETRANSLATE(A111, ""en"", ""am"")"),"110")</f>
        <v>110</v>
      </c>
      <c r="H111" s="5" t="str">
        <f>IFERROR(__xludf.DUMMYFUNCTION(" GOOGLETRANSLATE(B111, ""en"", ""am"")"),"ማንካላ በተለያዩ ባህሎች ውስጥ የተስፋፋበት ምክንያት ምንድን ነው?")</f>
        <v>ማንካላ በተለያዩ ባህሎች ውስጥ የተስፋፋበት ምክንያት ምንድን ነው?</v>
      </c>
      <c r="I111" s="5" t="str">
        <f>IFERROR(__xludf.DUMMYFUNCTION(" GOOGLETRANSLATE(C111, ""en"", ""am"")"),"ሀ. ሃይማኖታዊ ጠቀሜታው ለ. ከንጉሣውያን ጋር የተያያዘ ነው። ሐ. ከእርሻ ልምዶች ጋር ያለው ግንኙነት መ. ቀላልነቱ እና ስልታዊው ጥልቀት")</f>
        <v>ሀ. ሃይማኖታዊ ጠቀሜታው ለ. ከንጉሣውያን ጋር የተያያዘ ነው። ሐ. ከእርሻ ልምዶች ጋር ያለው ግንኙነት መ. ቀላልነቱ እና ስልታዊው ጥልቀት</v>
      </c>
      <c r="J111" s="5" t="str">
        <f>IFERROR(__xludf.DUMMYFUNCTION(" GOOGLETRANSLATE(D111, ""en"", ""am"")"),"የእሱ ቀላልነት እና ስልታዊ ጥልቀት")</f>
        <v>የእሱ ቀላልነት እና ስልታዊ ጥልቀት</v>
      </c>
      <c r="K111" s="5" t="str">
        <f>IFERROR(__xludf.DUMMYFUNCTION(" GOOGLETRANSLATE(E111, ""en"", ""am"")"),"ማንካላ ከጥልቅ ስልታዊ አካላት ጋር በማጣመር በቀላል ህጎች ምክንያት በባህሎች ውስጥ ተሰራጭቷል።")</f>
        <v>ማንካላ ከጥልቅ ስልታዊ አካላት ጋር በማጣመር በቀላል ህጎች ምክንያት በባህሎች ውስጥ ተሰራጭቷል።</v>
      </c>
    </row>
    <row r="112" ht="22.5" customHeight="1">
      <c r="A112" s="3">
        <v>111.0</v>
      </c>
      <c r="B112" s="4" t="s">
        <v>3246</v>
      </c>
      <c r="C112" s="4" t="s">
        <v>3247</v>
      </c>
      <c r="D112" s="4" t="s">
        <v>3248</v>
      </c>
      <c r="E112" s="4" t="s">
        <v>3249</v>
      </c>
      <c r="G112" s="5" t="str">
        <f>IFERROR(__xludf.DUMMYFUNCTION(" GOOGLETRANSLATE(A112, ""en"", ""am"")"),"111")</f>
        <v>111</v>
      </c>
      <c r="H112" s="5" t="str">
        <f>IFERROR(__xludf.DUMMYFUNCTION(" GOOGLETRANSLATE(B112, ""en"", ""am"")"),"ማንካላን እንደ ዲፕሎማሲያዊ ሥርዓት እንደተጠቀመ የሚታመነው የትኛው ጥንታዊ የአፍሪካ መንግሥት ነው?")</f>
        <v>ማንካላን እንደ ዲፕሎማሲያዊ ሥርዓት እንደተጠቀመ የሚታመነው የትኛው ጥንታዊ የአፍሪካ መንግሥት ነው?</v>
      </c>
      <c r="I112" s="5" t="str">
        <f>IFERROR(__xludf.DUMMYFUNCTION(" GOOGLETRANSLATE(C112, ""en"", ""am"")"),"ሀ. የኩሽ መንግሥት የጋና መንግሥት ሐ. የማሊ መንግሥት መንግሥት የአክሱም መንግሥት")</f>
        <v>ሀ. የኩሽ መንግሥት የጋና መንግሥት ሐ. የማሊ መንግሥት መንግሥት የአክሱም መንግሥት</v>
      </c>
      <c r="J112" s="5" t="str">
        <f>IFERROR(__xludf.DUMMYFUNCTION(" GOOGLETRANSLATE(D112, ""en"", ""am"")"),"የአክሱም መንግሥት")</f>
        <v>የአክሱም መንግሥት</v>
      </c>
      <c r="K112" s="5" t="str">
        <f>IFERROR(__xludf.DUMMYFUNCTION(" GOOGLETRANSLATE(E112, ""en"", ""am"")"),"የአክሱም መንግሥት በዲፕሎማሲያዊ ሥነ-ሥርዓት እና በንግድ ድርድር ወቅት ማንካላን ይጠቀም ነበር ተብሎ ይታመናል።")</f>
        <v>የአክሱም መንግሥት በዲፕሎማሲያዊ ሥነ-ሥርዓት እና በንግድ ድርድር ወቅት ማንካላን ይጠቀም ነበር ተብሎ ይታመናል።</v>
      </c>
    </row>
    <row r="113" ht="22.5" customHeight="1">
      <c r="A113" s="3">
        <v>112.0</v>
      </c>
      <c r="B113" s="4" t="s">
        <v>3250</v>
      </c>
      <c r="C113" s="4" t="s">
        <v>3251</v>
      </c>
      <c r="D113" s="4" t="s">
        <v>3252</v>
      </c>
      <c r="E113" s="4" t="s">
        <v>3253</v>
      </c>
      <c r="G113" s="5" t="str">
        <f>IFERROR(__xludf.DUMMYFUNCTION(" GOOGLETRANSLATE(A113, ""en"", ""am"")"),"112")</f>
        <v>112</v>
      </c>
      <c r="H113" s="5" t="str">
        <f>IFERROR(__xludf.DUMMYFUNCTION(" GOOGLETRANSLATE(B113, ""en"", ""am"")"),"በአንዳንድ የአፍሪካ ባህሎች ውስጥ ማንካላ የመጫወት ባህላዊ ገጽታ ምን ነበር?")</f>
        <v>በአንዳንድ የአፍሪካ ባህሎች ውስጥ ማንካላ የመጫወት ባህላዊ ገጽታ ምን ነበር?</v>
      </c>
      <c r="I113" s="5" t="str">
        <f>IFERROR(__xludf.DUMMYFUNCTION(" GOOGLETRANSLATE(C113, ""en"", ""am"")"),"ሀ. የእንጨት ሰሌዳዎች ለ. የሸክላ ጠረጴዛዎች ሐ. አሸዋ ወይም ቆሻሻ D. አሸዋ ወይም ቆሻሻ")</f>
        <v>ሀ. የእንጨት ሰሌዳዎች ለ. የሸክላ ጠረጴዛዎች ሐ. አሸዋ ወይም ቆሻሻ D. አሸዋ ወይም ቆሻሻ</v>
      </c>
      <c r="J113" s="5" t="str">
        <f>IFERROR(__xludf.DUMMYFUNCTION(" GOOGLETRANSLATE(D113, ""en"", ""am"")"),"አሸዋ ወይም ቆሻሻ")</f>
        <v>አሸዋ ወይም ቆሻሻ</v>
      </c>
      <c r="K113" s="5" t="str">
        <f>IFERROR(__xludf.DUMMYFUNCTION(" GOOGLETRANSLATE(E113, ""en"", ""am"")"),"በአንዳንድ የአፍሪካ ባህሎች ውስጥ, ማንካላ መሬት ላይ ተጫውቷል, አሸዋ ወይም አፈር በመጠቀም ሰሌዳውን ለመፍጠር.")</f>
        <v>በአንዳንድ የአፍሪካ ባህሎች ውስጥ, ማንካላ መሬት ላይ ተጫውቷል, አሸዋ ወይም አፈር በመጠቀም ሰሌዳውን ለመፍጠር.</v>
      </c>
    </row>
    <row r="114" ht="22.5" customHeight="1">
      <c r="A114" s="3">
        <v>113.0</v>
      </c>
      <c r="B114" s="4" t="s">
        <v>3254</v>
      </c>
      <c r="C114" s="4" t="s">
        <v>3255</v>
      </c>
      <c r="D114" s="4" t="s">
        <v>3256</v>
      </c>
      <c r="E114" s="4" t="s">
        <v>3257</v>
      </c>
      <c r="G114" s="5" t="str">
        <f>IFERROR(__xludf.DUMMYFUNCTION(" GOOGLETRANSLATE(A114, ""en"", ""am"")"),"113")</f>
        <v>113</v>
      </c>
      <c r="H114" s="5" t="str">
        <f>IFERROR(__xludf.DUMMYFUNCTION(" GOOGLETRANSLATE(B114, ""en"", ""am"")"),"ማንካላን ወደ ሰሜን አሜሪካ ያስተዋወቀው ቡድን የትኛው ነው?")</f>
        <v>ማንካላን ወደ ሰሜን አሜሪካ ያስተዋወቀው ቡድን የትኛው ነው?</v>
      </c>
      <c r="I114" s="5" t="str">
        <f>IFERROR(__xludf.DUMMYFUNCTION(" GOOGLETRANSLATE(C114, ""en"", ""am"")"),"ሀ. የአሜሪካ ተወላጆች ለ. የፈረንሣይ አሳሾች ሐ. የስፔን ሰፋሪዎች D. የአፍሪካ ባሮች")</f>
        <v>ሀ. የአሜሪካ ተወላጆች ለ. የፈረንሣይ አሳሾች ሐ. የስፔን ሰፋሪዎች D. የአፍሪካ ባሮች</v>
      </c>
      <c r="J114" s="5" t="str">
        <f>IFERROR(__xludf.DUMMYFUNCTION(" GOOGLETRANSLATE(D114, ""en"", ""am"")"),"የአፍሪካ ባሮች")</f>
        <v>የአፍሪካ ባሮች</v>
      </c>
      <c r="K114" s="5" t="str">
        <f>IFERROR(__xludf.DUMMYFUNCTION(" GOOGLETRANSLATE(E114, ""en"", ""am"")"),"ማንካላ ጨዋታውን ይዘው በመጡ የአፍሪካ ባሮች ወደ ሰሜን አሜሪካ አስተዋውቀዋል።")</f>
        <v>ማንካላ ጨዋታውን ይዘው በመጡ የአፍሪካ ባሮች ወደ ሰሜን አሜሪካ አስተዋውቀዋል።</v>
      </c>
    </row>
    <row r="115" ht="22.5" customHeight="1">
      <c r="A115" s="3">
        <v>114.0</v>
      </c>
      <c r="B115" s="5" t="s">
        <v>3258</v>
      </c>
      <c r="C115" s="4" t="s">
        <v>3259</v>
      </c>
      <c r="D115" s="5" t="s">
        <v>3260</v>
      </c>
      <c r="E115" s="5" t="s">
        <v>3261</v>
      </c>
      <c r="G115" s="5" t="str">
        <f>IFERROR(__xludf.DUMMYFUNCTION(" GOOGLETRANSLATE(A115, ""en"", ""am"")"),"114")</f>
        <v>114</v>
      </c>
      <c r="H115" s="5" t="str">
        <f>IFERROR(__xludf.DUMMYFUNCTION(" GOOGLETRANSLATE(B115, ""en"", ""am"")"),"ማንካላ በአውሮፓ ታዋቂ እንዲሆን ያደረገው የትኛው ታዋቂ ታሪካዊ ሰው ነው?")</f>
        <v>ማንካላ በአውሮፓ ታዋቂ እንዲሆን ያደረገው የትኛው ታዋቂ ታሪካዊ ሰው ነው?</v>
      </c>
      <c r="I115" s="5" t="str">
        <f>IFERROR(__xludf.DUMMYFUNCTION(" GOOGLETRANSLATE(C115, ""en"", ""am"")"),"ኤ. ናፖሊዮን ቦናፓርት ቢ ማርኮ ፖሎ ሲ. ንግስት ቪክቶሪያ ዲ. ክሪስቶፈር ኮሎምበስ")</f>
        <v>ኤ. ናፖሊዮን ቦናፓርት ቢ ማርኮ ፖሎ ሲ. ንግስት ቪክቶሪያ ዲ. ክሪስቶፈር ኮሎምበስ</v>
      </c>
      <c r="J115" s="5" t="str">
        <f>IFERROR(__xludf.DUMMYFUNCTION(" GOOGLETRANSLATE(D115, ""en"", ""am"")"),"ማርኮ ፖሎ")</f>
        <v>ማርኮ ፖሎ</v>
      </c>
      <c r="K115" s="5" t="str">
        <f>IFERROR(__xludf.DUMMYFUNCTION(" GOOGLETRANSLATE(E115, ""en"", ""am"")"),"ማርኮ ፖሎ በእስያ ውስጥ በጉዞው ወቅት ካጋጠመው በኋላ ማንካላን ወደ አውሮፓ በማስተዋወቅ እውቅና ተሰጥቶታል።")</f>
        <v>ማርኮ ፖሎ በእስያ ውስጥ በጉዞው ወቅት ካጋጠመው በኋላ ማንካላን ወደ አውሮፓ በማስተዋወቅ እውቅና ተሰጥቶታል።</v>
      </c>
    </row>
    <row r="116" ht="22.5" customHeight="1">
      <c r="A116" s="3">
        <v>115.0</v>
      </c>
      <c r="B116" s="5" t="s">
        <v>3262</v>
      </c>
      <c r="C116" s="4" t="s">
        <v>3263</v>
      </c>
      <c r="D116" s="5" t="s">
        <v>3264</v>
      </c>
      <c r="E116" s="5" t="s">
        <v>3265</v>
      </c>
      <c r="G116" s="5" t="str">
        <f>IFERROR(__xludf.DUMMYFUNCTION(" GOOGLETRANSLATE(A116, ""en"", ""am"")"),"115")</f>
        <v>115</v>
      </c>
      <c r="H116" s="5" t="str">
        <f>IFERROR(__xludf.DUMMYFUNCTION(" GOOGLETRANSLATE(B116, ""en"", ""am"")"),"የማንካላ ጨዋታ ከሌሎች የቦርድ ጨዋታዎች የሚለየው የትኛው ገጽታ ነው?")</f>
        <v>የማንካላ ጨዋታ ከሌሎች የቦርድ ጨዋታዎች የሚለየው የትኛው ገጽታ ነው?</v>
      </c>
      <c r="I116" s="5" t="str">
        <f>IFERROR(__xludf.DUMMYFUNCTION(" GOOGLETRANSLATE(C116, ""en"", ""am"")"),"ሀ. በቦርዱ ውስጥ ያሉትን ጉድጓዶች ወይም ጉድጓዶች መጠቀም ለ. በዳይ ግልበጣዎች ላይ የተመሰረተ የቁራጮች እንቅስቃሴ ሐ. የተቃዋሚውን ቁርጥራጮች የመያዝ ችሎታ መ. የካርድ አጠቃቀም ለስልት ይስላል.")</f>
        <v>ሀ. በቦርዱ ውስጥ ያሉትን ጉድጓዶች ወይም ጉድጓዶች መጠቀም ለ. በዳይ ግልበጣዎች ላይ የተመሰረተ የቁራጮች እንቅስቃሴ ሐ. የተቃዋሚውን ቁርጥራጮች የመያዝ ችሎታ መ. የካርድ አጠቃቀም ለስልት ይስላል.</v>
      </c>
      <c r="J116" s="5" t="str">
        <f>IFERROR(__xludf.DUMMYFUNCTION(" GOOGLETRANSLATE(D116, ""en"", ""am"")"),"በቦርዱ ውስጥ ቀዳዳዎችን ወይም ጉድጓዶችን መጠቀም")</f>
        <v>በቦርዱ ውስጥ ቀዳዳዎችን ወይም ጉድጓዶችን መጠቀም</v>
      </c>
      <c r="K116" s="5" t="str">
        <f>IFERROR(__xludf.DUMMYFUNCTION(" GOOGLETRANSLATE(E116, ""en"", ""am"")"),"የማንካላ ልዩ ባህሪ በቦርዱ ውስጥ ያሉትን ቀዳዳዎች ወይም ጉድጓዶች ለማንቀሳቀስ እና ቁርጥራጮችን ለመያዝ መጠቀሙ ነው።")</f>
        <v>የማንካላ ልዩ ባህሪ በቦርዱ ውስጥ ያሉትን ቀዳዳዎች ወይም ጉድጓዶች ለማንቀሳቀስ እና ቁርጥራጮችን ለመያዝ መጠቀሙ ነው።</v>
      </c>
    </row>
    <row r="117" ht="22.5" customHeight="1">
      <c r="A117" s="3">
        <v>116.0</v>
      </c>
      <c r="B117" s="5" t="s">
        <v>3266</v>
      </c>
      <c r="C117" s="4" t="s">
        <v>3267</v>
      </c>
      <c r="D117" s="5" t="s">
        <v>3268</v>
      </c>
      <c r="E117" s="5" t="s">
        <v>3269</v>
      </c>
      <c r="G117" s="5" t="str">
        <f>IFERROR(__xludf.DUMMYFUNCTION(" GOOGLETRANSLATE(A117, ""en"", ""am"")"),"116")</f>
        <v>116</v>
      </c>
      <c r="H117" s="5" t="str">
        <f>IFERROR(__xludf.DUMMYFUNCTION(" GOOGLETRANSLATE(B117, ""en"", ""am"")"),"የማንካላ ጨዋታ ቀዳሚ ግብ ምንድነው?")</f>
        <v>የማንካላ ጨዋታ ቀዳሚ ግብ ምንድነው?</v>
      </c>
      <c r="I117" s="5" t="str">
        <f>IFERROR(__xludf.DUMMYFUNCTION(" GOOGLETRANSLATE(C117, ""en"", ""am"")"),"ሀ. የተቃዋሚዎቹን ቁርጥራጮች በሙሉ ለመያዝ ለ. ቁርጥራጮቹን በቀጥታ መስመር ለማንቀሳቀስ ሐ. ከተቃዋሚው የበለጠ ቁርጥራጮችን ለመሰብሰብ መ. የተቃዋሚውን ጉድጓዶች በክፍሎችዎ መሙላት")</f>
        <v>ሀ. የተቃዋሚዎቹን ቁርጥራጮች በሙሉ ለመያዝ ለ. ቁርጥራጮቹን በቀጥታ መስመር ለማንቀሳቀስ ሐ. ከተቃዋሚው የበለጠ ቁርጥራጮችን ለመሰብሰብ መ. የተቃዋሚውን ጉድጓዶች በክፍሎችዎ መሙላት</v>
      </c>
      <c r="J117" s="5" t="str">
        <f>IFERROR(__xludf.DUMMYFUNCTION(" GOOGLETRANSLATE(D117, ""en"", ""am"")"),"ከተቃዋሚው የበለጠ ብዙ ቁርጥራጮችን ለመሰብሰብ")</f>
        <v>ከተቃዋሚው የበለጠ ብዙ ቁርጥራጮችን ለመሰብሰብ</v>
      </c>
      <c r="K117" s="5" t="str">
        <f>IFERROR(__xludf.DUMMYFUNCTION(" GOOGLETRANSLATE(E117, ""en"", ""am"")"),"የማንካላ ዋና ግብ ከተቃዋሚው የበለጠ ብዙ ቁርጥራጮችን በስትራቴጂካዊ መንገድ በማንቀሳቀስ መሰብሰብ ነው።")</f>
        <v>የማንካላ ዋና ግብ ከተቃዋሚው የበለጠ ብዙ ቁርጥራጮችን በስትራቴጂካዊ መንገድ በማንቀሳቀስ መሰብሰብ ነው።</v>
      </c>
    </row>
    <row r="118" ht="22.5" customHeight="1">
      <c r="A118" s="3">
        <v>117.0</v>
      </c>
      <c r="B118" s="5" t="s">
        <v>3270</v>
      </c>
      <c r="C118" s="4" t="s">
        <v>3271</v>
      </c>
      <c r="D118" s="5" t="s">
        <v>2094</v>
      </c>
      <c r="E118" s="5" t="s">
        <v>3272</v>
      </c>
      <c r="G118" s="5" t="str">
        <f>IFERROR(__xludf.DUMMYFUNCTION(" GOOGLETRANSLATE(A118, ""en"", ""am"")"),"117")</f>
        <v>117</v>
      </c>
      <c r="H118" s="5" t="str">
        <f>IFERROR(__xludf.DUMMYFUNCTION(" GOOGLETRANSLATE(B118, ""en"", ""am"")"),"ማንካላን ወደ ብሄራዊ ባህሉ የተቀበለችው የትኛው የአውሮፓ ሀገር ነው?")</f>
        <v>ማንካላን ወደ ብሄራዊ ባህሉ የተቀበለችው የትኛው የአውሮፓ ሀገር ነው?</v>
      </c>
      <c r="I118" s="5" t="str">
        <f>IFERROR(__xludf.DUMMYFUNCTION(" GOOGLETRANSLATE(C118, ""en"", ""am"")"),"አ. ፍራንስ ቢ. ፖርቱጋል ሲ. ኢጣሊያ ዲ. ስፔን")</f>
        <v>አ. ፍራንስ ቢ. ፖርቱጋል ሲ. ኢጣሊያ ዲ. ስፔን</v>
      </c>
      <c r="J118" s="5" t="str">
        <f>IFERROR(__xludf.DUMMYFUNCTION(" GOOGLETRANSLATE(D118, ""en"", ""am"")"),"ፈረንሳይ")</f>
        <v>ፈረንሳይ</v>
      </c>
      <c r="K118" s="5" t="str">
        <f>IFERROR(__xludf.DUMMYFUNCTION(" GOOGLETRANSLATE(E118, ""en"", ""am"")"),"ፈረንሣይ ማንካላን ወደ ባህሏ የተቀበለች የመጀመሪያዋ የአውሮፓ ሀገር ነበረች ፣ በተለይም በቅኝ ግዛት ጊዜ።")</f>
        <v>ፈረንሣይ ማንካላን ወደ ባህሏ የተቀበለች የመጀመሪያዋ የአውሮፓ ሀገር ነበረች ፣ በተለይም በቅኝ ግዛት ጊዜ።</v>
      </c>
    </row>
    <row r="119" ht="22.5" customHeight="1">
      <c r="A119" s="3">
        <v>118.0</v>
      </c>
      <c r="B119" s="5" t="s">
        <v>3273</v>
      </c>
      <c r="C119" s="4" t="s">
        <v>3274</v>
      </c>
      <c r="D119" s="5" t="s">
        <v>3275</v>
      </c>
      <c r="E119" s="5" t="s">
        <v>3276</v>
      </c>
      <c r="G119" s="5" t="str">
        <f>IFERROR(__xludf.DUMMYFUNCTION(" GOOGLETRANSLATE(A119, ""en"", ""am"")"),"118")</f>
        <v>118</v>
      </c>
      <c r="H119" s="5" t="str">
        <f>IFERROR(__xludf.DUMMYFUNCTION(" GOOGLETRANSLATE(B119, ""en"", ""am"")"),"ማንካላ በዘመናዊ የቦርድ ጨዋታዎች እድገት ላይ ተጽዕኖ ያሳደረው እንዴት ነው?")</f>
        <v>ማንካላ በዘመናዊ የቦርድ ጨዋታዎች እድገት ላይ ተጽዕኖ ያሳደረው እንዴት ነው?</v>
      </c>
      <c r="I119" s="5" t="str">
        <f>IFERROR(__xludf.DUMMYFUNCTION(" GOOGLETRANSLATE(C119, ""en"", ""am"")"),"ሀ. በስትራቴጂካዊ አጨዋወቱ ለ. በማህበራዊ ገጽታው ሐ. በቁማር መነሻው መ. በዳይስ መካኒኮች አጠቃቀም")</f>
        <v>ሀ. በስትራቴጂካዊ አጨዋወቱ ለ. በማህበራዊ ገጽታው ሐ. በቁማር መነሻው መ. በዳይስ መካኒኮች አጠቃቀም</v>
      </c>
      <c r="J119" s="5" t="str">
        <f>IFERROR(__xludf.DUMMYFUNCTION(" GOOGLETRANSLATE(D119, ""en"", ""am"")"),"በስትራቴጂካዊ አጨዋወት")</f>
        <v>በስትራቴጂካዊ አጨዋወት</v>
      </c>
      <c r="K119" s="5" t="str">
        <f>IFERROR(__xludf.DUMMYFUNCTION(" GOOGLETRANSLATE(E119, ""en"", ""am"")"),"የማንካላ ስልታዊ የጨዋታ አጨዋወት አካላት በብዙ ዘመናዊ የቦርድ ጨዋታዎች እድገት ላይ ተጽዕኖ አሳድረዋል።")</f>
        <v>የማንካላ ስልታዊ የጨዋታ አጨዋወት አካላት በብዙ ዘመናዊ የቦርድ ጨዋታዎች እድገት ላይ ተጽዕኖ አሳድረዋል።</v>
      </c>
    </row>
    <row r="120" ht="22.5" customHeight="1">
      <c r="A120" s="3">
        <v>119.0</v>
      </c>
      <c r="B120" s="5" t="s">
        <v>3277</v>
      </c>
      <c r="C120" s="4" t="s">
        <v>3278</v>
      </c>
      <c r="D120" s="5" t="s">
        <v>3234</v>
      </c>
      <c r="E120" s="5" t="s">
        <v>3279</v>
      </c>
      <c r="G120" s="5" t="str">
        <f>IFERROR(__xludf.DUMMYFUNCTION(" GOOGLETRANSLATE(A120, ""en"", ""am"")"),"119")</f>
        <v>119</v>
      </c>
      <c r="H120" s="5" t="str">
        <f>IFERROR(__xludf.DUMMYFUNCTION(" GOOGLETRANSLATE(B120, ""en"", ""am"")"),"ማንካላን ወደ ደቡብ እስያ እንዲስፋፋ የረዳው የትኛው ግዛት ነው?")</f>
        <v>ማንካላን ወደ ደቡብ እስያ እንዲስፋፋ የረዳው የትኛው ግዛት ነው?</v>
      </c>
      <c r="I120" s="5" t="str">
        <f>IFERROR(__xludf.DUMMYFUNCTION(" GOOGLETRANSLATE(C120, ""en"", ""am"")"),"ሀ.ሙጋል ኢምፓየር ቢ.ማውሪያ ኢምፓየር ሲ.ጉፕታ ኢምፓየር ዲ.ቾላ ኢምፓየር")</f>
        <v>ሀ.ሙጋል ኢምፓየር ቢ.ማውሪያ ኢምፓየር ሲ.ጉፕታ ኢምፓየር ዲ.ቾላ ኢምፓየር</v>
      </c>
      <c r="J120" s="5" t="str">
        <f>IFERROR(__xludf.DUMMYFUNCTION(" GOOGLETRANSLATE(D120, ""en"", ""am"")"),"ሙጋል ኢምፓየር")</f>
        <v>ሙጋል ኢምፓየር</v>
      </c>
      <c r="K120" s="5" t="str">
        <f>IFERROR(__xludf.DUMMYFUNCTION(" GOOGLETRANSLATE(E120, ""en"", ""am"")"),"የሙጋል ኢምፓየር በግዛት ዘመኑ ማንካላን ወደ ደቡብ እስያ በማስፋፋት ትልቅ ሚና ተጫውቷል።")</f>
        <v>የሙጋል ኢምፓየር በግዛት ዘመኑ ማንካላን ወደ ደቡብ እስያ በማስፋፋት ትልቅ ሚና ተጫውቷል።</v>
      </c>
    </row>
    <row r="121" ht="22.5" customHeight="1">
      <c r="A121" s="3">
        <v>120.0</v>
      </c>
      <c r="B121" s="5" t="s">
        <v>3280</v>
      </c>
      <c r="C121" s="4" t="s">
        <v>3281</v>
      </c>
      <c r="D121" s="5" t="s">
        <v>3282</v>
      </c>
      <c r="E121" s="5" t="s">
        <v>3283</v>
      </c>
      <c r="G121" s="5" t="str">
        <f>IFERROR(__xludf.DUMMYFUNCTION(" GOOGLETRANSLATE(A121, ""en"", ""am"")"),"120")</f>
        <v>120</v>
      </c>
      <c r="H121" s="5" t="str">
        <f>IFERROR(__xludf.DUMMYFUNCTION(" GOOGLETRANSLATE(B121, ""en"", ""am"")"),"በማንካላ ውስጥ 'ድንጋዮቹን' ለመፍጠር በአንዳንድ የአፍሪካ አካባቢዎች ጥቅም ላይ የዋለው ቁሳቁስ የትኛው ነው?")</f>
        <v>በማንካላ ውስጥ 'ድንጋዮቹን' ለመፍጠር በአንዳንድ የአፍሪካ አካባቢዎች ጥቅም ላይ የዋለው ቁሳቁስ የትኛው ነው?</v>
      </c>
      <c r="I121" s="5" t="str">
        <f>IFERROR(__xludf.DUMMYFUNCTION(" GOOGLETRANSLATE(C121, ""en"", ""am"")"),"A. Shells B. የእንጨት ዲስኮች ሐ. ሜታል ዲ. ጠጠሮች")</f>
        <v>A. Shells B. የእንጨት ዲስኮች ሐ. ሜታል ዲ. ጠጠሮች</v>
      </c>
      <c r="J121" s="5" t="str">
        <f>IFERROR(__xludf.DUMMYFUNCTION(" GOOGLETRANSLATE(D121, ""en"", ""am"")"),"ዛጎሎች")</f>
        <v>ዛጎሎች</v>
      </c>
      <c r="K121" s="5" t="str">
        <f>IFERROR(__xludf.DUMMYFUNCTION(" GOOGLETRANSLATE(E121, ""en"", ""am"")"),"በአንዳንድ የአፍሪካ ባህሎች ዛጎሎች በማንካላ ጨዋታ እንደ 'ድንጋይ' ይገለገሉበት ነበር።")</f>
        <v>በአንዳንድ የአፍሪካ ባህሎች ዛጎሎች በማንካላ ጨዋታ እንደ 'ድንጋይ' ይገለገሉበት ነበር።</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37.63"/>
    <col customWidth="1" min="3" max="3" width="27.13"/>
    <col customWidth="1" min="4" max="4" width="37.63"/>
    <col customWidth="1" min="7" max="7" width="22.0"/>
    <col customWidth="1" min="8" max="8" width="28.88"/>
    <col customWidth="1" min="9" max="9" width="31.0"/>
    <col customWidth="1" min="10" max="10" width="21.75"/>
    <col customWidth="1" min="11" max="11" width="30.88"/>
  </cols>
  <sheetData>
    <row r="1" ht="22.5" customHeight="1">
      <c r="A1" s="17" t="s">
        <v>0</v>
      </c>
      <c r="B1" s="17" t="s">
        <v>1</v>
      </c>
      <c r="C1" s="17" t="s">
        <v>2</v>
      </c>
      <c r="D1" s="17" t="s">
        <v>515</v>
      </c>
      <c r="E1" s="17" t="s">
        <v>4</v>
      </c>
      <c r="F1" s="18"/>
      <c r="G1" s="14" t="s">
        <v>5</v>
      </c>
      <c r="H1" s="15" t="s">
        <v>6</v>
      </c>
      <c r="I1" s="15" t="s">
        <v>7</v>
      </c>
      <c r="J1" s="15" t="s">
        <v>8</v>
      </c>
      <c r="K1" s="16" t="s">
        <v>9</v>
      </c>
      <c r="L1" s="18"/>
      <c r="M1" s="18"/>
      <c r="N1" s="18"/>
      <c r="O1" s="18"/>
      <c r="P1" s="18"/>
      <c r="Q1" s="18"/>
      <c r="R1" s="18"/>
      <c r="S1" s="18"/>
      <c r="T1" s="18"/>
      <c r="U1" s="18"/>
    </row>
    <row r="2" ht="22.5" customHeight="1">
      <c r="A2" s="19">
        <v>1.0</v>
      </c>
      <c r="B2" s="5" t="s">
        <v>3284</v>
      </c>
      <c r="C2" s="5" t="s">
        <v>3285</v>
      </c>
      <c r="D2" s="5" t="s">
        <v>3286</v>
      </c>
      <c r="E2" s="5" t="s">
        <v>3287</v>
      </c>
      <c r="F2" s="18"/>
      <c r="G2" s="5" t="str">
        <f>IFERROR(__xludf.DUMMYFUNCTION(" GOOGLETRANSLATE(A2, ""en"", ""am"")"),"1")</f>
        <v>1</v>
      </c>
      <c r="H2" s="5" t="str">
        <f>IFERROR(__xludf.DUMMYFUNCTION(" GOOGLETRANSLATE(B2, ""en"", ""am"")"),"በኢትዮጵያ የሐማር ነገድ ውስጥ ላም መዝለል በዋናነት የሚከተለው ሥርዓት ነው-")</f>
        <v>በኢትዮጵያ የሐማር ነገድ ውስጥ ላም መዝለል በዋናነት የሚከተለው ሥርዓት ነው-</v>
      </c>
      <c r="I2" s="5" t="str">
        <f>IFERROR(__xludf.DUMMYFUNCTION(" GOOGLETRANSLATE(C2, ""en"", ""am"")"),"ሀ. የጋብቻ መነሳሳት ለ. ወደ ወንድነት መሸጋገር ሐ. የጎሳ ሽማግሌ መሆን መ. ተዋጊ ማስተዋወቅ")</f>
        <v>ሀ. የጋብቻ መነሳሳት ለ. ወደ ወንድነት መሸጋገር ሐ. የጎሳ ሽማግሌ መሆን መ. ተዋጊ ማስተዋወቅ</v>
      </c>
      <c r="J2" s="5" t="str">
        <f>IFERROR(__xludf.DUMMYFUNCTION(" GOOGLETRANSLATE(D2, ""en"", ""am"")"),"ለ) ወደ ወንድነት መሸጋገር")</f>
        <v>ለ) ወደ ወንድነት መሸጋገር</v>
      </c>
      <c r="K2" s="5" t="str">
        <f>IFERROR(__xludf.DUMMYFUNCTION(" GOOGLETRANSLATE(E2, ""en"", ""am"")"),"ላም መዝለል (ኡኩሊ ቡላ) ወንድ ልጅ ወደ አዋቂነት መሸጋገሩን የሚያመለክት የአምልኮ ሥርዓት ሲሆን ይህም የማግባት መብት ይሰጠዋል.")</f>
        <v>ላም መዝለል (ኡኩሊ ቡላ) ወንድ ልጅ ወደ አዋቂነት መሸጋገሩን የሚያመለክት የአምልኮ ሥርዓት ሲሆን ይህም የማግባት መብት ይሰጠዋል.</v>
      </c>
    </row>
    <row r="3" ht="22.5" customHeight="1">
      <c r="A3" s="19">
        <v>2.0</v>
      </c>
      <c r="B3" s="5" t="s">
        <v>3288</v>
      </c>
      <c r="C3" s="5" t="s">
        <v>3289</v>
      </c>
      <c r="D3" s="5" t="s">
        <v>3290</v>
      </c>
      <c r="E3" s="5" t="s">
        <v>3291</v>
      </c>
      <c r="F3" s="18"/>
      <c r="G3" s="5" t="str">
        <f>IFERROR(__xludf.DUMMYFUNCTION(" GOOGLETRANSLATE(A3, ""en"", ""am"")"),"2")</f>
        <v>2</v>
      </c>
      <c r="H3" s="5" t="str">
        <f>IFERROR(__xludf.DUMMYFUNCTION(" GOOGLETRANSLATE(B3, ""en"", ""am"")"),"ከላም ዝላይ ሥነ-ሥርዓት ጋር የተያያዘው የትኛው የኢትዮጵያ ብሔር ማህበረሰብ ነው?")</f>
        <v>ከላም ዝላይ ሥነ-ሥርዓት ጋር የተያያዘው የትኛው የኢትዮጵያ ብሔር ማህበረሰብ ነው?</v>
      </c>
      <c r="I3" s="5" t="str">
        <f>IFERROR(__xludf.DUMMYFUNCTION(" GOOGLETRANSLATE(C3, ""en"", ""am"")"),"አ.አምሓራ ብ ሐማር ሐ ኦሮሞ ዲ.ትግራይ")</f>
        <v>አ.አምሓራ ብ ሐማር ሐ ኦሮሞ ዲ.ትግራይ</v>
      </c>
      <c r="J3" s="5" t="str">
        <f>IFERROR(__xludf.DUMMYFUNCTION(" GOOGLETRANSLATE(D3, ""en"", ""am"")"),"ለ) ሀማር")</f>
        <v>ለ) ሀማር</v>
      </c>
      <c r="K3" s="5" t="str">
        <f>IFERROR(__xludf.DUMMYFUNCTION(" GOOGLETRANSLATE(E3, ""en"", ""am"")"),"በኢትዮጵያ በኦሞ ሸለቆ የሚኖሩ የሃማር ተወላጆች ይህን ልዩ ሥነ-ሥርዓት የባህላዊ ማንነታቸው አካል አድርገው ይከተላሉ።")</f>
        <v>በኢትዮጵያ በኦሞ ሸለቆ የሚኖሩ የሃማር ተወላጆች ይህን ልዩ ሥነ-ሥርዓት የባህላዊ ማንነታቸው አካል አድርገው ይከተላሉ።</v>
      </c>
    </row>
    <row r="4" ht="22.5" customHeight="1">
      <c r="A4" s="19">
        <v>3.0</v>
      </c>
      <c r="B4" s="5" t="s">
        <v>3292</v>
      </c>
      <c r="C4" s="5" t="s">
        <v>3293</v>
      </c>
      <c r="D4" s="5" t="s">
        <v>3294</v>
      </c>
      <c r="E4" s="5" t="s">
        <v>3295</v>
      </c>
      <c r="F4" s="18"/>
      <c r="G4" s="5" t="str">
        <f>IFERROR(__xludf.DUMMYFUNCTION(" GOOGLETRANSLATE(A4, ""en"", ""am"")"),"3")</f>
        <v>3</v>
      </c>
      <c r="H4" s="5" t="str">
        <f>IFERROR(__xludf.DUMMYFUNCTION(" GOOGLETRANSLATE(B4, ""en"", ""am"")"),"በላም መዝለል ሥነ ሥርዓት ላይ ወጣቱ ስኬታማ ለመሆን ምን ማድረግ አለበት?")</f>
        <v>በላም መዝለል ሥነ ሥርዓት ላይ ወጣቱ ስኬታማ ለመሆን ምን ማድረግ አለበት?</v>
      </c>
      <c r="I4" s="5" t="str">
        <f>IFERROR(__xludf.DUMMYFUNCTION(" GOOGLETRANSLATE(C4, ""en"", ""am"")"),"ሀ. በሬ ግደሉ ለ. በከሰል ፍም ላይ መራመድ ሐ. ከከብቶች ጀርባ ላይ መሮጥ D. አንድ ሽማግሌ መታገል")</f>
        <v>ሀ. በሬ ግደሉ ለ. በከሰል ፍም ላይ መራመድ ሐ. ከከብቶች ጀርባ ላይ መሮጥ D. አንድ ሽማግሌ መታገል</v>
      </c>
      <c r="J4" s="5" t="str">
        <f>IFERROR(__xludf.DUMMYFUNCTION(" GOOGLETRANSLATE(D4, ""en"", ""am"")"),"ሐ) ከከብቶች ጀርባ መሮጥ")</f>
        <v>ሐ) ከከብቶች ጀርባ መሮጥ</v>
      </c>
      <c r="K4" s="5" t="str">
        <f>IFERROR(__xludf.DUMMYFUNCTION(" GOOGLETRANSLATE(E4, ""en"", ""am"")"),"ጀማሪው ሚዛንን፣ ጀግንነትን እና ብስለትን በማሳየት በአንድነት በተሰለፉት በሬዎች ጀርባ ላይ ይሮጣል።")</f>
        <v>ጀማሪው ሚዛንን፣ ጀግንነትን እና ብስለትን በማሳየት በአንድነት በተሰለፉት በሬዎች ጀርባ ላይ ይሮጣል።</v>
      </c>
    </row>
    <row r="5" ht="22.5" customHeight="1">
      <c r="A5" s="19">
        <v>4.0</v>
      </c>
      <c r="B5" s="5" t="s">
        <v>3296</v>
      </c>
      <c r="C5" s="5" t="s">
        <v>3297</v>
      </c>
      <c r="D5" s="5" t="s">
        <v>3298</v>
      </c>
      <c r="E5" s="5" t="s">
        <v>3299</v>
      </c>
      <c r="F5" s="18"/>
      <c r="G5" s="5" t="str">
        <f>IFERROR(__xludf.DUMMYFUNCTION(" GOOGLETRANSLATE(A5, ""en"", ""am"")"),"4")</f>
        <v>4</v>
      </c>
      <c r="H5" s="5" t="str">
        <f>IFERROR(__xludf.DUMMYFUNCTION(" GOOGLETRANSLATE(B5, ""en"", ""am"")"),"ሥርዓቱን ለመጨረስ ወጣቱ በተለምዶ ከብቶቹን ለመሮጥ ስንት ጊዜ መሮጥ አለበት?")</f>
        <v>ሥርዓቱን ለመጨረስ ወጣቱ በተለምዶ ከብቶቹን ለመሮጥ ስንት ጊዜ መሮጥ አለበት?</v>
      </c>
      <c r="I5" s="5" t="str">
        <f>IFERROR(__xludf.DUMMYFUNCTION(" GOOGLETRANSLATE(C5, ""en"", ""am"")"),"ሀ. አንድ ጊዜ ለ. ሁለት ጊዜ ሐ. ሶስት ጊዜ መ. አራት ጊዜ")</f>
        <v>ሀ. አንድ ጊዜ ለ. ሁለት ጊዜ ሐ. ሶስት ጊዜ መ. አራት ጊዜ</v>
      </c>
      <c r="J5" s="5" t="str">
        <f>IFERROR(__xludf.DUMMYFUNCTION(" GOOGLETRANSLATE(D5, ""en"", ""am"")"),"መ) አራት ጊዜ")</f>
        <v>መ) አራት ጊዜ</v>
      </c>
      <c r="K5" s="5" t="str">
        <f>IFERROR(__xludf.DUMMYFUNCTION(" GOOGLETRANSLATE(E5, ""en"", ""am"")"),"ወግ ለአዋቂነት ዝግጁነቱን ለማረጋገጥ አራት የተሳኩ የከብት ሩጫዎችን ይፈልጋል።")</f>
        <v>ወግ ለአዋቂነት ዝግጁነቱን ለማረጋገጥ አራት የተሳኩ የከብት ሩጫዎችን ይፈልጋል።</v>
      </c>
    </row>
    <row r="6" ht="22.5" customHeight="1">
      <c r="A6" s="19">
        <v>5.0</v>
      </c>
      <c r="B6" s="5" t="s">
        <v>3300</v>
      </c>
      <c r="C6" s="5" t="s">
        <v>3301</v>
      </c>
      <c r="D6" s="5" t="s">
        <v>3302</v>
      </c>
      <c r="E6" s="5" t="s">
        <v>3303</v>
      </c>
      <c r="F6" s="18"/>
      <c r="G6" s="5" t="str">
        <f>IFERROR(__xludf.DUMMYFUNCTION(" GOOGLETRANSLATE(A6, ""en"", ""am"")"),"5")</f>
        <v>5</v>
      </c>
      <c r="H6" s="5" t="str">
        <f>IFERROR(__xludf.DUMMYFUNCTION(" GOOGLETRANSLATE(B6, ""en"", ""am"")"),"ልጁ የላም መዝለል ፈተናውን ቢወድቅ ምን አይነት ባህላዊ መዘዙ ነው?")</f>
        <v>ልጁ የላም መዝለል ፈተናውን ቢወድቅ ምን አይነት ባህላዊ መዘዙ ነው?</v>
      </c>
      <c r="I6" s="5" t="str">
        <f>IFERROR(__xludf.DUMMYFUNCTION(" GOOGLETRANSLATE(C6, ""en"", ""am"")"),"ሀ. ከጎሳ መባረር ለ. መጠበቅ እና እንደገና መሞከር አለበት ሐ. ወደ ክህነት ተገድዷል ዲ. በአደባባይ ተደበደበ.")</f>
        <v>ሀ. ከጎሳ መባረር ለ. መጠበቅ እና እንደገና መሞከር አለበት ሐ. ወደ ክህነት ተገድዷል ዲ. በአደባባይ ተደበደበ.</v>
      </c>
      <c r="J6" s="5" t="str">
        <f>IFERROR(__xludf.DUMMYFUNCTION(" GOOGLETRANSLATE(D6, ""en"", ""am"")"),"ለ) መጠበቅ እና በኋላ እንደገና መሞከር አለበት")</f>
        <v>ለ) መጠበቅ እና በኋላ እንደገና መሞከር አለበት</v>
      </c>
      <c r="K6" s="5" t="str">
        <f>IFERROR(__xludf.DUMMYFUNCTION(" GOOGLETRANSLATE(E6, ""en"", ""am"")"),"ውድቀት ማለት ወደ ፊት እስኪሞክር ድረስ ማግባት ወይም እንደ ወንድ ሊቆጠር አይችልም ማለት ነው.")</f>
        <v>ውድቀት ማለት ወደ ፊት እስኪሞክር ድረስ ማግባት ወይም እንደ ወንድ ሊቆጠር አይችልም ማለት ነው.</v>
      </c>
    </row>
    <row r="7" ht="22.5" customHeight="1">
      <c r="A7" s="19">
        <v>6.0</v>
      </c>
      <c r="B7" s="5" t="s">
        <v>3304</v>
      </c>
      <c r="C7" s="5" t="s">
        <v>3305</v>
      </c>
      <c r="D7" s="5" t="s">
        <v>3306</v>
      </c>
      <c r="E7" s="5" t="s">
        <v>3307</v>
      </c>
      <c r="F7" s="18"/>
      <c r="G7" s="5" t="str">
        <f>IFERROR(__xludf.DUMMYFUNCTION(" GOOGLETRANSLATE(A7, ""en"", ""am"")"),"6")</f>
        <v>6</v>
      </c>
      <c r="H7" s="5" t="str">
        <f>IFERROR(__xludf.DUMMYFUNCTION(" GOOGLETRANSLATE(B7, ""en"", ""am"")"),"በላም ዝላይ ሥነ ሥርዓት ላይ ጀማሪውን በመዘመር እና በማበረታታት ረገድ ማዕከላዊ ሚና የሚጫወተው የትኛው ቡድን ነው?")</f>
        <v>በላም ዝላይ ሥነ ሥርዓት ላይ ጀማሪውን በመዘመር እና በማበረታታት ረገድ ማዕከላዊ ሚና የሚጫወተው የትኛው ቡድን ነው?</v>
      </c>
      <c r="I7" s="5" t="str">
        <f>IFERROR(__xludf.DUMMYFUNCTION(" GOOGLETRANSLATE(C7, ""en"", ""am"")"),"ሀ. የመንደር ሽማግሌዎች ለ. የሴት ዘመድ ሐ. የጎሳ ካህናት ዲ. አዳኞች")</f>
        <v>ሀ. የመንደር ሽማግሌዎች ለ. የሴት ዘመድ ሐ. የጎሳ ካህናት ዲ. አዳኞች</v>
      </c>
      <c r="J7" s="5" t="str">
        <f>IFERROR(__xludf.DUMMYFUNCTION(" GOOGLETRANSLATE(D7, ""en"", ""am"")"),"ለ) ሴት ዘመድ")</f>
        <v>ለ) ሴት ዘመድ</v>
      </c>
      <c r="K7" s="5" t="str">
        <f>IFERROR(__xludf.DUMMYFUNCTION(" GOOGLETRANSLATE(E7, ""en"", ""am"")"),"የሴት ዘመዶች ይዘምራሉ, ይጨፍራሉ, እና ብዙውን ጊዜ ለልጁ ታማኝነት እና ድጋፍ ለማሳየት ምሳሌያዊ ጅራፍ ይደርስባቸዋል.")</f>
        <v>የሴት ዘመዶች ይዘምራሉ, ይጨፍራሉ, እና ብዙውን ጊዜ ለልጁ ታማኝነት እና ድጋፍ ለማሳየት ምሳሌያዊ ጅራፍ ይደርስባቸዋል.</v>
      </c>
    </row>
    <row r="8" ht="22.5" customHeight="1">
      <c r="A8" s="19">
        <v>7.0</v>
      </c>
      <c r="B8" s="5" t="s">
        <v>3308</v>
      </c>
      <c r="C8" s="5" t="s">
        <v>3309</v>
      </c>
      <c r="D8" s="5" t="s">
        <v>3310</v>
      </c>
      <c r="E8" s="5" t="s">
        <v>3311</v>
      </c>
      <c r="F8" s="18"/>
      <c r="G8" s="5" t="str">
        <f>IFERROR(__xludf.DUMMYFUNCTION(" GOOGLETRANSLATE(A8, ""en"", ""am"")"),"7")</f>
        <v>7</v>
      </c>
      <c r="H8" s="5" t="str">
        <f>IFERROR(__xludf.DUMMYFUNCTION(" GOOGLETRANSLATE(B8, ""en"", ""am"")"),"የላም መዝለል ሥነ ሥርዓት ከየትኛው ማኅበራዊ ጥቅም ጋር በቀጥታ የተያያዘ ነው?")</f>
        <v>የላም መዝለል ሥነ ሥርዓት ከየትኛው ማኅበራዊ ጥቅም ጋር በቀጥታ የተያያዘ ነው?</v>
      </c>
      <c r="I8" s="5" t="str">
        <f>IFERROR(__xludf.DUMMYFUNCTION(" GOOGLETRANSLATE(C8, ""en"", ""am"")"),"ሀ. ባህላዊ ጌጣጌጦችን መልበስ ለ. የመሬት ባለቤትነት መብት ሐ. ለማግባት መሟላት መ. በጎሳ ምክር ቤት መሳተፍ")</f>
        <v>ሀ. ባህላዊ ጌጣጌጦችን መልበስ ለ. የመሬት ባለቤትነት መብት ሐ. ለማግባት መሟላት መ. በጎሳ ምክር ቤት መሳተፍ</v>
      </c>
      <c r="J8" s="5" t="str">
        <f>IFERROR(__xludf.DUMMYFUNCTION(" GOOGLETRANSLATE(D8, ""en"", ""am"")"),"ሐ) ለማግባት ብቁነት")</f>
        <v>ሐ) ለማግባት ብቁነት</v>
      </c>
      <c r="K8" s="5" t="str">
        <f>IFERROR(__xludf.DUMMYFUNCTION(" GOOGLETRANSLATE(E8, ""en"", ""am"")"),"የላም ዝላይን ሳያጠናቅቅ የሐመር ሰው ማግባትም ሆነ ቤተሰቡን መመስረት አይችልም።")</f>
        <v>የላም ዝላይን ሳያጠናቅቅ የሐመር ሰው ማግባትም ሆነ ቤተሰቡን መመስረት አይችልም።</v>
      </c>
    </row>
    <row r="9" ht="22.5" customHeight="1">
      <c r="A9" s="19">
        <v>8.0</v>
      </c>
      <c r="B9" s="5" t="s">
        <v>3312</v>
      </c>
      <c r="C9" s="5" t="s">
        <v>3313</v>
      </c>
      <c r="D9" s="5" t="s">
        <v>3314</v>
      </c>
      <c r="E9" s="5" t="s">
        <v>3315</v>
      </c>
      <c r="F9" s="18"/>
      <c r="G9" s="5" t="str">
        <f>IFERROR(__xludf.DUMMYFUNCTION(" GOOGLETRANSLATE(A9, ""en"", ""am"")"),"8")</f>
        <v>8</v>
      </c>
      <c r="H9" s="5" t="str">
        <f>IFERROR(__xludf.DUMMYFUNCTION(" GOOGLETRANSLATE(B9, ""en"", ""am"")"),"የላም መዝለል ሥነ-ሥርዓት የአካባቢ ሐማር ቃል ምንድ ነው?")</f>
        <v>የላም መዝለል ሥነ-ሥርዓት የአካባቢ ሐማር ቃል ምንድ ነው?</v>
      </c>
      <c r="I9" s="5" t="str">
        <f>IFERROR(__xludf.DUMMYFUNCTION(" GOOGLETRANSLATE(C9, ""en"", ""am"")"),"ኤ ኡኩሊ ቡላ ቢ ዶንጋ ሲ. አሸንዳ ዲ ጋዳኣ")</f>
        <v>ኤ ኡኩሊ ቡላ ቢ ዶንጋ ሲ. አሸንዳ ዲ ጋዳኣ</v>
      </c>
      <c r="J9" s="5" t="str">
        <f>IFERROR(__xludf.DUMMYFUNCTION(" GOOGLETRANSLATE(D9, ""en"", ""am"")"),"ሀ) ኡኩሊ ቡላ")</f>
        <v>ሀ) ኡኩሊ ቡላ</v>
      </c>
      <c r="K9" s="5" t="str">
        <f>IFERROR(__xludf.DUMMYFUNCTION(" GOOGLETRANSLATE(E9, ""en"", ""am"")"),"ኡኩሊ ቡላ ብስለት እና ወንድነትን የሚያመለክት ወደ ""የመነሳሳት ሥነ ሥርዓት"" ተተርጉሟል.")</f>
        <v>ኡኩሊ ቡላ ብስለት እና ወንድነትን የሚያመለክት ወደ "የመነሳሳት ሥነ ሥርዓት" ተተርጉሟል.</v>
      </c>
    </row>
    <row r="10" ht="22.5" customHeight="1">
      <c r="A10" s="19">
        <v>9.0</v>
      </c>
      <c r="B10" s="5" t="s">
        <v>3316</v>
      </c>
      <c r="C10" s="5" t="s">
        <v>3317</v>
      </c>
      <c r="D10" s="5" t="s">
        <v>3318</v>
      </c>
      <c r="E10" s="5" t="s">
        <v>3319</v>
      </c>
      <c r="F10" s="18"/>
      <c r="G10" s="5" t="str">
        <f>IFERROR(__xludf.DUMMYFUNCTION(" GOOGLETRANSLATE(A10, ""en"", ""am"")"),"9")</f>
        <v>9</v>
      </c>
      <c r="H10" s="5" t="str">
        <f>IFERROR(__xludf.DUMMYFUNCTION(" GOOGLETRANSLATE(B10, ""en"", ""am"")"),"የትኛው የኢትዮጵያ ሸለቆ ነው የላም ዝላይን ሥርዓት በማስተናገድ ታዋቂ የሆነው?")</f>
        <v>የትኛው የኢትዮጵያ ሸለቆ ነው የላም ዝላይን ሥርዓት በማስተናገድ ታዋቂ የሆነው?</v>
      </c>
      <c r="I10" s="5" t="str">
        <f>IFERROR(__xludf.DUMMYFUNCTION(" GOOGLETRANSLATE(C10, ""en"", ""am"")"),"አ. ስምጥ ቫሊ ለ. የኦሞ ሸለቆ ሐ. አዋሽ ሸለቆ መ. ሰማያዊ አባይ ሸለቆ")</f>
        <v>አ. ስምጥ ቫሊ ለ. የኦሞ ሸለቆ ሐ. አዋሽ ሸለቆ መ. ሰማያዊ አባይ ሸለቆ</v>
      </c>
      <c r="J10" s="5" t="str">
        <f>IFERROR(__xludf.DUMMYFUNCTION(" GOOGLETRANSLATE(D10, ""en"", ""am"")"),"ለ) የኦሞ ሸለቆ")</f>
        <v>ለ) የኦሞ ሸለቆ</v>
      </c>
      <c r="K10" s="5" t="str">
        <f>IFERROR(__xludf.DUMMYFUNCTION(" GOOGLETRANSLATE(E10, ""en"", ""am"")"),"የኦሞ ሸለቆ የሀማር እና ሌሎች ጎሳዎች እንደ ላም ዝላይ ያሉ ልዩ ባህሎችን የሚለማመዱበት ነው።")</f>
        <v>የኦሞ ሸለቆ የሀማር እና ሌሎች ጎሳዎች እንደ ላም ዝላይ ያሉ ልዩ ባህሎችን የሚለማመዱበት ነው።</v>
      </c>
    </row>
    <row r="11" ht="22.5" customHeight="1">
      <c r="A11" s="19">
        <v>10.0</v>
      </c>
      <c r="B11" s="5" t="s">
        <v>3320</v>
      </c>
      <c r="C11" s="5" t="s">
        <v>3321</v>
      </c>
      <c r="D11" s="5" t="s">
        <v>3322</v>
      </c>
      <c r="E11" s="5" t="s">
        <v>3323</v>
      </c>
      <c r="F11" s="18"/>
      <c r="G11" s="5" t="str">
        <f>IFERROR(__xludf.DUMMYFUNCTION(" GOOGLETRANSLATE(A11, ""en"", ""am"")"),"10")</f>
        <v>10</v>
      </c>
      <c r="H11" s="5" t="str">
        <f>IFERROR(__xludf.DUMMYFUNCTION(" GOOGLETRANSLATE(B11, ""en"", ""am"")"),"ላም መዝለል ለህብረተሰቡ ምን አይነት ተምሳሌታዊ መልእክት ያስተላልፋል?")</f>
        <v>ላም መዝለል ለህብረተሰቡ ምን አይነት ተምሳሌታዊ መልእክት ያስተላልፋል?</v>
      </c>
      <c r="I11" s="5" t="str">
        <f>IFERROR(__xludf.DUMMYFUNCTION(" GOOGLETRANSLATE(C11, ""en"", ""am"")"),"ሀ. በዱር እንስሳት ላይ ጀግንነት ለ. ለአዋቂዎች ኃላፊነት ዝግጁነት ሐ. ወራሪዎችን መቋቋም D. የከብት መራባት")</f>
        <v>ሀ. በዱር እንስሳት ላይ ጀግንነት ለ. ለአዋቂዎች ኃላፊነት ዝግጁነት ሐ. ወራሪዎችን መቋቋም D. የከብት መራባት</v>
      </c>
      <c r="J11" s="5" t="str">
        <f>IFERROR(__xludf.DUMMYFUNCTION(" GOOGLETRANSLATE(D11, ""en"", ""am"")"),"ለ) ለአዋቂዎች ሃላፊነት ዝግጁነት")</f>
        <v>ለ) ለአዋቂዎች ሃላፊነት ዝግጁነት</v>
      </c>
      <c r="K11" s="5" t="str">
        <f>IFERROR(__xludf.DUMMYFUNCTION(" GOOGLETRANSLATE(E11, ""en"", ""am"")"),"ድርጊቱ ብስለትን፣ ድፍረትን እና የቤተሰብ እና የህብረተሰብ ተግባራትን ለመወጣት ዝግጁነትን ይወክላል።")</f>
        <v>ድርጊቱ ብስለትን፣ ድፍረትን እና የቤተሰብ እና የህብረተሰብ ተግባራትን ለመወጣት ዝግጁነትን ይወክላል።</v>
      </c>
    </row>
    <row r="12" ht="22.5" customHeight="1">
      <c r="A12" s="19">
        <v>11.0</v>
      </c>
      <c r="B12" s="5" t="s">
        <v>3324</v>
      </c>
      <c r="C12" s="5" t="s">
        <v>3325</v>
      </c>
      <c r="D12" s="5" t="s">
        <v>3326</v>
      </c>
      <c r="E12" s="5" t="s">
        <v>3327</v>
      </c>
      <c r="F12" s="18"/>
      <c r="G12" s="5" t="str">
        <f>IFERROR(__xludf.DUMMYFUNCTION(" GOOGLETRANSLATE(A12, ""en"", ""am"")"),"11")</f>
        <v>11</v>
      </c>
      <c r="H12" s="5" t="str">
        <f>IFERROR(__xludf.DUMMYFUNCTION(" GOOGLETRANSLATE(B12, ""en"", ""am"")"),"በሐማር ማህበረሰብ ውስጥ የላም ዝላይ ከየትኛው ወቅት ጋር ይዛመዳል?")</f>
        <v>በሐማር ማህበረሰብ ውስጥ የላም ዝላይ ከየትኛው ወቅት ጋር ይዛመዳል?</v>
      </c>
      <c r="I12" s="5" t="str">
        <f>IFERROR(__xludf.DUMMYFUNCTION(" GOOGLETRANSLATE(C12, ""en"", ""am"")"),"ሀ. የመኸር ወቅት ለ. ዝናባማ ወቅት ሐ. ደረቅ ወቅት D. የአዲስ ዓመት በዓል")</f>
        <v>ሀ. የመኸር ወቅት ለ. ዝናባማ ወቅት ሐ. ደረቅ ወቅት D. የአዲስ ዓመት በዓል</v>
      </c>
      <c r="J12" s="5" t="str">
        <f>IFERROR(__xludf.DUMMYFUNCTION(" GOOGLETRANSLATE(D12, ""en"", ""am"")"),"ሀ) የመኸር ወቅት")</f>
        <v>ሀ) የመኸር ወቅት</v>
      </c>
      <c r="K12" s="5" t="str">
        <f>IFERROR(__xludf.DUMMYFUNCTION(" GOOGLETRANSLATE(E12, ""en"", ""am"")"),"የአምልኮ ሥርዓቱ ብዙውን ጊዜ ከመኸር ክብረ በዓላት ጋር ይጣጣማል, ቤተሰቦች በሚሰበሰቡበት ጊዜ እና ምግብ በብዛት ይገኛሉ.")</f>
        <v>የአምልኮ ሥርዓቱ ብዙውን ጊዜ ከመኸር ክብረ በዓላት ጋር ይጣጣማል, ቤተሰቦች በሚሰበሰቡበት ጊዜ እና ምግብ በብዛት ይገኛሉ.</v>
      </c>
    </row>
    <row r="13" ht="22.5" customHeight="1">
      <c r="A13" s="19">
        <v>12.0</v>
      </c>
      <c r="B13" s="5" t="s">
        <v>3328</v>
      </c>
      <c r="C13" s="5" t="s">
        <v>3329</v>
      </c>
      <c r="D13" s="5" t="s">
        <v>3330</v>
      </c>
      <c r="E13" s="5" t="s">
        <v>3331</v>
      </c>
      <c r="F13" s="18"/>
      <c r="G13" s="5" t="str">
        <f>IFERROR(__xludf.DUMMYFUNCTION(" GOOGLETRANSLATE(A13, ""en"", ""am"")"),"12")</f>
        <v>12</v>
      </c>
      <c r="H13" s="5" t="str">
        <f>IFERROR(__xludf.DUMMYFUNCTION(" GOOGLETRANSLATE(B13, ""en"", ""am"")"),"ከብቶቹ ብዙውን ጊዜ ከላም መዝለል ሥነ ሥርዓት በፊት የሚዘጋጁት እንዴት ነው?")</f>
        <v>ከብቶቹ ብዙውን ጊዜ ከላም መዝለል ሥነ ሥርዓት በፊት የሚዘጋጁት እንዴት ነው?</v>
      </c>
      <c r="I13" s="5" t="str">
        <f>IFERROR(__xludf.DUMMYFUNCTION(" GOOGLETRANSLATE(C13, ""en"", ""am"")"),"ሀ.በሸክላ እና እበት ቀለም የተቀባ ለ. ታጥቦ በዘይት የተቀባ ሐ. በአበቦች ያጌጠ መ. በቆዳ የተሸፈነ")</f>
        <v>ሀ.በሸክላ እና እበት ቀለም የተቀባ ለ. ታጥቦ በዘይት የተቀባ ሐ. በአበቦች ያጌጠ መ. በቆዳ የተሸፈነ</v>
      </c>
      <c r="J13" s="5" t="str">
        <f>IFERROR(__xludf.DUMMYFUNCTION(" GOOGLETRANSLATE(D13, ""en"", ""am"")"),"ለ) ታጥቦ በዘይት ተቀባ")</f>
        <v>ለ) ታጥቦ በዘይት ተቀባ</v>
      </c>
      <c r="K13" s="5" t="str">
        <f>IFERROR(__xludf.DUMMYFUNCTION(" GOOGLETRANSLATE(E13, ""en"", ""am"")"),"ከብቶች ጀርባቸውን እንዲንሸራተቱ ለማድረግ በፋንች እና በዘይት ይቀባሉ, የ jumper ቅልጥፍናን ይሞክራሉ.")</f>
        <v>ከብቶች ጀርባቸውን እንዲንሸራተቱ ለማድረግ በፋንች እና በዘይት ይቀባሉ, የ jumper ቅልጥፍናን ይሞክራሉ.</v>
      </c>
    </row>
    <row r="14" ht="22.5" customHeight="1">
      <c r="A14" s="19">
        <v>13.0</v>
      </c>
      <c r="B14" s="5" t="s">
        <v>3332</v>
      </c>
      <c r="C14" s="5" t="s">
        <v>3333</v>
      </c>
      <c r="D14" s="5" t="s">
        <v>3334</v>
      </c>
      <c r="E14" s="5" t="s">
        <v>3335</v>
      </c>
      <c r="F14" s="18"/>
      <c r="G14" s="5" t="str">
        <f>IFERROR(__xludf.DUMMYFUNCTION(" GOOGLETRANSLATE(A14, ""en"", ""am"")"),"13")</f>
        <v>13</v>
      </c>
      <c r="H14" s="5" t="str">
        <f>IFERROR(__xludf.DUMMYFUNCTION(" GOOGLETRANSLATE(B14, ""en"", ""am"")"),"አንድ ወጣት ለከብት ዝላይ ሥነ ሥርዓት ሲዘጋጅ ማን ይወስናል?")</f>
        <v>አንድ ወጣት ለከብት ዝላይ ሥነ ሥርዓት ሲዘጋጅ ማን ይወስናል?</v>
      </c>
      <c r="I14" s="5" t="str">
        <f>IFERROR(__xludf.DUMMYFUNCTION(" GOOGLETRANSLATE(C14, ""en"", ""am"")"),"ሀ. የጎሳ ቄስ ለ. የመንደር ምክር ቤት ሐ. አባት እና የቤተሰብ ሽማግሌዎች ዲ. ሴት ዘመድ")</f>
        <v>ሀ. የጎሳ ቄስ ለ. የመንደር ምክር ቤት ሐ. አባት እና የቤተሰብ ሽማግሌዎች ዲ. ሴት ዘመድ</v>
      </c>
      <c r="J14" s="5" t="str">
        <f>IFERROR(__xludf.DUMMYFUNCTION(" GOOGLETRANSLATE(D14, ""en"", ""am"")"),"ሐ) አባት እና የቤተሰብ ሽማግሌዎች")</f>
        <v>ሐ) አባት እና የቤተሰብ ሽማግሌዎች</v>
      </c>
      <c r="K14" s="5" t="str">
        <f>IFERROR(__xludf.DUMMYFUNCTION(" GOOGLETRANSLATE(E14, ""en"", ""am"")"),"የቤተሰቡ ወንድ ሽማግሌዎች ልጁን ለአዋቂነት ዝግጁ አድርገው ሲመለከቱት ሥነ ሥርዓቱን ይጀምራሉ.")</f>
        <v>የቤተሰቡ ወንድ ሽማግሌዎች ልጁን ለአዋቂነት ዝግጁ አድርገው ሲመለከቱት ሥነ ሥርዓቱን ይጀምራሉ.</v>
      </c>
    </row>
    <row r="15" ht="22.5" customHeight="1">
      <c r="A15" s="19">
        <v>14.0</v>
      </c>
      <c r="B15" s="5" t="s">
        <v>3336</v>
      </c>
      <c r="C15" s="5" t="s">
        <v>3337</v>
      </c>
      <c r="D15" s="5" t="s">
        <v>3338</v>
      </c>
      <c r="E15" s="5" t="s">
        <v>3339</v>
      </c>
      <c r="F15" s="18"/>
      <c r="G15" s="5" t="str">
        <f>IFERROR(__xludf.DUMMYFUNCTION(" GOOGLETRANSLATE(A15, ""en"", ""am"")"),"14")</f>
        <v>14</v>
      </c>
      <c r="H15" s="5" t="str">
        <f>IFERROR(__xludf.DUMMYFUNCTION(" GOOGLETRANSLATE(B15, ""en"", ""am"")"),"በክብረ በዓሉ ላይ ሽማግሌዎች ምን ሚና ይጫወታሉ?")</f>
        <v>በክብረ በዓሉ ላይ ሽማግሌዎች ምን ሚና ይጫወታሉ?</v>
      </c>
      <c r="I15" s="5" t="str">
        <f>IFERROR(__xludf.DUMMYFUNCTION(" GOOGLETRANSLATE(C15, ""en"", ""am"")"),"ሀ. ዝግጅቱን አደራጅ እና ተቆጣጠር ለ. ከብቶቹን አሳደዱ ሐ. የሥርዓት መዝሙሮችን ዘምሩ D. ልጁን ገርፈው")</f>
        <v>ሀ. ዝግጅቱን አደራጅ እና ተቆጣጠር ለ. ከብቶቹን አሳደዱ ሐ. የሥርዓት መዝሙሮችን ዘምሩ D. ልጁን ገርፈው</v>
      </c>
      <c r="J15" s="5" t="str">
        <f>IFERROR(__xludf.DUMMYFUNCTION(" GOOGLETRANSLATE(D15, ""en"", ""am"")"),"ሀ) ዝግጅቱን ያደራጁ እና ይቆጣጠሩ")</f>
        <v>ሀ) ዝግጅቱን ያደራጁ እና ይቆጣጠሩ</v>
      </c>
      <c r="K15" s="5" t="str">
        <f>IFERROR(__xludf.DUMMYFUNCTION(" GOOGLETRANSLATE(E15, ""en"", ""am"")"),"ሽማግሌዎች ወግ በትክክል መከተሉን ያረጋግጣሉ፣ ሂደቱን ይመራሉ እና ጀማሪውን ይባርካሉ።")</f>
        <v>ሽማግሌዎች ወግ በትክክል መከተሉን ያረጋግጣሉ፣ ሂደቱን ይመራሉ እና ጀማሪውን ይባርካሉ።</v>
      </c>
    </row>
    <row r="16" ht="22.5" customHeight="1">
      <c r="A16" s="19">
        <v>15.0</v>
      </c>
      <c r="B16" s="5" t="s">
        <v>3340</v>
      </c>
      <c r="C16" s="5" t="s">
        <v>3341</v>
      </c>
      <c r="D16" s="5" t="s">
        <v>3342</v>
      </c>
      <c r="E16" s="5" t="s">
        <v>3343</v>
      </c>
      <c r="F16" s="18"/>
      <c r="G16" s="5" t="str">
        <f>IFERROR(__xludf.DUMMYFUNCTION(" GOOGLETRANSLATE(A16, ""en"", ""am"")"),"15")</f>
        <v>15</v>
      </c>
      <c r="H16" s="5" t="str">
        <f>IFERROR(__xludf.DUMMYFUNCTION(" GOOGLETRANSLATE(B16, ""en"", ""am"")"),"አንድ ወንድ ልጅ የላም ዝላይን በተሳካ ሁኔታ ካጠናቀቀ በኋላ ምን ይሆናል?")</f>
        <v>አንድ ወንድ ልጅ የላም ዝላይን በተሳካ ሁኔታ ካጠናቀቀ በኋላ ምን ይሆናል?</v>
      </c>
      <c r="I16" s="5" t="str">
        <f>IFERROR(__xludf.DUMMYFUNCTION(" GOOGLETRANSLATE(C16, ""en"", ""am"")"),"ሀ. ከብት በስጦታ ይቀበላል ለ. አግብቶ ቤተሰብ መመስረት ይችላል ሐ. የጎሳ መሪ ሆነ D. ለስልጠና ቀዬውን ለቋል.")</f>
        <v>ሀ. ከብት በስጦታ ይቀበላል ለ. አግብቶ ቤተሰብ መመስረት ይችላል ሐ. የጎሳ መሪ ሆነ D. ለስልጠና ቀዬውን ለቋል.</v>
      </c>
      <c r="J16" s="5" t="str">
        <f>IFERROR(__xludf.DUMMYFUNCTION(" GOOGLETRANSLATE(D16, ""en"", ""am"")"),"ለ) አግብቶ ቤተሰብ መመስረት ይችላል።")</f>
        <v>ለ) አግብቶ ቤተሰብ መመስረት ይችላል።</v>
      </c>
      <c r="K16" s="5" t="str">
        <f>IFERROR(__xludf.DUMMYFUNCTION(" GOOGLETRANSLATE(E16, ""en"", ""am"")"),"ስኬት እንደ ወንድ እውቅና ይሰጠዋል፣ ቤተሰቡን የማግባት እና የመምራት ሙሉ መብት አለው።")</f>
        <v>ስኬት እንደ ወንድ እውቅና ይሰጠዋል፣ ቤተሰቡን የማግባት እና የመምራት ሙሉ መብት አለው።</v>
      </c>
    </row>
    <row r="17" ht="22.5" customHeight="1">
      <c r="A17" s="19">
        <v>16.0</v>
      </c>
      <c r="B17" s="5" t="s">
        <v>3344</v>
      </c>
      <c r="C17" s="5" t="s">
        <v>3345</v>
      </c>
      <c r="D17" s="5" t="s">
        <v>3346</v>
      </c>
      <c r="E17" s="5" t="s">
        <v>3347</v>
      </c>
      <c r="F17" s="18"/>
      <c r="G17" s="5" t="str">
        <f>IFERROR(__xludf.DUMMYFUNCTION(" GOOGLETRANSLATE(A17, ""en"", ""am"")"),"16")</f>
        <v>16</v>
      </c>
      <c r="H17" s="5" t="str">
        <f>IFERROR(__xludf.DUMMYFUNCTION(" GOOGLETRANSLATE(B17, ""en"", ""am"")"),"በክብረ በዓሉ ወቅት የሴቶች የአምልኮ ሥርዓት የሚከተሉትን ምልክቶች ያሳያል ።")</f>
        <v>በክብረ በዓሉ ወቅት የሴቶች የአምልኮ ሥርዓት የሚከተሉትን ምልክቶች ያሳያል ።</v>
      </c>
      <c r="I17" s="5" t="str">
        <f>IFERROR(__xludf.DUMMYFUNCTION(" GOOGLETRANSLATE(C17, ""en"", ""am"")"),"ሀ. የሴቶች ጥንካሬ ለ. ለቤተሰባቸው ታማኝ መሆን ሐ. የወሊድ መ. በወንዶች ላይ ያለው ቁጣ")</f>
        <v>ሀ. የሴቶች ጥንካሬ ለ. ለቤተሰባቸው ታማኝ መሆን ሐ. የወሊድ መ. በወንዶች ላይ ያለው ቁጣ</v>
      </c>
      <c r="J17" s="5" t="str">
        <f>IFERROR(__xludf.DUMMYFUNCTION(" GOOGLETRANSLATE(D17, ""en"", ""am"")"),"ለ) ለቤተሰባቸው ታማኝነት")</f>
        <v>ለ) ለቤተሰባቸው ታማኝነት</v>
      </c>
      <c r="K17" s="5" t="str">
        <f>IFERROR(__xludf.DUMMYFUNCTION(" GOOGLETRANSLATE(E17, ""en"", ""am"")"),"ሴቶች ከጀማሪው ጋር ያላቸውን ታማኝነት እና አጋርነት ለማረጋገጥ የጅራፍ ጠባሳዎችን በፈቃደኝነት ይቀበላሉ።")</f>
        <v>ሴቶች ከጀማሪው ጋር ያላቸውን ታማኝነት እና አጋርነት ለማረጋገጥ የጅራፍ ጠባሳዎችን በፈቃደኝነት ይቀበላሉ።</v>
      </c>
    </row>
    <row r="18" ht="22.5" customHeight="1">
      <c r="A18" s="19">
        <v>17.0</v>
      </c>
      <c r="B18" s="5" t="s">
        <v>3348</v>
      </c>
      <c r="C18" s="5" t="s">
        <v>3349</v>
      </c>
      <c r="D18" s="5" t="s">
        <v>3350</v>
      </c>
      <c r="E18" s="5" t="s">
        <v>3351</v>
      </c>
      <c r="F18" s="18"/>
      <c r="G18" s="5" t="str">
        <f>IFERROR(__xludf.DUMMYFUNCTION(" GOOGLETRANSLATE(A18, ""en"", ""am"")"),"17")</f>
        <v>17</v>
      </c>
      <c r="H18" s="5" t="str">
        <f>IFERROR(__xludf.DUMMYFUNCTION(" GOOGLETRANSLATE(B18, ""en"", ""am"")"),"በአምልኮ ሥርዓቱ ወቅት በሴቶች ላይ የሚደርሰው ጠባሳ ጠቀሜታው ምንድን ነው?")</f>
        <v>በአምልኮ ሥርዓቱ ወቅት በሴቶች ላይ የሚደርሰው ጠባሳ ጠቀሜታው ምንድን ነው?</v>
      </c>
      <c r="I18" s="5" t="str">
        <f>IFERROR(__xludf.DUMMYFUNCTION(" GOOGLETRANSLATE(C18, ""en"", ""am"")"),"ሀ. የድክመት ምልክቶች ለ. የክብር ምልክቶች ሐ. የድፍረት እና የታማኝነት ምልክቶች መ. ያለመታዘዝ ቅጣት")</f>
        <v>ሀ. የድክመት ምልክቶች ለ. የክብር ምልክቶች ሐ. የድፍረት እና የታማኝነት ምልክቶች መ. ያለመታዘዝ ቅጣት</v>
      </c>
      <c r="J18" s="5" t="str">
        <f>IFERROR(__xludf.DUMMYFUNCTION(" GOOGLETRANSLATE(D18, ""en"", ""am"")"),"ሐ) የድፍረት እና የታማኝነት ምልክቶች")</f>
        <v>ሐ) የድፍረት እና የታማኝነት ምልክቶች</v>
      </c>
      <c r="K18" s="5" t="str">
        <f>IFERROR(__xludf.DUMMYFUNCTION(" GOOGLETRANSLATE(E18, ""en"", ""am"")"),"ጠባሳዎች ለቤተሰብ ወጎች ያላቸውን ቁርጠኝነት በማሳየት እንደ የክብር መለያዎች ይቆጠራሉ።")</f>
        <v>ጠባሳዎች ለቤተሰብ ወጎች ያላቸውን ቁርጠኝነት በማሳየት እንደ የክብር መለያዎች ይቆጠራሉ።</v>
      </c>
    </row>
    <row r="19" ht="22.5" customHeight="1">
      <c r="A19" s="19">
        <v>18.0</v>
      </c>
      <c r="B19" s="5" t="s">
        <v>3352</v>
      </c>
      <c r="C19" s="5" t="s">
        <v>3353</v>
      </c>
      <c r="D19" s="5" t="s">
        <v>3354</v>
      </c>
      <c r="E19" s="5" t="s">
        <v>3355</v>
      </c>
      <c r="F19" s="18"/>
      <c r="G19" s="5" t="str">
        <f>IFERROR(__xludf.DUMMYFUNCTION(" GOOGLETRANSLATE(A19, ""en"", ""am"")"),"18")</f>
        <v>18</v>
      </c>
      <c r="H19" s="5" t="str">
        <f>IFERROR(__xludf.DUMMYFUNCTION(" GOOGLETRANSLATE(B19, ""en"", ""am"")"),"ልጁ በላም ዝላይ ላይ ቢወድቅ የህብረተሰቡ ምላሽ ምን ይመስላል?")</f>
        <v>ልጁ በላም ዝላይ ላይ ቢወድቅ የህብረተሰቡ ምላሽ ምን ይመስላል?</v>
      </c>
      <c r="I19" s="5" t="str">
        <f>IFERROR(__xludf.DUMMYFUNCTION(" GOOGLETRANSLATE(C19, ""en"", ""am"")"),"ሀ. ሳቅ እና መሳለቂያ ለ. በሽማግሌዎች ተረግሟል C. እሱ ብቃት የለውም እና በኋላ መሞከር አለበት መ. ከጎሳ ተባረረ.")</f>
        <v>ሀ. ሳቅ እና መሳለቂያ ለ. በሽማግሌዎች ተረግሟል C. እሱ ብቃት የለውም እና በኋላ መሞከር አለበት መ. ከጎሳ ተባረረ.</v>
      </c>
      <c r="J19" s="5" t="str">
        <f>IFERROR(__xludf.DUMMYFUNCTION(" GOOGLETRANSLATE(D19, ""en"", ""am"")"),"ሐ) ብቁ አይደለም እና በኋላ መሞከር አለበት")</f>
        <v>ሐ) ብቁ አይደለም እና በኋላ መሞከር አለበት</v>
      </c>
      <c r="K19" s="5" t="str">
        <f>IFERROR(__xludf.DUMMYFUNCTION(" GOOGLETRANSLATE(E19, ""en"", ""am"")"),"ያልተሳካ ሙከራ ማለት እስከሚቀጥለው እድል መጠበቅ ማለት ነው, ያለ ሀፍረት ነገር ግን የአዋቂዎች ልዩ መብቶች የሉም.")</f>
        <v>ያልተሳካ ሙከራ ማለት እስከሚቀጥለው እድል መጠበቅ ማለት ነው, ያለ ሀፍረት ነገር ግን የአዋቂዎች ልዩ መብቶች የሉም.</v>
      </c>
    </row>
    <row r="20" ht="22.5" customHeight="1">
      <c r="A20" s="19">
        <v>19.0</v>
      </c>
      <c r="B20" s="5" t="s">
        <v>3356</v>
      </c>
      <c r="C20" s="5" t="s">
        <v>3357</v>
      </c>
      <c r="D20" s="5" t="s">
        <v>3358</v>
      </c>
      <c r="E20" s="5" t="s">
        <v>3359</v>
      </c>
      <c r="F20" s="18"/>
      <c r="G20" s="5" t="str">
        <f>IFERROR(__xludf.DUMMYFUNCTION(" GOOGLETRANSLATE(A20, ""en"", ""am"")"),"19")</f>
        <v>19</v>
      </c>
      <c r="H20" s="5" t="str">
        <f>IFERROR(__xludf.DUMMYFUNCTION(" GOOGLETRANSLATE(B20, ""en"", ""am"")"),"ከመዝለል ሥነ ሥርዓት በኋላ ወዲያውኑ ለከብቶች ምን ይደረጋል?")</f>
        <v>ከመዝለል ሥነ ሥርዓት በኋላ ወዲያውኑ ለከብቶች ምን ይደረጋል?</v>
      </c>
      <c r="I20" s="5" t="str">
        <f>IFERROR(__xludf.DUMMYFUNCTION(" GOOGLETRANSLATE(C20, ""en"", ""am"")"),"ሀ. ወደ ግጦሽ የተለቀቀው ለ. ለግብዣ የተሠዋ ሐ. በገበያዎች የተሸጠ መ. በጌጣጌጥ ያጌጠ")</f>
        <v>ሀ. ወደ ግጦሽ የተለቀቀው ለ. ለግብዣ የተሠዋ ሐ. በገበያዎች የተሸጠ መ. በጌጣጌጥ ያጌጠ</v>
      </c>
      <c r="J20" s="5" t="str">
        <f>IFERROR(__xludf.DUMMYFUNCTION(" GOOGLETRANSLATE(D20, ""en"", ""am"")"),"ሀ) ወደ ግጦሽ ተለቋል")</f>
        <v>ሀ) ወደ ግጦሽ ተለቋል</v>
      </c>
      <c r="K20" s="5" t="str">
        <f>IFERROR(__xludf.DUMMYFUNCTION(" GOOGLETRANSLATE(E20, ""en"", ""am"")"),"ከብቶቹ አይጎዱም; ከበዓሉ በኋላ ወደ መንጋው ይመለሳሉ.")</f>
        <v>ከብቶቹ አይጎዱም; ከበዓሉ በኋላ ወደ መንጋው ይመለሳሉ.</v>
      </c>
    </row>
    <row r="21" ht="22.5" customHeight="1">
      <c r="A21" s="19">
        <v>20.0</v>
      </c>
      <c r="B21" s="5" t="s">
        <v>3360</v>
      </c>
      <c r="C21" s="5" t="s">
        <v>3361</v>
      </c>
      <c r="D21" s="5" t="s">
        <v>3362</v>
      </c>
      <c r="E21" s="5" t="s">
        <v>3363</v>
      </c>
      <c r="F21" s="18"/>
      <c r="G21" s="5" t="str">
        <f>IFERROR(__xludf.DUMMYFUNCTION(" GOOGLETRANSLATE(A21, ""en"", ""am"")"),"20")</f>
        <v>20</v>
      </c>
      <c r="H21" s="5" t="str">
        <f>IFERROR(__xludf.DUMMYFUNCTION(" GOOGLETRANSLATE(B21, ""en"", ""am"")"),"ከእነዚህ ውስጥ የኡኩሊ ቡላ ትርጉምን በተሻለ የሚገልጸው የትኛው ነው?")</f>
        <v>ከእነዚህ ውስጥ የኡኩሊ ቡላ ትርጉምን በተሻለ የሚገልጸው የትኛው ነው?</v>
      </c>
      <c r="I21" s="5" t="str">
        <f>IFERROR(__xludf.DUMMYFUNCTION(" GOOGLETRANSLATE(C21, ""en"", ""am"")"),"ሀ. የመኸር በዓል ለ. በሬዎች ላይ መዝለል ሐ. የአንድነት ሥነ ሥርዓት D. የጦርነት መንገድ")</f>
        <v>ሀ. የመኸር በዓል ለ. በሬዎች ላይ መዝለል ሐ. የአንድነት ሥነ ሥርዓት D. የጦርነት መንገድ</v>
      </c>
      <c r="J21" s="5" t="str">
        <f>IFERROR(__xludf.DUMMYFUNCTION(" GOOGLETRANSLATE(D21, ""en"", ""am"")"),"ለ) በሬዎች ላይ መዝለል")</f>
        <v>ለ) በሬዎች ላይ መዝለል</v>
      </c>
      <c r="K21" s="5" t="str">
        <f>IFERROR(__xludf.DUMMYFUNCTION(" GOOGLETRANSLATE(E21, ""en"", ""am"")"),"ኡኩሊ ቡላ በጥሬ ትርጉሙ ""የበሬ መዝለል"" ማለት ሲሆን ይህም የክብረ በዓሉን ማዕከላዊ ተግባር ያሳያል።")</f>
        <v>ኡኩሊ ቡላ በጥሬ ትርጉሙ "የበሬ መዝለል" ማለት ሲሆን ይህም የክብረ በዓሉን ማዕከላዊ ተግባር ያሳያል።</v>
      </c>
    </row>
    <row r="22" ht="22.5" customHeight="1">
      <c r="A22" s="19">
        <v>21.0</v>
      </c>
      <c r="B22" s="5" t="s">
        <v>3364</v>
      </c>
      <c r="C22" s="5" t="s">
        <v>3365</v>
      </c>
      <c r="D22" s="5" t="s">
        <v>3366</v>
      </c>
      <c r="E22" s="5" t="s">
        <v>3367</v>
      </c>
      <c r="F22" s="18"/>
      <c r="G22" s="5" t="str">
        <f>IFERROR(__xludf.DUMMYFUNCTION(" GOOGLETRANSLATE(A22, ""en"", ""am"")"),"21")</f>
        <v>21</v>
      </c>
      <c r="H22" s="5" t="str">
        <f>IFERROR(__xludf.DUMMYFUNCTION(" GOOGLETRANSLATE(B22, ""en"", ""am"")"),"ለምንድነው የሀማር ህዝብ በሥርዓታቸው ለከብቶች አፅንዖት የሚሰጡት?")</f>
        <v>ለምንድነው የሀማር ህዝብ በሥርዓታቸው ለከብቶች አፅንዖት የሚሰጡት?</v>
      </c>
      <c r="I22" s="5" t="str">
        <f>IFERROR(__xludf.DUMMYFUNCTION(" GOOGLETRANSLATE(C22, ""en"", ""am"")"),"ሀ. ከብቶች ሀብትን እና ማህበራዊ ደረጃን ያመለክታሉ ለ. ከብቶች ለአምላካቸው የተቀደሱ ናቸው ሐ. ከብቶች ረሃብን ይከላከላሉ መ. ከብቶች በቅኝ ገዢዎች ተዋወቁ.")</f>
        <v>ሀ. ከብቶች ሀብትን እና ማህበራዊ ደረጃን ያመለክታሉ ለ. ከብቶች ለአምላካቸው የተቀደሱ ናቸው ሐ. ከብቶች ረሃብን ይከላከላሉ መ. ከብቶች በቅኝ ገዢዎች ተዋወቁ.</v>
      </c>
      <c r="J22" s="5" t="str">
        <f>IFERROR(__xludf.DUMMYFUNCTION(" GOOGLETRANSLATE(D22, ""en"", ""am"")"),"ሀ) ከብቶች ሀብትን እና ማህበራዊ ደረጃን ያመለክታሉ")</f>
        <v>ሀ) ከብቶች ሀብትን እና ማህበራዊ ደረጃን ያመለክታሉ</v>
      </c>
      <c r="K22" s="5" t="str">
        <f>IFERROR(__xludf.DUMMYFUNCTION(" GOOGLETRANSLATE(E22, ""en"", ""am"")"),"በሐማር ባህል ከብቶች የህይወት፣ የጋብቻ ጥሎሽ እና ማህበራዊ ክብር ዋና ዋና ነገሮች ናቸው።")</f>
        <v>በሐማር ባህል ከብቶች የህይወት፣ የጋብቻ ጥሎሽ እና ማህበራዊ ክብር ዋና ዋና ነገሮች ናቸው።</v>
      </c>
    </row>
    <row r="23" ht="22.5" customHeight="1">
      <c r="A23" s="19">
        <v>22.0</v>
      </c>
      <c r="B23" s="5" t="s">
        <v>3368</v>
      </c>
      <c r="C23" s="5" t="s">
        <v>3369</v>
      </c>
      <c r="D23" s="5" t="s">
        <v>3370</v>
      </c>
      <c r="E23" s="5" t="s">
        <v>3371</v>
      </c>
      <c r="F23" s="18"/>
      <c r="G23" s="5" t="str">
        <f>IFERROR(__xludf.DUMMYFUNCTION(" GOOGLETRANSLATE(A23, ""en"", ""am"")"),"22")</f>
        <v>22</v>
      </c>
      <c r="H23" s="5" t="str">
        <f>IFERROR(__xludf.DUMMYFUNCTION(" GOOGLETRANSLATE(B23, ""en"", ""am"")"),"በሥነ ሥርዓቱ ወቅት ምን ዓይነት ባህላዊ መሣሪያ ይጫወታሉ?")</f>
        <v>በሥነ ሥርዓቱ ወቅት ምን ዓይነት ባህላዊ መሣሪያ ይጫወታሉ?</v>
      </c>
      <c r="I23" s="5" t="str">
        <f>IFERROR(__xludf.DUMMYFUNCTION(" GOOGLETRANSLATE(C23, ""en"", ""am"")"),"ሀ. ከበሮዎች ቢ ቀንዶች ሐ. ዋሽንት D. የገመድ ክራቦች")</f>
        <v>ሀ. ከበሮዎች ቢ ቀንዶች ሐ. ዋሽንት D. የገመድ ክራቦች</v>
      </c>
      <c r="J23" s="5" t="str">
        <f>IFERROR(__xludf.DUMMYFUNCTION(" GOOGLETRANSLATE(D23, ""en"", ""am"")"),"ሀ) ከበሮ")</f>
        <v>ሀ) ከበሮ</v>
      </c>
      <c r="K23" s="5" t="str">
        <f>IFERROR(__xludf.DUMMYFUNCTION(" GOOGLETRANSLATE(E23, ""en"", ""am"")"),"ከበሮ መዝፈን፣ መደነስ እና የጅምር ሥነ ሥርዓቱን ለማክበር ዜማውን ያዘጋጃል።")</f>
        <v>ከበሮ መዝፈን፣ መደነስ እና የጅምር ሥነ ሥርዓቱን ለማክበር ዜማውን ያዘጋጃል።</v>
      </c>
    </row>
    <row r="24" ht="22.5" customHeight="1">
      <c r="A24" s="19">
        <v>23.0</v>
      </c>
      <c r="B24" s="5" t="s">
        <v>3372</v>
      </c>
      <c r="C24" s="5" t="s">
        <v>3373</v>
      </c>
      <c r="D24" s="5" t="s">
        <v>3374</v>
      </c>
      <c r="E24" s="5" t="s">
        <v>3375</v>
      </c>
      <c r="F24" s="18"/>
      <c r="G24" s="5" t="str">
        <f>IFERROR(__xludf.DUMMYFUNCTION(" GOOGLETRANSLATE(A24, ""en"", ""am"")"),"23")</f>
        <v>23</v>
      </c>
      <c r="H24" s="5" t="str">
        <f>IFERROR(__xludf.DUMMYFUNCTION(" GOOGLETRANSLATE(B24, ""en"", ""am"")"),"ከከብቶች ጋር የተያያዙ የአምልኮ ሥርዓቶችን የሚተገብረው የትኛው በአቅራቢያው ያለው የኢትዮጵያ ነገድ ነው?")</f>
        <v>ከከብቶች ጋር የተያያዙ የአምልኮ ሥርዓቶችን የሚተገብረው የትኛው በአቅራቢያው ያለው የኢትዮጵያ ነገድ ነው?</v>
      </c>
      <c r="I24" s="5" t="str">
        <f>IFERROR(__xludf.DUMMYFUNCTION(" GOOGLETRANSLATE(C24, ""en"", ""am"")"),"አ.ሱርማ ብ.አማራ ሐ.ጉራጌ ዲ.አፋር")</f>
        <v>አ.ሱርማ ብ.አማራ ሐ.ጉራጌ ዲ.አፋር</v>
      </c>
      <c r="J24" s="5" t="str">
        <f>IFERROR(__xludf.DUMMYFUNCTION(" GOOGLETRANSLATE(D24, ""en"", ""am"")"),"ሀ) ሱርማ")</f>
        <v>ሀ) ሱርማ</v>
      </c>
      <c r="K24" s="5" t="str">
        <f>IFERROR(__xludf.DUMMYFUNCTION(" GOOGLETRANSLATE(E24, ""en"", ""am"")"),"የሱርማ ህዝቦች ከሃማር ላም ዝላይ ጋር ተመሳሳይ ባይሆኑም ከብቶችን በባህላዊ ወጎች ውስጥ ያካተቱ ናቸው።")</f>
        <v>የሱርማ ህዝቦች ከሃማር ላም ዝላይ ጋር ተመሳሳይ ባይሆኑም ከብቶችን በባህላዊ ወጎች ውስጥ ያካተቱ ናቸው።</v>
      </c>
    </row>
    <row r="25" ht="22.5" customHeight="1">
      <c r="A25" s="19">
        <v>24.0</v>
      </c>
      <c r="B25" s="5" t="s">
        <v>3376</v>
      </c>
      <c r="C25" s="5" t="s">
        <v>3377</v>
      </c>
      <c r="D25" s="5" t="s">
        <v>3378</v>
      </c>
      <c r="E25" s="5" t="s">
        <v>3379</v>
      </c>
      <c r="F25" s="18"/>
      <c r="G25" s="5" t="str">
        <f>IFERROR(__xludf.DUMMYFUNCTION(" GOOGLETRANSLATE(A25, ""en"", ""am"")"),"24")</f>
        <v>24</v>
      </c>
      <c r="H25" s="5" t="str">
        <f>IFERROR(__xludf.DUMMYFUNCTION(" GOOGLETRANSLATE(B25, ""en"", ""am"")"),"በላም መዝለል ላይ ሚዛን ለምን አስፈላጊ ነው?")</f>
        <v>በላም መዝለል ላይ ሚዛን ለምን አስፈላጊ ነው?</v>
      </c>
      <c r="I25" s="5" t="str">
        <f>IFERROR(__xludf.DUMMYFUNCTION(" GOOGLETRANSLATE(C25, ""en"", ""am"")"),"ሀ. ከመውደቅ እና ከመጉዳት ለመዳን ለ. አካላዊ ቅንጅትን ማረጋገጥ ሐ. በአዋቂነት ጊዜ መረጋጋትን ለማሳየት መ. ከላይ ያሉት ሁሉም")</f>
        <v>ሀ. ከመውደቅ እና ከመጉዳት ለመዳን ለ. አካላዊ ቅንጅትን ማረጋገጥ ሐ. በአዋቂነት ጊዜ መረጋጋትን ለማሳየት መ. ከላይ ያሉት ሁሉም</v>
      </c>
      <c r="J25" s="5" t="str">
        <f>IFERROR(__xludf.DUMMYFUNCTION(" GOOGLETRANSLATE(D25, ""en"", ""am"")"),"መ) ከላይ ያሉት ሁሉም")</f>
        <v>መ) ከላይ ያሉት ሁሉም</v>
      </c>
      <c r="K25" s="5" t="str">
        <f>IFERROR(__xludf.DUMMYFUNCTION(" GOOGLETRANSLATE(E25, ""en"", ""am"")"),"ሚዛን አካላዊ ጥንካሬን, ተምሳሌታዊ መረጋጋትን እና ለበሰሉ ኃላፊነቶች ዝግጁነትን ያንጸባርቃል.")</f>
        <v>ሚዛን አካላዊ ጥንካሬን, ተምሳሌታዊ መረጋጋትን እና ለበሰሉ ኃላፊነቶች ዝግጁነትን ያንጸባርቃል.</v>
      </c>
    </row>
    <row r="26" ht="22.5" customHeight="1">
      <c r="A26" s="19">
        <v>25.0</v>
      </c>
      <c r="B26" s="5" t="s">
        <v>3380</v>
      </c>
      <c r="C26" s="5" t="s">
        <v>3381</v>
      </c>
      <c r="D26" s="5" t="s">
        <v>3382</v>
      </c>
      <c r="E26" s="5" t="s">
        <v>3383</v>
      </c>
      <c r="F26" s="18"/>
      <c r="G26" s="5" t="str">
        <f>IFERROR(__xludf.DUMMYFUNCTION(" GOOGLETRANSLATE(A26, ""en"", ""am"")"),"25")</f>
        <v>25</v>
      </c>
      <c r="H26" s="5" t="str">
        <f>IFERROR(__xludf.DUMMYFUNCTION(" GOOGLETRANSLATE(B26, ""en"", ""am"")"),"በተለምዶ ለሥርዓተ ሥርዓቱ የተሠለፉት ኮርማዎች ዝቅተኛው ቁጥር ስንት ነው?")</f>
        <v>በተለምዶ ለሥርዓተ ሥርዓቱ የተሠለፉት ኮርማዎች ዝቅተኛው ቁጥር ስንት ነው?</v>
      </c>
      <c r="I26" s="5" t="str">
        <f>IFERROR(__xludf.DUMMYFUNCTION(" GOOGLETRANSLATE(C26, ""en"", ""am"")"),"አ.2 ለ 4 ሐ. 6 ዲ. 8")</f>
        <v>አ.2 ለ 4 ሐ. 6 ዲ. 8</v>
      </c>
      <c r="J26" s="5" t="str">
        <f>IFERROR(__xludf.DUMMYFUNCTION(" GOOGLETRANSLATE(D26, ""en"", ""am"")"),"ለ) 4")</f>
        <v>ለ) 4</v>
      </c>
      <c r="K26" s="5" t="str">
        <f>IFERROR(__xludf.DUMMYFUNCTION(" GOOGLETRANSLATE(E26, ""en"", ""am"")"),"ቢያንስ አራት በሬዎች ይሰለፋሉ፣ ነገር ግን ብዙ ጊዜ እንደ ቤተሰብ ሀብትና ደረጃ ይወሰዳሉ።")</f>
        <v>ቢያንስ አራት በሬዎች ይሰለፋሉ፣ ነገር ግን ብዙ ጊዜ እንደ ቤተሰብ ሀብትና ደረጃ ይወሰዳሉ።</v>
      </c>
    </row>
    <row r="27" ht="22.5" customHeight="1">
      <c r="A27" s="19">
        <v>26.0</v>
      </c>
      <c r="B27" s="5" t="s">
        <v>3384</v>
      </c>
      <c r="C27" s="5" t="s">
        <v>3385</v>
      </c>
      <c r="D27" s="5" t="s">
        <v>3386</v>
      </c>
      <c r="E27" s="5" t="s">
        <v>3387</v>
      </c>
      <c r="F27" s="18"/>
      <c r="G27" s="5" t="str">
        <f>IFERROR(__xludf.DUMMYFUNCTION(" GOOGLETRANSLATE(A27, ""en"", ""am"")"),"26")</f>
        <v>26</v>
      </c>
      <c r="H27" s="5" t="str">
        <f>IFERROR(__xludf.DUMMYFUNCTION(" GOOGLETRANSLATE(B27, ""en"", ""am"")"),"የትኛው የዕድሜ ቡድን ብዙውን ጊዜ ላም መዝለል ነው?")</f>
        <v>የትኛው የዕድሜ ቡድን ብዙውን ጊዜ ላም መዝለል ነው?</v>
      </c>
      <c r="I27" s="5" t="str">
        <f>IFERROR(__xludf.DUMMYFUNCTION(" GOOGLETRANSLATE(C27, ""en"", ""am"")"),"ሀ. ከ10 ዓመት በታች የሆኑ ወንዶች ልጆች ሐ. ወጣት ወንዶች (16-20) መ. ያገቡ ወንዶች ብቻ")</f>
        <v>ሀ. ከ10 ዓመት በታች የሆኑ ወንዶች ልጆች ሐ. ወጣት ወንዶች (16-20) መ. ያገቡ ወንዶች ብቻ</v>
      </c>
      <c r="J27" s="5" t="str">
        <f>IFERROR(__xludf.DUMMYFUNCTION(" GOOGLETRANSLATE(D27, ""en"", ""am"")"),"ሐ) ወጣቶች (16-20)")</f>
        <v>ሐ) ወጣቶች (16-20)</v>
      </c>
      <c r="K27" s="5" t="str">
        <f>IFERROR(__xludf.DUMMYFUNCTION(" GOOGLETRANSLATE(E27, ""en"", ""am"")"),"የአምልኮ ሥርዓቱ በጉርምስና ዕድሜ ላይ የሚገኙ ወጣቶች, ብዙውን ጊዜ በአሥራዎቹ ዕድሜ መጨረሻ ላይ ናቸው.")</f>
        <v>የአምልኮ ሥርዓቱ በጉርምስና ዕድሜ ላይ የሚገኙ ወጣቶች, ብዙውን ጊዜ በአሥራዎቹ ዕድሜ መጨረሻ ላይ ናቸው.</v>
      </c>
    </row>
    <row r="28" ht="22.5" customHeight="1">
      <c r="A28" s="19">
        <v>27.0</v>
      </c>
      <c r="B28" s="5" t="s">
        <v>3388</v>
      </c>
      <c r="C28" s="5" t="s">
        <v>3389</v>
      </c>
      <c r="D28" s="5" t="s">
        <v>3390</v>
      </c>
      <c r="E28" s="5" t="s">
        <v>3391</v>
      </c>
      <c r="F28" s="18"/>
      <c r="G28" s="5" t="str">
        <f>IFERROR(__xludf.DUMMYFUNCTION(" GOOGLETRANSLATE(A28, ""en"", ""am"")"),"27")</f>
        <v>27</v>
      </c>
      <c r="H28" s="5" t="str">
        <f>IFERROR(__xludf.DUMMYFUNCTION(" GOOGLETRANSLATE(B28, ""en"", ""am"")"),"የላም ዝላይ ሥነ ሥርዓት መጀመሩን የሚጠቁመው ምንድን ነው?")</f>
        <v>የላም ዝላይ ሥነ ሥርዓት መጀመሩን የሚጠቁመው ምንድን ነው?</v>
      </c>
      <c r="I28" s="5" t="str">
        <f>IFERROR(__xludf.DUMMYFUNCTION(" GOOGLETRANSLATE(C28, ""en"", ""am"")"),"ሀ.የሴቶች ዝማሬ ለ.በሽማግሌዎች መባረክ ሐ.ፍየል መታረድ መ.የእሳት አምልኮ ሥርዓት")</f>
        <v>ሀ.የሴቶች ዝማሬ ለ.በሽማግሌዎች መባረክ ሐ.ፍየል መታረድ መ.የእሳት አምልኮ ሥርዓት</v>
      </c>
      <c r="J28" s="5" t="str">
        <f>IFERROR(__xludf.DUMMYFUNCTION(" GOOGLETRANSLATE(D28, ""en"", ""am"")"),"ለ) በሽማግሌዎች በረከት")</f>
        <v>ለ) በሽማግሌዎች በረከት</v>
      </c>
      <c r="K28" s="5" t="str">
        <f>IFERROR(__xludf.DUMMYFUNCTION(" GOOGLETRANSLATE(E28, ""en"", ""am"")"),"ዋናው የአምልኮ ሥርዓት ከመጀመሩ በፊት ሽማግሌዎች ልጁን እና ከብቶቹን ይባርካሉ.")</f>
        <v>ዋናው የአምልኮ ሥርዓት ከመጀመሩ በፊት ሽማግሌዎች ልጁን እና ከብቶቹን ይባርካሉ.</v>
      </c>
    </row>
    <row r="29" ht="22.5" customHeight="1">
      <c r="A29" s="19">
        <v>28.0</v>
      </c>
      <c r="B29" s="5" t="s">
        <v>3392</v>
      </c>
      <c r="C29" s="5" t="s">
        <v>3393</v>
      </c>
      <c r="D29" s="5" t="s">
        <v>3394</v>
      </c>
      <c r="E29" s="5" t="s">
        <v>3395</v>
      </c>
      <c r="F29" s="18"/>
      <c r="G29" s="5" t="str">
        <f>IFERROR(__xludf.DUMMYFUNCTION(" GOOGLETRANSLATE(A29, ""en"", ""am"")"),"28")</f>
        <v>28</v>
      </c>
      <c r="H29" s="5" t="str">
        <f>IFERROR(__xludf.DUMMYFUNCTION(" GOOGLETRANSLATE(B29, ""en"", ""am"")"),"ብዙውን ጊዜ ከመዝለልዎ በፊት ከብቶች ላይ ለመቀባት የሚያገለግል ቁሳቁስ የትኛው ነው?")</f>
        <v>ብዙውን ጊዜ ከመዝለልዎ በፊት ከብቶች ላይ ለመቀባት የሚያገለግል ቁሳቁስ የትኛው ነው?</v>
      </c>
      <c r="I29" s="5" t="str">
        <f>IFERROR(__xludf.DUMMYFUNCTION(" GOOGLETRANSLATE(C29, ""en"", ""am"")"),"ሀ. ጭቃ እና እበት B. አሸዋ እና አመድ ሐ. ማር እና ወተት D. ደም እና ዘይት")</f>
        <v>ሀ. ጭቃ እና እበት B. አሸዋ እና አመድ ሐ. ማር እና ወተት D. ደም እና ዘይት</v>
      </c>
      <c r="J29" s="5" t="str">
        <f>IFERROR(__xludf.DUMMYFUNCTION(" GOOGLETRANSLATE(D29, ""en"", ""am"")"),"ሀ) ጭቃ እና እበት")</f>
        <v>ሀ) ጭቃ እና እበት</v>
      </c>
      <c r="K29" s="5" t="str">
        <f>IFERROR(__xludf.DUMMYFUNCTION(" GOOGLETRANSLATE(E29, ""en"", ""am"")"),"እበት እና ጭቃ ጀርባው እንዲንሸራተት ያደርገዋል, ይህም የአምልኮ ሥርዓቱን የበለጠ ፈታኝ ያደርገዋል.")</f>
        <v>እበት እና ጭቃ ጀርባው እንዲንሸራተት ያደርገዋል, ይህም የአምልኮ ሥርዓቱን የበለጠ ፈታኝ ያደርገዋል.</v>
      </c>
    </row>
    <row r="30" ht="22.5" customHeight="1">
      <c r="A30" s="19">
        <v>29.0</v>
      </c>
      <c r="B30" s="5" t="s">
        <v>3396</v>
      </c>
      <c r="C30" s="5" t="s">
        <v>3397</v>
      </c>
      <c r="D30" s="5" t="s">
        <v>3398</v>
      </c>
      <c r="E30" s="5" t="s">
        <v>3399</v>
      </c>
      <c r="F30" s="18"/>
      <c r="G30" s="5" t="str">
        <f>IFERROR(__xludf.DUMMYFUNCTION(" GOOGLETRANSLATE(A30, ""en"", ""am"")"),"29")</f>
        <v>29</v>
      </c>
      <c r="H30" s="5" t="str">
        <f>IFERROR(__xludf.DUMMYFUNCTION(" GOOGLETRANSLATE(B30, ""en"", ""am"")"),"ሽማግሌዎች አራቱ ከብቶች መሮጥ ምን ያመለክታሉ ይላሉ?")</f>
        <v>ሽማግሌዎች አራቱ ከብቶች መሮጥ ምን ያመለክታሉ ይላሉ?</v>
      </c>
      <c r="I30" s="5" t="str">
        <f>IFERROR(__xludf.DUMMYFUNCTION(" GOOGLETRANSLATE(C30, ""en"", ""am"")"),"ሀ. አራት የሕይወት ወቅቶች ለ. አራት አባቶች መንፈሶች ሐ. የአዋቂነት አራት ኃላፊነቶች መ. አራት የዓለም አቅጣጫዎች")</f>
        <v>ሀ. አራት የሕይወት ወቅቶች ለ. አራት አባቶች መንፈሶች ሐ. የአዋቂነት አራት ኃላፊነቶች መ. አራት የዓለም አቅጣጫዎች</v>
      </c>
      <c r="J30" s="5" t="str">
        <f>IFERROR(__xludf.DUMMYFUNCTION(" GOOGLETRANSLATE(D30, ""en"", ""am"")"),"ሐ) የአዋቂነት አራት ኃላፊነቶች")</f>
        <v>ሐ) የአዋቂነት አራት ኃላፊነቶች</v>
      </c>
      <c r="K30" s="5" t="str">
        <f>IFERROR(__xludf.DUMMYFUNCTION(" GOOGLETRANSLATE(E30, ""en"", ""am"")"),"እያንዳንዱ ሩጫ ብስለትን፣ ኃላፊነትን፣ መከባበርን እና ለትዳር ዝግጁነትን ያመለክታል።")</f>
        <v>እያንዳንዱ ሩጫ ብስለትን፣ ኃላፊነትን፣ መከባበርን እና ለትዳር ዝግጁነትን ያመለክታል።</v>
      </c>
    </row>
    <row r="31" ht="22.5" customHeight="1">
      <c r="A31" s="19">
        <v>30.0</v>
      </c>
      <c r="B31" s="5" t="s">
        <v>3400</v>
      </c>
      <c r="C31" s="5" t="s">
        <v>3401</v>
      </c>
      <c r="D31" s="5" t="s">
        <v>3402</v>
      </c>
      <c r="E31" s="5" t="s">
        <v>3403</v>
      </c>
      <c r="F31" s="18"/>
      <c r="G31" s="5" t="str">
        <f>IFERROR(__xludf.DUMMYFUNCTION(" GOOGLETRANSLATE(A31, ""en"", ""am"")"),"30")</f>
        <v>30</v>
      </c>
      <c r="H31" s="5" t="str">
        <f>IFERROR(__xludf.DUMMYFUNCTION(" GOOGLETRANSLATE(B31, ""en"", ""am"")"),"በሥርዓተ ሥርዓቱ ወቅት በሴቶች ላይ ስለሚደረገው ጅራፍ የትኛው ዘመናዊ ስጋት ተነስቷል?")</f>
        <v>በሥርዓተ ሥርዓቱ ወቅት በሴቶች ላይ ስለሚደረገው ጅራፍ የትኛው ዘመናዊ ስጋት ተነስቷል?</v>
      </c>
      <c r="I31" s="5" t="str">
        <f>IFERROR(__xludf.DUMMYFUNCTION(" GOOGLETRANSLATE(C31, ""en"", ""am"")"),"ሀ. የእንስሳት መብት ለ. በፆታ ላይ የተመሰረተ ጥቃት ሐ. የመሬት ባለቤትነት መ. የአየር ንብረት ለውጥ")</f>
        <v>ሀ. የእንስሳት መብት ለ. በፆታ ላይ የተመሰረተ ጥቃት ሐ. የመሬት ባለቤትነት መ. የአየር ንብረት ለውጥ</v>
      </c>
      <c r="J31" s="5" t="str">
        <f>IFERROR(__xludf.DUMMYFUNCTION(" GOOGLETRANSLATE(D31, ""en"", ""am"")"),"ለ) በጾታ ላይ የተመሰረተ ጥቃት")</f>
        <v>ለ) በጾታ ላይ የተመሰረተ ጥቃት</v>
      </c>
      <c r="K31" s="5" t="str">
        <f>IFERROR(__xludf.DUMMYFUNCTION(" GOOGLETRANSLATE(E31, ""en"", ""am"")"),"የአካባቢው ሰዎች እንደ ታማኝነት እና ጥንካሬ ቢያዩትም የውጭ ሰዎች ድርጊቱን እንደ ሃይለኛነት ይወቅሳሉ።")</f>
        <v>የአካባቢው ሰዎች እንደ ታማኝነት እና ጥንካሬ ቢያዩትም የውጭ ሰዎች ድርጊቱን እንደ ሃይለኛነት ይወቅሳሉ።</v>
      </c>
    </row>
    <row r="32" ht="22.5" customHeight="1">
      <c r="A32" s="19">
        <v>31.0</v>
      </c>
      <c r="B32" s="5" t="s">
        <v>3404</v>
      </c>
      <c r="C32" s="5" t="s">
        <v>3405</v>
      </c>
      <c r="D32" s="5" t="s">
        <v>3406</v>
      </c>
      <c r="E32" s="5" t="s">
        <v>3407</v>
      </c>
      <c r="F32" s="18"/>
      <c r="G32" s="5" t="str">
        <f>IFERROR(__xludf.DUMMYFUNCTION(" GOOGLETRANSLATE(A32, ""en"", ""am"")"),"31")</f>
        <v>31</v>
      </c>
      <c r="H32" s="5" t="str">
        <f>IFERROR(__xludf.DUMMYFUNCTION(" GOOGLETRANSLATE(B32, ""en"", ""am"")"),"ከተሳካ ዝላይ በኋላ ማህበረሰቡ እንዴት ያከብራል?")</f>
        <v>ከተሳካ ዝላይ በኋላ ማህበረሰቡ እንዴት ያከብራል?</v>
      </c>
      <c r="I32" s="5" t="str">
        <f>IFERROR(__xludf.DUMMYFUNCTION(" GOOGLETRANSLATE(C32, ""en"", ""am"")"),"ሀ. ድግስ፣ ጭፈራ እና መዝሙር ለ. ዝምታ ማሰላሰል ሐ. የከብት መስዋዕትነት መ. የመሬት መከፋፈል")</f>
        <v>ሀ. ድግስ፣ ጭፈራ እና መዝሙር ለ. ዝምታ ማሰላሰል ሐ. የከብት መስዋዕትነት መ. የመሬት መከፋፈል</v>
      </c>
      <c r="J32" s="5" t="str">
        <f>IFERROR(__xludf.DUMMYFUNCTION(" GOOGLETRANSLATE(D32, ""en"", ""am"")"),"ሀ")</f>
        <v>ሀ</v>
      </c>
      <c r="K32" s="5" t="str">
        <f>IFERROR(__xludf.DUMMYFUNCTION(" GOOGLETRANSLATE(E32, ""en"", ""am"")"),"መላው መንደሩ በደስታ ያከብራል, ልጁ ወደ ጉልምስና መግባቱን ያመለክታል.")</f>
        <v>መላው መንደሩ በደስታ ያከብራል, ልጁ ወደ ጉልምስና መግባቱን ያመለክታል.</v>
      </c>
    </row>
    <row r="33" ht="22.5" customHeight="1">
      <c r="A33" s="19">
        <v>32.0</v>
      </c>
      <c r="B33" s="5" t="s">
        <v>3408</v>
      </c>
      <c r="C33" s="5" t="s">
        <v>3409</v>
      </c>
      <c r="D33" s="5" t="s">
        <v>3410</v>
      </c>
      <c r="E33" s="5" t="s">
        <v>3411</v>
      </c>
      <c r="F33" s="18"/>
      <c r="G33" s="5" t="str">
        <f>IFERROR(__xludf.DUMMYFUNCTION(" GOOGLETRANSLATE(A33, ""en"", ""am"")"),"32")</f>
        <v>32</v>
      </c>
      <c r="H33" s="5" t="str">
        <f>IFERROR(__xludf.DUMMYFUNCTION(" GOOGLETRANSLATE(B33, ""en"", ""am"")"),"የትኛው ሀይማኖት ነው በሀማር ላም መዝለል ባህል ላይ ከፍተኛ ተጽዕኖ ያሳደረ?")</f>
        <v>የትኛው ሀይማኖት ነው በሀማር ላም መዝለል ባህል ላይ ከፍተኛ ተጽዕኖ ያሳደረ?</v>
      </c>
      <c r="I33" s="5" t="str">
        <f>IFERROR(__xludf.DUMMYFUNCTION(" GOOGLETRANSLATE(C33, ""en"", ""am"")"),"ሀ. ክርስትና ለ. እስልምና ሐ. ባህላዊ አኒዝም መ. ይሁዲነት")</f>
        <v>ሀ. ክርስትና ለ. እስልምና ሐ. ባህላዊ አኒዝም መ. ይሁዲነት</v>
      </c>
      <c r="J33" s="5" t="str">
        <f>IFERROR(__xludf.DUMMYFUNCTION(" GOOGLETRANSLATE(D33, ""en"", ""am"")"),"ሲ")</f>
        <v>ሲ</v>
      </c>
      <c r="K33" s="5" t="str">
        <f>IFERROR(__xludf.DUMMYFUNCTION(" GOOGLETRANSLATE(E33, ""en"", ""am"")"),"የአምልኮ ሥርዓቱ የተመሰረተው ከዓለም አቀፋዊ ሃይማኖቶች ሳይሆን ከአገሬው ተወላጆች የአኒዝም እምነት ነው።")</f>
        <v>የአምልኮ ሥርዓቱ የተመሰረተው ከዓለም አቀፋዊ ሃይማኖቶች ሳይሆን ከአገሬው ተወላጆች የአኒዝም እምነት ነው።</v>
      </c>
    </row>
    <row r="34" ht="22.5" customHeight="1">
      <c r="A34" s="19">
        <v>33.0</v>
      </c>
      <c r="B34" s="5" t="s">
        <v>3412</v>
      </c>
      <c r="C34" s="5" t="s">
        <v>3413</v>
      </c>
      <c r="D34" s="5" t="s">
        <v>3410</v>
      </c>
      <c r="E34" s="5" t="s">
        <v>3414</v>
      </c>
      <c r="F34" s="18"/>
      <c r="G34" s="5" t="str">
        <f>IFERROR(__xludf.DUMMYFUNCTION(" GOOGLETRANSLATE(A34, ""en"", ""am"")"),"33")</f>
        <v>33</v>
      </c>
      <c r="H34" s="5" t="str">
        <f>IFERROR(__xludf.DUMMYFUNCTION(" GOOGLETRANSLATE(B34, ""en"", ""am"")"),"የውጭ ሰዎች ብዙውን ጊዜ የላም ዝላይን ሥነ ሥርዓት ምን ይሉታል?")</f>
        <v>የውጭ ሰዎች ብዙውን ጊዜ የላም ዝላይን ሥነ ሥርዓት ምን ይሉታል?</v>
      </c>
      <c r="I34" s="5" t="str">
        <f>IFERROR(__xludf.DUMMYFUNCTION(" GOOGLETRANSLATE(C34, ""en"", ""am"")"),"ሀ.የኢትዮጵያ የበሬ ፍልሚያ ለ.ኦሞ ሸለቆ መነሳሳት ሐ.የወንድነት ፈተና መ.የአፍሪካ ቀንድ ስርዓት")</f>
        <v>ሀ.የኢትዮጵያ የበሬ ፍልሚያ ለ.ኦሞ ሸለቆ መነሳሳት ሐ.የወንድነት ፈተና መ.የአፍሪካ ቀንድ ስርዓት</v>
      </c>
      <c r="J34" s="5" t="str">
        <f>IFERROR(__xludf.DUMMYFUNCTION(" GOOGLETRANSLATE(D34, ""en"", ""am"")"),"ሲ")</f>
        <v>ሲ</v>
      </c>
      <c r="K34" s="5" t="str">
        <f>IFERROR(__xludf.DUMMYFUNCTION(" GOOGLETRANSLATE(E34, ""en"", ""am"")"),"ጎብኚዎች ብዙውን ጊዜ እንደ 'የወንድነት ፈተና' ብለው ይገልጹታል፣ ለአካባቢው ነዋሪዎች ግን ይህ የተቀደሰ ባህል ነው።")</f>
        <v>ጎብኚዎች ብዙውን ጊዜ እንደ 'የወንድነት ፈተና' ብለው ይገልጹታል፣ ለአካባቢው ነዋሪዎች ግን ይህ የተቀደሰ ባህል ነው።</v>
      </c>
    </row>
    <row r="35" ht="22.5" customHeight="1">
      <c r="A35" s="19">
        <v>34.0</v>
      </c>
      <c r="B35" s="5" t="s">
        <v>3415</v>
      </c>
      <c r="C35" s="5" t="s">
        <v>3416</v>
      </c>
      <c r="D35" s="5" t="s">
        <v>3417</v>
      </c>
      <c r="E35" s="5" t="s">
        <v>3418</v>
      </c>
      <c r="F35" s="18"/>
      <c r="G35" s="5" t="str">
        <f>IFERROR(__xludf.DUMMYFUNCTION(" GOOGLETRANSLATE(A35, ""en"", ""am"")"),"34")</f>
        <v>34</v>
      </c>
      <c r="H35" s="5" t="str">
        <f>IFERROR(__xludf.DUMMYFUNCTION(" GOOGLETRANSLATE(B35, ""en"", ""am"")"),"መዝሙር እና ጭፈራ ጨምሮ ሙሉ ሥነ ሥርዓቱ ለምን ያህል ጊዜ ሊቆይ ይችላል?")</f>
        <v>መዝሙር እና ጭፈራ ጨምሮ ሙሉ ሥነ ሥርዓቱ ለምን ያህል ጊዜ ሊቆይ ይችላል?</v>
      </c>
      <c r="I35" s="5" t="str">
        <f>IFERROR(__xludf.DUMMYFUNCTION(" GOOGLETRANSLATE(C35, ""en"", ""am"")"),"ሀ. 1 ሰዓት ለ. ግማሽ ቀን ሐ. ሙሉ ቀን መ. ብዙ ቀናት")</f>
        <v>ሀ. 1 ሰዓት ለ. ግማሽ ቀን ሐ. ሙሉ ቀን መ. ብዙ ቀናት</v>
      </c>
      <c r="J35" s="5" t="str">
        <f>IFERROR(__xludf.DUMMYFUNCTION(" GOOGLETRANSLATE(D35, ""en"", ""am"")"),"ዲ")</f>
        <v>ዲ</v>
      </c>
      <c r="K35" s="5" t="str">
        <f>IFERROR(__xludf.DUMMYFUNCTION(" GOOGLETRANSLATE(E35, ""en"", ""am"")"),"ክብረ በዓላት ለሁለት ወይም ከዚያ በላይ ቀናት ሊራዘሙ ይችላሉ, ይህም መላውን ማህበረሰብ ያካትታል.")</f>
        <v>ክብረ በዓላት ለሁለት ወይም ከዚያ በላይ ቀናት ሊራዘሙ ይችላሉ, ይህም መላውን ማህበረሰብ ያካትታል.</v>
      </c>
    </row>
    <row r="36" ht="22.5" customHeight="1">
      <c r="A36" s="19">
        <v>35.0</v>
      </c>
      <c r="B36" s="5" t="s">
        <v>3419</v>
      </c>
      <c r="C36" s="5" t="s">
        <v>3420</v>
      </c>
      <c r="D36" s="5" t="s">
        <v>3406</v>
      </c>
      <c r="E36" s="5" t="s">
        <v>3421</v>
      </c>
      <c r="F36" s="18"/>
      <c r="G36" s="5" t="str">
        <f>IFERROR(__xludf.DUMMYFUNCTION(" GOOGLETRANSLATE(A36, ""en"", ""am"")"),"35")</f>
        <v>35</v>
      </c>
      <c r="H36" s="5" t="str">
        <f>IFERROR(__xludf.DUMMYFUNCTION(" GOOGLETRANSLATE(B36, ""en"", ""am"")"),"ከተዘለለ በኋላ የልጁን ሽግግር የሚያመለክተው ምንድን ነው?")</f>
        <v>ከተዘለለ በኋላ የልጁን ሽግግር የሚያመለክተው ምንድን ነው?</v>
      </c>
      <c r="I36" s="5" t="str">
        <f>IFERROR(__xludf.DUMMYFUNCTION(" GOOGLETRANSLATE(C36, ""en"", ""am"")"),"ሀ. ሰራተኛ መቀበል ለ. የራስ ማሰሪያ መልበስ ሐ. ራሱን መላጨት D. አዲስ የሰውነት ሥዕል")</f>
        <v>ሀ. ሰራተኛ መቀበል ለ. የራስ ማሰሪያ መልበስ ሐ. ራሱን መላጨት D. አዲስ የሰውነት ሥዕል</v>
      </c>
      <c r="J36" s="5" t="str">
        <f>IFERROR(__xludf.DUMMYFUNCTION(" GOOGLETRANSLATE(D36, ""en"", ""am"")"),"ሀ")</f>
        <v>ሀ</v>
      </c>
      <c r="K36" s="5" t="str">
        <f>IFERROR(__xludf.DUMMYFUNCTION(" GOOGLETRANSLATE(E36, ""en"", ""am"")"),"ሰራተኞቹ በማህበረሰቡ ውስጥ የወንድነት፣ የኃላፊነት እና የሥልጣን ምልክት ናቸው።")</f>
        <v>ሰራተኞቹ በማህበረሰቡ ውስጥ የወንድነት፣ የኃላፊነት እና የሥልጣን ምልክት ናቸው።</v>
      </c>
    </row>
    <row r="37" ht="22.5" customHeight="1">
      <c r="A37" s="19">
        <v>36.0</v>
      </c>
      <c r="B37" s="5" t="s">
        <v>3422</v>
      </c>
      <c r="C37" s="5" t="s">
        <v>3423</v>
      </c>
      <c r="D37" s="5" t="s">
        <v>3424</v>
      </c>
      <c r="E37" s="5" t="s">
        <v>3425</v>
      </c>
      <c r="F37" s="18"/>
      <c r="G37" s="5" t="str">
        <f>IFERROR(__xludf.DUMMYFUNCTION(" GOOGLETRANSLATE(A37, ""en"", ""am"")"),"36")</f>
        <v>36</v>
      </c>
      <c r="H37" s="5" t="str">
        <f>IFERROR(__xludf.DUMMYFUNCTION(" GOOGLETRANSLATE(B37, ""en"", ""am"")"),"ወይፈኖቹ ለአምልኮ ሥርዓቱ የሚዘጋጁት እንዴት ነው?")</f>
        <v>ወይፈኖቹ ለአምልኮ ሥርዓቱ የሚዘጋጁት እንዴት ነው?</v>
      </c>
      <c r="I37" s="5" t="str">
        <f>IFERROR(__xludf.DUMMYFUNCTION(" GOOGLETRANSLATE(C37, ""en"", ""am"")"),"ሀ. በክበብ ለ. ጎን ለጎን በመስመር ሐ. በዘፈቀደ በመስክ ላይ መ. ከዛፎች ጋር የተሳሰረ")</f>
        <v>ሀ. በክበብ ለ. ጎን ለጎን በመስመር ሐ. በዘፈቀደ በመስክ ላይ መ. ከዛፎች ጋር የተሳሰረ</v>
      </c>
      <c r="J37" s="5" t="str">
        <f>IFERROR(__xludf.DUMMYFUNCTION(" GOOGLETRANSLATE(D37, ""en"", ""am"")"),"ለ")</f>
        <v>ለ</v>
      </c>
      <c r="K37" s="5" t="str">
        <f>IFERROR(__xludf.DUMMYFUNCTION(" GOOGLETRANSLATE(E37, ""en"", ""am"")"),"በሬዎች በጀርባቸው ላይ ቀጣይነት ያለው ሩጫ እንዲፈቅዱ በአንድ ላይ በቅርበት ተሰልፈዋል።")</f>
        <v>በሬዎች በጀርባቸው ላይ ቀጣይነት ያለው ሩጫ እንዲፈቅዱ በአንድ ላይ በቅርበት ተሰልፈዋል።</v>
      </c>
    </row>
    <row r="38" ht="22.5" customHeight="1">
      <c r="A38" s="19">
        <v>37.0</v>
      </c>
      <c r="B38" s="5" t="s">
        <v>3426</v>
      </c>
      <c r="C38" s="5" t="s">
        <v>3427</v>
      </c>
      <c r="D38" s="5" t="s">
        <v>3406</v>
      </c>
      <c r="E38" s="5" t="s">
        <v>3428</v>
      </c>
      <c r="F38" s="18"/>
      <c r="G38" s="5" t="str">
        <f>IFERROR(__xludf.DUMMYFUNCTION(" GOOGLETRANSLATE(A38, ""en"", ""am"")"),"37")</f>
        <v>37</v>
      </c>
      <c r="H38" s="5" t="str">
        <f>IFERROR(__xludf.DUMMYFUNCTION(" GOOGLETRANSLATE(B38, ""en"", ""am"")"),"የትኛው ጾታ በእውነተኛው ዝላይ ውስጥ የማይሳተፍ?")</f>
        <v>የትኛው ጾታ በእውነተኛው ዝላይ ውስጥ የማይሳተፍ?</v>
      </c>
      <c r="I38" s="5" t="str">
        <f>IFERROR(__xludf.DUMMYFUNCTION(" GOOGLETRANSLATE(C38, ""en"", ""am"")"),"ሀ. ሴቶች ለ. ወጣት ወንዶች ሐ. ትልልቅ ሰዎች ዲ. ሽማግሌዎች")</f>
        <v>ሀ. ሴቶች ለ. ወጣት ወንዶች ሐ. ትልልቅ ሰዎች ዲ. ሽማግሌዎች</v>
      </c>
      <c r="J38" s="5" t="str">
        <f>IFERROR(__xludf.DUMMYFUNCTION(" GOOGLETRANSLATE(D38, ""en"", ""am"")"),"ሀ")</f>
        <v>ሀ</v>
      </c>
      <c r="K38" s="5" t="str">
        <f>IFERROR(__xludf.DUMMYFUNCTION(" GOOGLETRANSLATE(E38, ""en"", ""am"")"),"ወጣት ወንዶች ብቻ ዝላይን ይሠራሉ, ሴቶች ደግሞ በመዝሙር እና ምሳሌያዊ ድርጊቶች ይሳተፋሉ.")</f>
        <v>ወጣት ወንዶች ብቻ ዝላይን ይሠራሉ, ሴቶች ደግሞ በመዝሙር እና ምሳሌያዊ ድርጊቶች ይሳተፋሉ.</v>
      </c>
    </row>
    <row r="39" ht="22.5" customHeight="1">
      <c r="A39" s="19">
        <v>38.0</v>
      </c>
      <c r="B39" s="5" t="s">
        <v>3429</v>
      </c>
      <c r="C39" s="5" t="s">
        <v>3430</v>
      </c>
      <c r="D39" s="5" t="s">
        <v>3424</v>
      </c>
      <c r="E39" s="5" t="s">
        <v>3431</v>
      </c>
      <c r="F39" s="18"/>
      <c r="G39" s="5" t="str">
        <f>IFERROR(__xludf.DUMMYFUNCTION(" GOOGLETRANSLATE(A39, ""en"", ""am"")"),"38")</f>
        <v>38</v>
      </c>
      <c r="H39" s="5" t="str">
        <f>IFERROR(__xludf.DUMMYFUNCTION(" GOOGLETRANSLATE(B39, ""en"", ""am"")"),"አስጀማሪው ቢወድቅ ነገር ግን አራቱን ሩጫዎች ካጠናቀቀ ምን ይሆናል?")</f>
        <v>አስጀማሪው ቢወድቅ ነገር ግን አራቱን ሩጫዎች ካጠናቀቀ ምን ይሆናል?</v>
      </c>
      <c r="I39" s="5" t="str">
        <f>IFERROR(__xludf.DUMMYFUNCTION(" GOOGLETRANSLATE(C39, ""en"", ""am"")"),"ሀ. አሁንም አልፏል ለ. ሥነ ሥርዓቱን እንደገና መጀመር አለበት ሐ. በቋሚነት ውድቅ ተደርጓል መ. ሽማግሌዎች ይቀጡታል.")</f>
        <v>ሀ. አሁንም አልፏል ለ. ሥነ ሥርዓቱን እንደገና መጀመር አለበት ሐ. በቋሚነት ውድቅ ተደርጓል መ. ሽማግሌዎች ይቀጡታል.</v>
      </c>
      <c r="J39" s="5" t="str">
        <f>IFERROR(__xludf.DUMMYFUNCTION(" GOOGLETRANSLATE(D39, ""en"", ""am"")"),"ለ")</f>
        <v>ለ</v>
      </c>
      <c r="K39" s="5" t="str">
        <f>IFERROR(__xludf.DUMMYFUNCTION(" GOOGLETRANSLATE(E39, ""en"", ""am"")"),"በሩጫ ወቅት መውደቅ ሙከራውን ውድቅ ያደርገዋል; ወደፊት እንደገና መሞከር አለበት.")</f>
        <v>በሩጫ ወቅት መውደቅ ሙከራውን ውድቅ ያደርገዋል; ወደፊት እንደገና መሞከር አለበት.</v>
      </c>
    </row>
    <row r="40" ht="22.5" customHeight="1">
      <c r="A40" s="19">
        <v>39.0</v>
      </c>
      <c r="B40" s="5" t="s">
        <v>3432</v>
      </c>
      <c r="C40" s="5" t="s">
        <v>3433</v>
      </c>
      <c r="D40" s="5" t="s">
        <v>3406</v>
      </c>
      <c r="E40" s="5" t="s">
        <v>3434</v>
      </c>
      <c r="F40" s="18"/>
      <c r="G40" s="5" t="str">
        <f>IFERROR(__xludf.DUMMYFUNCTION(" GOOGLETRANSLATE(A40, ""en"", ""am"")"),"39")</f>
        <v>39</v>
      </c>
      <c r="H40" s="5" t="str">
        <f>IFERROR(__xludf.DUMMYFUNCTION(" GOOGLETRANSLATE(B40, ""en"", ""am"")"),"ለምንድነው የአምልኮ ሥርዓቱ ዘመናዊነት ቢደረግም ዛሬም ይሠራል?")</f>
        <v>ለምንድነው የአምልኮ ሥርዓቱ ዘመናዊነት ቢደረግም ዛሬም ይሠራል?</v>
      </c>
      <c r="I40" s="5" t="str">
        <f>IFERROR(__xludf.DUMMYFUNCTION(" GOOGLETRANSLATE(C40, ""en"", ""am"")"),"ሀ. የባህል ማንነትን መጠበቅ ለ. ቱሪዝምን ለመሳብ ሐ. የከብት ንግድ መጨመር መ. የመንግስት ቁጥጥርን መቃወም")</f>
        <v>ሀ. የባህል ማንነትን መጠበቅ ለ. ቱሪዝምን ለመሳብ ሐ. የከብት ንግድ መጨመር መ. የመንግስት ቁጥጥርን መቃወም</v>
      </c>
      <c r="J40" s="5" t="str">
        <f>IFERROR(__xludf.DUMMYFUNCTION(" GOOGLETRANSLATE(D40, ""en"", ""am"")"),"ሀ")</f>
        <v>ሀ</v>
      </c>
      <c r="K40" s="5" t="str">
        <f>IFERROR(__xludf.DUMMYFUNCTION(" GOOGLETRANSLATE(E40, ""en"", ""am"")"),"የሐማር ህዝብ ባህሉን ለትውልድ ለማስቀጠል የላም ዝላይን ያቆያል።")</f>
        <v>የሐማር ህዝብ ባህሉን ለትውልድ ለማስቀጠል የላም ዝላይን ያቆያል።</v>
      </c>
    </row>
    <row r="41" ht="22.5" customHeight="1">
      <c r="A41" s="19">
        <v>40.0</v>
      </c>
      <c r="B41" s="5" t="s">
        <v>3435</v>
      </c>
      <c r="C41" s="5" t="s">
        <v>3436</v>
      </c>
      <c r="D41" s="5" t="s">
        <v>3424</v>
      </c>
      <c r="E41" s="5" t="s">
        <v>3437</v>
      </c>
      <c r="F41" s="18"/>
      <c r="G41" s="5" t="str">
        <f>IFERROR(__xludf.DUMMYFUNCTION(" GOOGLETRANSLATE(A41, ""en"", ""am"")"),"40")</f>
        <v>40</v>
      </c>
      <c r="H41" s="5" t="str">
        <f>IFERROR(__xludf.DUMMYFUNCTION(" GOOGLETRANSLATE(B41, ""en"", ""am"")"),"ላም መዝለል ምን ሰፊ የአንትሮፖሎጂ ትምህርት ይሰጣል?")</f>
        <v>ላም መዝለል ምን ሰፊ የአንትሮፖሎጂ ትምህርት ይሰጣል?</v>
      </c>
      <c r="I41" s="5" t="str">
        <f>IFERROR(__xludf.DUMMYFUNCTION(" GOOGLETRANSLATE(C41, ""en"", ""am"")"),"ሀ. የአፍሪካ ኢኮኖሚ በከብቶች ላይ የተመሰረተ ነው ለ. ሥርዓቶች ማህበራዊ ስርዓትን እና ማንነትን ያስከብራሉ ሐ. ኢትዮጵያ የከብት እርባታ ያለባት ሀገር ናት D. የጎሳ ጦርነት ቅርፅ ጉምሩክ")</f>
        <v>ሀ. የአፍሪካ ኢኮኖሚ በከብቶች ላይ የተመሰረተ ነው ለ. ሥርዓቶች ማህበራዊ ስርዓትን እና ማንነትን ያስከብራሉ ሐ. ኢትዮጵያ የከብት እርባታ ያለባት ሀገር ናት D. የጎሳ ጦርነት ቅርፅ ጉምሩክ</v>
      </c>
      <c r="J41" s="5" t="str">
        <f>IFERROR(__xludf.DUMMYFUNCTION(" GOOGLETRANSLATE(D41, ""en"", ""am"")"),"ለ")</f>
        <v>ለ</v>
      </c>
      <c r="K41" s="5" t="str">
        <f>IFERROR(__xludf.DUMMYFUNCTION(" GOOGLETRANSLATE(E41, ""en"", ""am"")"),"ስነ-አንትሮፖሎጂስቶች ክብረ በዓሉ የማህበረሰብ እሴቶችን፣ ሚናዎችን እና ማንነትን የማጠናከሪያ መንገድ አድርገው ይመለከቱታል።")</f>
        <v>ስነ-አንትሮፖሎጂስቶች ክብረ በዓሉ የማህበረሰብ እሴቶችን፣ ሚናዎችን እና ማንነትን የማጠናከሪያ መንገድ አድርገው ይመለከቱታል።</v>
      </c>
    </row>
    <row r="42" ht="22.5" customHeight="1">
      <c r="A42" s="19">
        <v>41.0</v>
      </c>
      <c r="B42" s="5" t="s">
        <v>3438</v>
      </c>
      <c r="C42" s="5" t="s">
        <v>3439</v>
      </c>
      <c r="D42" s="5" t="s">
        <v>3410</v>
      </c>
      <c r="E42" s="5" t="s">
        <v>3440</v>
      </c>
      <c r="F42" s="18"/>
      <c r="G42" s="5" t="str">
        <f>IFERROR(__xludf.DUMMYFUNCTION(" GOOGLETRANSLATE(A42, ""en"", ""am"")"),"41")</f>
        <v>41</v>
      </c>
      <c r="H42" s="5" t="str">
        <f>IFERROR(__xludf.DUMMYFUNCTION(" GOOGLETRANSLATE(B42, ""en"", ""am"")"),"ከእነዚህ ውስጥ የላም መዝለል የመጨረሻ ዓላማ ተብሎ የሚወሰደው የትኛው ነው?")</f>
        <v>ከእነዚህ ውስጥ የላም መዝለል የመጨረሻ ዓላማ ተብሎ የሚወሰደው የትኛው ነው?</v>
      </c>
      <c r="I42" s="5" t="str">
        <f>IFERROR(__xludf.DUMMYFUNCTION(" GOOGLETRANSLATE(C42, ""en"", ""am"")"),"ሀ. መዝናኛ ለ. የማህበራዊ ሚዲያ ትኩረት ሐ. ወደ ጉልምስና መሸጋገር መ. የሀብት ስብስብ")</f>
        <v>ሀ. መዝናኛ ለ. የማህበራዊ ሚዲያ ትኩረት ሐ. ወደ ጉልምስና መሸጋገር መ. የሀብት ስብስብ</v>
      </c>
      <c r="J42" s="5" t="str">
        <f>IFERROR(__xludf.DUMMYFUNCTION(" GOOGLETRANSLATE(D42, ""en"", ""am"")"),"ሲ")</f>
        <v>ሲ</v>
      </c>
      <c r="K42" s="5" t="str">
        <f>IFERROR(__xludf.DUMMYFUNCTION(" GOOGLETRANSLATE(E42, ""en"", ""am"")"),"የአምልኮ ሥርዓቱ በሃማር ጎሳ ውስጥ ብስለት እና ለአዋቂዎች ሚና ዝግጁነትን ለማረጋገጥ ማዕከላዊ ነው።")</f>
        <v>የአምልኮ ሥርዓቱ በሃማር ጎሳ ውስጥ ብስለት እና ለአዋቂዎች ሚና ዝግጁነትን ለማረጋገጥ ማዕከላዊ ነው።</v>
      </c>
    </row>
    <row r="43" ht="22.5" customHeight="1">
      <c r="A43" s="19">
        <v>42.0</v>
      </c>
      <c r="B43" s="5" t="s">
        <v>3441</v>
      </c>
      <c r="C43" s="5" t="s">
        <v>3442</v>
      </c>
      <c r="D43" s="5" t="s">
        <v>3410</v>
      </c>
      <c r="E43" s="5" t="s">
        <v>3443</v>
      </c>
      <c r="F43" s="18"/>
      <c r="G43" s="5" t="str">
        <f>IFERROR(__xludf.DUMMYFUNCTION(" GOOGLETRANSLATE(A43, ""en"", ""am"")"),"42")</f>
        <v>42</v>
      </c>
      <c r="H43" s="5" t="str">
        <f>IFERROR(__xludf.DUMMYFUNCTION(" GOOGLETRANSLATE(B43, ""en"", ""am"")"),"ሴቶች በበዓሉ ላይ ለሚደረገው የጅራፍ ክፍል እራሳቸውን የሚያዘጋጁት እንዴት ነው?")</f>
        <v>ሴቶች በበዓሉ ላይ ለሚደረገው የጅራፍ ክፍል እራሳቸውን የሚያዘጋጁት እንዴት ነው?</v>
      </c>
      <c r="I43" s="5" t="str">
        <f>IFERROR(__xludf.DUMMYFUNCTION(" GOOGLETRANSLATE(C43, ""en"", ""am"")"),"ሀ. ቅቤን በቆዳቸው ላይ በመቀባት ለ. መከላከያ ልብስ በመልበስ ሐ. ራሳቸውን በሸክላ በመሸፈንና በመቀባት መ. በዝምታ በመቆም")</f>
        <v>ሀ. ቅቤን በቆዳቸው ላይ በመቀባት ለ. መከላከያ ልብስ በመልበስ ሐ. ራሳቸውን በሸክላ በመሸፈንና በመቀባት መ. በዝምታ በመቆም</v>
      </c>
      <c r="J43" s="5" t="str">
        <f>IFERROR(__xludf.DUMMYFUNCTION(" GOOGLETRANSLATE(D43, ""en"", ""am"")"),"ሲ")</f>
        <v>ሲ</v>
      </c>
      <c r="K43" s="5" t="str">
        <f>IFERROR(__xludf.DUMMYFUNCTION(" GOOGLETRANSLATE(E43, ""en"", ""am"")"),"ሴቶች በፈቃደኝነት ምሳሌያዊ ጅራፍ ከመጽናታቸው በፊት እራሳቸውን በሸክላ እና በቀለማት ያሸበረቁ ዶቃዎች ያጌጡ ናቸው።")</f>
        <v>ሴቶች በፈቃደኝነት ምሳሌያዊ ጅራፍ ከመጽናታቸው በፊት እራሳቸውን በሸክላ እና በቀለማት ያሸበረቁ ዶቃዎች ያጌጡ ናቸው።</v>
      </c>
    </row>
    <row r="44" ht="22.5" customHeight="1">
      <c r="A44" s="19">
        <v>43.0</v>
      </c>
      <c r="B44" s="5" t="s">
        <v>3444</v>
      </c>
      <c r="C44" s="5" t="s">
        <v>3445</v>
      </c>
      <c r="D44" s="5" t="s">
        <v>3424</v>
      </c>
      <c r="E44" s="5" t="s">
        <v>3446</v>
      </c>
      <c r="F44" s="18"/>
      <c r="G44" s="5" t="str">
        <f>IFERROR(__xludf.DUMMYFUNCTION(" GOOGLETRANSLATE(A44, ""en"", ""am"")"),"43")</f>
        <v>43</v>
      </c>
      <c r="H44" s="5" t="str">
        <f>IFERROR(__xludf.DUMMYFUNCTION(" GOOGLETRANSLATE(B44, ""en"", ""am"")"),"በአምልኮ ሥርዓቱ ውስጥ ከበሬዎች መውደቅ ምን ማለት ነው?")</f>
        <v>በአምልኮ ሥርዓቱ ውስጥ ከበሬዎች መውደቅ ምን ማለት ነው?</v>
      </c>
      <c r="I44" s="5" t="str">
        <f>IFERROR(__xludf.DUMMYFUNCTION(" GOOGLETRANSLATE(C44, ""en"", ""am"")"),"ሀ. ከቅድመ አያቶች ለ. ለአቅመ አዳም አለመዘጋጀት ሐ. የከብቶች ድክመት መ. የመንደር ውርደት")</f>
        <v>ሀ. ከቅድመ አያቶች ለ. ለአቅመ አዳም አለመዘጋጀት ሐ. የከብቶች ድክመት መ. የመንደር ውርደት</v>
      </c>
      <c r="J44" s="5" t="str">
        <f>IFERROR(__xludf.DUMMYFUNCTION(" GOOGLETRANSLATE(D44, ""en"", ""am"")"),"ለ")</f>
        <v>ለ</v>
      </c>
      <c r="K44" s="5" t="str">
        <f>IFERROR(__xludf.DUMMYFUNCTION(" GOOGLETRANSLATE(E44, ""en"", ""am"")"),"መውደቅ ልጁ የአዋቂዎችን ሃላፊነት ለመሸከም ገና ዝግጁ አለመሆኑን ያሳያል እና በኋላ እንደገና መሞከር አለበት.")</f>
        <v>መውደቅ ልጁ የአዋቂዎችን ሃላፊነት ለመሸከም ገና ዝግጁ አለመሆኑን ያሳያል እና በኋላ እንደገና መሞከር አለበት.</v>
      </c>
    </row>
    <row r="45" ht="22.5" customHeight="1">
      <c r="A45" s="19">
        <v>44.0</v>
      </c>
      <c r="B45" s="5" t="s">
        <v>3447</v>
      </c>
      <c r="C45" s="5" t="s">
        <v>3448</v>
      </c>
      <c r="D45" s="5" t="s">
        <v>3410</v>
      </c>
      <c r="E45" s="5" t="s">
        <v>3449</v>
      </c>
      <c r="F45" s="18"/>
      <c r="G45" s="5" t="str">
        <f>IFERROR(__xludf.DUMMYFUNCTION(" GOOGLETRANSLATE(A45, ""en"", ""am"")"),"44")</f>
        <v>44</v>
      </c>
      <c r="H45" s="5" t="str">
        <f>IFERROR(__xludf.DUMMYFUNCTION(" GOOGLETRANSLATE(B45, ""en"", ""am"")"),"አንድ ወንድ ልጅ የላም ዝላይን እስኪያጠናቅቅ ድረስ ምን ማድረግ የተከለከለ ነው?")</f>
        <v>አንድ ወንድ ልጅ የላም ዝላይን እስኪያጠናቅቅ ድረስ ምን ማድረግ የተከለከለ ነው?</v>
      </c>
      <c r="I45" s="5" t="str">
        <f>IFERROR(__xludf.DUMMYFUNCTION(" GOOGLETRANSLATE(C45, ""en"", ""am"")"),"ሀ.የባህላዊ ቢራ መጠጣት ለ.ከሽማግሌዎች ጋር መቀመጥ ሐ.ማግባት መ.ከብቶችን መንከባከብ")</f>
        <v>ሀ.የባህላዊ ቢራ መጠጣት ለ.ከሽማግሌዎች ጋር መቀመጥ ሐ.ማግባት መ.ከብቶችን መንከባከብ</v>
      </c>
      <c r="J45" s="5" t="str">
        <f>IFERROR(__xludf.DUMMYFUNCTION(" GOOGLETRANSLATE(D45, ""en"", ""am"")"),"ሲ")</f>
        <v>ሲ</v>
      </c>
      <c r="K45" s="5" t="str">
        <f>IFERROR(__xludf.DUMMYFUNCTION(" GOOGLETRANSLATE(E45, ""en"", ""am"")"),"ጋብቻ የሚፈቀደው በአምልኮ ሥርዓቱ በተሳካ ሁኔታ ከተጀመረ በኋላ ብቻ ነው።")</f>
        <v>ጋብቻ የሚፈቀደው በአምልኮ ሥርዓቱ በተሳካ ሁኔታ ከተጀመረ በኋላ ብቻ ነው።</v>
      </c>
    </row>
    <row r="46" ht="22.5" customHeight="1">
      <c r="A46" s="19">
        <v>45.0</v>
      </c>
      <c r="B46" s="5" t="s">
        <v>3450</v>
      </c>
      <c r="C46" s="5" t="s">
        <v>3451</v>
      </c>
      <c r="D46" s="5" t="s">
        <v>3406</v>
      </c>
      <c r="E46" s="5" t="s">
        <v>3452</v>
      </c>
      <c r="F46" s="18"/>
      <c r="G46" s="5" t="str">
        <f>IFERROR(__xludf.DUMMYFUNCTION(" GOOGLETRANSLATE(A46, ""en"", ""am"")"),"45")</f>
        <v>45</v>
      </c>
      <c r="H46" s="5" t="str">
        <f>IFERROR(__xludf.DUMMYFUNCTION(" GOOGLETRANSLATE(B46, ""en"", ""am"")"),"ለሥርዓተ ሥርዓቱ በሬዎች ፋንታ ለምን ይመረጣል?")</f>
        <v>ለሥርዓተ ሥርዓቱ በሬዎች ፋንታ ለምን ይመረጣል?</v>
      </c>
      <c r="I46" s="5" t="str">
        <f>IFERROR(__xludf.DUMMYFUNCTION(" GOOGLETRANSLATE(C46, ""en"", ""am"")"),"ሀ. ኮርማዎች የበለጠ ጠንካራ እና ሚዛናቸውን ለመጠበቅ አስቸጋሪ ናቸው.")</f>
        <v>ሀ. ኮርማዎች የበለጠ ጠንካራ እና ሚዛናቸውን ለመጠበቅ አስቸጋሪ ናቸው.</v>
      </c>
      <c r="J46" s="5" t="str">
        <f>IFERROR(__xludf.DUMMYFUNCTION(" GOOGLETRANSLATE(D46, ""en"", ""am"")"),"ሀ")</f>
        <v>ሀ</v>
      </c>
      <c r="K46" s="5" t="str">
        <f>IFERROR(__xludf.DUMMYFUNCTION(" GOOGLETRANSLATE(E46, ""en"", ""am"")"),"ጥንካሬያቸው እና የሚያዳልጥ ጀርባቸው ፈተናውን የበለጠ ፈታኝ እና ትርጉም ያለው ያደርገዋል።")</f>
        <v>ጥንካሬያቸው እና የሚያዳልጥ ጀርባቸው ፈተናውን የበለጠ ፈታኝ እና ትርጉም ያለው ያደርገዋል።</v>
      </c>
    </row>
    <row r="47" ht="22.5" customHeight="1">
      <c r="A47" s="19">
        <v>46.0</v>
      </c>
      <c r="B47" s="5" t="s">
        <v>3453</v>
      </c>
      <c r="C47" s="5" t="s">
        <v>3454</v>
      </c>
      <c r="D47" s="5" t="s">
        <v>3424</v>
      </c>
      <c r="E47" s="5" t="s">
        <v>3455</v>
      </c>
      <c r="F47" s="18"/>
      <c r="G47" s="5" t="str">
        <f>IFERROR(__xludf.DUMMYFUNCTION(" GOOGLETRANSLATE(A47, ""en"", ""am"")"),"46")</f>
        <v>46</v>
      </c>
      <c r="H47" s="5" t="str">
        <f>IFERROR(__xludf.DUMMYFUNCTION(" GOOGLETRANSLATE(B47, ""en"", ""am"")"),"የአምልኮ ሥርዓቱ የአካል ብቃት ችሎታ እና ጥምረት ያሳያል-")</f>
        <v>የአምልኮ ሥርዓቱ የአካል ብቃት ችሎታ እና ጥምረት ያሳያል-</v>
      </c>
      <c r="I47" s="5" t="str">
        <f>IFERROR(__xludf.DUMMYFUNCTION(" GOOGLETRANSLATE(C47, ""en"", ""am"")"),"ሀ. ወታደራዊ ስልጠና ለ. ተምሳሌታዊ ብስለት ሐ. የሃይማኖት እምነት መ. የኢኮኖሚ ኃይል")</f>
        <v>ሀ. ወታደራዊ ስልጠና ለ. ተምሳሌታዊ ብስለት ሐ. የሃይማኖት እምነት መ. የኢኮኖሚ ኃይል</v>
      </c>
      <c r="J47" s="5" t="str">
        <f>IFERROR(__xludf.DUMMYFUNCTION(" GOOGLETRANSLATE(D47, ""en"", ""am"")"),"ለ")</f>
        <v>ለ</v>
      </c>
      <c r="K47" s="5" t="str">
        <f>IFERROR(__xludf.DUMMYFUNCTION(" GOOGLETRANSLATE(E47, ""en"", ""am"")"),"ከአካላዊ ችሎታ ባሻገር ድርጊቱ ማህበራዊ እና መንፈሳዊ ለውጦችን ያሳያል።")</f>
        <v>ከአካላዊ ችሎታ ባሻገር ድርጊቱ ማህበራዊ እና መንፈሳዊ ለውጦችን ያሳያል።</v>
      </c>
    </row>
    <row r="48" ht="22.5" customHeight="1">
      <c r="A48" s="19">
        <v>47.0</v>
      </c>
      <c r="B48" s="5" t="s">
        <v>3456</v>
      </c>
      <c r="C48" s="5" t="s">
        <v>3457</v>
      </c>
      <c r="D48" s="5" t="s">
        <v>3417</v>
      </c>
      <c r="E48" s="5" t="s">
        <v>3458</v>
      </c>
      <c r="F48" s="18"/>
      <c r="G48" s="5" t="str">
        <f>IFERROR(__xludf.DUMMYFUNCTION(" GOOGLETRANSLATE(A48, ""en"", ""am"")"),"47")</f>
        <v>47</v>
      </c>
      <c r="H48" s="5" t="str">
        <f>IFERROR(__xludf.DUMMYFUNCTION(" GOOGLETRANSLATE(B48, ""en"", ""am"")"),"የላም ዝላይን ያጠናቀቁ ወንዶች ክብረ በዓሉን እንዴት ይደግፋሉ?")</f>
        <v>የላም ዝላይን ያጠናቀቁ ወንዶች ክብረ በዓሉን እንዴት ይደግፋሉ?</v>
      </c>
      <c r="I48" s="5" t="str">
        <f>IFERROR(__xludf.DUMMYFUNCTION(" GOOGLETRANSLATE(C48, ""en"", ""am"")"),"ሀ. በሬዎችን በመምረጥ ለ. በረከትን በመስጠት ሐ. ድግሶችን በማዘጋጀት መ. ከላይ ያሉት ሁሉም")</f>
        <v>ሀ. በሬዎችን በመምረጥ ለ. በረከትን በመስጠት ሐ. ድግሶችን በማዘጋጀት መ. ከላይ ያሉት ሁሉም</v>
      </c>
      <c r="J48" s="5" t="str">
        <f>IFERROR(__xludf.DUMMYFUNCTION(" GOOGLETRANSLATE(D48, ""en"", ""am"")"),"ዲ")</f>
        <v>ዲ</v>
      </c>
      <c r="K48" s="5" t="str">
        <f>IFERROR(__xludf.DUMMYFUNCTION(" GOOGLETRANSLATE(E48, ""en"", ""am"")"),"ከአዳዲስ ጀማሪዎች ጋር በመምራት፣ በማዘጋጀት እና በማክበር ላይ በርካታ ሚናዎችን ይጫወታሉ።")</f>
        <v>ከአዳዲስ ጀማሪዎች ጋር በመምራት፣ በማዘጋጀት እና በማክበር ላይ በርካታ ሚናዎችን ይጫወታሉ።</v>
      </c>
    </row>
    <row r="49" ht="22.5" customHeight="1">
      <c r="A49" s="19">
        <v>48.0</v>
      </c>
      <c r="B49" s="5" t="s">
        <v>3459</v>
      </c>
      <c r="C49" s="5" t="s">
        <v>3460</v>
      </c>
      <c r="D49" s="5" t="s">
        <v>3424</v>
      </c>
      <c r="E49" s="5" t="s">
        <v>3461</v>
      </c>
      <c r="F49" s="18"/>
      <c r="G49" s="5" t="str">
        <f>IFERROR(__xludf.DUMMYFUNCTION(" GOOGLETRANSLATE(A49, ""en"", ""am"")"),"48")</f>
        <v>48</v>
      </c>
      <c r="H49" s="5" t="str">
        <f>IFERROR(__xludf.DUMMYFUNCTION(" GOOGLETRANSLATE(B49, ""en"", ""am"")"),"በዝግጅቱ ወቅት ሴቶች ፊታቸውን ለማስጌጥ በብዛት የሚጠቀሙበት ቁሳቁስ የትኛው ነው?")</f>
        <v>በዝግጅቱ ወቅት ሴቶች ፊታቸውን ለማስጌጥ በብዛት የሚጠቀሙበት ቁሳቁስ የትኛው ነው?</v>
      </c>
      <c r="I49" s="5" t="str">
        <f>IFERROR(__xludf.DUMMYFUNCTION(" GOOGLETRANSLATE(C49, ""en"", ""am"")"),"ሀ. የወርቅ ብናኝ ለ. ነጭ ኖራ እና ቀይ ኦቾር ሐ. ሄና ዲ. ሶት")</f>
        <v>ሀ. የወርቅ ብናኝ ለ. ነጭ ኖራ እና ቀይ ኦቾር ሐ. ሄና ዲ. ሶት</v>
      </c>
      <c r="J49" s="5" t="str">
        <f>IFERROR(__xludf.DUMMYFUNCTION(" GOOGLETRANSLATE(D49, ""en"", ""am"")"),"ለ")</f>
        <v>ለ</v>
      </c>
      <c r="K49" s="5" t="str">
        <f>IFERROR(__xludf.DUMMYFUNCTION(" GOOGLETRANSLATE(E49, ""en"", ""am"")"),"በሸክላ ላይ የተመሰረቱ ቀለሞች ባህላዊ ውበት እና የበዓል መንፈስን ያጎላሉ.")</f>
        <v>በሸክላ ላይ የተመሰረቱ ቀለሞች ባህላዊ ውበት እና የበዓል መንፈስን ያጎላሉ.</v>
      </c>
    </row>
    <row r="50" ht="22.5" customHeight="1">
      <c r="A50" s="19">
        <v>49.0</v>
      </c>
      <c r="B50" s="5" t="s">
        <v>3462</v>
      </c>
      <c r="C50" s="5" t="s">
        <v>3463</v>
      </c>
      <c r="D50" s="5" t="s">
        <v>3424</v>
      </c>
      <c r="E50" s="5" t="s">
        <v>3464</v>
      </c>
      <c r="F50" s="18"/>
      <c r="G50" s="5" t="str">
        <f>IFERROR(__xludf.DUMMYFUNCTION(" GOOGLETRANSLATE(A50, ""en"", ""am"")"),"49")</f>
        <v>49</v>
      </c>
      <c r="H50" s="5" t="str">
        <f>IFERROR(__xludf.DUMMYFUNCTION(" GOOGLETRANSLATE(B50, ""en"", ""am"")"),"ሰራተኞቹ ከዘለሉ በኋላ የተቀበሉት ምልክት ምን ማለት ነው?")</f>
        <v>ሰራተኞቹ ከዘለሉ በኋላ የተቀበሉት ምልክት ምን ማለት ነው?</v>
      </c>
      <c r="I50" s="5" t="str">
        <f>IFERROR(__xludf.DUMMYFUNCTION(" GOOGLETRANSLATE(C50, ""en"", ""am"")"),"ሀ. የመቅጣት ስልጣን ለ. የጎልማሳነት ሃላፊነት ሐ. ከአማልክት የተገኙ በረከቶች መ. በመሬት ላይ ስልጣን")</f>
        <v>ሀ. የመቅጣት ስልጣን ለ. የጎልማሳነት ሃላፊነት ሐ. ከአማልክት የተገኙ በረከቶች መ. በመሬት ላይ ስልጣን</v>
      </c>
      <c r="J50" s="5" t="str">
        <f>IFERROR(__xludf.DUMMYFUNCTION(" GOOGLETRANSLATE(D50, ""en"", ""am"")"),"ለ")</f>
        <v>ለ</v>
      </c>
      <c r="K50" s="5" t="str">
        <f>IFERROR(__xludf.DUMMYFUNCTION(" GOOGLETRANSLATE(E50, ""en"", ""am"")"),"ሰራተኞቹ ሁለቱም ተግባራዊ እና ተምሳሌታዊ ናቸው, አመራርን እና ሃላፊነትን የሚያመለክቱ ናቸው.")</f>
        <v>ሰራተኞቹ ሁለቱም ተግባራዊ እና ተምሳሌታዊ ናቸው, አመራርን እና ሃላፊነትን የሚያመለክቱ ናቸው.</v>
      </c>
    </row>
    <row r="51" ht="22.5" customHeight="1">
      <c r="A51" s="19">
        <v>50.0</v>
      </c>
      <c r="B51" s="5" t="s">
        <v>3465</v>
      </c>
      <c r="C51" s="5" t="s">
        <v>3466</v>
      </c>
      <c r="D51" s="5" t="s">
        <v>3424</v>
      </c>
      <c r="E51" s="5" t="s">
        <v>3467</v>
      </c>
      <c r="F51" s="18"/>
      <c r="G51" s="5" t="str">
        <f>IFERROR(__xludf.DUMMYFUNCTION(" GOOGLETRANSLATE(A51, ""en"", ""am"")"),"50")</f>
        <v>50</v>
      </c>
      <c r="H51" s="5" t="str">
        <f>IFERROR(__xludf.DUMMYFUNCTION(" GOOGLETRANSLATE(B51, ""en"", ""am"")"),"አንድ ወጣት የአምልኮ ሥርዓቱን ለመፈጸም ፈቃደኛ ካልሆነ ምን ይሆናል?")</f>
        <v>አንድ ወጣት የአምልኮ ሥርዓቱን ለመፈጸም ፈቃደኛ ካልሆነ ምን ይሆናል?</v>
      </c>
      <c r="I51" s="5" t="str">
        <f>IFERROR(__xludf.DUMMYFUNCTION(" GOOGLETRANSLATE(C51, ""en"", ""am"")"),"ሀ. በግዞት ነው ለ. በማህበራዊ ደረጃ ወንድ ልጅ ሆኖ ይቀራል ሐ. መቀጮ መክፈል አለበት መ. ለማግባት ተገድዷል.")</f>
        <v>ሀ. በግዞት ነው ለ. በማህበራዊ ደረጃ ወንድ ልጅ ሆኖ ይቀራል ሐ. መቀጮ መክፈል አለበት መ. ለማግባት ተገድዷል.</v>
      </c>
      <c r="J51" s="5" t="str">
        <f>IFERROR(__xludf.DUMMYFUNCTION(" GOOGLETRANSLATE(D51, ""en"", ""am"")"),"ለ")</f>
        <v>ለ</v>
      </c>
      <c r="K51" s="5" t="str">
        <f>IFERROR(__xludf.DUMMYFUNCTION(" GOOGLETRANSLATE(E51, ""en"", ""am"")"),"ያለ እሱ ማግባት ወይም እንደ ወንድ ሊታወቅ አይችልም.")</f>
        <v>ያለ እሱ ማግባት ወይም እንደ ወንድ ሊታወቅ አይችልም.</v>
      </c>
    </row>
    <row r="52" ht="22.5" customHeight="1">
      <c r="A52" s="19">
        <v>51.0</v>
      </c>
      <c r="B52" s="5" t="s">
        <v>3468</v>
      </c>
      <c r="C52" s="5" t="s">
        <v>3469</v>
      </c>
      <c r="D52" s="5" t="s">
        <v>3410</v>
      </c>
      <c r="E52" s="5" t="s">
        <v>3470</v>
      </c>
      <c r="F52" s="18"/>
      <c r="G52" s="5" t="str">
        <f>IFERROR(__xludf.DUMMYFUNCTION(" GOOGLETRANSLATE(A52, ""en"", ""am"")"),"51")</f>
        <v>51</v>
      </c>
      <c r="H52" s="5" t="str">
        <f>IFERROR(__xludf.DUMMYFUNCTION(" GOOGLETRANSLATE(B52, ""en"", ""am"")"),"በስርአቱ ወቅት ሴቶቹን የሚገርፋቸው ማነው?")</f>
        <v>በስርአቱ ወቅት ሴቶቹን የሚገርፋቸው ማነው?</v>
      </c>
      <c r="I52" s="5" t="str">
        <f>IFERROR(__xludf.DUMMYFUNCTION(" GOOGLETRANSLATE(C52, ""en"", ""am"")"),"ሀ. ሽማግሌዎች ለ. ራሱን አነሳሳው ሐ. የጀማሪ ዲ. የዘፈቀደ መንደር ነዋሪዎች ወንድ ዘመድ")</f>
        <v>ሀ. ሽማግሌዎች ለ. ራሱን አነሳሳው ሐ. የጀማሪ ዲ. የዘፈቀደ መንደር ነዋሪዎች ወንድ ዘመድ</v>
      </c>
      <c r="J52" s="5" t="str">
        <f>IFERROR(__xludf.DUMMYFUNCTION(" GOOGLETRANSLATE(D52, ""en"", ""am"")"),"ሲ")</f>
        <v>ሲ</v>
      </c>
      <c r="K52" s="5" t="str">
        <f>IFERROR(__xludf.DUMMYFUNCTION(" GOOGLETRANSLATE(E52, ""en"", ""am"")"),"የታማኝነት እና የጽናት ምሳሌያዊ ፈተና አካል ዘመዶች ሴቶችን ይገርፋሉ።")</f>
        <v>የታማኝነት እና የጽናት ምሳሌያዊ ፈተና አካል ዘመዶች ሴቶችን ይገርፋሉ።</v>
      </c>
    </row>
    <row r="53" ht="22.5" customHeight="1">
      <c r="A53" s="19">
        <v>52.0</v>
      </c>
      <c r="B53" s="5" t="s">
        <v>3471</v>
      </c>
      <c r="C53" s="5" t="s">
        <v>3472</v>
      </c>
      <c r="D53" s="5" t="s">
        <v>3424</v>
      </c>
      <c r="E53" s="5" t="s">
        <v>3473</v>
      </c>
      <c r="F53" s="18"/>
      <c r="G53" s="5" t="str">
        <f>IFERROR(__xludf.DUMMYFUNCTION(" GOOGLETRANSLATE(A53, ""en"", ""am"")"),"52")</f>
        <v>52</v>
      </c>
      <c r="H53" s="5" t="str">
        <f>IFERROR(__xludf.DUMMYFUNCTION(" GOOGLETRANSLATE(B53, ""en"", ""am"")"),"በሐማር ሴቶች ጅራፍ ለምን እንደ ክብር ታየ?")</f>
        <v>በሐማር ሴቶች ጅራፍ ለምን እንደ ክብር ታየ?</v>
      </c>
      <c r="I53" s="5" t="str">
        <f>IFERROR(__xludf.DUMMYFUNCTION(" GOOGLETRANSLATE(C53, ""en"", ""am"")"),"ሀ/ ሀብታም ያደርጋቸዋል።")</f>
        <v>ሀ/ ሀብታም ያደርጋቸዋል።</v>
      </c>
      <c r="J53" s="5" t="str">
        <f>IFERROR(__xludf.DUMMYFUNCTION(" GOOGLETRANSLATE(D53, ""en"", ""am"")"),"ለ")</f>
        <v>ለ</v>
      </c>
      <c r="K53" s="5" t="str">
        <f>IFERROR(__xludf.DUMMYFUNCTION(" GOOGLETRANSLATE(E53, ""en"", ""am"")"),"ሴቶች ለወንድሞቻቸው እና ለቤተሰባቸው ታማኝነታቸውን የሚያሳይ ጠባሳ ይመለከቷቸዋል.")</f>
        <v>ሴቶች ለወንድሞቻቸው እና ለቤተሰባቸው ታማኝነታቸውን የሚያሳይ ጠባሳ ይመለከቷቸዋል.</v>
      </c>
    </row>
    <row r="54" ht="22.5" customHeight="1">
      <c r="A54" s="19">
        <v>53.0</v>
      </c>
      <c r="B54" s="5" t="s">
        <v>3474</v>
      </c>
      <c r="C54" s="5" t="s">
        <v>3475</v>
      </c>
      <c r="D54" s="5" t="s">
        <v>3424</v>
      </c>
      <c r="E54" s="5" t="s">
        <v>3476</v>
      </c>
      <c r="F54" s="18"/>
      <c r="G54" s="5" t="str">
        <f>IFERROR(__xludf.DUMMYFUNCTION(" GOOGLETRANSLATE(A54, ""en"", ""am"")"),"53")</f>
        <v>53</v>
      </c>
      <c r="H54" s="5" t="str">
        <f>IFERROR(__xludf.DUMMYFUNCTION(" GOOGLETRANSLATE(B54, ""en"", ""am"")"),"የላም ዝላይ ስርዓት በብዛት የሚከበረው በየትኛው የኢትዮጵያ ክልል ነው?")</f>
        <v>የላም ዝላይ ስርዓት በብዛት የሚከበረው በየትኛው የኢትዮጵያ ክልል ነው?</v>
      </c>
      <c r="I54" s="5" t="str">
        <f>IFERROR(__xludf.DUMMYFUNCTION(" GOOGLETRANSLATE(C54, ""en"", ""am"")"),"ሀ. ሰሜናዊ ደጋማ ለ. የኦሞ ሸለቆ (ደቡብ ምዕራብ) ሐ. ምስራቃዊ በረሃ D. አዲስ አበባ ክልል")</f>
        <v>ሀ. ሰሜናዊ ደጋማ ለ. የኦሞ ሸለቆ (ደቡብ ምዕራብ) ሐ. ምስራቃዊ በረሃ D. አዲስ አበባ ክልል</v>
      </c>
      <c r="J54" s="5" t="str">
        <f>IFERROR(__xludf.DUMMYFUNCTION(" GOOGLETRANSLATE(D54, ""en"", ""am"")"),"ለ")</f>
        <v>ለ</v>
      </c>
      <c r="K54" s="5" t="str">
        <f>IFERROR(__xludf.DUMMYFUNCTION(" GOOGLETRANSLATE(E54, ""en"", ""am"")"),"የኦሞ ሸለቆ የሀማሮች የባህል እምብርት እና ወጋቸው ነው።")</f>
        <v>የኦሞ ሸለቆ የሀማሮች የባህል እምብርት እና ወጋቸው ነው።</v>
      </c>
    </row>
    <row r="55" ht="22.5" customHeight="1">
      <c r="A55" s="19">
        <v>54.0</v>
      </c>
      <c r="B55" s="5" t="s">
        <v>3477</v>
      </c>
      <c r="C55" s="5" t="s">
        <v>3478</v>
      </c>
      <c r="D55" s="5" t="s">
        <v>3417</v>
      </c>
      <c r="E55" s="5" t="s">
        <v>3479</v>
      </c>
      <c r="F55" s="18"/>
      <c r="G55" s="5" t="str">
        <f>IFERROR(__xludf.DUMMYFUNCTION(" GOOGLETRANSLATE(A55, ""en"", ""am"")"),"54")</f>
        <v>54</v>
      </c>
      <c r="H55" s="5" t="str">
        <f>IFERROR(__xludf.DUMMYFUNCTION(" GOOGLETRANSLATE(B55, ""en"", ""am"")"),"በሬዎችን ከመዝለል በፊት የመባረክ ስልጣን ያለው ማነው?")</f>
        <v>በሬዎችን ከመዝለል በፊት የመባረክ ስልጣን ያለው ማነው?</v>
      </c>
      <c r="I55" s="5" t="str">
        <f>IFERROR(__xludf.DUMMYFUNCTION(" GOOGLETRANSLATE(C55, ""en"", ""am"")"),"ሀ. የመንደሩ ቄስ ለ. የልጁ አባት ሐ. የሴቶች ዘመዶች ዲ. የጎሳ ሽማግሌዎች")</f>
        <v>ሀ. የመንደሩ ቄስ ለ. የልጁ አባት ሐ. የሴቶች ዘመዶች ዲ. የጎሳ ሽማግሌዎች</v>
      </c>
      <c r="J55" s="5" t="str">
        <f>IFERROR(__xludf.DUMMYFUNCTION(" GOOGLETRANSLATE(D55, ""en"", ""am"")"),"ዲ")</f>
        <v>ዲ</v>
      </c>
      <c r="K55" s="5" t="str">
        <f>IFERROR(__xludf.DUMMYFUNCTION(" GOOGLETRANSLATE(E55, ""en"", ""am"")"),"ሽማግሌዎች የአምልኮ ሥርዓቱን ቅድመ አያቶች ማፅደቃቸውን በማረጋገጥ ወይፈኖችን ይባርካሉ።")</f>
        <v>ሽማግሌዎች የአምልኮ ሥርዓቱን ቅድመ አያቶች ማፅደቃቸውን በማረጋገጥ ወይፈኖችን ይባርካሉ።</v>
      </c>
    </row>
    <row r="56" ht="22.5" customHeight="1">
      <c r="A56" s="19">
        <v>55.0</v>
      </c>
      <c r="B56" s="5" t="s">
        <v>3480</v>
      </c>
      <c r="C56" s="5" t="s">
        <v>3481</v>
      </c>
      <c r="D56" s="5" t="s">
        <v>3406</v>
      </c>
      <c r="E56" s="5" t="s">
        <v>3482</v>
      </c>
      <c r="F56" s="18"/>
      <c r="G56" s="5" t="str">
        <f>IFERROR(__xludf.DUMMYFUNCTION(" GOOGLETRANSLATE(A56, ""en"", ""am"")"),"55")</f>
        <v>55</v>
      </c>
      <c r="H56" s="5" t="str">
        <f>IFERROR(__xludf.DUMMYFUNCTION(" GOOGLETRANSLATE(B56, ""en"", ""am"")"),"አንትሮፖሎጂስቶች የላም መዝለል ሥነ ሥርዓት ምን ይሉታል?")</f>
        <v>አንትሮፖሎጂስቶች የላም መዝለል ሥነ ሥርዓት ምን ይሉታል?</v>
      </c>
      <c r="I56" s="5" t="str">
        <f>IFERROR(__xludf.DUMMYFUNCTION(" GOOGLETRANSLATE(C56, ""en"", ""am"")"),"ሀ. የሥርዓት ሥርዓት ለ. የአርብቶ አደርነት ሥልጠና ሐ. የጀግንነት ሙከራ ዲ. የበሬ ሥነ ሥርዓት")</f>
        <v>ሀ. የሥርዓት ሥርዓት ለ. የአርብቶ አደርነት ሥልጠና ሐ. የጀግንነት ሙከራ ዲ. የበሬ ሥነ ሥርዓት</v>
      </c>
      <c r="J56" s="5" t="str">
        <f>IFERROR(__xludf.DUMMYFUNCTION(" GOOGLETRANSLATE(D56, ""en"", ""am"")"),"ሀ")</f>
        <v>ሀ</v>
      </c>
      <c r="K56" s="5" t="str">
        <f>IFERROR(__xludf.DUMMYFUNCTION(" GOOGLETRANSLATE(E56, ""en"", ""am"")"),"ወጣቱን ወደ ወንድነት የሚሸጋገር ጥንታዊ የአምልኮ ሥርዓት ነው።")</f>
        <v>ወጣቱን ወደ ወንድነት የሚሸጋገር ጥንታዊ የአምልኮ ሥርዓት ነው።</v>
      </c>
    </row>
    <row r="57" ht="22.5" customHeight="1">
      <c r="A57" s="19">
        <v>56.0</v>
      </c>
      <c r="B57" s="5" t="s">
        <v>3483</v>
      </c>
      <c r="C57" s="5" t="s">
        <v>3484</v>
      </c>
      <c r="D57" s="5" t="s">
        <v>3417</v>
      </c>
      <c r="E57" s="5" t="s">
        <v>3485</v>
      </c>
      <c r="F57" s="18"/>
      <c r="G57" s="5" t="str">
        <f>IFERROR(__xludf.DUMMYFUNCTION(" GOOGLETRANSLATE(A57, ""en"", ""am"")"),"56")</f>
        <v>56</v>
      </c>
      <c r="H57" s="5" t="str">
        <f>IFERROR(__xludf.DUMMYFUNCTION(" GOOGLETRANSLATE(B57, ""en"", ""am"")"),"በክብረ በዓሉ ወቅት ልጁ ምን እንዲለብስ ይጠበቃል?")</f>
        <v>በክብረ በዓሉ ወቅት ልጁ ምን እንዲለብስ ይጠበቃል?</v>
      </c>
      <c r="I57" s="5" t="str">
        <f>IFERROR(__xludf.DUMMYFUNCTION(" GOOGLETRANSLATE(C57, ""en"", ""am"")"),"ሀ. ባህላዊ የእንስሳት ቆዳ መሸፈኛ ለ. ተዋጊ ትጥቅ ሐ. ቀለም የተቀቡ የሰውነት ንድፎች መ. ምንም የለም")</f>
        <v>ሀ. ባህላዊ የእንስሳት ቆዳ መሸፈኛ ለ. ተዋጊ ትጥቅ ሐ. ቀለም የተቀቡ የሰውነት ንድፎች መ. ምንም የለም</v>
      </c>
      <c r="J57" s="5" t="str">
        <f>IFERROR(__xludf.DUMMYFUNCTION(" GOOGLETRANSLATE(D57, ""en"", ""am"")"),"ዲ")</f>
        <v>ዲ</v>
      </c>
      <c r="K57" s="5" t="str">
        <f>IFERROR(__xludf.DUMMYFUNCTION(" GOOGLETRANSLATE(E57, ""en"", ""am"")"),"ብዙውን ጊዜ የአምልኮ ሥርዓቱን እርቃን ያከናውናል, ንጽህናን እና ትህትናን ያመለክታል.")</f>
        <v>ብዙውን ጊዜ የአምልኮ ሥርዓቱን እርቃን ያከናውናል, ንጽህናን እና ትህትናን ያመለክታል.</v>
      </c>
    </row>
    <row r="58" ht="22.5" customHeight="1">
      <c r="A58" s="19">
        <v>57.0</v>
      </c>
      <c r="B58" s="5" t="s">
        <v>3486</v>
      </c>
      <c r="C58" s="5" t="s">
        <v>3487</v>
      </c>
      <c r="D58" s="5" t="s">
        <v>3424</v>
      </c>
      <c r="E58" s="5" t="s">
        <v>3488</v>
      </c>
      <c r="F58" s="18"/>
      <c r="G58" s="5" t="str">
        <f>IFERROR(__xludf.DUMMYFUNCTION(" GOOGLETRANSLATE(A58, ""en"", ""am"")"),"57")</f>
        <v>57</v>
      </c>
      <c r="H58" s="5" t="str">
        <f>IFERROR(__xludf.DUMMYFUNCTION(" GOOGLETRANSLATE(B58, ""en"", ""am"")"),"በዝግጅቱ ወቅት በጣም የሚዘምረው የትኛው የሴቶች ቡድን ነው?")</f>
        <v>በዝግጅቱ ወቅት በጣም የሚዘምረው የትኛው የሴቶች ቡድን ነው?</v>
      </c>
      <c r="I58" s="5" t="str">
        <f>IFERROR(__xludf.DUMMYFUNCTION(" GOOGLETRANSLATE(C58, ""en"", ""am"")"),"ሀ. እናቶች ለ. እህቶች ሐ. የሴት የአጎት ልጆች D. ሁሉም ዘመዶች")</f>
        <v>ሀ. እናቶች ለ. እህቶች ሐ. የሴት የአጎት ልጆች D. ሁሉም ዘመዶች</v>
      </c>
      <c r="J58" s="5" t="str">
        <f>IFERROR(__xludf.DUMMYFUNCTION(" GOOGLETRANSLATE(D58, ""en"", ""am"")"),"ለ")</f>
        <v>ለ</v>
      </c>
      <c r="K58" s="5" t="str">
        <f>IFERROR(__xludf.DUMMYFUNCTION(" GOOGLETRANSLATE(E58, ""en"", ""am"")"),"እህቶች ወንድማቸው ወደ ጉልምስና መሸጋገሩን በማክበር ልዩ ኩራት ይሰማቸዋል።")</f>
        <v>እህቶች ወንድማቸው ወደ ጉልምስና መሸጋገሩን በማክበር ልዩ ኩራት ይሰማቸዋል።</v>
      </c>
    </row>
    <row r="59" ht="22.5" customHeight="1">
      <c r="A59" s="19">
        <v>58.0</v>
      </c>
      <c r="B59" s="5" t="s">
        <v>3489</v>
      </c>
      <c r="C59" s="5" t="s">
        <v>3490</v>
      </c>
      <c r="D59" s="5" t="s">
        <v>3410</v>
      </c>
      <c r="E59" s="5" t="s">
        <v>3491</v>
      </c>
      <c r="F59" s="18"/>
      <c r="G59" s="5" t="str">
        <f>IFERROR(__xludf.DUMMYFUNCTION(" GOOGLETRANSLATE(A59, ""en"", ""am"")"),"58")</f>
        <v>58</v>
      </c>
      <c r="H59" s="5" t="str">
        <f>IFERROR(__xludf.DUMMYFUNCTION(" GOOGLETRANSLATE(B59, ""en"", ""am"")"),"ሴቶች ለምን የጅራፍ ጠባሳ ይጋበዛሉ?")</f>
        <v>ሴቶች ለምን የጅራፍ ጠባሳ ይጋበዛሉ?</v>
      </c>
      <c r="I59" s="5" t="str">
        <f>IFERROR(__xludf.DUMMYFUNCTION(" GOOGLETRANSLATE(C59, ""en"", ""am"")"),"ሀ. ከወንዶች ጋር መወዳደር ለ.በኋላ ከወንድሞች ከብቶችን መጠየቅ ሐ.ታማኝነትን ለማሳየት እና የወደፊት ድጋፍን ለማግኘት መ.የጋብቻ ጥሎቻቸውን ለመቀነስ.")</f>
        <v>ሀ. ከወንዶች ጋር መወዳደር ለ.በኋላ ከወንድሞች ከብቶችን መጠየቅ ሐ.ታማኝነትን ለማሳየት እና የወደፊት ድጋፍን ለማግኘት መ.የጋብቻ ጥሎቻቸውን ለመቀነስ.</v>
      </c>
      <c r="J59" s="5" t="str">
        <f>IFERROR(__xludf.DUMMYFUNCTION(" GOOGLETRANSLATE(D59, ""en"", ""am"")"),"ሲ")</f>
        <v>ሲ</v>
      </c>
      <c r="K59" s="5" t="str">
        <f>IFERROR(__xludf.DUMMYFUNCTION(" GOOGLETRANSLATE(E59, ""en"", ""am"")"),"ወንድሞች በኋላ ለታማኝ እህቶች በችግር ጊዜ በእርዳታ እና በገንዘብ ይሸልሙ።")</f>
        <v>ወንድሞች በኋላ ለታማኝ እህቶች በችግር ጊዜ በእርዳታ እና በገንዘብ ይሸልሙ።</v>
      </c>
    </row>
    <row r="60" ht="22.5" customHeight="1">
      <c r="A60" s="19">
        <v>59.0</v>
      </c>
      <c r="B60" s="5" t="s">
        <v>3492</v>
      </c>
      <c r="C60" s="5" t="s">
        <v>3493</v>
      </c>
      <c r="D60" s="5" t="s">
        <v>3424</v>
      </c>
      <c r="E60" s="5" t="s">
        <v>3494</v>
      </c>
      <c r="F60" s="18"/>
      <c r="G60" s="5" t="str">
        <f>IFERROR(__xludf.DUMMYFUNCTION(" GOOGLETRANSLATE(A60, ""en"", ""am"")"),"59")</f>
        <v>59</v>
      </c>
      <c r="H60" s="5" t="str">
        <f>IFERROR(__xludf.DUMMYFUNCTION(" GOOGLETRANSLATE(B60, ""en"", ""am"")"),"ለምንድነው የበሬዎች ጀርባ ከመዝለሉ በፊት የሚቀባው?")</f>
        <v>ለምንድነው የበሬዎች ጀርባ ከመዝለሉ በፊት የሚቀባው?</v>
      </c>
      <c r="I60" s="5" t="str">
        <f>IFERROR(__xludf.DUMMYFUNCTION(" GOOGLETRANSLATE(C60, ""en"", ""am"")"),"ሀ. ባለቤትነትን ምልክት ለማድረግ ለ. መዝለልን የበለጠ ከባድ ማድረግ ሐ. እነሱን መበከል መ. መናፍስትን መሳብ")</f>
        <v>ሀ. ባለቤትነትን ምልክት ለማድረግ ለ. መዝለልን የበለጠ ከባድ ማድረግ ሐ. እነሱን መበከል መ. መናፍስትን መሳብ</v>
      </c>
      <c r="J60" s="5" t="str">
        <f>IFERROR(__xludf.DUMMYFUNCTION(" GOOGLETRANSLATE(D60, ""en"", ""am"")"),"ለ")</f>
        <v>ለ</v>
      </c>
      <c r="K60" s="5" t="str">
        <f>IFERROR(__xludf.DUMMYFUNCTION(" GOOGLETRANSLATE(E60, ""en"", ""am"")"),"ችግርን ይጨምራል, እውነተኛ ድፍረትን እና ሚዛንን ያረጋግጣል.")</f>
        <v>ችግርን ይጨምራል, እውነተኛ ድፍረትን እና ሚዛንን ያረጋግጣል.</v>
      </c>
    </row>
    <row r="61" ht="22.5" customHeight="1">
      <c r="A61" s="19">
        <v>60.0</v>
      </c>
      <c r="B61" s="5" t="s">
        <v>3495</v>
      </c>
      <c r="C61" s="5" t="s">
        <v>3496</v>
      </c>
      <c r="D61" s="5" t="s">
        <v>3424</v>
      </c>
      <c r="E61" s="5" t="s">
        <v>3497</v>
      </c>
      <c r="F61" s="18"/>
      <c r="G61" s="5" t="str">
        <f>IFERROR(__xludf.DUMMYFUNCTION(" GOOGLETRANSLATE(A61, ""en"", ""am"")"),"60")</f>
        <v>60</v>
      </c>
      <c r="H61" s="5" t="str">
        <f>IFERROR(__xludf.DUMMYFUNCTION(" GOOGLETRANSLATE(B61, ""en"", ""am"")"),"አንድ ወንድ ልጅ ከአራት ይልቅ ሶስት ጊዜ ብቻ ቢሮጥ ምን ይሆናል?")</f>
        <v>አንድ ወንድ ልጅ ከአራት ይልቅ ሶስት ጊዜ ብቻ ቢሮጥ ምን ይሆናል?</v>
      </c>
      <c r="I61" s="5" t="str">
        <f>IFERROR(__xludf.DUMMYFUNCTION(" GOOGLETRANSLATE(C61, ""en"", ""am"")"),"ሀ. በትንሽ ክብር ያልፋል ለ. ስርአቱ ልክ ያልሆነ ነው ሐ. ይቀጣል መ. ጋብቻን መዝለል ይችላል")</f>
        <v>ሀ. በትንሽ ክብር ያልፋል ለ. ስርአቱ ልክ ያልሆነ ነው ሐ. ይቀጣል መ. ጋብቻን መዝለል ይችላል</v>
      </c>
      <c r="J61" s="5" t="str">
        <f>IFERROR(__xludf.DUMMYFUNCTION(" GOOGLETRANSLATE(D61, ""en"", ""am"")"),"ለ")</f>
        <v>ለ</v>
      </c>
      <c r="K61" s="5" t="str">
        <f>IFERROR(__xludf.DUMMYFUNCTION(" GOOGLETRANSLATE(E61, ""en"", ""am"")"),"ሙሉ ተቀባይነት ለማግኘት አራት ሩጫዎች አስገዳጅ ናቸው.")</f>
        <v>ሙሉ ተቀባይነት ለማግኘት አራት ሩጫዎች አስገዳጅ ናቸው.</v>
      </c>
    </row>
    <row r="62" ht="22.5" customHeight="1">
      <c r="A62" s="19">
        <v>61.0</v>
      </c>
      <c r="B62" s="5" t="s">
        <v>3498</v>
      </c>
      <c r="C62" s="5" t="s">
        <v>3499</v>
      </c>
      <c r="D62" s="5" t="s">
        <v>3500</v>
      </c>
      <c r="E62" s="5" t="s">
        <v>3501</v>
      </c>
      <c r="F62" s="18"/>
      <c r="G62" s="5" t="str">
        <f>IFERROR(__xludf.DUMMYFUNCTION(" GOOGLETRANSLATE(A62, ""en"", ""am"")"),"61")</f>
        <v>61</v>
      </c>
      <c r="H62" s="5" t="str">
        <f>IFERROR(__xludf.DUMMYFUNCTION(" GOOGLETRANSLATE(B62, ""en"", ""am"")"),"የአምልኮ ሥርዓቱ በዓላት በዋነኝነት የሚደገፉት በ:")</f>
        <v>የአምልኮ ሥርዓቱ በዓላት በዋነኝነት የሚደገፉት በ:</v>
      </c>
      <c r="I62" s="5" t="str">
        <f>IFERROR(__xludf.DUMMYFUNCTION(" GOOGLETRANSLATE(C62, ""en"", ""am"")"),"ሀ. መንግስት ለ. የጀማሪ ቤተሰብ ሐ. የመላው መንደር D. አጎራባች ጎሳዎች")</f>
        <v>ሀ. መንግስት ለ. የጀማሪ ቤተሰብ ሐ. የመላው መንደር D. አጎራባች ጎሳዎች</v>
      </c>
      <c r="J62" s="5" t="str">
        <f>IFERROR(__xludf.DUMMYFUNCTION(" GOOGLETRANSLATE(D62, ""en"", ""am"")"),"ለ) ቤተሰብ አስነሳ")</f>
        <v>ለ) ቤተሰብ አስነሳ</v>
      </c>
      <c r="K62" s="5" t="str">
        <f>IFERROR(__xludf.DUMMYFUNCTION(" GOOGLETRANSLATE(E62, ""en"", ""am"")"),"የልጁ ቤተሰብ ድግሱን ያስተናግዳል, ልግስና እና አንድነት ያሳያሉ.")</f>
        <v>የልጁ ቤተሰብ ድግሱን ያስተናግዳል, ልግስና እና አንድነት ያሳያሉ.</v>
      </c>
    </row>
    <row r="63" ht="22.5" customHeight="1">
      <c r="A63" s="19">
        <v>62.0</v>
      </c>
      <c r="B63" s="5" t="s">
        <v>3502</v>
      </c>
      <c r="C63" s="5" t="s">
        <v>3503</v>
      </c>
      <c r="D63" s="5" t="s">
        <v>3378</v>
      </c>
      <c r="E63" s="5" t="s">
        <v>3504</v>
      </c>
      <c r="F63" s="18"/>
      <c r="G63" s="5" t="str">
        <f>IFERROR(__xludf.DUMMYFUNCTION(" GOOGLETRANSLATE(A63, ""en"", ""am"")"),"62")</f>
        <v>62</v>
      </c>
      <c r="H63" s="5" t="str">
        <f>IFERROR(__xludf.DUMMYFUNCTION(" GOOGLETRANSLATE(B63, ""en"", ""am"")"),"የጎብኝዎች ቱሪስቶች ብዙውን ጊዜ ስለ ሥነ ሥርዓቱ ምን ይሳሳታሉ?")</f>
        <v>የጎብኝዎች ቱሪስቶች ብዙውን ጊዜ ስለ ሥነ ሥርዓቱ ምን ይሳሳታሉ?</v>
      </c>
      <c r="I63" s="5" t="str">
        <f>IFERROR(__xludf.DUMMYFUNCTION(" GOOGLETRANSLATE(C63, ""en"", ""am"")"),"ሀ. ለመዝናናት የሚደረግ ስፖርት መሆኑን ለ. ከብቶች መገደላቸው ሐ. በወንዶች ልጆች ላይ መገደሉ D. ሁሉም ከላይ ያሉት")</f>
        <v>ሀ. ለመዝናናት የሚደረግ ስፖርት መሆኑን ለ. ከብቶች መገደላቸው ሐ. በወንዶች ልጆች ላይ መገደሉ D. ሁሉም ከላይ ያሉት</v>
      </c>
      <c r="J63" s="5" t="str">
        <f>IFERROR(__xludf.DUMMYFUNCTION(" GOOGLETRANSLATE(D63, ""en"", ""am"")"),"መ) ከላይ ያሉት ሁሉም")</f>
        <v>መ) ከላይ ያሉት ሁሉም</v>
      </c>
      <c r="K63" s="5" t="str">
        <f>IFERROR(__xludf.DUMMYFUNCTION(" GOOGLETRANSLATE(E63, ""en"", ""am"")"),"የውጪ ሰዎች በተሳሳተ መንገድ ተርጉመውታል, ነገር ግን የአካባቢው ሰዎች እንደ ቅዱስ ባህል አድርገው ይመለከቱታል.")</f>
        <v>የውጪ ሰዎች በተሳሳተ መንገድ ተርጉመውታል, ነገር ግን የአካባቢው ሰዎች እንደ ቅዱስ ባህል አድርገው ይመለከቱታል.</v>
      </c>
    </row>
    <row r="64" ht="22.5" customHeight="1">
      <c r="A64" s="19">
        <v>63.0</v>
      </c>
      <c r="B64" s="5" t="s">
        <v>3505</v>
      </c>
      <c r="C64" s="5" t="s">
        <v>3506</v>
      </c>
      <c r="D64" s="5" t="s">
        <v>3378</v>
      </c>
      <c r="E64" s="5" t="s">
        <v>3507</v>
      </c>
      <c r="F64" s="18"/>
      <c r="G64" s="5" t="str">
        <f>IFERROR(__xludf.DUMMYFUNCTION(" GOOGLETRANSLATE(A64, ""en"", ""am"")"),"63")</f>
        <v>63</v>
      </c>
      <c r="H64" s="5" t="str">
        <f>IFERROR(__xludf.DUMMYFUNCTION(" GOOGLETRANSLATE(B64, ""en"", ""am"")"),"ልጁ በሬዎች ላይ ሲሮጥ ምን መራቅ አለበት?")</f>
        <v>ልጁ በሬዎች ላይ ሲሮጥ ምን መራቅ አለበት?</v>
      </c>
      <c r="I64" s="5" t="str">
        <f>IFERROR(__xludf.DUMMYFUNCTION(" GOOGLETRANSLATE(C64, ""en"", ""am"")"),"ሀ. ወደታች መመልከት ለ. ለአፍታ ማቆም ሐ. መውደቅ መ. ከላይ ያሉት ሁሉም")</f>
        <v>ሀ. ወደታች መመልከት ለ. ለአፍታ ማቆም ሐ. መውደቅ መ. ከላይ ያሉት ሁሉም</v>
      </c>
      <c r="J64" s="5" t="str">
        <f>IFERROR(__xludf.DUMMYFUNCTION(" GOOGLETRANSLATE(D64, ""en"", ""am"")"),"መ) ከላይ ያሉት ሁሉም")</f>
        <v>መ) ከላይ ያሉት ሁሉም</v>
      </c>
      <c r="K64" s="5" t="str">
        <f>IFERROR(__xludf.DUMMYFUNCTION(" GOOGLETRANSLATE(E64, ""en"", ""am"")"),"ያለምንም ማመንታት በፍጥነት እና በተረጋጋ ሁኔታ መሮጥ አለበት።")</f>
        <v>ያለምንም ማመንታት በፍጥነት እና በተረጋጋ ሁኔታ መሮጥ አለበት።</v>
      </c>
    </row>
    <row r="65" ht="22.5" customHeight="1">
      <c r="A65" s="19">
        <v>64.0</v>
      </c>
      <c r="B65" s="5" t="s">
        <v>3508</v>
      </c>
      <c r="C65" s="5" t="s">
        <v>3509</v>
      </c>
      <c r="D65" s="5" t="s">
        <v>3510</v>
      </c>
      <c r="E65" s="5" t="s">
        <v>3511</v>
      </c>
      <c r="F65" s="18"/>
      <c r="G65" s="5" t="str">
        <f>IFERROR(__xludf.DUMMYFUNCTION(" GOOGLETRANSLATE(A65, ""en"", ""am"")"),"64")</f>
        <v>64</v>
      </c>
      <c r="H65" s="5" t="str">
        <f>IFERROR(__xludf.DUMMYFUNCTION(" GOOGLETRANSLATE(B65, ""en"", ""am"")"),"በምሳሌያዊ ሁኔታ ከላም ዝላይ ጋር የተገናኘው የትኛው የተፈጥሮ አካል ነው?")</f>
        <v>በምሳሌያዊ ሁኔታ ከላም ዝላይ ጋር የተገናኘው የትኛው የተፈጥሮ አካል ነው?</v>
      </c>
      <c r="I65" s="5" t="str">
        <f>IFERROR(__xludf.DUMMYFUNCTION(" GOOGLETRANSLATE(C65, ""en"", ""am"")"),"ሀ.እሳት ቢ. ዝናብ ሐ.ፀሃይ ዲ.ምድር")</f>
        <v>ሀ.እሳት ቢ. ዝናብ ሐ.ፀሃይ ዲ.ምድር</v>
      </c>
      <c r="J65" s="5" t="str">
        <f>IFERROR(__xludf.DUMMYFUNCTION(" GOOGLETRANSLATE(D65, ""en"", ""am"")"),"መ) ምድር")</f>
        <v>መ) ምድር</v>
      </c>
      <c r="K65" s="5" t="str">
        <f>IFERROR(__xludf.DUMMYFUNCTION(" GOOGLETRANSLATE(E65, ""en"", ""am"")"),"ሥነ ሥርዓቱ ከመሬት፣ ከብት እና ከማኅበረሰብ ብልጽግና ለምነት ጋር የተያያዘ ነው።")</f>
        <v>ሥነ ሥርዓቱ ከመሬት፣ ከብት እና ከማኅበረሰብ ብልጽግና ለምነት ጋር የተያያዘ ነው።</v>
      </c>
    </row>
    <row r="66" ht="22.5" customHeight="1">
      <c r="A66" s="19">
        <v>65.0</v>
      </c>
      <c r="B66" s="5" t="s">
        <v>3512</v>
      </c>
      <c r="C66" s="5" t="s">
        <v>3513</v>
      </c>
      <c r="D66" s="5" t="s">
        <v>3514</v>
      </c>
      <c r="E66" s="5" t="s">
        <v>3515</v>
      </c>
      <c r="F66" s="18"/>
      <c r="G66" s="5" t="str">
        <f>IFERROR(__xludf.DUMMYFUNCTION(" GOOGLETRANSLATE(A66, ""en"", ""am"")"),"65")</f>
        <v>65</v>
      </c>
      <c r="H66" s="5" t="str">
        <f>IFERROR(__xludf.DUMMYFUNCTION(" GOOGLETRANSLATE(B66, ""en"", ""am"")"),"በአምልኮ ሥርዓቱ ወቅት እርቃንነት ለምን አስፈላጊ ነው?")</f>
        <v>በአምልኮ ሥርዓቱ ወቅት እርቃንነት ለምን አስፈላጊ ነው?</v>
      </c>
      <c r="I66" s="5" t="str">
        <f>IFERROR(__xludf.DUMMYFUNCTION(" GOOGLETRANSLATE(C66, ""en"", ""am"")"),"ሀ. ያለ ጥበቃ ድፍረትን ያሳያል B. ልብስ እንዳይንሸራተቱ ይከላከላል C. የሰውነት ጥንካሬን ያሳያል D. የአያት ባህል ነው.")</f>
        <v>ሀ. ያለ ጥበቃ ድፍረትን ያሳያል B. ልብስ እንዳይንሸራተቱ ይከላከላል C. የሰውነት ጥንካሬን ያሳያል D. የአያት ባህል ነው.</v>
      </c>
      <c r="J66" s="5" t="str">
        <f>IFERROR(__xludf.DUMMYFUNCTION(" GOOGLETRANSLATE(D66, ""en"", ""am"")"),"ሀ) ያለ ጥበቃ ድፍረትን ያሳያል")</f>
        <v>ሀ) ያለ ጥበቃ ድፍረትን ያሳያል</v>
      </c>
      <c r="K66" s="5" t="str">
        <f>IFERROR(__xludf.DUMMYFUNCTION(" GOOGLETRANSLATE(E66, ""en"", ""am"")"),"እርቃንነት ትህትናን፣ ጀግንነትን እና ታማኝነትን ያሳያል።")</f>
        <v>እርቃንነት ትህትናን፣ ጀግንነትን እና ታማኝነትን ያሳያል።</v>
      </c>
    </row>
    <row r="67" ht="22.5" customHeight="1">
      <c r="A67" s="19">
        <v>66.0</v>
      </c>
      <c r="B67" s="5" t="s">
        <v>3516</v>
      </c>
      <c r="C67" s="5" t="s">
        <v>3517</v>
      </c>
      <c r="D67" s="5" t="s">
        <v>3518</v>
      </c>
      <c r="E67" s="5" t="s">
        <v>3519</v>
      </c>
      <c r="F67" s="18"/>
      <c r="G67" s="5" t="str">
        <f>IFERROR(__xludf.DUMMYFUNCTION(" GOOGLETRANSLATE(A67, ""en"", ""am"")"),"66")</f>
        <v>66</v>
      </c>
      <c r="H67" s="5" t="str">
        <f>IFERROR(__xludf.DUMMYFUNCTION(" GOOGLETRANSLATE(B67, ""en"", ""am"")"),"በክብረ በዓሉ ወቅት ትናንሽ ልጆች ሚና ምንድን ነው?")</f>
        <v>በክብረ በዓሉ ወቅት ትናንሽ ልጆች ሚና ምንድን ነው?</v>
      </c>
      <c r="I67" s="5" t="str">
        <f>IFERROR(__xludf.DUMMYFUNCTION(" GOOGLETRANSLATE(C67, ""en"", ""am"")"),"ሀ. ተመልካቾች ናቸው ለ. ከብት እንዲይዙ ይረዳሉ C. የልጆች መዝሙር ይዘምራሉ D. ዳንስ ያደርጋሉ")</f>
        <v>ሀ. ተመልካቾች ናቸው ለ. ከብት እንዲይዙ ይረዳሉ C. የልጆች መዝሙር ይዘምራሉ D. ዳንስ ያደርጋሉ</v>
      </c>
      <c r="J67" s="5" t="str">
        <f>IFERROR(__xludf.DUMMYFUNCTION(" GOOGLETRANSLATE(D67, ""en"", ""am"")"),"ሀ) ተመልካቾች ናቸው።")</f>
        <v>ሀ) ተመልካቾች ናቸው።</v>
      </c>
      <c r="K67" s="5" t="str">
        <f>IFERROR(__xludf.DUMMYFUNCTION(" GOOGLETRANSLATE(E67, ""en"", ""am"")"),"ትናንሽ ልጆች ለወደፊታቸው ወግ ለመማር ይመለከታሉ።")</f>
        <v>ትናንሽ ልጆች ለወደፊታቸው ወግ ለመማር ይመለከታሉ።</v>
      </c>
    </row>
    <row r="68" ht="22.5" customHeight="1">
      <c r="A68" s="19">
        <v>67.0</v>
      </c>
      <c r="B68" s="5" t="s">
        <v>3520</v>
      </c>
      <c r="C68" s="5" t="s">
        <v>3521</v>
      </c>
      <c r="D68" s="5" t="s">
        <v>3522</v>
      </c>
      <c r="E68" s="5" t="s">
        <v>3523</v>
      </c>
      <c r="F68" s="18"/>
      <c r="G68" s="5" t="str">
        <f>IFERROR(__xludf.DUMMYFUNCTION(" GOOGLETRANSLATE(A68, ""en"", ""am"")"),"67")</f>
        <v>67</v>
      </c>
      <c r="H68" s="5" t="str">
        <f>IFERROR(__xludf.DUMMYFUNCTION(" GOOGLETRANSLATE(B68, ""en"", ""am"")"),"ሽማግሌዎች ለልጁ ምን በረከት ይሰጣሉ?")</f>
        <v>ሽማግሌዎች ለልጁ ምን በረከት ይሰጣሉ?</v>
      </c>
      <c r="I68" s="5" t="str">
        <f>IFERROR(__xludf.DUMMYFUNCTION(" GOOGLETRANSLATE(C68, ""en"", ""am"")"),"A. Milk B. A Stan C. የአንገት ሐብል D. የቢራ ጎመን")</f>
        <v>A. Milk B. A Stan C. የአንገት ሐብል D. የቢራ ጎመን</v>
      </c>
      <c r="J68" s="5" t="str">
        <f>IFERROR(__xludf.DUMMYFUNCTION(" GOOGLETRANSLATE(D68, ""en"", ""am"")"),"ለ) ሰራተኛ")</f>
        <v>ለ) ሰራተኛ</v>
      </c>
      <c r="K68" s="5" t="str">
        <f>IFERROR(__xludf.DUMMYFUNCTION(" GOOGLETRANSLATE(E68, ""en"", ""am"")"),"ሰራተኞቹ የወንድነት እና የኃላፊነት የመጨረሻ ምልክት ናቸው.")</f>
        <v>ሰራተኞቹ የወንድነት እና የኃላፊነት የመጨረሻ ምልክት ናቸው.</v>
      </c>
    </row>
    <row r="69" ht="22.5" customHeight="1">
      <c r="A69" s="19">
        <v>68.0</v>
      </c>
      <c r="B69" s="5" t="s">
        <v>3524</v>
      </c>
      <c r="C69" s="5" t="s">
        <v>3525</v>
      </c>
      <c r="D69" s="5" t="s">
        <v>3526</v>
      </c>
      <c r="E69" s="5" t="s">
        <v>3527</v>
      </c>
      <c r="F69" s="18"/>
      <c r="G69" s="5" t="str">
        <f>IFERROR(__xludf.DUMMYFUNCTION(" GOOGLETRANSLATE(A69, ""en"", ""am"")"),"68")</f>
        <v>68</v>
      </c>
      <c r="H69" s="5" t="str">
        <f>IFERROR(__xludf.DUMMYFUNCTION(" GOOGLETRANSLATE(B69, ""en"", ""am"")"),"በአምልኮ ሥርዓቱ ወቅት ግርፋትን የማይቀበሉ ሴቶች ምን ይሆናሉ?")</f>
        <v>በአምልኮ ሥርዓቱ ወቅት ግርፋትን የማይቀበሉ ሴቶች ምን ይሆናሉ?</v>
      </c>
      <c r="I69" s="5" t="str">
        <f>IFERROR(__xludf.DUMMYFUNCTION(" GOOGLETRANSLATE(C69, ""en"", ""am"")"),"ሀ. ይቀጣሉ B. ከዘፈኖች የተገለሉ ናቸው ሐ. ታማኝ እንደሌላቸው ያፍራሉ D. ምንም አይከሰትም")</f>
        <v>ሀ. ይቀጣሉ B. ከዘፈኖች የተገለሉ ናቸው ሐ. ታማኝ እንደሌላቸው ያፍራሉ D. ምንም አይከሰትም</v>
      </c>
      <c r="J69" s="5" t="str">
        <f>IFERROR(__xludf.DUMMYFUNCTION(" GOOGLETRANSLATE(D69, ""en"", ""am"")"),"ሐ) ታማኝ ያልሆኑ ተብለው ያፍራሉ።")</f>
        <v>ሐ) ታማኝ ያልሆኑ ተብለው ያፍራሉ።</v>
      </c>
      <c r="K69" s="5" t="str">
        <f>IFERROR(__xludf.DUMMYFUNCTION(" GOOGLETRANSLATE(E69, ""en"", ""am"")"),"እምቢ ማለት የቤተሰብ ታማኝነት ማጣት ነው.")</f>
        <v>እምቢ ማለት የቤተሰብ ታማኝነት ማጣት ነው.</v>
      </c>
    </row>
    <row r="70" ht="22.5" customHeight="1">
      <c r="A70" s="19">
        <v>69.0</v>
      </c>
      <c r="B70" s="5" t="s">
        <v>3528</v>
      </c>
      <c r="C70" s="5" t="s">
        <v>3529</v>
      </c>
      <c r="D70" s="5" t="s">
        <v>3530</v>
      </c>
      <c r="E70" s="5" t="s">
        <v>3531</v>
      </c>
      <c r="F70" s="18"/>
      <c r="G70" s="5" t="str">
        <f>IFERROR(__xludf.DUMMYFUNCTION(" GOOGLETRANSLATE(A70, ""en"", ""am"")"),"69")</f>
        <v>69</v>
      </c>
      <c r="H70" s="5" t="str">
        <f>IFERROR(__xludf.DUMMYFUNCTION(" GOOGLETRANSLATE(B70, ""en"", ""am"")"),"ተመሳሳይ ከብት ያማከለ ወግ ያላቸው ጎሳዎች የቱ ጎረቤት አገር ነው?")</f>
        <v>ተመሳሳይ ከብት ያማከለ ወግ ያላቸው ጎሳዎች የቱ ጎረቤት አገር ነው?</v>
      </c>
      <c r="I70" s="5" t="str">
        <f>IFERROR(__xludf.DUMMYFUNCTION(" GOOGLETRANSLATE(C70, ""en"", ""am"")"),"ኣብ ኬንያ ብ ሱዳን ሲ.ኡጋንዳ ዲ. ሶማሊያ")</f>
        <v>ኣብ ኬንያ ብ ሱዳን ሲ.ኡጋንዳ ዲ. ሶማሊያ</v>
      </c>
      <c r="J70" s="5" t="str">
        <f>IFERROR(__xludf.DUMMYFUNCTION(" GOOGLETRANSLATE(D70, ""en"", ""am"")"),"ሀ) ኬንያ")</f>
        <v>ሀ) ኬንያ</v>
      </c>
      <c r="K70" s="5" t="str">
        <f>IFERROR(__xludf.DUMMYFUNCTION(" GOOGLETRANSLATE(E70, ""en"", ""am"")"),"በኬንያ የሚገኙ አንዳንድ አርብቶ አደር ጎሳዎች ከብቶች ጋር የተገናኘ የማስጀመሪያ ሥነ-ሥርዓቶች አሏቸው።")</f>
        <v>በኬንያ የሚገኙ አንዳንድ አርብቶ አደር ጎሳዎች ከብቶች ጋር የተገናኘ የማስጀመሪያ ሥነ-ሥርዓቶች አሏቸው።</v>
      </c>
    </row>
    <row r="71" ht="22.5" customHeight="1">
      <c r="A71" s="19">
        <v>70.0</v>
      </c>
      <c r="B71" s="5" t="s">
        <v>3532</v>
      </c>
      <c r="C71" s="5" t="s">
        <v>3533</v>
      </c>
      <c r="D71" s="5" t="s">
        <v>3534</v>
      </c>
      <c r="E71" s="5" t="s">
        <v>3535</v>
      </c>
      <c r="F71" s="18"/>
      <c r="G71" s="5" t="str">
        <f>IFERROR(__xludf.DUMMYFUNCTION(" GOOGLETRANSLATE(A71, ""en"", ""am"")"),"70")</f>
        <v>70</v>
      </c>
      <c r="H71" s="5" t="str">
        <f>IFERROR(__xludf.DUMMYFUNCTION(" GOOGLETRANSLATE(B71, ""en"", ""am"")"),"ሥርዓቱ ለመላው ማህበረሰብ ምን ትምህርት ይሰጣል?")</f>
        <v>ሥርዓቱ ለመላው ማህበረሰብ ምን ትምህርት ይሰጣል?</v>
      </c>
      <c r="I71" s="5" t="str">
        <f>IFERROR(__xludf.DUMMYFUNCTION(" GOOGLETRANSLATE(C71, ""en"", ""am"")"),"ሀ. ሀብት ጊዜያዊ ነው ለ. አንድነት እና የጋራ ኃላፊነት ሐ. የሴቶች ጥንካሬ መ. የጦርነት አስፈላጊነት")</f>
        <v>ሀ. ሀብት ጊዜያዊ ነው ለ. አንድነት እና የጋራ ኃላፊነት ሐ. የሴቶች ጥንካሬ መ. የጦርነት አስፈላጊነት</v>
      </c>
      <c r="J71" s="5" t="str">
        <f>IFERROR(__xludf.DUMMYFUNCTION(" GOOGLETRANSLATE(D71, ""en"", ""am"")"),"ለ) አንድነት እና የጋራ ኃላፊነት")</f>
        <v>ለ) አንድነት እና የጋራ ኃላፊነት</v>
      </c>
      <c r="K71" s="5" t="str">
        <f>IFERROR(__xludf.DUMMYFUNCTION(" GOOGLETRANSLATE(E71, ""en"", ""am"")"),"የአምልኮ ሥርዓቱ ወንዶችን፣ ሴቶችን፣ ሽማግሌዎችን እና ልጆችን ያሳትፋል፣ ይህም የባህል አንድነትን ያጠናክራል።")</f>
        <v>የአምልኮ ሥርዓቱ ወንዶችን፣ ሴቶችን፣ ሽማግሌዎችን እና ልጆችን ያሳትፋል፣ ይህም የባህል አንድነትን ያጠናክራል።</v>
      </c>
    </row>
    <row r="72" ht="22.5" customHeight="1">
      <c r="A72" s="19">
        <v>71.0</v>
      </c>
      <c r="B72" s="5" t="s">
        <v>3536</v>
      </c>
      <c r="C72" s="5" t="s">
        <v>3537</v>
      </c>
      <c r="D72" s="5" t="s">
        <v>3538</v>
      </c>
      <c r="E72" s="5" t="s">
        <v>3539</v>
      </c>
      <c r="F72" s="18"/>
      <c r="G72" s="5" t="str">
        <f>IFERROR(__xludf.DUMMYFUNCTION(" GOOGLETRANSLATE(A72, ""en"", ""am"")"),"71")</f>
        <v>71</v>
      </c>
      <c r="H72" s="5" t="str">
        <f>IFERROR(__xludf.DUMMYFUNCTION(" GOOGLETRANSLATE(B72, ""en"", ""am"")"),"በላም ዝላይ ሥነ ሥርዓት ውስጥ የዘፈኖች ሚና ምን ይመስላል?")</f>
        <v>በላም ዝላይ ሥነ ሥርዓት ውስጥ የዘፈኖች ሚና ምን ይመስላል?</v>
      </c>
      <c r="I72" s="5" t="str">
        <f>IFERROR(__xludf.DUMMYFUNCTION(" GOOGLETRANSLATE(C72, ""en"", ""am"")"),"ሀ. በሬዎችን ግራ ለማጋባት B. ሚስጥራዊ ኮዶችን ለማለፍ ሐ. ጀማሪውን ለማበረታታት እና ለማነሳሳት መ. የከብት ባለቤትነት ምልክት ለማድረግ")</f>
        <v>ሀ. በሬዎችን ግራ ለማጋባት B. ሚስጥራዊ ኮዶችን ለማለፍ ሐ. ጀማሪውን ለማበረታታት እና ለማነሳሳት መ. የከብት ባለቤትነት ምልክት ለማድረግ</v>
      </c>
      <c r="J72" s="5" t="str">
        <f>IFERROR(__xludf.DUMMYFUNCTION(" GOOGLETRANSLATE(D72, ""en"", ""am"")"),"ሐ) ተነሳሽነትን ለማበረታታት እና ለማነሳሳት")</f>
        <v>ሐ) ተነሳሽነትን ለማበረታታት እና ለማነሳሳት</v>
      </c>
      <c r="K72" s="5" t="str">
        <f>IFERROR(__xludf.DUMMYFUNCTION(" GOOGLETRANSLATE(E72, ""en"", ""am"")"),"በአምልኮ ሥርዓቱ ወቅት በልጁ ላይ ድፍረትን ለማነሳሳት ሴቶች ጮክ ብለው ይዘምራሉ.")</f>
        <v>በአምልኮ ሥርዓቱ ወቅት በልጁ ላይ ድፍረትን ለማነሳሳት ሴቶች ጮክ ብለው ይዘምራሉ.</v>
      </c>
    </row>
    <row r="73" ht="22.5" customHeight="1">
      <c r="A73" s="19">
        <v>72.0</v>
      </c>
      <c r="B73" s="5" t="s">
        <v>3540</v>
      </c>
      <c r="C73" s="5" t="s">
        <v>3541</v>
      </c>
      <c r="D73" s="5" t="s">
        <v>3542</v>
      </c>
      <c r="E73" s="5" t="s">
        <v>3543</v>
      </c>
      <c r="F73" s="18"/>
      <c r="G73" s="5" t="str">
        <f>IFERROR(__xludf.DUMMYFUNCTION(" GOOGLETRANSLATE(A73, ""en"", ""am"")"),"72")</f>
        <v>72</v>
      </c>
      <c r="H73" s="5" t="str">
        <f>IFERROR(__xludf.DUMMYFUNCTION(" GOOGLETRANSLATE(B73, ""en"", ""am"")"),"የአምልኮ ሥርዓቱን ከጨረሰ በኋላ የልጁ ቤተሰብ በማህበራዊ ደረጃ ምን ጥቅም አለው?")</f>
        <v>የአምልኮ ሥርዓቱን ከጨረሰ በኋላ የልጁ ቤተሰብ በማህበራዊ ደረጃ ምን ጥቅም አለው?</v>
      </c>
      <c r="I73" s="5" t="str">
        <f>IFERROR(__xludf.DUMMYFUNCTION(" GOOGLETRANSLATE(C73, ""en"", ""am"")"),"ሀ. ከፍ ያለ ደረጃ እና ክብር ለ. ብዙ ከብት ከጎሳ ሐ. ከግብር ነፃ መውጣት መ. የመሬት መብቶች")</f>
        <v>ሀ. ከፍ ያለ ደረጃ እና ክብር ለ. ብዙ ከብት ከጎሳ ሐ. ከግብር ነፃ መውጣት መ. የመሬት መብቶች</v>
      </c>
      <c r="J73" s="5" t="str">
        <f>IFERROR(__xludf.DUMMYFUNCTION(" GOOGLETRANSLATE(D73, ""en"", ""am"")"),"ሀ) ከፍተኛ ደረጃ እና ክብር")</f>
        <v>ሀ) ከፍተኛ ደረጃ እና ክብር</v>
      </c>
      <c r="K73" s="5" t="str">
        <f>IFERROR(__xludf.DUMMYFUNCTION(" GOOGLETRANSLATE(E73, ""en"", ""am"")"),"ቤተሰቡ ልጃቸውን በተሳካ ሁኔታ ወደ ጎልማሳነት በመምራት ክብርን ያገኛሉ።")</f>
        <v>ቤተሰቡ ልጃቸውን በተሳካ ሁኔታ ወደ ጎልማሳነት በመምራት ክብርን ያገኛሉ።</v>
      </c>
    </row>
    <row r="74" ht="22.5" customHeight="1">
      <c r="A74" s="19">
        <v>73.0</v>
      </c>
      <c r="B74" s="5" t="s">
        <v>3544</v>
      </c>
      <c r="C74" s="5" t="s">
        <v>3545</v>
      </c>
      <c r="D74" s="5" t="s">
        <v>3546</v>
      </c>
      <c r="E74" s="5" t="s">
        <v>3547</v>
      </c>
      <c r="F74" s="18"/>
      <c r="G74" s="5" t="str">
        <f>IFERROR(__xludf.DUMMYFUNCTION(" GOOGLETRANSLATE(A74, ""en"", ""am"")"),"73")</f>
        <v>73</v>
      </c>
      <c r="H74" s="5" t="str">
        <f>IFERROR(__xludf.DUMMYFUNCTION(" GOOGLETRANSLATE(B74, ""en"", ""am"")"),"አጀማመሩን በማዘጋጀት ረገድ ትልቁን ሚና የሚጫወተው የትኛው ዘመድ ነው?")</f>
        <v>አጀማመሩን በማዘጋጀት ረገድ ትልቁን ሚና የሚጫወተው የትኛው ዘመድ ነው?</v>
      </c>
      <c r="I74" s="5" t="str">
        <f>IFERROR(__xludf.DUMMYFUNCTION(" GOOGLETRANSLATE(C74, ""en"", ""am"")"),"ሀ. እናት ለ. አጎቴ ሐ. አባት ዲ. ታላቅ ወንድም")</f>
        <v>ሀ. እናት ለ. አጎቴ ሐ. አባት ዲ. ታላቅ ወንድም</v>
      </c>
      <c r="J74" s="5" t="str">
        <f>IFERROR(__xludf.DUMMYFUNCTION(" GOOGLETRANSLATE(D74, ""en"", ""am"")"),"ሐ) አባት")</f>
        <v>ሐ) አባት</v>
      </c>
      <c r="K74" s="5" t="str">
        <f>IFERROR(__xludf.DUMMYFUNCTION(" GOOGLETRANSLATE(E74, ""en"", ""am"")"),"አባቶችና ሽማግሌዎች ከብት አደራጅተው ልጆቻቸውን በወጉ ይመራሉ::")</f>
        <v>አባቶችና ሽማግሌዎች ከብት አደራጅተው ልጆቻቸውን በወጉ ይመራሉ::</v>
      </c>
    </row>
    <row r="75" ht="22.5" customHeight="1">
      <c r="A75" s="19">
        <v>74.0</v>
      </c>
      <c r="B75" s="5" t="s">
        <v>3548</v>
      </c>
      <c r="C75" s="5" t="s">
        <v>3549</v>
      </c>
      <c r="D75" s="5" t="s">
        <v>3378</v>
      </c>
      <c r="E75" s="5" t="s">
        <v>3550</v>
      </c>
      <c r="F75" s="18"/>
      <c r="G75" s="5" t="str">
        <f>IFERROR(__xludf.DUMMYFUNCTION(" GOOGLETRANSLATE(A75, ""en"", ""am"")"),"74")</f>
        <v>74</v>
      </c>
      <c r="H75" s="5" t="str">
        <f>IFERROR(__xludf.DUMMYFUNCTION(" GOOGLETRANSLATE(B75, ""en"", ""am"")"),"በክብረ በዓሉ ወቅት የህብረተሰቡን አንድነት የሚያመለክተው ምንድን ነው?")</f>
        <v>በክብረ በዓሉ ወቅት የህብረተሰቡን አንድነት የሚያመለክተው ምንድን ነው?</v>
      </c>
      <c r="I75" s="5" t="str">
        <f>IFERROR(__xludf.DUMMYFUNCTION(" GOOGLETRANSLATE(C75, ""en"", ""am"")"),"ሀ. የጋራ ምግብና መጠጥ ለ.የጋራ መዝሙርና ጭፈራ ሐ.ለሥርዓት ከብት ማበደር መ.ከላይ ያሉት")</f>
        <v>ሀ. የጋራ ምግብና መጠጥ ለ.የጋራ መዝሙርና ጭፈራ ሐ.ለሥርዓት ከብት ማበደር መ.ከላይ ያሉት</v>
      </c>
      <c r="J75" s="5" t="str">
        <f>IFERROR(__xludf.DUMMYFUNCTION(" GOOGLETRANSLATE(D75, ""en"", ""am"")"),"መ) ከላይ ያሉት ሁሉም")</f>
        <v>መ) ከላይ ያሉት ሁሉም</v>
      </c>
      <c r="K75" s="5" t="str">
        <f>IFERROR(__xludf.DUMMYFUNCTION(" GOOGLETRANSLATE(E75, ""en"", ""am"")"),"መላው መንደሩ አንድነት እና የባህል ጥንካሬን በማሳየት አስተዋፅኦ ያደርጋል.")</f>
        <v>መላው መንደሩ አንድነት እና የባህል ጥንካሬን በማሳየት አስተዋፅኦ ያደርጋል.</v>
      </c>
    </row>
    <row r="76" ht="22.5" customHeight="1">
      <c r="A76" s="19">
        <v>75.0</v>
      </c>
      <c r="B76" s="5" t="s">
        <v>3551</v>
      </c>
      <c r="C76" s="5" t="s">
        <v>3552</v>
      </c>
      <c r="D76" s="5" t="s">
        <v>3553</v>
      </c>
      <c r="E76" s="5" t="s">
        <v>3554</v>
      </c>
      <c r="F76" s="18"/>
      <c r="G76" s="5" t="str">
        <f>IFERROR(__xludf.DUMMYFUNCTION(" GOOGLETRANSLATE(A76, ""en"", ""am"")"),"75")</f>
        <v>75</v>
      </c>
      <c r="H76" s="5" t="str">
        <f>IFERROR(__xludf.DUMMYFUNCTION(" GOOGLETRANSLATE(B76, ""en"", ""am"")"),"የሐማር ህዝብ በባህል ምን አይነት ማህበረሰብ ነው?")</f>
        <v>የሐማር ህዝብ በባህል ምን አይነት ማህበረሰብ ነው?</v>
      </c>
      <c r="I76" s="5" t="str">
        <f>IFERROR(__xludf.DUMMYFUNCTION(" GOOGLETRANSLATE(C76, ""en"", ""am"")"),"ሀ. ዘላኖች አዳኞች ለ. አርብቶ አደሮች እና ከብት አርቢዎች ሐ. ዓሣ አጥማጆች መ. የከተማ ነጋዴዎች")</f>
        <v>ሀ. ዘላኖች አዳኞች ለ. አርብቶ አደሮች እና ከብት አርቢዎች ሐ. ዓሣ አጥማጆች መ. የከተማ ነጋዴዎች</v>
      </c>
      <c r="J76" s="5" t="str">
        <f>IFERROR(__xludf.DUMMYFUNCTION(" GOOGLETRANSLATE(D76, ""en"", ""am"")"),"ለ) አርብቶ አደሮች እና ከብት አርቢዎች")</f>
        <v>ለ) አርብቶ አደሮች እና ከብት አርቢዎች</v>
      </c>
      <c r="K76" s="5" t="str">
        <f>IFERROR(__xludf.DUMMYFUNCTION(" GOOGLETRANSLATE(E76, ""en"", ""am"")"),"አኗኗራቸው በከብቶች ዙሪያ ያጠነጠነ ነው, በአምልኮ ሥርዓቱ ውስጥ ይንጸባረቃል.")</f>
        <v>አኗኗራቸው በከብቶች ዙሪያ ያጠነጠነ ነው, በአምልኮ ሥርዓቱ ውስጥ ይንጸባረቃል.</v>
      </c>
    </row>
    <row r="77" ht="22.5" customHeight="1">
      <c r="A77" s="19">
        <v>76.0</v>
      </c>
      <c r="B77" s="5" t="s">
        <v>3555</v>
      </c>
      <c r="C77" s="5" t="s">
        <v>3556</v>
      </c>
      <c r="D77" s="5" t="s">
        <v>3557</v>
      </c>
      <c r="E77" s="5" t="s">
        <v>3558</v>
      </c>
      <c r="F77" s="18"/>
      <c r="G77" s="5" t="str">
        <f>IFERROR(__xludf.DUMMYFUNCTION(" GOOGLETRANSLATE(A77, ""en"", ""am"")"),"76")</f>
        <v>76</v>
      </c>
      <c r="H77" s="5" t="str">
        <f>IFERROR(__xludf.DUMMYFUNCTION(" GOOGLETRANSLATE(B77, ""en"", ""am"")"),"በጎሳው ውስጥ ላም መዝለል ለሴቶች ምንን ያሳያል?")</f>
        <v>በጎሳው ውስጥ ላም መዝለል ለሴቶች ምንን ያሳያል?</v>
      </c>
      <c r="I77" s="5" t="str">
        <f>IFERROR(__xludf.DUMMYFUNCTION(" GOOGLETRANSLATE(C77, ""en"", ""am"")"),"ሀ. ባሎች የመምረጥ መብታቸው ለ. ታማኝነት እና መስዋዕትነት ሐ. ኢኮኖሚያዊ ነፃነት መ. መንፈሳዊ የበላይነት")</f>
        <v>ሀ. ባሎች የመምረጥ መብታቸው ለ. ታማኝነት እና መስዋዕትነት ሐ. ኢኮኖሚያዊ ነፃነት መ. መንፈሳዊ የበላይነት</v>
      </c>
      <c r="J77" s="5" t="str">
        <f>IFERROR(__xludf.DUMMYFUNCTION(" GOOGLETRANSLATE(D77, ""en"", ""am"")"),"ለ) ታማኝነት እና መስዋዕትነት")</f>
        <v>ለ) ታማኝነት እና መስዋዕትነት</v>
      </c>
      <c r="K77" s="5" t="str">
        <f>IFERROR(__xludf.DUMMYFUNCTION(" GOOGLETRANSLATE(E77, ""en"", ""am"")"),"ህመምን በመደገፍ እና በመቀበል, ሴቶች ለቤተሰብ ትስስር ያላቸውን ታማኝነት ያሳያሉ.")</f>
        <v>ህመምን በመደገፍ እና በመቀበል, ሴቶች ለቤተሰብ ትስስር ያላቸውን ታማኝነት ያሳያሉ.</v>
      </c>
    </row>
    <row r="78" ht="22.5" customHeight="1">
      <c r="A78" s="19">
        <v>77.0</v>
      </c>
      <c r="B78" s="5" t="s">
        <v>3559</v>
      </c>
      <c r="C78" s="5" t="s">
        <v>3560</v>
      </c>
      <c r="D78" s="5" t="s">
        <v>3561</v>
      </c>
      <c r="E78" s="5" t="s">
        <v>3562</v>
      </c>
      <c r="F78" s="18"/>
      <c r="G78" s="5" t="str">
        <f>IFERROR(__xludf.DUMMYFUNCTION(" GOOGLETRANSLATE(A78, ""en"", ""am"")"),"77")</f>
        <v>77</v>
      </c>
      <c r="H78" s="5" t="str">
        <f>IFERROR(__xludf.DUMMYFUNCTION(" GOOGLETRANSLATE(B78, ""en"", ""am"")"),"የሐማሮች በሬዎች ለሥርዓተ ሥርዓቱ መቆምን የሚያረጋግጡት እንዴት ነው?")</f>
        <v>የሐማሮች በሬዎች ለሥርዓተ ሥርዓቱ መቆምን የሚያረጋግጡት እንዴት ነው?</v>
      </c>
      <c r="I78" s="5" t="str">
        <f>IFERROR(__xludf.DUMMYFUNCTION(" GOOGLETRANSLATE(C78, ""en"", ""am"")"),"ሀ. እግሮቻቸውን በማሰር ለ. በገመድ በመያዝ ሐ. ዕፅዋትን በመመገብ መ. ዓይኖቻቸውን በመሸፈን")</f>
        <v>ሀ. እግሮቻቸውን በማሰር ለ. በገመድ በመያዝ ሐ. ዕፅዋትን በመመገብ መ. ዓይኖቻቸውን በመሸፈን</v>
      </c>
      <c r="J78" s="5" t="str">
        <f>IFERROR(__xludf.DUMMYFUNCTION(" GOOGLETRANSLATE(D78, ""en"", ""am"")"),"ለ) በገመድ በመያዝ")</f>
        <v>ለ) በገመድ በመያዝ</v>
      </c>
      <c r="K78" s="5" t="str">
        <f>IFERROR(__xludf.DUMMYFUNCTION(" GOOGLETRANSLATE(E78, ""en"", ""am"")"),"ጀማሪው መሮጥ እንዲችል ወጣት ወንዶች በሬዎቹን ይከለክላሉ።")</f>
        <v>ጀማሪው መሮጥ እንዲችል ወጣት ወንዶች በሬዎቹን ይከለክላሉ።</v>
      </c>
    </row>
    <row r="79" ht="22.5" customHeight="1">
      <c r="A79" s="19">
        <v>78.0</v>
      </c>
      <c r="B79" s="5" t="s">
        <v>3563</v>
      </c>
      <c r="C79" s="5" t="s">
        <v>3564</v>
      </c>
      <c r="D79" s="5" t="s">
        <v>3378</v>
      </c>
      <c r="E79" s="5" t="s">
        <v>3565</v>
      </c>
      <c r="F79" s="18"/>
      <c r="G79" s="5" t="str">
        <f>IFERROR(__xludf.DUMMYFUNCTION(" GOOGLETRANSLATE(A79, ""en"", ""am"")"),"78")</f>
        <v>78</v>
      </c>
      <c r="H79" s="5" t="str">
        <f>IFERROR(__xludf.DUMMYFUNCTION(" GOOGLETRANSLATE(B79, ""en"", ""am"")"),"የአምልኮ ሥርዓቱን ሕልውና አደጋ ላይ የጣለው የትኛው የውጭ ተጽእኖ ነው?")</f>
        <v>የአምልኮ ሥርዓቱን ሕልውና አደጋ ላይ የጣለው የትኛው የውጭ ተጽእኖ ነው?</v>
      </c>
      <c r="I79" s="5" t="str">
        <f>IFERROR(__xludf.DUMMYFUNCTION(" GOOGLETRANSLATE(C79, ""en"", ""am"")"),"ሀ. የሚስዮናዊነት ተግባር ለ. ቱሪዝም የንግድ ሥራ ሐ. የከተማ ፍልሰት መ. ከላይ ያሉት ሁሉ")</f>
        <v>ሀ. የሚስዮናዊነት ተግባር ለ. ቱሪዝም የንግድ ሥራ ሐ. የከተማ ፍልሰት መ. ከላይ ያሉት ሁሉ</v>
      </c>
      <c r="J79" s="5" t="str">
        <f>IFERROR(__xludf.DUMMYFUNCTION(" GOOGLETRANSLATE(D79, ""en"", ""am"")"),"መ) ከላይ ያሉት ሁሉም")</f>
        <v>መ) ከላይ ያሉት ሁሉም</v>
      </c>
      <c r="K79" s="5" t="str">
        <f>IFERROR(__xludf.DUMMYFUNCTION(" GOOGLETRANSLATE(E79, ""en"", ""am"")"),"የውጭ ተጽእኖዎች ባህሉን ይቃወማሉ, ነገር ግን የአካባቢው ነዋሪዎች ባህሉን ማቆየት ቀጥለዋል.")</f>
        <v>የውጭ ተጽእኖዎች ባህሉን ይቃወማሉ, ነገር ግን የአካባቢው ነዋሪዎች ባህሉን ማቆየት ቀጥለዋል.</v>
      </c>
    </row>
    <row r="80" ht="22.5" customHeight="1">
      <c r="A80" s="19">
        <v>79.0</v>
      </c>
      <c r="B80" s="5" t="s">
        <v>3566</v>
      </c>
      <c r="C80" s="5" t="s">
        <v>3567</v>
      </c>
      <c r="D80" s="5" t="s">
        <v>3568</v>
      </c>
      <c r="E80" s="5" t="s">
        <v>3569</v>
      </c>
      <c r="F80" s="18"/>
      <c r="G80" s="5" t="str">
        <f>IFERROR(__xludf.DUMMYFUNCTION(" GOOGLETRANSLATE(A80, ""en"", ""am"")"),"79")</f>
        <v>79</v>
      </c>
      <c r="H80" s="5" t="str">
        <f>IFERROR(__xludf.DUMMYFUNCTION(" GOOGLETRANSLATE(B80, ""en"", ""am"")"),"በአምልኮ ሥርዓቱ ወቅት ሴቶች ብዙውን ጊዜ ምን ዓይነት ቀለም ያላቸው ዶቃዎች ይለብሳሉ?")</f>
        <v>በአምልኮ ሥርዓቱ ወቅት ሴቶች ብዙውን ጊዜ ምን ዓይነት ቀለም ያላቸው ዶቃዎች ይለብሳሉ?</v>
      </c>
      <c r="I80" s="5" t="str">
        <f>IFERROR(__xludf.DUMMYFUNCTION(" GOOGLETRANSLATE(C80, ""en"", ""am"")"),"ሀ. ጥቁር እና ወርቅ ለ. ቀይ እና ነጭ ሐ. ሰማያዊ እና አረንጓዴ መ. ቢጫ እና ወይን ጠጅ")</f>
        <v>ሀ. ጥቁር እና ወርቅ ለ. ቀይ እና ነጭ ሐ. ሰማያዊ እና አረንጓዴ መ. ቢጫ እና ወይን ጠጅ</v>
      </c>
      <c r="J80" s="5" t="str">
        <f>IFERROR(__xludf.DUMMYFUNCTION(" GOOGLETRANSLATE(D80, ""en"", ""am"")"),"ለ) ቀይ እና ነጭ")</f>
        <v>ለ) ቀይ እና ነጭ</v>
      </c>
      <c r="K80" s="5" t="str">
        <f>IFERROR(__xludf.DUMMYFUNCTION(" GOOGLETRANSLATE(E80, ""en"", ""am"")"),"ዶቃዎች የውበት፣ የመራባት እና የክብር ምልክቶች ናቸው።")</f>
        <v>ዶቃዎች የውበት፣ የመራባት እና የክብር ምልክቶች ናቸው።</v>
      </c>
    </row>
    <row r="81" ht="22.5" customHeight="1">
      <c r="A81" s="19">
        <v>80.0</v>
      </c>
      <c r="B81" s="5" t="s">
        <v>3570</v>
      </c>
      <c r="C81" s="5" t="s">
        <v>3571</v>
      </c>
      <c r="D81" s="5" t="s">
        <v>3572</v>
      </c>
      <c r="E81" s="5" t="s">
        <v>3573</v>
      </c>
      <c r="F81" s="18"/>
      <c r="G81" s="5" t="str">
        <f>IFERROR(__xludf.DUMMYFUNCTION(" GOOGLETRANSLATE(A81, ""en"", ""am"")"),"80")</f>
        <v>80</v>
      </c>
      <c r="H81" s="5" t="str">
        <f>IFERROR(__xludf.DUMMYFUNCTION(" GOOGLETRANSLATE(B81, ""en"", ""am"")"),"በአምልኮ ሥርዓቱ ወቅት የጀማሪው እርቃንነት ምንን ያሳያል?")</f>
        <v>በአምልኮ ሥርዓቱ ወቅት የጀማሪው እርቃንነት ምንን ያሳያል?</v>
      </c>
      <c r="I81" s="5" t="str">
        <f>IFERROR(__xludf.DUMMYFUNCTION(" GOOGLETRANSLATE(C81, ""en"", ""am"")"),"ሀ. ከሀብት ነፃ መውጣት ለ. ንፅህና እና ትህትና ሐ. በሽማግሌዎች ላይ ቁጣ መ. የመንፈስ ይዞታ")</f>
        <v>ሀ. ከሀብት ነፃ መውጣት ለ. ንፅህና እና ትህትና ሐ. በሽማግሌዎች ላይ ቁጣ መ. የመንፈስ ይዞታ</v>
      </c>
      <c r="J81" s="5" t="str">
        <f>IFERROR(__xludf.DUMMYFUNCTION(" GOOGLETRANSLATE(D81, ""en"", ""am"")"),"ለ) ንጽህና እና ትህትና")</f>
        <v>ለ) ንጽህና እና ትህትና</v>
      </c>
      <c r="K81" s="5" t="str">
        <f>IFERROR(__xludf.DUMMYFUNCTION(" GOOGLETRANSLATE(E81, ""en"", ""am"")"),"ያለ ጥበቃ እና ሽፋን ታማኝነትን እና ዝግጁነትን ያሳያል.")</f>
        <v>ያለ ጥበቃ እና ሽፋን ታማኝነትን እና ዝግጁነትን ያሳያል.</v>
      </c>
    </row>
    <row r="82" ht="22.5" customHeight="1">
      <c r="A82" s="19">
        <v>81.0</v>
      </c>
      <c r="B82" s="5" t="s">
        <v>3574</v>
      </c>
      <c r="C82" s="5" t="s">
        <v>3575</v>
      </c>
      <c r="D82" s="5" t="s">
        <v>3576</v>
      </c>
      <c r="E82" s="5" t="s">
        <v>3577</v>
      </c>
      <c r="F82" s="18"/>
      <c r="G82" s="5" t="str">
        <f>IFERROR(__xludf.DUMMYFUNCTION(" GOOGLETRANSLATE(A82, ""en"", ""am"")"),"81")</f>
        <v>81</v>
      </c>
      <c r="H82" s="5" t="str">
        <f>IFERROR(__xludf.DUMMYFUNCTION(" GOOGLETRANSLATE(B82, ""en"", ""am"")"),"ሽማግሌዎች ልጁን በመንፈሳዊ የሚያዘጋጁት እንዴት ነው?")</f>
        <v>ሽማግሌዎች ልጁን በመንፈሳዊ የሚያዘጋጁት እንዴት ነው?</v>
      </c>
      <c r="I82" s="5" t="str">
        <f>IFERROR(__xludf.DUMMYFUNCTION(" GOOGLETRANSLATE(C82, ""en"", ""am"")"),"ሀ. በጸሎትና በበረከት ለ. በተረት ሐ. ወተት እንዲጠጣው በመስጠት መ. ራሱን በመላጨት")</f>
        <v>ሀ. በጸሎትና በበረከት ለ. በተረት ሐ. ወተት እንዲጠጣው በመስጠት መ. ራሱን በመላጨት</v>
      </c>
      <c r="J82" s="5" t="str">
        <f>IFERROR(__xludf.DUMMYFUNCTION(" GOOGLETRANSLATE(D82, ""en"", ""am"")"),"ሀ) በጸሎት እና በበረከት")</f>
        <v>ሀ) በጸሎት እና በበረከት</v>
      </c>
      <c r="K82" s="5" t="str">
        <f>IFERROR(__xludf.DUMMYFUNCTION(" GOOGLETRANSLATE(E82, ""en"", ""am"")"),"ሽማግሌዎች ጥንካሬን እና ጥበቃን ለማግኘት የቀድሞ አባቶችን መንፈስ ይጠይቃሉ።")</f>
        <v>ሽማግሌዎች ጥንካሬን እና ጥበቃን ለማግኘት የቀድሞ አባቶችን መንፈስ ይጠይቃሉ።</v>
      </c>
    </row>
    <row r="83" ht="22.5" customHeight="1">
      <c r="A83" s="19">
        <v>82.0</v>
      </c>
      <c r="B83" s="5" t="s">
        <v>3578</v>
      </c>
      <c r="C83" s="5" t="s">
        <v>3579</v>
      </c>
      <c r="D83" s="5" t="s">
        <v>3580</v>
      </c>
      <c r="E83" s="5" t="s">
        <v>3581</v>
      </c>
      <c r="F83" s="18"/>
      <c r="G83" s="5" t="str">
        <f>IFERROR(__xludf.DUMMYFUNCTION(" GOOGLETRANSLATE(A83, ""en"", ""am"")"),"82")</f>
        <v>82</v>
      </c>
      <c r="H83" s="5" t="str">
        <f>IFERROR(__xludf.DUMMYFUNCTION(" GOOGLETRANSLATE(B83, ""en"", ""am"")"),"ከበዓሉ ጋር በጣም የተገናኘው የትኛው የተፈጥሮ አካል ነው?")</f>
        <v>ከበዓሉ ጋር በጣም የተገናኘው የትኛው የተፈጥሮ አካል ነው?</v>
      </c>
      <c r="I83" s="5" t="str">
        <f>IFERROR(__xludf.DUMMYFUNCTION(" GOOGLETRANSLATE(C83, ""en"", ""am"")"),"ሀ. የከብት መራባት እና የምድር ብዛት ለ. እሳት እንደ የመንጻት ኃይል ሐ. ዝናብ እንደ መለኮታዊ በረከት መ. ነፋስ እንደ ነፃነት")</f>
        <v>ሀ. የከብት መራባት እና የምድር ብዛት ለ. እሳት እንደ የመንጻት ኃይል ሐ. ዝናብ እንደ መለኮታዊ በረከት መ. ነፋስ እንደ ነፃነት</v>
      </c>
      <c r="J83" s="5" t="str">
        <f>IFERROR(__xludf.DUMMYFUNCTION(" GOOGLETRANSLATE(D83, ""en"", ""am"")"),"ሀ) የከብት መራባት እና የምድር ብዛት")</f>
        <v>ሀ) የከብት መራባት እና የምድር ብዛት</v>
      </c>
      <c r="K83" s="5" t="str">
        <f>IFERROR(__xludf.DUMMYFUNCTION(" GOOGLETRANSLATE(E83, ""en"", ""am"")"),"ሥነ ሥርዓቱ ወንድነትን ከመሬትና ከእንስሳት ለምነት ጋር ያቆራኛል።")</f>
        <v>ሥነ ሥርዓቱ ወንድነትን ከመሬትና ከእንስሳት ለምነት ጋር ያቆራኛል።</v>
      </c>
    </row>
    <row r="84" ht="22.5" customHeight="1">
      <c r="A84" s="19">
        <v>83.0</v>
      </c>
      <c r="B84" s="5" t="s">
        <v>3582</v>
      </c>
      <c r="C84" s="5" t="s">
        <v>3583</v>
      </c>
      <c r="D84" s="5" t="s">
        <v>3584</v>
      </c>
      <c r="E84" s="5" t="s">
        <v>3585</v>
      </c>
      <c r="F84" s="18"/>
      <c r="G84" s="5" t="str">
        <f>IFERROR(__xludf.DUMMYFUNCTION(" GOOGLETRANSLATE(A84, ""en"", ""am"")"),"83")</f>
        <v>83</v>
      </c>
      <c r="H84" s="5" t="str">
        <f>IFERROR(__xludf.DUMMYFUNCTION(" GOOGLETRANSLATE(B84, ""en"", ""am"")"),"በአጠቃላይ በስርአቱ ውስጥ ውድቀት በጎሳው እንዴት ይታያል?")</f>
        <v>በአጠቃላይ በስርአቱ ውስጥ ውድቀት በጎሳው እንዴት ይታያል?</v>
      </c>
      <c r="I84" s="5" t="str">
        <f>IFERROR(__xludf.DUMMYFUNCTION(" GOOGLETRANSLATE(C84, ""en"", ""am"")"),"ሀ. አሳፋሪ እና መሳለቂያ ለ. ገለልተኛ፣ የአዋቂነት መዘግየት ብቻ ሐ. በግዞት የሚቀጣ መ. በፍጥነት ተረሳ")</f>
        <v>ሀ. አሳፋሪ እና መሳለቂያ ለ. ገለልተኛ፣ የአዋቂነት መዘግየት ብቻ ሐ. በግዞት የሚቀጣ መ. በፍጥነት ተረሳ</v>
      </c>
      <c r="J84" s="5" t="str">
        <f>IFERROR(__xludf.DUMMYFUNCTION(" GOOGLETRANSLATE(D84, ""en"", ""am"")"),"ለ) ገለልተኛ ፣ የአዋቂነት መዘግየት ብቻ")</f>
        <v>ለ) ገለልተኛ ፣ የአዋቂነት መዘግየት ብቻ</v>
      </c>
      <c r="K84" s="5" t="str">
        <f>IFERROR(__xludf.DUMMYFUNCTION(" GOOGLETRANSLATE(E84, ""en"", ""am"")"),"እንደ ውርደት አይታይም ነገር ግን እንደ ምልክት ልጁ እስኪበስል መጠበቅ አለበት.")</f>
        <v>እንደ ውርደት አይታይም ነገር ግን እንደ ምልክት ልጁ እስኪበስል መጠበቅ አለበት.</v>
      </c>
    </row>
    <row r="85" ht="22.5" customHeight="1">
      <c r="A85" s="19">
        <v>84.0</v>
      </c>
      <c r="B85" s="5" t="s">
        <v>3586</v>
      </c>
      <c r="C85" s="5" t="s">
        <v>3587</v>
      </c>
      <c r="D85" s="5" t="s">
        <v>3588</v>
      </c>
      <c r="E85" s="5" t="s">
        <v>3589</v>
      </c>
      <c r="F85" s="18"/>
      <c r="G85" s="5" t="str">
        <f>IFERROR(__xludf.DUMMYFUNCTION(" GOOGLETRANSLATE(A85, ""en"", ""am"")"),"84")</f>
        <v>84</v>
      </c>
      <c r="H85" s="5" t="str">
        <f>IFERROR(__xludf.DUMMYFUNCTION(" GOOGLETRANSLATE(B85, ""en"", ""am"")"),"የክብረ በዓሉ መጨረሻ ምን ምልክት ነው?")</f>
        <v>የክብረ በዓሉ መጨረሻ ምን ምልክት ነው?</v>
      </c>
      <c r="I85" s="5" t="str">
        <f>IFERROR(__xludf.DUMMYFUNCTION(" GOOGLETRANSLATE(C85, ""en"", ""am"")"),"ሀ. የጀማሪው በረከት ለ. የጋራ ድግስ ሐ. የበሬ መስዋዕት መ. የምሽት ጭፈራ")</f>
        <v>ሀ. የጀማሪው በረከት ለ. የጋራ ድግስ ሐ. የበሬ መስዋዕት መ. የምሽት ጭፈራ</v>
      </c>
      <c r="J85" s="5" t="str">
        <f>IFERROR(__xludf.DUMMYFUNCTION(" GOOGLETRANSLATE(D85, ""en"", ""am"")"),"ለ) የጋራ ድግስ")</f>
        <v>ለ) የጋራ ድግስ</v>
      </c>
      <c r="K85" s="5" t="str">
        <f>IFERROR(__xludf.DUMMYFUNCTION(" GOOGLETRANSLATE(E85, ""en"", ""am"")"),"ቤተሰቦች የልጁን የተሳካ ማለፊያ በምግብ እና መጠጥ ያከብራሉ.")</f>
        <v>ቤተሰቦች የልጁን የተሳካ ማለፊያ በምግብ እና መጠጥ ያከብራሉ.</v>
      </c>
    </row>
    <row r="86" ht="22.5" customHeight="1">
      <c r="A86" s="19">
        <v>85.0</v>
      </c>
      <c r="B86" s="5" t="s">
        <v>3590</v>
      </c>
      <c r="C86" s="5" t="s">
        <v>3591</v>
      </c>
      <c r="D86" s="5" t="s">
        <v>3592</v>
      </c>
      <c r="E86" s="5" t="s">
        <v>3593</v>
      </c>
      <c r="F86" s="18"/>
      <c r="G86" s="5" t="str">
        <f>IFERROR(__xludf.DUMMYFUNCTION(" GOOGLETRANSLATE(A86, ""en"", ""am"")"),"85")</f>
        <v>85</v>
      </c>
      <c r="H86" s="5" t="str">
        <f>IFERROR(__xludf.DUMMYFUNCTION(" GOOGLETRANSLATE(B86, ""en"", ""am"")")," አንትሮፖሎጂስቶች በላም መዝለል ምን ያጠናሉ?")</f>
        <v> አንትሮፖሎጂስቶች በላም መዝለል ምን ያጠናሉ?</v>
      </c>
      <c r="I86" s="5" t="str">
        <f>IFERROR(__xludf.DUMMYFUNCTION(" GOOGLETRANSLATE(C86, ""en"", ""am"")"),"ሀ. የጎሳ ጦርነት ለ. የግብርና ልምዶች ሐ. ማህበራዊ አወቃቀሮች እና የአምልኮ ሥርዓቶች መ. ጥንታዊ አርክቴክቸር")</f>
        <v>ሀ. የጎሳ ጦርነት ለ. የግብርና ልምዶች ሐ. ማህበራዊ አወቃቀሮች እና የአምልኮ ሥርዓቶች መ. ጥንታዊ አርክቴክቸር</v>
      </c>
      <c r="J86" s="5" t="str">
        <f>IFERROR(__xludf.DUMMYFUNCTION(" GOOGLETRANSLATE(D86, ""en"", ""am"")"),"ሐ) ማህበራዊ አወቃቀሮች እና የአምልኮ ሥርዓቶች")</f>
        <v>ሐ) ማህበራዊ አወቃቀሮች እና የአምልኮ ሥርዓቶች</v>
      </c>
      <c r="K86" s="5" t="str">
        <f>IFERROR(__xludf.DUMMYFUNCTION(" GOOGLETRANSLATE(E86, ""en"", ""am"")"),"የአምልኮ ሥርዓቱ ባህላዊ ማንነትን እና ወጎችን ማስተላለፍን ያሳያል.")</f>
        <v>የአምልኮ ሥርዓቱ ባህላዊ ማንነትን እና ወጎችን ማስተላለፍን ያሳያል.</v>
      </c>
    </row>
    <row r="87" ht="22.5" customHeight="1">
      <c r="A87" s="19">
        <v>86.0</v>
      </c>
      <c r="B87" s="5" t="s">
        <v>3594</v>
      </c>
      <c r="C87" s="5" t="s">
        <v>3595</v>
      </c>
      <c r="D87" s="5" t="s">
        <v>3596</v>
      </c>
      <c r="E87" s="5" t="s">
        <v>3597</v>
      </c>
      <c r="F87" s="18"/>
      <c r="G87" s="5" t="str">
        <f>IFERROR(__xludf.DUMMYFUNCTION(" GOOGLETRANSLATE(A87, ""en"", ""am"")"),"86")</f>
        <v>86</v>
      </c>
      <c r="H87" s="5" t="str">
        <f>IFERROR(__xludf.DUMMYFUNCTION(" GOOGLETRANSLATE(B87, ""en"", ""am"")"),"የሐማር ሰዎች በሴቶች ጀርባ ላይ ያለውን ጠባሳ አስፈላጊነት እንዴት ያብራራሉ?")</f>
        <v>የሐማር ሰዎች በሴቶች ጀርባ ላይ ያለውን ጠባሳ አስፈላጊነት እንዴት ያብራራሉ?</v>
      </c>
      <c r="I87" s="5" t="str">
        <f>IFERROR(__xludf.DUMMYFUNCTION(" GOOGLETRANSLATE(C87, ""en"", ""am"")"),"ሀ. እንደ የውበት ምልክቶች ለ. እንደ ታማኝነት እና የቤተሰብ ትስስር ማስታወሻዎች ሐ. እንደ ጋብቻ መስፈርቶች መ. ለመናፍስት መባ")</f>
        <v>ሀ. እንደ የውበት ምልክቶች ለ. እንደ ታማኝነት እና የቤተሰብ ትስስር ማስታወሻዎች ሐ. እንደ ጋብቻ መስፈርቶች መ. ለመናፍስት መባ</v>
      </c>
      <c r="J87" s="5" t="str">
        <f>IFERROR(__xludf.DUMMYFUNCTION(" GOOGLETRANSLATE(D87, ""en"", ""am"")"),"ለ) እንደ ታማኝነት እና የቤተሰብ ትስስር ማስታወሻዎች")</f>
        <v>ለ) እንደ ታማኝነት እና የቤተሰብ ትስስር ማስታወሻዎች</v>
      </c>
      <c r="K87" s="5" t="str">
        <f>IFERROR(__xludf.DUMMYFUNCTION(" GOOGLETRANSLATE(E87, ""en"", ""am"")"),"ጠባሳ እንደ ታማኝነት እና ድፍረት ምልክቶች ይከበራል።")</f>
        <v>ጠባሳ እንደ ታማኝነት እና ድፍረት ምልክቶች ይከበራል።</v>
      </c>
    </row>
    <row r="88" ht="22.5" customHeight="1">
      <c r="A88" s="19">
        <v>87.0</v>
      </c>
      <c r="B88" s="5" t="s">
        <v>3598</v>
      </c>
      <c r="C88" s="5" t="s">
        <v>3599</v>
      </c>
      <c r="D88" s="5" t="s">
        <v>3600</v>
      </c>
      <c r="E88" s="5" t="s">
        <v>3601</v>
      </c>
      <c r="F88" s="18"/>
      <c r="G88" s="5" t="str">
        <f>IFERROR(__xludf.DUMMYFUNCTION(" GOOGLETRANSLATE(A88, ""en"", ""am"")"),"87")</f>
        <v>87</v>
      </c>
      <c r="H88" s="5" t="str">
        <f>IFERROR(__xludf.DUMMYFUNCTION(" GOOGLETRANSLATE(B88, ""en"", ""am"")"),"በአምልኮ ሥርዓቱ ውስጥ ምን ያህል በሬዎች ጥቅም ላይ እንደሚውሉ የሚወስነው ምንድን ነው?")</f>
        <v>በአምልኮ ሥርዓቱ ውስጥ ምን ያህል በሬዎች ጥቅም ላይ እንደሚውሉ የሚወስነው ምንድን ነው?</v>
      </c>
      <c r="I88" s="5" t="str">
        <f>IFERROR(__xludf.DUMMYFUNCTION(" GOOGLETRANSLATE(C88, ""en"", ""am"")"),"ሀ. የጎሳ ህጎች ለ. የቤተሰብ ሀብት እና የከብት ባለቤትነት ሐ. የጀማሪ ዕድሜ መ. የዝናብ ወቅት")</f>
        <v>ሀ. የጎሳ ህጎች ለ. የቤተሰብ ሀብት እና የከብት ባለቤትነት ሐ. የጀማሪ ዕድሜ መ. የዝናብ ወቅት</v>
      </c>
      <c r="J88" s="5" t="str">
        <f>IFERROR(__xludf.DUMMYFUNCTION(" GOOGLETRANSLATE(D88, ""en"", ""am"")"),"ለ) የቤተሰብ ሀብት እና የከብት ባለቤትነት")</f>
        <v>ለ) የቤተሰብ ሀብት እና የከብት ባለቤትነት</v>
      </c>
      <c r="K88" s="5" t="str">
        <f>IFERROR(__xludf.DUMMYFUNCTION(" GOOGLETRANSLATE(E88, ""en"", ""am"")"),"ሀብታም ቤተሰቦች ለክብር ሲሉ ብዙ ወይፈኖችን ያሰማሉ።")</f>
        <v>ሀብታም ቤተሰቦች ለክብር ሲሉ ብዙ ወይፈኖችን ያሰማሉ።</v>
      </c>
    </row>
    <row r="89" ht="22.5" customHeight="1">
      <c r="A89" s="19">
        <v>88.0</v>
      </c>
      <c r="B89" s="5" t="s">
        <v>3602</v>
      </c>
      <c r="C89" s="5" t="s">
        <v>3603</v>
      </c>
      <c r="D89" s="5" t="s">
        <v>3604</v>
      </c>
      <c r="E89" s="5" t="s">
        <v>3605</v>
      </c>
      <c r="F89" s="18"/>
      <c r="G89" s="5" t="str">
        <f>IFERROR(__xludf.DUMMYFUNCTION(" GOOGLETRANSLATE(A89, ""en"", ""am"")"),"88")</f>
        <v>88</v>
      </c>
      <c r="H89" s="5" t="str">
        <f>IFERROR(__xludf.DUMMYFUNCTION(" GOOGLETRANSLATE(B89, ""en"", ""am"")"),"በሐማር ማህበረሰብ ውስጥ ያለው የስርአቱ ሰፊ ሚና ምንድነው?")</f>
        <v>በሐማር ማህበረሰብ ውስጥ ያለው የስርአቱ ሰፊ ሚና ምንድነው?</v>
      </c>
      <c r="I89" s="5" t="str">
        <f>IFERROR(__xludf.DUMMYFUNCTION(" GOOGLETRANSLATE(C89, ""en"", ""am"")"),"ሀ. መዝናኛ ለቱሪስቶች ለ. የኢኮኖሚ ልማት ሐ. የባህል ማንነትን መጠበቅ መ. የፖለቲካ አንድነት")</f>
        <v>ሀ. መዝናኛ ለቱሪስቶች ለ. የኢኮኖሚ ልማት ሐ. የባህል ማንነትን መጠበቅ መ. የፖለቲካ አንድነት</v>
      </c>
      <c r="J89" s="5" t="str">
        <f>IFERROR(__xludf.DUMMYFUNCTION(" GOOGLETRANSLATE(D89, ""en"", ""am"")"),"ሐ) ባህላዊ ማንነትን መጠበቅ")</f>
        <v>ሐ) ባህላዊ ማንነትን መጠበቅ</v>
      </c>
      <c r="K89" s="5" t="str">
        <f>IFERROR(__xludf.DUMMYFUNCTION(" GOOGLETRANSLATE(E89, ""en"", ""am"")"),"የአምልኮ ሥርዓቱ ወጎች እና ማንነት ለቀጣዩ ትውልድ መተላለፉን ያረጋግጣል.")</f>
        <v>የአምልኮ ሥርዓቱ ወጎች እና ማንነት ለቀጣዩ ትውልድ መተላለፉን ያረጋግጣል.</v>
      </c>
    </row>
    <row r="90" ht="22.5" customHeight="1">
      <c r="A90" s="19">
        <v>89.0</v>
      </c>
      <c r="B90" s="5" t="s">
        <v>3606</v>
      </c>
      <c r="C90" s="5" t="s">
        <v>3607</v>
      </c>
      <c r="D90" s="5" t="s">
        <v>3608</v>
      </c>
      <c r="E90" s="5" t="s">
        <v>3609</v>
      </c>
      <c r="F90" s="18"/>
      <c r="G90" s="5" t="str">
        <f>IFERROR(__xludf.DUMMYFUNCTION(" GOOGLETRANSLATE(A90, ""en"", ""am"")"),"89")</f>
        <v>89</v>
      </c>
      <c r="H90" s="5" t="str">
        <f>IFERROR(__xludf.DUMMYFUNCTION(" GOOGLETRANSLATE(B90, ""en"", ""am"")"),"ዝላይ ከተሳካ በኋላ ሴቶች እንዴት ያከብራሉ?")</f>
        <v>ዝላይ ከተሳካ በኋላ ሴቶች እንዴት ያከብራሉ?</v>
      </c>
      <c r="I90" s="5" t="str">
        <f>IFERROR(__xludf.DUMMYFUNCTION(" GOOGLETRANSLATE(C90, ""en"", ""am"")"),"ሀ. ወተት እና ምግብ በማካፈል ለ. ድምፃቸውን ከፍ አድርገው በመዝፈን እና በመጨፈር ሐ. ዶቃዎቻቸውን በማውለቅ መ. ከብቶቹን በመቀባት")</f>
        <v>ሀ. ወተት እና ምግብ በማካፈል ለ. ድምፃቸውን ከፍ አድርገው በመዝፈን እና በመጨፈር ሐ. ዶቃዎቻቸውን በማውለቅ መ. ከብቶቹን በመቀባት</v>
      </c>
      <c r="J90" s="5" t="str">
        <f>IFERROR(__xludf.DUMMYFUNCTION(" GOOGLETRANSLATE(D90, ""en"", ""am"")"),"ለ) ጮክ ብሎ በመዘመር እና በመደነስ")</f>
        <v>ለ) ጮክ ብሎ በመዘመር እና በመደነስ</v>
      </c>
      <c r="K90" s="5" t="str">
        <f>IFERROR(__xludf.DUMMYFUNCTION(" GOOGLETRANSLATE(E90, ""en"", ""am"")"),"ሴቶች ጀማሪውን ለማክበር በዳንስ እና በዘፈን ደስታን ይገልጻሉ።")</f>
        <v>ሴቶች ጀማሪውን ለማክበር በዳንስ እና በዘፈን ደስታን ይገልጻሉ።</v>
      </c>
    </row>
    <row r="91" ht="22.5" customHeight="1">
      <c r="A91" s="19">
        <v>90.0</v>
      </c>
      <c r="B91" s="5" t="s">
        <v>3610</v>
      </c>
      <c r="C91" s="5" t="s">
        <v>3611</v>
      </c>
      <c r="D91" s="5" t="s">
        <v>3612</v>
      </c>
      <c r="E91" s="5" t="s">
        <v>3613</v>
      </c>
      <c r="F91" s="18"/>
      <c r="G91" s="5" t="str">
        <f>IFERROR(__xludf.DUMMYFUNCTION(" GOOGLETRANSLATE(A91, ""en"", ""am"")"),"90")</f>
        <v>90</v>
      </c>
      <c r="H91" s="5" t="str">
        <f>IFERROR(__xludf.DUMMYFUNCTION(" GOOGLETRANSLATE(B91, ""en"", ""am"")"),"የሚፈለገው ዝቅተኛው የተሳካ ሩጫዎች ብዛት ስንት ነው?")</f>
        <v>የሚፈለገው ዝቅተኛው የተሳካ ሩጫዎች ብዛት ስንት ነው?</v>
      </c>
      <c r="I91" s="5" t="str">
        <f>IFERROR(__xludf.DUMMYFUNCTION(" GOOGLETRANSLATE(C91, ""en"", ""am"")"),"አ.2 ለ. 3 ሐ. 4 ዲ. 5")</f>
        <v>አ.2 ለ. 3 ሐ. 4 ዲ. 5</v>
      </c>
      <c r="J91" s="5" t="str">
        <f>IFERROR(__xludf.DUMMYFUNCTION(" GOOGLETRANSLATE(D91, ""en"", ""am"")"),"ሐ) 4")</f>
        <v>ሐ) 4</v>
      </c>
      <c r="K91" s="5" t="str">
        <f>IFERROR(__xludf.DUMMYFUNCTION(" GOOGLETRANSLATE(E91, ""en"", ""am"")"),"ወግ እውቅና ለማግኘት አራት ተከታታይ ስኬታማ ሩጫዎችን ይጠይቃል።")</f>
        <v>ወግ እውቅና ለማግኘት አራት ተከታታይ ስኬታማ ሩጫዎችን ይጠይቃል።</v>
      </c>
    </row>
    <row r="92" ht="22.5" customHeight="1">
      <c r="A92" s="19">
        <v>91.0</v>
      </c>
      <c r="B92" s="5" t="s">
        <v>3614</v>
      </c>
      <c r="C92" s="5" t="s">
        <v>3615</v>
      </c>
      <c r="D92" s="5" t="s">
        <v>3616</v>
      </c>
      <c r="E92" s="5" t="s">
        <v>3617</v>
      </c>
      <c r="F92" s="18"/>
      <c r="G92" s="5" t="str">
        <f>IFERROR(__xludf.DUMMYFUNCTION(" GOOGLETRANSLATE(A92, ""en"", ""am"")"),"91")</f>
        <v>91</v>
      </c>
      <c r="H92" s="5" t="str">
        <f>IFERROR(__xludf.DUMMYFUNCTION(" GOOGLETRANSLATE(B92, ""en"", ""am"")"),"ከእነዚህ ውስጥ የላም ዝላይ አካል ያልሆነው የትኛው ነው?")</f>
        <v>ከእነዚህ ውስጥ የላም ዝላይ አካል ያልሆነው የትኛው ነው?</v>
      </c>
      <c r="I92" s="5" t="str">
        <f>IFERROR(__xludf.DUMMYFUNCTION(" GOOGLETRANSLATE(C92, ""en"", ""am"")"),"ሀ. መዘመር እና ከበሮ ለ. የሴቶች የሥርዓት ጅራፍ ሐ. የከብት ማስዋቢያ መ. እሳት መራመድ")</f>
        <v>ሀ. መዘመር እና ከበሮ ለ. የሴቶች የሥርዓት ጅራፍ ሐ. የከብት ማስዋቢያ መ. እሳት መራመድ</v>
      </c>
      <c r="J92" s="5" t="str">
        <f>IFERROR(__xludf.DUMMYFUNCTION(" GOOGLETRANSLATE(D92, ""en"", ""am"")"),"መ) በእሳት መራመድ")</f>
        <v>መ) በእሳት መራመድ</v>
      </c>
      <c r="K92" s="5" t="str">
        <f>IFERROR(__xludf.DUMMYFUNCTION(" GOOGLETRANSLATE(E92, ""en"", ""am"")"),"የእሳት ማጥፊያ ሥርዓቶች የኡኩሊ ቡላ አካል አይደሉም።")</f>
        <v>የእሳት ማጥፊያ ሥርዓቶች የኡኩሊ ቡላ አካል አይደሉም።</v>
      </c>
    </row>
    <row r="93" ht="22.5" customHeight="1">
      <c r="A93" s="19">
        <v>92.0</v>
      </c>
      <c r="B93" s="5" t="s">
        <v>3618</v>
      </c>
      <c r="C93" s="5" t="s">
        <v>3619</v>
      </c>
      <c r="D93" s="5" t="s">
        <v>3620</v>
      </c>
      <c r="E93" s="5" t="s">
        <v>3621</v>
      </c>
      <c r="F93" s="18"/>
      <c r="G93" s="5" t="str">
        <f>IFERROR(__xludf.DUMMYFUNCTION(" GOOGLETRANSLATE(A93, ""en"", ""am"")"),"92")</f>
        <v>92</v>
      </c>
      <c r="H93" s="5" t="str">
        <f>IFERROR(__xludf.DUMMYFUNCTION(" GOOGLETRANSLATE(B93, ""en"", ""am"")"),"ከጀማሪው ስኬት የበለጠ የሚጠቀመው ማነው?")</f>
        <v>ከጀማሪው ስኬት የበለጠ የሚጠቀመው ማነው?</v>
      </c>
      <c r="I93" s="5" t="str">
        <f>IFERROR(__xludf.DUMMYFUNCTION(" GOOGLETRANSLATE(C93, ""en"", ""am"")"),"ሀ. እናቱ ለ. እህቶቹ ሐ. መላ ቤተሰቡ እና የወደፊት ሚስቱ መ. እራሱ ብቻ")</f>
        <v>ሀ. እናቱ ለ. እህቶቹ ሐ. መላ ቤተሰቡ እና የወደፊት ሚስቱ መ. እራሱ ብቻ</v>
      </c>
      <c r="J93" s="5" t="str">
        <f>IFERROR(__xludf.DUMMYFUNCTION(" GOOGLETRANSLATE(D93, ""en"", ""am"")"),"ሐ) መላው ቤተሰቡ እና የወደፊት ሚስቱ")</f>
        <v>ሐ) መላው ቤተሰቡ እና የወደፊት ሚስቱ</v>
      </c>
      <c r="K93" s="5" t="str">
        <f>IFERROR(__xludf.DUMMYFUNCTION(" GOOGLETRANSLATE(E93, ""en"", ""am"")"),"ስኬቱ የቤተሰቡን ክብር ያነሳል እና ጋብቻን ይፈቅዳል.")</f>
        <v>ስኬቱ የቤተሰቡን ክብር ያነሳል እና ጋብቻን ይፈቅዳል.</v>
      </c>
    </row>
    <row r="94" ht="22.5" customHeight="1">
      <c r="A94" s="19">
        <v>93.0</v>
      </c>
      <c r="B94" s="5" t="s">
        <v>3622</v>
      </c>
      <c r="C94" s="5" t="s">
        <v>3623</v>
      </c>
      <c r="D94" s="5" t="s">
        <v>3624</v>
      </c>
      <c r="E94" s="5" t="s">
        <v>3625</v>
      </c>
      <c r="F94" s="18"/>
      <c r="G94" s="5" t="str">
        <f>IFERROR(__xludf.DUMMYFUNCTION(" GOOGLETRANSLATE(A94, ""en"", ""am"")"),"93")</f>
        <v>93</v>
      </c>
      <c r="H94" s="5" t="str">
        <f>IFERROR(__xludf.DUMMYFUNCTION(" GOOGLETRANSLATE(B94, ""en"", ""am"")"),"ከላም ዝላይ ጎን ለጎን የሚካሄደው የትኛው ሌላ የሐማር ሥነ ሥርዓት ነው?")</f>
        <v>ከላም ዝላይ ጎን ለጎን የሚካሄደው የትኛው ሌላ የሐማር ሥነ ሥርዓት ነው?</v>
      </c>
      <c r="I94" s="5" t="str">
        <f>IFERROR(__xludf.DUMMYFUNCTION(" GOOGLETRANSLATE(C94, ""en"", ""am"")"),"ሀ. የሠርግ ሥነ ሥርዓት ለ. ዶንጋ በትር መዋጋት ሐ. የመኸር ሥነ ሥርዓት D. የዝናብ ጸሎት")</f>
        <v>ሀ. የሠርግ ሥነ ሥርዓት ለ. ዶንጋ በትር መዋጋት ሐ. የመኸር ሥነ ሥርዓት D. የዝናብ ጸሎት</v>
      </c>
      <c r="J94" s="5" t="str">
        <f>IFERROR(__xludf.DUMMYFUNCTION(" GOOGLETRANSLATE(D94, ""en"", ""am"")"),"ሀ) የሠርግ ሥነ ሥርዓት")</f>
        <v>ሀ) የሠርግ ሥነ ሥርዓት</v>
      </c>
      <c r="K94" s="5" t="str">
        <f>IFERROR(__xludf.DUMMYFUNCTION(" GOOGLETRANSLATE(E94, ""en"", ""am"")"),"ላም መዝለል ብዙውን ጊዜ ከጋብቻ ዝግጅት ይቀድማል።")</f>
        <v>ላም መዝለል ብዙውን ጊዜ ከጋብቻ ዝግጅት ይቀድማል።</v>
      </c>
    </row>
    <row r="95" ht="22.5" customHeight="1">
      <c r="A95" s="19">
        <v>94.0</v>
      </c>
      <c r="B95" s="5" t="s">
        <v>3626</v>
      </c>
      <c r="C95" s="5" t="s">
        <v>3627</v>
      </c>
      <c r="D95" s="5" t="s">
        <v>3628</v>
      </c>
      <c r="E95" s="5" t="s">
        <v>3629</v>
      </c>
      <c r="F95" s="18"/>
      <c r="G95" s="5" t="str">
        <f>IFERROR(__xludf.DUMMYFUNCTION(" GOOGLETRANSLATE(A95, ""en"", ""am"")"),"94")</f>
        <v>94</v>
      </c>
      <c r="H95" s="5" t="str">
        <f>IFERROR(__xludf.DUMMYFUNCTION(" GOOGLETRANSLATE(B95, ""en"", ""am"")"),"በሬዎች ላይ መሮጥ መንፈሳዊ ምንን ያመለክታል?")</f>
        <v>በሬዎች ላይ መሮጥ መንፈሳዊ ምንን ያመለክታል?</v>
      </c>
      <c r="I95" s="5" t="str">
        <f>IFERROR(__xludf.DUMMYFUNCTION(" GOOGLETRANSLATE(C95, ""en"", ""am"")"),"ሀ. ከደካማነት ወደ ጥንካሬ መሻገር ለ. ልጅነት እና ወንድነት ድልድይ ሐ. እርኩሳን መናፍስትን ማምለጥ መ. የዱር እንስሳትን መግራት")</f>
        <v>ሀ. ከደካማነት ወደ ጥንካሬ መሻገር ለ. ልጅነት እና ወንድነት ድልድይ ሐ. እርኩሳን መናፍስትን ማምለጥ መ. የዱር እንስሳትን መግራት</v>
      </c>
      <c r="J95" s="5" t="str">
        <f>IFERROR(__xludf.DUMMYFUNCTION(" GOOGLETRANSLATE(D95, ""en"", ""am"")"),"ለ) ልጅነትን እና ወንድነትን ማገናኘት")</f>
        <v>ለ) ልጅነትን እና ወንድነትን ማገናኘት</v>
      </c>
      <c r="K95" s="5" t="str">
        <f>IFERROR(__xludf.DUMMYFUNCTION(" GOOGLETRANSLATE(E95, ""en"", ""am"")"),"ድርጊቱ በህይወት ደረጃዎች መካከል ያለውን ሽግግር ያመለክታል.")</f>
        <v>ድርጊቱ በህይወት ደረጃዎች መካከል ያለውን ሽግግር ያመለክታል.</v>
      </c>
    </row>
    <row r="96" ht="22.5" customHeight="1">
      <c r="A96" s="19">
        <v>95.0</v>
      </c>
      <c r="B96" s="5" t="s">
        <v>3630</v>
      </c>
      <c r="C96" s="5" t="s">
        <v>3631</v>
      </c>
      <c r="D96" s="5" t="s">
        <v>3632</v>
      </c>
      <c r="E96" s="5" t="s">
        <v>3633</v>
      </c>
      <c r="F96" s="18"/>
      <c r="G96" s="5" t="str">
        <f>IFERROR(__xludf.DUMMYFUNCTION(" GOOGLETRANSLATE(A96, ""en"", ""am"")"),"95")</f>
        <v>95</v>
      </c>
      <c r="H96" s="5" t="str">
        <f>IFERROR(__xludf.DUMMYFUNCTION(" GOOGLETRANSLATE(B96, ""en"", ""am"")"),"የውጭ ሰዎች ብዙውን ጊዜ የሴቶችን ሚና እንዴት በተሳሳተ መንገድ ይተረጉማሉ?")</f>
        <v>የውጭ ሰዎች ብዙውን ጊዜ የሴቶችን ሚና እንዴት በተሳሳተ መንገድ ይተረጉማሉ?</v>
      </c>
      <c r="I96" s="5" t="str">
        <f>IFERROR(__xludf.DUMMYFUNCTION(" GOOGLETRANSLATE(C96, ""en"", ""am"")"),"ሀ.ሴቶች የተጨቆኑ ናቸው ብለው ያስባሉ ለ.ሴቶች ስርአቱን የሚቆጣጠሩ ይመስላቸዋል ሐ.ሴቶች ኮርማዎችን ያሰለጥናሉ D.ሴቶችም የሚዘሉ ይመስላቸዋል።")</f>
        <v>ሀ.ሴቶች የተጨቆኑ ናቸው ብለው ያስባሉ ለ.ሴቶች ስርአቱን የሚቆጣጠሩ ይመስላቸዋል ሐ.ሴቶች ኮርማዎችን ያሰለጥናሉ D.ሴቶችም የሚዘሉ ይመስላቸዋል።</v>
      </c>
      <c r="J96" s="5" t="str">
        <f>IFERROR(__xludf.DUMMYFUNCTION(" GOOGLETRANSLATE(D96, ""en"", ""am"")"),"ሀ) ሴቶች የተጨቆኑ ናቸው ብለው ያስባሉ")</f>
        <v>ሀ) ሴቶች የተጨቆኑ ናቸው ብለው ያስባሉ</v>
      </c>
      <c r="K96" s="5" t="str">
        <f>IFERROR(__xludf.DUMMYFUNCTION(" GOOGLETRANSLATE(E96, ""en"", ""am"")"),"የውጪ ሰዎች ጅራፍ መገረፍን እንደ መጎሳቆል ሲመለከቱት የአካባቢው ሰዎች ደግሞ እንደ ታማኝነት ይቆጥሩታል።")</f>
        <v>የውጪ ሰዎች ጅራፍ መገረፍን እንደ መጎሳቆል ሲመለከቱት የአካባቢው ሰዎች ደግሞ እንደ ታማኝነት ይቆጥሩታል።</v>
      </c>
    </row>
    <row r="97" ht="22.5" customHeight="1">
      <c r="A97" s="19">
        <v>96.0</v>
      </c>
      <c r="B97" s="5" t="s">
        <v>3634</v>
      </c>
      <c r="C97" s="5" t="s">
        <v>3635</v>
      </c>
      <c r="D97" s="5" t="s">
        <v>3636</v>
      </c>
      <c r="E97" s="5" t="s">
        <v>3637</v>
      </c>
      <c r="F97" s="18"/>
      <c r="G97" s="5" t="str">
        <f>IFERROR(__xludf.DUMMYFUNCTION(" GOOGLETRANSLATE(A97, ""en"", ""am"")"),"96")</f>
        <v>96</v>
      </c>
      <c r="H97" s="5" t="str">
        <f>IFERROR(__xludf.DUMMYFUNCTION(" GOOGLETRANSLATE(B97, ""en"", ""am"")"),"ላም ከዘለለ በኋላ በትውልድ የሚተላለፈው ነገር ምንድን ነው?")</f>
        <v>ላም ከዘለለ በኋላ በትውልድ የሚተላለፈው ነገር ምንድን ነው?</v>
      </c>
      <c r="I97" s="5" t="str">
        <f>IFERROR(__xludf.DUMMYFUNCTION(" GOOGLETRANSLATE(C97, ""en"", ""am"")"),"ሀ. የጀማሪ ሰራተኞች ቢ. በሥነ ሥርዓቱ ላይ ጥቅም ላይ የዋሉ ወይፈኖች ሐ. የሴቶች ዶቃዎች D. የተቀደሰ ከበሮ")</f>
        <v>ሀ. የጀማሪ ሰራተኞች ቢ. በሥነ ሥርዓቱ ላይ ጥቅም ላይ የዋሉ ወይፈኖች ሐ. የሴቶች ዶቃዎች D. የተቀደሰ ከበሮ</v>
      </c>
      <c r="J97" s="5" t="str">
        <f>IFERROR(__xludf.DUMMYFUNCTION(" GOOGLETRANSLATE(D97, ""en"", ""am"")"),"ሀ) ሠራተኞችን ጀምር")</f>
        <v>ሀ) ሠራተኞችን ጀምር</v>
      </c>
      <c r="K97" s="5" t="str">
        <f>IFERROR(__xludf.DUMMYFUNCTION(" GOOGLETRANSLATE(E97, ""en"", ""am"")"),"ሰራተኞቹ ቅርስን ይወክላሉ እና ብዙ ጊዜ ለወደፊት ልጆች ይሰጣሉ።")</f>
        <v>ሰራተኞቹ ቅርስን ይወክላሉ እና ብዙ ጊዜ ለወደፊት ልጆች ይሰጣሉ።</v>
      </c>
    </row>
    <row r="98" ht="22.5" customHeight="1">
      <c r="A98" s="19">
        <v>97.0</v>
      </c>
      <c r="B98" s="5" t="s">
        <v>3638</v>
      </c>
      <c r="C98" s="5" t="s">
        <v>3639</v>
      </c>
      <c r="D98" s="5" t="s">
        <v>3640</v>
      </c>
      <c r="E98" s="5" t="s">
        <v>3641</v>
      </c>
      <c r="F98" s="18"/>
      <c r="G98" s="5" t="str">
        <f>IFERROR(__xludf.DUMMYFUNCTION(" GOOGLETRANSLATE(A98, ""en"", ""am"")"),"97")</f>
        <v>97</v>
      </c>
      <c r="H98" s="5" t="str">
        <f>IFERROR(__xludf.DUMMYFUNCTION(" GOOGLETRANSLATE(B98, ""en"", ""am"")"),"ሥነ ሥርዓቱን በአንትሮፖሎጂ በተሻለ ሁኔታ የሚገልጸው የትኛው ቃል ነው?")</f>
        <v>ሥነ ሥርዓቱን በአንትሮፖሎጂ በተሻለ ሁኔታ የሚገልጸው የትኛው ቃል ነው?</v>
      </c>
      <c r="I98" s="5" t="str">
        <f>IFERROR(__xludf.DUMMYFUNCTION(" GOOGLETRANSLATE(C98, ""en"", ""am"")"),"ሀ. ምሳሌያዊ ጦርነት ለ. የአምልኮ ሥርዓት ሐ. የእንስሳት መስዋዕትነት መ. የፍርድ ቤት ዳንስ")</f>
        <v>ሀ. ምሳሌያዊ ጦርነት ለ. የአምልኮ ሥርዓት ሐ. የእንስሳት መስዋዕትነት መ. የፍርድ ቤት ዳንስ</v>
      </c>
      <c r="J98" s="5" t="str">
        <f>IFERROR(__xludf.DUMMYFUNCTION(" GOOGLETRANSLATE(D98, ""en"", ""am"")"),"ለ) የአምልኮ ሥርዓት")</f>
        <v>ለ) የአምልኮ ሥርዓት</v>
      </c>
      <c r="K98" s="5" t="str">
        <f>IFERROR(__xludf.DUMMYFUNCTION(" GOOGLETRANSLATE(E98, ""en"", ""am"")"),"ማህበራዊ ሽግግርን የሚያመለክት ቁልፍ ስርዓት ነው።")</f>
        <v>ማህበራዊ ሽግግርን የሚያመለክት ቁልፍ ስርዓት ነው።</v>
      </c>
    </row>
    <row r="99" ht="22.5" customHeight="1">
      <c r="A99" s="19">
        <v>98.0</v>
      </c>
      <c r="B99" s="5" t="s">
        <v>3642</v>
      </c>
      <c r="C99" s="5" t="s">
        <v>3643</v>
      </c>
      <c r="D99" s="5" t="s">
        <v>3644</v>
      </c>
      <c r="E99" s="5" t="s">
        <v>3645</v>
      </c>
      <c r="F99" s="18"/>
      <c r="G99" s="5" t="str">
        <f>IFERROR(__xludf.DUMMYFUNCTION(" GOOGLETRANSLATE(A99, ""en"", ""am"")"),"98")</f>
        <v>98</v>
      </c>
      <c r="H99" s="5" t="str">
        <f>IFERROR(__xludf.DUMMYFUNCTION(" GOOGLETRANSLATE(B99, ""en"", ""am"")"),"ብዙውን ጊዜ የአምልኮ ሥርዓቱን የሚፈጽሙ ወንዶች ልጆች የዕድሜ ክልል ምን ያህል ነው?")</f>
        <v>ብዙውን ጊዜ የአምልኮ ሥርዓቱን የሚፈጽሙ ወንዶች ልጆች የዕድሜ ክልል ምን ያህል ነው?</v>
      </c>
      <c r="I99" s="5" t="str">
        <f>IFERROR(__xludf.DUMMYFUNCTION(" GOOGLETRANSLATE(C99, ""en"", ""am"")"),"ዓ.8-12 ዓመታት B. 13-18 ዓመታት ሐ. 16-20 ዓመት መ. 21-25 ዓመታት")</f>
        <v>ዓ.8-12 ዓመታት B. 13-18 ዓመታት ሐ. 16-20 ዓመት መ. 21-25 ዓመታት</v>
      </c>
      <c r="J99" s="5" t="str">
        <f>IFERROR(__xludf.DUMMYFUNCTION(" GOOGLETRANSLATE(D99, ""en"", ""am"")"),"ሐ) 16-20 ዓመታት")</f>
        <v>ሐ) 16-20 ዓመታት</v>
      </c>
      <c r="K99" s="5" t="str">
        <f>IFERROR(__xludf.DUMMYFUNCTION(" GOOGLETRANSLATE(E99, ""en"", ""am"")"),"ወደ ጉልምስና የሚጠጉ ታዳጊዎች ተመርጠዋል።")</f>
        <v>ወደ ጉልምስና የሚጠጉ ታዳጊዎች ተመርጠዋል።</v>
      </c>
    </row>
    <row r="100" ht="22.5" customHeight="1">
      <c r="A100" s="19">
        <v>99.0</v>
      </c>
      <c r="B100" s="5" t="s">
        <v>3646</v>
      </c>
      <c r="C100" s="5" t="s">
        <v>3647</v>
      </c>
      <c r="D100" s="5" t="s">
        <v>3648</v>
      </c>
      <c r="E100" s="5" t="s">
        <v>3649</v>
      </c>
      <c r="F100" s="18"/>
      <c r="G100" s="5" t="str">
        <f>IFERROR(__xludf.DUMMYFUNCTION(" GOOGLETRANSLATE(A100, ""en"", ""am"")"),"99")</f>
        <v>99</v>
      </c>
      <c r="H100" s="5" t="str">
        <f>IFERROR(__xludf.DUMMYFUNCTION(" GOOGLETRANSLATE(B100, ""en"", ""am"")"),"የተሳካላቸው ግን ለማግባት ፈቃደኛ ያልሆኑ ወንዶች ምን ይሆናሉ?")</f>
        <v>የተሳካላቸው ግን ለማግባት ፈቃደኛ ያልሆኑ ወንዶች ምን ይሆናሉ?</v>
      </c>
      <c r="I100" s="5" t="str">
        <f>IFERROR(__xludf.DUMMYFUNCTION(" GOOGLETRANSLATE(C100, ""en"", ""am"")"),"ሀ. የወንድነት ደረጃቸውን ያጣሉ ለ. አሁንም የአዋቂዎችን እውቅና ይዘው ይቆያሉ ሐ. የአምልኮ ሥርዓቱን መድገም አለባቸው D. መቀጫ ይደርስባቸዋል.")</f>
        <v>ሀ. የወንድነት ደረጃቸውን ያጣሉ ለ. አሁንም የአዋቂዎችን እውቅና ይዘው ይቆያሉ ሐ. የአምልኮ ሥርዓቱን መድገም አለባቸው D. መቀጫ ይደርስባቸዋል.</v>
      </c>
      <c r="J100" s="5" t="str">
        <f>IFERROR(__xludf.DUMMYFUNCTION(" GOOGLETRANSLATE(D100, ""en"", ""am"")"),"ለ) አሁንም የአዋቂዎችን እውቅና ይይዛሉ")</f>
        <v>ለ) አሁንም የአዋቂዎችን እውቅና ይይዛሉ</v>
      </c>
      <c r="K100" s="5" t="str">
        <f>IFERROR(__xludf.DUMMYFUNCTION(" GOOGLETRANSLATE(E100, ""en"", ""am"")"),"ጋብቻ አማራጭ ነው, ነገር ግን ወንድነት እውቅና አሁንም ይቀራል.")</f>
        <v>ጋብቻ አማራጭ ነው, ነገር ግን ወንድነት እውቅና አሁንም ይቀራል.</v>
      </c>
    </row>
    <row r="101" ht="22.5" customHeight="1">
      <c r="A101" s="19">
        <v>100.0</v>
      </c>
      <c r="B101" s="5" t="s">
        <v>3650</v>
      </c>
      <c r="C101" s="5" t="s">
        <v>3651</v>
      </c>
      <c r="D101" s="5" t="s">
        <v>3652</v>
      </c>
      <c r="E101" s="5" t="s">
        <v>3653</v>
      </c>
      <c r="F101" s="18"/>
      <c r="G101" s="5" t="str">
        <f>IFERROR(__xludf.DUMMYFUNCTION(" GOOGLETRANSLATE(A101, ""en"", ""am"")"),"100")</f>
        <v>100</v>
      </c>
      <c r="H101" s="5" t="str">
        <f>IFERROR(__xludf.DUMMYFUNCTION(" GOOGLETRANSLATE(B101, ""en"", ""am"")"),"ሥርዓተ ሥርዓቱ የጎሳውን ወጣቶች ምን ዘላቂ ትምህርት ያስተምራል?")</f>
        <v>ሥርዓተ ሥርዓቱ የጎሳውን ወጣቶች ምን ዘላቂ ትምህርት ያስተምራል?</v>
      </c>
      <c r="I101" s="5" t="str">
        <f>IFERROR(__xludf.DUMMYFUNCTION(" GOOGLETRANSLATE(C101, ""en"", ""am"")"),"ሀ. የከብት ንግድ አስፈላጊነት ለ. የጀግንነት፣ የታማኝነት እና የአንድነት አስፈላጊነት ሐ. ሰብሎችን እንዴት ማረስ እንደሚቻል መ. የቅኝ ገዢዎችን እንዴት መቋቋም እንደሚቻል")</f>
        <v>ሀ. የከብት ንግድ አስፈላጊነት ለ. የጀግንነት፣ የታማኝነት እና የአንድነት አስፈላጊነት ሐ. ሰብሎችን እንዴት ማረስ እንደሚቻል መ. የቅኝ ገዢዎችን እንዴት መቋቋም እንደሚቻል</v>
      </c>
      <c r="J101" s="5" t="str">
        <f>IFERROR(__xludf.DUMMYFUNCTION(" GOOGLETRANSLATE(D101, ""en"", ""am"")"),"ለ) ጀግንነት፣ ታማኝነት እና አንድነት አስፈላጊነት")</f>
        <v>ለ) ጀግንነት፣ ታማኝነት እና አንድነት አስፈላጊነት</v>
      </c>
      <c r="K101" s="5" t="str">
        <f>IFERROR(__xludf.DUMMYFUNCTION(" GOOGLETRANSLATE(E101, ""en"", ""am"")"),"ሥነ ሥርዓቱ ለሐማር ማንነት እና ሕልውና ማዕከላዊ እሴቶችን ያጠናክራል።")</f>
        <v>ሥነ ሥርዓቱ ለሐማር ማንነት እና ሕልውና ማዕከላዊ እሴቶችን ያጠናክራል።</v>
      </c>
    </row>
    <row r="102" ht="22.5" customHeight="1">
      <c r="A102" s="19">
        <v>101.0</v>
      </c>
      <c r="B102" s="5" t="s">
        <v>3654</v>
      </c>
      <c r="C102" s="5" t="s">
        <v>3655</v>
      </c>
      <c r="D102" s="5" t="s">
        <v>3656</v>
      </c>
      <c r="E102" s="5" t="s">
        <v>3657</v>
      </c>
      <c r="F102" s="18"/>
      <c r="G102" s="5" t="str">
        <f>IFERROR(__xludf.DUMMYFUNCTION(" GOOGLETRANSLATE(A102, ""en"", ""am"")"),"101")</f>
        <v>101</v>
      </c>
      <c r="H102" s="5" t="str">
        <f>IFERROR(__xludf.DUMMYFUNCTION(" GOOGLETRANSLATE(B102, ""en"", ""am"")"),"በላም ዝላይ ወቅት አብዛኛው ዘፈን የሚያዘጋጀው የትኛው ጾታ ነው?")</f>
        <v>በላም ዝላይ ወቅት አብዛኛው ዘፈን የሚያዘጋጀው የትኛው ጾታ ነው?</v>
      </c>
      <c r="I102" s="5" t="str">
        <f>IFERROR(__xludf.DUMMYFUNCTION(" GOOGLETRANSLATE(C102, ""en"", ""am"")"),"ሀ. ወንዶች ለ.ሴቶች ሐ. ህጻናት D. ሽማግሌዎች ብቻ")</f>
        <v>ሀ. ወንዶች ለ.ሴቶች ሐ. ህጻናት D. ሽማግሌዎች ብቻ</v>
      </c>
      <c r="J102" s="5" t="str">
        <f>IFERROR(__xludf.DUMMYFUNCTION(" GOOGLETRANSLATE(D102, ""en"", ""am"")"),"ለ) ሴቶች")</f>
        <v>ለ) ሴቶች</v>
      </c>
      <c r="K102" s="5" t="str">
        <f>IFERROR(__xludf.DUMMYFUNCTION(" GOOGLETRANSLATE(E102, ""en"", ""am"")"),"ሴቶች ድፍረትን የሚያነሳሱ እና አንድነትን የሚያመለክቱ ዘፈኖችን ይመራሉ.")</f>
        <v>ሴቶች ድፍረትን የሚያነሳሱ እና አንድነትን የሚያመለክቱ ዘፈኖችን ይመራሉ.</v>
      </c>
    </row>
    <row r="103" ht="22.5" customHeight="1">
      <c r="A103" s="19">
        <v>102.0</v>
      </c>
      <c r="B103" s="5" t="s">
        <v>3658</v>
      </c>
      <c r="C103" s="5" t="s">
        <v>3659</v>
      </c>
      <c r="D103" s="5" t="s">
        <v>3660</v>
      </c>
      <c r="E103" s="5" t="s">
        <v>3661</v>
      </c>
      <c r="F103" s="18"/>
      <c r="G103" s="5" t="str">
        <f>IFERROR(__xludf.DUMMYFUNCTION(" GOOGLETRANSLATE(A103, ""en"", ""am"")"),"102")</f>
        <v>102</v>
      </c>
      <c r="H103" s="5" t="str">
        <f>IFERROR(__xludf.DUMMYFUNCTION(" GOOGLETRANSLATE(B103, ""en"", ""am"")"),"የበሬዎችን ጀርባ የመቀባት ተምሳሌት ምንድን ነው?")</f>
        <v>የበሬዎችን ጀርባ የመቀባት ተምሳሌት ምንድን ነው?</v>
      </c>
      <c r="I103" s="5" t="str">
        <f>IFERROR(__xludf.DUMMYFUNCTION(" GOOGLETRANSLATE(C103, ""en"", ""am"")"),"ሀ. ቅዱሳን ማድረግ ለ. የቀድሞ አባቶች መንፈስን መጋበዝ ሐ. የመዝለል ችግርን መጨመር መ. ለሽያጭ ማዘጋጀት")</f>
        <v>ሀ. ቅዱሳን ማድረግ ለ. የቀድሞ አባቶች መንፈስን መጋበዝ ሐ. የመዝለል ችግርን መጨመር መ. ለሽያጭ ማዘጋጀት</v>
      </c>
      <c r="J103" s="5" t="str">
        <f>IFERROR(__xludf.DUMMYFUNCTION(" GOOGLETRANSLATE(D103, ""en"", ""am"")"),"ሐ) የመዝለል ችግር መጨመር")</f>
        <v>ሐ) የመዝለል ችግር መጨመር</v>
      </c>
      <c r="K103" s="5" t="str">
        <f>IFERROR(__xludf.DUMMYFUNCTION(" GOOGLETRANSLATE(E103, ""en"", ""am"")"),"የጀማሪውን ችሎታ እና ሚዛን ይፈትሻል።")</f>
        <v>የጀማሪውን ችሎታ እና ሚዛን ይፈትሻል።</v>
      </c>
    </row>
    <row r="104" ht="22.5" customHeight="1">
      <c r="A104" s="19">
        <v>103.0</v>
      </c>
      <c r="B104" s="5" t="s">
        <v>3662</v>
      </c>
      <c r="C104" s="5" t="s">
        <v>3663</v>
      </c>
      <c r="D104" s="5" t="s">
        <v>3664</v>
      </c>
      <c r="E104" s="5" t="s">
        <v>3665</v>
      </c>
      <c r="F104" s="18"/>
      <c r="G104" s="5" t="str">
        <f>IFERROR(__xludf.DUMMYFUNCTION(" GOOGLETRANSLATE(A104, ""en"", ""am"")"),"103")</f>
        <v>103</v>
      </c>
      <c r="H104" s="5" t="str">
        <f>IFERROR(__xludf.DUMMYFUNCTION(" GOOGLETRANSLATE(B104, ""en"", ""am"")"),"በአምልኮ ሥርዓቱ ወቅት ሥርዓትን የሚያረጋግጥ የትኛው ቡድን ነው?")</f>
        <v>በአምልኮ ሥርዓቱ ወቅት ሥርዓትን የሚያረጋግጥ የትኛው ቡድን ነው?</v>
      </c>
      <c r="I104" s="5" t="str">
        <f>IFERROR(__xludf.DUMMYFUNCTION(" GOOGLETRANSLATE(C104, ""en"", ""am"")"),"ሀ. እናቶች ለ. ሽማግሌዎች ሐ. ተዋጊዎች ዲ. የውጭ ሰዎች")</f>
        <v>ሀ. እናቶች ለ. ሽማግሌዎች ሐ. ተዋጊዎች ዲ. የውጭ ሰዎች</v>
      </c>
      <c r="J104" s="5" t="str">
        <f>IFERROR(__xludf.DUMMYFUNCTION(" GOOGLETRANSLATE(D104, ""en"", ""am"")"),"ለ) ሽማግሌዎች")</f>
        <v>ለ) ሽማግሌዎች</v>
      </c>
      <c r="K104" s="5" t="str">
        <f>IFERROR(__xludf.DUMMYFUNCTION(" GOOGLETRANSLATE(E104, ""en"", ""am"")"),"ሽማግሌዎች ባህላዊ ደንቦችን ይቆጣጠራሉ፣ ይባርካሉ እና ይጠብቃሉ።")</f>
        <v>ሽማግሌዎች ባህላዊ ደንቦችን ይቆጣጠራሉ፣ ይባርካሉ እና ይጠብቃሉ።</v>
      </c>
    </row>
    <row r="105" ht="22.5" customHeight="1">
      <c r="A105" s="19">
        <v>104.0</v>
      </c>
      <c r="B105" s="5" t="s">
        <v>3666</v>
      </c>
      <c r="C105" s="5" t="s">
        <v>3667</v>
      </c>
      <c r="D105" s="5" t="s">
        <v>3668</v>
      </c>
      <c r="E105" s="5" t="s">
        <v>3669</v>
      </c>
      <c r="F105" s="18"/>
      <c r="G105" s="5" t="str">
        <f>IFERROR(__xludf.DUMMYFUNCTION(" GOOGLETRANSLATE(A105, ""en"", ""am"")"),"104")</f>
        <v>104</v>
      </c>
      <c r="H105" s="5" t="str">
        <f>IFERROR(__xludf.DUMMYFUNCTION(" GOOGLETRANSLATE(B105, ""en"", ""am"")"),"የአምልኮ ሥርዓቱ እንደ ፈተና ይቆጠራል-")</f>
        <v>የአምልኮ ሥርዓቱ እንደ ፈተና ይቆጠራል-</v>
      </c>
      <c r="I105" s="5" t="str">
        <f>IFERROR(__xludf.DUMMYFUNCTION(" GOOGLETRANSLATE(C105, ""en"", ""am"")"),"ሀ. ሀብት እና ብልጽግና ለ. ሚዛን እና ጀግንነት ሐ. ትምህርት እና መፃፍ መ. የፖለቲካ ታማኝነት")</f>
        <v>ሀ. ሀብት እና ብልጽግና ለ. ሚዛን እና ጀግንነት ሐ. ትምህርት እና መፃፍ መ. የፖለቲካ ታማኝነት</v>
      </c>
      <c r="J105" s="5" t="str">
        <f>IFERROR(__xludf.DUMMYFUNCTION(" GOOGLETRANSLATE(D105, ""en"", ""am"")"),"ለ) ሚዛን እና ጀግንነት")</f>
        <v>ለ) ሚዛን እና ጀግንነት</v>
      </c>
      <c r="K105" s="5" t="str">
        <f>IFERROR(__xludf.DUMMYFUNCTION(" GOOGLETRANSLATE(E105, ""en"", ""am"")"),"አካላዊ ችሎታ ለአዋቂዎች ሃላፊነት ጥንካሬን ያመለክታል.")</f>
        <v>አካላዊ ችሎታ ለአዋቂዎች ሃላፊነት ጥንካሬን ያመለክታል.</v>
      </c>
    </row>
    <row r="106" ht="22.5" customHeight="1">
      <c r="A106" s="19">
        <v>105.0</v>
      </c>
      <c r="B106" s="5" t="s">
        <v>3670</v>
      </c>
      <c r="C106" s="5" t="s">
        <v>3671</v>
      </c>
      <c r="D106" s="5" t="s">
        <v>3672</v>
      </c>
      <c r="E106" s="5" t="s">
        <v>3673</v>
      </c>
      <c r="F106" s="18"/>
      <c r="G106" s="5" t="str">
        <f>IFERROR(__xludf.DUMMYFUNCTION(" GOOGLETRANSLATE(A106, ""en"", ""am"")"),"105")</f>
        <v>105</v>
      </c>
      <c r="H106" s="5" t="str">
        <f>IFERROR(__xludf.DUMMYFUNCTION(" GOOGLETRANSLATE(B106, ""en"", ""am"")"),"የአምልኮ ሥርዓቱ ዋና ዋና እንስሳት የትኞቹ ናቸው?")</f>
        <v>የአምልኮ ሥርዓቱ ዋና ዋና እንስሳት የትኞቹ ናቸው?</v>
      </c>
      <c r="I106" s="5" t="str">
        <f>IFERROR(__xludf.DUMMYFUNCTION(" GOOGLETRANSLATE(C106, ""en"", ""am"")"),"ሀ. ላሞች ቢ. በሬዎች ሐ. ፍየሎች ዲ. ፈረሶች")</f>
        <v>ሀ. ላሞች ቢ. በሬዎች ሐ. ፍየሎች ዲ. ፈረሶች</v>
      </c>
      <c r="J106" s="5" t="str">
        <f>IFERROR(__xludf.DUMMYFUNCTION(" GOOGLETRANSLATE(D106, ""en"", ""am"")"),"ለ) በሬዎች")</f>
        <v>ለ) በሬዎች</v>
      </c>
      <c r="K106" s="5" t="str">
        <f>IFERROR(__xludf.DUMMYFUNCTION(" GOOGLETRANSLATE(E106, ""en"", ""am"")"),"በሬዎች ጥንካሬን እና የብስለት ፈተናዎችን ይወክላሉ.")</f>
        <v>በሬዎች ጥንካሬን እና የብስለት ፈተናዎችን ይወክላሉ.</v>
      </c>
    </row>
    <row r="107" ht="22.5" customHeight="1">
      <c r="A107" s="19">
        <v>106.0</v>
      </c>
      <c r="B107" s="5" t="s">
        <v>3674</v>
      </c>
      <c r="C107" s="5" t="s">
        <v>3675</v>
      </c>
      <c r="D107" s="5" t="s">
        <v>3676</v>
      </c>
      <c r="E107" s="5" t="s">
        <v>3677</v>
      </c>
      <c r="F107" s="18"/>
      <c r="G107" s="5" t="str">
        <f>IFERROR(__xludf.DUMMYFUNCTION(" GOOGLETRANSLATE(A107, ""en"", ""am"")"),"106")</f>
        <v>106</v>
      </c>
      <c r="H107" s="5" t="str">
        <f>IFERROR(__xludf.DUMMYFUNCTION(" GOOGLETRANSLATE(B107, ""en"", ""am"")"),"በአምልኮ ሥርዓቱ ወቅት ሴቶች ታማኝነታቸውን እንዴት ያሳያሉ?")</f>
        <v>በአምልኮ ሥርዓቱ ወቅት ሴቶች ታማኝነታቸውን እንዴት ያሳያሉ?</v>
      </c>
      <c r="I107" s="5" t="str">
        <f>IFERROR(__xludf.DUMMYFUNCTION(" GOOGLETRANSLATE(C107, ""en"", ""am"")"),"ሀ. ምግብ በማዘጋጀት ለ. በመዘመር እና ጅራፍ በመቀበል ሐ. ላሞችን በማጥባት መ. ቤቶችን በመሳል")</f>
        <v>ሀ. ምግብ በማዘጋጀት ለ. በመዘመር እና ጅራፍ በመቀበል ሐ. ላሞችን በማጥባት መ. ቤቶችን በመሳል</v>
      </c>
      <c r="J107" s="5" t="str">
        <f>IFERROR(__xludf.DUMMYFUNCTION(" GOOGLETRANSLATE(D107, ""en"", ""am"")"),"ለ) በመዘመር እና ጅራፍ በመቀበል")</f>
        <v>ለ) በመዘመር እና ጅራፍ በመቀበል</v>
      </c>
      <c r="K107" s="5" t="str">
        <f>IFERROR(__xludf.DUMMYFUNCTION(" GOOGLETRANSLATE(E107, ""en"", ""am"")"),"ይህ ድርጊት የቤተሰብ ቁርጠኝነትን እና አብሮነትን ያሳያል።")</f>
        <v>ይህ ድርጊት የቤተሰብ ቁርጠኝነትን እና አብሮነትን ያሳያል።</v>
      </c>
    </row>
    <row r="108" ht="22.5" customHeight="1">
      <c r="A108" s="19">
        <v>107.0</v>
      </c>
      <c r="B108" s="5" t="s">
        <v>3678</v>
      </c>
      <c r="C108" s="5" t="s">
        <v>3679</v>
      </c>
      <c r="D108" s="5" t="s">
        <v>3680</v>
      </c>
      <c r="E108" s="5" t="s">
        <v>3681</v>
      </c>
      <c r="F108" s="18"/>
      <c r="G108" s="5" t="str">
        <f>IFERROR(__xludf.DUMMYFUNCTION(" GOOGLETRANSLATE(A108, ""en"", ""am"")"),"107")</f>
        <v>107</v>
      </c>
      <c r="H108" s="5" t="str">
        <f>IFERROR(__xludf.DUMMYFUNCTION(" GOOGLETRANSLATE(B108, ""en"", ""am"")"),"ብዙውን ጊዜ ሥነ ሥርዓቱን የሚመዘግቡት ወይም ፎቶግራፍ የሚያነሱት የትኞቹ የውጭ ሰዎች ናቸው?")</f>
        <v>ብዙውን ጊዜ ሥነ ሥርዓቱን የሚመዘግቡት ወይም ፎቶግራፍ የሚያነሱት የትኞቹ የውጭ ሰዎች ናቸው?</v>
      </c>
      <c r="I108" s="5" t="str">
        <f>IFERROR(__xludf.DUMMYFUNCTION(" GOOGLETRANSLATE(C108, ""en"", ""am"")"),"ሀ. ሚስዮናውያን ለ. ቱሪስቶች እና አንትሮፖሎጂስቶች ሐ. ነጋዴዎች ዲ. ፖለቲከኞች")</f>
        <v>ሀ. ሚስዮናውያን ለ. ቱሪስቶች እና አንትሮፖሎጂስቶች ሐ. ነጋዴዎች ዲ. ፖለቲከኞች</v>
      </c>
      <c r="J108" s="5" t="str">
        <f>IFERROR(__xludf.DUMMYFUNCTION(" GOOGLETRANSLATE(D108, ""en"", ""am"")"),"ለ) ቱሪስቶች እና አንትሮፖሎጂስቶች")</f>
        <v>ለ) ቱሪስቶች እና አንትሮፖሎጂስቶች</v>
      </c>
      <c r="K108" s="5" t="str">
        <f>IFERROR(__xludf.DUMMYFUNCTION(" GOOGLETRANSLATE(E108, ""en"", ""am"")"),"ልዩ ሥነ ሥርዓቱ ተመራማሪዎችን እና ጎብኝዎችን ይስባል.")</f>
        <v>ልዩ ሥነ ሥርዓቱ ተመራማሪዎችን እና ጎብኝዎችን ይስባል.</v>
      </c>
    </row>
    <row r="109" ht="22.5" customHeight="1">
      <c r="A109" s="19">
        <v>108.0</v>
      </c>
      <c r="B109" s="5" t="s">
        <v>3682</v>
      </c>
      <c r="C109" s="5" t="s">
        <v>3683</v>
      </c>
      <c r="D109" s="5" t="s">
        <v>3684</v>
      </c>
      <c r="E109" s="5" t="s">
        <v>3685</v>
      </c>
      <c r="F109" s="18"/>
      <c r="G109" s="5" t="str">
        <f>IFERROR(__xludf.DUMMYFUNCTION(" GOOGLETRANSLATE(A109, ""en"", ""am"")"),"108")</f>
        <v>108</v>
      </c>
      <c r="H109" s="5" t="str">
        <f>IFERROR(__xludf.DUMMYFUNCTION(" GOOGLETRANSLATE(B109, ""en"", ""am"")"),"ጀማሪው ከመዝለሉ በፊት ቢደናገጥ ምን ይከሰታል?")</f>
        <v>ጀማሪው ከመዝለሉ በፊት ቢደናገጥ ምን ይከሰታል?</v>
      </c>
      <c r="I109" s="5" t="str">
        <f>IFERROR(__xludf.DUMMYFUNCTION(" GOOGLETRANSLATE(C109, ""en"", ""am"")"),"ሀ. ሽማግሌዎች ዝግጅቱን ሰርዘዋል ለ.ሴቶች ያፌዙበት ነበር ሐ.ሌላ ሥነሥርዓት እስኪደርስ ይጠብቃል D. ለመዝለል ተገደደ።")</f>
        <v>ሀ. ሽማግሌዎች ዝግጅቱን ሰርዘዋል ለ.ሴቶች ያፌዙበት ነበር ሐ.ሌላ ሥነሥርዓት እስኪደርስ ይጠብቃል D. ለመዝለል ተገደደ።</v>
      </c>
      <c r="J109" s="5" t="str">
        <f>IFERROR(__xludf.DUMMYFUNCTION(" GOOGLETRANSLATE(D109, ""en"", ""am"")"),"ሐ) ሌላ ሥነ ሥርዓት ድረስ ይጠብቃል")</f>
        <v>ሐ) ሌላ ሥነ ሥርዓት ድረስ ይጠብቃል</v>
      </c>
      <c r="K109" s="5" t="str">
        <f>IFERROR(__xludf.DUMMYFUNCTION(" GOOGLETRANSLATE(E109, ""en"", ""am"")"),"ተሳትፎ በፈቃደኝነት እና በራስ መተማመን መሆን አለበት.")</f>
        <v>ተሳትፎ በፈቃደኝነት እና በራስ መተማመን መሆን አለበት.</v>
      </c>
    </row>
    <row r="110" ht="22.5" customHeight="1">
      <c r="A110" s="19">
        <v>109.0</v>
      </c>
      <c r="B110" s="5" t="s">
        <v>3686</v>
      </c>
      <c r="C110" s="5" t="s">
        <v>3687</v>
      </c>
      <c r="D110" s="5" t="s">
        <v>3688</v>
      </c>
      <c r="E110" s="5" t="s">
        <v>3689</v>
      </c>
      <c r="F110" s="18"/>
      <c r="G110" s="5" t="str">
        <f>IFERROR(__xludf.DUMMYFUNCTION(" GOOGLETRANSLATE(A110, ""en"", ""am"")"),"109")</f>
        <v>109</v>
      </c>
      <c r="H110" s="5" t="str">
        <f>IFERROR(__xludf.DUMMYFUNCTION(" GOOGLETRANSLATE(B110, ""en"", ""am"")"),"የአምልኮ ሥርዓቱን የሚቆጣጠረው የትኛው ድምጽ ነው?")</f>
        <v>የአምልኮ ሥርዓቱን የሚቆጣጠረው የትኛው ድምጽ ነው?</v>
      </c>
      <c r="I110" s="5" t="str">
        <f>IFERROR(__xludf.DUMMYFUNCTION(" GOOGLETRANSLATE(C110, ""en"", ""am"")"),"ሀ. እንስሳት ያገሣል B. ከበሮ እና የሴቶች ዝማሬ ሐ. ደወል ይደውላል D. የጸጥታ ጸሎቶች")</f>
        <v>ሀ. እንስሳት ያገሣል B. ከበሮ እና የሴቶች ዝማሬ ሐ. ደወል ይደውላል D. የጸጥታ ጸሎቶች</v>
      </c>
      <c r="J110" s="5" t="str">
        <f>IFERROR(__xludf.DUMMYFUNCTION(" GOOGLETRANSLATE(D110, ""en"", ""am"")"),"ለ) ከበሮዎች እና የሴቶች ዝማሬዎች")</f>
        <v>ለ) ከበሮዎች እና የሴቶች ዝማሬዎች</v>
      </c>
      <c r="K110" s="5" t="str">
        <f>IFERROR(__xludf.DUMMYFUNCTION(" GOOGLETRANSLATE(E110, ""en"", ""am"")"),"ሪትሞች ክብረ በዓሉን ያበረታታሉ።")</f>
        <v>ሪትሞች ክብረ በዓሉን ያበረታታሉ።</v>
      </c>
    </row>
    <row r="111" ht="22.5" customHeight="1">
      <c r="A111" s="19">
        <v>110.0</v>
      </c>
      <c r="B111" s="5" t="s">
        <v>3690</v>
      </c>
      <c r="C111" s="5" t="s">
        <v>3691</v>
      </c>
      <c r="D111" s="5" t="s">
        <v>3692</v>
      </c>
      <c r="E111" s="5" t="s">
        <v>3693</v>
      </c>
      <c r="F111" s="18"/>
      <c r="G111" s="5" t="str">
        <f>IFERROR(__xludf.DUMMYFUNCTION(" GOOGLETRANSLATE(A111, ""en"", ""am"")"),"110")</f>
        <v>110</v>
      </c>
      <c r="H111" s="5" t="str">
        <f>IFERROR(__xludf.DUMMYFUNCTION(" GOOGLETRANSLATE(B111, ""en"", ""am"")"),"ጀማሪው ከማግባት መብት ሌላ ምን ጥቅም አለው?")</f>
        <v>ጀማሪው ከማግባት መብት ሌላ ምን ጥቅም አለው?</v>
      </c>
      <c r="I111" s="5" t="str">
        <f>IFERROR(__xludf.DUMMYFUNCTION(" GOOGLETRANSLATE(C111, ""en"", ""am"")"),"ሀ. የቤተሰብ ከብቶች ባለቤትነት ለ. እንደ ትልቅ ሰው እውቅና መስጠት ሐ. የጎሳ መሬት ድርሻ መ. የፖለቲካ ስልጣን")</f>
        <v>ሀ. የቤተሰብ ከብቶች ባለቤትነት ለ. እንደ ትልቅ ሰው እውቅና መስጠት ሐ. የጎሳ መሬት ድርሻ መ. የፖለቲካ ስልጣን</v>
      </c>
      <c r="J111" s="5" t="str">
        <f>IFERROR(__xludf.DUMMYFUNCTION(" GOOGLETRANSLATE(D111, ""en"", ""am"")"),"ለ) እንደ ትልቅ ሰው እውቅና መስጠት")</f>
        <v>ለ) እንደ ትልቅ ሰው እውቅና መስጠት</v>
      </c>
      <c r="K111" s="5" t="str">
        <f>IFERROR(__xludf.DUMMYFUNCTION(" GOOGLETRANSLATE(E111, ""en"", ""am"")"),"አዲሱ ማንነቱ የጎልማሳ መብቶችን እና ግዴታዎችን ያጠቃልላል።")</f>
        <v>አዲሱ ማንነቱ የጎልማሳ መብቶችን እና ግዴታዎችን ያጠቃልላል።</v>
      </c>
    </row>
    <row r="112" ht="22.5" customHeight="1">
      <c r="A112" s="19">
        <v>111.0</v>
      </c>
      <c r="B112" s="5" t="s">
        <v>3694</v>
      </c>
      <c r="C112" s="5" t="s">
        <v>3695</v>
      </c>
      <c r="D112" s="5" t="s">
        <v>3696</v>
      </c>
      <c r="E112" s="5" t="s">
        <v>3697</v>
      </c>
      <c r="F112" s="18"/>
      <c r="G112" s="5" t="str">
        <f>IFERROR(__xludf.DUMMYFUNCTION(" GOOGLETRANSLATE(A112, ""en"", ""am"")"),"111")</f>
        <v>111</v>
      </c>
      <c r="H112" s="5" t="str">
        <f>IFERROR(__xludf.DUMMYFUNCTION(" GOOGLETRANSLATE(B112, ""en"", ""am"")"),"በዝግጅቱ ወቅት እህቶች በተለይ ንቁ የሆኑት ለምንድን ነው?")</f>
        <v>በዝግጅቱ ወቅት እህቶች በተለይ ንቁ የሆኑት ለምንድን ነው?</v>
      </c>
      <c r="I112" s="5" t="str">
        <f>IFERROR(__xludf.DUMMYFUNCTION(" GOOGLETRANSLATE(C112, ""en"", ""am"")"),"ሀ. ታማኝነታቸው የወደፊት ድጋፍን ያረጋግጣል B. ከሌሎች ሴቶች ጋር ይወዳደራሉ ሐ. በሬዎችን ያሰለጥናሉ D. ከብት ይወርሳሉ.")</f>
        <v>ሀ. ታማኝነታቸው የወደፊት ድጋፍን ያረጋግጣል B. ከሌሎች ሴቶች ጋር ይወዳደራሉ ሐ. በሬዎችን ያሰለጥናሉ D. ከብት ይወርሳሉ.</v>
      </c>
      <c r="J112" s="5" t="str">
        <f>IFERROR(__xludf.DUMMYFUNCTION(" GOOGLETRANSLATE(D112, ""en"", ""am"")"),"ሀ) ታማኝነታቸው የወደፊት ድጋፍን ያረጋግጣል")</f>
        <v>ሀ) ታማኝነታቸው የወደፊት ድጋፍን ያረጋግጣል</v>
      </c>
      <c r="K112" s="5" t="str">
        <f>IFERROR(__xludf.DUMMYFUNCTION(" GOOGLETRANSLATE(E112, ""en"", ""am"")"),"የእነርሱ ድጋፍ በኋላ ወንድሞቻቸው ይሸለማሉ.")</f>
        <v>የእነርሱ ድጋፍ በኋላ ወንድሞቻቸው ይሸለማሉ.</v>
      </c>
    </row>
    <row r="113" ht="22.5" customHeight="1">
      <c r="A113" s="19">
        <v>112.0</v>
      </c>
      <c r="B113" s="5" t="s">
        <v>3698</v>
      </c>
      <c r="C113" s="5" t="s">
        <v>3699</v>
      </c>
      <c r="D113" s="5" t="s">
        <v>3700</v>
      </c>
      <c r="E113" s="5" t="s">
        <v>3701</v>
      </c>
      <c r="F113" s="18"/>
      <c r="G113" s="5" t="str">
        <f>IFERROR(__xludf.DUMMYFUNCTION(" GOOGLETRANSLATE(A113, ""en"", ""am"")"),"112")</f>
        <v>112</v>
      </c>
      <c r="H113" s="5" t="str">
        <f>IFERROR(__xludf.DUMMYFUNCTION(" GOOGLETRANSLATE(B113, ""en"", ""am"")"),"በዓለም አቀፍ ደረጃ ይህንን ሥርዓት በማስመዝገብ የሚታወቀው የኢትዮጵያ ሸለቆ የትኛው ነው?")</f>
        <v>በዓለም አቀፍ ደረጃ ይህንን ሥርዓት በማስመዝገብ የሚታወቀው የኢትዮጵያ ሸለቆ የትኛው ነው?</v>
      </c>
      <c r="I113" s="5" t="str">
        <f>IFERROR(__xludf.DUMMYFUNCTION(" GOOGLETRANSLATE(C113, ""en"", ""am"")"),"አ.ኦሞ ሸለቆ ቢ.አዋሽ ሸለቆ ሐ.ስምጥ ቫሊ ዲ.ጣና ሸለቆ")</f>
        <v>አ.ኦሞ ሸለቆ ቢ.አዋሽ ሸለቆ ሐ.ስምጥ ቫሊ ዲ.ጣና ሸለቆ</v>
      </c>
      <c r="J113" s="5" t="str">
        <f>IFERROR(__xludf.DUMMYFUNCTION(" GOOGLETRANSLATE(D113, ""en"", ""am"")"),"ሀ) ኦሞ ሸለቆ")</f>
        <v>ሀ) ኦሞ ሸለቆ</v>
      </c>
      <c r="K113" s="5" t="str">
        <f>IFERROR(__xludf.DUMMYFUNCTION(" GOOGLETRANSLATE(E113, ""en"", ""am"")"),"የሐማር ሕዝብ በልዩ ወጎች ታዋቂ በሆነው በኦሞ ሸለቆ ውስጥ ይኖራል።")</f>
        <v>የሐማር ሕዝብ በልዩ ወጎች ታዋቂ በሆነው በኦሞ ሸለቆ ውስጥ ይኖራል።</v>
      </c>
    </row>
    <row r="114" ht="22.5" customHeight="1">
      <c r="A114" s="19">
        <v>113.0</v>
      </c>
      <c r="B114" s="5" t="s">
        <v>3702</v>
      </c>
      <c r="C114" s="5" t="s">
        <v>3703</v>
      </c>
      <c r="D114" s="5" t="s">
        <v>3704</v>
      </c>
      <c r="E114" s="5" t="s">
        <v>3705</v>
      </c>
      <c r="F114" s="18"/>
      <c r="G114" s="5" t="str">
        <f>IFERROR(__xludf.DUMMYFUNCTION(" GOOGLETRANSLATE(A114, ""en"", ""am"")"),"113")</f>
        <v>113</v>
      </c>
      <c r="H114" s="5" t="str">
        <f>IFERROR(__xludf.DUMMYFUNCTION(" GOOGLETRANSLATE(B114, ""en"", ""am"")"),"አንትሮፖሎጂስቶች በሴቶች ጀርባ ላይ ባለው ጠባሳ ላይ ምን ያዩታል?")</f>
        <v>አንትሮፖሎጂስቶች በሴቶች ጀርባ ላይ ባለው ጠባሳ ላይ ምን ያዩታል?</v>
      </c>
      <c r="I114" s="5" t="str">
        <f>IFERROR(__xludf.DUMMYFUNCTION(" GOOGLETRANSLATE(C114, ""en"", ""am"")"),"ሀ. የጎሳ ጥበብ ለ. የጥቃት ምልክቶች ሐ. የባህል ታማኝነት ምልክቶች D. ጌጣጌጥ ፋሽን")</f>
        <v>ሀ. የጎሳ ጥበብ ለ. የጥቃት ምልክቶች ሐ. የባህል ታማኝነት ምልክቶች D. ጌጣጌጥ ፋሽን</v>
      </c>
      <c r="J114" s="5" t="str">
        <f>IFERROR(__xludf.DUMMYFUNCTION(" GOOGLETRANSLATE(D114, ""en"", ""am"")"),"ሐ) የባህል ታማኝነት ምልክቶች")</f>
        <v>ሐ) የባህል ታማኝነት ምልክቶች</v>
      </c>
      <c r="K114" s="5" t="str">
        <f>IFERROR(__xludf.DUMMYFUNCTION(" GOOGLETRANSLATE(E114, ""en"", ""am"")"),"ጠባሳ መስዋእትነትን እና ራስን መወሰንን ያመለክታሉ።")</f>
        <v>ጠባሳ መስዋእትነትን እና ራስን መወሰንን ያመለክታሉ።</v>
      </c>
    </row>
    <row r="115" ht="22.5" customHeight="1">
      <c r="A115" s="19">
        <v>114.0</v>
      </c>
      <c r="B115" s="5" t="s">
        <v>3706</v>
      </c>
      <c r="C115" s="5" t="s">
        <v>3707</v>
      </c>
      <c r="D115" s="5" t="s">
        <v>3708</v>
      </c>
      <c r="E115" s="5" t="s">
        <v>3709</v>
      </c>
      <c r="F115" s="18"/>
      <c r="G115" s="5" t="str">
        <f>IFERROR(__xludf.DUMMYFUNCTION(" GOOGLETRANSLATE(A115, ""en"", ""am"")"),"114")</f>
        <v>114</v>
      </c>
      <c r="H115" s="5" t="str">
        <f>IFERROR(__xludf.DUMMYFUNCTION(" GOOGLETRANSLATE(B115, ""en"", ""am"")"),"በበረከት ጊዜ በሽማግሌዎች የሚሸከሙት ዕቃ ምንድን ነው?")</f>
        <v>በበረከት ጊዜ በሽማግሌዎች የሚሸከሙት ዕቃ ምንድን ነው?</v>
      </c>
      <c r="I115" s="5" t="str">
        <f>IFERROR(__xludf.DUMMYFUNCTION(" GOOGLETRANSLATE(C115, ""en"", ""am"")"),"ሀ. የተቀደሰ ቀንድ ለ. የእንጨት ሰራተኞች ሐ. ከበሮ ዲ. ስፓር")</f>
        <v>ሀ. የተቀደሰ ቀንድ ለ. የእንጨት ሰራተኞች ሐ. ከበሮ ዲ. ስፓር</v>
      </c>
      <c r="J115" s="5" t="str">
        <f>IFERROR(__xludf.DUMMYFUNCTION(" GOOGLETRANSLATE(D115, ""en"", ""am"")"),"ለ) የእንጨት ሠራተኞች")</f>
        <v>ለ) የእንጨት ሠራተኞች</v>
      </c>
      <c r="K115" s="5" t="str">
        <f>IFERROR(__xludf.DUMMYFUNCTION(" GOOGLETRANSLATE(E115, ""en"", ""am"")"),"ሰራተኞቹ የአባቶችን ስልጣን ይወክላሉ።")</f>
        <v>ሰራተኞቹ የአባቶችን ስልጣን ይወክላሉ።</v>
      </c>
    </row>
    <row r="116" ht="22.5" customHeight="1">
      <c r="A116" s="19">
        <v>115.0</v>
      </c>
      <c r="B116" s="5" t="s">
        <v>3710</v>
      </c>
      <c r="C116" s="5" t="s">
        <v>3711</v>
      </c>
      <c r="D116" s="5" t="s">
        <v>3712</v>
      </c>
      <c r="E116" s="5" t="s">
        <v>3713</v>
      </c>
      <c r="F116" s="18"/>
      <c r="G116" s="5" t="str">
        <f>IFERROR(__xludf.DUMMYFUNCTION(" GOOGLETRANSLATE(A116, ""en"", ""am"")"),"115")</f>
        <v>115</v>
      </c>
      <c r="H116" s="5" t="str">
        <f>IFERROR(__xludf.DUMMYFUNCTION(" GOOGLETRANSLATE(B116, ""en"", ""am"")"),"ልጁ በመጀመሪያ ሙከራው ቢሳካ ምን ይሆናል?")</f>
        <v>ልጁ በመጀመሪያ ሙከራው ቢሳካ ምን ይሆናል?</v>
      </c>
      <c r="I116" s="5" t="str">
        <f>IFERROR(__xludf.DUMMYFUNCTION(" GOOGLETRANSLATE(C116, ""en"", ""am"")"),"ሀ. ልዩ ክብርን ያገኛል ለ.የጋብቻ ግዴታዎችን ዘለለ ሐ.ወዲያውኑ ሽማግሌ ይሆናል መ.መሬት ወረሰ።")</f>
        <v>ሀ. ልዩ ክብርን ያገኛል ለ.የጋብቻ ግዴታዎችን ዘለለ ሐ.ወዲያውኑ ሽማግሌ ይሆናል መ.መሬት ወረሰ።</v>
      </c>
      <c r="J116" s="5" t="str">
        <f>IFERROR(__xludf.DUMMYFUNCTION(" GOOGLETRANSLATE(D116, ""en"", ""am"")"),"ሀ) ልዩ ክብርን ያገኛል")</f>
        <v>ሀ) ልዩ ክብርን ያገኛል</v>
      </c>
      <c r="K116" s="5" t="str">
        <f>IFERROR(__xludf.DUMMYFUNCTION(" GOOGLETRANSLATE(E116, ""en"", ""am"")"),"በመጀመሪያው ሙከራ ስኬት ኩራት እና ክብርን ያመጣል.")</f>
        <v>በመጀመሪያው ሙከራ ስኬት ኩራት እና ክብርን ያመጣል.</v>
      </c>
    </row>
    <row r="117" ht="22.5" customHeight="1">
      <c r="A117" s="19">
        <v>116.0</v>
      </c>
      <c r="B117" s="5" t="s">
        <v>3714</v>
      </c>
      <c r="C117" s="5" t="s">
        <v>3715</v>
      </c>
      <c r="D117" s="5" t="s">
        <v>3716</v>
      </c>
      <c r="E117" s="5" t="s">
        <v>3717</v>
      </c>
      <c r="F117" s="18"/>
      <c r="G117" s="5" t="str">
        <f>IFERROR(__xludf.DUMMYFUNCTION(" GOOGLETRANSLATE(A117, ""en"", ""am"")"),"116")</f>
        <v>116</v>
      </c>
      <c r="H117" s="5" t="str">
        <f>IFERROR(__xludf.DUMMYFUNCTION(" GOOGLETRANSLATE(B117, ""en"", ""am"")"),"ለልጁ እናት ዝግጅቱን የሚቆጣጠረው ምን ዓይነት ስሜት ነው?")</f>
        <v>ለልጁ እናት ዝግጅቱን የሚቆጣጠረው ምን ዓይነት ስሜት ነው?</v>
      </c>
      <c r="I117" s="5" t="str">
        <f>IFERROR(__xludf.DUMMYFUNCTION(" GOOGLETRANSLATE(C117, ""en"", ""am"")"),"ሀ. ፍርሃት እና ኩራት ተደባልቀው ለ. ቁጣ ሐ. ግዴለሽነት መ. ሀዘን ብቻ")</f>
        <v>ሀ. ፍርሃት እና ኩራት ተደባልቀው ለ. ቁጣ ሐ. ግዴለሽነት መ. ሀዘን ብቻ</v>
      </c>
      <c r="J117" s="5" t="str">
        <f>IFERROR(__xludf.DUMMYFUNCTION(" GOOGLETRANSLATE(D117, ""en"", ""am"")"),"ሀ) ፍርሃትና ኩራት ተቀላቅለዋል።")</f>
        <v>ሀ) ፍርሃትና ኩራት ተቀላቅለዋል።</v>
      </c>
      <c r="K117" s="5" t="str">
        <f>IFERROR(__xludf.DUMMYFUNCTION(" GOOGLETRANSLATE(E117, ""en"", ""am"")"),"እናቶች ውድቀትን ይፈራሉ ነገር ግን በስኬት ይኮራሉ።")</f>
        <v>እናቶች ውድቀትን ይፈራሉ ነገር ግን በስኬት ይኮራሉ።</v>
      </c>
    </row>
    <row r="118" ht="22.5" customHeight="1">
      <c r="A118" s="19">
        <v>117.0</v>
      </c>
      <c r="B118" s="5" t="s">
        <v>3718</v>
      </c>
      <c r="C118" s="5" t="s">
        <v>3719</v>
      </c>
      <c r="D118" s="5" t="s">
        <v>3720</v>
      </c>
      <c r="E118" s="5" t="s">
        <v>3721</v>
      </c>
      <c r="F118" s="18"/>
      <c r="G118" s="5" t="str">
        <f>IFERROR(__xludf.DUMMYFUNCTION(" GOOGLETRANSLATE(A118, ""en"", ""am"")"),"117")</f>
        <v>117</v>
      </c>
      <c r="H118" s="5" t="str">
        <f>IFERROR(__xludf.DUMMYFUNCTION(" GOOGLETRANSLATE(B118, ""en"", ""am"")"),"የአምልኮ ሥርዓቱ አካላዊ እና ምሳሌያዊ ተብሎ የሚገለጸው ለምንድነው?")</f>
        <v>የአምልኮ ሥርዓቱ አካላዊ እና ምሳሌያዊ ተብሎ የሚገለጸው ለምንድነው?</v>
      </c>
      <c r="I118" s="5" t="str">
        <f>IFERROR(__xludf.DUMMYFUNCTION(" GOOGLETRANSLATE(C118, ""en"", ""am"")"),"ሀ. ከብቶችን እና ሰዎችን ያካትታል ለ. ጥንካሬን የሚፈትን የብስለት ምሳሌ ነው ሐ. ግብርና እና ጭፈራን ያጣምራል መ. ሀይማኖትን እና ኢኮኖሚክስን ያቀላቅላል.")</f>
        <v>ሀ. ከብቶችን እና ሰዎችን ያካትታል ለ. ጥንካሬን የሚፈትን የብስለት ምሳሌ ነው ሐ. ግብርና እና ጭፈራን ያጣምራል መ. ሀይማኖትን እና ኢኮኖሚክስን ያቀላቅላል.</v>
      </c>
      <c r="J118" s="5" t="str">
        <f>IFERROR(__xludf.DUMMYFUNCTION(" GOOGLETRANSLATE(D118, ""en"", ""am"")"),"ለ) ብስለት ሲያመለክት ጥንካሬን ይፈትሻል")</f>
        <v>ለ) ብስለት ሲያመለክት ጥንካሬን ይፈትሻል</v>
      </c>
      <c r="K118" s="5" t="str">
        <f>IFERROR(__xludf.DUMMYFUNCTION(" GOOGLETRANSLATE(E118, ""en"", ""am"")"),"አካላዊ እንቅስቃሴ መንፈሳዊ ለውጥን ያሳያል።")</f>
        <v>አካላዊ እንቅስቃሴ መንፈሳዊ ለውጥን ያሳያል።</v>
      </c>
    </row>
    <row r="119" ht="22.5" customHeight="1">
      <c r="A119" s="19">
        <v>118.0</v>
      </c>
      <c r="B119" s="5" t="s">
        <v>3722</v>
      </c>
      <c r="C119" s="5" t="s">
        <v>3723</v>
      </c>
      <c r="D119" s="5" t="s">
        <v>3724</v>
      </c>
      <c r="E119" s="5" t="s">
        <v>3725</v>
      </c>
      <c r="F119" s="18"/>
      <c r="G119" s="5" t="str">
        <f>IFERROR(__xludf.DUMMYFUNCTION(" GOOGLETRANSLATE(A119, ""en"", ""am"")"),"118")</f>
        <v>118</v>
      </c>
      <c r="H119" s="5" t="str">
        <f>IFERROR(__xludf.DUMMYFUNCTION(" GOOGLETRANSLATE(B119, ""en"", ""am"")"),"ብዙውን ጊዜ ልጁን በዝግጅት ላይ የሚያሰለጥነው ማነው?")</f>
        <v>ብዙውን ጊዜ ልጁን በዝግጅት ላይ የሚያሰለጥነው ማነው?</v>
      </c>
      <c r="I119" s="5" t="str">
        <f>IFERROR(__xludf.DUMMYFUNCTION(" GOOGLETRANSLATE(C119, ""en"", ""am"")"),"ሀ. የአጎት ልጆች ለ. ሽማግሌዎች እና ዘመዶች ሐ. እህቶቹ ዲ. ቱሪስቶች")</f>
        <v>ሀ. የአጎት ልጆች ለ. ሽማግሌዎች እና ዘመዶች ሐ. እህቶቹ ዲ. ቱሪስቶች</v>
      </c>
      <c r="J119" s="5" t="str">
        <f>IFERROR(__xludf.DUMMYFUNCTION(" GOOGLETRANSLATE(D119, ""en"", ""am"")"),"ለ) ሽማግሌዎች እና ዘመዶች")</f>
        <v>ለ) ሽማግሌዎች እና ዘመዶች</v>
      </c>
      <c r="K119" s="5" t="str">
        <f>IFERROR(__xludf.DUMMYFUNCTION(" GOOGLETRANSLATE(E119, ""en"", ""am"")"),"ቤተሰብ በአእምሮ እና በአካል ያዘጋጃል.")</f>
        <v>ቤተሰብ በአእምሮ እና በአካል ያዘጋጃል.</v>
      </c>
    </row>
    <row r="120" ht="22.5" customHeight="1">
      <c r="A120" s="19">
        <v>119.0</v>
      </c>
      <c r="B120" s="5" t="s">
        <v>3726</v>
      </c>
      <c r="C120" s="5" t="s">
        <v>3727</v>
      </c>
      <c r="D120" s="5" t="s">
        <v>3728</v>
      </c>
      <c r="E120" s="5" t="s">
        <v>3729</v>
      </c>
      <c r="F120" s="18"/>
      <c r="G120" s="5" t="str">
        <f>IFERROR(__xludf.DUMMYFUNCTION(" GOOGLETRANSLATE(A120, ""en"", ""am"")"),"119")</f>
        <v>119</v>
      </c>
      <c r="H120" s="5" t="str">
        <f>IFERROR(__xludf.DUMMYFUNCTION(" GOOGLETRANSLATE(B120, ""en"", ""am"")"),"ትችት ቢሰነዘርበትም የአምልኮ ሥርዓቱ አሁንም በስፋት የሚሰራው ለምንድነው?")</f>
        <v>ትችት ቢሰነዘርበትም የአምልኮ ሥርዓቱ አሁንም በስፋት የሚሰራው ለምንድነው?</v>
      </c>
      <c r="I120" s="5" t="str">
        <f>IFERROR(__xludf.DUMMYFUNCTION(" GOOGLETRANSLATE(C120, ""en"", ""am"")"),"ሀ. ገንዘብን ይስባል B. የሐማርን ማንነት ይገልፃል ሐ. የመንግስት ህግ ነው መ. ለመፈጸም ቀላል ነው")</f>
        <v>ሀ. ገንዘብን ይስባል B. የሐማርን ማንነት ይገልፃል ሐ. የመንግስት ህግ ነው መ. ለመፈጸም ቀላል ነው</v>
      </c>
      <c r="J120" s="5" t="str">
        <f>IFERROR(__xludf.DUMMYFUNCTION(" GOOGLETRANSLATE(D120, ""en"", ""am"")"),"ለ) የሐማርን ማንነት ይገልፃል።")</f>
        <v>ለ) የሐማርን ማንነት ይገልፃል።</v>
      </c>
      <c r="K120" s="5" t="str">
        <f>IFERROR(__xludf.DUMMYFUNCTION(" GOOGLETRANSLATE(E120, ""en"", ""am"")"),"የባህል ኩራት የባህሉን ቀጣይነት ያረጋግጣል።")</f>
        <v>የባህል ኩራት የባህሉን ቀጣይነት ያረጋግጣል።</v>
      </c>
    </row>
    <row r="121" ht="22.5" customHeight="1">
      <c r="A121" s="19">
        <v>120.0</v>
      </c>
      <c r="B121" s="5" t="s">
        <v>3730</v>
      </c>
      <c r="C121" s="5" t="s">
        <v>3731</v>
      </c>
      <c r="D121" s="5" t="s">
        <v>3732</v>
      </c>
      <c r="E121" s="5" t="s">
        <v>3733</v>
      </c>
      <c r="F121" s="18"/>
      <c r="G121" s="5" t="str">
        <f>IFERROR(__xludf.DUMMYFUNCTION(" GOOGLETRANSLATE(A121, ""en"", ""am"")"),"120")</f>
        <v>120</v>
      </c>
      <c r="H121" s="5" t="str">
        <f>IFERROR(__xludf.DUMMYFUNCTION(" GOOGLETRANSLATE(B121, ""en"", ""am"")"),"እርቃኑን የመዝለል ተግባር ምን አጽንዖት ይሰጣል?")</f>
        <v>እርቃኑን የመዝለል ተግባር ምን አጽንዖት ይሰጣል?</v>
      </c>
      <c r="I121" s="5" t="str">
        <f>IFERROR(__xludf.DUMMYFUNCTION(" GOOGLETRANSLATE(C121, ""en"", ""am"")"),"ሀ. ንጽህና እና ድፍረት ለ. የጋብቻ ፍላጎት ሐ. በህብረተሰብ ላይ ቁጣ መ. ውድድር")</f>
        <v>ሀ. ንጽህና እና ድፍረት ለ. የጋብቻ ፍላጎት ሐ. በህብረተሰብ ላይ ቁጣ መ. ውድድር</v>
      </c>
      <c r="J121" s="5" t="str">
        <f>IFERROR(__xludf.DUMMYFUNCTION(" GOOGLETRANSLATE(D121, ""en"", ""am"")"),"ሀ) ንፅህና እና ድፍረት")</f>
        <v>ሀ) ንፅህና እና ድፍረት</v>
      </c>
      <c r="K121" s="5" t="str">
        <f>IFERROR(__xludf.DUMMYFUNCTION(" GOOGLETRANSLATE(E121, ""en"", ""am"")"),"እርቃን ያለው ሁኔታ ሐቀኝነትን እና ትህትናን ያንጸባርቃል.")</f>
        <v>እርቃን ያለው ሁኔታ ሐቀኝነትን እና ትህትናን ያንጸባርቃል.</v>
      </c>
    </row>
    <row r="122" ht="22.5" customHeight="1">
      <c r="A122" s="19">
        <v>121.0</v>
      </c>
      <c r="B122" s="5" t="s">
        <v>3734</v>
      </c>
      <c r="C122" s="5" t="s">
        <v>3735</v>
      </c>
      <c r="D122" s="5" t="s">
        <v>3736</v>
      </c>
      <c r="E122" s="5" t="s">
        <v>3737</v>
      </c>
      <c r="F122" s="18"/>
      <c r="G122" s="5" t="str">
        <f>IFERROR(__xludf.DUMMYFUNCTION(" GOOGLETRANSLATE(A122, ""en"", ""am"")"),"121")</f>
        <v>121</v>
      </c>
      <c r="H122" s="5" t="str">
        <f>IFERROR(__xludf.DUMMYFUNCTION(" GOOGLETRANSLATE(B122, ""en"", ""am"")"),"ወንዶች ብዙውን ጊዜ ለመዝለል የሚሞክሩት በየትኛው ዕድሜ ላይ ነው?")</f>
        <v>ወንዶች ብዙውን ጊዜ ለመዝለል የሚሞክሩት በየትኛው ዕድሜ ላይ ነው?</v>
      </c>
      <c r="I122" s="5" t="str">
        <f>IFERROR(__xludf.DUMMYFUNCTION(" GOOGLETRANSLATE(C122, ""en"", ""am"")"),"አ. 10–12 B. 14–18 C. 20–25 D. 30+")</f>
        <v>አ. 10–12 B. 14–18 C. 20–25 D. 30+</v>
      </c>
      <c r="J122" s="5" t="str">
        <f>IFERROR(__xludf.DUMMYFUNCTION(" GOOGLETRANSLATE(D122, ""en"", ""am"")"),"ለ) 14-18")</f>
        <v>ለ) 14-18</v>
      </c>
      <c r="K122" s="5" t="str">
        <f>IFERROR(__xludf.DUMMYFUNCTION(" GOOGLETRANSLATE(E122, ""en"", ""am"")"),"በጉርምስና ዕድሜ ላይ ያሉ ታዳጊዎች ፈተናውን ይወስዳሉ።")</f>
        <v>በጉርምስና ዕድሜ ላይ ያሉ ታዳጊዎች ፈተናውን ይወስዳሉ።</v>
      </c>
    </row>
    <row r="123" ht="22.5" customHeight="1">
      <c r="A123" s="19">
        <v>122.0</v>
      </c>
      <c r="B123" s="5" t="s">
        <v>3738</v>
      </c>
      <c r="C123" s="5" t="s">
        <v>3739</v>
      </c>
      <c r="D123" s="5" t="s">
        <v>3740</v>
      </c>
      <c r="E123" s="5" t="s">
        <v>3741</v>
      </c>
      <c r="F123" s="18"/>
      <c r="G123" s="5" t="str">
        <f>IFERROR(__xludf.DUMMYFUNCTION(" GOOGLETRANSLATE(A123, ""en"", ""am"")"),"122")</f>
        <v>122</v>
      </c>
      <c r="H123" s="5" t="str">
        <f>IFERROR(__xludf.DUMMYFUNCTION(" GOOGLETRANSLATE(B123, ""en"", ""am"")"),"ለሥነ ሥርዓቱ በሬዎችን የሚያቀርበው ማነው?")</f>
        <v>ለሥነ ሥርዓቱ በሬዎችን የሚያቀርበው ማነው?</v>
      </c>
      <c r="I123" s="5" t="str">
        <f>IFERROR(__xludf.DUMMYFUNCTION(" GOOGLETRANSLATE(C123, ""en"", ""am"")"),"ሀ. የጀማሪ ቤተሰብ B. መላው ጎሳ ሐ. አጎራባች መንደር D. መንግስት")</f>
        <v>ሀ. የጀማሪ ቤተሰብ B. መላው ጎሳ ሐ. አጎራባች መንደር D. መንግስት</v>
      </c>
      <c r="J123" s="5" t="str">
        <f>IFERROR(__xludf.DUMMYFUNCTION(" GOOGLETRANSLATE(D123, ""en"", ""am"")"),"ሀ) ቤተሰብን አነሳስ")</f>
        <v>ሀ) ቤተሰብን አነሳስ</v>
      </c>
      <c r="K123" s="5" t="str">
        <f>IFERROR(__xludf.DUMMYFUNCTION(" GOOGLETRANSLATE(E123, ""en"", ""am"")"),"ሀብታቸውን እና ለማስተናገድ ዝግጁ መሆናቸውን ያሳያል።")</f>
        <v>ሀብታቸውን እና ለማስተናገድ ዝግጁ መሆናቸውን ያሳያል።</v>
      </c>
    </row>
    <row r="124" ht="22.5" customHeight="1">
      <c r="A124" s="19">
        <v>123.0</v>
      </c>
      <c r="B124" s="5" t="s">
        <v>3742</v>
      </c>
      <c r="C124" s="5" t="s">
        <v>3743</v>
      </c>
      <c r="D124" s="5" t="s">
        <v>3744</v>
      </c>
      <c r="E124" s="5" t="s">
        <v>3745</v>
      </c>
      <c r="F124" s="18"/>
      <c r="G124" s="5" t="str">
        <f>IFERROR(__xludf.DUMMYFUNCTION(" GOOGLETRANSLATE(A124, ""en"", ""am"")"),"123")</f>
        <v>123</v>
      </c>
      <c r="H124" s="5" t="str">
        <f>IFERROR(__xludf.DUMMYFUNCTION(" GOOGLETRANSLATE(B124, ""en"", ""am"")"),"የአምልኮ ሥርዓቱን የሚቆጣጠሩት ስንት ሽማግሌዎች ናቸው?")</f>
        <v>የአምልኮ ሥርዓቱን የሚቆጣጠሩት ስንት ሽማግሌዎች ናቸው?</v>
      </c>
      <c r="I124" s="5" t="str">
        <f>IFERROR(__xludf.DUMMYFUNCTION(" GOOGLETRANSLATE(C124, ""en"", ""am"")"),"አ. 1 ለ 3-5 ሐ. 10+ መ. ምንም")</f>
        <v>አ. 1 ለ 3-5 ሐ. 10+ መ. ምንም</v>
      </c>
      <c r="J124" s="5" t="str">
        <f>IFERROR(__xludf.DUMMYFUNCTION(" GOOGLETRANSLATE(D124, ""en"", ""am"")"),"ለ) 3–5")</f>
        <v>ለ) 3–5</v>
      </c>
      <c r="K124" s="5" t="str">
        <f>IFERROR(__xludf.DUMMYFUNCTION(" GOOGLETRANSLATE(E124, ""en"", ""am"")"),"የሽማግሌዎች ምክር ቤት ወግ መጠበቁን ያረጋግጣል።")</f>
        <v>የሽማግሌዎች ምክር ቤት ወግ መጠበቁን ያረጋግጣል።</v>
      </c>
    </row>
    <row r="125" ht="22.5" customHeight="1">
      <c r="A125" s="19">
        <v>124.0</v>
      </c>
      <c r="B125" s="5" t="s">
        <v>3746</v>
      </c>
      <c r="C125" s="5" t="s">
        <v>3747</v>
      </c>
      <c r="D125" s="5" t="s">
        <v>3748</v>
      </c>
      <c r="E125" s="5" t="s">
        <v>3749</v>
      </c>
      <c r="F125" s="18"/>
      <c r="G125" s="5" t="str">
        <f>IFERROR(__xludf.DUMMYFUNCTION(" GOOGLETRANSLATE(A125, ""en"", ""am"")"),"124")</f>
        <v>124</v>
      </c>
      <c r="H125" s="5" t="str">
        <f>IFERROR(__xludf.DUMMYFUNCTION(" GOOGLETRANSLATE(B125, ""en"", ""am"")"),"ለምንድን ነው ይህ ሥነ ሥርዓት በዓለም አቀፍ ደረጃ በአንትሮፖሎጂ ክፍሎች ውስጥ የሚጠናው?")</f>
        <v>ለምንድን ነው ይህ ሥነ ሥርዓት በዓለም አቀፍ ደረጃ በአንትሮፖሎጂ ክፍሎች ውስጥ የሚጠናው?</v>
      </c>
      <c r="I125" s="5" t="str">
        <f>IFERROR(__xludf.DUMMYFUNCTION(" GOOGLETRANSLATE(C125, ""en"", ""am"")"),"ሀ. ያልተለመደ ስፖርት ነው ለ. የአምልኮ ሥርዓቶችን እና የሥርዓተ-ፆታ ሚናዎችን ያጎላል ሐ. እንስሳትን ያካትታል D. ኃይለኛ ነው.")</f>
        <v>ሀ. ያልተለመደ ስፖርት ነው ለ. የአምልኮ ሥርዓቶችን እና የሥርዓተ-ፆታ ሚናዎችን ያጎላል ሐ. እንስሳትን ያካትታል D. ኃይለኛ ነው.</v>
      </c>
      <c r="J125" s="5" t="str">
        <f>IFERROR(__xludf.DUMMYFUNCTION(" GOOGLETRANSLATE(D125, ""en"", ""am"")"),"ለ) የአምልኮ ሥርዓቶችን እና የሥርዓተ-ፆታ ሚናዎችን ያጎላል")</f>
        <v>ለ) የአምልኮ ሥርዓቶችን እና የሥርዓተ-ፆታ ሚናዎችን ያጎላል</v>
      </c>
      <c r="K125" s="5" t="str">
        <f>IFERROR(__xludf.DUMMYFUNCTION(" GOOGLETRANSLATE(E125, ""en"", ""am"")"),"ምሁራን የባህል ስርዓቶችን ለመረዳት ይጠቀሙበታል.")</f>
        <v>ምሁራን የባህል ስርዓቶችን ለመረዳት ይጠቀሙበታል.</v>
      </c>
    </row>
    <row r="126" ht="22.5" customHeight="1">
      <c r="A126" s="19">
        <v>125.0</v>
      </c>
      <c r="B126" s="5" t="s">
        <v>3750</v>
      </c>
      <c r="C126" s="5" t="s">
        <v>3751</v>
      </c>
      <c r="D126" s="5" t="s">
        <v>3752</v>
      </c>
      <c r="E126" s="5" t="s">
        <v>3753</v>
      </c>
      <c r="F126" s="18"/>
      <c r="G126" s="5" t="str">
        <f>IFERROR(__xludf.DUMMYFUNCTION(" GOOGLETRANSLATE(A126, ""en"", ""am"")"),"125")</f>
        <v>125</v>
      </c>
      <c r="H126" s="5" t="str">
        <f>IFERROR(__xludf.DUMMYFUNCTION(" GOOGLETRANSLATE(B126, ""en"", ""am"")"),"በሴቶች ላይ ከመገረፍ በፊት የትኛው ስሜት የተለመደ ነው?")</f>
        <v>በሴቶች ላይ ከመገረፍ በፊት የትኛው ስሜት የተለመደ ነው?</v>
      </c>
      <c r="I126" s="5" t="str">
        <f>IFERROR(__xludf.DUMMYFUNCTION(" GOOGLETRANSLATE(C126, ""en"", ""am"")"),"ሀ. ደስታ እና ታማኝነት ለ. ግዴለሽነት ሐ. መፍራት ብቻ መ. በወንዶች ላይ ቁጣ")</f>
        <v>ሀ. ደስታ እና ታማኝነት ለ. ግዴለሽነት ሐ. መፍራት ብቻ መ. በወንዶች ላይ ቁጣ</v>
      </c>
      <c r="J126" s="5" t="str">
        <f>IFERROR(__xludf.DUMMYFUNCTION(" GOOGLETRANSLATE(D126, ""en"", ""am"")"),"ሀ) ደስታ እና ታማኝነት")</f>
        <v>ሀ) ደስታ እና ታማኝነት</v>
      </c>
      <c r="K126" s="5" t="str">
        <f>IFERROR(__xludf.DUMMYFUNCTION(" GOOGLETRANSLATE(E126, ""en"", ""am"")"),"የቤተሰብ ትስስርን ለማክበር ያቅፉታል።")</f>
        <v>የቤተሰብ ትስስርን ለማክበር ያቅፉታል።</v>
      </c>
    </row>
    <row r="127" ht="22.5" customHeight="1">
      <c r="A127" s="19">
        <v>126.0</v>
      </c>
      <c r="B127" s="5" t="s">
        <v>3754</v>
      </c>
      <c r="C127" s="5" t="s">
        <v>3755</v>
      </c>
      <c r="D127" s="5" t="s">
        <v>3756</v>
      </c>
      <c r="E127" s="5" t="s">
        <v>3757</v>
      </c>
      <c r="F127" s="18"/>
      <c r="G127" s="5" t="str">
        <f>IFERROR(__xludf.DUMMYFUNCTION(" GOOGLETRANSLATE(A127, ""en"", ""am"")"),"126")</f>
        <v>126</v>
      </c>
      <c r="H127" s="5" t="str">
        <f>IFERROR(__xludf.DUMMYFUNCTION(" GOOGLETRANSLATE(B127, ""en"", ""am"")"),"ለጅራፍ ምን ዓይነት ቁሳቁስ ጥቅም ላይ ይውላል?")</f>
        <v>ለጅራፍ ምን ዓይነት ቁሳቁስ ጥቅም ላይ ይውላል?</v>
      </c>
      <c r="I127" s="5" t="str">
        <f>IFERROR(__xludf.DUMMYFUNCTION(" GOOGLETRANSLATE(C127, ""en"", ""am"")"),"ሀ. የብረት ዘንጎች ለ. ቀጭን የዛፍ ቅርንጫፎች ሐ. የቆዳ መሸፈኛዎች D. የቀርከሃ እንጨቶች")</f>
        <v>ሀ. የብረት ዘንጎች ለ. ቀጭን የዛፍ ቅርንጫፎች ሐ. የቆዳ መሸፈኛዎች D. የቀርከሃ እንጨቶች</v>
      </c>
      <c r="J127" s="5" t="str">
        <f>IFERROR(__xludf.DUMMYFUNCTION(" GOOGLETRANSLATE(D127, ""en"", ""am"")"),"ሐ) የቆዳ ቁርጥራጮች")</f>
        <v>ሐ) የቆዳ ቁርጥራጮች</v>
      </c>
      <c r="K127" s="5" t="str">
        <f>IFERROR(__xludf.DUMMYFUNCTION(" GOOGLETRANSLATE(E127, ""en"", ""am"")"),"የቆዳ ጅራፍ ጠባሳ ለመምታት ይጠቅማል ግን አይገድልም ።")</f>
        <v>የቆዳ ጅራፍ ጠባሳ ለመምታት ይጠቅማል ግን አይገድልም ።</v>
      </c>
    </row>
    <row r="128" ht="22.5" customHeight="1">
      <c r="A128" s="19">
        <v>127.0</v>
      </c>
      <c r="B128" s="5" t="s">
        <v>3758</v>
      </c>
      <c r="C128" s="5" t="s">
        <v>3759</v>
      </c>
      <c r="D128" s="5" t="s">
        <v>3760</v>
      </c>
      <c r="E128" s="5" t="s">
        <v>3761</v>
      </c>
      <c r="F128" s="18"/>
      <c r="G128" s="5" t="str">
        <f>IFERROR(__xludf.DUMMYFUNCTION(" GOOGLETRANSLATE(A128, ""en"", ""am"")"),"127")</f>
        <v>127</v>
      </c>
      <c r="H128" s="5" t="str">
        <f>IFERROR(__xludf.DUMMYFUNCTION(" GOOGLETRANSLATE(B128, ""en"", ""am"")"),"ፎቶግራፍ አንሺዎችን በጣም የሚስበው የትኛው የአምልኮ ሥርዓት አካል ነው?")</f>
        <v>ፎቶግራፍ አንሺዎችን በጣም የሚስበው የትኛው የአምልኮ ሥርዓት አካል ነው?</v>
      </c>
      <c r="I128" s="5" t="str">
        <f>IFERROR(__xludf.DUMMYFUNCTION(" GOOGLETRANSLATE(C128, ""en"", ""am"")"),"ሀ. ቀለም የተቀቡ ሴቶች ለ. የሚዘለሉ በሬዎች ሐ. የሽማግሌዎች በረከቶች D. ራቁት ሯጮች")</f>
        <v>ሀ. ቀለም የተቀቡ ሴቶች ለ. የሚዘለሉ በሬዎች ሐ. የሽማግሌዎች በረከቶች D. ራቁት ሯጮች</v>
      </c>
      <c r="J128" s="5" t="str">
        <f>IFERROR(__xludf.DUMMYFUNCTION(" GOOGLETRANSLATE(D128, ""en"", ""am"")"),"ለ) በሬዎች መዝለል")</f>
        <v>ለ) በሬዎች መዝለል</v>
      </c>
      <c r="K128" s="5" t="str">
        <f>IFERROR(__xludf.DUMMYFUNCTION(" GOOGLETRANSLATE(E128, ""en"", ""am"")"),"የድራማው ድርጊት በከፍተኛ ፎቶ ተነስቷል።")</f>
        <v>የድራማው ድርጊት በከፍተኛ ፎቶ ተነስቷል።</v>
      </c>
    </row>
    <row r="129" ht="22.5" customHeight="1">
      <c r="A129" s="19">
        <v>128.0</v>
      </c>
      <c r="B129" s="5" t="s">
        <v>3762</v>
      </c>
      <c r="C129" s="5" t="s">
        <v>3763</v>
      </c>
      <c r="D129" s="5" t="s">
        <v>3764</v>
      </c>
      <c r="E129" s="5" t="s">
        <v>3765</v>
      </c>
      <c r="F129" s="18"/>
      <c r="G129" s="5" t="str">
        <f>IFERROR(__xludf.DUMMYFUNCTION(" GOOGLETRANSLATE(A129, ""en"", ""am"")"),"128")</f>
        <v>128</v>
      </c>
      <c r="H129" s="5" t="str">
        <f>IFERROR(__xludf.DUMMYFUNCTION(" GOOGLETRANSLATE(B129, ""en"", ""am"")"),"በአምልኮ ሥርዓቱ ውስጥ ስኬትን የሚገልጸው ምንድን ነው?")</f>
        <v>በአምልኮ ሥርዓቱ ውስጥ ስኬትን የሚገልጸው ምንድን ነው?</v>
      </c>
      <c r="I129" s="5" t="str">
        <f>IFERROR(__xludf.DUMMYFUNCTION(" GOOGLETRANSLATE(C129, ""en"", ""am"")"),"ሀ. በሬዎች ላይ ሳይወድቁ መዝለል B. አንድ ጊዜ ብቻ መዝለል ሐ. ከፍተኛ ድምጽ መዘመር D. በሬዎችን መዋጋት")</f>
        <v>ሀ. በሬዎች ላይ ሳይወድቁ መዝለል B. አንድ ጊዜ ብቻ መዝለል ሐ. ከፍተኛ ድምጽ መዘመር D. በሬዎችን መዋጋት</v>
      </c>
      <c r="J129" s="5" t="str">
        <f>IFERROR(__xludf.DUMMYFUNCTION(" GOOGLETRANSLATE(D129, ""en"", ""am"")"),"ሀ) ሳይወድቅ በሬዎች ላይ መዝለል")</f>
        <v>ሀ) ሳይወድቅ በሬዎች ላይ መዝለል</v>
      </c>
      <c r="K129" s="5" t="str">
        <f>IFERROR(__xludf.DUMMYFUNCTION(" GOOGLETRANSLATE(E129, ""en"", ""am"")"),"ስኬት ሚዛን እና ፍጥነት ይጠይቃል።")</f>
        <v>ስኬት ሚዛን እና ፍጥነት ይጠይቃል።</v>
      </c>
    </row>
    <row r="130" ht="22.5" customHeight="1">
      <c r="A130" s="19">
        <v>129.0</v>
      </c>
      <c r="B130" s="5" t="s">
        <v>3766</v>
      </c>
      <c r="C130" s="5" t="s">
        <v>3767</v>
      </c>
      <c r="D130" s="5" t="s">
        <v>3768</v>
      </c>
      <c r="E130" s="5" t="s">
        <v>3769</v>
      </c>
      <c r="F130" s="18"/>
      <c r="G130" s="5" t="str">
        <f>IFERROR(__xludf.DUMMYFUNCTION(" GOOGLETRANSLATE(A130, ""en"", ""am"")"),"129")</f>
        <v>129</v>
      </c>
      <c r="H130" s="5" t="str">
        <f>IFERROR(__xludf.DUMMYFUNCTION(" GOOGLETRANSLATE(B130, ""en"", ""am"")"),"ልጆች በአምልኮ ሥርዓቱ ውስጥ ምን ሚና አላቸው?")</f>
        <v>ልጆች በአምልኮ ሥርዓቱ ውስጥ ምን ሚና አላቸው?</v>
      </c>
      <c r="I130" s="5" t="str">
        <f>IFERROR(__xludf.DUMMYFUNCTION(" GOOGLETRANSLATE(C130, ""en"", ""am"")"),"ሀ. ታዛቢዎች ለ. ቡል ተቆጣጣሪዎች ሐ. ጅራፍ ተሸካሚዎች ዲ. ዘፋኞች")</f>
        <v>ሀ. ታዛቢዎች ለ. ቡል ተቆጣጣሪዎች ሐ. ጅራፍ ተሸካሚዎች ዲ. ዘፋኞች</v>
      </c>
      <c r="J130" s="5" t="str">
        <f>IFERROR(__xludf.DUMMYFUNCTION(" GOOGLETRANSLATE(D130, ""en"", ""am"")"),"ሀ) ታዛቢዎች")</f>
        <v>ሀ) ታዛቢዎች</v>
      </c>
      <c r="K130" s="5" t="str">
        <f>IFERROR(__xludf.DUMMYFUNCTION(" GOOGLETRANSLATE(E130, ""en"", ""am"")"),"በማየት ባህላዊ ወጎችን ይማራሉ.")</f>
        <v>በማየት ባህላዊ ወጎችን ይማራሉ.</v>
      </c>
    </row>
    <row r="131" ht="22.5" customHeight="1">
      <c r="A131" s="19">
        <v>130.0</v>
      </c>
      <c r="B131" s="5" t="s">
        <v>3770</v>
      </c>
      <c r="C131" s="5" t="s">
        <v>3771</v>
      </c>
      <c r="D131" s="5" t="s">
        <v>3772</v>
      </c>
      <c r="E131" s="5" t="s">
        <v>3773</v>
      </c>
      <c r="F131" s="18"/>
      <c r="G131" s="5" t="str">
        <f>IFERROR(__xludf.DUMMYFUNCTION(" GOOGLETRANSLATE(A131, ""en"", ""am"")"),"130")</f>
        <v>130</v>
      </c>
      <c r="H131" s="5" t="str">
        <f>IFERROR(__xludf.DUMMYFUNCTION(" GOOGLETRANSLATE(B131, ""en"", ""am"")"),"ሽማግሌዎች ከስኬት በኋላ ምን በረከት ይሰጣሉ?")</f>
        <v>ሽማግሌዎች ከስኬት በኋላ ምን በረከት ይሰጣሉ?</v>
      </c>
      <c r="I131" s="5" t="str">
        <f>IFERROR(__xludf.DUMMYFUNCTION(" GOOGLETRANSLATE(C131, ""en"", ""am"")"),"ሀ. ረጅም ዕድሜ እና የመራባት ለ. ሀብት በንግድ ሐ. የፖለቲካ ኃይል D. ተዋጊ ሁኔታ")</f>
        <v>ሀ. ረጅም ዕድሜ እና የመራባት ለ. ሀብት በንግድ ሐ. የፖለቲካ ኃይል D. ተዋጊ ሁኔታ</v>
      </c>
      <c r="J131" s="5" t="str">
        <f>IFERROR(__xludf.DUMMYFUNCTION(" GOOGLETRANSLATE(D131, ""en"", ""am"")"),"ሀ) ረጅም ዕድሜ እና የመራባት ችሎታ")</f>
        <v>ሀ) ረጅም ዕድሜ እና የመራባት ችሎታ</v>
      </c>
      <c r="K131" s="5" t="str">
        <f>IFERROR(__xludf.DUMMYFUNCTION(" GOOGLETRANSLATE(E131, ""en"", ""am"")"),"በረከት ወንድነትን ከብልጽግና ጋር ያስራል።")</f>
        <v>በረከት ወንድነትን ከብልጽግና ጋር ያስራል።</v>
      </c>
    </row>
    <row r="132" ht="22.5" customHeight="1">
      <c r="A132" s="19">
        <v>131.0</v>
      </c>
      <c r="B132" s="5" t="s">
        <v>3774</v>
      </c>
      <c r="C132" s="5" t="s">
        <v>3775</v>
      </c>
      <c r="D132" s="5" t="s">
        <v>3776</v>
      </c>
      <c r="E132" s="5" t="s">
        <v>3777</v>
      </c>
      <c r="F132" s="18"/>
      <c r="G132" s="5" t="str">
        <f>IFERROR(__xludf.DUMMYFUNCTION(" GOOGLETRANSLATE(A132, ""en"", ""am"")"),"131")</f>
        <v>131</v>
      </c>
      <c r="H132" s="5" t="str">
        <f>IFERROR(__xludf.DUMMYFUNCTION(" GOOGLETRANSLATE(B132, ""en"", ""am"")"),"ለምንድነው አንትሮፖሎጂስቶች “ሊሚናል ደረጃ” ብለው ይገልጹታል?")</f>
        <v>ለምንድነው አንትሮፖሎጂስቶች “ሊሚናል ደረጃ” ብለው ይገልጹታል?</v>
      </c>
      <c r="I132" s="5" t="str">
        <f>IFERROR(__xludf.DUMMYFUNCTION(" GOOGLETRANSLATE(C132, ""en"", ""am"")"),"ሀ. በሌሊት ይከሰታል ለ. በልጅነት እና በጉልምስና መካከል ነው ሐ. ከውጪ ተደብቋል D. ሚስጥራዊ ሥርዓት ነው.")</f>
        <v>ሀ. በሌሊት ይከሰታል ለ. በልጅነት እና በጉልምስና መካከል ነው ሐ. ከውጪ ተደብቋል D. ሚስጥራዊ ሥርዓት ነው.</v>
      </c>
      <c r="J132" s="5" t="str">
        <f>IFERROR(__xludf.DUMMYFUNCTION(" GOOGLETRANSLATE(D132, ""en"", ""am"")"),"ለ) በልጅነት እና በጉልምስና መካከል ነው")</f>
        <v>ለ) በልጅነት እና በጉልምስና መካከል ነው</v>
      </c>
      <c r="K132" s="5" t="str">
        <f>IFERROR(__xludf.DUMMYFUNCTION(" GOOGLETRANSLATE(E132, ""en"", ""am"")"),"ገደብ ማለት በህይወት ደረጃዎች መካከል የሚደረግ ሽግግር ማለት ነው.")</f>
        <v>ገደብ ማለት በህይወት ደረጃዎች መካከል የሚደረግ ሽግግር ማለት ነው.</v>
      </c>
    </row>
    <row r="133" ht="22.5" customHeight="1">
      <c r="A133" s="19">
        <v>132.0</v>
      </c>
      <c r="B133" s="5" t="s">
        <v>3778</v>
      </c>
      <c r="C133" s="5" t="s">
        <v>3779</v>
      </c>
      <c r="D133" s="5" t="s">
        <v>3780</v>
      </c>
      <c r="E133" s="5" t="s">
        <v>3781</v>
      </c>
      <c r="F133" s="18"/>
      <c r="G133" s="5" t="str">
        <f>IFERROR(__xludf.DUMMYFUNCTION(" GOOGLETRANSLATE(A133, ""en"", ""am"")"),"132")</f>
        <v>132</v>
      </c>
      <c r="H133" s="5" t="str">
        <f>IFERROR(__xludf.DUMMYFUNCTION(" GOOGLETRANSLATE(B133, ""en"", ""am"")"),"ብዙውን ጊዜ ኮርማዎች በምን ያጌጡ ናቸው?")</f>
        <v>ብዙውን ጊዜ ኮርማዎች በምን ያጌጡ ናቸው?</v>
      </c>
      <c r="I133" s="5" t="str">
        <f>IFERROR(__xludf.DUMMYFUNCTION(" GOOGLETRANSLATE(C133, ""en"", ""am"")"),"ሀ. ዶቃዎች እና ቀለም B. አበቦች ሐ. ልብሶች D. ገመዶች ብቻ")</f>
        <v>ሀ. ዶቃዎች እና ቀለም B. አበቦች ሐ. ልብሶች D. ገመዶች ብቻ</v>
      </c>
      <c r="J133" s="5" t="str">
        <f>IFERROR(__xludf.DUMMYFUNCTION(" GOOGLETRANSLATE(D133, ""en"", ""am"")"),"ሀ) ዶቃዎች እና ቀለም")</f>
        <v>ሀ) ዶቃዎች እና ቀለም</v>
      </c>
      <c r="K133" s="5" t="str">
        <f>IFERROR(__xludf.DUMMYFUNCTION(" GOOGLETRANSLATE(E133, ""en"", ""am"")"),"ማስጌጫዎች በዓላትን እና ባህላዊ ኩራትን ያመለክታሉ።")</f>
        <v>ማስጌጫዎች በዓላትን እና ባህላዊ ኩራትን ያመለክታሉ።</v>
      </c>
    </row>
    <row r="134" ht="22.5" customHeight="1">
      <c r="A134" s="19">
        <v>133.0</v>
      </c>
      <c r="B134" s="5" t="s">
        <v>3782</v>
      </c>
      <c r="C134" s="5" t="s">
        <v>3783</v>
      </c>
      <c r="D134" s="5" t="s">
        <v>3784</v>
      </c>
      <c r="E134" s="5" t="s">
        <v>3785</v>
      </c>
      <c r="F134" s="18"/>
      <c r="G134" s="5" t="str">
        <f>IFERROR(__xludf.DUMMYFUNCTION(" GOOGLETRANSLATE(A134, ""en"", ""am"")"),"133")</f>
        <v>133</v>
      </c>
      <c r="H134" s="5" t="str">
        <f>IFERROR(__xludf.DUMMYFUNCTION(" GOOGLETRANSLATE(B134, ""en"", ""am"")"),"እሱ ካልተሳካ የጀማሪው ሁኔታ ምን ይሆናል?")</f>
        <v>እሱ ካልተሳካ የጀማሪው ሁኔታ ምን ይሆናል?</v>
      </c>
      <c r="I134" s="5" t="str">
        <f>IFERROR(__xludf.DUMMYFUNCTION(" GOOGLETRANSLATE(C134, ""en"", ""am"")"),"ሀ. ወንድ ልጅን በማህበራዊ ሁኔታ ይቆያል B. ከብት ጠፋ ሐ. ተባረረ D. ጎሳውን መልቀቅ አለበት.")</f>
        <v>ሀ. ወንድ ልጅን በማህበራዊ ሁኔታ ይቆያል B. ከብት ጠፋ ሐ. ተባረረ D. ጎሳውን መልቀቅ አለበት.</v>
      </c>
      <c r="J134" s="5" t="str">
        <f>IFERROR(__xludf.DUMMYFUNCTION(" GOOGLETRANSLATE(D134, ""en"", ""am"")"),"ሀ) ወንድ ልጅ በማህበራዊ ደረጃ ይቆያል")</f>
        <v>ሀ) ወንድ ልጅ በማህበራዊ ደረጃ ይቆያል</v>
      </c>
      <c r="K134" s="5" t="str">
        <f>IFERROR(__xludf.DUMMYFUNCTION(" GOOGLETRANSLATE(E134, ""en"", ""am"")"),"እስኪሳካለት ድረስ ማግባት አይችልም።")</f>
        <v>እስኪሳካለት ድረስ ማግባት አይችልም።</v>
      </c>
    </row>
    <row r="135" ht="22.5" customHeight="1">
      <c r="A135" s="19">
        <v>134.0</v>
      </c>
      <c r="B135" s="5" t="s">
        <v>3786</v>
      </c>
      <c r="C135" s="5" t="s">
        <v>3787</v>
      </c>
      <c r="D135" s="5" t="s">
        <v>3788</v>
      </c>
      <c r="E135" s="5" t="s">
        <v>3789</v>
      </c>
      <c r="F135" s="18"/>
      <c r="G135" s="5" t="str">
        <f>IFERROR(__xludf.DUMMYFUNCTION(" GOOGLETRANSLATE(A135, ""en"", ""am"")"),"134")</f>
        <v>134</v>
      </c>
      <c r="H135" s="5" t="str">
        <f>IFERROR(__xludf.DUMMYFUNCTION(" GOOGLETRANSLATE(B135, ""en"", ""am"")"),"መላው መንደሩ ከሥርዓተ ሥርዓቱ ምን ያተርፋል?")</f>
        <v>መላው መንደሩ ከሥርዓተ ሥርዓቱ ምን ያተርፋል?</v>
      </c>
      <c r="I135" s="5" t="str">
        <f>IFERROR(__xludf.DUMMYFUNCTION(" GOOGLETRANSLATE(C135, ""en"", ""am"")"),"ሀ. የተጠናከረ ማንነት ለ. ተጨማሪ ከብት ሐ. የፖለቲካ ሞገስ መ. የንግድ ጥቅሞች")</f>
        <v>ሀ. የተጠናከረ ማንነት ለ. ተጨማሪ ከብት ሐ. የፖለቲካ ሞገስ መ. የንግድ ጥቅሞች</v>
      </c>
      <c r="J135" s="5" t="str">
        <f>IFERROR(__xludf.DUMMYFUNCTION(" GOOGLETRANSLATE(D135, ""en"", ""am"")"),"ሀ) የተጠናከረ ማንነት")</f>
        <v>ሀ) የተጠናከረ ማንነት</v>
      </c>
      <c r="K135" s="5" t="str">
        <f>IFERROR(__xludf.DUMMYFUNCTION(" GOOGLETRANSLATE(E135, ""en"", ""am"")"),"ሥነ ሥርዓቱ የማኅበረሰቡን ትስስር ያጠናክራል።")</f>
        <v>ሥነ ሥርዓቱ የማኅበረሰቡን ትስስር ያጠናክራል።</v>
      </c>
    </row>
    <row r="136" ht="22.5" customHeight="1">
      <c r="A136" s="19">
        <v>135.0</v>
      </c>
      <c r="B136" s="5" t="s">
        <v>3790</v>
      </c>
      <c r="C136" s="5" t="s">
        <v>3791</v>
      </c>
      <c r="D136" s="5" t="s">
        <v>3792</v>
      </c>
      <c r="E136" s="5" t="s">
        <v>3793</v>
      </c>
      <c r="F136" s="18"/>
      <c r="G136" s="5" t="str">
        <f>IFERROR(__xludf.DUMMYFUNCTION(" GOOGLETRANSLATE(A136, ""en"", ""am"")"),"135")</f>
        <v>135</v>
      </c>
      <c r="H136" s="5" t="str">
        <f>IFERROR(__xludf.DUMMYFUNCTION(" GOOGLETRANSLATE(B136, ""en"", ""am"")"),"የአራት ስኬታማ ሩጫዎች ተምሳሌት ምንድን ነው?")</f>
        <v>የአራት ስኬታማ ሩጫዎች ተምሳሌት ምንድን ነው?</v>
      </c>
      <c r="I136" s="5" t="str">
        <f>IFERROR(__xludf.DUMMYFUNCTION(" GOOGLETRANSLATE(C136, ""en"", ""am"")"),"ሀ. የአራት ቅድመ አያቶች በረከቶች ለ. አራት የወንድነት ሀላፊነቶች ሐ. አራት የአለም አቅጣጫዎች መ. አራት የከብት መንፈሶች")</f>
        <v>ሀ. የአራት ቅድመ አያቶች በረከቶች ለ. አራት የወንድነት ሀላፊነቶች ሐ. አራት የአለም አቅጣጫዎች መ. አራት የከብት መንፈሶች</v>
      </c>
      <c r="J136" s="5" t="str">
        <f>IFERROR(__xludf.DUMMYFUNCTION(" GOOGLETRANSLATE(D136, ""en"", ""am"")"),"ለ) አራት የወንድነት ኃላፊነቶች")</f>
        <v>ለ) አራት የወንድነት ኃላፊነቶች</v>
      </c>
      <c r="K136" s="5" t="str">
        <f>IFERROR(__xludf.DUMMYFUNCTION(" GOOGLETRANSLATE(E136, ""en"", ""am"")"),"የአዋቂነት ግዴታዎችን ያንፀባርቃሉ.")</f>
        <v>የአዋቂነት ግዴታዎችን ያንፀባርቃሉ.</v>
      </c>
    </row>
    <row r="137" ht="22.5" customHeight="1">
      <c r="A137" s="19">
        <v>136.0</v>
      </c>
      <c r="B137" s="5" t="s">
        <v>3794</v>
      </c>
      <c r="C137" s="5" t="s">
        <v>3795</v>
      </c>
      <c r="D137" s="5" t="s">
        <v>3796</v>
      </c>
      <c r="E137" s="5" t="s">
        <v>3797</v>
      </c>
      <c r="F137" s="18"/>
      <c r="G137" s="5" t="str">
        <f>IFERROR(__xludf.DUMMYFUNCTION(" GOOGLETRANSLATE(A137, ""en"", ""am"")"),"136")</f>
        <v>136</v>
      </c>
      <c r="H137" s="5" t="str">
        <f>IFERROR(__xludf.DUMMYFUNCTION(" GOOGLETRANSLATE(B137, ""en"", ""am"")"),"የሐማሮች ከብቶች በአጠቃላይ እንዴት ይመለከቷቸዋል?")</f>
        <v>የሐማሮች ከብቶች በአጠቃላይ እንዴት ይመለከቷቸዋል?</v>
      </c>
      <c r="I137" s="5" t="str">
        <f>IFERROR(__xludf.DUMMYFUNCTION(" GOOGLETRANSLATE(C137, ""en"", ""am"")"),"ሀ. እንደ ገንዘብ፣ ሀብት እና የሕይወት ምንጭ ለ. እንደ ሥጋ አቅራቢዎች ብቻ ሐ. እንደ መጫወቻዎች መ. እንደ ቅዱሳን አማልክት")</f>
        <v>ሀ. እንደ ገንዘብ፣ ሀብት እና የሕይወት ምንጭ ለ. እንደ ሥጋ አቅራቢዎች ብቻ ሐ. እንደ መጫወቻዎች መ. እንደ ቅዱሳን አማልክት</v>
      </c>
      <c r="J137" s="5" t="str">
        <f>IFERROR(__xludf.DUMMYFUNCTION(" GOOGLETRANSLATE(D137, ""en"", ""am"")"),"ሀ) እንደ ገንዘብ ፣ ሀብት እና የሕይወት ምንጭ")</f>
        <v>ሀ) እንደ ገንዘብ ፣ ሀብት እና የሕይወት ምንጭ</v>
      </c>
      <c r="K137" s="5" t="str">
        <f>IFERROR(__xludf.DUMMYFUNCTION(" GOOGLETRANSLATE(E137, ""en"", ""am"")"),"ከብቶች የኢኮኖሚ እና የማንነት ማዕከል ናቸው።")</f>
        <v>ከብቶች የኢኮኖሚ እና የማንነት ማዕከል ናቸው።</v>
      </c>
    </row>
    <row r="138" ht="22.5" customHeight="1">
      <c r="A138" s="19">
        <v>137.0</v>
      </c>
      <c r="B138" s="5" t="s">
        <v>3798</v>
      </c>
      <c r="C138" s="5" t="s">
        <v>3799</v>
      </c>
      <c r="D138" s="5" t="s">
        <v>3800</v>
      </c>
      <c r="E138" s="5" t="s">
        <v>3801</v>
      </c>
      <c r="F138" s="18"/>
      <c r="G138" s="5" t="str">
        <f>IFERROR(__xludf.DUMMYFUNCTION(" GOOGLETRANSLATE(A138, ""en"", ""am"")"),"137")</f>
        <v>137</v>
      </c>
      <c r="H138" s="5" t="str">
        <f>IFERROR(__xludf.DUMMYFUNCTION(" GOOGLETRANSLATE(B138, ""en"", ""am"")"),"በኋላ ላይ ጠባሳ ሲታዩ የሴቶች ምላሽ ምንድነው?")</f>
        <v>በኋላ ላይ ጠባሳ ሲታዩ የሴቶች ምላሽ ምንድነው?</v>
      </c>
      <c r="I138" s="5" t="str">
        <f>IFERROR(__xludf.DUMMYFUNCTION(" GOOGLETRANSLATE(C138, ""en"", ""am"")"),"ሀ. ኩራት እና ክብር ለ. ውርደት ሐ. ዝምታ መ. መጸጸት።")</f>
        <v>ሀ. ኩራት እና ክብር ለ. ውርደት ሐ. ዝምታ መ. መጸጸት።</v>
      </c>
      <c r="J138" s="5" t="str">
        <f>IFERROR(__xludf.DUMMYFUNCTION(" GOOGLETRANSLATE(D138, ""en"", ""am"")"),"ሀ) ኩራት እና ክብር")</f>
        <v>ሀ) ኩራት እና ክብር</v>
      </c>
      <c r="K138" s="5" t="str">
        <f>IFERROR(__xludf.DUMMYFUNCTION(" GOOGLETRANSLATE(E138, ""en"", ""am"")"),"ጠባሳዎች እንደ ታማኝነት ምልክቶች በኩራት ይታያሉ።")</f>
        <v>ጠባሳዎች እንደ ታማኝነት ምልክቶች በኩራት ይታያሉ።</v>
      </c>
    </row>
    <row r="139" ht="22.5" customHeight="1">
      <c r="A139" s="19">
        <v>138.0</v>
      </c>
      <c r="B139" s="5" t="s">
        <v>3802</v>
      </c>
      <c r="C139" s="5" t="s">
        <v>3803</v>
      </c>
      <c r="D139" s="5" t="s">
        <v>3804</v>
      </c>
      <c r="E139" s="5" t="s">
        <v>3805</v>
      </c>
      <c r="F139" s="18"/>
      <c r="G139" s="5" t="str">
        <f>IFERROR(__xludf.DUMMYFUNCTION(" GOOGLETRANSLATE(A139, ""en"", ""am"")"),"138")</f>
        <v>138</v>
      </c>
      <c r="H139" s="5" t="str">
        <f>IFERROR(__xludf.DUMMYFUNCTION(" GOOGLETRANSLATE(B139, ""en"", ""am"")"),"የትኛው አንትሮፖሎጂካል ጭብጥ ከላም ዝላይ ጋር የተያያዘ ነው?")</f>
        <v>የትኛው አንትሮፖሎጂካል ጭብጥ ከላም ዝላይ ጋር የተያያዘ ነው?</v>
      </c>
      <c r="I139" s="5" t="str">
        <f>IFERROR(__xludf.DUMMYFUNCTION(" GOOGLETRANSLATE(C139, ""en"", ""am"")"),"ሀ. የዝምድና እና የፆታ ሚናዎች ለ. አለም አቀፍ ንግድ ሐ. ቅኝ ግዛት መ. ትምህርት")</f>
        <v>ሀ. የዝምድና እና የፆታ ሚናዎች ለ. አለም አቀፍ ንግድ ሐ. ቅኝ ግዛት መ. ትምህርት</v>
      </c>
      <c r="J139" s="5" t="str">
        <f>IFERROR(__xludf.DUMMYFUNCTION(" GOOGLETRANSLATE(D139, ""en"", ""am"")"),"ሀ) የዝምድና እና የፆታ ሚናዎች")</f>
        <v>ሀ) የዝምድና እና የፆታ ሚናዎች</v>
      </c>
      <c r="K139" s="5" t="str">
        <f>IFERROR(__xludf.DUMMYFUNCTION(" GOOGLETRANSLATE(E139, ""en"", ""am"")"),"ሥነ ሥርዓቱ የቤተሰብ እና ማህበራዊ ግንኙነቶችን ያሳያል ።")</f>
        <v>ሥነ ሥርዓቱ የቤተሰብ እና ማህበራዊ ግንኙነቶችን ያሳያል ።</v>
      </c>
    </row>
    <row r="140" ht="22.5" customHeight="1">
      <c r="A140" s="19">
        <v>139.0</v>
      </c>
      <c r="B140" s="5" t="s">
        <v>3806</v>
      </c>
      <c r="C140" s="5" t="s">
        <v>3807</v>
      </c>
      <c r="D140" s="5" t="s">
        <v>3808</v>
      </c>
      <c r="E140" s="5" t="s">
        <v>3809</v>
      </c>
      <c r="F140" s="18"/>
      <c r="G140" s="5" t="str">
        <f>IFERROR(__xludf.DUMMYFUNCTION(" GOOGLETRANSLATE(A140, ""en"", ""am"")"),"139")</f>
        <v>139</v>
      </c>
      <c r="H140" s="5" t="str">
        <f>IFERROR(__xludf.DUMMYFUNCTION(" GOOGLETRANSLATE(B140, ""en"", ""am"")"),"ለምንድነው አንዳንዴ ""የወንድነት ፈተና"" የሚባለው?")</f>
        <v>ለምንድነው አንዳንዴ "የወንድነት ፈተና" የሚባለው?</v>
      </c>
      <c r="I140" s="5" t="str">
        <f>IFERROR(__xludf.DUMMYFUNCTION(" GOOGLETRANSLATE(C140, ""en"", ""am"")"),"ሀ. ወንድ ልጆች ለማግባት ዝግጁ መሆናቸውን ስለሚያረጋግጡ ለ.ሴቶች ስለሚሳተፉ ሐ. ምክንያቱም በሬዎች የተቀደሱ ናቸው መ. ምክንያቱም ሽማግሌዎችን ብቻ ያካትታል.")</f>
        <v>ሀ. ወንድ ልጆች ለማግባት ዝግጁ መሆናቸውን ስለሚያረጋግጡ ለ.ሴቶች ስለሚሳተፉ ሐ. ምክንያቱም በሬዎች የተቀደሱ ናቸው መ. ምክንያቱም ሽማግሌዎችን ብቻ ያካትታል.</v>
      </c>
      <c r="J140" s="5" t="str">
        <f>IFERROR(__xludf.DUMMYFUNCTION(" GOOGLETRANSLATE(D140, ""en"", ""am"")"),"ሀ) ወንዶች ልጆች ለማግባት ዝግጁ መሆናቸውን ስለሚያረጋግጡ")</f>
        <v>ሀ) ወንዶች ልጆች ለማግባት ዝግጁ መሆናቸውን ስለሚያረጋግጡ</v>
      </c>
      <c r="K140" s="5" t="str">
        <f>IFERROR(__xludf.DUMMYFUNCTION(" GOOGLETRANSLATE(E140, ""en"", ""am"")"),"ወደ ወንድነት የሚወስደውን መንገድ ያመለክታል.")</f>
        <v>ወደ ወንድነት የሚወስደውን መንገድ ያመለክታል.</v>
      </c>
    </row>
    <row r="141" ht="22.5" customHeight="1">
      <c r="A141" s="19">
        <v>140.0</v>
      </c>
      <c r="B141" s="5" t="s">
        <v>3810</v>
      </c>
      <c r="C141" s="5" t="s">
        <v>3811</v>
      </c>
      <c r="D141" s="5" t="s">
        <v>3812</v>
      </c>
      <c r="E141" s="5" t="s">
        <v>3813</v>
      </c>
      <c r="F141" s="18"/>
      <c r="G141" s="5" t="str">
        <f>IFERROR(__xludf.DUMMYFUNCTION(" GOOGLETRANSLATE(A141, ""en"", ""am"")"),"140")</f>
        <v>140</v>
      </c>
      <c r="H141" s="5" t="str">
        <f>IFERROR(__xludf.DUMMYFUNCTION(" GOOGLETRANSLATE(B141, ""en"", ""am"")"),"የአምልኮ ሥርዓቱ ለቀጣዩ ትውልድ ምን ትምህርት ይሰጣል?")</f>
        <v>የአምልኮ ሥርዓቱ ለቀጣዩ ትውልድ ምን ትምህርት ይሰጣል?</v>
      </c>
      <c r="I141" s="5" t="str">
        <f>IFERROR(__xludf.DUMMYFUNCTION(" GOOGLETRANSLATE(C141, ""en"", ""am"")"),"ሀ. የቤተሰብ ታማኝነት እና ጀግንነት ጉዳይ አብዛኛው ለ. ሃብት ጊዜያዊ ነው ሐ.እርሻ የበላይ ነው መ.ሽማግሌዎች በጭፍን መታዘዝ አለባቸው")</f>
        <v>ሀ. የቤተሰብ ታማኝነት እና ጀግንነት ጉዳይ አብዛኛው ለ. ሃብት ጊዜያዊ ነው ሐ.እርሻ የበላይ ነው መ.ሽማግሌዎች በጭፍን መታዘዝ አለባቸው</v>
      </c>
      <c r="J141" s="5" t="str">
        <f>IFERROR(__xludf.DUMMYFUNCTION(" GOOGLETRANSLATE(D141, ""en"", ""am"")"),"ሀ) የቤተሰብ ታማኝነት እና ጀግንነት ከሁሉም በላይ አስፈላጊ ነው።")</f>
        <v>ሀ) የቤተሰብ ታማኝነት እና ጀግንነት ከሁሉም በላይ አስፈላጊ ነው።</v>
      </c>
      <c r="K141" s="5" t="str">
        <f>IFERROR(__xludf.DUMMYFUNCTION(" GOOGLETRANSLATE(E141, ""en"", ""am"")"),"ሥነ ሥርዓቱ የወጣቶች ባህላዊ እሴቶችን ያጠናክራል።")</f>
        <v>ሥነ ሥርዓቱ የወጣቶች ባህላዊ እሴቶችን ያጠናክራል።</v>
      </c>
    </row>
    <row r="142" ht="22.5" customHeight="1">
      <c r="A142" s="6"/>
      <c r="B142" s="6"/>
      <c r="C142" s="6"/>
      <c r="D142" s="6"/>
      <c r="E142" s="6"/>
    </row>
    <row r="143" ht="22.5" customHeight="1">
      <c r="A143" s="6"/>
      <c r="B143" s="6"/>
      <c r="C143" s="6"/>
      <c r="D143" s="6"/>
      <c r="E143" s="6"/>
    </row>
    <row r="144" ht="22.5" customHeight="1">
      <c r="A144" s="6"/>
      <c r="B144" s="6"/>
      <c r="C144" s="6"/>
      <c r="D144" s="6"/>
      <c r="E144" s="6"/>
    </row>
    <row r="145" ht="22.5" customHeight="1">
      <c r="A145" s="6"/>
      <c r="B145" s="6"/>
      <c r="C145" s="6"/>
      <c r="D145" s="6"/>
      <c r="E145" s="6"/>
    </row>
    <row r="146" ht="22.5" customHeight="1">
      <c r="A146" s="6"/>
      <c r="B146" s="6"/>
      <c r="C146" s="6"/>
      <c r="D146" s="6"/>
      <c r="E146" s="6"/>
    </row>
    <row r="147" ht="22.5" customHeight="1">
      <c r="A147" s="6"/>
      <c r="B147" s="6"/>
      <c r="C147" s="6"/>
      <c r="D147" s="6"/>
      <c r="E147" s="6"/>
    </row>
    <row r="148" ht="22.5" customHeight="1">
      <c r="A148" s="6"/>
      <c r="B148" s="6"/>
      <c r="C148" s="6"/>
      <c r="D148" s="6"/>
      <c r="E148" s="6"/>
    </row>
    <row r="149" ht="22.5" customHeight="1">
      <c r="A149" s="6"/>
      <c r="B149" s="6"/>
      <c r="C149" s="6"/>
      <c r="D149" s="6"/>
      <c r="E149" s="6"/>
    </row>
    <row r="150" ht="22.5" customHeight="1">
      <c r="A150" s="6"/>
      <c r="B150" s="6"/>
      <c r="C150" s="6"/>
      <c r="D150" s="6"/>
      <c r="E150" s="6"/>
    </row>
    <row r="151" ht="22.5" customHeight="1">
      <c r="A151" s="6"/>
      <c r="B151" s="6"/>
      <c r="C151" s="6"/>
      <c r="D151" s="6"/>
      <c r="E151" s="6"/>
    </row>
    <row r="152" ht="22.5" customHeight="1">
      <c r="A152" s="6"/>
      <c r="B152" s="6"/>
      <c r="C152" s="6"/>
      <c r="D152" s="6"/>
      <c r="E152" s="6"/>
    </row>
    <row r="153" ht="22.5" customHeight="1">
      <c r="A153" s="6"/>
      <c r="B153" s="6"/>
      <c r="C153" s="6"/>
      <c r="D153" s="6"/>
      <c r="E153" s="6"/>
    </row>
    <row r="154" ht="22.5" customHeight="1">
      <c r="A154" s="6"/>
      <c r="B154" s="6"/>
      <c r="C154" s="6"/>
      <c r="D154" s="6"/>
      <c r="E154" s="6"/>
    </row>
    <row r="155" ht="22.5" customHeight="1">
      <c r="A155" s="6"/>
      <c r="B155" s="6"/>
      <c r="C155" s="6"/>
      <c r="D155" s="6"/>
      <c r="E155" s="6"/>
    </row>
    <row r="156" ht="22.5" customHeight="1">
      <c r="A156" s="6"/>
      <c r="B156" s="6"/>
      <c r="C156" s="6"/>
      <c r="D156" s="6"/>
      <c r="E156" s="6"/>
    </row>
    <row r="157" ht="22.5" customHeight="1">
      <c r="A157" s="6"/>
      <c r="B157" s="6"/>
      <c r="C157" s="6"/>
      <c r="D157" s="6"/>
      <c r="E157" s="6"/>
    </row>
    <row r="158" ht="22.5" customHeight="1">
      <c r="A158" s="6"/>
      <c r="B158" s="6"/>
      <c r="C158" s="6"/>
      <c r="D158" s="6"/>
      <c r="E158" s="6"/>
    </row>
    <row r="159" ht="22.5" customHeight="1">
      <c r="A159" s="6"/>
      <c r="B159" s="6"/>
      <c r="C159" s="6"/>
      <c r="D159" s="6"/>
      <c r="E159" s="6"/>
    </row>
    <row r="160" ht="22.5" customHeight="1">
      <c r="A160" s="6"/>
      <c r="B160" s="6"/>
      <c r="C160" s="6"/>
      <c r="D160" s="6"/>
      <c r="E160" s="6"/>
    </row>
    <row r="161" ht="22.5" customHeight="1">
      <c r="A161" s="6"/>
      <c r="B161" s="6"/>
      <c r="C161" s="6"/>
      <c r="D161" s="6"/>
      <c r="E161" s="6"/>
    </row>
    <row r="162" ht="22.5" customHeight="1">
      <c r="A162" s="6"/>
      <c r="B162" s="6"/>
      <c r="C162" s="6"/>
      <c r="D162" s="6"/>
      <c r="E162" s="6"/>
    </row>
    <row r="163" ht="22.5" customHeight="1">
      <c r="A163" s="6"/>
      <c r="B163" s="6"/>
      <c r="C163" s="6"/>
      <c r="D163" s="6"/>
      <c r="E163" s="6"/>
    </row>
    <row r="164" ht="22.5" customHeight="1">
      <c r="A164" s="6"/>
      <c r="B164" s="6"/>
      <c r="C164" s="6"/>
      <c r="D164" s="6"/>
      <c r="E164" s="6"/>
    </row>
    <row r="165" ht="22.5" customHeight="1">
      <c r="A165" s="6"/>
      <c r="B165" s="6"/>
      <c r="C165" s="6"/>
      <c r="D165" s="6"/>
      <c r="E165" s="6"/>
    </row>
    <row r="166" ht="22.5" customHeight="1">
      <c r="A166" s="6"/>
      <c r="B166" s="6"/>
      <c r="C166" s="6"/>
      <c r="D166" s="6"/>
      <c r="E166" s="6"/>
    </row>
    <row r="167" ht="22.5" customHeight="1">
      <c r="A167" s="6"/>
      <c r="B167" s="6"/>
      <c r="C167" s="6"/>
      <c r="D167" s="6"/>
      <c r="E167" s="6"/>
    </row>
    <row r="168" ht="22.5" customHeight="1">
      <c r="A168" s="6"/>
      <c r="B168" s="6"/>
      <c r="C168" s="6"/>
      <c r="D168" s="6"/>
      <c r="E168" s="6"/>
    </row>
    <row r="169" ht="22.5" customHeight="1">
      <c r="A169" s="6"/>
      <c r="B169" s="6"/>
      <c r="C169" s="6"/>
      <c r="D169" s="6"/>
      <c r="E169" s="6"/>
    </row>
    <row r="170" ht="22.5" customHeight="1">
      <c r="A170" s="6"/>
      <c r="B170" s="6"/>
      <c r="C170" s="6"/>
      <c r="D170" s="6"/>
      <c r="E170" s="6"/>
    </row>
    <row r="171" ht="22.5" customHeight="1">
      <c r="A171" s="6"/>
      <c r="B171" s="6"/>
      <c r="C171" s="6"/>
      <c r="D171" s="6"/>
      <c r="E171" s="6"/>
    </row>
    <row r="172" ht="22.5" customHeight="1">
      <c r="A172" s="6"/>
      <c r="B172" s="6"/>
      <c r="C172" s="6"/>
      <c r="D172" s="6"/>
      <c r="E172" s="6"/>
    </row>
    <row r="173" ht="22.5" customHeight="1">
      <c r="A173" s="6"/>
      <c r="B173" s="6"/>
      <c r="C173" s="6"/>
      <c r="D173" s="6"/>
      <c r="E173" s="6"/>
    </row>
    <row r="174" ht="22.5" customHeight="1">
      <c r="A174" s="6"/>
      <c r="B174" s="6"/>
      <c r="C174" s="6"/>
      <c r="D174" s="6"/>
      <c r="E174" s="6"/>
    </row>
    <row r="175" ht="22.5" customHeight="1">
      <c r="A175" s="6"/>
      <c r="B175" s="6"/>
      <c r="C175" s="6"/>
      <c r="D175" s="6"/>
      <c r="E175" s="6"/>
    </row>
    <row r="176" ht="22.5" customHeight="1">
      <c r="A176" s="6"/>
      <c r="B176" s="6"/>
      <c r="C176" s="6"/>
      <c r="D176" s="6"/>
      <c r="E176" s="6"/>
    </row>
    <row r="177" ht="22.5" customHeight="1">
      <c r="A177" s="6"/>
      <c r="B177" s="6"/>
      <c r="C177" s="6"/>
      <c r="D177" s="6"/>
      <c r="E177" s="6"/>
    </row>
    <row r="178" ht="22.5" customHeight="1">
      <c r="A178" s="6"/>
      <c r="B178" s="6"/>
      <c r="C178" s="6"/>
      <c r="D178" s="6"/>
      <c r="E178" s="6"/>
    </row>
    <row r="179" ht="22.5" customHeight="1">
      <c r="A179" s="6"/>
      <c r="B179" s="6"/>
      <c r="C179" s="6"/>
      <c r="D179" s="6"/>
      <c r="E179" s="6"/>
    </row>
    <row r="180" ht="22.5" customHeight="1">
      <c r="A180" s="6"/>
      <c r="B180" s="6"/>
      <c r="C180" s="6"/>
      <c r="D180" s="6"/>
      <c r="E180" s="6"/>
    </row>
    <row r="181" ht="22.5" customHeight="1">
      <c r="A181" s="6"/>
      <c r="B181" s="6"/>
      <c r="C181" s="6"/>
      <c r="D181" s="6"/>
      <c r="E181" s="6"/>
    </row>
    <row r="182" ht="22.5" customHeight="1">
      <c r="A182" s="6"/>
      <c r="B182" s="6"/>
      <c r="C182" s="6"/>
      <c r="D182" s="6"/>
      <c r="E182" s="6"/>
    </row>
    <row r="183" ht="22.5" customHeight="1">
      <c r="A183" s="6"/>
      <c r="B183" s="6"/>
      <c r="C183" s="6"/>
      <c r="D183" s="6"/>
      <c r="E183" s="6"/>
    </row>
    <row r="184" ht="22.5" customHeight="1">
      <c r="A184" s="6"/>
      <c r="B184" s="6"/>
      <c r="C184" s="6"/>
      <c r="D184" s="6"/>
      <c r="E184" s="6"/>
    </row>
    <row r="185" ht="22.5" customHeight="1">
      <c r="A185" s="6"/>
      <c r="B185" s="6"/>
      <c r="C185" s="6"/>
      <c r="D185" s="6"/>
      <c r="E185" s="6"/>
    </row>
    <row r="186" ht="22.5" customHeight="1">
      <c r="A186" s="6"/>
      <c r="B186" s="6"/>
      <c r="C186" s="6"/>
      <c r="D186" s="6"/>
      <c r="E186" s="6"/>
    </row>
    <row r="187" ht="22.5" customHeight="1">
      <c r="A187" s="6"/>
      <c r="B187" s="6"/>
      <c r="C187" s="6"/>
      <c r="D187" s="6"/>
      <c r="E187" s="6"/>
    </row>
    <row r="188" ht="22.5" customHeight="1">
      <c r="A188" s="6"/>
      <c r="B188" s="6"/>
      <c r="C188" s="6"/>
      <c r="D188" s="6"/>
      <c r="E188" s="6"/>
    </row>
    <row r="189" ht="22.5" customHeight="1">
      <c r="A189" s="6"/>
      <c r="B189" s="6"/>
      <c r="C189" s="6"/>
      <c r="D189" s="6"/>
      <c r="E189" s="6"/>
    </row>
    <row r="190" ht="22.5" customHeight="1">
      <c r="A190" s="6"/>
      <c r="B190" s="6"/>
      <c r="C190" s="6"/>
      <c r="D190" s="6"/>
      <c r="E190" s="6"/>
    </row>
    <row r="191" ht="22.5" customHeight="1">
      <c r="A191" s="6"/>
      <c r="B191" s="6"/>
      <c r="C191" s="6"/>
      <c r="D191" s="6"/>
      <c r="E191" s="6"/>
    </row>
    <row r="192" ht="22.5" customHeight="1">
      <c r="A192" s="6"/>
      <c r="B192" s="6"/>
      <c r="C192" s="6"/>
      <c r="D192" s="6"/>
      <c r="E192" s="6"/>
    </row>
    <row r="193" ht="22.5" customHeight="1">
      <c r="A193" s="6"/>
      <c r="B193" s="6"/>
      <c r="C193" s="6"/>
      <c r="D193" s="6"/>
      <c r="E193" s="6"/>
    </row>
    <row r="194" ht="22.5" customHeight="1">
      <c r="A194" s="6"/>
      <c r="B194" s="6"/>
      <c r="C194" s="6"/>
      <c r="D194" s="6"/>
      <c r="E194" s="6"/>
    </row>
    <row r="195" ht="22.5" customHeight="1">
      <c r="A195" s="6"/>
      <c r="B195" s="6"/>
      <c r="C195" s="6"/>
      <c r="D195" s="6"/>
      <c r="E195" s="6"/>
    </row>
    <row r="196" ht="22.5" customHeight="1">
      <c r="A196" s="6"/>
      <c r="B196" s="6"/>
      <c r="C196" s="6"/>
      <c r="D196" s="6"/>
      <c r="E196" s="6"/>
    </row>
    <row r="197" ht="22.5" customHeight="1">
      <c r="A197" s="6"/>
      <c r="B197" s="6"/>
      <c r="C197" s="6"/>
      <c r="D197" s="6"/>
      <c r="E197" s="6"/>
    </row>
    <row r="198" ht="22.5" customHeight="1">
      <c r="A198" s="6"/>
      <c r="B198" s="6"/>
      <c r="C198" s="6"/>
      <c r="D198" s="6"/>
      <c r="E198" s="6"/>
    </row>
    <row r="199" ht="22.5" customHeight="1">
      <c r="A199" s="6"/>
      <c r="B199" s="6"/>
      <c r="C199" s="6"/>
      <c r="D199" s="6"/>
      <c r="E199" s="6"/>
    </row>
    <row r="200" ht="22.5" customHeight="1">
      <c r="A200" s="6"/>
      <c r="B200" s="6"/>
      <c r="C200" s="6"/>
      <c r="D200" s="6"/>
      <c r="E200" s="6"/>
    </row>
    <row r="201" ht="22.5" customHeight="1">
      <c r="A201" s="6"/>
      <c r="B201" s="6"/>
      <c r="C201" s="6"/>
      <c r="D201" s="6"/>
      <c r="E201" s="6"/>
    </row>
    <row r="202" ht="22.5" customHeight="1">
      <c r="A202" s="6"/>
      <c r="B202" s="6"/>
      <c r="C202" s="6"/>
      <c r="D202" s="6"/>
      <c r="E202" s="6"/>
    </row>
    <row r="203" ht="22.5" customHeight="1">
      <c r="A203" s="6"/>
      <c r="B203" s="6"/>
      <c r="C203" s="6"/>
      <c r="D203" s="6"/>
      <c r="E203" s="6"/>
    </row>
    <row r="204" ht="22.5" customHeight="1">
      <c r="A204" s="6"/>
      <c r="B204" s="6"/>
      <c r="C204" s="6"/>
      <c r="D204" s="6"/>
      <c r="E204" s="6"/>
    </row>
    <row r="205" ht="22.5" customHeight="1">
      <c r="A205" s="6"/>
      <c r="B205" s="6"/>
      <c r="C205" s="6"/>
      <c r="D205" s="6"/>
      <c r="E205" s="6"/>
    </row>
    <row r="206" ht="22.5" customHeight="1">
      <c r="A206" s="6"/>
      <c r="B206" s="6"/>
      <c r="C206" s="6"/>
      <c r="D206" s="6"/>
      <c r="E206" s="6"/>
    </row>
    <row r="207" ht="22.5" customHeight="1">
      <c r="A207" s="6"/>
      <c r="B207" s="6"/>
      <c r="C207" s="6"/>
      <c r="D207" s="6"/>
      <c r="E207" s="6"/>
    </row>
    <row r="208" ht="22.5" customHeight="1">
      <c r="A208" s="6"/>
      <c r="B208" s="6"/>
      <c r="C208" s="6"/>
      <c r="D208" s="6"/>
      <c r="E208" s="6"/>
    </row>
    <row r="209" ht="22.5" customHeight="1">
      <c r="A209" s="6"/>
      <c r="B209" s="6"/>
      <c r="C209" s="6"/>
      <c r="D209" s="6"/>
      <c r="E209" s="6"/>
    </row>
    <row r="210" ht="22.5" customHeight="1">
      <c r="A210" s="6"/>
      <c r="B210" s="6"/>
      <c r="C210" s="6"/>
      <c r="D210" s="6"/>
      <c r="E210" s="6"/>
    </row>
    <row r="211" ht="22.5" customHeight="1">
      <c r="A211" s="6"/>
      <c r="B211" s="6"/>
      <c r="C211" s="6"/>
      <c r="D211" s="6"/>
      <c r="E211" s="6"/>
    </row>
    <row r="212" ht="22.5" customHeight="1">
      <c r="A212" s="6"/>
      <c r="B212" s="6"/>
      <c r="C212" s="6"/>
      <c r="D212" s="6"/>
      <c r="E212" s="6"/>
    </row>
    <row r="213" ht="22.5" customHeight="1">
      <c r="A213" s="6"/>
      <c r="B213" s="6"/>
      <c r="C213" s="6"/>
      <c r="D213" s="6"/>
      <c r="E213" s="6"/>
    </row>
    <row r="214" ht="22.5" customHeight="1">
      <c r="A214" s="6"/>
      <c r="B214" s="6"/>
      <c r="C214" s="6"/>
      <c r="D214" s="6"/>
      <c r="E214" s="6"/>
    </row>
    <row r="215" ht="22.5" customHeight="1">
      <c r="A215" s="6"/>
      <c r="B215" s="6"/>
      <c r="C215" s="6"/>
      <c r="D215" s="6"/>
      <c r="E215" s="6"/>
    </row>
    <row r="216" ht="22.5" customHeight="1">
      <c r="A216" s="6"/>
      <c r="B216" s="6"/>
      <c r="C216" s="6"/>
      <c r="D216" s="6"/>
      <c r="E216" s="6"/>
    </row>
    <row r="217" ht="22.5" customHeight="1">
      <c r="A217" s="6"/>
      <c r="B217" s="6"/>
      <c r="C217" s="6"/>
      <c r="D217" s="6"/>
      <c r="E217" s="6"/>
    </row>
    <row r="218" ht="22.5" customHeight="1">
      <c r="A218" s="6"/>
      <c r="B218" s="6"/>
      <c r="C218" s="6"/>
      <c r="D218" s="6"/>
      <c r="E218" s="6"/>
    </row>
    <row r="219" ht="22.5" customHeight="1">
      <c r="A219" s="6"/>
      <c r="B219" s="6"/>
      <c r="C219" s="6"/>
      <c r="D219" s="6"/>
      <c r="E219" s="6"/>
    </row>
    <row r="220" ht="22.5" customHeight="1">
      <c r="A220" s="6"/>
      <c r="B220" s="6"/>
      <c r="C220" s="6"/>
      <c r="D220" s="6"/>
      <c r="E220" s="6"/>
    </row>
    <row r="221" ht="22.5" customHeight="1">
      <c r="A221" s="6"/>
      <c r="B221" s="6"/>
      <c r="C221" s="6"/>
      <c r="D221" s="6"/>
      <c r="E221" s="6"/>
    </row>
    <row r="222" ht="22.5" customHeight="1">
      <c r="A222" s="6"/>
      <c r="B222" s="6"/>
      <c r="C222" s="6"/>
      <c r="D222" s="6"/>
      <c r="E222" s="6"/>
    </row>
    <row r="223" ht="22.5" customHeight="1">
      <c r="A223" s="6"/>
      <c r="B223" s="6"/>
      <c r="C223" s="6"/>
      <c r="D223" s="6"/>
      <c r="E223" s="6"/>
    </row>
    <row r="224" ht="22.5" customHeight="1">
      <c r="A224" s="6"/>
      <c r="B224" s="6"/>
      <c r="C224" s="6"/>
      <c r="D224" s="6"/>
      <c r="E224" s="6"/>
    </row>
    <row r="225" ht="22.5" customHeight="1">
      <c r="A225" s="6"/>
      <c r="B225" s="6"/>
      <c r="C225" s="6"/>
      <c r="D225" s="6"/>
      <c r="E225" s="6"/>
    </row>
    <row r="226" ht="22.5" customHeight="1">
      <c r="A226" s="6"/>
      <c r="B226" s="6"/>
      <c r="C226" s="6"/>
      <c r="D226" s="6"/>
      <c r="E226" s="6"/>
    </row>
    <row r="227" ht="22.5" customHeight="1">
      <c r="A227" s="6"/>
      <c r="B227" s="6"/>
      <c r="C227" s="6"/>
      <c r="D227" s="6"/>
      <c r="E227" s="6"/>
    </row>
    <row r="228" ht="22.5" customHeight="1">
      <c r="A228" s="6"/>
      <c r="B228" s="6"/>
      <c r="C228" s="6"/>
      <c r="D228" s="6"/>
      <c r="E228" s="6"/>
    </row>
    <row r="229" ht="22.5" customHeight="1">
      <c r="A229" s="6"/>
      <c r="B229" s="6"/>
      <c r="C229" s="6"/>
      <c r="D229" s="6"/>
      <c r="E229" s="6"/>
    </row>
    <row r="230" ht="22.5" customHeight="1">
      <c r="A230" s="6"/>
      <c r="B230" s="6"/>
      <c r="C230" s="6"/>
      <c r="D230" s="6"/>
      <c r="E230" s="6"/>
    </row>
    <row r="231" ht="22.5" customHeight="1">
      <c r="A231" s="6"/>
      <c r="B231" s="6"/>
      <c r="C231" s="6"/>
      <c r="D231" s="6"/>
      <c r="E231" s="6"/>
    </row>
    <row r="232" ht="22.5" customHeight="1">
      <c r="A232" s="6"/>
      <c r="B232" s="6"/>
      <c r="C232" s="6"/>
      <c r="D232" s="6"/>
      <c r="E232" s="6"/>
    </row>
    <row r="233" ht="22.5" customHeight="1">
      <c r="A233" s="6"/>
      <c r="B233" s="6"/>
      <c r="C233" s="6"/>
      <c r="D233" s="6"/>
      <c r="E233" s="6"/>
    </row>
    <row r="234" ht="22.5" customHeight="1">
      <c r="A234" s="6"/>
      <c r="B234" s="6"/>
      <c r="C234" s="6"/>
      <c r="D234" s="6"/>
      <c r="E234" s="6"/>
    </row>
    <row r="235" ht="22.5" customHeight="1">
      <c r="A235" s="6"/>
      <c r="B235" s="6"/>
      <c r="C235" s="6"/>
      <c r="D235" s="6"/>
      <c r="E235" s="6"/>
    </row>
    <row r="236" ht="22.5" customHeight="1">
      <c r="A236" s="6"/>
      <c r="B236" s="6"/>
      <c r="C236" s="6"/>
      <c r="D236" s="6"/>
      <c r="E236" s="6"/>
    </row>
    <row r="237" ht="22.5" customHeight="1">
      <c r="A237" s="6"/>
      <c r="B237" s="6"/>
      <c r="C237" s="6"/>
      <c r="D237" s="6"/>
      <c r="E237" s="6"/>
    </row>
    <row r="238" ht="22.5" customHeight="1">
      <c r="A238" s="6"/>
      <c r="B238" s="6"/>
      <c r="C238" s="6"/>
      <c r="D238" s="6"/>
      <c r="E238" s="6"/>
    </row>
    <row r="239" ht="22.5" customHeight="1">
      <c r="A239" s="6"/>
      <c r="B239" s="6"/>
      <c r="C239" s="6"/>
      <c r="D239" s="6"/>
      <c r="E239" s="6"/>
    </row>
    <row r="240" ht="22.5" customHeight="1">
      <c r="A240" s="6"/>
      <c r="B240" s="6"/>
      <c r="C240" s="6"/>
      <c r="D240" s="6"/>
      <c r="E240" s="6"/>
    </row>
    <row r="241" ht="22.5" customHeight="1">
      <c r="A241" s="6"/>
      <c r="B241" s="6"/>
      <c r="C241" s="6"/>
      <c r="D241" s="6"/>
      <c r="E241" s="6"/>
    </row>
    <row r="242" ht="22.5" customHeight="1">
      <c r="A242" s="6"/>
      <c r="B242" s="6"/>
      <c r="C242" s="6"/>
      <c r="D242" s="6"/>
      <c r="E242" s="6"/>
    </row>
    <row r="243" ht="22.5" customHeight="1">
      <c r="A243" s="6"/>
      <c r="B243" s="6"/>
      <c r="C243" s="6"/>
      <c r="D243" s="6"/>
      <c r="E243" s="6"/>
    </row>
    <row r="244" ht="22.5" customHeight="1">
      <c r="A244" s="6"/>
      <c r="B244" s="6"/>
      <c r="C244" s="6"/>
      <c r="D244" s="6"/>
      <c r="E244" s="6"/>
    </row>
    <row r="245" ht="22.5" customHeight="1">
      <c r="A245" s="6"/>
      <c r="B245" s="6"/>
      <c r="C245" s="6"/>
      <c r="D245" s="6"/>
      <c r="E245" s="6"/>
    </row>
    <row r="246" ht="22.5" customHeight="1">
      <c r="A246" s="6"/>
      <c r="B246" s="6"/>
      <c r="C246" s="6"/>
      <c r="D246" s="6"/>
      <c r="E246" s="6"/>
    </row>
    <row r="247" ht="22.5" customHeight="1">
      <c r="A247" s="6"/>
      <c r="B247" s="6"/>
      <c r="C247" s="6"/>
      <c r="D247" s="6"/>
      <c r="E247" s="6"/>
    </row>
    <row r="248" ht="22.5" customHeight="1">
      <c r="A248" s="6"/>
      <c r="B248" s="6"/>
      <c r="C248" s="6"/>
      <c r="D248" s="6"/>
      <c r="E248" s="6"/>
    </row>
    <row r="249" ht="22.5" customHeight="1">
      <c r="A249" s="6"/>
      <c r="B249" s="6"/>
      <c r="C249" s="6"/>
      <c r="D249" s="6"/>
      <c r="E249" s="6"/>
    </row>
    <row r="250" ht="22.5" customHeight="1">
      <c r="A250" s="6"/>
      <c r="B250" s="6"/>
      <c r="C250" s="6"/>
      <c r="D250" s="6"/>
      <c r="E250" s="6"/>
    </row>
    <row r="251" ht="22.5" customHeight="1">
      <c r="A251" s="6"/>
      <c r="B251" s="6"/>
      <c r="C251" s="6"/>
      <c r="D251" s="6"/>
      <c r="E251" s="6"/>
    </row>
    <row r="252" ht="22.5" customHeight="1">
      <c r="A252" s="6"/>
      <c r="B252" s="6"/>
      <c r="C252" s="6"/>
      <c r="D252" s="6"/>
      <c r="E252" s="6"/>
    </row>
    <row r="253" ht="22.5" customHeight="1">
      <c r="A253" s="6"/>
      <c r="B253" s="6"/>
      <c r="C253" s="6"/>
      <c r="D253" s="6"/>
      <c r="E253" s="6"/>
    </row>
    <row r="254" ht="22.5" customHeight="1">
      <c r="A254" s="6"/>
      <c r="B254" s="6"/>
      <c r="C254" s="6"/>
      <c r="D254" s="6"/>
      <c r="E254" s="6"/>
    </row>
    <row r="255" ht="22.5" customHeight="1">
      <c r="A255" s="6"/>
      <c r="B255" s="6"/>
      <c r="C255" s="6"/>
      <c r="D255" s="6"/>
      <c r="E255" s="6"/>
    </row>
    <row r="256" ht="22.5" customHeight="1">
      <c r="A256" s="6"/>
      <c r="B256" s="6"/>
      <c r="C256" s="6"/>
      <c r="D256" s="6"/>
      <c r="E256" s="6"/>
    </row>
    <row r="257" ht="22.5" customHeight="1">
      <c r="A257" s="6"/>
      <c r="B257" s="6"/>
      <c r="C257" s="6"/>
      <c r="D257" s="6"/>
      <c r="E257" s="6"/>
    </row>
    <row r="258" ht="22.5" customHeight="1">
      <c r="A258" s="6"/>
      <c r="B258" s="6"/>
      <c r="C258" s="6"/>
      <c r="D258" s="6"/>
      <c r="E258" s="6"/>
    </row>
    <row r="259" ht="22.5" customHeight="1">
      <c r="A259" s="6"/>
      <c r="B259" s="6"/>
      <c r="C259" s="6"/>
      <c r="D259" s="6"/>
      <c r="E259" s="6"/>
    </row>
    <row r="260" ht="22.5" customHeight="1">
      <c r="A260" s="6"/>
      <c r="B260" s="6"/>
      <c r="C260" s="6"/>
      <c r="D260" s="6"/>
      <c r="E260" s="6"/>
    </row>
    <row r="261" ht="22.5" customHeight="1">
      <c r="A261" s="6"/>
      <c r="B261" s="6"/>
      <c r="C261" s="6"/>
      <c r="D261" s="6"/>
      <c r="E261" s="6"/>
    </row>
    <row r="262" ht="22.5" customHeight="1">
      <c r="A262" s="6"/>
      <c r="B262" s="6"/>
      <c r="C262" s="6"/>
      <c r="D262" s="6"/>
      <c r="E262" s="6"/>
    </row>
    <row r="263" ht="22.5" customHeight="1">
      <c r="A263" s="6"/>
      <c r="B263" s="6"/>
      <c r="C263" s="6"/>
      <c r="D263" s="6"/>
      <c r="E263" s="6"/>
    </row>
    <row r="264" ht="22.5" customHeight="1">
      <c r="A264" s="6"/>
      <c r="B264" s="6"/>
      <c r="C264" s="6"/>
      <c r="D264" s="6"/>
      <c r="E264" s="6"/>
    </row>
    <row r="265" ht="22.5" customHeight="1">
      <c r="A265" s="6"/>
      <c r="B265" s="6"/>
      <c r="C265" s="6"/>
      <c r="D265" s="6"/>
      <c r="E265" s="6"/>
    </row>
    <row r="266" ht="22.5" customHeight="1">
      <c r="A266" s="6"/>
      <c r="B266" s="6"/>
      <c r="C266" s="6"/>
      <c r="D266" s="6"/>
      <c r="E266" s="6"/>
    </row>
    <row r="267" ht="22.5" customHeight="1">
      <c r="A267" s="6"/>
      <c r="B267" s="6"/>
      <c r="C267" s="6"/>
      <c r="D267" s="6"/>
      <c r="E267" s="6"/>
    </row>
    <row r="268" ht="22.5" customHeight="1">
      <c r="A268" s="6"/>
      <c r="B268" s="6"/>
      <c r="C268" s="6"/>
      <c r="D268" s="6"/>
      <c r="E268" s="6"/>
    </row>
    <row r="269" ht="22.5" customHeight="1">
      <c r="A269" s="6"/>
      <c r="B269" s="6"/>
      <c r="C269" s="6"/>
      <c r="D269" s="6"/>
      <c r="E269" s="6"/>
    </row>
    <row r="270" ht="22.5" customHeight="1">
      <c r="A270" s="6"/>
      <c r="B270" s="6"/>
      <c r="C270" s="6"/>
      <c r="D270" s="6"/>
      <c r="E270" s="6"/>
    </row>
    <row r="271" ht="22.5" customHeight="1">
      <c r="A271" s="6"/>
      <c r="B271" s="6"/>
      <c r="C271" s="6"/>
      <c r="D271" s="6"/>
      <c r="E271" s="6"/>
    </row>
    <row r="272" ht="22.5" customHeight="1">
      <c r="A272" s="6"/>
      <c r="B272" s="6"/>
      <c r="C272" s="6"/>
      <c r="D272" s="6"/>
      <c r="E272" s="6"/>
    </row>
    <row r="273" ht="22.5" customHeight="1">
      <c r="A273" s="6"/>
      <c r="B273" s="6"/>
      <c r="C273" s="6"/>
      <c r="D273" s="6"/>
      <c r="E273" s="6"/>
    </row>
    <row r="274" ht="22.5" customHeight="1">
      <c r="A274" s="6"/>
      <c r="B274" s="6"/>
      <c r="C274" s="6"/>
      <c r="D274" s="6"/>
      <c r="E274" s="6"/>
    </row>
    <row r="275" ht="22.5" customHeight="1">
      <c r="A275" s="6"/>
      <c r="B275" s="6"/>
      <c r="C275" s="6"/>
      <c r="D275" s="6"/>
      <c r="E275" s="6"/>
    </row>
    <row r="276" ht="22.5" customHeight="1">
      <c r="A276" s="6"/>
      <c r="B276" s="6"/>
      <c r="C276" s="6"/>
      <c r="D276" s="6"/>
      <c r="E276" s="6"/>
    </row>
    <row r="277" ht="22.5" customHeight="1">
      <c r="A277" s="6"/>
      <c r="B277" s="6"/>
      <c r="C277" s="6"/>
      <c r="D277" s="6"/>
      <c r="E277" s="6"/>
    </row>
    <row r="278" ht="22.5" customHeight="1">
      <c r="A278" s="6"/>
      <c r="B278" s="6"/>
      <c r="C278" s="6"/>
      <c r="D278" s="6"/>
      <c r="E278" s="6"/>
    </row>
    <row r="279" ht="22.5" customHeight="1">
      <c r="A279" s="6"/>
      <c r="B279" s="6"/>
      <c r="C279" s="6"/>
      <c r="D279" s="6"/>
      <c r="E279" s="6"/>
    </row>
    <row r="280" ht="22.5" customHeight="1">
      <c r="A280" s="6"/>
      <c r="B280" s="6"/>
      <c r="C280" s="6"/>
      <c r="D280" s="6"/>
      <c r="E280" s="6"/>
    </row>
    <row r="281" ht="22.5" customHeight="1">
      <c r="A281" s="6"/>
      <c r="B281" s="6"/>
      <c r="C281" s="6"/>
      <c r="D281" s="6"/>
      <c r="E281" s="6"/>
    </row>
    <row r="282" ht="22.5" customHeight="1">
      <c r="A282" s="6"/>
      <c r="B282" s="6"/>
      <c r="C282" s="6"/>
      <c r="D282" s="6"/>
      <c r="E282" s="6"/>
    </row>
    <row r="283" ht="22.5" customHeight="1">
      <c r="A283" s="6"/>
      <c r="B283" s="6"/>
      <c r="C283" s="6"/>
      <c r="D283" s="6"/>
      <c r="E283" s="6"/>
    </row>
    <row r="284" ht="22.5" customHeight="1">
      <c r="A284" s="6"/>
      <c r="B284" s="6"/>
      <c r="C284" s="6"/>
      <c r="D284" s="6"/>
      <c r="E284" s="6"/>
    </row>
    <row r="285" ht="22.5" customHeight="1">
      <c r="A285" s="6"/>
      <c r="B285" s="6"/>
      <c r="C285" s="6"/>
      <c r="D285" s="6"/>
      <c r="E285" s="6"/>
    </row>
    <row r="286" ht="22.5" customHeight="1">
      <c r="A286" s="6"/>
      <c r="B286" s="6"/>
      <c r="C286" s="6"/>
      <c r="D286" s="6"/>
      <c r="E286" s="6"/>
    </row>
    <row r="287" ht="22.5" customHeight="1">
      <c r="A287" s="6"/>
      <c r="B287" s="6"/>
      <c r="C287" s="6"/>
      <c r="D287" s="6"/>
      <c r="E287" s="6"/>
    </row>
    <row r="288" ht="22.5" customHeight="1">
      <c r="A288" s="6"/>
      <c r="B288" s="6"/>
      <c r="C288" s="6"/>
      <c r="D288" s="6"/>
      <c r="E288" s="6"/>
    </row>
    <row r="289" ht="22.5" customHeight="1">
      <c r="A289" s="6"/>
      <c r="B289" s="6"/>
      <c r="C289" s="6"/>
      <c r="D289" s="6"/>
      <c r="E289" s="6"/>
    </row>
    <row r="290" ht="22.5" customHeight="1">
      <c r="A290" s="6"/>
      <c r="B290" s="6"/>
      <c r="C290" s="6"/>
      <c r="D290" s="6"/>
      <c r="E290" s="6"/>
    </row>
    <row r="291" ht="22.5" customHeight="1">
      <c r="A291" s="6"/>
      <c r="B291" s="6"/>
      <c r="C291" s="6"/>
      <c r="D291" s="6"/>
      <c r="E291" s="6"/>
    </row>
    <row r="292" ht="22.5" customHeight="1">
      <c r="A292" s="6"/>
      <c r="B292" s="6"/>
      <c r="C292" s="6"/>
      <c r="D292" s="6"/>
      <c r="E292" s="6"/>
    </row>
    <row r="293" ht="22.5" customHeight="1">
      <c r="A293" s="6"/>
      <c r="B293" s="6"/>
      <c r="C293" s="6"/>
      <c r="D293" s="6"/>
      <c r="E293" s="6"/>
    </row>
    <row r="294" ht="22.5" customHeight="1">
      <c r="A294" s="6"/>
      <c r="B294" s="6"/>
      <c r="C294" s="6"/>
      <c r="D294" s="6"/>
      <c r="E294" s="6"/>
    </row>
    <row r="295" ht="22.5" customHeight="1">
      <c r="A295" s="6"/>
      <c r="B295" s="6"/>
      <c r="C295" s="6"/>
      <c r="D295" s="6"/>
      <c r="E295" s="6"/>
    </row>
    <row r="296" ht="22.5" customHeight="1">
      <c r="A296" s="6"/>
      <c r="B296" s="6"/>
      <c r="C296" s="6"/>
      <c r="D296" s="6"/>
      <c r="E296" s="6"/>
    </row>
    <row r="297" ht="22.5" customHeight="1">
      <c r="A297" s="6"/>
      <c r="B297" s="6"/>
      <c r="C297" s="6"/>
      <c r="D297" s="6"/>
      <c r="E297" s="6"/>
    </row>
    <row r="298" ht="22.5" customHeight="1">
      <c r="A298" s="6"/>
      <c r="B298" s="6"/>
      <c r="C298" s="6"/>
      <c r="D298" s="6"/>
      <c r="E298" s="6"/>
    </row>
    <row r="299" ht="22.5" customHeight="1">
      <c r="A299" s="6"/>
      <c r="B299" s="6"/>
      <c r="C299" s="6"/>
      <c r="D299" s="6"/>
      <c r="E299" s="6"/>
    </row>
    <row r="300" ht="22.5" customHeight="1">
      <c r="A300" s="6"/>
      <c r="B300" s="6"/>
      <c r="C300" s="6"/>
      <c r="D300" s="6"/>
      <c r="E300" s="6"/>
    </row>
    <row r="301" ht="22.5" customHeight="1">
      <c r="A301" s="6"/>
      <c r="B301" s="6"/>
      <c r="C301" s="6"/>
      <c r="D301" s="6"/>
      <c r="E301" s="6"/>
    </row>
    <row r="302" ht="22.5" customHeight="1">
      <c r="A302" s="6"/>
      <c r="B302" s="6"/>
      <c r="C302" s="6"/>
      <c r="D302" s="6"/>
      <c r="E302" s="6"/>
    </row>
    <row r="303" ht="22.5" customHeight="1">
      <c r="A303" s="6"/>
      <c r="B303" s="6"/>
      <c r="C303" s="6"/>
      <c r="D303" s="6"/>
      <c r="E303" s="6"/>
    </row>
    <row r="304" ht="22.5" customHeight="1">
      <c r="A304" s="6"/>
      <c r="B304" s="6"/>
      <c r="C304" s="6"/>
      <c r="D304" s="6"/>
      <c r="E304" s="6"/>
    </row>
    <row r="305" ht="22.5" customHeight="1">
      <c r="A305" s="6"/>
      <c r="B305" s="6"/>
      <c r="C305" s="6"/>
      <c r="D305" s="6"/>
      <c r="E305" s="6"/>
    </row>
    <row r="306" ht="22.5" customHeight="1">
      <c r="A306" s="6"/>
      <c r="B306" s="6"/>
      <c r="C306" s="6"/>
      <c r="D306" s="6"/>
      <c r="E306" s="6"/>
    </row>
    <row r="307" ht="22.5" customHeight="1">
      <c r="A307" s="6"/>
      <c r="B307" s="6"/>
      <c r="C307" s="6"/>
      <c r="D307" s="6"/>
      <c r="E307" s="6"/>
    </row>
    <row r="308" ht="22.5" customHeight="1">
      <c r="A308" s="6"/>
      <c r="B308" s="6"/>
      <c r="C308" s="6"/>
      <c r="D308" s="6"/>
      <c r="E308" s="6"/>
    </row>
    <row r="309" ht="22.5" customHeight="1">
      <c r="A309" s="6"/>
      <c r="B309" s="6"/>
      <c r="C309" s="6"/>
      <c r="D309" s="6"/>
      <c r="E309" s="6"/>
    </row>
    <row r="310" ht="22.5" customHeight="1">
      <c r="A310" s="6"/>
      <c r="B310" s="6"/>
      <c r="C310" s="6"/>
      <c r="D310" s="6"/>
      <c r="E310" s="6"/>
    </row>
    <row r="311" ht="22.5" customHeight="1">
      <c r="A311" s="6"/>
      <c r="B311" s="6"/>
      <c r="C311" s="6"/>
      <c r="D311" s="6"/>
      <c r="E311" s="6"/>
    </row>
    <row r="312" ht="22.5" customHeight="1">
      <c r="A312" s="6"/>
      <c r="B312" s="6"/>
      <c r="C312" s="6"/>
      <c r="D312" s="6"/>
      <c r="E312" s="6"/>
    </row>
    <row r="313" ht="22.5" customHeight="1">
      <c r="A313" s="6"/>
      <c r="B313" s="6"/>
      <c r="C313" s="6"/>
      <c r="D313" s="6"/>
      <c r="E313" s="6"/>
    </row>
    <row r="314" ht="22.5" customHeight="1">
      <c r="A314" s="6"/>
      <c r="B314" s="6"/>
      <c r="C314" s="6"/>
      <c r="D314" s="6"/>
      <c r="E314" s="6"/>
    </row>
    <row r="315" ht="22.5" customHeight="1">
      <c r="A315" s="6"/>
      <c r="B315" s="6"/>
      <c r="C315" s="6"/>
      <c r="D315" s="6"/>
      <c r="E315" s="6"/>
    </row>
    <row r="316" ht="22.5" customHeight="1">
      <c r="A316" s="6"/>
      <c r="B316" s="6"/>
      <c r="C316" s="6"/>
      <c r="D316" s="6"/>
      <c r="E316" s="6"/>
    </row>
    <row r="317" ht="22.5" customHeight="1">
      <c r="A317" s="6"/>
      <c r="B317" s="6"/>
      <c r="C317" s="6"/>
      <c r="D317" s="6"/>
      <c r="E317" s="6"/>
    </row>
    <row r="318" ht="22.5" customHeight="1">
      <c r="A318" s="6"/>
      <c r="B318" s="6"/>
      <c r="C318" s="6"/>
      <c r="D318" s="6"/>
      <c r="E318" s="6"/>
    </row>
    <row r="319" ht="22.5" customHeight="1">
      <c r="A319" s="6"/>
      <c r="B319" s="6"/>
      <c r="C319" s="6"/>
      <c r="D319" s="6"/>
      <c r="E319" s="6"/>
    </row>
    <row r="320" ht="22.5" customHeight="1">
      <c r="A320" s="6"/>
      <c r="B320" s="6"/>
      <c r="C320" s="6"/>
      <c r="D320" s="6"/>
      <c r="E320" s="6"/>
    </row>
    <row r="321" ht="22.5" customHeight="1">
      <c r="A321" s="6"/>
      <c r="B321" s="6"/>
      <c r="C321" s="6"/>
      <c r="D321" s="6"/>
      <c r="E321" s="6"/>
    </row>
    <row r="322" ht="22.5" customHeight="1">
      <c r="A322" s="6"/>
      <c r="B322" s="6"/>
      <c r="C322" s="6"/>
      <c r="D322" s="6"/>
      <c r="E322" s="6"/>
    </row>
    <row r="323" ht="22.5" customHeight="1">
      <c r="A323" s="6"/>
      <c r="B323" s="6"/>
      <c r="C323" s="6"/>
      <c r="D323" s="6"/>
      <c r="E323" s="6"/>
    </row>
    <row r="324" ht="22.5" customHeight="1">
      <c r="A324" s="6"/>
      <c r="B324" s="6"/>
      <c r="C324" s="6"/>
      <c r="D324" s="6"/>
      <c r="E324" s="6"/>
    </row>
    <row r="325" ht="22.5" customHeight="1">
      <c r="A325" s="6"/>
      <c r="B325" s="6"/>
      <c r="C325" s="6"/>
      <c r="D325" s="6"/>
      <c r="E325" s="6"/>
    </row>
    <row r="326" ht="22.5" customHeight="1">
      <c r="A326" s="6"/>
      <c r="B326" s="6"/>
      <c r="C326" s="6"/>
      <c r="D326" s="6"/>
      <c r="E326" s="6"/>
    </row>
    <row r="327" ht="22.5" customHeight="1">
      <c r="A327" s="6"/>
      <c r="B327" s="6"/>
      <c r="C327" s="6"/>
      <c r="D327" s="6"/>
      <c r="E327" s="6"/>
    </row>
    <row r="328" ht="22.5" customHeight="1">
      <c r="A328" s="6"/>
      <c r="B328" s="6"/>
      <c r="C328" s="6"/>
      <c r="D328" s="6"/>
      <c r="E328" s="6"/>
    </row>
    <row r="329" ht="22.5" customHeight="1">
      <c r="A329" s="6"/>
      <c r="B329" s="6"/>
      <c r="C329" s="6"/>
      <c r="D329" s="6"/>
      <c r="E329" s="6"/>
    </row>
    <row r="330" ht="22.5" customHeight="1">
      <c r="A330" s="6"/>
      <c r="B330" s="6"/>
      <c r="C330" s="6"/>
      <c r="D330" s="6"/>
      <c r="E330" s="6"/>
    </row>
    <row r="331" ht="22.5" customHeight="1">
      <c r="A331" s="6"/>
      <c r="B331" s="6"/>
      <c r="C331" s="6"/>
      <c r="D331" s="6"/>
      <c r="E331" s="6"/>
    </row>
    <row r="332" ht="22.5" customHeight="1">
      <c r="A332" s="6"/>
      <c r="B332" s="6"/>
      <c r="C332" s="6"/>
      <c r="D332" s="6"/>
      <c r="E332" s="6"/>
    </row>
    <row r="333" ht="22.5" customHeight="1">
      <c r="A333" s="6"/>
      <c r="B333" s="6"/>
      <c r="C333" s="6"/>
      <c r="D333" s="6"/>
      <c r="E333" s="6"/>
    </row>
    <row r="334" ht="22.5" customHeight="1">
      <c r="A334" s="6"/>
      <c r="B334" s="6"/>
      <c r="C334" s="6"/>
      <c r="D334" s="6"/>
      <c r="E334" s="6"/>
    </row>
    <row r="335" ht="22.5" customHeight="1">
      <c r="A335" s="6"/>
      <c r="B335" s="6"/>
      <c r="C335" s="6"/>
      <c r="D335" s="6"/>
      <c r="E335" s="6"/>
    </row>
    <row r="336" ht="22.5" customHeight="1">
      <c r="A336" s="6"/>
      <c r="B336" s="6"/>
      <c r="C336" s="6"/>
      <c r="D336" s="6"/>
      <c r="E336" s="6"/>
    </row>
    <row r="337" ht="22.5" customHeight="1">
      <c r="A337" s="6"/>
      <c r="B337" s="6"/>
      <c r="C337" s="6"/>
      <c r="D337" s="6"/>
      <c r="E337" s="6"/>
    </row>
    <row r="338" ht="22.5" customHeight="1">
      <c r="A338" s="6"/>
      <c r="B338" s="6"/>
      <c r="C338" s="6"/>
      <c r="D338" s="6"/>
      <c r="E338" s="6"/>
    </row>
    <row r="339" ht="22.5" customHeight="1">
      <c r="A339" s="6"/>
      <c r="B339" s="6"/>
      <c r="C339" s="6"/>
      <c r="D339" s="6"/>
      <c r="E339" s="6"/>
    </row>
    <row r="340" ht="22.5" customHeight="1">
      <c r="A340" s="6"/>
      <c r="B340" s="6"/>
      <c r="C340" s="6"/>
      <c r="D340" s="6"/>
      <c r="E340" s="6"/>
    </row>
    <row r="341" ht="22.5" customHeight="1">
      <c r="A341" s="6"/>
      <c r="B341" s="6"/>
      <c r="C341" s="6"/>
      <c r="D341" s="6"/>
      <c r="E341" s="6"/>
    </row>
    <row r="342" ht="22.5" customHeight="1">
      <c r="A342" s="6"/>
      <c r="B342" s="6"/>
      <c r="C342" s="6"/>
      <c r="D342" s="6"/>
      <c r="E342" s="6"/>
    </row>
    <row r="343" ht="22.5" customHeight="1">
      <c r="A343" s="6"/>
      <c r="B343" s="6"/>
      <c r="C343" s="6"/>
      <c r="D343" s="6"/>
      <c r="E343" s="6"/>
    </row>
    <row r="344" ht="22.5" customHeight="1">
      <c r="A344" s="6"/>
      <c r="B344" s="6"/>
      <c r="C344" s="6"/>
      <c r="D344" s="6"/>
      <c r="E344" s="6"/>
    </row>
    <row r="345" ht="22.5" customHeight="1">
      <c r="A345" s="6"/>
      <c r="B345" s="6"/>
      <c r="C345" s="6"/>
      <c r="D345" s="6"/>
      <c r="E345" s="6"/>
    </row>
    <row r="346" ht="22.5" customHeight="1">
      <c r="A346" s="6"/>
      <c r="B346" s="6"/>
      <c r="C346" s="6"/>
      <c r="D346" s="6"/>
      <c r="E346" s="6"/>
    </row>
    <row r="347" ht="22.5" customHeight="1">
      <c r="A347" s="6"/>
      <c r="B347" s="6"/>
      <c r="C347" s="6"/>
      <c r="D347" s="6"/>
      <c r="E347" s="6"/>
    </row>
    <row r="348" ht="22.5" customHeight="1">
      <c r="A348" s="6"/>
      <c r="B348" s="6"/>
      <c r="C348" s="6"/>
      <c r="D348" s="6"/>
      <c r="E348" s="6"/>
    </row>
    <row r="349" ht="22.5" customHeight="1">
      <c r="A349" s="6"/>
      <c r="B349" s="6"/>
      <c r="C349" s="6"/>
      <c r="D349" s="6"/>
      <c r="E349" s="6"/>
    </row>
    <row r="350" ht="22.5" customHeight="1">
      <c r="A350" s="6"/>
      <c r="B350" s="6"/>
      <c r="C350" s="6"/>
      <c r="D350" s="6"/>
      <c r="E350" s="6"/>
    </row>
    <row r="351" ht="22.5" customHeight="1">
      <c r="A351" s="6"/>
      <c r="B351" s="6"/>
      <c r="C351" s="6"/>
      <c r="D351" s="6"/>
      <c r="E351" s="6"/>
    </row>
    <row r="352" ht="22.5" customHeight="1">
      <c r="A352" s="6"/>
      <c r="B352" s="6"/>
      <c r="C352" s="6"/>
      <c r="D352" s="6"/>
      <c r="E352" s="6"/>
    </row>
    <row r="353" ht="22.5" customHeight="1">
      <c r="A353" s="6"/>
      <c r="B353" s="6"/>
      <c r="C353" s="6"/>
      <c r="D353" s="6"/>
      <c r="E353" s="6"/>
    </row>
    <row r="354" ht="22.5" customHeight="1">
      <c r="A354" s="6"/>
      <c r="B354" s="6"/>
      <c r="C354" s="6"/>
      <c r="D354" s="6"/>
      <c r="E354" s="6"/>
    </row>
    <row r="355" ht="22.5" customHeight="1">
      <c r="A355" s="6"/>
      <c r="B355" s="6"/>
      <c r="C355" s="6"/>
      <c r="D355" s="6"/>
      <c r="E355" s="6"/>
    </row>
    <row r="356" ht="22.5" customHeight="1">
      <c r="A356" s="6"/>
      <c r="B356" s="6"/>
      <c r="C356" s="6"/>
      <c r="D356" s="6"/>
      <c r="E356" s="6"/>
    </row>
    <row r="357" ht="22.5" customHeight="1">
      <c r="A357" s="6"/>
      <c r="B357" s="6"/>
      <c r="C357" s="6"/>
      <c r="D357" s="6"/>
      <c r="E357" s="6"/>
    </row>
    <row r="358" ht="22.5" customHeight="1">
      <c r="A358" s="6"/>
      <c r="B358" s="6"/>
      <c r="C358" s="6"/>
      <c r="D358" s="6"/>
      <c r="E358" s="6"/>
    </row>
    <row r="359" ht="22.5" customHeight="1">
      <c r="A359" s="6"/>
      <c r="B359" s="6"/>
      <c r="C359" s="6"/>
      <c r="D359" s="6"/>
      <c r="E359" s="6"/>
    </row>
    <row r="360" ht="22.5" customHeight="1">
      <c r="A360" s="6"/>
      <c r="B360" s="6"/>
      <c r="C360" s="6"/>
      <c r="D360" s="6"/>
      <c r="E360" s="6"/>
    </row>
    <row r="361" ht="22.5" customHeight="1">
      <c r="A361" s="6"/>
      <c r="B361" s="6"/>
      <c r="C361" s="6"/>
      <c r="D361" s="6"/>
      <c r="E361" s="6"/>
    </row>
    <row r="362" ht="22.5" customHeight="1">
      <c r="A362" s="6"/>
      <c r="B362" s="6"/>
      <c r="C362" s="6"/>
      <c r="D362" s="6"/>
      <c r="E362" s="6"/>
    </row>
    <row r="363" ht="22.5" customHeight="1">
      <c r="A363" s="6"/>
      <c r="B363" s="6"/>
      <c r="C363" s="6"/>
      <c r="D363" s="6"/>
      <c r="E363" s="6"/>
    </row>
    <row r="364" ht="22.5" customHeight="1">
      <c r="A364" s="6"/>
      <c r="B364" s="6"/>
      <c r="C364" s="6"/>
      <c r="D364" s="6"/>
      <c r="E364" s="6"/>
    </row>
    <row r="365" ht="22.5" customHeight="1">
      <c r="A365" s="6"/>
      <c r="B365" s="6"/>
      <c r="C365" s="6"/>
      <c r="D365" s="6"/>
      <c r="E365" s="6"/>
    </row>
    <row r="366" ht="22.5" customHeight="1">
      <c r="A366" s="6"/>
      <c r="B366" s="6"/>
      <c r="C366" s="6"/>
      <c r="D366" s="6"/>
      <c r="E366" s="6"/>
    </row>
    <row r="367" ht="22.5" customHeight="1">
      <c r="A367" s="6"/>
      <c r="B367" s="6"/>
      <c r="C367" s="6"/>
      <c r="D367" s="6"/>
      <c r="E367" s="6"/>
    </row>
    <row r="368" ht="22.5" customHeight="1">
      <c r="A368" s="6"/>
      <c r="B368" s="6"/>
      <c r="C368" s="6"/>
      <c r="D368" s="6"/>
      <c r="E368" s="6"/>
    </row>
    <row r="369" ht="22.5" customHeight="1">
      <c r="A369" s="6"/>
      <c r="B369" s="6"/>
      <c r="C369" s="6"/>
      <c r="D369" s="6"/>
      <c r="E369" s="6"/>
    </row>
    <row r="370" ht="22.5" customHeight="1">
      <c r="A370" s="6"/>
      <c r="B370" s="6"/>
      <c r="C370" s="6"/>
      <c r="D370" s="6"/>
      <c r="E370" s="6"/>
    </row>
    <row r="371" ht="22.5" customHeight="1">
      <c r="A371" s="6"/>
      <c r="B371" s="6"/>
      <c r="C371" s="6"/>
      <c r="D371" s="6"/>
      <c r="E371" s="6"/>
    </row>
    <row r="372" ht="22.5" customHeight="1">
      <c r="A372" s="6"/>
      <c r="B372" s="6"/>
      <c r="C372" s="6"/>
      <c r="D372" s="6"/>
      <c r="E372" s="6"/>
    </row>
    <row r="373" ht="22.5" customHeight="1">
      <c r="A373" s="6"/>
      <c r="B373" s="6"/>
      <c r="C373" s="6"/>
      <c r="D373" s="6"/>
      <c r="E373" s="6"/>
    </row>
    <row r="374" ht="22.5" customHeight="1">
      <c r="A374" s="6"/>
      <c r="B374" s="6"/>
      <c r="C374" s="6"/>
      <c r="D374" s="6"/>
      <c r="E374" s="6"/>
    </row>
    <row r="375" ht="22.5" customHeight="1">
      <c r="A375" s="6"/>
      <c r="B375" s="6"/>
      <c r="C375" s="6"/>
      <c r="D375" s="6"/>
      <c r="E375" s="6"/>
    </row>
    <row r="376" ht="22.5" customHeight="1">
      <c r="A376" s="6"/>
      <c r="B376" s="6"/>
      <c r="C376" s="6"/>
      <c r="D376" s="6"/>
      <c r="E376" s="6"/>
    </row>
    <row r="377" ht="22.5" customHeight="1">
      <c r="A377" s="6"/>
      <c r="B377" s="6"/>
      <c r="C377" s="6"/>
      <c r="D377" s="6"/>
      <c r="E377" s="6"/>
    </row>
    <row r="378" ht="22.5" customHeight="1">
      <c r="A378" s="6"/>
      <c r="B378" s="6"/>
      <c r="C378" s="6"/>
      <c r="D378" s="6"/>
      <c r="E378" s="6"/>
    </row>
    <row r="379" ht="22.5" customHeight="1">
      <c r="A379" s="6"/>
      <c r="B379" s="6"/>
      <c r="C379" s="6"/>
      <c r="D379" s="6"/>
      <c r="E379" s="6"/>
    </row>
    <row r="380" ht="22.5" customHeight="1">
      <c r="A380" s="6"/>
      <c r="B380" s="6"/>
      <c r="C380" s="6"/>
      <c r="D380" s="6"/>
      <c r="E380" s="6"/>
    </row>
    <row r="381" ht="22.5" customHeight="1">
      <c r="A381" s="6"/>
      <c r="B381" s="6"/>
      <c r="C381" s="6"/>
      <c r="D381" s="6"/>
      <c r="E381" s="6"/>
    </row>
    <row r="382" ht="22.5" customHeight="1">
      <c r="A382" s="6"/>
      <c r="B382" s="6"/>
      <c r="C382" s="6"/>
      <c r="D382" s="6"/>
      <c r="E382" s="6"/>
    </row>
    <row r="383" ht="22.5" customHeight="1">
      <c r="A383" s="6"/>
      <c r="B383" s="6"/>
      <c r="C383" s="6"/>
      <c r="D383" s="6"/>
      <c r="E383" s="6"/>
    </row>
    <row r="384" ht="22.5" customHeight="1">
      <c r="A384" s="6"/>
      <c r="B384" s="6"/>
      <c r="C384" s="6"/>
      <c r="D384" s="6"/>
      <c r="E384" s="6"/>
    </row>
    <row r="385" ht="22.5" customHeight="1">
      <c r="A385" s="6"/>
      <c r="B385" s="6"/>
      <c r="C385" s="6"/>
      <c r="D385" s="6"/>
      <c r="E385" s="6"/>
    </row>
    <row r="386" ht="22.5" customHeight="1">
      <c r="A386" s="6"/>
      <c r="B386" s="6"/>
      <c r="C386" s="6"/>
      <c r="D386" s="6"/>
      <c r="E386" s="6"/>
    </row>
    <row r="387" ht="22.5" customHeight="1">
      <c r="A387" s="6"/>
      <c r="B387" s="6"/>
      <c r="C387" s="6"/>
      <c r="D387" s="6"/>
      <c r="E387" s="6"/>
    </row>
    <row r="388" ht="22.5" customHeight="1">
      <c r="A388" s="6"/>
      <c r="B388" s="6"/>
      <c r="C388" s="6"/>
      <c r="D388" s="6"/>
      <c r="E388" s="6"/>
    </row>
    <row r="389" ht="22.5" customHeight="1">
      <c r="A389" s="6"/>
      <c r="B389" s="6"/>
      <c r="C389" s="6"/>
      <c r="D389" s="6"/>
      <c r="E389" s="6"/>
    </row>
    <row r="390" ht="22.5" customHeight="1">
      <c r="A390" s="6"/>
      <c r="B390" s="6"/>
      <c r="C390" s="6"/>
      <c r="D390" s="6"/>
      <c r="E390" s="6"/>
    </row>
    <row r="391" ht="22.5" customHeight="1">
      <c r="A391" s="6"/>
      <c r="B391" s="6"/>
      <c r="C391" s="6"/>
      <c r="D391" s="6"/>
      <c r="E391" s="6"/>
    </row>
    <row r="392" ht="22.5" customHeight="1">
      <c r="A392" s="6"/>
      <c r="B392" s="6"/>
      <c r="C392" s="6"/>
      <c r="D392" s="6"/>
      <c r="E392" s="6"/>
    </row>
    <row r="393" ht="22.5" customHeight="1">
      <c r="A393" s="6"/>
      <c r="B393" s="6"/>
      <c r="C393" s="6"/>
      <c r="D393" s="6"/>
      <c r="E393" s="6"/>
    </row>
    <row r="394" ht="22.5" customHeight="1">
      <c r="A394" s="6"/>
      <c r="B394" s="6"/>
      <c r="C394" s="6"/>
      <c r="D394" s="6"/>
      <c r="E394" s="6"/>
    </row>
    <row r="395" ht="22.5" customHeight="1">
      <c r="A395" s="6"/>
      <c r="B395" s="6"/>
      <c r="C395" s="6"/>
      <c r="D395" s="6"/>
      <c r="E395" s="6"/>
    </row>
    <row r="396" ht="22.5" customHeight="1">
      <c r="A396" s="6"/>
      <c r="B396" s="6"/>
      <c r="C396" s="6"/>
      <c r="D396" s="6"/>
      <c r="E396" s="6"/>
    </row>
    <row r="397" ht="22.5" customHeight="1">
      <c r="A397" s="6"/>
      <c r="B397" s="6"/>
      <c r="C397" s="6"/>
      <c r="D397" s="6"/>
      <c r="E397" s="6"/>
    </row>
    <row r="398" ht="22.5" customHeight="1">
      <c r="A398" s="6"/>
      <c r="B398" s="6"/>
      <c r="C398" s="6"/>
      <c r="D398" s="6"/>
      <c r="E398" s="6"/>
    </row>
    <row r="399" ht="22.5" customHeight="1">
      <c r="A399" s="6"/>
      <c r="B399" s="6"/>
      <c r="C399" s="6"/>
      <c r="D399" s="6"/>
      <c r="E399" s="6"/>
    </row>
    <row r="400" ht="22.5" customHeight="1">
      <c r="A400" s="6"/>
      <c r="B400" s="6"/>
      <c r="C400" s="6"/>
      <c r="D400" s="6"/>
      <c r="E400" s="6"/>
    </row>
    <row r="401" ht="22.5" customHeight="1">
      <c r="A401" s="6"/>
      <c r="B401" s="6"/>
      <c r="C401" s="6"/>
      <c r="D401" s="6"/>
      <c r="E401" s="6"/>
    </row>
    <row r="402" ht="22.5" customHeight="1">
      <c r="A402" s="6"/>
      <c r="B402" s="6"/>
      <c r="C402" s="6"/>
      <c r="D402" s="6"/>
      <c r="E402" s="6"/>
    </row>
    <row r="403" ht="22.5" customHeight="1">
      <c r="A403" s="6"/>
      <c r="B403" s="6"/>
      <c r="C403" s="6"/>
      <c r="D403" s="6"/>
      <c r="E403" s="6"/>
    </row>
    <row r="404" ht="22.5" customHeight="1">
      <c r="A404" s="6"/>
      <c r="B404" s="6"/>
      <c r="C404" s="6"/>
      <c r="D404" s="6"/>
      <c r="E404" s="6"/>
    </row>
    <row r="405" ht="22.5" customHeight="1">
      <c r="A405" s="6"/>
      <c r="B405" s="6"/>
      <c r="C405" s="6"/>
      <c r="D405" s="6"/>
      <c r="E405" s="6"/>
    </row>
    <row r="406" ht="22.5" customHeight="1">
      <c r="A406" s="6"/>
      <c r="B406" s="6"/>
      <c r="C406" s="6"/>
      <c r="D406" s="6"/>
      <c r="E406" s="6"/>
    </row>
    <row r="407" ht="22.5" customHeight="1">
      <c r="A407" s="6"/>
      <c r="B407" s="6"/>
      <c r="C407" s="6"/>
      <c r="D407" s="6"/>
      <c r="E407" s="6"/>
    </row>
    <row r="408" ht="22.5" customHeight="1">
      <c r="A408" s="6"/>
      <c r="B408" s="6"/>
      <c r="C408" s="6"/>
      <c r="D408" s="6"/>
      <c r="E408" s="6"/>
    </row>
    <row r="409" ht="22.5" customHeight="1">
      <c r="A409" s="6"/>
      <c r="B409" s="6"/>
      <c r="C409" s="6"/>
      <c r="D409" s="6"/>
      <c r="E409" s="6"/>
    </row>
    <row r="410" ht="22.5" customHeight="1">
      <c r="A410" s="6"/>
      <c r="B410" s="6"/>
      <c r="C410" s="6"/>
      <c r="D410" s="6"/>
      <c r="E410" s="6"/>
    </row>
    <row r="411" ht="22.5" customHeight="1">
      <c r="A411" s="6"/>
      <c r="B411" s="6"/>
      <c r="C411" s="6"/>
      <c r="D411" s="6"/>
      <c r="E411" s="6"/>
    </row>
    <row r="412" ht="22.5" customHeight="1">
      <c r="A412" s="6"/>
      <c r="B412" s="6"/>
      <c r="C412" s="6"/>
      <c r="D412" s="6"/>
      <c r="E412" s="6"/>
    </row>
    <row r="413" ht="22.5" customHeight="1">
      <c r="A413" s="6"/>
      <c r="B413" s="6"/>
      <c r="C413" s="6"/>
      <c r="D413" s="6"/>
      <c r="E413" s="6"/>
    </row>
    <row r="414" ht="22.5" customHeight="1">
      <c r="A414" s="6"/>
      <c r="B414" s="6"/>
      <c r="C414" s="6"/>
      <c r="D414" s="6"/>
      <c r="E414" s="6"/>
    </row>
    <row r="415" ht="22.5" customHeight="1">
      <c r="A415" s="6"/>
      <c r="B415" s="6"/>
      <c r="C415" s="6"/>
      <c r="D415" s="6"/>
      <c r="E415" s="6"/>
    </row>
    <row r="416" ht="22.5" customHeight="1">
      <c r="A416" s="6"/>
      <c r="B416" s="6"/>
      <c r="C416" s="6"/>
      <c r="D416" s="6"/>
      <c r="E416" s="6"/>
    </row>
    <row r="417" ht="22.5" customHeight="1">
      <c r="A417" s="6"/>
      <c r="B417" s="6"/>
      <c r="C417" s="6"/>
      <c r="D417" s="6"/>
      <c r="E417" s="6"/>
    </row>
    <row r="418" ht="22.5" customHeight="1">
      <c r="A418" s="6"/>
      <c r="B418" s="6"/>
      <c r="C418" s="6"/>
      <c r="D418" s="6"/>
      <c r="E418" s="6"/>
    </row>
    <row r="419" ht="22.5" customHeight="1">
      <c r="A419" s="6"/>
      <c r="B419" s="6"/>
      <c r="C419" s="6"/>
      <c r="D419" s="6"/>
      <c r="E419" s="6"/>
    </row>
    <row r="420" ht="22.5" customHeight="1">
      <c r="A420" s="6"/>
      <c r="B420" s="6"/>
      <c r="C420" s="6"/>
      <c r="D420" s="6"/>
      <c r="E420" s="6"/>
    </row>
    <row r="421" ht="22.5" customHeight="1">
      <c r="A421" s="6"/>
      <c r="B421" s="6"/>
      <c r="C421" s="6"/>
      <c r="D421" s="6"/>
      <c r="E421" s="6"/>
    </row>
    <row r="422" ht="22.5" customHeight="1">
      <c r="A422" s="6"/>
      <c r="B422" s="6"/>
      <c r="C422" s="6"/>
      <c r="D422" s="6"/>
      <c r="E422" s="6"/>
    </row>
    <row r="423" ht="22.5" customHeight="1">
      <c r="A423" s="6"/>
      <c r="B423" s="6"/>
      <c r="C423" s="6"/>
      <c r="D423" s="6"/>
      <c r="E423" s="6"/>
    </row>
    <row r="424" ht="22.5" customHeight="1">
      <c r="A424" s="6"/>
      <c r="B424" s="6"/>
      <c r="C424" s="6"/>
      <c r="D424" s="6"/>
      <c r="E424" s="6"/>
    </row>
    <row r="425" ht="22.5" customHeight="1">
      <c r="A425" s="6"/>
      <c r="B425" s="6"/>
      <c r="C425" s="6"/>
      <c r="D425" s="6"/>
      <c r="E425" s="6"/>
    </row>
    <row r="426" ht="22.5" customHeight="1">
      <c r="A426" s="6"/>
      <c r="B426" s="6"/>
      <c r="C426" s="6"/>
      <c r="D426" s="6"/>
      <c r="E426" s="6"/>
    </row>
    <row r="427" ht="22.5" customHeight="1">
      <c r="A427" s="6"/>
      <c r="B427" s="6"/>
      <c r="C427" s="6"/>
      <c r="D427" s="6"/>
      <c r="E427" s="6"/>
    </row>
    <row r="428" ht="22.5" customHeight="1">
      <c r="A428" s="6"/>
      <c r="B428" s="6"/>
      <c r="C428" s="6"/>
      <c r="D428" s="6"/>
      <c r="E428" s="6"/>
    </row>
    <row r="429" ht="22.5" customHeight="1">
      <c r="A429" s="6"/>
      <c r="B429" s="6"/>
      <c r="C429" s="6"/>
      <c r="D429" s="6"/>
      <c r="E429" s="6"/>
    </row>
    <row r="430" ht="22.5" customHeight="1">
      <c r="A430" s="6"/>
      <c r="B430" s="6"/>
      <c r="C430" s="6"/>
      <c r="D430" s="6"/>
      <c r="E430" s="6"/>
    </row>
    <row r="431" ht="22.5" customHeight="1">
      <c r="A431" s="6"/>
      <c r="B431" s="6"/>
      <c r="C431" s="6"/>
      <c r="D431" s="6"/>
      <c r="E431" s="6"/>
    </row>
    <row r="432" ht="22.5" customHeight="1">
      <c r="A432" s="6"/>
      <c r="B432" s="6"/>
      <c r="C432" s="6"/>
      <c r="D432" s="6"/>
      <c r="E432" s="6"/>
    </row>
    <row r="433" ht="22.5" customHeight="1">
      <c r="A433" s="6"/>
      <c r="B433" s="6"/>
      <c r="C433" s="6"/>
      <c r="D433" s="6"/>
      <c r="E433" s="6"/>
    </row>
    <row r="434" ht="22.5" customHeight="1">
      <c r="A434" s="6"/>
      <c r="B434" s="6"/>
      <c r="C434" s="6"/>
      <c r="D434" s="6"/>
      <c r="E434" s="6"/>
    </row>
    <row r="435" ht="22.5" customHeight="1">
      <c r="A435" s="6"/>
      <c r="B435" s="6"/>
      <c r="C435" s="6"/>
      <c r="D435" s="6"/>
      <c r="E435" s="6"/>
    </row>
    <row r="436" ht="22.5" customHeight="1">
      <c r="A436" s="6"/>
      <c r="B436" s="6"/>
      <c r="C436" s="6"/>
      <c r="D436" s="6"/>
      <c r="E436" s="6"/>
    </row>
    <row r="437" ht="22.5" customHeight="1">
      <c r="A437" s="6"/>
      <c r="B437" s="6"/>
      <c r="C437" s="6"/>
      <c r="D437" s="6"/>
      <c r="E437" s="6"/>
    </row>
    <row r="438" ht="22.5" customHeight="1">
      <c r="A438" s="6"/>
      <c r="B438" s="6"/>
      <c r="C438" s="6"/>
      <c r="D438" s="6"/>
      <c r="E438" s="6"/>
    </row>
    <row r="439" ht="22.5" customHeight="1">
      <c r="A439" s="6"/>
      <c r="B439" s="6"/>
      <c r="C439" s="6"/>
      <c r="D439" s="6"/>
      <c r="E439" s="6"/>
    </row>
    <row r="440" ht="22.5" customHeight="1">
      <c r="A440" s="6"/>
      <c r="B440" s="6"/>
      <c r="C440" s="6"/>
      <c r="D440" s="6"/>
      <c r="E440" s="6"/>
    </row>
    <row r="441" ht="22.5" customHeight="1">
      <c r="A441" s="6"/>
      <c r="B441" s="6"/>
      <c r="C441" s="6"/>
      <c r="D441" s="6"/>
      <c r="E441" s="6"/>
    </row>
    <row r="442" ht="22.5" customHeight="1">
      <c r="A442" s="6"/>
      <c r="B442" s="6"/>
      <c r="C442" s="6"/>
      <c r="D442" s="6"/>
      <c r="E442" s="6"/>
    </row>
    <row r="443" ht="22.5" customHeight="1">
      <c r="A443" s="6"/>
      <c r="B443" s="6"/>
      <c r="C443" s="6"/>
      <c r="D443" s="6"/>
      <c r="E443" s="6"/>
    </row>
    <row r="444" ht="22.5" customHeight="1">
      <c r="A444" s="6"/>
      <c r="B444" s="6"/>
      <c r="C444" s="6"/>
      <c r="D444" s="6"/>
      <c r="E444" s="6"/>
    </row>
    <row r="445" ht="22.5" customHeight="1">
      <c r="A445" s="6"/>
      <c r="B445" s="6"/>
      <c r="C445" s="6"/>
      <c r="D445" s="6"/>
      <c r="E445" s="6"/>
    </row>
    <row r="446" ht="22.5" customHeight="1">
      <c r="A446" s="6"/>
      <c r="B446" s="6"/>
      <c r="C446" s="6"/>
      <c r="D446" s="6"/>
      <c r="E446" s="6"/>
    </row>
    <row r="447" ht="22.5" customHeight="1">
      <c r="A447" s="6"/>
      <c r="B447" s="6"/>
      <c r="C447" s="6"/>
      <c r="D447" s="6"/>
      <c r="E447" s="6"/>
    </row>
    <row r="448" ht="22.5" customHeight="1">
      <c r="A448" s="6"/>
      <c r="B448" s="6"/>
      <c r="C448" s="6"/>
      <c r="D448" s="6"/>
      <c r="E448" s="6"/>
    </row>
    <row r="449" ht="22.5" customHeight="1">
      <c r="A449" s="6"/>
      <c r="B449" s="6"/>
      <c r="C449" s="6"/>
      <c r="D449" s="6"/>
      <c r="E449" s="6"/>
    </row>
    <row r="450" ht="22.5" customHeight="1">
      <c r="A450" s="6"/>
      <c r="B450" s="6"/>
      <c r="C450" s="6"/>
      <c r="D450" s="6"/>
      <c r="E450" s="6"/>
    </row>
    <row r="451" ht="22.5" customHeight="1">
      <c r="A451" s="6"/>
      <c r="B451" s="6"/>
      <c r="C451" s="6"/>
      <c r="D451" s="6"/>
      <c r="E451" s="6"/>
    </row>
    <row r="452" ht="22.5" customHeight="1">
      <c r="A452" s="6"/>
      <c r="B452" s="6"/>
      <c r="C452" s="6"/>
      <c r="D452" s="6"/>
      <c r="E452" s="6"/>
    </row>
    <row r="453" ht="22.5" customHeight="1">
      <c r="A453" s="6"/>
      <c r="B453" s="6"/>
      <c r="C453" s="6"/>
      <c r="D453" s="6"/>
      <c r="E453" s="6"/>
    </row>
    <row r="454" ht="22.5" customHeight="1">
      <c r="A454" s="6"/>
      <c r="B454" s="6"/>
      <c r="C454" s="6"/>
      <c r="D454" s="6"/>
      <c r="E454" s="6"/>
    </row>
    <row r="455" ht="22.5" customHeight="1">
      <c r="A455" s="6"/>
      <c r="B455" s="6"/>
      <c r="C455" s="6"/>
      <c r="D455" s="6"/>
      <c r="E455" s="6"/>
    </row>
    <row r="456" ht="22.5" customHeight="1">
      <c r="A456" s="6"/>
      <c r="B456" s="6"/>
      <c r="C456" s="6"/>
      <c r="D456" s="6"/>
      <c r="E456" s="6"/>
    </row>
    <row r="457" ht="22.5" customHeight="1">
      <c r="A457" s="6"/>
      <c r="B457" s="6"/>
      <c r="C457" s="6"/>
      <c r="D457" s="6"/>
      <c r="E457" s="6"/>
    </row>
    <row r="458" ht="22.5" customHeight="1">
      <c r="A458" s="6"/>
      <c r="B458" s="6"/>
      <c r="C458" s="6"/>
      <c r="D458" s="6"/>
      <c r="E458" s="6"/>
    </row>
    <row r="459" ht="22.5" customHeight="1">
      <c r="A459" s="6"/>
      <c r="B459" s="6"/>
      <c r="C459" s="6"/>
      <c r="D459" s="6"/>
      <c r="E459" s="6"/>
    </row>
    <row r="460" ht="22.5" customHeight="1">
      <c r="A460" s="6"/>
      <c r="B460" s="6"/>
      <c r="C460" s="6"/>
      <c r="D460" s="6"/>
      <c r="E460" s="6"/>
    </row>
    <row r="461" ht="22.5" customHeight="1">
      <c r="A461" s="6"/>
      <c r="B461" s="6"/>
      <c r="C461" s="6"/>
      <c r="D461" s="6"/>
      <c r="E461" s="6"/>
    </row>
    <row r="462" ht="22.5" customHeight="1">
      <c r="A462" s="6"/>
      <c r="B462" s="6"/>
      <c r="C462" s="6"/>
      <c r="D462" s="6"/>
      <c r="E462" s="6"/>
    </row>
    <row r="463" ht="22.5" customHeight="1">
      <c r="A463" s="6"/>
      <c r="B463" s="6"/>
      <c r="C463" s="6"/>
      <c r="D463" s="6"/>
      <c r="E463" s="6"/>
    </row>
    <row r="464" ht="22.5" customHeight="1">
      <c r="A464" s="6"/>
      <c r="B464" s="6"/>
      <c r="C464" s="6"/>
      <c r="D464" s="6"/>
      <c r="E464" s="6"/>
    </row>
    <row r="465" ht="22.5" customHeight="1">
      <c r="A465" s="6"/>
      <c r="B465" s="6"/>
      <c r="C465" s="6"/>
      <c r="D465" s="6"/>
      <c r="E465" s="6"/>
    </row>
    <row r="466" ht="22.5" customHeight="1">
      <c r="A466" s="6"/>
      <c r="B466" s="6"/>
      <c r="C466" s="6"/>
      <c r="D466" s="6"/>
      <c r="E466" s="6"/>
    </row>
    <row r="467" ht="22.5" customHeight="1">
      <c r="A467" s="6"/>
      <c r="B467" s="6"/>
      <c r="C467" s="6"/>
      <c r="D467" s="6"/>
      <c r="E467" s="6"/>
    </row>
    <row r="468" ht="22.5" customHeight="1">
      <c r="A468" s="6"/>
      <c r="B468" s="6"/>
      <c r="C468" s="6"/>
      <c r="D468" s="6"/>
      <c r="E468" s="6"/>
    </row>
    <row r="469" ht="22.5" customHeight="1">
      <c r="A469" s="6"/>
      <c r="B469" s="6"/>
      <c r="C469" s="6"/>
      <c r="D469" s="6"/>
      <c r="E469" s="6"/>
    </row>
    <row r="470" ht="22.5" customHeight="1">
      <c r="A470" s="6"/>
      <c r="B470" s="6"/>
      <c r="C470" s="6"/>
      <c r="D470" s="6"/>
      <c r="E470" s="6"/>
    </row>
    <row r="471" ht="22.5" customHeight="1">
      <c r="A471" s="6"/>
      <c r="B471" s="6"/>
      <c r="C471" s="6"/>
      <c r="D471" s="6"/>
      <c r="E471" s="6"/>
    </row>
    <row r="472" ht="22.5" customHeight="1">
      <c r="A472" s="6"/>
      <c r="B472" s="6"/>
      <c r="C472" s="6"/>
      <c r="D472" s="6"/>
      <c r="E472" s="6"/>
    </row>
    <row r="473" ht="22.5" customHeight="1">
      <c r="A473" s="6"/>
      <c r="B473" s="6"/>
      <c r="C473" s="6"/>
      <c r="D473" s="6"/>
      <c r="E473" s="6"/>
    </row>
    <row r="474" ht="22.5" customHeight="1">
      <c r="A474" s="6"/>
      <c r="B474" s="6"/>
      <c r="C474" s="6"/>
      <c r="D474" s="6"/>
      <c r="E474" s="6"/>
    </row>
    <row r="475" ht="22.5" customHeight="1">
      <c r="A475" s="6"/>
      <c r="B475" s="6"/>
      <c r="C475" s="6"/>
      <c r="D475" s="6"/>
      <c r="E475" s="6"/>
    </row>
    <row r="476" ht="22.5" customHeight="1">
      <c r="A476" s="6"/>
      <c r="B476" s="6"/>
      <c r="C476" s="6"/>
      <c r="D476" s="6"/>
      <c r="E476" s="6"/>
    </row>
    <row r="477" ht="22.5" customHeight="1">
      <c r="A477" s="6"/>
      <c r="B477" s="6"/>
      <c r="C477" s="6"/>
      <c r="D477" s="6"/>
      <c r="E477" s="6"/>
    </row>
    <row r="478" ht="22.5" customHeight="1">
      <c r="A478" s="6"/>
      <c r="B478" s="6"/>
      <c r="C478" s="6"/>
      <c r="D478" s="6"/>
      <c r="E478" s="6"/>
    </row>
    <row r="479" ht="22.5" customHeight="1">
      <c r="A479" s="6"/>
      <c r="B479" s="6"/>
      <c r="C479" s="6"/>
      <c r="D479" s="6"/>
      <c r="E479" s="6"/>
    </row>
    <row r="480" ht="22.5" customHeight="1">
      <c r="A480" s="6"/>
      <c r="B480" s="6"/>
      <c r="C480" s="6"/>
      <c r="D480" s="6"/>
      <c r="E480" s="6"/>
    </row>
    <row r="481" ht="22.5" customHeight="1">
      <c r="A481" s="6"/>
      <c r="B481" s="6"/>
      <c r="C481" s="6"/>
      <c r="D481" s="6"/>
      <c r="E481" s="6"/>
    </row>
    <row r="482" ht="22.5" customHeight="1">
      <c r="A482" s="6"/>
      <c r="B482" s="6"/>
      <c r="C482" s="6"/>
      <c r="D482" s="6"/>
      <c r="E482" s="6"/>
    </row>
    <row r="483" ht="22.5" customHeight="1">
      <c r="A483" s="6"/>
      <c r="B483" s="6"/>
      <c r="C483" s="6"/>
      <c r="D483" s="6"/>
      <c r="E483" s="6"/>
    </row>
    <row r="484" ht="22.5" customHeight="1">
      <c r="A484" s="6"/>
      <c r="B484" s="6"/>
      <c r="C484" s="6"/>
      <c r="D484" s="6"/>
      <c r="E484" s="6"/>
    </row>
    <row r="485" ht="22.5" customHeight="1">
      <c r="A485" s="6"/>
      <c r="B485" s="6"/>
      <c r="C485" s="6"/>
      <c r="D485" s="6"/>
      <c r="E485" s="6"/>
    </row>
    <row r="486" ht="22.5" customHeight="1">
      <c r="A486" s="6"/>
      <c r="B486" s="6"/>
      <c r="C486" s="6"/>
      <c r="D486" s="6"/>
      <c r="E486" s="6"/>
    </row>
    <row r="487" ht="22.5" customHeight="1">
      <c r="A487" s="6"/>
      <c r="B487" s="6"/>
      <c r="C487" s="6"/>
      <c r="D487" s="6"/>
      <c r="E487" s="6"/>
    </row>
    <row r="488" ht="22.5" customHeight="1">
      <c r="A488" s="6"/>
      <c r="B488" s="6"/>
      <c r="C488" s="6"/>
      <c r="D488" s="6"/>
      <c r="E488" s="6"/>
    </row>
    <row r="489" ht="22.5" customHeight="1">
      <c r="A489" s="6"/>
      <c r="B489" s="6"/>
      <c r="C489" s="6"/>
      <c r="D489" s="6"/>
      <c r="E489" s="6"/>
    </row>
    <row r="490" ht="22.5" customHeight="1">
      <c r="A490" s="6"/>
      <c r="B490" s="6"/>
      <c r="C490" s="6"/>
      <c r="D490" s="6"/>
      <c r="E490" s="6"/>
    </row>
    <row r="491" ht="22.5" customHeight="1">
      <c r="A491" s="6"/>
      <c r="B491" s="6"/>
      <c r="C491" s="6"/>
      <c r="D491" s="6"/>
      <c r="E491" s="6"/>
    </row>
    <row r="492" ht="22.5" customHeight="1">
      <c r="A492" s="6"/>
      <c r="B492" s="6"/>
      <c r="C492" s="6"/>
      <c r="D492" s="6"/>
      <c r="E492" s="6"/>
    </row>
    <row r="493" ht="22.5" customHeight="1">
      <c r="A493" s="6"/>
      <c r="B493" s="6"/>
      <c r="C493" s="6"/>
      <c r="D493" s="6"/>
      <c r="E493" s="6"/>
    </row>
    <row r="494" ht="22.5" customHeight="1">
      <c r="A494" s="6"/>
      <c r="B494" s="6"/>
      <c r="C494" s="6"/>
      <c r="D494" s="6"/>
      <c r="E494" s="6"/>
    </row>
    <row r="495" ht="22.5" customHeight="1">
      <c r="A495" s="6"/>
      <c r="B495" s="6"/>
      <c r="C495" s="6"/>
      <c r="D495" s="6"/>
      <c r="E495" s="6"/>
    </row>
    <row r="496" ht="22.5" customHeight="1">
      <c r="A496" s="6"/>
      <c r="B496" s="6"/>
      <c r="C496" s="6"/>
      <c r="D496" s="6"/>
      <c r="E496" s="6"/>
    </row>
    <row r="497" ht="22.5" customHeight="1">
      <c r="A497" s="6"/>
      <c r="B497" s="6"/>
      <c r="C497" s="6"/>
      <c r="D497" s="6"/>
      <c r="E497" s="6"/>
    </row>
    <row r="498" ht="22.5" customHeight="1">
      <c r="A498" s="6"/>
      <c r="B498" s="6"/>
      <c r="C498" s="6"/>
      <c r="D498" s="6"/>
      <c r="E498" s="6"/>
    </row>
    <row r="499" ht="22.5" customHeight="1">
      <c r="A499" s="6"/>
      <c r="B499" s="6"/>
      <c r="C499" s="6"/>
      <c r="D499" s="6"/>
      <c r="E499" s="6"/>
    </row>
    <row r="500" ht="22.5" customHeight="1">
      <c r="A500" s="6"/>
      <c r="B500" s="6"/>
      <c r="C500" s="6"/>
      <c r="D500" s="6"/>
      <c r="E500" s="6"/>
    </row>
    <row r="501" ht="22.5" customHeight="1">
      <c r="A501" s="6"/>
      <c r="B501" s="6"/>
      <c r="C501" s="6"/>
      <c r="D501" s="6"/>
      <c r="E501" s="6"/>
    </row>
    <row r="502" ht="22.5" customHeight="1">
      <c r="A502" s="6"/>
      <c r="B502" s="6"/>
      <c r="C502" s="6"/>
      <c r="D502" s="6"/>
      <c r="E502" s="6"/>
    </row>
    <row r="503" ht="22.5" customHeight="1">
      <c r="A503" s="6"/>
      <c r="B503" s="6"/>
      <c r="C503" s="6"/>
      <c r="D503" s="6"/>
      <c r="E503" s="6"/>
    </row>
    <row r="504" ht="22.5" customHeight="1">
      <c r="A504" s="6"/>
      <c r="B504" s="6"/>
      <c r="C504" s="6"/>
      <c r="D504" s="6"/>
      <c r="E504" s="6"/>
    </row>
    <row r="505" ht="22.5" customHeight="1">
      <c r="A505" s="6"/>
      <c r="B505" s="6"/>
      <c r="C505" s="6"/>
      <c r="D505" s="6"/>
      <c r="E505" s="6"/>
    </row>
    <row r="506" ht="22.5" customHeight="1">
      <c r="A506" s="6"/>
      <c r="B506" s="6"/>
      <c r="C506" s="6"/>
      <c r="D506" s="6"/>
      <c r="E506" s="6"/>
    </row>
    <row r="507" ht="22.5" customHeight="1">
      <c r="A507" s="6"/>
      <c r="B507" s="6"/>
      <c r="C507" s="6"/>
      <c r="D507" s="6"/>
      <c r="E507" s="6"/>
    </row>
    <row r="508" ht="22.5" customHeight="1">
      <c r="A508" s="6"/>
      <c r="B508" s="6"/>
      <c r="C508" s="6"/>
      <c r="D508" s="6"/>
      <c r="E508" s="6"/>
    </row>
    <row r="509" ht="22.5" customHeight="1">
      <c r="A509" s="6"/>
      <c r="B509" s="6"/>
      <c r="C509" s="6"/>
      <c r="D509" s="6"/>
      <c r="E509" s="6"/>
    </row>
    <row r="510" ht="22.5" customHeight="1">
      <c r="A510" s="6"/>
      <c r="B510" s="6"/>
      <c r="C510" s="6"/>
      <c r="D510" s="6"/>
      <c r="E510" s="6"/>
    </row>
    <row r="511" ht="22.5" customHeight="1">
      <c r="A511" s="6"/>
      <c r="B511" s="6"/>
      <c r="C511" s="6"/>
      <c r="D511" s="6"/>
      <c r="E511" s="6"/>
    </row>
    <row r="512" ht="22.5" customHeight="1">
      <c r="A512" s="6"/>
      <c r="B512" s="6"/>
      <c r="C512" s="6"/>
      <c r="D512" s="6"/>
      <c r="E512" s="6"/>
    </row>
    <row r="513" ht="22.5" customHeight="1">
      <c r="A513" s="6"/>
      <c r="B513" s="6"/>
      <c r="C513" s="6"/>
      <c r="D513" s="6"/>
      <c r="E513" s="6"/>
    </row>
    <row r="514" ht="22.5" customHeight="1">
      <c r="A514" s="6"/>
      <c r="B514" s="6"/>
      <c r="C514" s="6"/>
      <c r="D514" s="6"/>
      <c r="E514" s="6"/>
    </row>
    <row r="515" ht="22.5" customHeight="1">
      <c r="A515" s="6"/>
      <c r="B515" s="6"/>
      <c r="C515" s="6"/>
      <c r="D515" s="6"/>
      <c r="E515" s="6"/>
    </row>
    <row r="516" ht="22.5" customHeight="1">
      <c r="A516" s="6"/>
      <c r="B516" s="6"/>
      <c r="C516" s="6"/>
      <c r="D516" s="6"/>
      <c r="E516" s="6"/>
    </row>
    <row r="517" ht="22.5" customHeight="1">
      <c r="A517" s="6"/>
      <c r="B517" s="6"/>
      <c r="C517" s="6"/>
      <c r="D517" s="6"/>
      <c r="E517" s="6"/>
    </row>
    <row r="518" ht="22.5" customHeight="1">
      <c r="A518" s="6"/>
      <c r="B518" s="6"/>
      <c r="C518" s="6"/>
      <c r="D518" s="6"/>
      <c r="E518" s="6"/>
    </row>
    <row r="519" ht="22.5" customHeight="1">
      <c r="A519" s="6"/>
      <c r="B519" s="6"/>
      <c r="C519" s="6"/>
      <c r="D519" s="6"/>
      <c r="E519" s="6"/>
    </row>
    <row r="520" ht="22.5" customHeight="1">
      <c r="A520" s="6"/>
      <c r="B520" s="6"/>
      <c r="C520" s="6"/>
      <c r="D520" s="6"/>
      <c r="E520" s="6"/>
    </row>
    <row r="521" ht="22.5" customHeight="1">
      <c r="A521" s="6"/>
      <c r="B521" s="6"/>
      <c r="C521" s="6"/>
      <c r="D521" s="6"/>
      <c r="E521" s="6"/>
    </row>
    <row r="522" ht="22.5" customHeight="1">
      <c r="A522" s="6"/>
      <c r="B522" s="6"/>
      <c r="C522" s="6"/>
      <c r="D522" s="6"/>
      <c r="E522" s="6"/>
    </row>
    <row r="523" ht="22.5" customHeight="1">
      <c r="A523" s="6"/>
      <c r="B523" s="6"/>
      <c r="C523" s="6"/>
      <c r="D523" s="6"/>
      <c r="E523" s="6"/>
    </row>
    <row r="524" ht="22.5" customHeight="1">
      <c r="A524" s="6"/>
      <c r="B524" s="6"/>
      <c r="C524" s="6"/>
      <c r="D524" s="6"/>
      <c r="E524" s="6"/>
    </row>
    <row r="525" ht="22.5" customHeight="1">
      <c r="A525" s="6"/>
      <c r="B525" s="6"/>
      <c r="C525" s="6"/>
      <c r="D525" s="6"/>
      <c r="E525" s="6"/>
    </row>
    <row r="526" ht="22.5" customHeight="1">
      <c r="A526" s="6"/>
      <c r="B526" s="6"/>
      <c r="C526" s="6"/>
      <c r="D526" s="6"/>
      <c r="E526" s="6"/>
    </row>
    <row r="527" ht="22.5" customHeight="1">
      <c r="A527" s="6"/>
      <c r="B527" s="6"/>
      <c r="C527" s="6"/>
      <c r="D527" s="6"/>
      <c r="E527" s="6"/>
    </row>
    <row r="528" ht="22.5" customHeight="1">
      <c r="A528" s="6"/>
      <c r="B528" s="6"/>
      <c r="C528" s="6"/>
      <c r="D528" s="6"/>
      <c r="E528" s="6"/>
    </row>
    <row r="529" ht="22.5" customHeight="1">
      <c r="A529" s="6"/>
      <c r="B529" s="6"/>
      <c r="C529" s="6"/>
      <c r="D529" s="6"/>
      <c r="E529" s="6"/>
    </row>
    <row r="530" ht="22.5" customHeight="1">
      <c r="A530" s="6"/>
      <c r="B530" s="6"/>
      <c r="C530" s="6"/>
      <c r="D530" s="6"/>
      <c r="E530" s="6"/>
    </row>
    <row r="531" ht="22.5" customHeight="1">
      <c r="A531" s="6"/>
      <c r="B531" s="6"/>
      <c r="C531" s="6"/>
      <c r="D531" s="6"/>
      <c r="E531" s="6"/>
    </row>
    <row r="532" ht="22.5" customHeight="1">
      <c r="A532" s="6"/>
      <c r="B532" s="6"/>
      <c r="C532" s="6"/>
      <c r="D532" s="6"/>
      <c r="E532" s="6"/>
    </row>
    <row r="533" ht="22.5" customHeight="1">
      <c r="A533" s="6"/>
      <c r="B533" s="6"/>
      <c r="C533" s="6"/>
      <c r="D533" s="6"/>
      <c r="E533" s="6"/>
    </row>
    <row r="534" ht="22.5" customHeight="1">
      <c r="A534" s="6"/>
      <c r="B534" s="6"/>
      <c r="C534" s="6"/>
      <c r="D534" s="6"/>
      <c r="E534" s="6"/>
    </row>
    <row r="535" ht="22.5" customHeight="1">
      <c r="A535" s="6"/>
      <c r="B535" s="6"/>
      <c r="C535" s="6"/>
      <c r="D535" s="6"/>
      <c r="E535" s="6"/>
    </row>
    <row r="536" ht="22.5" customHeight="1">
      <c r="A536" s="6"/>
      <c r="B536" s="6"/>
      <c r="C536" s="6"/>
      <c r="D536" s="6"/>
      <c r="E536" s="6"/>
    </row>
    <row r="537" ht="22.5" customHeight="1">
      <c r="A537" s="6"/>
      <c r="B537" s="6"/>
      <c r="C537" s="6"/>
      <c r="D537" s="6"/>
      <c r="E537" s="6"/>
    </row>
    <row r="538" ht="22.5" customHeight="1">
      <c r="A538" s="6"/>
      <c r="B538" s="6"/>
      <c r="C538" s="6"/>
      <c r="D538" s="6"/>
      <c r="E538" s="6"/>
    </row>
    <row r="539" ht="22.5" customHeight="1">
      <c r="A539" s="6"/>
      <c r="B539" s="6"/>
      <c r="C539" s="6"/>
      <c r="D539" s="6"/>
      <c r="E539" s="6"/>
    </row>
    <row r="540" ht="22.5" customHeight="1">
      <c r="A540" s="6"/>
      <c r="B540" s="6"/>
      <c r="C540" s="6"/>
      <c r="D540" s="6"/>
      <c r="E540" s="6"/>
    </row>
    <row r="541" ht="22.5" customHeight="1">
      <c r="A541" s="6"/>
      <c r="B541" s="6"/>
      <c r="C541" s="6"/>
      <c r="D541" s="6"/>
      <c r="E541" s="6"/>
    </row>
    <row r="542" ht="22.5" customHeight="1">
      <c r="A542" s="6"/>
      <c r="B542" s="6"/>
      <c r="C542" s="6"/>
      <c r="D542" s="6"/>
      <c r="E542" s="6"/>
    </row>
    <row r="543" ht="22.5" customHeight="1">
      <c r="A543" s="6"/>
      <c r="B543" s="6"/>
      <c r="C543" s="6"/>
      <c r="D543" s="6"/>
      <c r="E543" s="6"/>
    </row>
    <row r="544" ht="22.5" customHeight="1">
      <c r="A544" s="6"/>
      <c r="B544" s="6"/>
      <c r="C544" s="6"/>
      <c r="D544" s="6"/>
      <c r="E544" s="6"/>
    </row>
    <row r="545" ht="22.5" customHeight="1">
      <c r="A545" s="6"/>
      <c r="B545" s="6"/>
      <c r="C545" s="6"/>
      <c r="D545" s="6"/>
      <c r="E545" s="6"/>
    </row>
    <row r="546" ht="22.5" customHeight="1">
      <c r="A546" s="6"/>
      <c r="B546" s="6"/>
      <c r="C546" s="6"/>
      <c r="D546" s="6"/>
      <c r="E546" s="6"/>
    </row>
    <row r="547" ht="22.5" customHeight="1">
      <c r="A547" s="6"/>
      <c r="B547" s="6"/>
      <c r="C547" s="6"/>
      <c r="D547" s="6"/>
      <c r="E547" s="6"/>
    </row>
    <row r="548" ht="22.5" customHeight="1">
      <c r="A548" s="6"/>
      <c r="B548" s="6"/>
      <c r="C548" s="6"/>
      <c r="D548" s="6"/>
      <c r="E548" s="6"/>
    </row>
    <row r="549" ht="22.5" customHeight="1">
      <c r="A549" s="6"/>
      <c r="B549" s="6"/>
      <c r="C549" s="6"/>
      <c r="D549" s="6"/>
      <c r="E549" s="6"/>
    </row>
    <row r="550" ht="22.5" customHeight="1">
      <c r="A550" s="6"/>
      <c r="B550" s="6"/>
      <c r="C550" s="6"/>
      <c r="D550" s="6"/>
      <c r="E550" s="6"/>
    </row>
    <row r="551" ht="22.5" customHeight="1">
      <c r="A551" s="6"/>
      <c r="B551" s="6"/>
      <c r="C551" s="6"/>
      <c r="D551" s="6"/>
      <c r="E551" s="6"/>
    </row>
    <row r="552" ht="22.5" customHeight="1">
      <c r="A552" s="6"/>
      <c r="B552" s="6"/>
      <c r="C552" s="6"/>
      <c r="D552" s="6"/>
      <c r="E552" s="6"/>
    </row>
    <row r="553" ht="22.5" customHeight="1">
      <c r="A553" s="6"/>
      <c r="B553" s="6"/>
      <c r="C553" s="6"/>
      <c r="D553" s="6"/>
      <c r="E553" s="6"/>
    </row>
    <row r="554" ht="22.5" customHeight="1">
      <c r="A554" s="6"/>
      <c r="B554" s="6"/>
      <c r="C554" s="6"/>
      <c r="D554" s="6"/>
      <c r="E554" s="6"/>
    </row>
    <row r="555" ht="22.5" customHeight="1">
      <c r="A555" s="6"/>
      <c r="B555" s="6"/>
      <c r="C555" s="6"/>
      <c r="D555" s="6"/>
      <c r="E555" s="6"/>
    </row>
    <row r="556" ht="22.5" customHeight="1">
      <c r="A556" s="6"/>
      <c r="B556" s="6"/>
      <c r="C556" s="6"/>
      <c r="D556" s="6"/>
      <c r="E556" s="6"/>
    </row>
    <row r="557" ht="22.5" customHeight="1">
      <c r="A557" s="6"/>
      <c r="B557" s="6"/>
      <c r="C557" s="6"/>
      <c r="D557" s="6"/>
      <c r="E557" s="6"/>
    </row>
    <row r="558" ht="22.5" customHeight="1">
      <c r="A558" s="6"/>
      <c r="B558" s="6"/>
      <c r="C558" s="6"/>
      <c r="D558" s="6"/>
      <c r="E558" s="6"/>
    </row>
    <row r="559" ht="22.5" customHeight="1">
      <c r="A559" s="6"/>
      <c r="B559" s="6"/>
      <c r="C559" s="6"/>
      <c r="D559" s="6"/>
      <c r="E559" s="6"/>
    </row>
    <row r="560" ht="22.5" customHeight="1">
      <c r="A560" s="6"/>
      <c r="B560" s="6"/>
      <c r="C560" s="6"/>
      <c r="D560" s="6"/>
      <c r="E560" s="6"/>
    </row>
    <row r="561" ht="22.5" customHeight="1">
      <c r="A561" s="6"/>
      <c r="B561" s="6"/>
      <c r="C561" s="6"/>
      <c r="D561" s="6"/>
      <c r="E561" s="6"/>
    </row>
    <row r="562" ht="22.5" customHeight="1">
      <c r="A562" s="6"/>
      <c r="B562" s="6"/>
      <c r="C562" s="6"/>
      <c r="D562" s="6"/>
      <c r="E562" s="6"/>
    </row>
    <row r="563" ht="22.5" customHeight="1">
      <c r="A563" s="6"/>
      <c r="B563" s="6"/>
      <c r="C563" s="6"/>
      <c r="D563" s="6"/>
      <c r="E563" s="6"/>
    </row>
    <row r="564" ht="22.5" customHeight="1">
      <c r="A564" s="6"/>
      <c r="B564" s="6"/>
      <c r="C564" s="6"/>
      <c r="D564" s="6"/>
      <c r="E564" s="6"/>
    </row>
    <row r="565" ht="22.5" customHeight="1">
      <c r="A565" s="6"/>
      <c r="B565" s="6"/>
      <c r="C565" s="6"/>
      <c r="D565" s="6"/>
      <c r="E565" s="6"/>
    </row>
    <row r="566" ht="22.5" customHeight="1">
      <c r="A566" s="6"/>
      <c r="B566" s="6"/>
      <c r="C566" s="6"/>
      <c r="D566" s="6"/>
      <c r="E566" s="6"/>
    </row>
    <row r="567" ht="22.5" customHeight="1">
      <c r="A567" s="6"/>
      <c r="B567" s="6"/>
      <c r="C567" s="6"/>
      <c r="D567" s="6"/>
      <c r="E567" s="6"/>
    </row>
    <row r="568" ht="22.5" customHeight="1">
      <c r="A568" s="6"/>
      <c r="B568" s="6"/>
      <c r="C568" s="6"/>
      <c r="D568" s="6"/>
      <c r="E568" s="6"/>
    </row>
    <row r="569" ht="22.5" customHeight="1">
      <c r="A569" s="6"/>
      <c r="B569" s="6"/>
      <c r="C569" s="6"/>
      <c r="D569" s="6"/>
      <c r="E569" s="6"/>
    </row>
    <row r="570" ht="22.5" customHeight="1">
      <c r="A570" s="6"/>
      <c r="B570" s="6"/>
      <c r="C570" s="6"/>
      <c r="D570" s="6"/>
      <c r="E570" s="6"/>
    </row>
    <row r="571" ht="22.5" customHeight="1">
      <c r="A571" s="6"/>
      <c r="B571" s="6"/>
      <c r="C571" s="6"/>
      <c r="D571" s="6"/>
      <c r="E571" s="6"/>
    </row>
    <row r="572" ht="22.5" customHeight="1">
      <c r="A572" s="6"/>
      <c r="B572" s="6"/>
      <c r="C572" s="6"/>
      <c r="D572" s="6"/>
      <c r="E572" s="6"/>
    </row>
    <row r="573" ht="22.5" customHeight="1">
      <c r="A573" s="6"/>
      <c r="B573" s="6"/>
      <c r="C573" s="6"/>
      <c r="D573" s="6"/>
      <c r="E573" s="6"/>
    </row>
    <row r="574" ht="22.5" customHeight="1">
      <c r="A574" s="6"/>
      <c r="B574" s="6"/>
      <c r="C574" s="6"/>
      <c r="D574" s="6"/>
      <c r="E574" s="6"/>
    </row>
    <row r="575" ht="22.5" customHeight="1">
      <c r="A575" s="6"/>
      <c r="B575" s="6"/>
      <c r="C575" s="6"/>
      <c r="D575" s="6"/>
      <c r="E575" s="6"/>
    </row>
    <row r="576" ht="22.5" customHeight="1">
      <c r="A576" s="6"/>
      <c r="B576" s="6"/>
      <c r="C576" s="6"/>
      <c r="D576" s="6"/>
      <c r="E576" s="6"/>
    </row>
    <row r="577" ht="22.5" customHeight="1">
      <c r="A577" s="6"/>
      <c r="B577" s="6"/>
      <c r="C577" s="6"/>
      <c r="D577" s="6"/>
      <c r="E577" s="6"/>
    </row>
    <row r="578" ht="22.5" customHeight="1">
      <c r="A578" s="6"/>
      <c r="B578" s="6"/>
      <c r="C578" s="6"/>
      <c r="D578" s="6"/>
      <c r="E578" s="6"/>
    </row>
    <row r="579" ht="22.5" customHeight="1">
      <c r="A579" s="6"/>
      <c r="B579" s="6"/>
      <c r="C579" s="6"/>
      <c r="D579" s="6"/>
      <c r="E579" s="6"/>
    </row>
    <row r="580" ht="22.5" customHeight="1">
      <c r="A580" s="6"/>
      <c r="B580" s="6"/>
      <c r="C580" s="6"/>
      <c r="D580" s="6"/>
      <c r="E580" s="6"/>
    </row>
    <row r="581" ht="22.5" customHeight="1">
      <c r="A581" s="6"/>
      <c r="B581" s="6"/>
      <c r="C581" s="6"/>
      <c r="D581" s="6"/>
      <c r="E581" s="6"/>
    </row>
    <row r="582" ht="22.5" customHeight="1">
      <c r="A582" s="6"/>
      <c r="B582" s="6"/>
      <c r="C582" s="6"/>
      <c r="D582" s="6"/>
      <c r="E582" s="6"/>
    </row>
    <row r="583" ht="22.5" customHeight="1">
      <c r="A583" s="6"/>
      <c r="B583" s="6"/>
      <c r="C583" s="6"/>
      <c r="D583" s="6"/>
      <c r="E583" s="6"/>
    </row>
    <row r="584" ht="22.5" customHeight="1">
      <c r="A584" s="6"/>
      <c r="B584" s="6"/>
      <c r="C584" s="6"/>
      <c r="D584" s="6"/>
      <c r="E584" s="6"/>
    </row>
    <row r="585" ht="22.5" customHeight="1">
      <c r="A585" s="6"/>
      <c r="B585" s="6"/>
      <c r="C585" s="6"/>
      <c r="D585" s="6"/>
      <c r="E585" s="6"/>
    </row>
    <row r="586" ht="22.5" customHeight="1">
      <c r="A586" s="6"/>
      <c r="B586" s="6"/>
      <c r="C586" s="6"/>
      <c r="D586" s="6"/>
      <c r="E586" s="6"/>
    </row>
    <row r="587" ht="22.5" customHeight="1">
      <c r="A587" s="6"/>
      <c r="B587" s="6"/>
      <c r="C587" s="6"/>
      <c r="D587" s="6"/>
      <c r="E587" s="6"/>
    </row>
    <row r="588" ht="22.5" customHeight="1">
      <c r="A588" s="6"/>
      <c r="B588" s="6"/>
      <c r="C588" s="6"/>
      <c r="D588" s="6"/>
      <c r="E588" s="6"/>
    </row>
    <row r="589" ht="22.5" customHeight="1">
      <c r="A589" s="6"/>
      <c r="B589" s="6"/>
      <c r="C589" s="6"/>
      <c r="D589" s="6"/>
      <c r="E589" s="6"/>
    </row>
    <row r="590" ht="22.5" customHeight="1">
      <c r="A590" s="6"/>
      <c r="B590" s="6"/>
      <c r="C590" s="6"/>
      <c r="D590" s="6"/>
      <c r="E590" s="6"/>
    </row>
    <row r="591" ht="22.5" customHeight="1">
      <c r="A591" s="6"/>
      <c r="B591" s="6"/>
      <c r="C591" s="6"/>
      <c r="D591" s="6"/>
      <c r="E591" s="6"/>
    </row>
    <row r="592" ht="22.5" customHeight="1">
      <c r="A592" s="6"/>
      <c r="B592" s="6"/>
      <c r="C592" s="6"/>
      <c r="D592" s="6"/>
      <c r="E592" s="6"/>
    </row>
    <row r="593" ht="22.5" customHeight="1">
      <c r="A593" s="6"/>
      <c r="B593" s="6"/>
      <c r="C593" s="6"/>
      <c r="D593" s="6"/>
      <c r="E593" s="6"/>
    </row>
    <row r="594" ht="22.5" customHeight="1">
      <c r="A594" s="6"/>
      <c r="B594" s="6"/>
      <c r="C594" s="6"/>
      <c r="D594" s="6"/>
      <c r="E594" s="6"/>
    </row>
    <row r="595" ht="22.5" customHeight="1">
      <c r="A595" s="6"/>
      <c r="B595" s="6"/>
      <c r="C595" s="6"/>
      <c r="D595" s="6"/>
      <c r="E595" s="6"/>
    </row>
    <row r="596" ht="22.5" customHeight="1">
      <c r="A596" s="6"/>
      <c r="B596" s="6"/>
      <c r="C596" s="6"/>
      <c r="D596" s="6"/>
      <c r="E596" s="6"/>
    </row>
    <row r="597" ht="22.5" customHeight="1">
      <c r="A597" s="6"/>
      <c r="B597" s="6"/>
      <c r="C597" s="6"/>
      <c r="D597" s="6"/>
      <c r="E597" s="6"/>
    </row>
    <row r="598" ht="22.5" customHeight="1">
      <c r="A598" s="6"/>
      <c r="B598" s="6"/>
      <c r="C598" s="6"/>
      <c r="D598" s="6"/>
      <c r="E598" s="6"/>
    </row>
    <row r="599" ht="22.5" customHeight="1">
      <c r="A599" s="6"/>
      <c r="B599" s="6"/>
      <c r="C599" s="6"/>
      <c r="D599" s="6"/>
      <c r="E599" s="6"/>
    </row>
    <row r="600" ht="22.5" customHeight="1">
      <c r="A600" s="6"/>
      <c r="B600" s="6"/>
      <c r="C600" s="6"/>
      <c r="D600" s="6"/>
      <c r="E600" s="6"/>
    </row>
    <row r="601" ht="22.5" customHeight="1">
      <c r="A601" s="6"/>
      <c r="B601" s="6"/>
      <c r="C601" s="6"/>
      <c r="D601" s="6"/>
      <c r="E601" s="6"/>
    </row>
    <row r="602" ht="22.5" customHeight="1">
      <c r="A602" s="6"/>
      <c r="B602" s="6"/>
      <c r="C602" s="6"/>
      <c r="D602" s="6"/>
      <c r="E602" s="6"/>
    </row>
    <row r="603" ht="22.5" customHeight="1">
      <c r="A603" s="6"/>
      <c r="B603" s="6"/>
      <c r="C603" s="6"/>
      <c r="D603" s="6"/>
      <c r="E603" s="6"/>
    </row>
    <row r="604" ht="22.5" customHeight="1">
      <c r="A604" s="6"/>
      <c r="B604" s="6"/>
      <c r="C604" s="6"/>
      <c r="D604" s="6"/>
      <c r="E604" s="6"/>
    </row>
    <row r="605" ht="22.5" customHeight="1">
      <c r="A605" s="6"/>
      <c r="B605" s="6"/>
      <c r="C605" s="6"/>
      <c r="D605" s="6"/>
      <c r="E605" s="6"/>
    </row>
    <row r="606" ht="22.5" customHeight="1">
      <c r="A606" s="6"/>
      <c r="B606" s="6"/>
      <c r="C606" s="6"/>
      <c r="D606" s="6"/>
      <c r="E606" s="6"/>
    </row>
    <row r="607" ht="22.5" customHeight="1">
      <c r="A607" s="6"/>
      <c r="B607" s="6"/>
      <c r="C607" s="6"/>
      <c r="D607" s="6"/>
      <c r="E607" s="6"/>
    </row>
    <row r="608" ht="22.5" customHeight="1">
      <c r="A608" s="6"/>
      <c r="B608" s="6"/>
      <c r="C608" s="6"/>
      <c r="D608" s="6"/>
      <c r="E608" s="6"/>
    </row>
    <row r="609" ht="22.5" customHeight="1">
      <c r="A609" s="6"/>
      <c r="B609" s="6"/>
      <c r="C609" s="6"/>
      <c r="D609" s="6"/>
      <c r="E609" s="6"/>
    </row>
    <row r="610" ht="22.5" customHeight="1">
      <c r="A610" s="6"/>
      <c r="B610" s="6"/>
      <c r="C610" s="6"/>
      <c r="D610" s="6"/>
      <c r="E610" s="6"/>
    </row>
    <row r="611" ht="22.5" customHeight="1">
      <c r="A611" s="6"/>
      <c r="B611" s="6"/>
      <c r="C611" s="6"/>
      <c r="D611" s="6"/>
      <c r="E611" s="6"/>
    </row>
    <row r="612" ht="22.5" customHeight="1">
      <c r="A612" s="6"/>
      <c r="B612" s="6"/>
      <c r="C612" s="6"/>
      <c r="D612" s="6"/>
      <c r="E612" s="6"/>
    </row>
    <row r="613" ht="22.5" customHeight="1">
      <c r="A613" s="6"/>
      <c r="B613" s="6"/>
      <c r="C613" s="6"/>
      <c r="D613" s="6"/>
      <c r="E613" s="6"/>
    </row>
    <row r="614" ht="22.5" customHeight="1">
      <c r="A614" s="6"/>
      <c r="B614" s="6"/>
      <c r="C614" s="6"/>
      <c r="D614" s="6"/>
      <c r="E614" s="6"/>
    </row>
    <row r="615" ht="22.5" customHeight="1">
      <c r="A615" s="6"/>
      <c r="B615" s="6"/>
      <c r="C615" s="6"/>
      <c r="D615" s="6"/>
      <c r="E615" s="6"/>
    </row>
    <row r="616" ht="22.5" customHeight="1">
      <c r="A616" s="6"/>
      <c r="B616" s="6"/>
      <c r="C616" s="6"/>
      <c r="D616" s="6"/>
      <c r="E616" s="6"/>
    </row>
    <row r="617" ht="22.5" customHeight="1">
      <c r="A617" s="6"/>
      <c r="B617" s="6"/>
      <c r="C617" s="6"/>
      <c r="D617" s="6"/>
      <c r="E617" s="6"/>
    </row>
    <row r="618" ht="22.5" customHeight="1">
      <c r="A618" s="6"/>
      <c r="B618" s="6"/>
      <c r="C618" s="6"/>
      <c r="D618" s="6"/>
      <c r="E618" s="6"/>
    </row>
    <row r="619" ht="22.5" customHeight="1">
      <c r="A619" s="6"/>
      <c r="B619" s="6"/>
      <c r="C619" s="6"/>
      <c r="D619" s="6"/>
      <c r="E619" s="6"/>
    </row>
    <row r="620" ht="22.5" customHeight="1">
      <c r="A620" s="6"/>
      <c r="B620" s="6"/>
      <c r="C620" s="6"/>
      <c r="D620" s="6"/>
      <c r="E620" s="6"/>
    </row>
    <row r="621" ht="22.5" customHeight="1">
      <c r="A621" s="6"/>
      <c r="B621" s="6"/>
      <c r="C621" s="6"/>
      <c r="D621" s="6"/>
      <c r="E621" s="6"/>
    </row>
    <row r="622" ht="22.5" customHeight="1">
      <c r="A622" s="6"/>
      <c r="B622" s="6"/>
      <c r="C622" s="6"/>
      <c r="D622" s="6"/>
      <c r="E622" s="6"/>
    </row>
    <row r="623" ht="22.5" customHeight="1">
      <c r="A623" s="6"/>
      <c r="B623" s="6"/>
      <c r="C623" s="6"/>
      <c r="D623" s="6"/>
      <c r="E623" s="6"/>
    </row>
    <row r="624" ht="22.5" customHeight="1">
      <c r="A624" s="6"/>
      <c r="B624" s="6"/>
      <c r="C624" s="6"/>
      <c r="D624" s="6"/>
      <c r="E624" s="6"/>
    </row>
    <row r="625" ht="22.5" customHeight="1">
      <c r="A625" s="6"/>
      <c r="B625" s="6"/>
      <c r="C625" s="6"/>
      <c r="D625" s="6"/>
      <c r="E625" s="6"/>
    </row>
    <row r="626" ht="22.5" customHeight="1">
      <c r="A626" s="6"/>
      <c r="B626" s="6"/>
      <c r="C626" s="6"/>
      <c r="D626" s="6"/>
      <c r="E626" s="6"/>
    </row>
    <row r="627" ht="22.5" customHeight="1">
      <c r="A627" s="6"/>
      <c r="B627" s="6"/>
      <c r="C627" s="6"/>
      <c r="D627" s="6"/>
      <c r="E627" s="6"/>
    </row>
    <row r="628" ht="22.5" customHeight="1">
      <c r="A628" s="6"/>
      <c r="B628" s="6"/>
      <c r="C628" s="6"/>
      <c r="D628" s="6"/>
      <c r="E628" s="6"/>
    </row>
    <row r="629" ht="22.5" customHeight="1">
      <c r="A629" s="6"/>
      <c r="B629" s="6"/>
      <c r="C629" s="6"/>
      <c r="D629" s="6"/>
      <c r="E629" s="6"/>
    </row>
    <row r="630" ht="22.5" customHeight="1">
      <c r="A630" s="6"/>
      <c r="B630" s="6"/>
      <c r="C630" s="6"/>
      <c r="D630" s="6"/>
      <c r="E630" s="6"/>
    </row>
    <row r="631" ht="22.5" customHeight="1">
      <c r="A631" s="6"/>
      <c r="B631" s="6"/>
      <c r="C631" s="6"/>
      <c r="D631" s="6"/>
      <c r="E631" s="6"/>
    </row>
    <row r="632" ht="22.5" customHeight="1">
      <c r="A632" s="6"/>
      <c r="B632" s="6"/>
      <c r="C632" s="6"/>
      <c r="D632" s="6"/>
      <c r="E632" s="6"/>
    </row>
    <row r="633" ht="22.5" customHeight="1">
      <c r="A633" s="6"/>
      <c r="B633" s="6"/>
      <c r="C633" s="6"/>
      <c r="D633" s="6"/>
      <c r="E633" s="6"/>
    </row>
    <row r="634" ht="22.5" customHeight="1">
      <c r="A634" s="6"/>
      <c r="B634" s="6"/>
      <c r="C634" s="6"/>
      <c r="D634" s="6"/>
      <c r="E634" s="6"/>
    </row>
    <row r="635" ht="22.5" customHeight="1">
      <c r="A635" s="6"/>
      <c r="B635" s="6"/>
      <c r="C635" s="6"/>
      <c r="D635" s="6"/>
      <c r="E635" s="6"/>
    </row>
    <row r="636" ht="22.5" customHeight="1">
      <c r="A636" s="6"/>
      <c r="B636" s="6"/>
      <c r="C636" s="6"/>
      <c r="D636" s="6"/>
      <c r="E636" s="6"/>
    </row>
    <row r="637" ht="22.5" customHeight="1">
      <c r="A637" s="6"/>
      <c r="B637" s="6"/>
      <c r="C637" s="6"/>
      <c r="D637" s="6"/>
      <c r="E637" s="6"/>
    </row>
    <row r="638" ht="22.5" customHeight="1">
      <c r="A638" s="6"/>
      <c r="B638" s="6"/>
      <c r="C638" s="6"/>
      <c r="D638" s="6"/>
      <c r="E638" s="6"/>
    </row>
    <row r="639" ht="22.5" customHeight="1">
      <c r="A639" s="6"/>
      <c r="B639" s="6"/>
      <c r="C639" s="6"/>
      <c r="D639" s="6"/>
      <c r="E639" s="6"/>
    </row>
    <row r="640" ht="22.5" customHeight="1">
      <c r="A640" s="6"/>
      <c r="B640" s="6"/>
      <c r="C640" s="6"/>
      <c r="D640" s="6"/>
      <c r="E640" s="6"/>
    </row>
    <row r="641" ht="22.5" customHeight="1">
      <c r="A641" s="6"/>
      <c r="B641" s="6"/>
      <c r="C641" s="6"/>
      <c r="D641" s="6"/>
      <c r="E641" s="6"/>
    </row>
    <row r="642" ht="22.5" customHeight="1">
      <c r="A642" s="6"/>
      <c r="B642" s="6"/>
      <c r="C642" s="6"/>
      <c r="D642" s="6"/>
      <c r="E642" s="6"/>
    </row>
    <row r="643" ht="22.5" customHeight="1">
      <c r="A643" s="6"/>
      <c r="B643" s="6"/>
      <c r="C643" s="6"/>
      <c r="D643" s="6"/>
      <c r="E643" s="6"/>
    </row>
    <row r="644" ht="22.5" customHeight="1">
      <c r="A644" s="6"/>
      <c r="B644" s="6"/>
      <c r="C644" s="6"/>
      <c r="D644" s="6"/>
      <c r="E644" s="6"/>
    </row>
    <row r="645" ht="22.5" customHeight="1">
      <c r="A645" s="6"/>
      <c r="B645" s="6"/>
      <c r="C645" s="6"/>
      <c r="D645" s="6"/>
      <c r="E645" s="6"/>
    </row>
    <row r="646" ht="22.5" customHeight="1">
      <c r="A646" s="6"/>
      <c r="B646" s="6"/>
      <c r="C646" s="6"/>
      <c r="D646" s="6"/>
      <c r="E646" s="6"/>
    </row>
    <row r="647" ht="22.5" customHeight="1">
      <c r="A647" s="6"/>
      <c r="B647" s="6"/>
      <c r="C647" s="6"/>
      <c r="D647" s="6"/>
      <c r="E647" s="6"/>
    </row>
    <row r="648" ht="22.5" customHeight="1">
      <c r="A648" s="6"/>
      <c r="B648" s="6"/>
      <c r="C648" s="6"/>
      <c r="D648" s="6"/>
      <c r="E648" s="6"/>
    </row>
    <row r="649" ht="22.5" customHeight="1">
      <c r="A649" s="6"/>
      <c r="B649" s="6"/>
      <c r="C649" s="6"/>
      <c r="D649" s="6"/>
      <c r="E649" s="6"/>
    </row>
    <row r="650" ht="22.5" customHeight="1">
      <c r="A650" s="6"/>
      <c r="B650" s="6"/>
      <c r="C650" s="6"/>
      <c r="D650" s="6"/>
      <c r="E650" s="6"/>
    </row>
    <row r="651" ht="22.5" customHeight="1">
      <c r="A651" s="6"/>
      <c r="B651" s="6"/>
      <c r="C651" s="6"/>
      <c r="D651" s="6"/>
      <c r="E651" s="6"/>
    </row>
    <row r="652" ht="22.5" customHeight="1">
      <c r="A652" s="6"/>
      <c r="B652" s="6"/>
      <c r="C652" s="6"/>
      <c r="D652" s="6"/>
      <c r="E652" s="6"/>
    </row>
    <row r="653" ht="22.5" customHeight="1">
      <c r="A653" s="6"/>
      <c r="B653" s="6"/>
      <c r="C653" s="6"/>
      <c r="D653" s="6"/>
      <c r="E653" s="6"/>
    </row>
    <row r="654" ht="22.5" customHeight="1">
      <c r="A654" s="6"/>
      <c r="B654" s="6"/>
      <c r="C654" s="6"/>
      <c r="D654" s="6"/>
      <c r="E654" s="6"/>
    </row>
    <row r="655" ht="22.5" customHeight="1">
      <c r="A655" s="6"/>
      <c r="B655" s="6"/>
      <c r="C655" s="6"/>
      <c r="D655" s="6"/>
      <c r="E655" s="6"/>
    </row>
    <row r="656" ht="22.5" customHeight="1">
      <c r="A656" s="6"/>
      <c r="B656" s="6"/>
      <c r="C656" s="6"/>
      <c r="D656" s="6"/>
      <c r="E656" s="6"/>
    </row>
    <row r="657" ht="22.5" customHeight="1">
      <c r="A657" s="6"/>
      <c r="B657" s="6"/>
      <c r="C657" s="6"/>
      <c r="D657" s="6"/>
      <c r="E657" s="6"/>
    </row>
    <row r="658" ht="22.5" customHeight="1">
      <c r="A658" s="6"/>
      <c r="B658" s="6"/>
      <c r="C658" s="6"/>
      <c r="D658" s="6"/>
      <c r="E658" s="6"/>
    </row>
    <row r="659" ht="22.5" customHeight="1">
      <c r="A659" s="6"/>
      <c r="B659" s="6"/>
      <c r="C659" s="6"/>
      <c r="D659" s="6"/>
      <c r="E659" s="6"/>
    </row>
    <row r="660" ht="22.5" customHeight="1">
      <c r="A660" s="6"/>
      <c r="B660" s="6"/>
      <c r="C660" s="6"/>
      <c r="D660" s="6"/>
      <c r="E660" s="6"/>
    </row>
    <row r="661" ht="22.5" customHeight="1">
      <c r="A661" s="6"/>
      <c r="B661" s="6"/>
      <c r="C661" s="6"/>
      <c r="D661" s="6"/>
      <c r="E661" s="6"/>
    </row>
    <row r="662" ht="22.5" customHeight="1">
      <c r="A662" s="6"/>
      <c r="B662" s="6"/>
      <c r="C662" s="6"/>
      <c r="D662" s="6"/>
      <c r="E662" s="6"/>
    </row>
    <row r="663" ht="22.5" customHeight="1">
      <c r="A663" s="6"/>
      <c r="B663" s="6"/>
      <c r="C663" s="6"/>
      <c r="D663" s="6"/>
      <c r="E663" s="6"/>
    </row>
    <row r="664" ht="22.5" customHeight="1">
      <c r="A664" s="6"/>
      <c r="B664" s="6"/>
      <c r="C664" s="6"/>
      <c r="D664" s="6"/>
      <c r="E664" s="6"/>
    </row>
    <row r="665" ht="22.5" customHeight="1">
      <c r="A665" s="6"/>
      <c r="B665" s="6"/>
      <c r="C665" s="6"/>
      <c r="D665" s="6"/>
      <c r="E665" s="6"/>
    </row>
    <row r="666" ht="22.5" customHeight="1">
      <c r="A666" s="6"/>
      <c r="B666" s="6"/>
      <c r="C666" s="6"/>
      <c r="D666" s="6"/>
      <c r="E666" s="6"/>
    </row>
    <row r="667" ht="22.5" customHeight="1">
      <c r="A667" s="6"/>
      <c r="B667" s="6"/>
      <c r="C667" s="6"/>
      <c r="D667" s="6"/>
      <c r="E667" s="6"/>
    </row>
    <row r="668" ht="22.5" customHeight="1">
      <c r="A668" s="6"/>
      <c r="B668" s="6"/>
      <c r="C668" s="6"/>
      <c r="D668" s="6"/>
      <c r="E668" s="6"/>
    </row>
    <row r="669" ht="22.5" customHeight="1">
      <c r="A669" s="6"/>
      <c r="B669" s="6"/>
      <c r="C669" s="6"/>
      <c r="D669" s="6"/>
      <c r="E669" s="6"/>
    </row>
    <row r="670" ht="22.5" customHeight="1">
      <c r="A670" s="6"/>
      <c r="B670" s="6"/>
      <c r="C670" s="6"/>
      <c r="D670" s="6"/>
      <c r="E670" s="6"/>
    </row>
    <row r="671" ht="22.5" customHeight="1">
      <c r="A671" s="6"/>
      <c r="B671" s="6"/>
      <c r="C671" s="6"/>
      <c r="D671" s="6"/>
      <c r="E671" s="6"/>
    </row>
    <row r="672" ht="22.5" customHeight="1">
      <c r="A672" s="6"/>
      <c r="B672" s="6"/>
      <c r="C672" s="6"/>
      <c r="D672" s="6"/>
      <c r="E672" s="6"/>
    </row>
    <row r="673" ht="22.5" customHeight="1">
      <c r="A673" s="6"/>
      <c r="B673" s="6"/>
      <c r="C673" s="6"/>
      <c r="D673" s="6"/>
      <c r="E673" s="6"/>
    </row>
    <row r="674" ht="22.5" customHeight="1">
      <c r="A674" s="6"/>
      <c r="B674" s="6"/>
      <c r="C674" s="6"/>
      <c r="D674" s="6"/>
      <c r="E674" s="6"/>
    </row>
    <row r="675" ht="22.5" customHeight="1">
      <c r="A675" s="6"/>
      <c r="B675" s="6"/>
      <c r="C675" s="6"/>
      <c r="D675" s="6"/>
      <c r="E675" s="6"/>
    </row>
    <row r="676" ht="22.5" customHeight="1">
      <c r="A676" s="6"/>
      <c r="B676" s="6"/>
      <c r="C676" s="6"/>
      <c r="D676" s="6"/>
      <c r="E676" s="6"/>
    </row>
    <row r="677" ht="22.5" customHeight="1">
      <c r="A677" s="6"/>
      <c r="B677" s="6"/>
      <c r="C677" s="6"/>
      <c r="D677" s="6"/>
      <c r="E677" s="6"/>
    </row>
    <row r="678" ht="22.5" customHeight="1">
      <c r="A678" s="6"/>
      <c r="B678" s="6"/>
      <c r="C678" s="6"/>
      <c r="D678" s="6"/>
      <c r="E678" s="6"/>
    </row>
    <row r="679" ht="22.5" customHeight="1">
      <c r="A679" s="6"/>
      <c r="B679" s="6"/>
      <c r="C679" s="6"/>
      <c r="D679" s="6"/>
      <c r="E679" s="6"/>
    </row>
    <row r="680" ht="22.5" customHeight="1">
      <c r="A680" s="6"/>
      <c r="B680" s="6"/>
      <c r="C680" s="6"/>
      <c r="D680" s="6"/>
      <c r="E680" s="6"/>
    </row>
    <row r="681" ht="22.5" customHeight="1">
      <c r="A681" s="6"/>
      <c r="B681" s="6"/>
      <c r="C681" s="6"/>
      <c r="D681" s="6"/>
      <c r="E681" s="6"/>
    </row>
    <row r="682" ht="22.5" customHeight="1">
      <c r="A682" s="6"/>
      <c r="B682" s="6"/>
      <c r="C682" s="6"/>
      <c r="D682" s="6"/>
      <c r="E682" s="6"/>
    </row>
    <row r="683" ht="22.5" customHeight="1">
      <c r="A683" s="6"/>
      <c r="B683" s="6"/>
      <c r="C683" s="6"/>
      <c r="D683" s="6"/>
      <c r="E683" s="6"/>
    </row>
    <row r="684" ht="22.5" customHeight="1">
      <c r="A684" s="6"/>
      <c r="B684" s="6"/>
      <c r="C684" s="6"/>
      <c r="D684" s="6"/>
      <c r="E684" s="6"/>
    </row>
    <row r="685" ht="22.5" customHeight="1">
      <c r="A685" s="6"/>
      <c r="B685" s="6"/>
      <c r="C685" s="6"/>
      <c r="D685" s="6"/>
      <c r="E685" s="6"/>
    </row>
    <row r="686" ht="22.5" customHeight="1">
      <c r="A686" s="6"/>
      <c r="B686" s="6"/>
      <c r="C686" s="6"/>
      <c r="D686" s="6"/>
      <c r="E686" s="6"/>
    </row>
    <row r="687" ht="22.5" customHeight="1">
      <c r="A687" s="6"/>
      <c r="B687" s="6"/>
      <c r="C687" s="6"/>
      <c r="D687" s="6"/>
      <c r="E687" s="6"/>
    </row>
    <row r="688" ht="22.5" customHeight="1">
      <c r="A688" s="6"/>
      <c r="B688" s="6"/>
      <c r="C688" s="6"/>
      <c r="D688" s="6"/>
      <c r="E688" s="6"/>
    </row>
    <row r="689" ht="22.5" customHeight="1">
      <c r="A689" s="6"/>
      <c r="B689" s="6"/>
      <c r="C689" s="6"/>
      <c r="D689" s="6"/>
      <c r="E689" s="6"/>
    </row>
    <row r="690" ht="22.5" customHeight="1">
      <c r="A690" s="6"/>
      <c r="B690" s="6"/>
      <c r="C690" s="6"/>
      <c r="D690" s="6"/>
      <c r="E690" s="6"/>
    </row>
    <row r="691" ht="22.5" customHeight="1">
      <c r="A691" s="6"/>
      <c r="B691" s="6"/>
      <c r="C691" s="6"/>
      <c r="D691" s="6"/>
      <c r="E691" s="6"/>
    </row>
    <row r="692" ht="22.5" customHeight="1">
      <c r="A692" s="6"/>
      <c r="B692" s="6"/>
      <c r="C692" s="6"/>
      <c r="D692" s="6"/>
      <c r="E692" s="6"/>
    </row>
    <row r="693" ht="22.5" customHeight="1">
      <c r="A693" s="6"/>
      <c r="B693" s="6"/>
      <c r="C693" s="6"/>
      <c r="D693" s="6"/>
      <c r="E693" s="6"/>
    </row>
    <row r="694" ht="22.5" customHeight="1">
      <c r="A694" s="6"/>
      <c r="B694" s="6"/>
      <c r="C694" s="6"/>
      <c r="D694" s="6"/>
      <c r="E694" s="6"/>
    </row>
    <row r="695" ht="22.5" customHeight="1">
      <c r="A695" s="6"/>
      <c r="B695" s="6"/>
      <c r="C695" s="6"/>
      <c r="D695" s="6"/>
      <c r="E695" s="6"/>
    </row>
    <row r="696" ht="22.5" customHeight="1">
      <c r="A696" s="6"/>
      <c r="B696" s="6"/>
      <c r="C696" s="6"/>
      <c r="D696" s="6"/>
      <c r="E696" s="6"/>
    </row>
    <row r="697" ht="22.5" customHeight="1">
      <c r="A697" s="6"/>
      <c r="B697" s="6"/>
      <c r="C697" s="6"/>
      <c r="D697" s="6"/>
      <c r="E697" s="6"/>
    </row>
    <row r="698" ht="22.5" customHeight="1">
      <c r="A698" s="6"/>
      <c r="B698" s="6"/>
      <c r="C698" s="6"/>
      <c r="D698" s="6"/>
      <c r="E698" s="6"/>
    </row>
    <row r="699" ht="22.5" customHeight="1">
      <c r="A699" s="6"/>
      <c r="B699" s="6"/>
      <c r="C699" s="6"/>
      <c r="D699" s="6"/>
      <c r="E699" s="6"/>
    </row>
    <row r="700" ht="22.5" customHeight="1">
      <c r="A700" s="6"/>
      <c r="B700" s="6"/>
      <c r="C700" s="6"/>
      <c r="D700" s="6"/>
      <c r="E700" s="6"/>
    </row>
    <row r="701" ht="22.5" customHeight="1">
      <c r="A701" s="6"/>
      <c r="B701" s="6"/>
      <c r="C701" s="6"/>
      <c r="D701" s="6"/>
      <c r="E701" s="6"/>
    </row>
    <row r="702" ht="22.5" customHeight="1">
      <c r="A702" s="6"/>
      <c r="B702" s="6"/>
      <c r="C702" s="6"/>
      <c r="D702" s="6"/>
      <c r="E702" s="6"/>
    </row>
    <row r="703" ht="22.5" customHeight="1">
      <c r="A703" s="6"/>
      <c r="B703" s="6"/>
      <c r="C703" s="6"/>
      <c r="D703" s="6"/>
      <c r="E703" s="6"/>
    </row>
    <row r="704" ht="22.5" customHeight="1">
      <c r="A704" s="6"/>
      <c r="B704" s="6"/>
      <c r="C704" s="6"/>
      <c r="D704" s="6"/>
      <c r="E704" s="6"/>
    </row>
    <row r="705" ht="22.5" customHeight="1">
      <c r="A705" s="6"/>
      <c r="B705" s="6"/>
      <c r="C705" s="6"/>
      <c r="D705" s="6"/>
      <c r="E705" s="6"/>
    </row>
    <row r="706" ht="22.5" customHeight="1">
      <c r="A706" s="6"/>
      <c r="B706" s="6"/>
      <c r="C706" s="6"/>
      <c r="D706" s="6"/>
      <c r="E706" s="6"/>
    </row>
    <row r="707" ht="22.5" customHeight="1">
      <c r="A707" s="6"/>
      <c r="B707" s="6"/>
      <c r="C707" s="6"/>
      <c r="D707" s="6"/>
      <c r="E707" s="6"/>
    </row>
    <row r="708" ht="22.5" customHeight="1">
      <c r="A708" s="6"/>
      <c r="B708" s="6"/>
      <c r="C708" s="6"/>
      <c r="D708" s="6"/>
      <c r="E708" s="6"/>
    </row>
    <row r="709" ht="22.5" customHeight="1">
      <c r="A709" s="6"/>
      <c r="B709" s="6"/>
      <c r="C709" s="6"/>
      <c r="D709" s="6"/>
      <c r="E709" s="6"/>
    </row>
    <row r="710" ht="22.5" customHeight="1">
      <c r="A710" s="6"/>
      <c r="B710" s="6"/>
      <c r="C710" s="6"/>
      <c r="D710" s="6"/>
      <c r="E710" s="6"/>
    </row>
    <row r="711" ht="22.5" customHeight="1">
      <c r="A711" s="6"/>
      <c r="B711" s="6"/>
      <c r="C711" s="6"/>
      <c r="D711" s="6"/>
      <c r="E711" s="6"/>
    </row>
    <row r="712" ht="22.5" customHeight="1">
      <c r="A712" s="6"/>
      <c r="B712" s="6"/>
      <c r="C712" s="6"/>
      <c r="D712" s="6"/>
      <c r="E712" s="6"/>
    </row>
    <row r="713" ht="22.5" customHeight="1">
      <c r="A713" s="6"/>
      <c r="B713" s="6"/>
      <c r="C713" s="6"/>
      <c r="D713" s="6"/>
      <c r="E713" s="6"/>
    </row>
    <row r="714" ht="22.5" customHeight="1">
      <c r="A714" s="6"/>
      <c r="B714" s="6"/>
      <c r="C714" s="6"/>
      <c r="D714" s="6"/>
      <c r="E714" s="6"/>
    </row>
    <row r="715" ht="22.5" customHeight="1">
      <c r="A715" s="6"/>
      <c r="B715" s="6"/>
      <c r="C715" s="6"/>
      <c r="D715" s="6"/>
      <c r="E715" s="6"/>
    </row>
    <row r="716" ht="22.5" customHeight="1">
      <c r="A716" s="6"/>
      <c r="B716" s="6"/>
      <c r="C716" s="6"/>
      <c r="D716" s="6"/>
      <c r="E716" s="6"/>
    </row>
    <row r="717" ht="22.5" customHeight="1">
      <c r="A717" s="6"/>
      <c r="B717" s="6"/>
      <c r="C717" s="6"/>
      <c r="D717" s="6"/>
      <c r="E717" s="6"/>
    </row>
    <row r="718" ht="22.5" customHeight="1">
      <c r="A718" s="6"/>
      <c r="B718" s="6"/>
      <c r="C718" s="6"/>
      <c r="D718" s="6"/>
      <c r="E718" s="6"/>
    </row>
    <row r="719" ht="22.5" customHeight="1">
      <c r="A719" s="6"/>
      <c r="B719" s="6"/>
      <c r="C719" s="6"/>
      <c r="D719" s="6"/>
      <c r="E719" s="6"/>
    </row>
    <row r="720" ht="22.5" customHeight="1">
      <c r="A720" s="6"/>
      <c r="B720" s="6"/>
      <c r="C720" s="6"/>
      <c r="D720" s="6"/>
      <c r="E720" s="6"/>
    </row>
    <row r="721" ht="22.5" customHeight="1">
      <c r="A721" s="6"/>
      <c r="B721" s="6"/>
      <c r="C721" s="6"/>
      <c r="D721" s="6"/>
      <c r="E721" s="6"/>
    </row>
    <row r="722" ht="22.5" customHeight="1">
      <c r="A722" s="6"/>
      <c r="B722" s="6"/>
      <c r="C722" s="6"/>
      <c r="D722" s="6"/>
      <c r="E722" s="6"/>
    </row>
    <row r="723" ht="22.5" customHeight="1">
      <c r="A723" s="6"/>
      <c r="B723" s="6"/>
      <c r="C723" s="6"/>
      <c r="D723" s="6"/>
      <c r="E723" s="6"/>
    </row>
    <row r="724" ht="22.5" customHeight="1">
      <c r="A724" s="6"/>
      <c r="B724" s="6"/>
      <c r="C724" s="6"/>
      <c r="D724" s="6"/>
      <c r="E724" s="6"/>
    </row>
    <row r="725" ht="22.5" customHeight="1">
      <c r="A725" s="6"/>
      <c r="B725" s="6"/>
      <c r="C725" s="6"/>
      <c r="D725" s="6"/>
      <c r="E725" s="6"/>
    </row>
    <row r="726" ht="22.5" customHeight="1">
      <c r="A726" s="6"/>
      <c r="B726" s="6"/>
      <c r="C726" s="6"/>
      <c r="D726" s="6"/>
      <c r="E726" s="6"/>
    </row>
    <row r="727" ht="22.5" customHeight="1">
      <c r="A727" s="6"/>
      <c r="B727" s="6"/>
      <c r="C727" s="6"/>
      <c r="D727" s="6"/>
      <c r="E727" s="6"/>
    </row>
    <row r="728" ht="22.5" customHeight="1">
      <c r="A728" s="6"/>
      <c r="B728" s="6"/>
      <c r="C728" s="6"/>
      <c r="D728" s="6"/>
      <c r="E728" s="6"/>
    </row>
    <row r="729" ht="22.5" customHeight="1">
      <c r="A729" s="6"/>
      <c r="B729" s="6"/>
      <c r="C729" s="6"/>
      <c r="D729" s="6"/>
      <c r="E729" s="6"/>
    </row>
    <row r="730" ht="22.5" customHeight="1">
      <c r="A730" s="6"/>
      <c r="B730" s="6"/>
      <c r="C730" s="6"/>
      <c r="D730" s="6"/>
      <c r="E730" s="6"/>
    </row>
    <row r="731" ht="22.5" customHeight="1">
      <c r="A731" s="6"/>
      <c r="B731" s="6"/>
      <c r="C731" s="6"/>
      <c r="D731" s="6"/>
      <c r="E731" s="6"/>
    </row>
    <row r="732" ht="22.5" customHeight="1">
      <c r="A732" s="6"/>
      <c r="B732" s="6"/>
      <c r="C732" s="6"/>
      <c r="D732" s="6"/>
      <c r="E732" s="6"/>
    </row>
    <row r="733" ht="22.5" customHeight="1">
      <c r="A733" s="6"/>
      <c r="B733" s="6"/>
      <c r="C733" s="6"/>
      <c r="D733" s="6"/>
      <c r="E733" s="6"/>
    </row>
    <row r="734" ht="22.5" customHeight="1">
      <c r="A734" s="6"/>
      <c r="B734" s="6"/>
      <c r="C734" s="6"/>
      <c r="D734" s="6"/>
      <c r="E734" s="6"/>
    </row>
    <row r="735" ht="22.5" customHeight="1">
      <c r="A735" s="6"/>
      <c r="B735" s="6"/>
      <c r="C735" s="6"/>
      <c r="D735" s="6"/>
      <c r="E735" s="6"/>
    </row>
    <row r="736" ht="22.5" customHeight="1">
      <c r="A736" s="6"/>
      <c r="B736" s="6"/>
      <c r="C736" s="6"/>
      <c r="D736" s="6"/>
      <c r="E736" s="6"/>
    </row>
    <row r="737" ht="22.5" customHeight="1">
      <c r="A737" s="6"/>
      <c r="B737" s="6"/>
      <c r="C737" s="6"/>
      <c r="D737" s="6"/>
      <c r="E737" s="6"/>
    </row>
    <row r="738" ht="22.5" customHeight="1">
      <c r="A738" s="6"/>
      <c r="B738" s="6"/>
      <c r="C738" s="6"/>
      <c r="D738" s="6"/>
      <c r="E738" s="6"/>
    </row>
    <row r="739" ht="22.5" customHeight="1">
      <c r="A739" s="6"/>
      <c r="B739" s="6"/>
      <c r="C739" s="6"/>
      <c r="D739" s="6"/>
      <c r="E739" s="6"/>
    </row>
    <row r="740" ht="22.5" customHeight="1">
      <c r="A740" s="6"/>
      <c r="B740" s="6"/>
      <c r="C740" s="6"/>
      <c r="D740" s="6"/>
      <c r="E740" s="6"/>
    </row>
    <row r="741" ht="22.5" customHeight="1">
      <c r="A741" s="6"/>
      <c r="B741" s="6"/>
      <c r="C741" s="6"/>
      <c r="D741" s="6"/>
      <c r="E741" s="6"/>
    </row>
    <row r="742" ht="22.5" customHeight="1">
      <c r="A742" s="6"/>
      <c r="B742" s="6"/>
      <c r="C742" s="6"/>
      <c r="D742" s="6"/>
      <c r="E742" s="6"/>
    </row>
    <row r="743" ht="22.5" customHeight="1">
      <c r="A743" s="6"/>
      <c r="B743" s="6"/>
      <c r="C743" s="6"/>
      <c r="D743" s="6"/>
      <c r="E743" s="6"/>
    </row>
    <row r="744" ht="22.5" customHeight="1">
      <c r="A744" s="6"/>
      <c r="B744" s="6"/>
      <c r="C744" s="6"/>
      <c r="D744" s="6"/>
      <c r="E744" s="6"/>
    </row>
    <row r="745" ht="22.5" customHeight="1">
      <c r="A745" s="6"/>
      <c r="B745" s="6"/>
      <c r="C745" s="6"/>
      <c r="D745" s="6"/>
      <c r="E745" s="6"/>
    </row>
    <row r="746" ht="22.5" customHeight="1">
      <c r="A746" s="6"/>
      <c r="B746" s="6"/>
      <c r="C746" s="6"/>
      <c r="D746" s="6"/>
      <c r="E746" s="6"/>
    </row>
    <row r="747" ht="22.5" customHeight="1">
      <c r="A747" s="6"/>
      <c r="B747" s="6"/>
      <c r="C747" s="6"/>
      <c r="D747" s="6"/>
      <c r="E747" s="6"/>
    </row>
    <row r="748" ht="22.5" customHeight="1">
      <c r="A748" s="6"/>
      <c r="B748" s="6"/>
      <c r="C748" s="6"/>
      <c r="D748" s="6"/>
      <c r="E748" s="6"/>
    </row>
    <row r="749" ht="22.5" customHeight="1">
      <c r="A749" s="6"/>
      <c r="B749" s="6"/>
      <c r="C749" s="6"/>
      <c r="D749" s="6"/>
      <c r="E749" s="6"/>
    </row>
    <row r="750" ht="22.5" customHeight="1">
      <c r="A750" s="6"/>
      <c r="B750" s="6"/>
      <c r="C750" s="6"/>
      <c r="D750" s="6"/>
      <c r="E750" s="6"/>
    </row>
    <row r="751" ht="22.5" customHeight="1">
      <c r="A751" s="6"/>
      <c r="B751" s="6"/>
      <c r="C751" s="6"/>
      <c r="D751" s="6"/>
      <c r="E751" s="6"/>
    </row>
    <row r="752" ht="22.5" customHeight="1">
      <c r="A752" s="6"/>
      <c r="B752" s="6"/>
      <c r="C752" s="6"/>
      <c r="D752" s="6"/>
      <c r="E752" s="6"/>
    </row>
    <row r="753" ht="22.5" customHeight="1">
      <c r="A753" s="6"/>
      <c r="B753" s="6"/>
      <c r="C753" s="6"/>
      <c r="D753" s="6"/>
      <c r="E753" s="6"/>
    </row>
    <row r="754" ht="22.5" customHeight="1">
      <c r="A754" s="6"/>
      <c r="B754" s="6"/>
      <c r="C754" s="6"/>
      <c r="D754" s="6"/>
      <c r="E754" s="6"/>
    </row>
    <row r="755" ht="22.5" customHeight="1">
      <c r="A755" s="6"/>
      <c r="B755" s="6"/>
      <c r="C755" s="6"/>
      <c r="D755" s="6"/>
      <c r="E755" s="6"/>
    </row>
    <row r="756" ht="22.5" customHeight="1">
      <c r="A756" s="6"/>
      <c r="B756" s="6"/>
      <c r="C756" s="6"/>
      <c r="D756" s="6"/>
      <c r="E756" s="6"/>
    </row>
    <row r="757" ht="22.5" customHeight="1">
      <c r="A757" s="6"/>
      <c r="B757" s="6"/>
      <c r="C757" s="6"/>
      <c r="D757" s="6"/>
      <c r="E757" s="6"/>
    </row>
    <row r="758" ht="22.5" customHeight="1">
      <c r="A758" s="6"/>
      <c r="B758" s="6"/>
      <c r="C758" s="6"/>
      <c r="D758" s="6"/>
      <c r="E758" s="6"/>
    </row>
    <row r="759" ht="22.5" customHeight="1">
      <c r="A759" s="6"/>
      <c r="B759" s="6"/>
      <c r="C759" s="6"/>
      <c r="D759" s="6"/>
      <c r="E759" s="6"/>
    </row>
    <row r="760" ht="22.5" customHeight="1">
      <c r="A760" s="6"/>
      <c r="B760" s="6"/>
      <c r="C760" s="6"/>
      <c r="D760" s="6"/>
      <c r="E760" s="6"/>
    </row>
    <row r="761" ht="22.5" customHeight="1">
      <c r="A761" s="6"/>
      <c r="B761" s="6"/>
      <c r="C761" s="6"/>
      <c r="D761" s="6"/>
      <c r="E761" s="6"/>
    </row>
    <row r="762" ht="22.5" customHeight="1">
      <c r="A762" s="6"/>
      <c r="B762" s="6"/>
      <c r="C762" s="6"/>
      <c r="D762" s="6"/>
      <c r="E762" s="6"/>
    </row>
    <row r="763" ht="22.5" customHeight="1">
      <c r="A763" s="6"/>
      <c r="B763" s="6"/>
      <c r="C763" s="6"/>
      <c r="D763" s="6"/>
      <c r="E763" s="6"/>
    </row>
    <row r="764" ht="22.5" customHeight="1">
      <c r="A764" s="6"/>
      <c r="B764" s="6"/>
      <c r="C764" s="6"/>
      <c r="D764" s="6"/>
      <c r="E764" s="6"/>
    </row>
    <row r="765" ht="22.5" customHeight="1">
      <c r="A765" s="6"/>
      <c r="B765" s="6"/>
      <c r="C765" s="6"/>
      <c r="D765" s="6"/>
      <c r="E765" s="6"/>
    </row>
    <row r="766" ht="22.5" customHeight="1">
      <c r="A766" s="6"/>
      <c r="B766" s="6"/>
      <c r="C766" s="6"/>
      <c r="D766" s="6"/>
      <c r="E766" s="6"/>
    </row>
    <row r="767" ht="22.5" customHeight="1">
      <c r="A767" s="6"/>
      <c r="B767" s="6"/>
      <c r="C767" s="6"/>
      <c r="D767" s="6"/>
      <c r="E767" s="6"/>
    </row>
    <row r="768" ht="22.5" customHeight="1">
      <c r="A768" s="6"/>
      <c r="B768" s="6"/>
      <c r="C768" s="6"/>
      <c r="D768" s="6"/>
      <c r="E768" s="6"/>
    </row>
    <row r="769" ht="22.5" customHeight="1">
      <c r="A769" s="6"/>
      <c r="B769" s="6"/>
      <c r="C769" s="6"/>
      <c r="D769" s="6"/>
      <c r="E769" s="6"/>
    </row>
    <row r="770" ht="22.5" customHeight="1">
      <c r="A770" s="6"/>
      <c r="B770" s="6"/>
      <c r="C770" s="6"/>
      <c r="D770" s="6"/>
      <c r="E770" s="6"/>
    </row>
    <row r="771" ht="22.5" customHeight="1">
      <c r="A771" s="6"/>
      <c r="B771" s="6"/>
      <c r="C771" s="6"/>
      <c r="D771" s="6"/>
      <c r="E771" s="6"/>
    </row>
    <row r="772" ht="22.5" customHeight="1">
      <c r="A772" s="6"/>
      <c r="B772" s="6"/>
      <c r="C772" s="6"/>
      <c r="D772" s="6"/>
      <c r="E772" s="6"/>
    </row>
    <row r="773" ht="22.5" customHeight="1">
      <c r="A773" s="6"/>
      <c r="B773" s="6"/>
      <c r="C773" s="6"/>
      <c r="D773" s="6"/>
      <c r="E773" s="6"/>
    </row>
    <row r="774" ht="22.5" customHeight="1">
      <c r="A774" s="6"/>
      <c r="B774" s="6"/>
      <c r="C774" s="6"/>
      <c r="D774" s="6"/>
      <c r="E774" s="6"/>
    </row>
    <row r="775" ht="22.5" customHeight="1">
      <c r="A775" s="6"/>
      <c r="B775" s="6"/>
      <c r="C775" s="6"/>
      <c r="D775" s="6"/>
      <c r="E775" s="6"/>
    </row>
    <row r="776" ht="22.5" customHeight="1">
      <c r="A776" s="6"/>
      <c r="B776" s="6"/>
      <c r="C776" s="6"/>
      <c r="D776" s="6"/>
      <c r="E776" s="6"/>
    </row>
    <row r="777" ht="22.5" customHeight="1">
      <c r="A777" s="6"/>
      <c r="B777" s="6"/>
      <c r="C777" s="6"/>
      <c r="D777" s="6"/>
      <c r="E777" s="6"/>
    </row>
    <row r="778" ht="22.5" customHeight="1">
      <c r="A778" s="6"/>
      <c r="B778" s="6"/>
      <c r="C778" s="6"/>
      <c r="D778" s="6"/>
      <c r="E778" s="6"/>
    </row>
    <row r="779" ht="22.5" customHeight="1">
      <c r="A779" s="6"/>
      <c r="B779" s="6"/>
      <c r="C779" s="6"/>
      <c r="D779" s="6"/>
      <c r="E779" s="6"/>
    </row>
    <row r="780" ht="22.5" customHeight="1">
      <c r="A780" s="6"/>
      <c r="B780" s="6"/>
      <c r="C780" s="6"/>
      <c r="D780" s="6"/>
      <c r="E780" s="6"/>
    </row>
    <row r="781" ht="22.5" customHeight="1">
      <c r="A781" s="6"/>
      <c r="B781" s="6"/>
      <c r="C781" s="6"/>
      <c r="D781" s="6"/>
      <c r="E781" s="6"/>
    </row>
    <row r="782" ht="22.5" customHeight="1">
      <c r="A782" s="6"/>
      <c r="B782" s="6"/>
      <c r="C782" s="6"/>
      <c r="D782" s="6"/>
      <c r="E782" s="6"/>
    </row>
    <row r="783" ht="22.5" customHeight="1">
      <c r="A783" s="6"/>
      <c r="B783" s="6"/>
      <c r="C783" s="6"/>
      <c r="D783" s="6"/>
      <c r="E783" s="6"/>
    </row>
    <row r="784" ht="22.5" customHeight="1">
      <c r="A784" s="6"/>
      <c r="B784" s="6"/>
      <c r="C784" s="6"/>
      <c r="D784" s="6"/>
      <c r="E784" s="6"/>
    </row>
    <row r="785" ht="22.5" customHeight="1">
      <c r="A785" s="6"/>
      <c r="B785" s="6"/>
      <c r="C785" s="6"/>
      <c r="D785" s="6"/>
      <c r="E785" s="6"/>
    </row>
    <row r="786" ht="22.5" customHeight="1">
      <c r="A786" s="6"/>
      <c r="B786" s="6"/>
      <c r="C786" s="6"/>
      <c r="D786" s="6"/>
      <c r="E786" s="6"/>
    </row>
    <row r="787" ht="22.5" customHeight="1">
      <c r="A787" s="6"/>
      <c r="B787" s="6"/>
      <c r="C787" s="6"/>
      <c r="D787" s="6"/>
      <c r="E787" s="6"/>
    </row>
    <row r="788" ht="22.5" customHeight="1">
      <c r="A788" s="6"/>
      <c r="B788" s="6"/>
      <c r="C788" s="6"/>
      <c r="D788" s="6"/>
      <c r="E788" s="6"/>
    </row>
    <row r="789" ht="22.5" customHeight="1">
      <c r="A789" s="6"/>
      <c r="B789" s="6"/>
      <c r="C789" s="6"/>
      <c r="D789" s="6"/>
      <c r="E789" s="6"/>
    </row>
    <row r="790" ht="22.5" customHeight="1">
      <c r="A790" s="6"/>
      <c r="B790" s="6"/>
      <c r="C790" s="6"/>
      <c r="D790" s="6"/>
      <c r="E790" s="6"/>
    </row>
    <row r="791" ht="22.5" customHeight="1">
      <c r="A791" s="6"/>
      <c r="B791" s="6"/>
      <c r="C791" s="6"/>
      <c r="D791" s="6"/>
      <c r="E791" s="6"/>
    </row>
    <row r="792" ht="22.5" customHeight="1">
      <c r="A792" s="6"/>
      <c r="B792" s="6"/>
      <c r="C792" s="6"/>
      <c r="D792" s="6"/>
      <c r="E792" s="6"/>
    </row>
    <row r="793" ht="22.5" customHeight="1">
      <c r="A793" s="6"/>
      <c r="B793" s="6"/>
      <c r="C793" s="6"/>
      <c r="D793" s="6"/>
      <c r="E793" s="6"/>
    </row>
    <row r="794" ht="22.5" customHeight="1">
      <c r="A794" s="6"/>
      <c r="B794" s="6"/>
      <c r="C794" s="6"/>
      <c r="D794" s="6"/>
      <c r="E794" s="6"/>
    </row>
    <row r="795" ht="22.5" customHeight="1">
      <c r="A795" s="6"/>
      <c r="B795" s="6"/>
      <c r="C795" s="6"/>
      <c r="D795" s="6"/>
      <c r="E795" s="6"/>
    </row>
    <row r="796" ht="22.5" customHeight="1">
      <c r="A796" s="6"/>
      <c r="B796" s="6"/>
      <c r="C796" s="6"/>
      <c r="D796" s="6"/>
      <c r="E796" s="6"/>
    </row>
    <row r="797" ht="22.5" customHeight="1">
      <c r="A797" s="6"/>
      <c r="B797" s="6"/>
      <c r="C797" s="6"/>
      <c r="D797" s="6"/>
      <c r="E797" s="6"/>
    </row>
    <row r="798" ht="22.5" customHeight="1">
      <c r="A798" s="6"/>
      <c r="B798" s="6"/>
      <c r="C798" s="6"/>
      <c r="D798" s="6"/>
      <c r="E798" s="6"/>
    </row>
    <row r="799" ht="22.5" customHeight="1">
      <c r="A799" s="6"/>
      <c r="B799" s="6"/>
      <c r="C799" s="6"/>
      <c r="D799" s="6"/>
      <c r="E799" s="6"/>
    </row>
    <row r="800" ht="22.5" customHeight="1">
      <c r="A800" s="6"/>
      <c r="B800" s="6"/>
      <c r="C800" s="6"/>
      <c r="D800" s="6"/>
      <c r="E800" s="6"/>
    </row>
    <row r="801" ht="22.5" customHeight="1">
      <c r="A801" s="6"/>
      <c r="B801" s="6"/>
      <c r="C801" s="6"/>
      <c r="D801" s="6"/>
      <c r="E801" s="6"/>
    </row>
    <row r="802" ht="22.5" customHeight="1">
      <c r="A802" s="6"/>
      <c r="B802" s="6"/>
      <c r="C802" s="6"/>
      <c r="D802" s="6"/>
      <c r="E802" s="6"/>
    </row>
    <row r="803" ht="22.5" customHeight="1">
      <c r="A803" s="6"/>
      <c r="B803" s="6"/>
      <c r="C803" s="6"/>
      <c r="D803" s="6"/>
      <c r="E803" s="6"/>
    </row>
    <row r="804" ht="22.5" customHeight="1">
      <c r="A804" s="6"/>
      <c r="B804" s="6"/>
      <c r="C804" s="6"/>
      <c r="D804" s="6"/>
      <c r="E804" s="6"/>
    </row>
    <row r="805" ht="22.5" customHeight="1">
      <c r="A805" s="6"/>
      <c r="B805" s="6"/>
      <c r="C805" s="6"/>
      <c r="D805" s="6"/>
      <c r="E805" s="6"/>
    </row>
    <row r="806" ht="22.5" customHeight="1">
      <c r="A806" s="6"/>
      <c r="B806" s="6"/>
      <c r="C806" s="6"/>
      <c r="D806" s="6"/>
      <c r="E806" s="6"/>
    </row>
    <row r="807" ht="22.5" customHeight="1">
      <c r="A807" s="6"/>
      <c r="B807" s="6"/>
      <c r="C807" s="6"/>
      <c r="D807" s="6"/>
      <c r="E807" s="6"/>
    </row>
    <row r="808" ht="22.5" customHeight="1">
      <c r="A808" s="6"/>
      <c r="B808" s="6"/>
      <c r="C808" s="6"/>
      <c r="D808" s="6"/>
      <c r="E808" s="6"/>
    </row>
    <row r="809" ht="22.5" customHeight="1">
      <c r="A809" s="6"/>
      <c r="B809" s="6"/>
      <c r="C809" s="6"/>
      <c r="D809" s="6"/>
      <c r="E809" s="6"/>
    </row>
    <row r="810" ht="22.5" customHeight="1">
      <c r="A810" s="6"/>
      <c r="B810" s="6"/>
      <c r="C810" s="6"/>
      <c r="D810" s="6"/>
      <c r="E810" s="6"/>
    </row>
    <row r="811" ht="22.5" customHeight="1">
      <c r="A811" s="6"/>
      <c r="B811" s="6"/>
      <c r="C811" s="6"/>
      <c r="D811" s="6"/>
      <c r="E811" s="6"/>
    </row>
    <row r="812" ht="22.5" customHeight="1">
      <c r="A812" s="6"/>
      <c r="B812" s="6"/>
      <c r="C812" s="6"/>
      <c r="D812" s="6"/>
      <c r="E812" s="6"/>
    </row>
    <row r="813" ht="22.5" customHeight="1">
      <c r="A813" s="6"/>
      <c r="B813" s="6"/>
      <c r="C813" s="6"/>
      <c r="D813" s="6"/>
      <c r="E813" s="6"/>
    </row>
    <row r="814" ht="22.5" customHeight="1">
      <c r="A814" s="6"/>
      <c r="B814" s="6"/>
      <c r="C814" s="6"/>
      <c r="D814" s="6"/>
      <c r="E814" s="6"/>
    </row>
    <row r="815" ht="22.5" customHeight="1">
      <c r="A815" s="6"/>
      <c r="B815" s="6"/>
      <c r="C815" s="6"/>
      <c r="D815" s="6"/>
      <c r="E815" s="6"/>
    </row>
    <row r="816" ht="22.5" customHeight="1">
      <c r="A816" s="6"/>
      <c r="B816" s="6"/>
      <c r="C816" s="6"/>
      <c r="D816" s="6"/>
      <c r="E816" s="6"/>
    </row>
    <row r="817" ht="22.5" customHeight="1">
      <c r="A817" s="6"/>
      <c r="B817" s="6"/>
      <c r="C817" s="6"/>
      <c r="D817" s="6"/>
      <c r="E817" s="6"/>
    </row>
    <row r="818" ht="22.5" customHeight="1">
      <c r="A818" s="6"/>
      <c r="B818" s="6"/>
      <c r="C818" s="6"/>
      <c r="D818" s="6"/>
      <c r="E818" s="6"/>
    </row>
    <row r="819" ht="22.5" customHeight="1">
      <c r="A819" s="6"/>
      <c r="B819" s="6"/>
      <c r="C819" s="6"/>
      <c r="D819" s="6"/>
      <c r="E819" s="6"/>
    </row>
    <row r="820" ht="22.5" customHeight="1">
      <c r="A820" s="6"/>
      <c r="B820" s="6"/>
      <c r="C820" s="6"/>
      <c r="D820" s="6"/>
      <c r="E820" s="6"/>
    </row>
    <row r="821" ht="22.5" customHeight="1">
      <c r="A821" s="6"/>
      <c r="B821" s="6"/>
      <c r="C821" s="6"/>
      <c r="D821" s="6"/>
      <c r="E821" s="6"/>
    </row>
    <row r="822" ht="22.5" customHeight="1">
      <c r="A822" s="6"/>
      <c r="B822" s="6"/>
      <c r="C822" s="6"/>
      <c r="D822" s="6"/>
      <c r="E822" s="6"/>
    </row>
    <row r="823" ht="22.5" customHeight="1">
      <c r="A823" s="6"/>
      <c r="B823" s="6"/>
      <c r="C823" s="6"/>
      <c r="D823" s="6"/>
      <c r="E823" s="6"/>
    </row>
    <row r="824" ht="22.5" customHeight="1">
      <c r="A824" s="6"/>
      <c r="B824" s="6"/>
      <c r="C824" s="6"/>
      <c r="D824" s="6"/>
      <c r="E824" s="6"/>
    </row>
    <row r="825" ht="22.5" customHeight="1">
      <c r="A825" s="6"/>
      <c r="B825" s="6"/>
      <c r="C825" s="6"/>
      <c r="D825" s="6"/>
      <c r="E825" s="6"/>
    </row>
    <row r="826" ht="22.5" customHeight="1">
      <c r="A826" s="6"/>
      <c r="B826" s="6"/>
      <c r="C826" s="6"/>
      <c r="D826" s="6"/>
      <c r="E826" s="6"/>
    </row>
    <row r="827" ht="22.5" customHeight="1">
      <c r="A827" s="6"/>
      <c r="B827" s="6"/>
      <c r="C827" s="6"/>
      <c r="D827" s="6"/>
      <c r="E827" s="6"/>
    </row>
    <row r="828" ht="22.5" customHeight="1">
      <c r="A828" s="6"/>
      <c r="B828" s="6"/>
      <c r="C828" s="6"/>
      <c r="D828" s="6"/>
      <c r="E828" s="6"/>
    </row>
    <row r="829" ht="22.5" customHeight="1">
      <c r="A829" s="6"/>
      <c r="B829" s="6"/>
      <c r="C829" s="6"/>
      <c r="D829" s="6"/>
      <c r="E829" s="6"/>
    </row>
    <row r="830" ht="22.5" customHeight="1">
      <c r="A830" s="6"/>
      <c r="B830" s="6"/>
      <c r="C830" s="6"/>
      <c r="D830" s="6"/>
      <c r="E830" s="6"/>
    </row>
    <row r="831" ht="22.5" customHeight="1">
      <c r="A831" s="6"/>
      <c r="B831" s="6"/>
      <c r="C831" s="6"/>
      <c r="D831" s="6"/>
      <c r="E831" s="6"/>
    </row>
    <row r="832" ht="22.5" customHeight="1">
      <c r="A832" s="6"/>
      <c r="B832" s="6"/>
      <c r="C832" s="6"/>
      <c r="D832" s="6"/>
      <c r="E832" s="6"/>
    </row>
    <row r="833" ht="22.5" customHeight="1">
      <c r="A833" s="6"/>
      <c r="B833" s="6"/>
      <c r="C833" s="6"/>
      <c r="D833" s="6"/>
      <c r="E833" s="6"/>
    </row>
    <row r="834" ht="22.5" customHeight="1">
      <c r="A834" s="6"/>
      <c r="B834" s="6"/>
      <c r="C834" s="6"/>
      <c r="D834" s="6"/>
      <c r="E834" s="6"/>
    </row>
    <row r="835" ht="22.5" customHeight="1">
      <c r="A835" s="6"/>
      <c r="B835" s="6"/>
      <c r="C835" s="6"/>
      <c r="D835" s="6"/>
      <c r="E835" s="6"/>
    </row>
    <row r="836" ht="22.5" customHeight="1">
      <c r="A836" s="6"/>
      <c r="B836" s="6"/>
      <c r="C836" s="6"/>
      <c r="D836" s="6"/>
      <c r="E836" s="6"/>
    </row>
    <row r="837" ht="22.5" customHeight="1">
      <c r="A837" s="6"/>
      <c r="B837" s="6"/>
      <c r="C837" s="6"/>
      <c r="D837" s="6"/>
      <c r="E837" s="6"/>
    </row>
    <row r="838" ht="22.5" customHeight="1">
      <c r="A838" s="6"/>
      <c r="B838" s="6"/>
      <c r="C838" s="6"/>
      <c r="D838" s="6"/>
      <c r="E838" s="6"/>
    </row>
    <row r="839" ht="22.5" customHeight="1">
      <c r="A839" s="6"/>
      <c r="B839" s="6"/>
      <c r="C839" s="6"/>
      <c r="D839" s="6"/>
      <c r="E839" s="6"/>
    </row>
    <row r="840" ht="22.5" customHeight="1">
      <c r="A840" s="6"/>
      <c r="B840" s="6"/>
      <c r="C840" s="6"/>
      <c r="D840" s="6"/>
      <c r="E840" s="6"/>
    </row>
    <row r="841" ht="22.5" customHeight="1">
      <c r="A841" s="6"/>
      <c r="B841" s="6"/>
      <c r="C841" s="6"/>
      <c r="D841" s="6"/>
      <c r="E841" s="6"/>
    </row>
    <row r="842" ht="22.5" customHeight="1">
      <c r="A842" s="6"/>
      <c r="B842" s="6"/>
      <c r="C842" s="6"/>
      <c r="D842" s="6"/>
      <c r="E842" s="6"/>
    </row>
    <row r="843" ht="22.5" customHeight="1">
      <c r="A843" s="6"/>
      <c r="B843" s="6"/>
      <c r="C843" s="6"/>
      <c r="D843" s="6"/>
      <c r="E843" s="6"/>
    </row>
    <row r="844" ht="22.5" customHeight="1">
      <c r="A844" s="6"/>
      <c r="B844" s="6"/>
      <c r="C844" s="6"/>
      <c r="D844" s="6"/>
      <c r="E844" s="6"/>
    </row>
    <row r="845" ht="22.5" customHeight="1">
      <c r="A845" s="6"/>
      <c r="B845" s="6"/>
      <c r="C845" s="6"/>
      <c r="D845" s="6"/>
      <c r="E845" s="6"/>
    </row>
    <row r="846" ht="22.5" customHeight="1">
      <c r="A846" s="6"/>
      <c r="B846" s="6"/>
      <c r="C846" s="6"/>
      <c r="D846" s="6"/>
      <c r="E846" s="6"/>
    </row>
    <row r="847" ht="22.5" customHeight="1">
      <c r="A847" s="6"/>
      <c r="B847" s="6"/>
      <c r="C847" s="6"/>
      <c r="D847" s="6"/>
      <c r="E847" s="6"/>
    </row>
    <row r="848" ht="22.5" customHeight="1">
      <c r="A848" s="6"/>
      <c r="B848" s="6"/>
      <c r="C848" s="6"/>
      <c r="D848" s="6"/>
      <c r="E848" s="6"/>
    </row>
    <row r="849" ht="22.5" customHeight="1">
      <c r="A849" s="6"/>
      <c r="B849" s="6"/>
      <c r="C849" s="6"/>
      <c r="D849" s="6"/>
      <c r="E849" s="6"/>
    </row>
    <row r="850" ht="22.5" customHeight="1">
      <c r="A850" s="6"/>
      <c r="B850" s="6"/>
      <c r="C850" s="6"/>
      <c r="D850" s="6"/>
      <c r="E850" s="6"/>
    </row>
    <row r="851" ht="22.5" customHeight="1">
      <c r="A851" s="6"/>
      <c r="B851" s="6"/>
      <c r="C851" s="6"/>
      <c r="D851" s="6"/>
      <c r="E851" s="6"/>
    </row>
    <row r="852" ht="22.5" customHeight="1">
      <c r="A852" s="6"/>
      <c r="B852" s="6"/>
      <c r="C852" s="6"/>
      <c r="D852" s="6"/>
      <c r="E852" s="6"/>
    </row>
    <row r="853" ht="22.5" customHeight="1">
      <c r="A853" s="6"/>
      <c r="B853" s="6"/>
      <c r="C853" s="6"/>
      <c r="D853" s="6"/>
      <c r="E853" s="6"/>
    </row>
    <row r="854" ht="22.5" customHeight="1">
      <c r="A854" s="6"/>
      <c r="B854" s="6"/>
      <c r="C854" s="6"/>
      <c r="D854" s="6"/>
      <c r="E854" s="6"/>
    </row>
    <row r="855" ht="22.5" customHeight="1">
      <c r="A855" s="6"/>
      <c r="B855" s="6"/>
      <c r="C855" s="6"/>
      <c r="D855" s="6"/>
      <c r="E855" s="6"/>
    </row>
    <row r="856" ht="22.5" customHeight="1">
      <c r="A856" s="6"/>
      <c r="B856" s="6"/>
      <c r="C856" s="6"/>
      <c r="D856" s="6"/>
      <c r="E856" s="6"/>
    </row>
    <row r="857" ht="22.5" customHeight="1">
      <c r="A857" s="6"/>
      <c r="B857" s="6"/>
      <c r="C857" s="6"/>
      <c r="D857" s="6"/>
      <c r="E857" s="6"/>
    </row>
    <row r="858" ht="22.5" customHeight="1">
      <c r="A858" s="6"/>
      <c r="B858" s="6"/>
      <c r="C858" s="6"/>
      <c r="D858" s="6"/>
      <c r="E858" s="6"/>
    </row>
    <row r="859" ht="22.5" customHeight="1">
      <c r="A859" s="6"/>
      <c r="B859" s="6"/>
      <c r="C859" s="6"/>
      <c r="D859" s="6"/>
      <c r="E859" s="6"/>
    </row>
    <row r="860" ht="22.5" customHeight="1">
      <c r="A860" s="6"/>
      <c r="B860" s="6"/>
      <c r="C860" s="6"/>
      <c r="D860" s="6"/>
      <c r="E860" s="6"/>
    </row>
    <row r="861" ht="22.5" customHeight="1">
      <c r="A861" s="6"/>
      <c r="B861" s="6"/>
      <c r="C861" s="6"/>
      <c r="D861" s="6"/>
      <c r="E861" s="6"/>
    </row>
    <row r="862" ht="22.5" customHeight="1">
      <c r="A862" s="6"/>
      <c r="B862" s="6"/>
      <c r="C862" s="6"/>
      <c r="D862" s="6"/>
      <c r="E862" s="6"/>
    </row>
    <row r="863" ht="22.5" customHeight="1">
      <c r="A863" s="6"/>
      <c r="B863" s="6"/>
      <c r="C863" s="6"/>
      <c r="D863" s="6"/>
      <c r="E863" s="6"/>
    </row>
    <row r="864" ht="22.5" customHeight="1">
      <c r="A864" s="6"/>
      <c r="B864" s="6"/>
      <c r="C864" s="6"/>
      <c r="D864" s="6"/>
      <c r="E864" s="6"/>
    </row>
    <row r="865" ht="22.5" customHeight="1">
      <c r="A865" s="6"/>
      <c r="B865" s="6"/>
      <c r="C865" s="6"/>
      <c r="D865" s="6"/>
      <c r="E865" s="6"/>
    </row>
    <row r="866" ht="22.5" customHeight="1">
      <c r="A866" s="6"/>
      <c r="B866" s="6"/>
      <c r="C866" s="6"/>
      <c r="D866" s="6"/>
      <c r="E866" s="6"/>
    </row>
    <row r="867" ht="22.5" customHeight="1">
      <c r="A867" s="6"/>
      <c r="B867" s="6"/>
      <c r="C867" s="6"/>
      <c r="D867" s="6"/>
      <c r="E867" s="6"/>
    </row>
    <row r="868" ht="22.5" customHeight="1">
      <c r="A868" s="6"/>
      <c r="B868" s="6"/>
      <c r="C868" s="6"/>
      <c r="D868" s="6"/>
      <c r="E868" s="6"/>
    </row>
    <row r="869" ht="22.5" customHeight="1">
      <c r="A869" s="6"/>
      <c r="B869" s="6"/>
      <c r="C869" s="6"/>
      <c r="D869" s="6"/>
      <c r="E869" s="6"/>
    </row>
    <row r="870" ht="22.5" customHeight="1">
      <c r="A870" s="6"/>
      <c r="B870" s="6"/>
      <c r="C870" s="6"/>
      <c r="D870" s="6"/>
      <c r="E870" s="6"/>
    </row>
    <row r="871" ht="22.5" customHeight="1">
      <c r="A871" s="6"/>
      <c r="B871" s="6"/>
      <c r="C871" s="6"/>
      <c r="D871" s="6"/>
      <c r="E871" s="6"/>
    </row>
    <row r="872" ht="22.5" customHeight="1">
      <c r="A872" s="6"/>
      <c r="B872" s="6"/>
      <c r="C872" s="6"/>
      <c r="D872" s="6"/>
      <c r="E872" s="6"/>
    </row>
    <row r="873" ht="22.5" customHeight="1">
      <c r="A873" s="6"/>
      <c r="B873" s="6"/>
      <c r="C873" s="6"/>
      <c r="D873" s="6"/>
      <c r="E873" s="6"/>
    </row>
    <row r="874" ht="22.5" customHeight="1">
      <c r="A874" s="6"/>
      <c r="B874" s="6"/>
      <c r="C874" s="6"/>
      <c r="D874" s="6"/>
      <c r="E874" s="6"/>
    </row>
    <row r="875" ht="22.5" customHeight="1">
      <c r="A875" s="6"/>
      <c r="B875" s="6"/>
      <c r="C875" s="6"/>
      <c r="D875" s="6"/>
      <c r="E875" s="6"/>
    </row>
    <row r="876" ht="22.5" customHeight="1">
      <c r="A876" s="6"/>
      <c r="B876" s="6"/>
      <c r="C876" s="6"/>
      <c r="D876" s="6"/>
      <c r="E876" s="6"/>
    </row>
    <row r="877" ht="22.5" customHeight="1">
      <c r="A877" s="6"/>
      <c r="B877" s="6"/>
      <c r="C877" s="6"/>
      <c r="D877" s="6"/>
      <c r="E877" s="6"/>
    </row>
    <row r="878" ht="22.5" customHeight="1">
      <c r="A878" s="6"/>
      <c r="B878" s="6"/>
      <c r="C878" s="6"/>
      <c r="D878" s="6"/>
      <c r="E878" s="6"/>
    </row>
    <row r="879" ht="22.5" customHeight="1">
      <c r="A879" s="6"/>
      <c r="B879" s="6"/>
      <c r="C879" s="6"/>
      <c r="D879" s="6"/>
      <c r="E879" s="6"/>
    </row>
    <row r="880" ht="22.5" customHeight="1">
      <c r="A880" s="6"/>
      <c r="B880" s="6"/>
      <c r="C880" s="6"/>
      <c r="D880" s="6"/>
      <c r="E880" s="6"/>
    </row>
    <row r="881" ht="22.5" customHeight="1">
      <c r="A881" s="6"/>
      <c r="B881" s="6"/>
      <c r="C881" s="6"/>
      <c r="D881" s="6"/>
      <c r="E881" s="6"/>
    </row>
    <row r="882" ht="22.5" customHeight="1">
      <c r="A882" s="6"/>
      <c r="B882" s="6"/>
      <c r="C882" s="6"/>
      <c r="D882" s="6"/>
      <c r="E882" s="6"/>
    </row>
    <row r="883" ht="22.5" customHeight="1">
      <c r="A883" s="6"/>
      <c r="B883" s="6"/>
      <c r="C883" s="6"/>
      <c r="D883" s="6"/>
      <c r="E883" s="6"/>
    </row>
    <row r="884" ht="22.5" customHeight="1">
      <c r="A884" s="6"/>
      <c r="B884" s="6"/>
      <c r="C884" s="6"/>
      <c r="D884" s="6"/>
      <c r="E884" s="6"/>
    </row>
    <row r="885" ht="22.5" customHeight="1">
      <c r="A885" s="6"/>
      <c r="B885" s="6"/>
      <c r="C885" s="6"/>
      <c r="D885" s="6"/>
      <c r="E885" s="6"/>
    </row>
    <row r="886" ht="22.5" customHeight="1">
      <c r="A886" s="6"/>
      <c r="B886" s="6"/>
      <c r="C886" s="6"/>
      <c r="D886" s="6"/>
      <c r="E886" s="6"/>
    </row>
    <row r="887" ht="22.5" customHeight="1">
      <c r="A887" s="6"/>
      <c r="B887" s="6"/>
      <c r="C887" s="6"/>
      <c r="D887" s="6"/>
      <c r="E887" s="6"/>
    </row>
    <row r="888" ht="22.5" customHeight="1">
      <c r="A888" s="6"/>
      <c r="B888" s="6"/>
      <c r="C888" s="6"/>
      <c r="D888" s="6"/>
      <c r="E888" s="6"/>
    </row>
    <row r="889" ht="22.5" customHeight="1">
      <c r="A889" s="6"/>
      <c r="B889" s="6"/>
      <c r="C889" s="6"/>
      <c r="D889" s="6"/>
      <c r="E889" s="6"/>
    </row>
    <row r="890" ht="22.5" customHeight="1">
      <c r="A890" s="6"/>
      <c r="B890" s="6"/>
      <c r="C890" s="6"/>
      <c r="D890" s="6"/>
      <c r="E890" s="6"/>
    </row>
    <row r="891" ht="22.5" customHeight="1">
      <c r="A891" s="6"/>
      <c r="B891" s="6"/>
      <c r="C891" s="6"/>
      <c r="D891" s="6"/>
      <c r="E891" s="6"/>
    </row>
    <row r="892" ht="22.5" customHeight="1">
      <c r="A892" s="6"/>
      <c r="B892" s="6"/>
      <c r="C892" s="6"/>
      <c r="D892" s="6"/>
      <c r="E892" s="6"/>
    </row>
    <row r="893" ht="22.5" customHeight="1">
      <c r="A893" s="6"/>
      <c r="B893" s="6"/>
      <c r="C893" s="6"/>
      <c r="D893" s="6"/>
      <c r="E893" s="6"/>
    </row>
    <row r="894" ht="22.5" customHeight="1">
      <c r="A894" s="6"/>
      <c r="B894" s="6"/>
      <c r="C894" s="6"/>
      <c r="D894" s="6"/>
      <c r="E894" s="6"/>
    </row>
    <row r="895" ht="22.5" customHeight="1">
      <c r="A895" s="6"/>
      <c r="B895" s="6"/>
      <c r="C895" s="6"/>
      <c r="D895" s="6"/>
      <c r="E895" s="6"/>
    </row>
    <row r="896" ht="22.5" customHeight="1">
      <c r="A896" s="6"/>
      <c r="B896" s="6"/>
      <c r="C896" s="6"/>
      <c r="D896" s="6"/>
      <c r="E896" s="6"/>
    </row>
    <row r="897" ht="22.5" customHeight="1">
      <c r="A897" s="6"/>
      <c r="B897" s="6"/>
      <c r="C897" s="6"/>
      <c r="D897" s="6"/>
      <c r="E897" s="6"/>
    </row>
    <row r="898" ht="22.5" customHeight="1">
      <c r="A898" s="6"/>
      <c r="B898" s="6"/>
      <c r="C898" s="6"/>
      <c r="D898" s="6"/>
      <c r="E898" s="6"/>
    </row>
    <row r="899" ht="22.5" customHeight="1">
      <c r="A899" s="6"/>
      <c r="B899" s="6"/>
      <c r="C899" s="6"/>
      <c r="D899" s="6"/>
      <c r="E899" s="6"/>
    </row>
    <row r="900" ht="22.5" customHeight="1">
      <c r="A900" s="6"/>
      <c r="B900" s="6"/>
      <c r="C900" s="6"/>
      <c r="D900" s="6"/>
      <c r="E900" s="6"/>
    </row>
    <row r="901" ht="22.5" customHeight="1">
      <c r="A901" s="6"/>
      <c r="B901" s="6"/>
      <c r="C901" s="6"/>
      <c r="D901" s="6"/>
      <c r="E901" s="6"/>
    </row>
    <row r="902" ht="22.5" customHeight="1">
      <c r="A902" s="6"/>
      <c r="B902" s="6"/>
      <c r="C902" s="6"/>
      <c r="D902" s="6"/>
      <c r="E902" s="6"/>
    </row>
    <row r="903" ht="22.5" customHeight="1">
      <c r="A903" s="6"/>
      <c r="B903" s="6"/>
      <c r="C903" s="6"/>
      <c r="D903" s="6"/>
      <c r="E903" s="6"/>
    </row>
    <row r="904" ht="22.5" customHeight="1">
      <c r="A904" s="6"/>
      <c r="B904" s="6"/>
      <c r="C904" s="6"/>
      <c r="D904" s="6"/>
      <c r="E904" s="6"/>
    </row>
    <row r="905" ht="22.5" customHeight="1">
      <c r="A905" s="6"/>
      <c r="B905" s="6"/>
      <c r="C905" s="6"/>
      <c r="D905" s="6"/>
      <c r="E905" s="6"/>
    </row>
    <row r="906" ht="22.5" customHeight="1">
      <c r="A906" s="6"/>
      <c r="B906" s="6"/>
      <c r="C906" s="6"/>
      <c r="D906" s="6"/>
      <c r="E906" s="6"/>
    </row>
    <row r="907" ht="22.5" customHeight="1">
      <c r="A907" s="6"/>
      <c r="B907" s="6"/>
      <c r="C907" s="6"/>
      <c r="D907" s="6"/>
      <c r="E907" s="6"/>
    </row>
    <row r="908" ht="22.5" customHeight="1">
      <c r="A908" s="6"/>
      <c r="B908" s="6"/>
      <c r="C908" s="6"/>
      <c r="D908" s="6"/>
      <c r="E908" s="6"/>
    </row>
    <row r="909" ht="22.5" customHeight="1">
      <c r="A909" s="6"/>
      <c r="B909" s="6"/>
      <c r="C909" s="6"/>
      <c r="D909" s="6"/>
      <c r="E909" s="6"/>
    </row>
    <row r="910" ht="22.5" customHeight="1">
      <c r="A910" s="6"/>
      <c r="B910" s="6"/>
      <c r="C910" s="6"/>
      <c r="D910" s="6"/>
      <c r="E910" s="6"/>
    </row>
    <row r="911" ht="22.5" customHeight="1">
      <c r="A911" s="6"/>
      <c r="B911" s="6"/>
      <c r="C911" s="6"/>
      <c r="D911" s="6"/>
      <c r="E911" s="6"/>
    </row>
    <row r="912" ht="22.5" customHeight="1">
      <c r="A912" s="6"/>
      <c r="B912" s="6"/>
      <c r="C912" s="6"/>
      <c r="D912" s="6"/>
      <c r="E912" s="6"/>
    </row>
    <row r="913" ht="22.5" customHeight="1">
      <c r="A913" s="6"/>
      <c r="B913" s="6"/>
      <c r="C913" s="6"/>
      <c r="D913" s="6"/>
      <c r="E913" s="6"/>
    </row>
    <row r="914" ht="22.5" customHeight="1">
      <c r="A914" s="6"/>
      <c r="B914" s="6"/>
      <c r="C914" s="6"/>
      <c r="D914" s="6"/>
      <c r="E914" s="6"/>
    </row>
    <row r="915" ht="22.5" customHeight="1">
      <c r="A915" s="6"/>
      <c r="B915" s="6"/>
      <c r="C915" s="6"/>
      <c r="D915" s="6"/>
      <c r="E915" s="6"/>
    </row>
    <row r="916" ht="22.5" customHeight="1">
      <c r="A916" s="6"/>
      <c r="B916" s="6"/>
      <c r="C916" s="6"/>
      <c r="D916" s="6"/>
      <c r="E916" s="6"/>
    </row>
    <row r="917" ht="22.5" customHeight="1">
      <c r="A917" s="6"/>
      <c r="B917" s="6"/>
      <c r="C917" s="6"/>
      <c r="D917" s="6"/>
      <c r="E917" s="6"/>
    </row>
    <row r="918" ht="22.5" customHeight="1">
      <c r="A918" s="6"/>
      <c r="B918" s="6"/>
      <c r="C918" s="6"/>
      <c r="D918" s="6"/>
      <c r="E918" s="6"/>
    </row>
    <row r="919" ht="22.5" customHeight="1">
      <c r="A919" s="6"/>
      <c r="B919" s="6"/>
      <c r="C919" s="6"/>
      <c r="D919" s="6"/>
      <c r="E919" s="6"/>
    </row>
    <row r="920" ht="22.5" customHeight="1">
      <c r="A920" s="6"/>
      <c r="B920" s="6"/>
      <c r="C920" s="6"/>
      <c r="D920" s="6"/>
      <c r="E920" s="6"/>
    </row>
    <row r="921" ht="22.5" customHeight="1">
      <c r="A921" s="6"/>
      <c r="B921" s="6"/>
      <c r="C921" s="6"/>
      <c r="D921" s="6"/>
      <c r="E921" s="6"/>
    </row>
    <row r="922" ht="22.5" customHeight="1">
      <c r="A922" s="6"/>
      <c r="B922" s="6"/>
      <c r="C922" s="6"/>
      <c r="D922" s="6"/>
      <c r="E922" s="6"/>
    </row>
    <row r="923" ht="22.5" customHeight="1">
      <c r="A923" s="6"/>
      <c r="B923" s="6"/>
      <c r="C923" s="6"/>
      <c r="D923" s="6"/>
      <c r="E923" s="6"/>
    </row>
    <row r="924" ht="22.5" customHeight="1">
      <c r="A924" s="6"/>
      <c r="B924" s="6"/>
      <c r="C924" s="6"/>
      <c r="D924" s="6"/>
      <c r="E924" s="6"/>
    </row>
    <row r="925" ht="22.5" customHeight="1">
      <c r="A925" s="6"/>
      <c r="B925" s="6"/>
      <c r="C925" s="6"/>
      <c r="D925" s="6"/>
      <c r="E925" s="6"/>
    </row>
    <row r="926" ht="22.5" customHeight="1">
      <c r="A926" s="6"/>
      <c r="B926" s="6"/>
      <c r="C926" s="6"/>
      <c r="D926" s="6"/>
      <c r="E926" s="6"/>
    </row>
    <row r="927" ht="22.5" customHeight="1">
      <c r="A927" s="6"/>
      <c r="B927" s="6"/>
      <c r="C927" s="6"/>
      <c r="D927" s="6"/>
      <c r="E927" s="6"/>
    </row>
    <row r="928" ht="22.5" customHeight="1">
      <c r="A928" s="6"/>
      <c r="B928" s="6"/>
      <c r="C928" s="6"/>
      <c r="D928" s="6"/>
      <c r="E928" s="6"/>
    </row>
    <row r="929" ht="22.5" customHeight="1">
      <c r="A929" s="6"/>
      <c r="B929" s="6"/>
      <c r="C929" s="6"/>
      <c r="D929" s="6"/>
      <c r="E929" s="6"/>
    </row>
    <row r="930" ht="22.5" customHeight="1">
      <c r="A930" s="6"/>
      <c r="B930" s="6"/>
      <c r="C930" s="6"/>
      <c r="D930" s="6"/>
      <c r="E930" s="6"/>
    </row>
    <row r="931" ht="22.5" customHeight="1">
      <c r="A931" s="6"/>
      <c r="B931" s="6"/>
      <c r="C931" s="6"/>
      <c r="D931" s="6"/>
      <c r="E931" s="6"/>
    </row>
    <row r="932" ht="22.5" customHeight="1">
      <c r="A932" s="6"/>
      <c r="B932" s="6"/>
      <c r="C932" s="6"/>
      <c r="D932" s="6"/>
      <c r="E932" s="6"/>
    </row>
    <row r="933" ht="22.5" customHeight="1">
      <c r="A933" s="6"/>
      <c r="B933" s="6"/>
      <c r="C933" s="6"/>
      <c r="D933" s="6"/>
      <c r="E933" s="6"/>
    </row>
    <row r="934" ht="22.5" customHeight="1">
      <c r="A934" s="6"/>
      <c r="B934" s="6"/>
      <c r="C934" s="6"/>
      <c r="D934" s="6"/>
      <c r="E934" s="6"/>
    </row>
    <row r="935" ht="22.5" customHeight="1">
      <c r="A935" s="6"/>
      <c r="B935" s="6"/>
      <c r="C935" s="6"/>
      <c r="D935" s="6"/>
      <c r="E935" s="6"/>
    </row>
    <row r="936" ht="22.5" customHeight="1">
      <c r="A936" s="6"/>
      <c r="B936" s="6"/>
      <c r="C936" s="6"/>
      <c r="D936" s="6"/>
      <c r="E936" s="6"/>
    </row>
    <row r="937" ht="22.5" customHeight="1">
      <c r="A937" s="6"/>
      <c r="B937" s="6"/>
      <c r="C937" s="6"/>
      <c r="D937" s="6"/>
      <c r="E937" s="6"/>
    </row>
    <row r="938" ht="22.5" customHeight="1">
      <c r="A938" s="6"/>
      <c r="B938" s="6"/>
      <c r="C938" s="6"/>
      <c r="D938" s="6"/>
      <c r="E938" s="6"/>
    </row>
    <row r="939" ht="22.5" customHeight="1">
      <c r="A939" s="6"/>
      <c r="B939" s="6"/>
      <c r="C939" s="6"/>
      <c r="D939" s="6"/>
      <c r="E939" s="6"/>
    </row>
    <row r="940" ht="22.5" customHeight="1">
      <c r="A940" s="6"/>
      <c r="B940" s="6"/>
      <c r="C940" s="6"/>
      <c r="D940" s="6"/>
      <c r="E940" s="6"/>
    </row>
    <row r="941" ht="22.5" customHeight="1">
      <c r="A941" s="6"/>
      <c r="B941" s="6"/>
      <c r="C941" s="6"/>
      <c r="D941" s="6"/>
      <c r="E941" s="6"/>
    </row>
    <row r="942" ht="22.5" customHeight="1">
      <c r="A942" s="6"/>
      <c r="B942" s="6"/>
      <c r="C942" s="6"/>
      <c r="D942" s="6"/>
      <c r="E942" s="6"/>
    </row>
    <row r="943" ht="22.5" customHeight="1">
      <c r="A943" s="6"/>
      <c r="B943" s="6"/>
      <c r="C943" s="6"/>
      <c r="D943" s="6"/>
      <c r="E943" s="6"/>
    </row>
    <row r="944" ht="22.5" customHeight="1">
      <c r="A944" s="6"/>
      <c r="B944" s="6"/>
      <c r="C944" s="6"/>
      <c r="D944" s="6"/>
      <c r="E944" s="6"/>
    </row>
    <row r="945" ht="22.5" customHeight="1">
      <c r="A945" s="6"/>
      <c r="B945" s="6"/>
      <c r="C945" s="6"/>
      <c r="D945" s="6"/>
      <c r="E945" s="6"/>
    </row>
    <row r="946" ht="22.5" customHeight="1">
      <c r="A946" s="6"/>
      <c r="B946" s="6"/>
      <c r="C946" s="6"/>
      <c r="D946" s="6"/>
      <c r="E946" s="6"/>
    </row>
    <row r="947" ht="22.5" customHeight="1">
      <c r="A947" s="6"/>
      <c r="B947" s="6"/>
      <c r="C947" s="6"/>
      <c r="D947" s="6"/>
      <c r="E947" s="6"/>
    </row>
    <row r="948" ht="22.5" customHeight="1">
      <c r="A948" s="6"/>
      <c r="B948" s="6"/>
      <c r="C948" s="6"/>
      <c r="D948" s="6"/>
      <c r="E948" s="6"/>
    </row>
    <row r="949" ht="22.5" customHeight="1">
      <c r="A949" s="6"/>
      <c r="B949" s="6"/>
      <c r="C949" s="6"/>
      <c r="D949" s="6"/>
      <c r="E949" s="6"/>
    </row>
    <row r="950" ht="22.5" customHeight="1">
      <c r="A950" s="6"/>
      <c r="B950" s="6"/>
      <c r="C950" s="6"/>
      <c r="D950" s="6"/>
      <c r="E950" s="6"/>
    </row>
    <row r="951" ht="22.5" customHeight="1">
      <c r="A951" s="6"/>
      <c r="B951" s="6"/>
      <c r="C951" s="6"/>
      <c r="D951" s="6"/>
      <c r="E951" s="6"/>
    </row>
    <row r="952" ht="22.5" customHeight="1">
      <c r="A952" s="6"/>
      <c r="B952" s="6"/>
      <c r="C952" s="6"/>
      <c r="D952" s="6"/>
      <c r="E952" s="6"/>
    </row>
    <row r="953" ht="22.5" customHeight="1">
      <c r="A953" s="6"/>
      <c r="B953" s="6"/>
      <c r="C953" s="6"/>
      <c r="D953" s="6"/>
      <c r="E953" s="6"/>
    </row>
    <row r="954" ht="22.5" customHeight="1">
      <c r="A954" s="6"/>
      <c r="B954" s="6"/>
      <c r="C954" s="6"/>
      <c r="D954" s="6"/>
      <c r="E954" s="6"/>
    </row>
    <row r="955" ht="22.5" customHeight="1">
      <c r="A955" s="6"/>
      <c r="B955" s="6"/>
      <c r="C955" s="6"/>
      <c r="D955" s="6"/>
      <c r="E955" s="6"/>
    </row>
    <row r="956" ht="22.5" customHeight="1">
      <c r="A956" s="6"/>
      <c r="B956" s="6"/>
      <c r="C956" s="6"/>
      <c r="D956" s="6"/>
      <c r="E956" s="6"/>
    </row>
    <row r="957" ht="22.5" customHeight="1">
      <c r="A957" s="6"/>
      <c r="B957" s="6"/>
      <c r="C957" s="6"/>
      <c r="D957" s="6"/>
      <c r="E957" s="6"/>
    </row>
    <row r="958" ht="22.5" customHeight="1">
      <c r="A958" s="6"/>
      <c r="B958" s="6"/>
      <c r="C958" s="6"/>
      <c r="D958" s="6"/>
      <c r="E958" s="6"/>
    </row>
    <row r="959" ht="22.5" customHeight="1">
      <c r="A959" s="6"/>
      <c r="B959" s="6"/>
      <c r="C959" s="6"/>
      <c r="D959" s="6"/>
      <c r="E959" s="6"/>
    </row>
    <row r="960" ht="22.5" customHeight="1">
      <c r="A960" s="6"/>
      <c r="B960" s="6"/>
      <c r="C960" s="6"/>
      <c r="D960" s="6"/>
      <c r="E960" s="6"/>
    </row>
    <row r="961" ht="22.5" customHeight="1">
      <c r="A961" s="6"/>
      <c r="B961" s="6"/>
      <c r="C961" s="6"/>
      <c r="D961" s="6"/>
      <c r="E961" s="6"/>
    </row>
    <row r="962" ht="22.5" customHeight="1">
      <c r="A962" s="6"/>
      <c r="B962" s="6"/>
      <c r="C962" s="6"/>
      <c r="D962" s="6"/>
      <c r="E962" s="6"/>
    </row>
    <row r="963" ht="22.5" customHeight="1">
      <c r="A963" s="6"/>
      <c r="B963" s="6"/>
      <c r="C963" s="6"/>
      <c r="D963" s="6"/>
      <c r="E963" s="6"/>
    </row>
    <row r="964" ht="22.5" customHeight="1">
      <c r="A964" s="6"/>
      <c r="B964" s="6"/>
      <c r="C964" s="6"/>
      <c r="D964" s="6"/>
      <c r="E964" s="6"/>
    </row>
    <row r="965" ht="22.5" customHeight="1">
      <c r="A965" s="6"/>
      <c r="B965" s="6"/>
      <c r="C965" s="6"/>
      <c r="D965" s="6"/>
      <c r="E965" s="6"/>
    </row>
    <row r="966" ht="22.5" customHeight="1">
      <c r="A966" s="6"/>
      <c r="B966" s="6"/>
      <c r="C966" s="6"/>
      <c r="D966" s="6"/>
      <c r="E966" s="6"/>
    </row>
    <row r="967" ht="22.5" customHeight="1">
      <c r="A967" s="6"/>
      <c r="B967" s="6"/>
      <c r="C967" s="6"/>
      <c r="D967" s="6"/>
      <c r="E967" s="6"/>
    </row>
    <row r="968" ht="22.5" customHeight="1">
      <c r="A968" s="6"/>
      <c r="B968" s="6"/>
      <c r="C968" s="6"/>
      <c r="D968" s="6"/>
      <c r="E968" s="6"/>
    </row>
    <row r="969" ht="22.5" customHeight="1">
      <c r="A969" s="6"/>
      <c r="B969" s="6"/>
      <c r="C969" s="6"/>
      <c r="D969" s="6"/>
      <c r="E969" s="6"/>
    </row>
    <row r="970" ht="22.5" customHeight="1">
      <c r="A970" s="6"/>
      <c r="B970" s="6"/>
      <c r="C970" s="6"/>
      <c r="D970" s="6"/>
      <c r="E970" s="6"/>
    </row>
    <row r="971" ht="22.5" customHeight="1">
      <c r="A971" s="6"/>
      <c r="B971" s="6"/>
      <c r="C971" s="6"/>
      <c r="D971" s="6"/>
      <c r="E971" s="6"/>
    </row>
    <row r="972" ht="22.5" customHeight="1">
      <c r="A972" s="6"/>
      <c r="B972" s="6"/>
      <c r="C972" s="6"/>
      <c r="D972" s="6"/>
      <c r="E972" s="6"/>
    </row>
    <row r="973" ht="22.5" customHeight="1">
      <c r="A973" s="6"/>
      <c r="B973" s="6"/>
      <c r="C973" s="6"/>
      <c r="D973" s="6"/>
      <c r="E973" s="6"/>
    </row>
    <row r="974" ht="22.5" customHeight="1">
      <c r="A974" s="6"/>
      <c r="B974" s="6"/>
      <c r="C974" s="6"/>
      <c r="D974" s="6"/>
      <c r="E974" s="6"/>
    </row>
    <row r="975" ht="22.5" customHeight="1">
      <c r="A975" s="6"/>
      <c r="B975" s="6"/>
      <c r="C975" s="6"/>
      <c r="D975" s="6"/>
      <c r="E975" s="6"/>
    </row>
    <row r="976" ht="22.5" customHeight="1">
      <c r="A976" s="6"/>
      <c r="B976" s="6"/>
      <c r="C976" s="6"/>
      <c r="D976" s="6"/>
      <c r="E976" s="6"/>
    </row>
    <row r="977" ht="22.5" customHeight="1">
      <c r="A977" s="6"/>
      <c r="B977" s="6"/>
      <c r="C977" s="6"/>
      <c r="D977" s="6"/>
      <c r="E977" s="6"/>
    </row>
    <row r="978" ht="22.5" customHeight="1">
      <c r="A978" s="6"/>
      <c r="B978" s="6"/>
      <c r="C978" s="6"/>
      <c r="D978" s="6"/>
      <c r="E978" s="6"/>
    </row>
    <row r="979" ht="22.5" customHeight="1">
      <c r="A979" s="6"/>
      <c r="B979" s="6"/>
      <c r="C979" s="6"/>
      <c r="D979" s="6"/>
      <c r="E979" s="6"/>
    </row>
    <row r="980" ht="22.5" customHeight="1">
      <c r="A980" s="6"/>
      <c r="B980" s="6"/>
      <c r="C980" s="6"/>
      <c r="D980" s="6"/>
      <c r="E980" s="6"/>
    </row>
    <row r="981" ht="22.5" customHeight="1">
      <c r="A981" s="6"/>
      <c r="B981" s="6"/>
      <c r="C981" s="6"/>
      <c r="D981" s="6"/>
      <c r="E981" s="6"/>
    </row>
    <row r="982" ht="22.5" customHeight="1">
      <c r="A982" s="6"/>
      <c r="B982" s="6"/>
      <c r="C982" s="6"/>
      <c r="D982" s="6"/>
      <c r="E982" s="6"/>
    </row>
    <row r="983" ht="22.5" customHeight="1">
      <c r="A983" s="6"/>
      <c r="B983" s="6"/>
      <c r="C983" s="6"/>
      <c r="D983" s="6"/>
      <c r="E983" s="6"/>
    </row>
    <row r="984" ht="22.5" customHeight="1">
      <c r="A984" s="6"/>
      <c r="B984" s="6"/>
      <c r="C984" s="6"/>
      <c r="D984" s="6"/>
      <c r="E984" s="6"/>
    </row>
    <row r="985" ht="22.5" customHeight="1">
      <c r="A985" s="6"/>
      <c r="B985" s="6"/>
      <c r="C985" s="6"/>
      <c r="D985" s="6"/>
      <c r="E985" s="6"/>
    </row>
    <row r="986" ht="22.5" customHeight="1">
      <c r="A986" s="6"/>
      <c r="B986" s="6"/>
      <c r="C986" s="6"/>
      <c r="D986" s="6"/>
      <c r="E986" s="6"/>
    </row>
    <row r="987" ht="22.5" customHeight="1">
      <c r="A987" s="6"/>
      <c r="B987" s="6"/>
      <c r="C987" s="6"/>
      <c r="D987" s="6"/>
      <c r="E987" s="6"/>
    </row>
    <row r="988" ht="22.5" customHeight="1">
      <c r="A988" s="6"/>
      <c r="B988" s="6"/>
      <c r="C988" s="6"/>
      <c r="D988" s="6"/>
      <c r="E988" s="6"/>
    </row>
    <row r="989" ht="22.5" customHeight="1">
      <c r="A989" s="6"/>
      <c r="B989" s="6"/>
      <c r="C989" s="6"/>
      <c r="D989" s="6"/>
      <c r="E989" s="6"/>
    </row>
    <row r="990" ht="22.5" customHeight="1">
      <c r="A990" s="6"/>
      <c r="B990" s="6"/>
      <c r="C990" s="6"/>
      <c r="D990" s="6"/>
      <c r="E990" s="6"/>
    </row>
    <row r="991" ht="22.5" customHeight="1">
      <c r="A991" s="6"/>
      <c r="B991" s="6"/>
      <c r="C991" s="6"/>
      <c r="D991" s="6"/>
      <c r="E991" s="6"/>
    </row>
    <row r="992" ht="22.5" customHeight="1">
      <c r="A992" s="6"/>
      <c r="B992" s="6"/>
      <c r="C992" s="6"/>
      <c r="D992" s="6"/>
      <c r="E992" s="6"/>
    </row>
    <row r="993" ht="22.5" customHeight="1">
      <c r="A993" s="6"/>
      <c r="B993" s="6"/>
      <c r="C993" s="6"/>
      <c r="D993" s="6"/>
      <c r="E993" s="6"/>
    </row>
    <row r="994" ht="22.5" customHeight="1">
      <c r="A994" s="6"/>
      <c r="B994" s="6"/>
      <c r="C994" s="6"/>
      <c r="D994" s="6"/>
      <c r="E994" s="6"/>
    </row>
    <row r="995" ht="22.5" customHeight="1">
      <c r="A995" s="6"/>
      <c r="B995" s="6"/>
      <c r="C995" s="6"/>
      <c r="D995" s="6"/>
      <c r="E995" s="6"/>
    </row>
    <row r="996" ht="22.5" customHeight="1">
      <c r="A996" s="6"/>
      <c r="B996" s="6"/>
      <c r="C996" s="6"/>
      <c r="D996" s="6"/>
      <c r="E996" s="6"/>
    </row>
    <row r="997" ht="22.5" customHeight="1">
      <c r="A997" s="6"/>
      <c r="B997" s="6"/>
      <c r="C997" s="6"/>
      <c r="D997" s="6"/>
      <c r="E997" s="6"/>
    </row>
    <row r="998" ht="22.5" customHeight="1">
      <c r="A998" s="6"/>
      <c r="B998" s="6"/>
      <c r="C998" s="6"/>
      <c r="D998" s="6"/>
      <c r="E998" s="6"/>
    </row>
    <row r="999" ht="22.5" customHeight="1">
      <c r="A999" s="6"/>
      <c r="B999" s="6"/>
      <c r="C999" s="6"/>
      <c r="D999" s="6"/>
      <c r="E999" s="6"/>
    </row>
    <row r="1000" ht="22.5" customHeight="1">
      <c r="A1000" s="6"/>
      <c r="B1000" s="6"/>
      <c r="C1000" s="6"/>
      <c r="D1000" s="6"/>
      <c r="E1000" s="6"/>
    </row>
  </sheetData>
  <drawing r:id="rId1"/>
  <tableParts count="2">
    <tablePart r:id="rId4"/>
    <tablePart r:id="rId5"/>
  </tableParts>
</worksheet>
</file>